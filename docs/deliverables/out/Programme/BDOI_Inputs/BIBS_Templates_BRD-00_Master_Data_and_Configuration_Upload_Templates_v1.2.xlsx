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0.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sheets/sheet13.xml" ContentType="application/vnd.openxmlformats-officedocument.spreadsheetml.worksheet+xml"/>
  <Override PartName="/xl/comments/comment12.xml" ContentType="application/vnd.openxmlformats-officedocument.spreadsheetml.comments+xml"/>
  <Override PartName="/xl/tables/table12.xml" ContentType="application/vnd.openxmlformats-officedocument.spreadsheetml.table+xml"/>
  <Override PartName="/xl/worksheets/sheet14.xml" ContentType="application/vnd.openxmlformats-officedocument.spreadsheetml.worksheet+xml"/>
  <Override PartName="/xl/comments/comment13.xml" ContentType="application/vnd.openxmlformats-officedocument.spreadsheetml.comments+xml"/>
  <Override PartName="/xl/tables/table13.xml" ContentType="application/vnd.openxmlformats-officedocument.spreadsheetml.table+xml"/>
  <Override PartName="/xl/worksheets/sheet15.xml" ContentType="application/vnd.openxmlformats-officedocument.spreadsheetml.worksheet+xml"/>
  <Override PartName="/xl/comments/comment14.xml" ContentType="application/vnd.openxmlformats-officedocument.spreadsheetml.comments+xml"/>
  <Override PartName="/xl/tables/table14.xml" ContentType="application/vnd.openxmlformats-officedocument.spreadsheetml.table+xml"/>
  <Override PartName="/xl/worksheets/sheet16.xml" ContentType="application/vnd.openxmlformats-officedocument.spreadsheetml.worksheet+xml"/>
  <Override PartName="/xl/comments/comment15.xml" ContentType="application/vnd.openxmlformats-officedocument.spreadsheetml.comments+xml"/>
  <Override PartName="/xl/tables/table15.xml" ContentType="application/vnd.openxmlformats-officedocument.spreadsheetml.table+xml"/>
  <Override PartName="/xl/worksheets/sheet17.xml" ContentType="application/vnd.openxmlformats-officedocument.spreadsheetml.worksheet+xml"/>
  <Override PartName="/xl/comments/comment16.xml" ContentType="application/vnd.openxmlformats-officedocument.spreadsheetml.comments+xml"/>
  <Override PartName="/xl/tables/table16.xml" ContentType="application/vnd.openxmlformats-officedocument.spreadsheetml.table+xml"/>
  <Override PartName="/xl/worksheets/sheet18.xml" ContentType="application/vnd.openxmlformats-officedocument.spreadsheetml.worksheet+xml"/>
  <Override PartName="/xl/comments/comment17.xml" ContentType="application/vnd.openxmlformats-officedocument.spreadsheetml.comments+xml"/>
  <Override PartName="/xl/tables/table17.xml" ContentType="application/vnd.openxmlformats-officedocument.spreadsheetml.table+xml"/>
  <Override PartName="/xl/worksheets/sheet19.xml" ContentType="application/vnd.openxmlformats-officedocument.spreadsheetml.worksheet+xml"/>
  <Override PartName="/xl/comments/comment18.xml" ContentType="application/vnd.openxmlformats-officedocument.spreadsheetml.comments+xml"/>
  <Override PartName="/xl/tables/table18.xml" ContentType="application/vnd.openxmlformats-officedocument.spreadsheetml.table+xml"/>
  <Override PartName="/xl/worksheets/sheet20.xml" ContentType="application/vnd.openxmlformats-officedocument.spreadsheetml.worksheet+xml"/>
  <Override PartName="/xl/comments/comment19.xml" ContentType="application/vnd.openxmlformats-officedocument.spreadsheetml.comments+xml"/>
  <Override PartName="/xl/tables/table19.xml" ContentType="application/vnd.openxmlformats-officedocument.spreadsheetml.table+xml"/>
  <Override PartName="/xl/worksheets/sheet21.xml" ContentType="application/vnd.openxmlformats-officedocument.spreadsheetml.worksheet+xml"/>
  <Override PartName="/xl/comments/comment20.xml" ContentType="application/vnd.openxmlformats-officedocument.spreadsheetml.comments+xml"/>
  <Override PartName="/xl/tables/table20.xml" ContentType="application/vnd.openxmlformats-officedocument.spreadsheetml.table+xml"/>
  <Override PartName="/xl/worksheets/sheet22.xml" ContentType="application/vnd.openxmlformats-officedocument.spreadsheetml.worksheet+xml"/>
  <Override PartName="/xl/comments/comment21.xml" ContentType="application/vnd.openxmlformats-officedocument.spreadsheetml.comments+xml"/>
  <Override PartName="/xl/tables/table21.xml" ContentType="application/vnd.openxmlformats-officedocument.spreadsheetml.table+xml"/>
  <Override PartName="/xl/worksheets/sheet23.xml" ContentType="application/vnd.openxmlformats-officedocument.spreadsheetml.worksheet+xml"/>
  <Override PartName="/xl/comments/comment22.xml" ContentType="application/vnd.openxmlformats-officedocument.spreadsheetml.comments+xml"/>
  <Override PartName="/xl/tables/table22.xml" ContentType="application/vnd.openxmlformats-officedocument.spreadsheetml.table+xml"/>
  <Override PartName="/xl/worksheets/sheet24.xml" ContentType="application/vnd.openxmlformats-officedocument.spreadsheetml.worksheet+xml"/>
  <Override PartName="/xl/comments/comment23.xml" ContentType="application/vnd.openxmlformats-officedocument.spreadsheetml.comments+xml"/>
  <Override PartName="/xl/tables/table23.xml" ContentType="application/vnd.openxmlformats-officedocument.spreadsheetml.table+xml"/>
  <Override PartName="/xl/worksheets/sheet25.xml" ContentType="application/vnd.openxmlformats-officedocument.spreadsheetml.worksheet+xml"/>
  <Override PartName="/xl/comments/comment24.xml" ContentType="application/vnd.openxmlformats-officedocument.spreadsheetml.comments+xml"/>
  <Override PartName="/xl/tables/table24.xml" ContentType="application/vnd.openxmlformats-officedocument.spreadsheetml.table+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tables/table25.xml" ContentType="application/vnd.openxmlformats-officedocument.spreadsheetml.table+xml"/>
  <Override PartName="/xl/worksheets/sheet28.xml" ContentType="application/vnd.openxmlformats-officedocument.spreadsheetml.worksheet+xml"/>
  <Override PartName="/xl/comments/comment27.xml" ContentType="application/vnd.openxmlformats-officedocument.spreadsheetml.comments+xml"/>
  <Override PartName="/xl/tables/table26.xml" ContentType="application/vnd.openxmlformats-officedocument.spreadsheetml.table+xml"/>
  <Override PartName="/xl/worksheets/sheet29.xml" ContentType="application/vnd.openxmlformats-officedocument.spreadsheetml.worksheet+xml"/>
  <Override PartName="/xl/comments/comment28.xml" ContentType="application/vnd.openxmlformats-officedocument.spreadsheetml.comments+xml"/>
  <Override PartName="/xl/tables/table27.xml" ContentType="application/vnd.openxmlformats-officedocument.spreadsheetml.table+xml"/>
  <Override PartName="/xl/worksheets/sheet30.xml" ContentType="application/vnd.openxmlformats-officedocument.spreadsheetml.worksheet+xml"/>
  <Override PartName="/xl/comments/comment29.xml" ContentType="application/vnd.openxmlformats-officedocument.spreadsheetml.comments+xml"/>
  <Override PartName="/xl/tables/table28.xml" ContentType="application/vnd.openxmlformats-officedocument.spreadsheetml.table+xml"/>
  <Override PartName="/xl/worksheets/sheet31.xml" ContentType="application/vnd.openxmlformats-officedocument.spreadsheetml.worksheet+xml"/>
  <Override PartName="/xl/comments/comment30.xml" ContentType="application/vnd.openxmlformats-officedocument.spreadsheetml.comments+xml"/>
  <Override PartName="/xl/tables/table29.xml" ContentType="application/vnd.openxmlformats-officedocument.spreadsheetml.table+xml"/>
  <Override PartName="/xl/worksheets/sheet32.xml" ContentType="application/vnd.openxmlformats-officedocument.spreadsheetml.worksheet+xml"/>
  <Override PartName="/xl/comments/comment31.xml" ContentType="application/vnd.openxmlformats-officedocument.spreadsheetml.comments+xml"/>
  <Override PartName="/xl/tables/table30.xml" ContentType="application/vnd.openxmlformats-officedocument.spreadsheetml.table+xml"/>
  <Override PartName="/xl/worksheets/sheet33.xml" ContentType="application/vnd.openxmlformats-officedocument.spreadsheetml.worksheet+xml"/>
  <Override PartName="/xl/comments/comment32.xml" ContentType="application/vnd.openxmlformats-officedocument.spreadsheetml.comments+xml"/>
  <Override PartName="/xl/tables/table31.xml" ContentType="application/vnd.openxmlformats-officedocument.spreadsheetml.table+xml"/>
  <Override PartName="/xl/worksheets/sheet34.xml" ContentType="application/vnd.openxmlformats-officedocument.spreadsheetml.worksheet+xml"/>
  <Override PartName="/xl/comments/comment33.xml" ContentType="application/vnd.openxmlformats-officedocument.spreadsheetml.comments+xml"/>
  <Override PartName="/xl/tables/table32.xml" ContentType="application/vnd.openxmlformats-officedocument.spreadsheetml.table+xml"/>
  <Override PartName="/xl/worksheets/sheet35.xml" ContentType="application/vnd.openxmlformats-officedocument.spreadsheetml.worksheet+xml"/>
  <Override PartName="/xl/comments/comment34.xml" ContentType="application/vnd.openxmlformats-officedocument.spreadsheetml.comments+xml"/>
  <Override PartName="/xl/tables/table33.xml" ContentType="application/vnd.openxmlformats-officedocument.spreadsheetml.table+xml"/>
  <Override PartName="/xl/worksheets/sheet36.xml" ContentType="application/vnd.openxmlformats-officedocument.spreadsheetml.worksheet+xml"/>
  <Override PartName="/xl/comments/comment35.xml" ContentType="application/vnd.openxmlformats-officedocument.spreadsheetml.comments+xml"/>
  <Override PartName="/xl/tables/table34.xml" ContentType="application/vnd.openxmlformats-officedocument.spreadsheetml.table+xml"/>
  <Override PartName="/xl/worksheets/sheet37.xml" ContentType="application/vnd.openxmlformats-officedocument.spreadsheetml.worksheet+xml"/>
  <Override PartName="/xl/comments/comment36.xml" ContentType="application/vnd.openxmlformats-officedocument.spreadsheetml.comments+xml"/>
  <Override PartName="/xl/tables/table35.xml" ContentType="application/vnd.openxmlformats-officedocument.spreadsheetml.table+xml"/>
  <Override PartName="/xl/worksheets/sheet38.xml" ContentType="application/vnd.openxmlformats-officedocument.spreadsheetml.worksheet+xml"/>
  <Override PartName="/xl/comments/comment37.xml" ContentType="application/vnd.openxmlformats-officedocument.spreadsheetml.comments+xml"/>
  <Override PartName="/xl/tables/table36.xml" ContentType="application/vnd.openxmlformats-officedocument.spreadsheetml.table+xml"/>
  <Override PartName="/xl/worksheets/sheet39.xml" ContentType="application/vnd.openxmlformats-officedocument.spreadsheetml.worksheet+xml"/>
  <Override PartName="/xl/comments/comment38.xml" ContentType="application/vnd.openxmlformats-officedocument.spreadsheetml.comments+xml"/>
  <Override PartName="/xl/tables/table37.xml" ContentType="application/vnd.openxmlformats-officedocument.spreadsheetml.table+xml"/>
  <Override PartName="/xl/worksheets/sheet40.xml" ContentType="application/vnd.openxmlformats-officedocument.spreadsheetml.worksheet+xml"/>
  <Override PartName="/xl/comments/comment39.xml" ContentType="application/vnd.openxmlformats-officedocument.spreadsheetml.comments+xml"/>
  <Override PartName="/xl/tables/table38.xml" ContentType="application/vnd.openxmlformats-officedocument.spreadsheetml.table+xml"/>
  <Override PartName="/xl/worksheets/sheet41.xml" ContentType="application/vnd.openxmlformats-officedocument.spreadsheetml.worksheet+xml"/>
  <Override PartName="/xl/comments/comment40.xml" ContentType="application/vnd.openxmlformats-officedocument.spreadsheetml.comments+xml"/>
  <Override PartName="/xl/tables/table39.xml" ContentType="application/vnd.openxmlformats-officedocument.spreadsheetml.table+xml"/>
  <Override PartName="/xl/worksheets/sheet42.xml" ContentType="application/vnd.openxmlformats-officedocument.spreadsheetml.worksheet+xml"/>
  <Override PartName="/xl/comments/comment41.xml" ContentType="application/vnd.openxmlformats-officedocument.spreadsheetml.comments+xml"/>
  <Override PartName="/xl/tables/table40.xml" ContentType="application/vnd.openxmlformats-officedocument.spreadsheetml.table+xml"/>
  <Override PartName="/xl/worksheets/sheet43.xml" ContentType="application/vnd.openxmlformats-officedocument.spreadsheetml.worksheet+xml"/>
  <Override PartName="/xl/comments/comment42.xml" ContentType="application/vnd.openxmlformats-officedocument.spreadsheetml.comments+xml"/>
  <Override PartName="/xl/tables/table41.xml" ContentType="application/vnd.openxmlformats-officedocument.spreadsheetml.table+xml"/>
  <Override PartName="/xl/worksheets/sheet44.xml" ContentType="application/vnd.openxmlformats-officedocument.spreadsheetml.worksheet+xml"/>
  <Override PartName="/xl/comments/comment43.xml" ContentType="application/vnd.openxmlformats-officedocument.spreadsheetml.comments+xml"/>
  <Override PartName="/xl/tables/table42.xml" ContentType="application/vnd.openxmlformats-officedocument.spreadsheetml.table+xml"/>
  <Override PartName="/xl/worksheets/sheet45.xml" ContentType="application/vnd.openxmlformats-officedocument.spreadsheetml.worksheet+xml"/>
  <Override PartName="/xl/comments/comment44.xml" ContentType="application/vnd.openxmlformats-officedocument.spreadsheetml.comments+xml"/>
  <Override PartName="/xl/tables/table43.xml" ContentType="application/vnd.openxmlformats-officedocument.spreadsheetml.table+xml"/>
  <Override PartName="/xl/worksheets/sheet46.xml" ContentType="application/vnd.openxmlformats-officedocument.spreadsheetml.worksheet+xml"/>
  <Override PartName="/xl/comments/comment45.xml" ContentType="application/vnd.openxmlformats-officedocument.spreadsheetml.comments+xml"/>
  <Override PartName="/xl/tables/table44.xml" ContentType="application/vnd.openxmlformats-officedocument.spreadsheetml.table+xml"/>
  <Override PartName="/xl/worksheets/sheet47.xml" ContentType="application/vnd.openxmlformats-officedocument.spreadsheetml.worksheet+xml"/>
  <Override PartName="/xl/comments/comment46.xml" ContentType="application/vnd.openxmlformats-officedocument.spreadsheetml.comments+xml"/>
  <Override PartName="/xl/worksheets/sheet48.xml" ContentType="application/vnd.openxmlformats-officedocument.spreadsheetml.worksheet+xml"/>
  <Override PartName="/xl/comments/comment47.xml" ContentType="application/vnd.openxmlformats-officedocument.spreadsheetml.comments+xml"/>
  <Override PartName="/xl/tables/table45.xml" ContentType="application/vnd.openxmlformats-officedocument.spreadsheetml.table+xml"/>
  <Override PartName="/xl/worksheets/sheet49.xml" ContentType="application/vnd.openxmlformats-officedocument.spreadsheetml.worksheet+xml"/>
  <Override PartName="/xl/comments/comment48.xml" ContentType="application/vnd.openxmlformats-officedocument.spreadsheetml.comments+xml"/>
  <Override PartName="/xl/tables/table46.xml" ContentType="application/vnd.openxmlformats-officedocument.spreadsheetml.table+xml"/>
  <Override PartName="/xl/worksheets/sheet50.xml" ContentType="application/vnd.openxmlformats-officedocument.spreadsheetml.worksheet+xml"/>
  <Override PartName="/xl/comments/comment49.xml" ContentType="application/vnd.openxmlformats-officedocument.spreadsheetml.comments+xml"/>
  <Override PartName="/xl/tables/table47.xml" ContentType="application/vnd.openxmlformats-officedocument.spreadsheetml.table+xml"/>
  <Override PartName="/xl/worksheets/sheet51.xml" ContentType="application/vnd.openxmlformats-officedocument.spreadsheetml.worksheet+xml"/>
  <Override PartName="/xl/comments/comment50.xml" ContentType="application/vnd.openxmlformats-officedocument.spreadsheetml.comments+xml"/>
  <Override PartName="/xl/tables/table48.xml" ContentType="application/vnd.openxmlformats-officedocument.spreadsheetml.table+xml"/>
  <Override PartName="/xl/worksheets/sheet52.xml" ContentType="application/vnd.openxmlformats-officedocument.spreadsheetml.worksheet+xml"/>
  <Override PartName="/xl/comments/comment51.xml" ContentType="application/vnd.openxmlformats-officedocument.spreadsheetml.comments+xml"/>
  <Override PartName="/xl/tables/table49.xml" ContentType="application/vnd.openxmlformats-officedocument.spreadsheetml.table+xml"/>
  <Override PartName="/xl/worksheets/sheet53.xml" ContentType="application/vnd.openxmlformats-officedocument.spreadsheetml.worksheet+xml"/>
  <Override PartName="/xl/comments/comment52.xml" ContentType="application/vnd.openxmlformats-officedocument.spreadsheetml.comments+xml"/>
  <Override PartName="/xl/tables/table50.xml" ContentType="application/vnd.openxmlformats-officedocument.spreadsheetml.table+xml"/>
  <Override PartName="/xl/worksheets/sheet54.xml" ContentType="application/vnd.openxmlformats-officedocument.spreadsheetml.worksheet+xml"/>
  <Override PartName="/xl/comments/comment53.xml" ContentType="application/vnd.openxmlformats-officedocument.spreadsheetml.comments+xml"/>
  <Override PartName="/xl/tables/table51.xml" ContentType="application/vnd.openxmlformats-officedocument.spreadsheetml.table+xml"/>
  <Override PartName="/xl/worksheets/sheet55.xml" ContentType="application/vnd.openxmlformats-officedocument.spreadsheetml.worksheet+xml"/>
  <Override PartName="/xl/comments/comment54.xml" ContentType="application/vnd.openxmlformats-officedocument.spreadsheetml.comments+xml"/>
  <Override PartName="/xl/tables/table52.xml" ContentType="application/vnd.openxmlformats-officedocument.spreadsheetml.table+xml"/>
  <Override PartName="/xl/worksheets/sheet56.xml" ContentType="application/vnd.openxmlformats-officedocument.spreadsheetml.worksheet+xml"/>
  <Override PartName="/xl/comments/comment55.xml" ContentType="application/vnd.openxmlformats-officedocument.spreadsheetml.comments+xml"/>
  <Override PartName="/xl/worksheets/sheet57.xml" ContentType="application/vnd.openxmlformats-officedocument.spreadsheetml.worksheet+xml"/>
  <Override PartName="/xl/comments/comment56.xml" ContentType="application/vnd.openxmlformats-officedocument.spreadsheetml.comments+xml"/>
  <Override PartName="/xl/worksheets/sheet58.xml" ContentType="application/vnd.openxmlformats-officedocument.spreadsheetml.worksheet+xml"/>
  <Override PartName="/xl/comments/comment57.xml" ContentType="application/vnd.openxmlformats-officedocument.spreadsheetml.comments+xml"/>
  <Override PartName="/xl/worksheets/sheet59.xml" ContentType="application/vnd.openxmlformats-officedocument.spreadsheetml.worksheet+xml"/>
  <Override PartName="/xl/comments/comment58.xml" ContentType="application/vnd.openxmlformats-officedocument.spreadsheetml.comments+xml"/>
  <Override PartName="/xl/worksheets/sheet60.xml" ContentType="application/vnd.openxmlformats-officedocument.spreadsheetml.worksheet+xml"/>
  <Override PartName="/xl/comments/comment59.xml" ContentType="application/vnd.openxmlformats-officedocument.spreadsheetml.comments+xml"/>
  <Override PartName="/xl/worksheets/sheet61.xml" ContentType="application/vnd.openxmlformats-officedocument.spreadsheetml.worksheet+xml"/>
  <Override PartName="/xl/comments/comment60.xml" ContentType="application/vnd.openxmlformats-officedocument.spreadsheetml.comments+xml"/>
  <Override PartName="/xl/worksheets/sheet62.xml" ContentType="application/vnd.openxmlformats-officedocument.spreadsheetml.worksheet+xml"/>
  <Override PartName="/xl/comments/comment61.xml" ContentType="application/vnd.openxmlformats-officedocument.spreadsheetml.comments+xml"/>
  <Override PartName="/xl/worksheets/sheet63.xml" ContentType="application/vnd.openxmlformats-officedocument.spreadsheetml.worksheet+xml"/>
  <Override PartName="/xl/comments/comment62.xml" ContentType="application/vnd.openxmlformats-officedocument.spreadsheetml.comments+xml"/>
  <Override PartName="/xl/worksheets/sheet64.xml" ContentType="application/vnd.openxmlformats-officedocument.spreadsheetml.worksheet+xml"/>
  <Override PartName="/xl/comments/comment63.xml" ContentType="application/vnd.openxmlformats-officedocument.spreadsheetml.comments+xml"/>
  <Override PartName="/xl/worksheets/sheet65.xml" ContentType="application/vnd.openxmlformats-officedocument.spreadsheetml.worksheet+xml"/>
  <Override PartName="/xl/comments/comment64.xml" ContentType="application/vnd.openxmlformats-officedocument.spreadsheetml.comments+xml"/>
  <Override PartName="/xl/worksheets/sheet66.xml" ContentType="application/vnd.openxmlformats-officedocument.spreadsheetml.worksheet+xml"/>
  <Override PartName="/xl/worksheets/sheet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0-02 Branches" sheetId="2" state="visible" r:id="rId2"/>
    <sheet xmlns:r="http://schemas.openxmlformats.org/officeDocument/2006/relationships" name="D0-04 Dimensions" sheetId="3" state="visible" r:id="rId3"/>
    <sheet xmlns:r="http://schemas.openxmlformats.org/officeDocument/2006/relationships" name="D0-07 Categories and numbering" sheetId="4" state="visible" r:id="rId4"/>
    <sheet xmlns:r="http://schemas.openxmlformats.org/officeDocument/2006/relationships" name="MD-02 Currencies" sheetId="5" state="visible" r:id="rId5"/>
    <sheet xmlns:r="http://schemas.openxmlformats.org/officeDocument/2006/relationships" name="PM-09 Lists and parameters" sheetId="6" state="visible" r:id="rId6"/>
    <sheet xmlns:r="http://schemas.openxmlformats.org/officeDocument/2006/relationships" name="R01 Lists of values and MIS val" sheetId="7" state="visible" r:id="rId7"/>
    <sheet xmlns:r="http://schemas.openxmlformats.org/officeDocument/2006/relationships" name="R04 Insurers" sheetId="8" state="visible" r:id="rId8"/>
    <sheet xmlns:r="http://schemas.openxmlformats.org/officeDocument/2006/relationships" name="UA-02 Role matrix" sheetId="9" state="visible" r:id="rId9"/>
    <sheet xmlns:r="http://schemas.openxmlformats.org/officeDocument/2006/relationships" name="UA-06 Lists of values" sheetId="10" state="visible" r:id="rId10"/>
    <sheet xmlns:r="http://schemas.openxmlformats.org/officeDocument/2006/relationships" name="D0-05 Employees" sheetId="11" state="visible" r:id="rId11"/>
    <sheet xmlns:r="http://schemas.openxmlformats.org/officeDocument/2006/relationships" name="D0-06 Chart of accounts" sheetId="12" state="visible" r:id="rId12"/>
    <sheet xmlns:r="http://schemas.openxmlformats.org/officeDocument/2006/relationships" name="MD-01 Business partners" sheetId="13" state="visible" r:id="rId13"/>
    <sheet xmlns:r="http://schemas.openxmlformats.org/officeDocument/2006/relationships" name="R03 Sales organisation (units a" sheetId="14" state="visible" r:id="rId14"/>
    <sheet xmlns:r="http://schemas.openxmlformats.org/officeDocument/2006/relationships" name="R05 Product lines, cover types," sheetId="15" state="visible" r:id="rId15"/>
    <sheet xmlns:r="http://schemas.openxmlformats.org/officeDocument/2006/relationships" name="UA-01 Users and roles" sheetId="16" state="visible" r:id="rId16"/>
    <sheet xmlns:r="http://schemas.openxmlformats.org/officeDocument/2006/relationships" name="D0-03 Holiday calendar" sheetId="17" state="visible" r:id="rId17"/>
    <sheet xmlns:r="http://schemas.openxmlformats.org/officeDocument/2006/relationships" name="MD-03 Exchange rates" sheetId="18" state="visible" r:id="rId18"/>
    <sheet xmlns:r="http://schemas.openxmlformats.org/officeDocument/2006/relationships" name="R02 Branches and invoicing bran" sheetId="19" state="visible" r:id="rId19"/>
    <sheet xmlns:r="http://schemas.openxmlformats.org/officeDocument/2006/relationships" name="R04B Insurer branches" sheetId="20" state="visible" r:id="rId20"/>
    <sheet xmlns:r="http://schemas.openxmlformats.org/officeDocument/2006/relationships" name="R11 Receipt series in use" sheetId="21" state="visible" r:id="rId21"/>
    <sheet xmlns:r="http://schemas.openxmlformats.org/officeDocument/2006/relationships" name="UA-04 SoD rules" sheetId="22" state="visible" r:id="rId22"/>
    <sheet xmlns:r="http://schemas.openxmlformats.org/officeDocument/2006/relationships" name="UP-01 Clients (upload)" sheetId="23" state="visible" r:id="rId23"/>
    <sheet xmlns:r="http://schemas.openxmlformats.org/officeDocument/2006/relationships" name="C01 Client master" sheetId="24" state="visible" r:id="rId24"/>
    <sheet xmlns:r="http://schemas.openxmlformats.org/officeDocument/2006/relationships" name="D0-10 Tax codes" sheetId="25" state="visible" r:id="rId25"/>
    <sheet xmlns:r="http://schemas.openxmlformats.org/officeDocument/2006/relationships" name="D0-10 Tax checklist" sheetId="26" state="visible" r:id="rId26"/>
    <sheet xmlns:r="http://schemas.openxmlformats.org/officeDocument/2006/relationships" name="D0-11 Bank accounts" sheetId="27" state="visible" r:id="rId27"/>
    <sheet xmlns:r="http://schemas.openxmlformats.org/officeDocument/2006/relationships" name="PM-01 Product catalogue" sheetId="28" state="visible" r:id="rId28"/>
    <sheet xmlns:r="http://schemas.openxmlformats.org/officeDocument/2006/relationships" name="R08 Chart of accounts mapping" sheetId="29" state="visible" r:id="rId29"/>
    <sheet xmlns:r="http://schemas.openxmlformats.org/officeDocument/2006/relationships" name="UP-02 Payees (upload)" sheetId="30" state="visible" r:id="rId30"/>
    <sheet xmlns:r="http://schemas.openxmlformats.org/officeDocument/2006/relationships" name="D0-01 Company" sheetId="31" state="visible" r:id="rId31"/>
    <sheet xmlns:r="http://schemas.openxmlformats.org/officeDocument/2006/relationships" name="D0-08 Accounting rules" sheetId="32" state="visible" r:id="rId32"/>
    <sheet xmlns:r="http://schemas.openxmlformats.org/officeDocument/2006/relationships" name="D0-09 Legacy accounts" sheetId="33" state="visible" r:id="rId33"/>
    <sheet xmlns:r="http://schemas.openxmlformats.org/officeDocument/2006/relationships" name="D0-15 Approval limits" sheetId="34" state="visible" r:id="rId34"/>
    <sheet xmlns:r="http://schemas.openxmlformats.org/officeDocument/2006/relationships" name="R07 Commission rates by insurer" sheetId="35" state="visible" r:id="rId35"/>
    <sheet xmlns:r="http://schemas.openxmlformats.org/officeDocument/2006/relationships" name="TX-02 Tax forms" sheetId="36" state="visible" r:id="rId36"/>
    <sheet xmlns:r="http://schemas.openxmlformats.org/officeDocument/2006/relationships" name="UA-03 Approval rules" sheetId="37" state="visible" r:id="rId37"/>
    <sheet xmlns:r="http://schemas.openxmlformats.org/officeDocument/2006/relationships" name="PM-02 Coverages and rules" sheetId="38" state="visible" r:id="rId38"/>
    <sheet xmlns:r="http://schemas.openxmlformats.org/officeDocument/2006/relationships" name="PM-03 Clause library" sheetId="39" state="visible" r:id="rId39"/>
    <sheet xmlns:r="http://schemas.openxmlformats.org/officeDocument/2006/relationships" name="C02 Client addresses and contac" sheetId="40" state="visible" r:id="rId40"/>
    <sheet xmlns:r="http://schemas.openxmlformats.org/officeDocument/2006/relationships" name="C03 Client payout accounts" sheetId="41" state="visible" r:id="rId41"/>
    <sheet xmlns:r="http://schemas.openxmlformats.org/officeDocument/2006/relationships" name="D0-12 Check books" sheetId="42" state="visible" r:id="rId42"/>
    <sheet xmlns:r="http://schemas.openxmlformats.org/officeDocument/2006/relationships" name="D0-13 Petty cash funds" sheetId="43" state="visible" r:id="rId43"/>
    <sheet xmlns:r="http://schemas.openxmlformats.org/officeDocument/2006/relationships" name="D0-14 Statement layouts" sheetId="44" state="visible" r:id="rId44"/>
    <sheet xmlns:r="http://schemas.openxmlformats.org/officeDocument/2006/relationships" name="G01 GL opening trial balance" sheetId="45" state="visible" r:id="rId45"/>
    <sheet xmlns:r="http://schemas.openxmlformats.org/officeDocument/2006/relationships" name="PM-04 Rate tables" sheetId="46" state="visible" r:id="rId46"/>
    <sheet xmlns:r="http://schemas.openxmlformats.org/officeDocument/2006/relationships" name="PM-04 Charges checklist" sheetId="47" state="visible" r:id="rId47"/>
    <sheet xmlns:r="http://schemas.openxmlformats.org/officeDocument/2006/relationships" name="PM-04C Other charges" sheetId="48" state="visible" r:id="rId48"/>
    <sheet xmlns:r="http://schemas.openxmlformats.org/officeDocument/2006/relationships" name="PM-10 Incentive criteria" sheetId="49" state="visible" r:id="rId49"/>
    <sheet xmlns:r="http://schemas.openxmlformats.org/officeDocument/2006/relationships" name="TX-01 Party tax profiles" sheetId="50" state="visible" r:id="rId50"/>
    <sheet xmlns:r="http://schemas.openxmlformats.org/officeDocument/2006/relationships" name="PM-06 Packages" sheetId="51" state="visible" r:id="rId51"/>
    <sheet xmlns:r="http://schemas.openxmlformats.org/officeDocument/2006/relationships" name="R06 Package code map (legacy pa" sheetId="52" state="visible" r:id="rId52"/>
    <sheet xmlns:r="http://schemas.openxmlformats.org/officeDocument/2006/relationships" name="PM-08 Document templates" sheetId="53" state="visible" r:id="rId53"/>
    <sheet xmlns:r="http://schemas.openxmlformats.org/officeDocument/2006/relationships" name="UA-05 Parameters" sheetId="54" state="visible" r:id="rId54"/>
    <sheet xmlns:r="http://schemas.openxmlformats.org/officeDocument/2006/relationships" name="UP-03 Watchlist entries (upload" sheetId="55" state="visible" r:id="rId55"/>
    <sheet xmlns:r="http://schemas.openxmlformats.org/officeDocument/2006/relationships" name="Lists of values" sheetId="56" state="visible" r:id="rId56"/>
    <sheet xmlns:r="http://schemas.openxmlformats.org/officeDocument/2006/relationships" name="System parameters" sheetId="57" state="visible" r:id="rId57"/>
    <sheet xmlns:r="http://schemas.openxmlformats.org/officeDocument/2006/relationships" name="SLA and turnaround" sheetId="58" state="visible" r:id="rId58"/>
    <sheet xmlns:r="http://schemas.openxmlformats.org/officeDocument/2006/relationships" name="Numbering prefixes" sheetId="59" state="visible" r:id="rId59"/>
    <sheet xmlns:r="http://schemas.openxmlformats.org/officeDocument/2006/relationships" name="Notification events" sheetId="60" state="visible" r:id="rId60"/>
    <sheet xmlns:r="http://schemas.openxmlformats.org/officeDocument/2006/relationships" name="Document templates" sheetId="61" state="visible" r:id="rId61"/>
    <sheet xmlns:r="http://schemas.openxmlformats.org/officeDocument/2006/relationships" name="Accounting events" sheetId="62" state="visible" r:id="rId62"/>
    <sheet xmlns:r="http://schemas.openxmlformats.org/officeDocument/2006/relationships" name="Configured on screens" sheetId="63" state="visible" r:id="rId63"/>
    <sheet xmlns:r="http://schemas.openxmlformats.org/officeDocument/2006/relationships" name="Gaps" sheetId="64" state="visible" r:id="rId64"/>
    <sheet xmlns:r="http://schemas.openxmlformats.org/officeDocument/2006/relationships" name="Coverage check" sheetId="65" state="visible" r:id="rId65"/>
    <sheet xmlns:r="http://schemas.openxmlformats.org/officeDocument/2006/relationships" name="Reference lists" sheetId="66" state="visible" r:id="rId66"/>
    <sheet xmlns:r="http://schemas.openxmlformats.org/officeDocument/2006/relationships" name="Questions and comments" sheetId="67" state="visible" r:id="rId67"/>
  </sheets>
  <definedNames>
    <definedName name="CODES_D0_02_BRANCH_CODE">'D0-02 Branches'!$B$18:$B$518</definedName>
    <definedName name="CODES_D0_04_CODE">'D0-04 Dimensions'!$C$17:$C$517</definedName>
    <definedName name="CODES_D0_06_ACCOUNT_CODE">'D0-06 Chart of accounts'!$C$17:$C$517</definedName>
    <definedName name="CODES_D0_07_CATEGORY_CODE">'D0-07 Categories and numbering'!$C$17:$C$517</definedName>
    <definedName name="CODES_MD_02_CURRENCY_CODE">'MD-02 Currencies'!$B$17:$B$317</definedName>
    <definedName name="CODES_PM_01_COVER_TYPE_CODE">'PM-01 Product catalogue'!$E$17:$E$517</definedName>
    <definedName name="CODES_UA_01_USER_ID">'UA-01 Users and roles'!$C$17:$C$517</definedName>
    <definedName name="CODES_PM_01_LINE_CODE">'PM-01 Product catalogue'!$B$17:$B$517</definedName>
    <definedName name="CODES_D0_11_BANK_ACCOUNT_CODE">'D0-11 Bank accounts'!$B$18:$B$518</definedName>
    <definedName name="CODES_D0_05_EMPLOYEE_NUMBER">'D0-05 Employees'!$B$17:$B$517</definedName>
    <definedName name="CODES_PM_01_RISK_CODE">'PM-01 Product catalogue'!$H$17:$H$517</definedName>
    <definedName name="LIST_YES_NO">'Reference lists'!$C$5:$C$6</definedName>
    <definedName name="LIST_MARKET_SEGMENT">'Reference lists'!$C$7:$C$11</definedName>
    <definedName name="LIST_PLACEMENT_GATE">'Reference lists'!$C$12:$C$13</definedName>
    <definedName name="LIST_TSU_REVIEW">'Reference lists'!$C$14:$C$16</definedName>
    <definedName name="LIST_CI02_RECORD">'Reference lists'!$C$17:$C$19</definedName>
    <definedName name="LIST_DOCUMENT_TYPE">'Reference lists'!$C$20:$C$80</definedName>
    <definedName name="LIST_CLAUSE_KIND">'Reference lists'!$C$81:$C$84</definedName>
    <definedName name="LIST_RATE_TABLE">'Reference lists'!$C$85:$C$87</definedName>
    <definedName name="LIST_MAP_ACTION">'Reference lists'!$C$88:$C$89</definedName>
    <definedName name="LIST_PKG_DOCUMENT">'Reference lists'!$C$90:$C$95</definedName>
    <definedName name="LIST_PM_LIST_OR_PARAMETER">'Reference lists'!$C$96:$C$119</definedName>
    <definedName name="LIST_INCENTIVE_TYPE">'Reference lists'!$C$120:$C$121</definedName>
    <definedName name="LIST_UA_ACTION">'Reference lists'!$C$122:$C$125</definedName>
    <definedName name="LIST_PRIVILEGE_LEVEL">'Reference lists'!$C$126:$C$129</definedName>
    <definedName name="LIST_KEEP_ADD_REMOVE">'Reference lists'!$C$130:$C$132</definedName>
    <definedName name="LIST_UA_ROLE">'Reference lists'!$C$133:$C$137</definedName>
    <definedName name="LIST_SOD_STATUS">'Reference lists'!$C$138:$C$140</definedName>
    <definedName name="LIST_SOD_CONTROL">'Reference lists'!$C$141:$C$143</definedName>
    <definedName name="LIST_REVIEW_FREQUENCY">'Reference lists'!$C$144:$C$145</definedName>
    <definedName name="LIST_UA_PARAMETER">'Reference lists'!$C$146:$C$162</definedName>
    <definedName name="LIST_UA_LIST">'Reference lists'!$C$163:$C$165</definedName>
    <definedName name="LIST_DIMENSION">'Reference lists'!$C$166:$C$167</definedName>
    <definedName name="LIST_ACCOUNT_CLASS">'Reference lists'!$C$168:$C$172</definedName>
    <definedName name="LIST_ACCOUNT_CLASS_CHART">'Reference lists'!$C$173:$C$178</definedName>
    <definedName name="LIST_ACCOUNT_LEVEL">'Reference lists'!$C$179:$C$182</definedName>
    <definedName name="LIST_NEGATIVE_BALANCE">'Reference lists'!$C$183:$C$185</definedName>
    <definedName name="LIST_CATEGORY_ROW">'Reference lists'!$C$186:$C$187</definedName>
    <definedName name="LIST_ACCOUNTING_EVENT">'Reference lists'!$C$188:$C$252</definedName>
    <definedName name="LIST_DEBIT_CREDIT">'Reference lists'!$C$253:$C$254</definedName>
    <definedName name="LIST_LEGACY_ACCOUNT">'Reference lists'!$C$255:$C$262</definedName>
    <definedName name="LIST_TAX_TYPE">'Reference lists'!$C$263:$C$266</definedName>
    <definedName name="LIST_PAYEE_CLASS">'Reference lists'!$C$267:$C$272</definedName>
    <definedName name="LIST_APPROVAL_MODULE">'Reference lists'!$C$273:$C$276</definedName>
    <definedName name="LIST_D0_04_DIMENSION">'Reference lists'!$C$277:$C$279</definedName>
    <definedName name="LIST_R03_RECORD_TYPE">'Reference lists'!$C$280:$C$283</definedName>
    <definedName name="LIST_UA_06_LIST">'Reference lists'!$C$284:$C$286</definedName>
    <definedName name="LIST_UA_02_PRIVILEGE_LEVEL">'Reference lists'!$C$287:$C$290</definedName>
    <definedName name="LIST_UA_02_KEEP_ADD_REMOVE">'Reference lists'!$C$291:$C$293</definedName>
    <definedName name="LIST_UA_03_ROLE_IN_USER_ACCESS">'Reference lists'!$C$294:$C$298</definedName>
    <definedName name="LIST_UA_04_STATUS">'Reference lists'!$C$299:$C$301</definedName>
    <definedName name="LIST_UA_04_CONTROL">'Reference lists'!$C$302:$C$304</definedName>
    <definedName name="LIST_UA_04_REVIEW_FREQUENCY">'Reference lists'!$C$305:$C$306</definedName>
    <definedName name="LIST_UA_05_PARAMETER">'Reference lists'!$C$307:$C$323</definedName>
    <definedName name="LIST_D0_15_MODULE">'Reference lists'!$C$324:$C$327</definedName>
    <definedName name="LIST_D0_07_ROW">'Reference lists'!$C$328:$C$329</definedName>
    <definedName name="LIST_D0_07_ACCOUNT_CLASS">'Reference lists'!$C$330:$C$335</definedName>
    <definedName name="LIST_D0_07_SEPARATOR">'Reference lists'!$C$336:$C$337</definedName>
    <definedName name="LIST_R08_ACCOUNT_TYPE">'Reference lists'!$C$338:$C$342</definedName>
    <definedName name="LIST_R08_NORMAL_BALANCE">'Reference lists'!$C$343:$C$344</definedName>
    <definedName name="LIST_R08_LEGACY_CONTROL_TYPE">'Reference lists'!$C$345:$C$352</definedName>
    <definedName name="LIST_D0_09_LEGACY_ACCOUNT">'Reference lists'!$C$353:$C$360</definedName>
    <definedName name="LIST_D0_08_DEBIT_OR_CREDIT">'Reference lists'!$C$361:$C$362</definedName>
    <definedName name="LIST_D0_10_TAX_TYPE">'Reference lists'!$C$363:$C$374</definedName>
    <definedName name="LIST_D0_10_PAYEE_CLASS">'Reference lists'!$C$375:$C$376</definedName>
    <definedName name="LIST_TAX_AUTHORITY">'Reference lists'!$C$377:$C$379</definedName>
    <definedName name="LIST_FILING_FREQUENCY">'Reference lists'!$C$380:$C$383</definedName>
    <definedName name="LIST_TAX_WORKSHEET">'Reference lists'!$C$384:$C$386</definedName>
    <definedName name="LIST_TAX_PAYEE_CLASS">'Reference lists'!$C$387:$C$388</definedName>
    <definedName name="LIST_VAT_TREATMENT">'Reference lists'!$C$389:$C$391</definedName>
    <definedName name="LIST_FX_RATE_TYPE">'Reference lists'!$C$392:$C$395</definedName>
    <definedName name="LIST_G01_TB_VERSION">'Reference lists'!$C$396:$C$400</definedName>
    <definedName name="LIST_D0_11_PAYMENT_NOTIFICATION_FORMAT">'Reference lists'!$C$401:$C$403</definedName>
    <definedName name="LIST_R11_KIND">'Reference lists'!$C$404:$C$405</definedName>
    <definedName name="LIST_PM_09_LIST_OR_PARAMETER">'Reference lists'!$C$406:$C$428</definedName>
    <definedName name="LIST_PM_02_RECORD">'Reference lists'!$C$429:$C$431</definedName>
    <definedName name="LIST_LOV_DOCUMENT_TYPE">'Reference lists'!$C$432:$C$492</definedName>
    <definedName name="LIST_LOV_CLAUSE_KIND">'Reference lists'!$C$493:$C$496</definedName>
    <definedName name="LIST_PM_04_TABLE">'Reference lists'!$C$497:$C$499</definedName>
    <definedName name="LIST_PM_04_RATE">'Reference lists'!$C$500:$C$506</definedName>
    <definedName name="LIST_PM_04C_BASIS">'Reference lists'!$C$507:$C$508</definedName>
    <definedName name="LIST_PM_04C_VAT_TREATMENT">'Reference lists'!$C$509:$C$511</definedName>
    <definedName name="LIST_R06_QUALIFIER">'Reference lists'!$C$512:$C$514</definedName>
    <definedName name="LIST_R06_ACTION">'Reference lists'!$C$515:$C$516</definedName>
    <definedName name="LIST_LOV_INCENTIVE_TYPE">'Reference lists'!$C$517:$C$518</definedName>
    <definedName name="LIST_PM_08_TEMPLATE">'Reference lists'!$C$519:$C$524</definedName>
    <definedName name="LIST_PARTY_TYPE">'Reference lists'!$C$525:$C$536</definedName>
    <definedName name="LIST_CURRENCY">'Reference lists'!$C$537:$C$545</definedName>
    <definedName name="LIST_MD_01_PARTY_TYPE">'Reference lists'!$C$546:$C$557</definedName>
    <definedName name="LIST_LOV_PAYEE_CLASS">'Reference lists'!$C$558:$C$563</definedName>
    <definedName name="LIST_UP_02_DEFAULT_MODE">'Reference lists'!$C$564:$C$570</definedName>
    <definedName name="LIST_C01_CLIENT_TYPE">'Reference lists'!$C$571:$C$572</definedName>
    <definedName name="LIST_C02_RECORD_TYPE">'Reference lists'!$C$573:$C$574</definedName>
    <definedName name="LIST_C02_ADDRESS_TYPE">'Reference lists'!$C$575:$C$578</definedName>
    <definedName name="LIST_C03_MODE">'Reference lists'!$C$579:$C$580</definedName>
    <definedName name="LIST_UP_01_CLIENT_TYPE">'Reference lists'!$C$581:$C$582</definedName>
    <definedName name="LIST_LOV_ID_TYPE">'Reference lists'!$C$583:$C$592</definedName>
    <definedName name="LIST_LOV_MARKET_SEGMENT">'Reference lists'!$C$593:$C$597</definedName>
    <definedName name="LIST_LOV_NATIONALITY">'Reference lists'!$C$598:$C$603</definedName>
    <definedName name="LIST_LOV_SOURCE_OF_FUNDS">'Reference lists'!$C$604:$C$609</definedName>
    <definedName name="LIST_LOV_KYC_RISK_RATING">'Reference lists'!$C$610:$C$612</definedName>
    <definedName name="LIST_UP_03_ENTITY_TYPE">'Reference lists'!$C$613:$C$614</definedName>
    <definedName name="LIST_UP_03_LIST_TYPE">'Reference lists'!$C$615:$C$617</definedName>
    <definedName name="LIST_ROUTE">'Reference lists'!$C$618:$C$619</definedName>
    <definedName name="LIST_STATUS">'Reference lists'!$C$620:$C$624</definedName>
    <definedName name="LIST_KIND_OF_GAP">'Reference lists'!$C$625:$C$626</definedName>
    <definedName name="LIST_HELD_BY_BIBS">'Reference lists'!$C$627:$C$628</definedName>
    <definedName name="LIST_RULE_CONFIRMED">'Reference lists'!$C$629:$C$630</definedName>
    <definedName name="LIST_HELD_BY_BIBS_2">'Reference lists'!$C$631:$C$633</definedName>
    <definedName name="LIST_TEMPLATES">'Reference lists'!$C$634:$C$686</definedName>
    <definedName name="LIST_QUESTION_STATUS">'Reference lists'!$C$687:$C$689</definedName>
    <definedName name="_xlnm._FilterDatabase" localSheetId="0" hidden="1">'Start here'!$A$22:$O$74</definedName>
    <definedName name="_xlnm.Print_Titles" localSheetId="0">'Start here'!$22:$22</definedName>
    <definedName name="_xlnm.Print_Titles" localSheetId="1">'D0-02 Branches'!$13:$17</definedName>
    <definedName name="_xlnm.Print_Area" localSheetId="1">'D0-02 Branches'!$A$1:$O$58</definedName>
    <definedName name="_xlnm.Print_Titles" localSheetId="2">'D0-04 Dimensions'!$12:$16</definedName>
    <definedName name="_xlnm.Print_Area" localSheetId="2">'D0-04 Dimensions'!$A$1:$G$57</definedName>
    <definedName name="_xlnm.Print_Titles" localSheetId="3">'D0-07 Categories and numbering'!$12:$16</definedName>
    <definedName name="_xlnm.Print_Area" localSheetId="3">'D0-07 Categories and numbering'!$A$1:$I$57</definedName>
    <definedName name="_xlnm.Print_Titles" localSheetId="4">'MD-02 Currencies'!$12:$16</definedName>
    <definedName name="_xlnm.Print_Area" localSheetId="4">'MD-02 Currencies'!$A$1:$G$57</definedName>
    <definedName name="_xlnm.Print_Titles" localSheetId="5">'PM-09 Lists and parameters'!$12:$16</definedName>
    <definedName name="_xlnm.Print_Area" localSheetId="5">'PM-09 Lists and parameters'!$A$1:$G$57</definedName>
    <definedName name="_xlnm.Print_Titles" localSheetId="6">'R01 Lists of values and MIS val'!$12:$17</definedName>
    <definedName name="_xlnm.Print_Area" localSheetId="6">'R01 Lists of values and MIS val'!$A$1:$I$58</definedName>
    <definedName name="_xlnm.Print_Titles" localSheetId="7">'R04 Insurers'!$14:$19</definedName>
    <definedName name="_xlnm.Print_Area" localSheetId="7">'R04 Insurers'!$A$1:$K$60</definedName>
    <definedName name="_xlnm.Print_Titles" localSheetId="8">'UA-02 Role matrix'!$12:$16</definedName>
    <definedName name="_xlnm.Print_Area" localSheetId="8">'UA-02 Role matrix'!$A$1:$I$57</definedName>
    <definedName name="_xlnm.Print_Titles" localSheetId="9">'UA-06 Lists of values'!$12:$16</definedName>
    <definedName name="_xlnm.Print_Area" localSheetId="9">'UA-06 Lists of values'!$A$1:$G$57</definedName>
    <definedName name="_xlnm.Print_Titles" localSheetId="10">'D0-05 Employees'!$12:$16</definedName>
    <definedName name="_xlnm.Print_Area" localSheetId="10">'D0-05 Employees'!$A$1:$H$57</definedName>
    <definedName name="_xlnm.Print_Titles" localSheetId="11">'D0-06 Chart of accounts'!$12:$16</definedName>
    <definedName name="_xlnm.Print_Area" localSheetId="11">'D0-06 Chart of accounts'!$A$1:$Q$57</definedName>
    <definedName name="_xlnm.Print_Titles" localSheetId="12">'MD-01 Business partners'!$12:$16</definedName>
    <definedName name="_xlnm.Print_Area" localSheetId="12">'MD-01 Business partners'!$A$1:$O$57</definedName>
    <definedName name="_xlnm.Print_Titles" localSheetId="13">'R03 Sales organisation (units a'!$12:$17</definedName>
    <definedName name="_xlnm.Print_Area" localSheetId="13">'R03 Sales organisation (units a'!$A$1:$L$58</definedName>
    <definedName name="_xlnm.Print_Titles" localSheetId="14">'R05 Product lines, cover types,'!$12:$17</definedName>
    <definedName name="_xlnm.Print_Area" localSheetId="14">'R05 Product lines, cover types,'!$A$1:$J$58</definedName>
    <definedName name="_xlnm.Print_Titles" localSheetId="15">'UA-01 Users and roles'!$12:$16</definedName>
    <definedName name="_xlnm.Print_Area" localSheetId="15">'UA-01 Users and roles'!$A$1:$L$57</definedName>
    <definedName name="_xlnm.Print_Titles" localSheetId="16">'D0-03 Holiday calendar'!$12:$16</definedName>
    <definedName name="_xlnm.Print_Area" localSheetId="16">'D0-03 Holiday calendar'!$A$1:$G$57</definedName>
    <definedName name="_xlnm.Print_Titles" localSheetId="17">'MD-03 Exchange rates'!$12:$16</definedName>
    <definedName name="_xlnm.Print_Area" localSheetId="17">'MD-03 Exchange rates'!$A$1:$G$57</definedName>
    <definedName name="_xlnm.Print_Titles" localSheetId="18">'R02 Branches and invoicing bran'!$12:$17</definedName>
    <definedName name="_xlnm.Print_Area" localSheetId="18">'R02 Branches and invoicing bran'!$A$1:$G$58</definedName>
    <definedName name="_xlnm.Print_Titles" localSheetId="19">'R04B Insurer branches'!$12:$17</definedName>
    <definedName name="_xlnm.Print_Area" localSheetId="19">'R04B Insurer branches'!$A$1:$H$58</definedName>
    <definedName name="_xlnm.Print_Titles" localSheetId="20">'R11 Receipt series in use'!$12:$17</definedName>
    <definedName name="_xlnm.Print_Area" localSheetId="20">'R11 Receipt series in use'!$A$1:$I$58</definedName>
    <definedName name="_xlnm.Print_Titles" localSheetId="21">'UA-04 SoD rules'!$13:$17</definedName>
    <definedName name="_xlnm.Print_Area" localSheetId="21">'UA-04 SoD rules'!$A$1:$H$58</definedName>
    <definedName name="_xlnm.Print_Titles" localSheetId="22">'UP-01 Clients (upload)'!$12:$16</definedName>
    <definedName name="_xlnm.Print_Area" localSheetId="22">'UP-01 Clients (upload)'!$A$1:$W$57</definedName>
    <definedName name="_xlnm.Print_Titles" localSheetId="23">'C01 Client master'!$13:$18</definedName>
    <definedName name="_xlnm.Print_Area" localSheetId="23">'C01 Client master'!$A$1:$AK$59</definedName>
    <definedName name="_xlnm.Print_Titles" localSheetId="24">'D0-10 Tax codes'!$14:$18</definedName>
    <definedName name="_xlnm.Print_Area" localSheetId="24">'D0-10 Tax codes'!$A$1:$K$59</definedName>
    <definedName name="_xlnm._FilterDatabase" localSheetId="25" hidden="1">'D0-10 Tax checklist'!$A$4:$I$16</definedName>
    <definedName name="_xlnm.Print_Titles" localSheetId="25">'D0-10 Tax checklist'!$4:$4</definedName>
    <definedName name="_xlnm.Print_Titles" localSheetId="26">'D0-11 Bank accounts'!$13:$17</definedName>
    <definedName name="_xlnm.Print_Area" localSheetId="26">'D0-11 Bank accounts'!$A$1:$J$58</definedName>
    <definedName name="_xlnm.Print_Titles" localSheetId="27">'PM-01 Product catalogue'!$12:$16</definedName>
    <definedName name="_xlnm.Print_Area" localSheetId="27">'PM-01 Product catalogue'!$A$1:$W$57</definedName>
    <definedName name="_xlnm.Print_Titles" localSheetId="28">'R08 Chart of accounts mapping'!$12:$17</definedName>
    <definedName name="_xlnm.Print_Area" localSheetId="28">'R08 Chart of accounts mapping'!$A$1:$I$58</definedName>
    <definedName name="_xlnm.Print_Titles" localSheetId="29">'UP-02 Payees (upload)'!$12:$16</definedName>
    <definedName name="_xlnm.Print_Area" localSheetId="29">'UP-02 Payees (upload)'!$A$1:$L$57</definedName>
    <definedName name="_xlnm.Print_Titles" localSheetId="30">'D0-01 Company'!$13:$17</definedName>
    <definedName name="_xlnm.Print_Area" localSheetId="30">'D0-01 Company'!$A$1:$P$58</definedName>
    <definedName name="_xlnm.Print_Titles" localSheetId="31">'D0-08 Accounting rules'!$12:$16</definedName>
    <definedName name="_xlnm.Print_Area" localSheetId="31">'D0-08 Accounting rules'!$A$1:$K$57</definedName>
    <definedName name="_xlnm.Print_Titles" localSheetId="32">'D0-09 Legacy accounts'!$12:$16</definedName>
    <definedName name="_xlnm.Print_Area" localSheetId="32">'D0-09 Legacy accounts'!$A$1:$G$57</definedName>
    <definedName name="_xlnm.Print_Titles" localSheetId="33">'D0-15 Approval limits'!$14:$18</definedName>
    <definedName name="_xlnm.Print_Area" localSheetId="33">'D0-15 Approval limits'!$A$1:$J$59</definedName>
    <definedName name="_xlnm.Print_Titles" localSheetId="34">'R07 Commission rates by insurer'!$12:$17</definedName>
    <definedName name="_xlnm.Print_Area" localSheetId="34">'R07 Commission rates by insurer'!$A$1:$G$58</definedName>
    <definedName name="_xlnm.Print_Titles" localSheetId="35">'TX-02 Tax forms'!$12:$16</definedName>
    <definedName name="_xlnm.Print_Area" localSheetId="35">'TX-02 Tax forms'!$A$1:$K$57</definedName>
    <definedName name="_xlnm.Print_Titles" localSheetId="36">'UA-03 Approval rules'!$12:$16</definedName>
    <definedName name="_xlnm.Print_Area" localSheetId="36">'UA-03 Approval rules'!$A$1:$G$57</definedName>
    <definedName name="_xlnm.Print_Titles" localSheetId="37">'PM-02 Coverages and rules'!$12:$16</definedName>
    <definedName name="_xlnm.Print_Area" localSheetId="37">'PM-02 Coverages and rules'!$A$1:$J$57</definedName>
    <definedName name="_xlnm.Print_Titles" localSheetId="38">'PM-03 Clause library'!$12:$16</definedName>
    <definedName name="_xlnm.Print_Area" localSheetId="38">'PM-03 Clause library'!$A$1:$G$57</definedName>
    <definedName name="_xlnm.Print_Titles" localSheetId="39">'C02 Client addresses and contac'!$12:$17</definedName>
    <definedName name="_xlnm.Print_Area" localSheetId="39">'C02 Client addresses and contac'!$A$1:$N$58</definedName>
    <definedName name="_xlnm.Print_Titles" localSheetId="40">'C03 Client payout accounts'!$12:$17</definedName>
    <definedName name="_xlnm.Print_Area" localSheetId="40">'C03 Client payout accounts'!$A$1:$G$58</definedName>
    <definedName name="_xlnm.Print_Titles" localSheetId="41">'D0-12 Check books'!$12:$16</definedName>
    <definedName name="_xlnm.Print_Area" localSheetId="41">'D0-12 Check books'!$A$1:$G$57</definedName>
    <definedName name="_xlnm.Print_Titles" localSheetId="42">'D0-13 Petty cash funds'!$12:$16</definedName>
    <definedName name="_xlnm.Print_Area" localSheetId="42">'D0-13 Petty cash funds'!$A$1:$I$57</definedName>
    <definedName name="_xlnm.Print_Titles" localSheetId="43">'D0-14 Statement layouts'!$12:$16</definedName>
    <definedName name="_xlnm.Print_Area" localSheetId="43">'D0-14 Statement layouts'!$A$1:$K$57</definedName>
    <definedName name="_xlnm.Print_Titles" localSheetId="44">'G01 GL opening trial balance'!$12:$17</definedName>
    <definedName name="_xlnm.Print_Area" localSheetId="44">'G01 GL opening trial balance'!$A$1:$L$58</definedName>
    <definedName name="_xlnm.Print_Titles" localSheetId="45">'PM-04 Rate tables'!$15:$19</definedName>
    <definedName name="_xlnm.Print_Area" localSheetId="45">'PM-04 Rate tables'!$A$1:$H$60</definedName>
    <definedName name="_xlnm._FilterDatabase" localSheetId="46" hidden="1">'PM-04 Charges checklist'!$A$4:$I$17</definedName>
    <definedName name="_xlnm.Print_Titles" localSheetId="46">'PM-04 Charges checklist'!$4:$4</definedName>
    <definedName name="_xlnm.Print_Titles" localSheetId="47">'PM-04C Other charges'!$13:$17</definedName>
    <definedName name="_xlnm.Print_Area" localSheetId="47">'PM-04C Other charges'!$A$1:$J$58</definedName>
    <definedName name="_xlnm.Print_Titles" localSheetId="48">'PM-10 Incentive criteria'!$12:$16</definedName>
    <definedName name="_xlnm.Print_Area" localSheetId="48">'PM-10 Incentive criteria'!$A$1:$G$57</definedName>
    <definedName name="_xlnm.Print_Titles" localSheetId="49">'TX-01 Party tax profiles'!$13:$17</definedName>
    <definedName name="_xlnm.Print_Area" localSheetId="49">'TX-01 Party tax profiles'!$A$1:$S$58</definedName>
    <definedName name="_xlnm.Print_Titles" localSheetId="50">'PM-06 Packages'!$12:$16</definedName>
    <definedName name="_xlnm.Print_Area" localSheetId="50">'PM-06 Packages'!$A$1:$J$57</definedName>
    <definedName name="_xlnm.Print_Titles" localSheetId="51">'R06 Package code map (legacy pa'!$12:$17</definedName>
    <definedName name="_xlnm.Print_Area" localSheetId="51">'R06 Package code map (legacy pa'!$A$1:$I$58</definedName>
    <definedName name="_xlnm.Print_Titles" localSheetId="52">'PM-08 Document templates'!$12:$16</definedName>
    <definedName name="_xlnm.Print_Area" localSheetId="52">'PM-08 Document templates'!$A$1:$G$57</definedName>
    <definedName name="_xlnm.Print_Titles" localSheetId="53">'UA-05 Parameters'!$12:$16</definedName>
    <definedName name="_xlnm.Print_Area" localSheetId="53">'UA-05 Parameters'!$A$1:$G$57</definedName>
    <definedName name="_xlnm.Print_Titles" localSheetId="54">'UP-03 Watchlist entries (upload'!$12:$16</definedName>
    <definedName name="_xlnm.Print_Area" localSheetId="54">'UP-03 Watchlist entries (upload'!$A$1:$M$57</definedName>
    <definedName name="_xlnm._FilterDatabase" localSheetId="55" hidden="1">'Lists of values'!$A$4:$K$139</definedName>
    <definedName name="_xlnm.Print_Titles" localSheetId="55">'Lists of values'!$4:$4</definedName>
    <definedName name="_xlnm._FilterDatabase" localSheetId="56" hidden="1">'System parameters'!$A$4:$O$161</definedName>
    <definedName name="_xlnm.Print_Titles" localSheetId="56">'System parameters'!$4:$4</definedName>
    <definedName name="_xlnm._FilterDatabase" localSheetId="57" hidden="1">'SLA and turnaround'!$A$4:$O$61</definedName>
    <definedName name="_xlnm.Print_Titles" localSheetId="57">'SLA and turnaround'!$4:$4</definedName>
    <definedName name="_xlnm._FilterDatabase" localSheetId="58" hidden="1">'Numbering prefixes'!$A$4:$H$15</definedName>
    <definedName name="_xlnm.Print_Titles" localSheetId="58">'Numbering prefixes'!$4:$4</definedName>
    <definedName name="_xlnm._FilterDatabase" localSheetId="59" hidden="1">'Notification events'!$A$4:$L$98</definedName>
    <definedName name="_xlnm.Print_Titles" localSheetId="59">'Notification events'!$4:$4</definedName>
    <definedName name="_xlnm._FilterDatabase" localSheetId="60" hidden="1">'Document templates'!$A$4:$J$66</definedName>
    <definedName name="_xlnm.Print_Titles" localSheetId="60">'Document templates'!$4:$4</definedName>
    <definedName name="_xlnm._FilterDatabase" localSheetId="61" hidden="1">'Accounting events'!$A$4:$H$69</definedName>
    <definedName name="_xlnm.Print_Titles" localSheetId="61">'Accounting events'!$4:$4</definedName>
    <definedName name="_xlnm._FilterDatabase" localSheetId="62" hidden="1">'Configured on screens'!$A$4:$I$34</definedName>
    <definedName name="_xlnm.Print_Titles" localSheetId="62">'Configured on screens'!$4:$4</definedName>
    <definedName name="_xlnm._FilterDatabase" localSheetId="63" hidden="1">'Gaps'!$A$4:$J$16</definedName>
    <definedName name="_xlnm.Print_Titles" localSheetId="63">'Gaps'!$4:$4</definedName>
    <definedName name="_xlnm._FilterDatabase" localSheetId="64" hidden="1">'Coverage check'!$A$4:$E$20</definedName>
    <definedName name="_xlnm.Print_Titles" localSheetId="64">'Coverage check'!$4:$4</definedName>
    <definedName name="_xlnm._FilterDatabase" localSheetId="65" hidden="1">'Reference lists'!$A$4:$E$689</definedName>
    <definedName name="_xlnm.Print_Titles" localSheetId="65">'Reference lists'!$4:$4</definedName>
    <definedName name="_xlnm._FilterDatabase" localSheetId="66" hidden="1">'Questions and comments'!$A$4:$I$104</definedName>
    <definedName name="_xlnm.Print_Titles" localSheetId="66">'Questions and comments'!$4:$4</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63">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20" fillId="2" borderId="1" applyAlignment="1" pivotButton="0" quotePrefix="0" xfId="0">
      <alignment horizontal="center" vertical="top" wrapText="1"/>
    </xf>
    <xf numFmtId="0" fontId="20" fillId="2" borderId="1" applyAlignment="1" pivotButton="0" quotePrefix="0" xfId="0">
      <alignment vertical="top" wrapText="1"/>
    </xf>
    <xf numFmtId="0" fontId="6" fillId="2" borderId="1" applyAlignment="1" pivotButton="0" quotePrefix="0" xfId="0">
      <alignment vertical="top" wrapText="1"/>
    </xf>
    <xf numFmtId="0" fontId="6" fillId="2" borderId="1" applyAlignment="1" pivotButton="0" quotePrefix="0" xfId="0">
      <alignment horizontal="center" vertical="top" wrapText="1"/>
    </xf>
    <xf numFmtId="0" fontId="21" fillId="2"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164" fontId="12" fillId="5" borderId="0" applyAlignment="1" pivotButton="0" quotePrefix="0" xfId="0">
      <alignment vertical="top" wrapText="1"/>
    </xf>
    <xf numFmtId="49" fontId="0" fillId="0" borderId="0" pivotButton="0" quotePrefix="0" xfId="0"/>
    <xf numFmtId="164" fontId="0" fillId="0" borderId="0" pivotButton="0" quotePrefix="0" xfId="0"/>
    <xf numFmtId="0" fontId="2" fillId="5" borderId="1" applyAlignment="1" pivotButton="0" quotePrefix="0" xfId="0">
      <alignment vertical="top" wrapText="1"/>
    </xf>
    <xf numFmtId="0" fontId="12" fillId="5" borderId="0" applyAlignment="1" pivotButton="0" quotePrefix="0" xfId="0">
      <alignment vertical="top" wrapText="1"/>
    </xf>
    <xf numFmtId="0" fontId="2" fillId="0" borderId="0" applyAlignment="1" pivotButton="0" quotePrefix="0" xfId="0">
      <alignment vertical="top" wrapText="1"/>
    </xf>
    <xf numFmtId="49" fontId="13" fillId="0" borderId="0" pivotButton="0" quotePrefix="0" xfId="0"/>
    <xf numFmtId="0" fontId="3" fillId="0" borderId="0" pivotButton="0" quotePrefix="0" xfId="0"/>
    <xf numFmtId="0" fontId="2" fillId="0" borderId="1" applyAlignment="1" pivotButton="0" quotePrefix="0" xfId="0">
      <alignment vertical="top" wrapText="1"/>
    </xf>
    <xf numFmtId="0" fontId="14" fillId="6" borderId="1" pivotButton="0" quotePrefix="0" xfId="0"/>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8">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656565"/>
      </font>
      <fill>
        <patternFill patternType="solid">
          <fgColor rgb="00E4E4E4"/>
          <bgColor rgb="00E4E4E4"/>
        </patternFill>
      </fill>
    </dxf>
    <dxf>
      <font>
        <b val="1"/>
        <color rgb="00C62828"/>
      </font>
      <fill>
        <patternFill patternType="solid">
          <fgColor rgb="00FDECEA"/>
          <bgColor rgb="00FDECEA"/>
        </patternFill>
      </fill>
    </dxf>
    <dxf>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styles" Target="styles.xml" Id="rId68"/><Relationship Type="http://schemas.openxmlformats.org/officeDocument/2006/relationships/theme" Target="theme/theme1.xml" Id="rId69"/></Relationships>
</file>

<file path=xl/comments/comment1.xml><?xml version="1.0" encoding="utf-8"?>
<comments xmlns="http://schemas.openxmlformats.org/spreadsheetml/2006/main">
  <authors>
    <author>iorta TechNXT</author>
  </authors>
  <commentList>
    <comment ref="B17" authorId="0" shapeId="0">
      <text>
        <t>Branch code
Code of the branch; unique
Mandatory: Yes
Format: Up to 10 capitals
Allowed values: Free entry
Example: HO</t>
      </text>
    </comment>
    <comment ref="C17" authorId="0" shapeId="0">
      <text>
        <t>Branch name
Name shown on screens and documents
Mandatory: Yes
Format: Text
Allowed values: Free entry
Example: Head Office</t>
      </text>
    </comment>
    <comment ref="D17" authorId="0" shapeId="0">
      <text>
        <t>Region
Region of the branch
Mandatory: No
Format: Text
Allowed values: Free entry
Example: NCR</t>
      </text>
    </comment>
    <comment ref="E17" authorId="0" shapeId="0">
      <text>
        <t>Address
Address printed on documents
Mandatory: No
Format: Text
Allowed values: Free entry
Example: Makati City</t>
      </text>
    </comment>
    <comment ref="F17" authorId="0" shapeId="0">
      <text>
        <t>Opening date
Date the branch opened
Mandatory: Yes
Format: Date dd-MMM-yyyy, e.g. 15-Jan-2026
Allowed values: A date, for example 15-Jan-2028
Example: 01-Jan-2010</t>
      </text>
    </comment>
    <comment ref="G17" authorId="0" shapeId="0">
      <text>
        <t>Head office
Y for one branch only
Mandatory: Yes
Format: Y or N
Allowed values: Y or N
Example: Y</t>
      </text>
    </comment>
    <comment ref="H17" authorId="0" shapeId="0">
      <text>
        <t>Foreign currency authorised
May receive and pay in foreign currency
Mandatory: Yes
Format: Y or N
Allowed values: Y or N
Example: Y</t>
      </text>
    </comment>
    <comment ref="I17" authorId="0" shapeId="0">
      <text>
        <t>Contact phone
Branch telephone
Mandatory: No
Format: Text
Allowed values: Free entry
Example: (02) 8888-0000</t>
      </text>
    </comment>
    <comment ref="J17" authorId="0" shapeId="0">
      <text>
        <t>Contact e-mail
Branch mailbox
Mandatory: No
Format: Text
Allowed values: Free entry
Example: ho@company.example.ph</t>
      </text>
    </comment>
    <comment ref="K17" authorId="0" shapeId="0">
      <text>
        <t>Branch manager
Head of the branch
Mandatory: No
Format: Text
Allowed values: Free entry</t>
      </text>
    </comment>
    <comment ref="L17" authorId="0" shapeId="0">
      <text>
        <t>Weekly rest days
Days the branch is closed each week
Mandatory: No
Format: SAT, SUN
Allowed values: Free entry
Example: SAT,SUN</t>
      </text>
    </comment>
    <comment ref="M17" authorId="0" shapeId="0">
      <text>
        <t>Legacy branch codes
Legacy branch codes for the code map BRANCH
Mandatory: No
Format: Codes separated by commas
Allowed values: Free entry
Example: 001</t>
      </text>
    </comment>
    <comment ref="N17" authorId="0" shapeId="0">
      <text>
        <t>BIR branch code
Branch code of the BIR registration
Mandatory: No
Format: 3 to 5 digits
Allowed values: Free entry
Example: 00000</t>
      </text>
    </comment>
    <comment ref="O17" authorId="0" shapeId="0">
      <text>
        <t>RDO code
Revenue District Office of the branch
Mandatory: No
Format: Three digits, optionally a letter
Allowed values: Free entry
Example: 050</t>
      </text>
    </comment>
  </commentList>
</comments>
</file>

<file path=xl/comments/comment2.xml><?xml version="1.0" encoding="utf-8"?>
<comments xmlns="http://schemas.openxmlformats.org/spreadsheetml/2006/main">
  <authors>
    <author>iorta TechNXT</author>
  </authors>
  <commentList>
    <comment ref="B16" authorId="0" shapeId="0">
      <text>
        <t>Dimension
Dimension of the value
Mandatory: Yes
Format: Code from the drop-down
Allowed values: COST_CENTER, BUSINESS_LINE, DEPARTMENT (list Dimension (D0-04))
Example: COST_CENTER</t>
      </text>
    </comment>
    <comment ref="C16" authorId="0" shapeId="0">
      <text>
        <t>Code
Code of the value
Mandatory: Yes
Format: Up to 20 capitals or digits
Allowed values: Free entry
Example: FIN</t>
      </text>
    </comment>
    <comment ref="D16" authorId="0" shapeId="0">
      <text>
        <t>Name
Name shown on screens and reports
Mandatory: Yes
Format: Text
Allowed values: Free entry
Example: Finance and Accounting</t>
      </text>
    </comment>
    <comment ref="E16" authorId="0" shapeId="0">
      <text>
        <t>Active
N keeps the value for history only
Mandatory: Yes
Format: Y or N
Allowed values: Y or N
Example: Y</t>
      </text>
    </comment>
  </commentList>
</comments>
</file>

<file path=xl/comments/comment3.xml><?xml version="1.0" encoding="utf-8"?>
<comments xmlns="http://schemas.openxmlformats.org/spreadsheetml/2006/main">
  <authors>
    <author>iorta TechNXT</author>
  </authors>
  <commentList>
    <comment ref="B16" authorId="0" shapeId="0">
      <text>
        <t>Row
What the row defines
Mandatory: Yes
Format: Code from the drop-down
Allowed values: CATEGORY, NUMBERING (list Row (D0-07))
Example: CATEGORY</t>
      </text>
    </comment>
    <comment ref="C16" authorId="0" shapeId="0">
      <text>
        <t>Category code
GL category
Mandatory: Conditional: CATEGORY
Format: Text
Allowed values: Free entry
Example: CASH_IN_BANK</t>
      </text>
    </comment>
    <comment ref="D16" authorId="0" shapeId="0">
      <text>
        <t>Category name
Name of the category
Mandatory: Conditional: CATEGORY
Format: Text
Allowed values: Free entry
Example: Cash in bank</t>
      </text>
    </comment>
    <comment ref="E16" authorId="0" shapeId="0">
      <text>
        <t>Account class
Class of the accounts of the category
Mandatory: Conditional: CATEGORY
Format: Code from the drop-down
Allowed values: ASSET, LIABILITY, EQUITY, INCOME, EXPENSE, MEMORANDUM (list Account class (D0-07))
Example: ASSET</t>
      </text>
    </comment>
    <comment ref="F16" authorId="0" shapeId="0">
      <text>
        <t>Bank category
Y for the accounts of bank accounts
Mandatory: Conditional: CATEGORY
Format: Y or N
Allowed values: Y or N
Example: Y</t>
      </text>
    </comment>
    <comment ref="G16" authorId="0" shapeId="0">
      <text>
        <t>Parent account
Parent whose children are numbered
Mandatory: Conditional: NUMBERING
Format: Text
Allowed values: Code of an existing account of the chart of accounts
Example: 1110</t>
      </text>
    </comment>
    <comment ref="H16" authorId="0" shapeId="0">
      <text>
        <t>Separator
Between the parent code and the running number
Mandatory: Conditional: NUMBERING
Format: Code from the drop-down
Allowed values: ., - (list Separator (D0-07))
Example: .</t>
      </text>
    </comment>
    <comment ref="I16" authorId="0" shapeId="0">
      <text>
        <t>Width
Digits of the running number
Mandatory: Conditional: NUMBERING
Format: Number without thousands separators, e.g. 1500000.50
Allowed values: A whole number from 1 to 6
Example: 2</t>
      </text>
    </comment>
  </commentList>
</comments>
</file>

<file path=xl/comments/comment4.xml><?xml version="1.0" encoding="utf-8"?>
<comments xmlns="http://schemas.openxmlformats.org/spreadsheetml/2006/main">
  <authors>
    <author>iorta TechNXT</author>
  </authors>
  <commentList>
    <comment ref="B16" authorId="0" shapeId="0">
      <text>
        <t>Currency code
Code of the currency
Mandatory: Yes
Format: ISO 4217, 3 capitals
Allowed values: Free entry, up to 3 characters
Example: USD</t>
      </text>
    </comment>
    <comment ref="C16" authorId="0" shapeId="0">
      <text>
        <t>Name
Name of the currency
Mandatory: Yes
Format: Text, up to 60
Allowed values: Free entry, up to 60 characters
Example: US dollar</t>
      </text>
    </comment>
    <comment ref="D16" authorId="0" shapeId="0">
      <text>
        <t>Symbol
Symbol printed on documents
Mandatory: No
Format: Up to 5 characters
Allowed values: Free entry, up to 5 characters
Example: $</t>
      </text>
    </comment>
    <comment ref="E16" authorId="0" shapeId="0">
      <text>
        <t>Decimal places
Decimals of the amounts in the currency
Mandatory: Yes
Format: Whole number 0 to 4
Allowed values: A whole number from 0 to 4
Example: 2</t>
      </text>
    </comment>
    <comment ref="F16" authorId="0" shapeId="0">
      <text>
        <t>Active
Y when the currency may be used
Mandatory: Yes
Format: Y or N
Allowed values: Y or N
Example: Y</t>
      </text>
    </comment>
  </commentList>
</comments>
</file>

<file path=xl/comments/comment5.xml><?xml version="1.0" encoding="utf-8"?>
<comments xmlns="http://schemas.openxmlformats.org/spreadsheetml/2006/main">
  <authors>
    <author>iorta TechNXT</author>
  </authors>
  <commentList>
    <comment ref="B16" authorId="0" shapeId="0">
      <text>
        <t>List or parameter
List or parameter
Mandatory: Yes
Format: Code from the drop-down
Allowed values: List List or parameter (PM-09): 23 values, see Reference lists
Example: PKG_REQUEST_REASON</t>
      </text>
    </comment>
    <comment ref="C16" authorId="0" shapeId="0">
      <text>
        <t>Value code
Code of the value of a list
Mandatory: Conditional: list
Format: Up to 40 capitals
Allowed values: Free entry
Example: LOSS_EXPERIENCE</t>
      </text>
    </comment>
    <comment ref="D16" authorId="0" shapeId="0">
      <text>
        <t>Label or value
Label of the value, or value of the parameter
Mandatory: Yes
Format: Text
Allowed values: Free entry
Example: Loss experience</t>
      </text>
    </comment>
    <comment ref="E16" authorId="0" shapeId="0">
      <text>
        <t>Order / Active
Order; active Y or N
Mandatory: Conditional: list
Format: Text
Allowed values: Free entry
Example: 50; Y</t>
      </text>
    </comment>
    <comment ref="F16" authorId="0" shapeId="0">
      <text>
        <t>Effective from
First day of use of the value
Mandatory: Conditional: list
Format: dd-MMM-yyyy
Allowed values: Free entry</t>
      </text>
    </comment>
  </commentList>
</comments>
</file>

<file path=xl/comments/comment6.xml><?xml version="1.0" encoding="utf-8"?>
<comments xmlns="http://schemas.openxmlformats.org/spreadsheetml/2006/main">
  <authors>
    <author>iorta TechNXT</author>
  </authors>
  <commentList>
    <comment ref="B17" authorId="0" shapeId="0">
      <text>
        <t>list_type
Legacy name of the list (for example MARKET_SEGMENT, BUSINESS_ORIGIN, CUSTOMER_SEGMENT, REGION, AREA, DEPARTMENT, ACCOUNT_TYPE, ID_TYPE, NATIONALITY)
Mandatory: Yes
Format: Code, up to 40; Upper case
Allowed values: Legacy list names; one code map set LOV:&lt;list&gt; or MIS:&lt;field&gt; per list
Example: MARKET_SEGMENT</t>
      </text>
    </comment>
    <comment ref="C17" authorId="0" shapeId="0">
      <text>
        <t>code
Legacy value code
Mandatory: Yes
Format: Code, up to 40; As stored in legacy
Allowed values: Free entry, up to 40 characters
Example: CBG</t>
      </text>
    </comment>
    <comment ref="D17" authorId="0" shapeId="0">
      <text>
        <t>description
Legacy value description
Mandatory: Yes
Format: Text, up to 200; Free text
Allowed values: Free entry, up to 200 characters
Example: Consumer Banking Group</t>
      </text>
    </comment>
    <comment ref="E17" authorId="0" shapeId="0">
      <text>
        <t>parent_code
Code of the parent value for hierarchical lists (area under region)
Mandatory: No
Format: Code, up to 40
Allowed values: Codes of the same file
Example: NCR</t>
      </text>
    </comment>
    <comment ref="F17" authorId="0" shapeId="0">
      <text>
        <t>active_flag
Value in use in legacy
Mandatory: Yes
Format: Flag, up to 1; Y or N
Allowed values: Y or N
Example: Y</t>
      </text>
    </comment>
    <comment ref="G17" authorId="0" shapeId="0">
      <text>
        <t>effective_from
First day the value is valid
Mandatory: No
Format: Date, up to 10; yyyy-MM-dd
Allowed values: Free entry
Example: 2020-01-01</t>
      </text>
    </comment>
    <comment ref="H17" authorId="0" shapeId="0">
      <text>
        <t>effective_to
Last day the value is valid
Mandatory: No
Format: Date, up to 10; yyyy-MM-dd
Allowed values: Free entry</t>
      </text>
    </comment>
    <comment ref="I17" authorId="0" shapeId="0">
      <text>
        <t>used_count
Number of legacy records that use the value (helps the mapping)
Mandatory: No
Format: Integer, up to 9; Digits
Allowed values: A whole number
Example: 1520</t>
      </text>
    </comment>
  </commentList>
</comments>
</file>

<file path=xl/comments/comment7.xml><?xml version="1.0" encoding="utf-8"?>
<comments xmlns="http://schemas.openxmlformats.org/spreadsheetml/2006/main">
  <authors>
    <author>iorta TechNXT</author>
  </authors>
  <commentList>
    <comment ref="B19" authorId="0" shapeId="0">
      <text>
        <t>insurer_code
Legacy insurer code
Mandatory: Yes
Format: Code, up to 30; As stored in legacy
Allowed values: Free entry, up to 30 characters
Example: MAL</t>
      </text>
    </comment>
    <comment ref="C19" authorId="0" shapeId="0">
      <text>
        <t>insurer_name
Registered name
Mandatory: Yes
Format: Text, up to 200; Free text
Allowed values: Free entry, up to 200 characters
Example: Malayan Insurance Co., Inc.</t>
      </text>
    </comment>
    <comment ref="D19" authorId="0" shapeId="0">
      <text>
        <t>short_name
Short name
Mandatory: No
Format: Text, up to 40; Free text
Allowed values: Free entry, up to 40 characters
Example: Malayan</t>
      </text>
    </comment>
    <comment ref="E19" authorId="0" shapeId="0">
      <text>
        <t>tin
Tax identification number
Mandatory: No
Format: Text, up to 20; 000-000-000-000
Allowed values: Free entry, up to 20 characters
Example: 000-123-456-000</t>
      </text>
    </comment>
    <comment ref="F19" authorId="0" shapeId="0">
      <text>
        <t>address
Registered address
Mandatory: No
Format: Text, up to 300; Free text
Allowed values: Free entry, up to 300 characters
Example: 500 Quintin Paredes St., Manila</t>
      </text>
    </comment>
    <comment ref="G19" authorId="0" shapeId="0">
      <text>
        <t>accreditation_no
Insurance Commission accreditation number
Mandatory: No
Format: Text, up to 40; Free text
Allowed values: Free entry, up to 40 characters
Example: IC-2025-0123</t>
      </text>
    </comment>
    <comment ref="H19" authorId="0" shapeId="0">
      <text>
        <t>accredited_until
End of accreditation
Mandatory: No
Format: Date, up to 10; yyyy-MM-dd
Allowed values: Free entry
Example: 2028-06-30</t>
      </text>
    </comment>
    <comment ref="I19" authorId="0" shapeId="0">
      <text>
        <t>placement_email
E-mail address(es) for placement, separated by semicolons
Mandatory: No
Format: Text, up to 500; name@domain;name@domain
Allowed values: Free entry, up to 500 characters
Example: placement@insurer.example</t>
      </text>
    </comment>
    <comment ref="J19" authorId="0" shapeId="0">
      <text>
        <t>default_credit_days
Credit term in days
Mandatory: No
Format: Integer, up to 3; Digits
Allowed values: A whole number
Example: 60</t>
      </text>
    </comment>
    <comment ref="K19" authorId="0" shapeId="0">
      <text>
        <t>status
Insurer status in legacy
Mandatory: Yes
Format: Code, up to 20; As stored in legacy
Allowed values: The legacy code; mapped by the code map STATUS:INSURER (Code Maps screen of the Data Migration Console; maps prepared in the Migration Workbook of BRD-13)
Example: ACTIVE</t>
      </text>
    </comment>
  </commentList>
</comments>
</file>

<file path=xl/comments/comment8.xml><?xml version="1.0" encoding="utf-8"?>
<comments xmlns="http://schemas.openxmlformats.org/spreadsheetml/2006/main">
  <authors>
    <author>iorta TechNXT</author>
  </authors>
  <commentList>
    <comment ref="B16" authorId="0" shapeId="0">
      <text>
        <t>Group profile code
Code of the profile; an existing code changes the profile
Mandatory: Yes
Format: Up to 40 capital letters, digits or _
Allowed values: Free entry
Example: MKT_AO</t>
      </text>
    </comment>
    <comment ref="C16" authorId="0" shapeId="0">
      <text>
        <t>Name
Name shown on screens
Mandatory: Yes
Format: Text
Allowed values: Free entry
Example: Marketing Account Officer</t>
      </text>
    </comment>
    <comment ref="D16" authorId="0" shapeId="0">
      <text>
        <t>Description
What the profile is for
Mandatory: No
Format: Text
Allowed values: Free entry
Example: Marketing account officers</t>
      </text>
    </comment>
    <comment ref="E16" authorId="0" shapeId="0">
      <text>
        <t>Privilege level
Low, Standard, High or Admin
Mandatory: Yes
Format: Code from the drop-down
Allowed values: Low, Standard, High, Admin (list Privilege level (UA-02))
Example: Standard</t>
      </text>
    </comment>
    <comment ref="F16" authorId="0" shapeId="0">
      <text>
        <t>Permission
One row per permission of the profile
Mandatory: Yes
Format: Text
Allowed values: Permission code of the User Access Matrix
Example: QUOTE_MAINTAIN</t>
      </text>
    </comment>
    <comment ref="G16" authorId="0" shapeId="0">
      <text>
        <t>Action class
As shown by the matrix, for the review
Mandatory: No
Format: Text
Allowed values: Free entry
Example: Create, Amend</t>
      </text>
    </comment>
    <comment ref="H16" authorId="0" shapeId="0">
      <text>
        <t>Keep / Add / Remove
Change against the matrix as delivered
Mandatory: Yes
Format: Code from the drop-down
Allowed values: KEEP, ADD, REMOVE (list Keep / Add / Remove (UA-02))
Example: KEEP</t>
      </text>
    </comment>
    <comment ref="I16" authorId="0" shapeId="0">
      <text>
        <t>Approved by unit head
Unit head who confirms the row
Mandatory: Yes
Format: Text
Allowed values: Free entry
Example: Carla Reyes</t>
      </text>
    </comment>
  </commentList>
</comments>
</file>

<file path=xl/comments/comment9.xml><?xml version="1.0" encoding="utf-8"?>
<comments xmlns="http://schemas.openxmlformats.org/spreadsheetml/2006/main">
  <authors>
    <author>iorta TechNXT</author>
  </authors>
  <commentList>
    <comment ref="B16" authorId="0" shapeId="0">
      <text>
        <t>List
The list
Mandatory: Yes
Format: Code from the drop-down
Allowed values: UAM_BUSINESS_UNIT, UAM_USER_LEVEL, UAM_DEACTIVATION_REASON (list List (UA-06))
Example: UAM_BUSINESS_UNIT</t>
      </text>
    </comment>
    <comment ref="C16" authorId="0" shapeId="0">
      <text>
        <t>Code
Code of the value
Mandatory: Yes
Format: Up to 30 capitals, digits or _
Allowed values: Free entry
Example: COMBANK_MKT</t>
      </text>
    </comment>
    <comment ref="D16" authorId="0" shapeId="0">
      <text>
        <t>Label
Label shown on screens
Mandatory: Yes
Format: Up to 120 characters
Allowed values: Free entry
Example: Combank Marketing</t>
      </text>
    </comment>
    <comment ref="E16" authorId="0" shapeId="0">
      <text>
        <t>Sort order
Order in the drop-down
Mandatory: No
Format: Number without thousands separators, e.g. 1500000.50
Allowed values: A number
Example: 10</t>
      </text>
    </comment>
    <comment ref="F16" authorId="0" shapeId="0">
      <text>
        <t>Effective from
Date the value may be used
Mandatory: Yes
Format: Date dd-MMM-yyyy, e.g. 15-Jan-2026
Allowed values: A date, for example 15-Jan-2028
Example: 04-Jan-2027</t>
      </text>
    </comment>
  </commentList>
</comments>
</file>

<file path=xl/comments/comment10.xml><?xml version="1.0" encoding="utf-8"?>
<comments xmlns="http://schemas.openxmlformats.org/spreadsheetml/2006/main">
  <authors>
    <author>iorta TechNXT</author>
  </authors>
  <commentList>
    <comment ref="B16" authorId="0" shapeId="0">
      <text>
        <t>Employee number
Employee number; unique
Mandatory: Yes
Format: HR number
Allowed values: Free entry
Example: 1203344</t>
      </text>
    </comment>
    <comment ref="C16" authorId="0" shapeId="0">
      <text>
        <t>Full name
Name of the employee
Mandatory: Yes
Format: Text
Allowed values: Free entry
Example: Andrea Mercado</t>
      </text>
    </comment>
    <comment ref="D16" authorId="0" shapeId="0">
      <text>
        <t>Branch code
Home branch
Mandatory: Yes
Format: Text
Allowed values: Code of an existing branch
Example: HO</t>
      </text>
    </comment>
    <comment ref="E16" authorId="0" shapeId="0">
      <text>
        <t>Cost centre
Cost centre of the employee
Mandatory: Yes
Format: Text
Allowed values: Code of an existing cost centre
Example: FIN</t>
      </text>
    </comment>
    <comment ref="F16" authorId="0" shapeId="0">
      <text>
        <t>Position
Position title
Mandatory: No
Format: Text
Allowed values: Free entry
Example: Accounting Officer</t>
      </text>
    </comment>
    <comment ref="G16" authorId="0" shapeId="0">
      <text>
        <t>E-mail
For advices and statements
Mandatory: No
Format: Text
Allowed values: Free entry
Example: andrea.mercado@company.example.ph</t>
      </text>
    </comment>
    <comment ref="H16" authorId="0" shapeId="0">
      <text>
        <t>Hired on
Date of hire
Mandatory: No
Format: Date dd-MMM-yyyy, e.g. 15-Jan-2026
Allowed values: A date, for example 15-Jan-2028
Example: 03-Mar-2019</t>
      </text>
    </comment>
  </commentList>
</comments>
</file>

<file path=xl/comments/comment11.xml><?xml version="1.0" encoding="utf-8"?>
<comments xmlns="http://schemas.openxmlformats.org/spreadsheetml/2006/main">
  <authors>
    <author>iorta TechNXT</author>
  </authors>
  <commentList>
    <comment ref="B16" authorId="0" shapeId="0">
      <text>
        <t>Parent Code
Code of the parent account; blank for a top-level group
Mandatory: No
Format: Text
Allowed values: A code of D0-06 Chart of accounts, column Account Code</t>
      </text>
    </comment>
    <comment ref="C16" authorId="0" shapeId="0">
      <text>
        <t>Account Code
Account code; blank for the next number of the parent's scheme
Mandatory: No
Format: Text
Allowed values: Free entry
Example: 1210.07</t>
      </text>
    </comment>
    <comment ref="D16" authorId="0" shapeId="0">
      <text>
        <t>Account Name
Account name
Mandatory: Yes
Format: Text
Allowed values: Free entry
Example: Premium Receivable - Motor</t>
      </text>
    </comment>
    <comment ref="E16" authorId="0" shapeId="0">
      <text>
        <t>Short Code
Unique short code used on journal lines
Mandatory: No
Format: Text
Allowed values: Free entry
Example: PRMOTOR</t>
      </text>
    </comment>
    <comment ref="F16" authorId="0" shapeId="0">
      <text>
        <t>Class
Class of the account
Mandatory: Yes
Format: Text
Allowed values: ASSET, LIABILITY, EQUITY, INCOME, EXPENSE, MEMORANDUM (list Account class of the chart)
Example: ASSET</t>
      </text>
    </comment>
    <comment ref="G16" authorId="0" shapeId="0">
      <text>
        <t>Level
Level of the account, one tier below the parent
Mandatory: Yes
Format: Text
Allowed values: GROUP, MAIN, SUB, MICRO (list Account level)
Example: SUB</t>
      </text>
    </comment>
    <comment ref="H16" authorId="0" shapeId="0">
      <text>
        <t>Category
GL category
Mandatory: No
Format: Text
Allowed values: A code of D0-07 Account categories and numbering, column Category code</t>
      </text>
    </comment>
    <comment ref="I16" authorId="0" shapeId="0">
      <text>
        <t>Control Account
Control account
Mandatory: No
Format: Y or N
Allowed values: Y or N
Example: N</t>
      </text>
    </comment>
    <comment ref="J16" authorId="0" shapeId="0">
      <text>
        <t>Sub-ledger Type
Sub-ledger the account controls; blank for none
Mandatory: No
Format: Text
Allowed values: Free entry
Example: POLICYHOLDER</t>
      </text>
    </comment>
    <comment ref="K16" authorId="0" shapeId="0">
      <text>
        <t>Currencies
Currencies allowed on the account; blank for all
Mandatory: No
Format: Text
Allowed values: Free entry
Example: PHP</t>
      </text>
    </comment>
    <comment ref="L16" authorId="0" shapeId="0">
      <text>
        <t>Manual Posting
Manual journals allowed; blank for Y
Mandatory: No
Format: Y or N
Allowed values: Y or N
Example: Y</t>
      </text>
    </comment>
    <comment ref="M16" authorId="0" shapeId="0">
      <text>
        <t>Cost Centre Required
Cost centre mandatory on journal lines
Mandatory: No
Format: Y or N
Allowed values: Y or N
Example: N</t>
      </text>
    </comment>
    <comment ref="N16" authorId="0" shapeId="0">
      <text>
        <t>Revaluation Required
Revalued at month end
Mandatory: No
Format: Y or N
Allowed values: Y or N
Example: N</t>
      </text>
    </comment>
    <comment ref="O16" authorId="0" shapeId="0">
      <text>
        <t>Report Group
Financial statement line
Mandatory: No
Format: Text
Allowed values: Free entry
Example: Premium Receivable</t>
      </text>
    </comment>
    <comment ref="P16" authorId="0" shapeId="0">
      <text>
        <t>Opened On
Opening date; blank for today
Mandatory: No
Format: yyyy-MM-dd
Allowed values: Free entry
Example: 2026-01-01</t>
      </text>
    </comment>
    <comment ref="Q16" authorId="0" shapeId="0">
      <text>
        <t>Negative Balance
What a negative balance does; blank for ALLOW
Mandatory: No
Format: Text
Allowed values: ALLOW, WARN, BLOCK (list Negative balance)
Example: WARN</t>
      </text>
    </comment>
  </commentList>
</comments>
</file>

<file path=xl/comments/comment12.xml><?xml version="1.0" encoding="utf-8"?>
<comments xmlns="http://schemas.openxmlformats.org/spreadsheetml/2006/main">
  <authors>
    <author>iorta TechNXT</author>
  </authors>
  <commentList>
    <comment ref="B16" authorId="0" shapeId="0">
      <text>
        <t>Party code
Code of the partner, unique
Mandatory: Yes
Format: Up to 30; capitals, digits, - and .
Allowed values: Free entry
Example: RI-0001</t>
      </text>
    </comment>
    <comment ref="C16" authorId="0" shapeId="0">
      <text>
        <t>Party type
Kind of partner
Mandatory: Yes
Format: Code from the drop-down
Allowed values: List Party type (MD-01): 12 values, see Reference lists
Example: REINSURER</t>
      </text>
    </comment>
    <comment ref="D16" authorId="0" shapeId="0">
      <text>
        <t>Name
Registered name
Mandatory: Yes
Format: Text
Allowed values: Free entry
Example: Asia Pacific Reinsurance Corp.</t>
      </text>
    </comment>
    <comment ref="E16" authorId="0" shapeId="0">
      <text>
        <t>TIN / tax id
Tax identification number
Mandatory: No
Format: 000-000-000-000
Allowed values: Free entry
Example: 123-456-789-000</t>
      </text>
    </comment>
    <comment ref="F16" authorId="0" shapeId="0">
      <text>
        <t>Address
Registered address
Mandatory: No
Format: Text
Allowed values: Free entry
Example: Makati City</t>
      </text>
    </comment>
    <comment ref="G16" authorId="0" shapeId="0">
      <text>
        <t>E-mail
E-mail for advices and statements
Mandatory: No
Format: Text
Allowed values: Free entry
Example: treaty@apre.example.ph</t>
      </text>
    </comment>
    <comment ref="H16" authorId="0" shapeId="0">
      <text>
        <t>Phone
Phone number
Mandatory: No
Format: Text
Allowed values: Free entry
Example: +63 2 8888 0000</t>
      </text>
    </comment>
    <comment ref="I16" authorId="0" shapeId="0">
      <text>
        <t>Default currency
Currency of the partner's transactions
Mandatory: Yes
Format: Text
Allowed values: Free entry
Example: PHP</t>
      </text>
    </comment>
    <comment ref="J16" authorId="0" shapeId="0">
      <text>
        <t>Bank name
Bank of the partner's account
Mandatory: No
Format: Text
Allowed values: Free entry
Example: Metropolitan Commercial Bank</t>
      </text>
    </comment>
    <comment ref="K16" authorId="0" shapeId="0">
      <text>
        <t>Bank account no.
Account number for payments
Mandatory: No
Format: Text
Allowed values: Free entry
Example: 001234567890</t>
      </text>
    </comment>
    <comment ref="L16" authorId="0" shapeId="0">
      <text>
        <t>Licence no.
Insurance Commission licence number
Mandatory: Conditional: agent, broker, reinsurance broker
Format: Text
Allowed values: Free entry
Example: IC-RB-2026-015</t>
      </text>
    </comment>
    <comment ref="M16" authorId="0" shapeId="0">
      <text>
        <t>Credit days
Credit days of the partner's items
Mandatory: No
Format: Number without thousands separators, e.g. 1500000.50
Allowed values: A number
Example: 30</t>
      </text>
    </comment>
    <comment ref="N16" authorId="0" shapeId="0">
      <text>
        <t>Commission rate %
Commission rate of an intermediary
Mandatory: No
Format: Number without thousands separators, e.g. 1500000.50
Allowed values: A number</t>
      </text>
    </comment>
    <comment ref="O16" authorId="0" shapeId="0">
      <text>
        <t>Withholding tax rate %
Withholding tax rate applied to the partner
Mandatory: No
Format: Number without thousands separators, e.g. 1500000.50
Allowed values: A number
Example: 2</t>
      </text>
    </comment>
  </commentList>
</comments>
</file>

<file path=xl/comments/comment13.xml><?xml version="1.0" encoding="utf-8"?>
<comments xmlns="http://schemas.openxmlformats.org/spreadsheetml/2006/main">
  <authors>
    <author>iorta TechNXT</author>
  </authors>
  <commentList>
    <comment ref="B17" authorId="0" shapeId="0">
      <text>
        <t>record_type
Kind of row
Mandatory: Yes
Format: Code, up to 12; Upper case
Allowed values: REGION, DEPARTMENT, TEAM, AO (list R03 record_type)
Example: TEAM</t>
      </text>
    </comment>
    <comment ref="C17" authorId="0" shapeId="0">
      <text>
        <t>unit_code
Legacy code of the unit (for an AO row, the team of the AO)
Mandatory: Yes
Format: Code, up to 20; As stored in legacy
Allowed values: Free entry, up to 20 characters
Example: T-RET-07</t>
      </text>
    </comment>
    <comment ref="D17" authorId="0" shapeId="0">
      <text>
        <t>unit_name
Unit name
Mandatory: Conditional: Mandatory for REGION, DEPARTMENT, TEAM
Format: Text, up to 120; Free text
Allowed values: Free entry, up to 120 characters
Example: Retail Team 7</t>
      </text>
    </comment>
    <comment ref="E17" authorId="0" shapeId="0">
      <text>
        <t>parent_unit_code
Code of the parent unit (department of a team, region of a department)
Mandatory: Conditional: Mandatory for DEPARTMENT and TEAM; parent exists
Format: Code, up to 20; As stored in legacy
Allowed values: unit_code values of the file
Example: D-RET</t>
      </text>
    </comment>
    <comment ref="F17" authorId="0" shapeId="0">
      <text>
        <t>unit_head_user_id
Legacy user ID of the unit head
Mandatory: No
Format: Code, up to 50; As stored in legacy
Allowed values: The legacy code; mapped by the code map USER (Code Maps screen of the Data Migration Console; maps prepared in the Migration Workbook of BRD-13)
Example: jdelacruz</t>
      </text>
    </comment>
    <comment ref="G17" authorId="0" shapeId="0">
      <text>
        <t>cost_center
Cost centre of the unit
Mandatory: No
Format: Code, up to 20; As stored in legacy
Allowed values: The legacy code; mapped by the code map COST_CENTER (Code Maps screen of the Data Migration Console; maps prepared in the Migration Workbook of BRD-13)
Example: 4100</t>
      </text>
    </comment>
    <comment ref="H17" authorId="0" shapeId="0">
      <text>
        <t>ao_user_id
Legacy user ID of the account officer
Mandatory: Conditional: Mandatory for AO rows; mapped in USER
Format: Code, up to 50; As stored in legacy
Allowed values: The legacy code; mapped by the code map USER (Code Maps screen of the Data Migration Console; maps prepared in the Migration Workbook of BRD-13)
Example: mreyes</t>
      </text>
    </comment>
    <comment ref="I17" authorId="0" shapeId="0">
      <text>
        <t>ao_code
Legacy AO code if different from the user ID
Mandatory: No
Format: Code, up to 20; As stored in legacy
Allowed values: The legacy code; mapped by the code map AO (Code Maps screen of the Data Migration Console; maps prepared in the Migration Workbook of BRD-13)
Example: AO0457</t>
      </text>
    </comment>
    <comment ref="J17" authorId="0" shapeId="0">
      <text>
        <t>ao_name
AO full name
Mandatory: Conditional: Mandatory for AO rows
Format: Text, up to 120; Free text
Allowed values: Free entry, up to 120 characters
Example: Maria Reyes</t>
      </text>
    </comment>
    <comment ref="K17" authorId="0" shapeId="0">
      <text>
        <t>branch_code
Branch of the unit or AO
Mandatory: No
Format: Code, up to 20; As stored in legacy
Allowed values: The legacy code; mapped by the code map BRANCH (Code Maps screen of the Data Migration Console; maps prepared in the Migration Workbook of BRD-13)
Example: MKT01</t>
      </text>
    </comment>
    <comment ref="L17" authorId="0" shapeId="0">
      <text>
        <t>active_flag
Unit or AO active
Mandatory: Yes
Format: Flag, up to 1; Y or N
Allowed values: Y or N
Example: Y</t>
      </text>
    </comment>
  </commentList>
</comments>
</file>

<file path=xl/comments/comment14.xml><?xml version="1.0" encoding="utf-8"?>
<comments xmlns="http://schemas.openxmlformats.org/spreadsheetml/2006/main">
  <authors>
    <author>iorta TechNXT</author>
  </authors>
  <commentList>
    <comment ref="B17" authorId="0" shapeId="0">
      <text>
        <t>line_code
Legacy line of business
Mandatory: Yes
Format: Code, up to 30; As stored in legacy
Allowed values: The legacy code; mapped by the code map LINE (Code Maps screen of the Data Migration Console; maps prepared in the Migration Workbook of BRD-13)
Example: MOTOR</t>
      </text>
    </comment>
    <comment ref="C17" authorId="0" shapeId="0">
      <text>
        <t>line_name
Line name
Mandatory: No
Format: Text, up to 120; Free text
Allowed values: Free entry, up to 120 characters
Example: Motor Car</t>
      </text>
    </comment>
    <comment ref="D17" authorId="0" shapeId="0">
      <text>
        <t>cover_type_code
Legacy cover type
Mandatory: No
Format: Code, up to 30; As stored in legacy
Allowed values: The legacy code; mapped by the code map COVER_TYPE (Code Maps screen of the Data Migration Console; maps prepared in the Migration Workbook of BRD-13)
Example: COMP</t>
      </text>
    </comment>
    <comment ref="E17" authorId="0" shapeId="0">
      <text>
        <t>risk_code
Legacy risk code / product code
Mandatory: Yes
Format: Code, up to 20; As stored in legacy
Allowed values: Free entry, up to 20 characters
Example: MC-PC-COMP</t>
      </text>
    </comment>
    <comment ref="F17" authorId="0" shapeId="0">
      <text>
        <t>risk_name
Product / risk name
Mandatory: Yes
Format: Text, up to 200; Free text
Allowed values: Free entry, up to 200 characters
Example: Private Car Own Damage and Theft</t>
      </text>
    </comment>
    <comment ref="G17" authorId="0" shapeId="0">
      <text>
        <t>packaged_flag
Sold as a package
Mandatory: No
Format: Flag, up to 1; Y or N
Allowed values: Y or N
Example: N</t>
      </text>
    </comment>
    <comment ref="H17" authorId="0" shapeId="0">
      <text>
        <t>market_segments
Segments that may use the product, separated by semicolons
Mandatory: No
Format: Text, up to 300; CODE;CODE
Allowed values: The legacy code; mapped by the code map LOV:MARKET_SEGMENT (Code Maps screen of the Data Migration Console; maps prepared in the Migration Workbook of BRD-13)
Example: CBG;RETAIL</t>
      </text>
    </comment>
    <comment ref="I17" authorId="0" shapeId="0">
      <text>
        <t>status
Status in legacy
Mandatory: Yes
Format: Code, up to 20; As stored in legacy
Allowed values: The legacy code; mapped by the code map STATUS:PRODUCT (Code Maps screen of the Data Migration Console; maps prepared in the Migration Workbook of BRD-13)
Example: ACTIVE</t>
      </text>
    </comment>
    <comment ref="J17" authorId="0" shapeId="0">
      <text>
        <t>open_item_count
Open invoices and in-force policies using the code (helps the mapping)
Mandatory: No
Format: Integer, up to 9; Digits
Allowed values: A whole number
Example: 4211</t>
      </text>
    </comment>
  </commentList>
</comments>
</file>

<file path=xl/comments/comment15.xml><?xml version="1.0" encoding="utf-8"?>
<comments xmlns="http://schemas.openxmlformats.org/spreadsheetml/2006/main">
  <authors>
    <author>iorta TechNXT</author>
  </authors>
  <commentList>
    <comment ref="B16" authorId="0" shapeId="0">
      <text>
        <t>Action
ENROL for the go-live load
Mandatory: Yes
Format: ENROL, MODIFY, DEACTIVATE or REACTIVATE
Allowed values: ENROL, MODIFY, DEACTIVATE, REACTIVATE (list Bulk request action)
Example: ENROL</t>
      </text>
    </comment>
    <comment ref="C16" authorId="0" shapeId="0">
      <text>
        <t>User ID
The BIBS user ID; unique
Mandatory: Yes
Format: A letter and nine digits (BDOI format a999999999)
Allowed values: Free entry, up to 10 characters
Example: a013000201</t>
      </text>
    </comment>
    <comment ref="D16" authorId="0" shapeId="0">
      <text>
        <t>Full Name
Name shown on screens and reports
Mandatory: Conditional: ENROL
Format: Up to 120 characters
Allowed values: Free entry, up to 120 characters
Example: Andrea Mercado</t>
      </text>
    </comment>
    <comment ref="E16" authorId="0" shapeId="0">
      <text>
        <t>E-mail
Receives the access-changed notices and the reset links
Mandatory: No
Format: Company e-mail address
Allowed values: Free entry
Example: andrea.mercado@brokerverse-seed.ph</t>
      </text>
    </comment>
    <comment ref="F16" authorId="0" shapeId="0">
      <text>
        <t>Windows ID
Used for the BDO directory sign-in when it is enabled
Mandatory: No
Format: Windows log-on name; unique
Allowed values: Free entry
Example: AMERCADO</t>
      </text>
    </comment>
    <comment ref="G16" authorId="0" shapeId="0">
      <text>
        <t>Home Branch Code
Home branch of the user
Mandatory: No
Format: Branch code
Allowed values: Free entry
Example: HO</t>
      </text>
    </comment>
    <comment ref="H16" authorId="0" shapeId="0">
      <text>
        <t>Business Unit
Business unit group
Mandatory: No
Format: Code of the list Business unit group (CI-06)
Allowed values: Codes of UA-06 Lists of values, column Code (one or more)</t>
      </text>
    </comment>
    <comment ref="I16" authorId="0" shapeId="0">
      <text>
        <t>User Level
User level
Mandatory: No
Format: Code of the list User level (CI-06)
Allowed values: Codes of UA-06 Lists of values, column Code (one or more)</t>
      </text>
    </comment>
    <comment ref="J16" authorId="0" shapeId="0">
      <text>
        <t>Group Profiles
The group profiles of the user
Mandatory: Conditional: ENROL
Format: Profile codes of CI-02 separated by ';'
Allowed values: Codes of UA-02 Role-to-permission matrix, column Group profile code (one or more)
Example: MKT_AO</t>
      </text>
    </comment>
    <comment ref="K16" authorId="0" shapeId="0">
      <text>
        <t>Effective Date
Date the change applies
Mandatory: No
Format: yyyy-MM-dd; blank = on approval
Allowed values: Free entry</t>
      </text>
    </comment>
    <comment ref="L16" authorId="0" shapeId="0">
      <text>
        <t>Remarks
Justification of the line
Mandatory: Yes
Format: Up to 1,000 characters
Allowed values: Free entry, up to 1000 characters
Example: Joined Marketing</t>
      </text>
    </comment>
  </commentList>
</comments>
</file>

<file path=xl/comments/comment16.xml><?xml version="1.0" encoding="utf-8"?>
<comments xmlns="http://schemas.openxmlformats.org/spreadsheetml/2006/main">
  <authors>
    <author>iorta TechNXT</author>
  </authors>
  <commentList>
    <comment ref="B16" authorId="0" shapeId="0">
      <text>
        <t>Branch code
Branch the holiday applies to; blank = every branch
Mandatory: No
Format: Text
Allowed values: Code of an existing branch</t>
      </text>
    </comment>
    <comment ref="C16" authorId="0" shapeId="0">
      <text>
        <t>Date
Date of the holiday
Mandatory: Yes
Format: Date dd-MMM-yyyy, e.g. 15-Jan-2026
Allowed values: A date, for example 15-Jan-2028
Example: 01-Jan-2028</t>
      </text>
    </comment>
    <comment ref="D16" authorId="0" shapeId="0">
      <text>
        <t>Description
Name of the holiday
Mandatory: Yes
Format: Text
Allowed values: Free entry
Example: New Year's Day</t>
      </text>
    </comment>
  </commentList>
</comments>
</file>

<file path=xl/comments/comment17.xml><?xml version="1.0" encoding="utf-8"?>
<comments xmlns="http://schemas.openxmlformats.org/spreadsheetml/2006/main">
  <authors>
    <author>iorta TechNXT</author>
  </authors>
  <commentList>
    <comment ref="B16" authorId="0" shapeId="0">
      <text>
        <t>Currency code
Currency of the rate (not PHP)
Mandatory: Yes
Format: Code of MD-02
Allowed values: A code of MD-02 Currencies, column Currency code
Example: USD</t>
      </text>
    </comment>
    <comment ref="C16" authorId="0" shapeId="0">
      <text>
        <t>Rate type
Kind of rate
Mandatory: Yes
Format: Code of the list
Allowed values: SPOT, CLOSING, AVERAGE, BUDGET (list Exchange rate type)
Example: SPOT</t>
      </text>
    </comment>
    <comment ref="D16" authorId="0" shapeId="0">
      <text>
        <t>Effective date
Date from which the rate applies
Mandatory: Yes
Format: dd-mmm-yyyy
Allowed values: A date, for example 15-Jan-2028
Example: 03-Jan-2028</t>
      </text>
    </comment>
    <comment ref="E16" authorId="0" shapeId="0">
      <text>
        <t>Rate
Pesos for one unit of the currency
Mandatory: Yes
Format: Number, PHP per unit of the currency
Allowed values: A number from 0 to 1000000</t>
      </text>
    </comment>
  </commentList>
</comments>
</file>

<file path=xl/comments/comment18.xml><?xml version="1.0" encoding="utf-8"?>
<comments xmlns="http://schemas.openxmlformats.org/spreadsheetml/2006/main">
  <authors>
    <author>iorta TechNXT</author>
  </authors>
  <commentList>
    <comment ref="B17" authorId="0" shapeId="0">
      <text>
        <t>branch_code
Legacy branch code
Mandatory: Yes
Format: Code, up to 20; As stored in legacy
Allowed values: Free entry, up to 20 characters
Example: MKT01</t>
      </text>
    </comment>
    <comment ref="C17" authorId="0" shapeId="0">
      <text>
        <t>branch_name
Branch name
Mandatory: Yes
Format: Text, up to 120; Free text
Allowed values: Free entry, up to 120 characters
Example: Makati Head Office</t>
      </text>
    </comment>
    <comment ref="D17" authorId="0" shapeId="0">
      <text>
        <t>invoicing_branch_flag
Branch issues invoices and receipts
Mandatory: Yes
Format: Flag, up to 1; Y or N
Allowed values: Y or N
Example: Y</t>
      </text>
    </comment>
    <comment ref="E17" authorId="0" shapeId="0">
      <text>
        <t>city
City of the branch
Mandatory: No
Format: Text, up to 80; Free text
Allowed values: Free entry, up to 80 characters
Example: Makati City</t>
      </text>
    </comment>
    <comment ref="F17" authorId="0" shapeId="0">
      <text>
        <t>active_flag
Branch active in legacy
Mandatory: Yes
Format: Flag, up to 1; Y or N
Allowed values: Y or N
Example: Y</t>
      </text>
    </comment>
  </commentList>
</comments>
</file>

<file path=xl/comments/comment19.xml><?xml version="1.0" encoding="utf-8"?>
<comments xmlns="http://schemas.openxmlformats.org/spreadsheetml/2006/main">
  <authors>
    <author>iorta TechNXT</author>
  </authors>
  <commentList>
    <comment ref="B17" authorId="0" shapeId="0">
      <text>
        <t>insurer_code
Legacy insurer code
Mandatory: Yes
Format: Code, up to 30; As stored in legacy
Allowed values: The legacy code; mapped by the code map INSURER (Code Maps screen of the Data Migration Console; maps prepared in the Migration Workbook of BRD-13)
Example: MAL</t>
      </text>
    </comment>
    <comment ref="C17" authorId="0" shapeId="0">
      <text>
        <t>branch_code
Legacy insurer branch code
Mandatory: Yes
Format: Code, up to 20; As stored in legacy
Allowed values: Free entry, up to 20 characters
Example: MAL-CEB</t>
      </text>
    </comment>
    <comment ref="D17" authorId="0" shapeId="0">
      <text>
        <t>branch_name
Branch name
Mandatory: Yes
Format: Text, up to 120; Free text
Allowed values: Free entry, up to 120 characters
Example: Malayan Cebu</t>
      </text>
    </comment>
    <comment ref="E17" authorId="0" shapeId="0">
      <text>
        <t>city
City
Mandatory: No
Format: Text, up to 80; Free text
Allowed values: Free entry, up to 80 characters
Example: Cebu City</t>
      </text>
    </comment>
    <comment ref="F17" authorId="0" shapeId="0">
      <text>
        <t>lgt_rate
Local government tax rate of the branch location, in percent
Mandatory: No
Format: Decimal, up to 9,4; Dot decimal
Allowed values: A number
Example: 0.75</t>
      </text>
    </comment>
    <comment ref="G17" authorId="0" shapeId="0">
      <text>
        <t>placement_email
Branch placement e-mail
Mandatory: No
Format: Text, up to 120; name@domain
Allowed values: Free entry, up to 120 characters
Example: cebu@insurer.example</t>
      </text>
    </comment>
    <comment ref="H17" authorId="0" shapeId="0">
      <text>
        <t>status
Branch status
Mandatory: Yes
Format: Code, up to 20; As stored in legacy
Allowed values: The legacy code; mapped by the code map STATUS:INSURER (Code Maps screen of the Data Migration Console; maps prepared in the Migration Workbook of BRD-13)
Example: ACTIVE</t>
      </text>
    </comment>
  </commentList>
</comments>
</file>

<file path=xl/comments/comment20.xml><?xml version="1.0" encoding="utf-8"?>
<comments xmlns="http://schemas.openxmlformats.org/spreadsheetml/2006/main">
  <authors>
    <author>iorta TechNXT</author>
  </authors>
  <commentList>
    <comment ref="B17" authorId="0" shapeId="0">
      <text>
        <t>branch_code
Issuing branch
Mandatory: Yes
Format: Code, up to 20; As stored in legacy
Allowed values: The legacy code; mapped by the code map BRANCH (Code Maps screen of the Data Migration Console; maps prepared in the Migration Workbook of BRD-13)
Example: MKT01</t>
      </text>
    </comment>
    <comment ref="C17" authorId="0" shapeId="0">
      <text>
        <t>kind
Receipt kind
Mandatory: Yes
Format: Code, up to 2; Upper case
Allowed values: AR, OR (list R11 kind)
Example: AR</t>
      </text>
    </comment>
    <comment ref="D17" authorId="0" shapeId="0">
      <text>
        <t>atp_no
BIR Authority to Print number
Mandatory: Yes
Format: Text, up to 40; As printed
Allowed values: Free entry, up to 40 characters
Example: ATP-OCN-2025-000123</t>
      </text>
    </comment>
    <comment ref="E17" authorId="0" shapeId="0">
      <text>
        <t>prefix
Series prefix
Mandatory: No
Format: Text, up to 20; As printed
Allowed values: Free entry, up to 20 characters
Example: AR-MKT</t>
      </text>
    </comment>
    <comment ref="F17" authorId="0" shapeId="0">
      <text>
        <t>from_no
First number of the series
Mandatory: Yes
Format: Integer, up to 12; Digits
Allowed values: A whole number
Example: 100001</t>
      </text>
    </comment>
    <comment ref="G17" authorId="0" shapeId="0">
      <text>
        <t>to_no
Last number of the series
Mandatory: Yes
Format: Integer, up to 12; Digits
Allowed values: A whole number
Example: 150000</t>
      </text>
    </comment>
    <comment ref="H17" authorId="0" shapeId="0">
      <text>
        <t>last_used_no
Last number issued in legacy at the freeze
Mandatory: Yes
Format: Integer, up to 12; Digits
Allowed values: A whole number
Example: 131245</t>
      </text>
    </comment>
    <comment ref="I17" authorId="0" shapeId="0">
      <text>
        <t>next_no
Next number BIBS issues
Mandatory: Yes
Format: Integer, up to 12; Digits
Allowed values: A whole number
Example: 131246</t>
      </text>
    </comment>
  </commentList>
</comments>
</file>

<file path=xl/comments/comment21.xml><?xml version="1.0" encoding="utf-8"?>
<comments xmlns="http://schemas.openxmlformats.org/spreadsheetml/2006/main">
  <authors>
    <author>iorta TechNXT</author>
  </authors>
  <commentList>
    <comment ref="B17" authorId="0" shapeId="0">
      <text>
        <t>Rule ID
Identifier of the rule
Mandatory: Yes
Format: SOD-nn
Allowed values: Free entry
Example: SOD-01</t>
      </text>
    </comment>
    <comment ref="C17" authorId="0" shapeId="0">
      <text>
        <t>Rule
The rule
Mandatory: Yes
Format: Text
Allowed values: Free entry
Example: The requester never decides his own request</t>
      </text>
    </comment>
    <comment ref="D17" authorId="0" shapeId="0">
      <text>
        <t>Status
Enforced = a fixed rule of BIBS
Mandatory: Yes
Format: Code from the drop-down
Allowed values: Enforced, To confirm, New (list Status (UA-04))
Example: Enforced</t>
      </text>
    </comment>
    <comment ref="E17" authorId="0" shapeId="0">
      <text>
        <t>Profile or permission A
First profile of the combination
Mandatory: Conditional: combination rule
Format: Group profile codes separated by commas
Allowed values: Codes of UA-02 Role-to-permission matrix, column Group profile code (one or more)
Example: UAM_REQUESTOR</t>
      </text>
    </comment>
    <comment ref="F17" authorId="0" shapeId="0">
      <text>
        <t>Profile or permission B
Profile that may not be held with A
Mandatory: Conditional: combination rule
Format: Group profile codes separated by commas
Allowed values: Codes of UA-02 Role-to-permission matrix, column Group profile code (one or more)
Example: UAM_APPROVER</t>
      </text>
    </comment>
    <comment ref="G17" authorId="0" shapeId="0">
      <text>
        <t>Control
How the rule is controlled
Mandatory: Yes
Format: Code from the drop-down
Allowed values: Prevent, Detect by review, Second approval (list Control (UA-04))
Example: Prevent</t>
      </text>
    </comment>
    <comment ref="H17" authorId="0" shapeId="0">
      <text>
        <t>Review frequency
How often the reports are reviewed
Mandatory: No
Format: Code from the drop-down
Allowed values: Monthly, Quarterly (list Review frequency (UA-04))
Example: Quarterly</t>
      </text>
    </comment>
  </commentList>
</comments>
</file>

<file path=xl/comments/comment22.xml><?xml version="1.0" encoding="utf-8"?>
<comments xmlns="http://schemas.openxmlformats.org/spreadsheetml/2006/main">
  <authors>
    <author>iorta TechNXT</author>
  </authors>
  <commentList>
    <comment ref="B16" authorId="0" shapeId="0">
      <text>
        <t>Client Code
Prospect or client code to update; blank to create or match (a client or prospect known to BIBS)
Mandatory: No
Format: Text
Allowed values: Free entry</t>
      </text>
    </comment>
    <comment ref="C16" authorId="0" shapeId="0">
      <text>
        <t>Client Type
Individual or corporate client
Mandatory: Yes
Format: Text
Allowed values: INDIVIDUAL, CORPORATE (list Client Type (UP-01))
Example: INDIVIDUAL</t>
      </text>
    </comment>
    <comment ref="D16" authorId="0" shapeId="0">
      <text>
        <t>Last Name
Last name of an individual
Mandatory: Conditional: Client Type is INDIVIDUAL
Format: Text
Allowed values: Free entry
Example: Reyes</t>
      </text>
    </comment>
    <comment ref="E16" authorId="0" shapeId="0">
      <text>
        <t>First Name
First name of an individual
Mandatory: Conditional: Client Type is INDIVIDUAL
Format: Text
Allowed values: Free entry
Example: Ana</t>
      </text>
    </comment>
    <comment ref="F16" authorId="0" shapeId="0">
      <text>
        <t>Middle Name
Middle name
Mandatory: No
Format: Text
Allowed values: Free entry
Example: Cruz</t>
      </text>
    </comment>
    <comment ref="G16" authorId="0" shapeId="0">
      <text>
        <t>Corporate Name
Registered name of a corporate client
Mandatory: Conditional: Client Type is CORPORATE
Format: Text
Allowed values: Free entry</t>
      </text>
    </comment>
    <comment ref="H16" authorId="0" shapeId="0">
      <text>
        <t>Birth Date
Birth date of an individual
Mandatory: No
Format: Date (dd-mmm-yyyy or yyyy-mm-dd)
Allowed values: A date, for example 15-Jan-2028
Example: 15-Apr-1990</t>
      </text>
    </comment>
    <comment ref="I16" authorId="0" shapeId="0">
      <text>
        <t>TIN
Tax identification number
Mandatory: No
Format: 000-000-000-000
Allowed values: Free entry
Example: 123-456-789-000</t>
      </text>
    </comment>
    <comment ref="J16" authorId="0" shapeId="0">
      <text>
        <t>ID Type
Type of the identity document
Mandatory: No
Format: Text
Allowed values: List Identification document: 10 values, see Reference lists
Example: PASSPORT</t>
      </text>
    </comment>
    <comment ref="K16" authorId="0" shapeId="0">
      <text>
        <t>ID Number
Number of the identity document
Mandatory: Conditional: ID Type is given
Format: Text
Allowed values: Free entry
Example: P1234567A</t>
      </text>
    </comment>
    <comment ref="L16" authorId="0" shapeId="0">
      <text>
        <t>E-mail
E-mail address
Mandatory: No
Format: Text
Allowed values: Free entry
Example: ana.reyes@example.ph</t>
      </text>
    </comment>
    <comment ref="M16" authorId="0" shapeId="0">
      <text>
        <t>Mobile
Mobile number
Mandatory: No
Format: 09xxxxxxxxx or +639xxxxxxxxx
Allowed values: Free entry
Example: 09171234567</t>
      </text>
    </comment>
    <comment ref="N16" authorId="0" shapeId="0">
      <text>
        <t>Address
Street address
Mandatory: No
Format: Text
Allowed values: Free entry
Example: 12 Rizal St.</t>
      </text>
    </comment>
    <comment ref="O16" authorId="0" shapeId="0">
      <text>
        <t>City
City / municipality
Mandatory: No
Format: Text
Allowed values: Free entry
Example: Pasig</t>
      </text>
    </comment>
    <comment ref="P16" authorId="0" shapeId="0">
      <text>
        <t>Province
Province
Mandatory: No
Format: Text
Allowed values: Free entry
Example: Metro Manila</t>
      </text>
    </comment>
    <comment ref="Q16" authorId="0" shapeId="0">
      <text>
        <t>Postal Code
Postal code
Mandatory: No
Format: Text
Allowed values: Free entry
Example: 1600</t>
      </text>
    </comment>
    <comment ref="R16" authorId="0" shapeId="0">
      <text>
        <t>Market Segment
Market segment
Mandatory: No
Format: Text
Allowed values: CBG, COMBANK, CORBANK, RETAIL, INSTITUTIONAL (list Market segment)
Example: CBG</t>
      </text>
    </comment>
    <comment ref="S16" authorId="0" shapeId="0">
      <text>
        <t>Bank Client
Client of the group's bank
Mandatory: No
Format: Y or N
Allowed values: Y or N
Example: Y</t>
      </text>
    </comment>
    <comment ref="T16" authorId="0" shapeId="0">
      <text>
        <t>Bank CIF
Customer information file number at the group's bank
Mandatory: Conditional: Bank Client is Y
Format: Text
Allowed values: Free entry</t>
      </text>
    </comment>
    <comment ref="U16" authorId="0" shapeId="0">
      <text>
        <t>Nationality
Nationality
Mandatory: No
Format: Text
Allowed values: FILIPINO, AMERICAN, CHINESE, JAPANESE, KOREAN, OTHERS (list Nationality)
Example: FILIPINO</t>
      </text>
    </comment>
    <comment ref="V16" authorId="0" shapeId="0">
      <text>
        <t>Source of Funds
Source of funds
Mandatory: No
Format: Text
Allowed values: SALARY, BUSINESS, REMITTANCE, INVESTMENT, PENSION, OTHERS (list Source of funds)
Example: SALARY</t>
      </text>
    </comment>
    <comment ref="W16" authorId="0" shapeId="0">
      <text>
        <t>Risk Rating
Know-your-client risk rating
Mandatory: No
Format: Text
Allowed values: LOW, STANDARD, HIGH (list KYC risk rating)
Example: STANDARD</t>
      </text>
    </comment>
  </commentList>
</comments>
</file>

<file path=xl/comments/comment23.xml><?xml version="1.0" encoding="utf-8"?>
<comments xmlns="http://schemas.openxmlformats.org/spreadsheetml/2006/main">
  <authors>
    <author>iorta TechNXT</author>
  </authors>
  <commentList>
    <comment ref="B18" authorId="0" shapeId="0">
      <text>
        <t>legacy_client_no
Client number in the source system
Mandatory: Yes
Format: Code, up to 30; As stored in legacy
Allowed values: Free entry, up to 30 characters
Example: Q-0012345</t>
      </text>
    </comment>
    <comment ref="C18" authorId="0" shapeId="0">
      <text>
        <t>client_type
Individual or corporate
Mandatory: Yes
Format: Code, up to 1; Upper case
Allowed values: I, C (list C01 client_type)
Example: I</t>
      </text>
    </comment>
    <comment ref="D18" authorId="0" shapeId="0">
      <text>
        <t>last_name
Last name (individual)
Mandatory: Conditional: Mandatory for I
Format: Text, up to 100; Free text
Allowed values: Free entry, up to 100 characters
Example: Reyes</t>
      </text>
    </comment>
    <comment ref="E18" authorId="0" shapeId="0">
      <text>
        <t>first_name
First name (individual)
Mandatory: Conditional: Mandatory for I
Format: Text, up to 100; Free text
Allowed values: Free entry, up to 100 characters
Example: Ana</t>
      </text>
    </comment>
    <comment ref="F18" authorId="0" shapeId="0">
      <text>
        <t>middle_name
Middle name
Mandatory: No
Format: Text, up to 100; Free text
Allowed values: Free entry, up to 100 characters
Example: Cruz</t>
      </text>
    </comment>
    <comment ref="G18" authorId="0" shapeId="0">
      <text>
        <t>suffix
Name suffix
Mandatory: No
Format: Text, up to 20; Free text
Allowed values: Free entry, up to 20 characters
Example: Jr.</t>
      </text>
    </comment>
    <comment ref="H18" authorId="0" shapeId="0">
      <text>
        <t>corporate_name
Registered name (corporate)
Mandatory: Conditional: Mandatory for C
Format: Text, up to 200; Free text
Allowed values: Free entry, up to 200 characters
Example: Acme Trading Corp.</t>
      </text>
    </comment>
    <comment ref="I18" authorId="0" shapeId="0">
      <text>
        <t>registration_no
SEC or DTI registration number (corporate)
Mandatory: No
Format: Text, up to 60; As registered
Allowed values: Free entry, up to 60 characters
Example: CS201912345</t>
      </text>
    </comment>
    <comment ref="J18" authorId="0" shapeId="0">
      <text>
        <t>birth_date
Birth date (individual)
Mandatory: Conditional: Mandatory for I; not in the future; age 0 to 120
Format: Date, up to 10; yyyy-MM-dd
Allowed values: Free entry
Example: 1990-04-15</t>
      </text>
    </comment>
    <comment ref="K18" authorId="0" shapeId="0">
      <text>
        <t>tin
Tax identification number
Mandatory: No
Format: Text, up to 20; 000-000-000-000
Allowed values: Free entry, up to 20 characters
Example: 123-456-789-000</t>
      </text>
    </comment>
    <comment ref="L18" authorId="0" shapeId="0">
      <text>
        <t>id_type
Government ID type
Mandatory: No
Format: Code, up to 40; As stored in legacy
Allowed values: The legacy code; mapped by the code map LOV:ID_TYPE (Code Maps screen of the Data Migration Console; maps prepared in the Migration Workbook of BRD-13)
Example: PASSPORT</t>
      </text>
    </comment>
    <comment ref="M18" authorId="0" shapeId="0">
      <text>
        <t>id_number
Government ID number
Mandatory: Conditional: Mandatory when id_type is given; duplicate key K2
Format: Text, up to 60; As printed
Allowed values: Free entry, up to 60 characters
Example: P1234567A</t>
      </text>
    </comment>
    <comment ref="N18" authorId="0" shapeId="0">
      <text>
        <t>bank_client_flag
BDO bank client
Mandatory: No
Format: Flag, up to 1; Y or N
Allowed values: Y or N
Example: Y</t>
      </text>
    </comment>
    <comment ref="O18" authorId="0" shapeId="0">
      <text>
        <t>bank_cif
BDO customer information file number
Mandatory: No
Format: Text, up to 40; Digits
Allowed values: Free entry, up to 40 characters
Example: 1234567890</t>
      </text>
    </comment>
    <comment ref="P18" authorId="0" shapeId="0">
      <text>
        <t>nationality
Nationality
Mandatory: No
Format: Code, up to 40; As stored in legacy
Allowed values: The legacy code; mapped by the code map LOV:NATIONALITY (Code Maps screen of the Data Migration Console; maps prepared in the Migration Workbook of BRD-13)
Example: FILIPINO</t>
      </text>
    </comment>
    <comment ref="Q18" authorId="0" shapeId="0">
      <text>
        <t>source_of_funds
Source of funds
Mandatory: No
Format: Code, up to 40; As stored in legacy
Allowed values: The legacy code; mapped by the code map LOV:SOURCE_OF_FUNDS (Code Maps screen of the Data Migration Console; maps prepared in the Migration Workbook of BRD-13)
Example: SALARY</t>
      </text>
    </comment>
    <comment ref="R18" authorId="0" shapeId="0">
      <text>
        <t>market_segment
Market segment
Mandatory: Yes
Format: Code, up to 40; As stored in legacy
Allowed values: The legacy code; mapped by the code map LOV:MARKET_SEGMENT (Code Maps screen of the Data Migration Console; maps prepared in the Migration Workbook of BRD-13)
Example: CBG</t>
      </text>
    </comment>
    <comment ref="S18" authorId="0" shapeId="0">
      <text>
        <t>customer_segment
Customer segment (MIS)
Mandatory: No
Format: Code, up to 40; As stored in legacy
Allowed values: The legacy code; mapped by the code map MIS:CUSTOMER_SEGMENT (Code Maps screen of the Data Migration Console; maps prepared in the Migration Workbook of BRD-13)
Example: AFFLUENT</t>
      </text>
    </comment>
    <comment ref="T18" authorId="0" shapeId="0">
      <text>
        <t>business_origin
Business origin (MIS)
Mandatory: No
Format: Code, up to 40; As stored in legacy
Allowed values: The legacy code; mapped by the code map MIS:BUSINESS_ORIGIN (Code Maps screen of the Data Migration Console; maps prepared in the Migration Workbook of BRD-13)
Example: BANK_REFERRAL</t>
      </text>
    </comment>
    <comment ref="U18" authorId="0" shapeId="0">
      <text>
        <t>ao_user_id
Account officer
Mandatory: No
Format: Code, up to 50; As stored in legacy
Allowed values: The legacy code; mapped by the code map USER (Code Maps screen of the Data Migration Console; maps prepared in the Migration Workbook of BRD-13)
Example: mreyes</t>
      </text>
    </comment>
    <comment ref="V18" authorId="0" shapeId="0">
      <text>
        <t>sales_unit_code
Sales unit of the client
Mandatory: No
Format: Code, up to 20; As stored in legacy
Allowed values: The legacy code; mapped by the code map SALES_UNIT (Code Maps screen of the Data Migration Console; maps prepared in the Migration Workbook of BRD-13)
Example: T-RET-07</t>
      </text>
    </comment>
    <comment ref="W18" authorId="0" shapeId="0">
      <text>
        <t>branch_code
Servicing branch
Mandatory: No
Format: Code, up to 20; As stored in legacy
Allowed values: The legacy code; mapped by the code map BRANCH (Code Maps screen of the Data Migration Console; maps prepared in the Migration Workbook of BRD-13)
Example: MKT01</t>
      </text>
    </comment>
    <comment ref="X18" authorId="0" shapeId="0">
      <text>
        <t>email
Primary e-mail
Mandatory: No
Format: Text, up to 120; name@domain
Allowed values: Free entry, up to 120 characters
Example: ana.reyes@example.ph</t>
      </text>
    </comment>
    <comment ref="Y18" authorId="0" shapeId="0">
      <text>
        <t>mobile
Primary mobile number
Mandatory: No
Format: Text, up to 30; 09xxxxxxxxx or +639xxxxxxxxx
Allowed values: Free entry, up to 30 characters
Example: 09171234567</t>
      </text>
    </comment>
    <comment ref="Z18" authorId="0" shapeId="0">
      <text>
        <t>phone
Landline
Mandatory: No
Format: Text, up to 30; Free text
Allowed values: Free entry, up to 30 characters
Example: (02) 8123 4567</t>
      </text>
    </comment>
    <comment ref="AA18" authorId="0" shapeId="0">
      <text>
        <t>address_line
Primary street address
Mandatory: No
Format: Text, up to 300; Free text
Allowed values: Free entry, up to 300 characters
Example: 12 Rizal St., Brgy. San Antonio</t>
      </text>
    </comment>
    <comment ref="AB18" authorId="0" shapeId="0">
      <text>
        <t>city
City / municipality
Mandatory: No
Format: Text, up to 80; Free text
Allowed values: Free entry, up to 80 characters
Example: Pasig</t>
      </text>
    </comment>
    <comment ref="AC18" authorId="0" shapeId="0">
      <text>
        <t>province
Province
Mandatory: No
Format: Text, up to 80; Free text
Allowed values: Free entry, up to 80 characters
Example: Metro Manila</t>
      </text>
    </comment>
    <comment ref="AD18" authorId="0" shapeId="0">
      <text>
        <t>postal_code
Postal code
Mandatory: No
Format: Text, up to 10; 4 digits
Allowed values: Free entry, up to 10 characters
Example: 1600</t>
      </text>
    </comment>
    <comment ref="AE18" authorId="0" shapeId="0">
      <text>
        <t>kyc_status
KYC status in legacy
Mandatory: No
Format: Code, up to 20; As stored in legacy
Allowed values: The legacy code; mapped by the code map STATUS:KYC (Code Maps screen of the Data Migration Console; maps prepared in the Migration Workbook of BRD-13)
Example: COMPLETE</t>
      </text>
    </comment>
    <comment ref="AF18" authorId="0" shapeId="0">
      <text>
        <t>kyc_verified_date
Date KYC was verified
Mandatory: No
Format: Date, up to 10; yyyy-MM-dd
Allowed values: Free entry
Example: 2024-03-11</t>
      </text>
    </comment>
    <comment ref="AG18" authorId="0" shapeId="0">
      <text>
        <t>kyc_review_due
Next KYC review date
Mandatory: No
Format: Date, up to 10; yyyy-MM-dd
Allowed values: Free entry
Example: 2028-03-11</t>
      </text>
    </comment>
    <comment ref="AH18" authorId="0" shapeId="0">
      <text>
        <t>risk_rating
KYC risk rating
Mandatory: No
Format: Code, up to 20; As stored in legacy
Allowed values: The legacy code; mapped by the code map LOV:KYC_RISK_RATING (Code Maps screen of the Data Migration Console; maps prepared in the Migration Workbook of BRD-13)
Example: STANDARD</t>
      </text>
    </comment>
    <comment ref="AI18" authorId="0" shapeId="0">
      <text>
        <t>client_status
Client status in legacy
Mandatory: Yes
Format: Code, up to 20; As stored in legacy
Allowed values: The legacy code; mapped by the code map STATUS:CLIENT (Code Maps screen of the Data Migration Console; maps prepared in the Migration Workbook of BRD-13)
Example: ACTIVE</t>
      </text>
    </comment>
    <comment ref="AJ18" authorId="0" shapeId="0">
      <text>
        <t>created_date
Date the client was created in legacy
Mandatory: Yes
Format: Date, up to 10; yyyy-MM-dd
Allowed values: Free entry
Example: 2021-07-02</t>
      </text>
    </comment>
    <comment ref="AK18" authorId="0" shapeId="0">
      <text>
        <t>last_updated
Last change in legacy (survivorship and deltas)
Mandatory: Yes
Format: Timestamp, up to 19; yyyy-MM-dd HH:mm:ss
Allowed values: Free entry
Example: 2026-08-30 14:22:05</t>
      </text>
    </comment>
  </commentList>
</comments>
</file>

<file path=xl/comments/comment24.xml><?xml version="1.0" encoding="utf-8"?>
<comments xmlns="http://schemas.openxmlformats.org/spreadsheetml/2006/main">
  <authors>
    <author>iorta TechNXT</author>
  </authors>
  <commentList>
    <comment ref="B18" authorId="0" shapeId="0">
      <text>
        <t>Tax code
Code of the tax
Mandatory: Yes
Format: Up to 20 capitals
Allowed values: Free entry
Example: EWT_WC158</t>
      </text>
    </comment>
    <comment ref="C18" authorId="0" shapeId="0">
      <text>
        <t>Name
Name of the tax
Mandatory: Yes
Format: Text
Allowed values: Free entry
Example: EWT 1% - goods</t>
      </text>
    </comment>
    <comment ref="D18" authorId="0" shapeId="0">
      <text>
        <t>Tax type
Kind of tax
Mandatory: Yes
Format: Code from the drop-down
Allowed values: List Tax type (BIBS): 12 values, see Reference lists
Example: EWT</t>
      </text>
    </comment>
    <comment ref="E18" authorId="0" shapeId="0">
      <text>
        <t>ATC
Alphanumeric tax code of the BIR
Mandatory: Conditional: EWT, FWT
Format: Text
Allowed values: Free entry
Example: WC158</t>
      </text>
    </comment>
    <comment ref="F18" authorId="0" shapeId="0">
      <text>
        <t>Payee class
Payee class of the withholding
Mandatory: No
Format: Code from the drop-down
Allowed values: INDIVIDUAL, CORPORATE (list Payee class (BIR))
Example: CORPORATE</t>
      </text>
    </comment>
    <comment ref="G18" authorId="0" shapeId="0">
      <text>
        <t>Rate %
Rate in percent
Mandatory: Yes
Format: Number without thousands separators, e.g. 1500000.50
Allowed values: A number from 0 to 100
Example: 1</t>
      </text>
    </comment>
    <comment ref="H18" authorId="0" shapeId="0">
      <text>
        <t>GL account
Account the tax posts to
Mandatory: Yes
Format: Text
Allowed values: Code of an existing account of the chart of accounts
Example: 2150.02</t>
      </text>
    </comment>
    <comment ref="I18" authorId="0" shapeId="0">
      <text>
        <t>Income nature
Nature of the income
Mandatory: No
Format: Text
Allowed values: Free entry
Example: Purchase of goods</t>
      </text>
    </comment>
    <comment ref="J18" authorId="0" shapeId="0">
      <text>
        <t>Effective from
First day of the rate
Mandatory: Yes
Format: Date dd-MMM-yyyy, e.g. 15-Jan-2026
Allowed values: A date, for example 15-Jan-2028
Example: 01-Jan-2028</t>
      </text>
    </comment>
    <comment ref="K18" authorId="0" shapeId="0">
      <text>
        <t>Effective to
Last day of the rate; blank = open
Mandatory: No
Format: Date dd-MMM-yyyy, e.g. 15-Jan-2026
Allowed values: A date, for example 15-Jan-2028</t>
      </text>
    </comment>
  </commentList>
</comments>
</file>

<file path=xl/comments/comment25.xml><?xml version="1.0" encoding="utf-8"?>
<comments xmlns="http://schemas.openxmlformats.org/spreadsheetml/2006/main">
  <authors>
    <author>iorta TechNXT</author>
  </authors>
  <commentList>
    <comment ref="A4" authorId="0" shapeId="0">
      <text>
        <t>Tax: Item</t>
      </text>
    </comment>
    <comment ref="B4" authorId="0" shapeId="0">
      <text>
        <t>What BIBS does: The rule of the platform</t>
      </text>
    </comment>
    <comment ref="C4" authorId="0" shapeId="0">
      <text>
        <t>Where it is set up: Template, column or list</t>
      </text>
    </comment>
    <comment ref="D4" authorId="0" shapeId="0">
      <text>
        <t>What BDOI provides or confirms: Input asked from BDOI</t>
      </text>
    </comment>
    <comment ref="E4" authorId="0" shapeId="0">
      <text>
        <t>Held by BIBS: Yes, or No (sheet Gaps)</t>
      </text>
    </comment>
    <comment ref="F4" authorId="0" shapeId="0">
      <text>
        <t>Question: Ref of the question in the BDOI Requirements and Inputs workbook</t>
      </text>
    </comment>
    <comment ref="G4" authorId="0" shapeId="0">
      <text>
        <t>Rule confirmed: Agree, or Change (describe in BDOI comments)</t>
      </text>
    </comment>
    <comment ref="H4" authorId="0" shapeId="0">
      <text>
        <t>BDOI comments: Decision, value or comment of the owner</t>
      </text>
    </comment>
    <comment ref="I4" authorId="0" shapeId="0">
      <text>
        <t>Status: Status of the item</t>
      </text>
    </comment>
  </commentList>
</comments>
</file>

<file path=xl/comments/comment26.xml><?xml version="1.0" encoding="utf-8"?>
<comments xmlns="http://schemas.openxmlformats.org/spreadsheetml/2006/main">
  <authors>
    <author>iorta TechNXT</author>
  </authors>
  <commentList>
    <comment ref="B17" authorId="0" shapeId="0">
      <text>
        <t>Bank account code
Code of the bank account
Mandatory: Yes
Format: Up to 20 capitals
Allowed values: Free entry
Example: BNK-CA-001</t>
      </text>
    </comment>
    <comment ref="C17" authorId="0" shapeId="0">
      <text>
        <t>Name
Name of the account
Mandatory: Yes
Format: Text
Allowed values: Free entry
Example: Makati current account</t>
      </text>
    </comment>
    <comment ref="D17" authorId="0" shapeId="0">
      <text>
        <t>Bank
Bank name
Mandatory: Yes
Format: Text
Allowed values: Free entry
Example: Metropolitan Commercial Bank</t>
      </text>
    </comment>
    <comment ref="E17" authorId="0" shapeId="0">
      <text>
        <t>Account number
As printed by the bank
Mandatory: Yes
Format: Text
Allowed values: Free entry
Example: 000123456789</t>
      </text>
    </comment>
    <comment ref="F17" authorId="0" shapeId="0">
      <text>
        <t>Currency
Currency of the account
Mandatory: Yes
Format: Text
Allowed values: Free entry
Example: PHP</t>
      </text>
    </comment>
    <comment ref="G17" authorId="0" shapeId="0">
      <text>
        <t>GL account
Account of the chart with a bank category
Mandatory: Yes
Format: Text
Allowed values: Code of an existing account of the chart of accounts
Example: 1110.01</t>
      </text>
    </comment>
    <comment ref="H17" authorId="0" shapeId="0">
      <text>
        <t>PDC clearing account
Account of the post-dated checks
Mandatory: No
Format: Text
Allowed values: Code of an existing account of the chart of accounts
Example: 2241</t>
      </text>
    </comment>
    <comment ref="I17" authorId="0" shapeId="0">
      <text>
        <t>Branch code
Branch of the account
Mandatory: No
Format: Text
Allowed values: Code of an existing branch
Example: HO</t>
      </text>
    </comment>
    <comment ref="J17" authorId="0" shapeId="0">
      <text>
        <t>Payment notification format
Format of the bank advice
Mandatory: Yes
Format: Code from the drop-down
Allowed values: FIXED_WIDTH, CSV, DCTF (list Payment notification format (D0-11))
Example: CSV</t>
      </text>
    </comment>
  </commentList>
</comments>
</file>

<file path=xl/comments/comment27.xml><?xml version="1.0" encoding="utf-8"?>
<comments xmlns="http://schemas.openxmlformats.org/spreadsheetml/2006/main">
  <authors>
    <author>iorta TechNXT</author>
  </authors>
  <commentList>
    <comment ref="B16" authorId="0" shapeId="0">
      <text>
        <t>Line code
Product line (level 1), for example MOTOR, PROPERTY
Mandatory: Yes
Format: Up to 30 capitals
Allowed values: Free entry, up to 30 characters
Example: MOTOR</t>
      </text>
    </comment>
    <comment ref="C16" authorId="0" shapeId="0">
      <text>
        <t>Line name
Name shown in the drop-downs
Mandatory: Yes
Format: Text
Allowed values: Free entry
Example: Motor</t>
      </text>
    </comment>
    <comment ref="D16" authorId="0" shapeId="0">
      <text>
        <t>Risk-code pattern
Naming convention of the risk codes of the line, when BDOI states one
Mandatory: No
Format: Regular expression
Allowed values: Free entry
Example: MTR[0-9]{2}</t>
      </text>
    </comment>
    <comment ref="E16" authorId="0" shapeId="0">
      <text>
        <t>Cover type code
Cover type (level 2) of the line
Mandatory: Conditional: package products
Format: Up to 30 capitals
Allowed values: Free entry, up to 30 characters
Example: COMPREHENSIVE</t>
      </text>
    </comment>
    <comment ref="F16" authorId="0" shapeId="0">
      <text>
        <t>Cover type name
Name of the cover type
Mandatory: Conditional: with the code
Format: Text
Allowed values: Free entry
Example: Comprehensive</t>
      </text>
    </comment>
    <comment ref="G16" authorId="0" shapeId="0">
      <text>
        <t>Parent cover type
Only for a subtype (one level below a cover type)
Mandatory: No
Format: Cover type code
Allowed values: A code of PM-01 Product catalogue, column Cover type code</t>
      </text>
    </comment>
    <comment ref="H16" authorId="0" shapeId="0">
      <text>
        <t>Risk code
Product code (level 3); unique
Mandatory: Yes
Format: 1 to 20 capitals or digits
Allowed values: Free entry, up to 20 characters
Example: MTR30</t>
      </text>
    </comment>
    <comment ref="I16" authorId="0" shapeId="0">
      <text>
        <t>Product name
Name shown to users
Mandatory: Yes
Format: Up to 200 characters
Allowed values: Free entry, up to 200 characters
Example: Motor Fleet Plus</t>
      </text>
    </comment>
    <comment ref="J16" authorId="0" shapeId="0">
      <text>
        <t>Legacy code
Code of the product in QPS or EBIX, for the migration map
Mandatory: No
Format: Text
Allowed values: Free entry
Example: QPS-MFP</t>
      </text>
    </comment>
    <comment ref="K16" authorId="0" shapeId="0">
      <text>
        <t>Package
Y for a package product (terms change through versions)
Mandatory: Yes
Format: Y or N
Allowed values: Y or N
Example: Y</t>
      </text>
    </comment>
    <comment ref="L16" authorId="0" shapeId="0">
      <text>
        <t>Market segments
Segments the product is offered to (list MARKET_SEGMENT)
Mandatory: No
Format: Codes separated by commas; blank = all
Allowed values: One or more codes of the list Market segment (Reference lists), separated by commas
Example: COMBANK</t>
      </text>
    </comment>
    <comment ref="M16" authorId="0" shapeId="0">
      <text>
        <t>Placement after
Payment gate before placement
Mandatory: Yes
Format: PAID or CLIENT_CONFIRMATION
Allowed values: PAID, CLIENT_CONFIRMATION (list Placement after)
Example: PAID</t>
      </text>
    </comment>
    <comment ref="N16" authorId="0" shapeId="0">
      <text>
        <t>TSU review
When TSU reviews an account of the product
Mandatory: No
Format: BY_RULES, ALWAYS or NEVER
Allowed values: BY_RULES, ALWAYS, NEVER (list TSU review)
Example: BY_RULES</t>
      </text>
    </comment>
    <comment ref="O16" authorId="0" shapeId="0">
      <text>
        <t>Default rate %
Rate of a non-package product; for a package, of version 1
Mandatory: No
Format: Up to four decimals
Allowed values: A number from 0 to 100
Example: 1.2000</t>
      </text>
    </comment>
    <comment ref="P16" authorId="0" shapeId="0">
      <text>
        <t>Default commission %
Commission when no insurer rate applies
Mandatory: Yes
Format: Percentage
Allowed values: A number from 0 to 100
Example: 15</t>
      </text>
    </comment>
    <comment ref="Q16" authorId="0" shapeId="0">
      <text>
        <t>Minimum premium
Minimum premium of the product
Mandatory: Yes
Format: Amount in PHP
Allowed values: A number
Example: 5000.00</t>
      </text>
    </comment>
    <comment ref="R16" authorId="0" shapeId="0">
      <text>
        <t>Package TSI limit
Above it the account goes to TSU
Mandatory: No
Format: Amount in PHP
Allowed values: A number
Example: 5000000.00</t>
      </text>
    </comment>
    <comment ref="S16" authorId="0" shapeId="0">
      <text>
        <t>Fleet
Several vehicles on one account
Mandatory: No
Format: Y or N
Allowed values: Y or N
Example: Y</t>
      </text>
    </comment>
    <comment ref="T16" authorId="0" shapeId="0">
      <text>
        <t>Mortgage related
Mortgage or loan related
Mandatory: No
Format: Y or N
Allowed values: Y or N
Example: N</t>
      </text>
    </comment>
    <comment ref="U16" authorId="0" shapeId="0">
      <text>
        <t>Direct payment allowed
Premium may be paid directly to the insurer
Mandatory: No
Format: Y or N
Allowed values: Y or N
Example: N</t>
      </text>
    </comment>
    <comment ref="V16" authorId="0" shapeId="0">
      <text>
        <t>Multi-year / Maximum term
Multi-year term and its maximum
Mandatory: No
Format: Y or N; 2 to 10 years
Allowed values: Free entry
Example: N</t>
      </text>
    </comment>
    <comment ref="W16" authorId="0" shapeId="0">
      <text>
        <t>Free First Year
Free First Year eligible
Mandatory: No
Format: Y or N
Allowed values: Y or N
Example: N</t>
      </text>
    </comment>
  </commentList>
</comments>
</file>

<file path=xl/comments/comment28.xml><?xml version="1.0" encoding="utf-8"?>
<comments xmlns="http://schemas.openxmlformats.org/spreadsheetml/2006/main">
  <authors>
    <author>iorta TechNXT</author>
  </authors>
  <commentList>
    <comment ref="B17" authorId="0" shapeId="0">
      <text>
        <t>legacy_account_code
Legacy GL account code
Mandatory: Yes
Format: Code, up to 30; As stored in legacy
Allowed values: Free entry, up to 30 characters
Example: 1101-02</t>
      </text>
    </comment>
    <comment ref="C17" authorId="0" shapeId="0">
      <text>
        <t>legacy_account_name
Legacy account name
Mandatory: Yes
Format: Text, up to 200; Free text
Allowed values: Free entry, up to 200 characters
Example: Cash in Bank - BDO Makati</t>
      </text>
    </comment>
    <comment ref="D17" authorId="0" shapeId="0">
      <text>
        <t>account_type
Account type
Mandatory: Yes
Format: Code, up to 12; Upper case
Allowed values: ASSET, LIABILITY, EQUITY, INCOME, EXPENSE (list R08 account_type)
Example: ASSET</t>
      </text>
    </comment>
    <comment ref="E17" authorId="0" shapeId="0">
      <text>
        <t>normal_balance
Normal balance side
Mandatory: Yes
Format: Code, up to 2; Upper case
Allowed values: DR, CR (list R08 normal_balance)
Example: DR</t>
      </text>
    </comment>
    <comment ref="F17" authorId="0" shapeId="0">
      <text>
        <t>legacy_control_type
Marks the legacy control accounts whose balance F01 or F02 carries in detail
Mandatory: No
Format: Code, up to 20; Upper case
Allowed values: List R08 legacy_control_type: 8 values, see Reference lists
Example: NONE</t>
      </text>
    </comment>
    <comment ref="G17" authorId="0" shapeId="0">
      <text>
        <t>bibs_account_code
BIBS account the legacy account maps to (filled by Comptrollership)
Mandatory: Conditional: Mandatory when legacy_control_type is NONE; exists and active in BIBS
Format: Code, up to 30; As in the BIBS chart
Allowed values: Account codes of the BIBS chart of accounts
Example: X102.03 (illustrative code, not in use)</t>
      </text>
    </comment>
    <comment ref="H17" authorId="0" shapeId="0">
      <text>
        <t>branch_specific_flag
Balances are kept per branch
Mandatory: No
Format: Flag, up to 1; Y or N
Allowed values: Y or N
Example: Y</t>
      </text>
    </comment>
    <comment ref="I17" authorId="0" shapeId="0">
      <text>
        <t>remarks
Mapping remarks
Mandatory: No
Format: Text, up to 300; Free text
Allowed values: Free entry, up to 300 characters
Example: Merged with 1201-01</t>
      </text>
    </comment>
  </commentList>
</comments>
</file>

<file path=xl/comments/comment29.xml><?xml version="1.0" encoding="utf-8"?>
<comments xmlns="http://schemas.openxmlformats.org/spreadsheetml/2006/main">
  <authors>
    <author>iorta TechNXT</author>
  </authors>
  <commentList>
    <comment ref="B16" authorId="0" shapeId="0">
      <text>
        <t>Payee code
Party code of the payee (a party known to BIBS)
Mandatory: Yes
Format: Text
Allowed values: Free entry
Example: SUP-0001</t>
      </text>
    </comment>
    <comment ref="C16" authorId="0" shapeId="0">
      <text>
        <t>Payee class
Class of the payee
Mandatory: Yes
Format: Text
Allowed values: SUPPLIER, INSURER, EMPLOYEE, CLIENT, GOVERNMENT, OTHER (list Payee class)
Example: SUPPLIER</t>
      </text>
    </comment>
    <comment ref="D16" authorId="0" shapeId="0">
      <text>
        <t>Name
Payee name
Mandatory: Yes
Format: Text
Allowed values: Free entry
Example: Acme Office Supply</t>
      </text>
    </comment>
    <comment ref="E16" authorId="0" shapeId="0">
      <text>
        <t>Address
Address
Mandatory: No
Format: Text
Allowed values: Free entry
Example: Makati City</t>
      </text>
    </comment>
    <comment ref="F16" authorId="0" shapeId="0">
      <text>
        <t>Email
E-mail for payment advices
Mandatory: No
Format: Text
Allowed values: Free entry
Example: ap@acme.example</t>
      </text>
    </comment>
    <comment ref="G16" authorId="0" shapeId="0">
      <text>
        <t>TIN
Tax identification number
Mandatory: No
Format: Text
Allowed values: Free entry
Example: 123-456-789-000</t>
      </text>
    </comment>
    <comment ref="H16" authorId="0" shapeId="0">
      <text>
        <t>Default mode
Mode of payment used by default
Mandatory: Yes
Format: Text
Allowed values: List Default mode (UP-02): 7 values, see Reference lists
Example: CHECK</t>
      </text>
    </comment>
    <comment ref="I16" authorId="0" shapeId="0">
      <text>
        <t>Allowed modes
Modes of payment allowed for the payee
Mandatory: Yes
Format: Mode codes separated by |, e.g. CHECK|CTA
Allowed values: Codes of the Default mode list
Example: CHECK|CTA</t>
      </text>
    </comment>
    <comment ref="J16" authorId="0" shapeId="0">
      <text>
        <t>Currency
Currency of payment (a currency known to BIBS)
Mandatory: Yes
Format: ISO currency code, 3 letters
Allowed values: Free entry
Example: PHP</t>
      </text>
    </comment>
    <comment ref="K16" authorId="0" shapeId="0">
      <text>
        <t>Bank
Bank of the payee account
Mandatory: No
Format: Text
Allowed values: Free entry
Example: Philippine National Bank</t>
      </text>
    </comment>
    <comment ref="L16" authorId="0" shapeId="0">
      <text>
        <t>Account no
Account number of the payee at the bank
Mandatory: Conditional: a mode crediting an account (CTA, TT, online banking) is allowed
Format: Text
Allowed values: Free entry
Example: 001234567890</t>
      </text>
    </comment>
  </commentList>
</comments>
</file>

<file path=xl/comments/comment30.xml><?xml version="1.0" encoding="utf-8"?>
<comments xmlns="http://schemas.openxmlformats.org/spreadsheetml/2006/main">
  <authors>
    <author>iorta TechNXT</author>
  </authors>
  <commentList>
    <comment ref="B17" authorId="0" shapeId="0">
      <text>
        <t>Company code
Code of the company on every record
Mandatory: Yes
Format: Up to 10 capitals
Allowed values: Free entry
Example: IBRK</t>
      </text>
    </comment>
    <comment ref="C17" authorId="0" shapeId="0">
      <text>
        <t>Registered name
Name as registered with the SEC
Mandatory: Yes
Format: Text
Allowed values: Free entry
Example: Insurance Brokers, Inc.</t>
      </text>
    </comment>
    <comment ref="D17" authorId="0" shapeId="0">
      <text>
        <t>TIN
Tax identification number with branch code
Mandatory: Yes
Format: 000-000-000-00000
Allowed values: Free entry
Example: 000-000-000-00000</t>
      </text>
    </comment>
    <comment ref="E17" authorId="0" shapeId="0">
      <text>
        <t>Registered address
Address printed on receipts and BIR forms
Mandatory: Yes
Format: Text
Allowed values: Free entry
Example: Makati City</t>
      </text>
    </comment>
    <comment ref="F17" authorId="0" shapeId="0">
      <text>
        <t>Base currency
Currency of the books
Mandatory: Yes
Format: ISO 4217
Allowed values: Free entry
Example: PHP</t>
      </text>
    </comment>
    <comment ref="G17" authorId="0" shapeId="0">
      <text>
        <t>Fiscal year start month
First month of the financial year
Mandatory: Yes
Format: Number without thousands separators, e.g. 1500000.50
Allowed values: A whole number from 1 to 12
Example: 1</t>
      </text>
    </comment>
    <comment ref="H17" authorId="0" shapeId="0">
      <text>
        <t>Back-value days
How many days before today a posting may be dated
Mandatory: Yes
Format: Number without thousands separators, e.g. 1500000.50
Allowed values: A whole number from 0 to 365
Example: 5</t>
      </text>
    </comment>
    <comment ref="I17" authorId="0" shapeId="0">
      <text>
        <t>Forward-value days
How many days after today a posting may be dated
Mandatory: Yes
Format: Number without thousands separators, e.g. 1500000.50
Allowed values: A whole number from 0 to 365
Example: 0</t>
      </text>
    </comment>
    <comment ref="J17" authorId="0" shapeId="0">
      <text>
        <t>Retained earnings account
Account that receives the year-end result
Mandatory: Yes
Format: Text
Allowed values: Code of an existing account of the chart of accounts
Example: 3200</t>
      </text>
    </comment>
    <comment ref="K17" authorId="0" shapeId="0">
      <text>
        <t>RDO code
Revenue District Office of the registration
Mandatory: No
Format: Three digits, optionally a letter
Allowed values: Free entry
Example: 050</t>
      </text>
    </comment>
    <comment ref="L17" authorId="0" shapeId="0">
      <text>
        <t>VAT registered
Y when the company is VAT-registered
Mandatory: No
Format: Y or N
Allowed values: Y or N
Example: Y</t>
      </text>
    </comment>
    <comment ref="M17" authorId="0" shapeId="0">
      <text>
        <t>CAS permit no.
Permit of the computerised accounting system
Mandatory: No
Format: Text
Allowed values: Free entry</t>
      </text>
    </comment>
    <comment ref="N17" authorId="0" shapeId="0">
      <text>
        <t>CAS permit date
Date of the CAS permit
Mandatory: No
Format: Date dd-MMM-yyyy, e.g. 15-Jan-2026
Allowed values: A date, for example 15-Jan-2028</t>
      </text>
    </comment>
    <comment ref="O17" authorId="0" shapeId="0">
      <text>
        <t>E-invoicing permit no.
Permit of the electronic invoicing
Mandatory: No
Format: Text
Allowed values: Free entry</t>
      </text>
    </comment>
    <comment ref="P17" authorId="0" shapeId="0">
      <text>
        <t>E-invoicing permit date
Date of the e-invoicing permit
Mandatory: No
Format: Date dd-MMM-yyyy, e.g. 15-Jan-2026
Allowed values: A date, for example 15-Jan-2028</t>
      </text>
    </comment>
  </commentList>
</comments>
</file>

<file path=xl/comments/comment31.xml><?xml version="1.0" encoding="utf-8"?>
<comments xmlns="http://schemas.openxmlformats.org/spreadsheetml/2006/main">
  <authors>
    <author>iorta TechNXT</author>
  </authors>
  <commentList>
    <comment ref="B16" authorId="0" shapeId="0">
      <text>
        <t>Event type
Event that the rule posts
Mandatory: Yes
Format: Text
Allowed values: Code of an existing accounting event
Example: PREMIUM_BOOKED</t>
      </text>
    </comment>
    <comment ref="C16" authorId="0" shapeId="0">
      <text>
        <t>Rule name
Name of the rule
Mandatory: Yes
Format: Text
Allowed values: Free entry
Example: Premium booked - non-life</t>
      </text>
    </comment>
    <comment ref="D16" authorId="0" shapeId="0">
      <text>
        <t>Business line
Line the rule applies to; blank = every line
Mandatory: No
Format: Text
Allowed values: Code of an existing business line</t>
      </text>
    </comment>
    <comment ref="E16" authorId="0" shapeId="0">
      <text>
        <t>Currency
Currency the rule applies to; blank = every currency
Mandatory: No
Format: Text
Allowed values: Free entry</t>
      </text>
    </comment>
    <comment ref="F16" authorId="0" shapeId="0">
      <text>
        <t>Effective from
First posting date of the rule
Mandatory: Yes
Format: Date dd-MMM-yyyy, e.g. 15-Jan-2026
Allowed values: A date, for example 15-Jan-2028
Example: 01-Jan-2028</t>
      </text>
    </comment>
    <comment ref="G16" authorId="0" shapeId="0">
      <text>
        <t>Line
Order of the line in the entry
Mandatory: Yes
Format: Number without thousands separators, e.g. 1500000.50
Allowed values: A whole number from 1 to 999
Example: 1</t>
      </text>
    </comment>
    <comment ref="H16" authorId="0" shapeId="0">
      <text>
        <t>Debit or credit
Side of the line
Mandatory: Yes
Format: Code from the drop-down
Allowed values: DEBIT, CREDIT (list Debit or credit (D0-08))
Example: DEBIT</t>
      </text>
    </comment>
    <comment ref="I16" authorId="0" shapeId="0">
      <text>
        <t>Account code
Account posted
Mandatory: Yes
Format: Text
Allowed values: Code of an existing account of the chart of accounts
Example: 1210.07</t>
      </text>
    </comment>
    <comment ref="J16" authorId="0" shapeId="0">
      <text>
        <t>Amount component
Amount the line posts
Mandatory: Yes
Format: Text
Allowed values: A component of the event
Example: GROSS_PREMIUM</t>
      </text>
    </comment>
    <comment ref="K16" authorId="0" shapeId="0">
      <text>
        <t>Narration
Text of the journal line
Mandatory: No
Format: Text
Allowed values: Free entry
Example: Premium receivable</t>
      </text>
    </comment>
  </commentList>
</comments>
</file>

<file path=xl/comments/comment32.xml><?xml version="1.0" encoding="utf-8"?>
<comments xmlns="http://schemas.openxmlformats.org/spreadsheetml/2006/main">
  <authors>
    <author>iorta TechNXT</author>
  </authors>
  <commentList>
    <comment ref="B16" authorId="0" shapeId="0">
      <text>
        <t>Legacy account
One row per account
Mandatory: Yes
Format: Code from the drop-down
Allowed values: List Legacy account (D0-09): 8 values, see Reference lists
Example: Migration Clearing</t>
      </text>
    </comment>
    <comment ref="C16" authorId="0" shapeId="0">
      <text>
        <t>Component
Component the account holds
Mandatory: Conditional: Premium Receivable - Legacy
Format: Text
Allowed values: Free entry
Example: Basic premium</t>
      </text>
    </comment>
    <comment ref="D16" authorId="0" shapeId="0">
      <text>
        <t>BIBS account code
Account in the production chart
Mandatory: Yes
Format: Text
Allowed values: Code of an existing account of the chart of accounts
Example: 1990.01</t>
      </text>
    </comment>
    <comment ref="E16" authorId="0" shapeId="0">
      <text>
        <t>Legacy GL accounts
The legacy accounts it replaces (code map gl account)
Mandatory: No
Format: Account codes separated by commas
Allowed values: Free entry
Example: 1210-01</t>
      </text>
    </comment>
    <comment ref="F16" authorId="0" shapeId="0">
      <text>
        <t>Remarks
End state after the run-off
Mandatory: No
Format: Text
Allowed values: Free entry
Example: Nets to 0.00 after the opening</t>
      </text>
    </comment>
  </commentList>
</comments>
</file>

<file path=xl/comments/comment33.xml><?xml version="1.0" encoding="utf-8"?>
<comments xmlns="http://schemas.openxmlformats.org/spreadsheetml/2006/main">
  <authors>
    <author>iorta TechNXT</author>
  </authors>
  <commentList>
    <comment ref="B18" authorId="0" shapeId="0">
      <text>
        <t>Module
Module of the approval
Mandatory: Yes
Format: Code from the drop-down
Allowed values: Submitted Policies, Employee Benefits, Sanction Screening, Disbursement (list Module (D0-15))
Example: Submitted Policies</t>
      </text>
    </comment>
    <comment ref="C18" authorId="0" shapeId="0">
      <text>
        <t>Document or transaction
What is approved
Mandatory: Yes
Format: Text
Allowed values: IAAF or Terms of reference; for Employee Benefits: Sum insured or Annual premium
Example: Terms of reference</t>
      </text>
    </comment>
    <comment ref="D18" authorId="0" shapeId="0">
      <text>
        <t>Segment or case type
Segment or benefit line of the row
Mandatory: No
Format: Text
Allowed values: Free entry
Example: CBG</t>
      </text>
    </comment>
    <comment ref="E18" authorId="0" shapeId="0">
      <text>
        <t>From amount
Lower bound (sum insured, premium or amount)
Mandatory: No
Format: Number without thousands separators, e.g. 1500000.50
Allowed values: A number
Example: 0</t>
      </text>
    </comment>
    <comment ref="F18" authorId="0" shapeId="0">
      <text>
        <t>To amount
Upper bound; blank = no limit
Mandatory: No
Format: Number without thousands separators, e.g. 1500000.50
Allowed values: A number
Example: 10000000</t>
      </text>
    </comment>
    <comment ref="G18" authorId="0" shapeId="0">
      <text>
        <t>Approval level
Order of the approval
Mandatory: Yes
Format: Number without thousands separators, e.g. 1500000.50
Allowed values: A whole number from 1 to 9
Example: 1</t>
      </text>
    </comment>
    <comment ref="H18" authorId="0" shapeId="0">
      <text>
        <t>Approver role
Permission held by the approvers of the level
Mandatory: Yes
Format: Text
Allowed values: A permission of the role matrix (UA-02)
Example: SBM_PROCESS</t>
      </text>
    </comment>
    <comment ref="I18" authorId="0" shapeId="0">
      <text>
        <t>Named approver
User ID, only when one person approves
Mandatory: No
Format: Text
Allowed values: A code of UA-01 Users and roles load, column User ID</t>
      </text>
    </comment>
    <comment ref="J18" authorId="0" shapeId="0">
      <text>
        <t>Signatory title
Title printed on the document
Mandatory: No
Format: Text
Allowed values: Free entry
Example: Unit Head, Combank</t>
      </text>
    </comment>
  </commentList>
</comments>
</file>

<file path=xl/comments/comment34.xml><?xml version="1.0" encoding="utf-8"?>
<comments xmlns="http://schemas.openxmlformats.org/spreadsheetml/2006/main">
  <authors>
    <author>iorta TechNXT</author>
  </authors>
  <commentList>
    <comment ref="B17" authorId="0" shapeId="0">
      <text>
        <t>insurer_code
Legacy insurer code
Mandatory: Yes
Format: Code, up to 30; As stored in legacy
Allowed values: The legacy code; mapped by the code map INSURER (Code Maps screen of the Data Migration Console; maps prepared in the Migration Workbook of BRD-13)
Example: MAL</t>
      </text>
    </comment>
    <comment ref="C17" authorId="0" shapeId="0">
      <text>
        <t>risk_code
Legacy product / risk code
Mandatory: Yes
Format: Code, up to 20; As stored in legacy
Allowed values: The legacy code; mapped by the code map PRODUCT (Code Maps screen of the Data Migration Console; maps prepared in the Migration Workbook of BRD-13)
Example: MC-PC-COMP</t>
      </text>
    </comment>
    <comment ref="D17" authorId="0" shapeId="0">
      <text>
        <t>rate_pct
Commission rate in percent
Mandatory: Yes
Format: Decimal, up to 9,4; Dot decimal
Allowed values: A number
Example: 20.0000</t>
      </text>
    </comment>
    <comment ref="E17" authorId="0" shapeId="0">
      <text>
        <t>effective_from
Rate valid from
Mandatory: Yes
Format: Date, up to 10; yyyy-MM-dd
Allowed values: Free entry
Example: 2026-01-01</t>
      </text>
    </comment>
    <comment ref="F17" authorId="0" shapeId="0">
      <text>
        <t>effective_to
Rate valid to
Mandatory: No
Format: Date, up to 10; yyyy-MM-dd
Allowed values: Free entry</t>
      </text>
    </comment>
  </commentList>
</comments>
</file>

<file path=xl/comments/comment35.xml><?xml version="1.0" encoding="utf-8"?>
<comments xmlns="http://schemas.openxmlformats.org/spreadsheetml/2006/main">
  <authors>
    <author>iorta TechNXT</author>
  </authors>
  <commentList>
    <comment ref="B16" authorId="0" shapeId="0">
      <text>
        <t>Form code
BIR or local form number
Mandatory: Yes
Format: Up to 20 characters
Allowed values: Free entry, up to 20 characters
Example: 2550Q</t>
      </text>
    </comment>
    <comment ref="C16" authorId="0" shapeId="0">
      <text>
        <t>Name
Name of the return
Mandatory: Yes
Format: Text, up to 150
Allowed values: Free entry, up to 150 characters
Example: Quarterly VAT return</t>
      </text>
    </comment>
    <comment ref="D16" authorId="0" shapeId="0">
      <text>
        <t>Authority
Who the form is filed with
Mandatory: Yes
Format: Code of the list
Allowed values: BIR, LGU, BFP (list Tax authority)
Example: BIR</t>
      </text>
    </comment>
    <comment ref="E16" authorId="0" shapeId="0">
      <text>
        <t>Frequency
How often the form is filed
Mandatory: Yes
Format: Code of the list
Allowed values: MONTHLY, QUARTERLY, MONTHLY_EXCEPT_QUARTER_END, ANNUAL (list Filing frequency)
Example: QUARTERLY</t>
      </text>
    </comment>
    <comment ref="F16" authorId="0" shapeId="0">
      <text>
        <t>Worksheet
Computation worksheet behind the form (NONE: prepared outside BIBS, reminder only)
Mandatory: Yes
Format: Code of the list
Allowed values: VAT, EWT, NONE (list Tax worksheet)
Example: VAT</t>
      </text>
    </comment>
    <comment ref="G16" authorId="0" shapeId="0">
      <text>
        <t>Months after period end
Months after the end of the period in which the form is due
Mandatory: Yes
Format: Whole number
Allowed values: A whole number from 0 to 12
Example: 0</t>
      </text>
    </comment>
    <comment ref="H16" authorId="0" shapeId="0">
      <text>
        <t>Due day
Day of the month the form is due
Mandatory: Yes
Format: 1 to 31 (31 = month end)
Allowed values: A whole number from 1 to 31
Example: 25</t>
      </text>
    </comment>
    <comment ref="I16" authorId="0" shapeId="0">
      <text>
        <t>Tax payable account
Account the tax payable is posted to
Mandatory: No
Format: Account of D0-06
Allowed values: A code of D0-06 Chart of accounts, column Account Code</t>
      </text>
    </comment>
    <comment ref="J16" authorId="0" shapeId="0">
      <text>
        <t>Credit account
Input VAT account credited against the output VAT (VAT return only)
Mandatory: No
Format: Account of D0-06
Allowed values: A code of D0-06 Chart of accounts, column Account Code</t>
      </text>
    </comment>
    <comment ref="K16" authorId="0" shapeId="0">
      <text>
        <t>Tracked from
First period the filing is tracked
Mandatory: Yes
Format: dd-mmm-yyyy
Allowed values: A date, for example 15-Jan-2028
Example: 01-Jan-2028</t>
      </text>
    </comment>
  </commentList>
</comments>
</file>

<file path=xl/comments/comment36.xml><?xml version="1.0" encoding="utf-8"?>
<comments xmlns="http://schemas.openxmlformats.org/spreadsheetml/2006/main">
  <authors>
    <author>iorta TechNXT</author>
  </authors>
  <commentList>
    <comment ref="B16" authorId="0" shapeId="0">
      <text>
        <t>Role in user access
The user access role of the user
Mandatory: Yes
Format: Code from the drop-down
Allowed values: Requestor, Approver, Second Approver, Group-profile requester, Implementer (list Role in user access (UA-03))
Example: Approver</t>
      </text>
    </comment>
    <comment ref="C16" authorId="0" shapeId="0">
      <text>
        <t>User ID
The user who holds the role
Mandatory: Yes
Format: Text
Allowed values: Code of an existing user
Example: a013000205</t>
      </text>
    </comment>
    <comment ref="D16" authorId="0" shapeId="0">
      <text>
        <t>Unit
Unit the user requests or approves for
Mandatory: Yes
Format: Text
Allowed values: Code of the list Business unit group (Lists of Values)
Example: Combank Marketing</t>
      </text>
    </comment>
    <comment ref="E16" authorId="0" shapeId="0">
      <text>
        <t>Approver order for group profiles
Usual order of the approvers of a group-profile request
Mandatory: Conditional: Approver
Format: Number without thousands separators, e.g. 1500000.50
Allowed values: A number
Example: 1</t>
      </text>
    </comment>
    <comment ref="F16" authorId="0" shapeId="0">
      <text>
        <t>Any approver may decide
Must match uam any approver (changed with UA-05)
Mandatory: No
Format: Y or N
Allowed values: Y or N
Example: N</t>
      </text>
    </comment>
    <comment ref="G16" authorId="0" shapeId="0">
      <text>
        <t>Authorisation limit
Limit of the approvals of the user; blank = unlimited
Mandatory: No
Format: Number without thousands separators, e.g. 1500000.50
Allowed values: A number
Example: 500000</t>
      </text>
    </comment>
  </commentList>
</comments>
</file>

<file path=xl/comments/comment37.xml><?xml version="1.0" encoding="utf-8"?>
<comments xmlns="http://schemas.openxmlformats.org/spreadsheetml/2006/main">
  <authors>
    <author>iorta TechNXT</author>
  </authors>
  <commentList>
    <comment ref="B16" authorId="0" shapeId="0">
      <text>
        <t>Record
Coverage, field rule or document rule
Mandatory: Yes
Format: Code from the drop-down
Allowed values: COVERAGE, FIELD_RULE, DOCUMENT_RULE (list Record (PM-02))
Example: COVERAGE</t>
      </text>
    </comment>
    <comment ref="C16" authorId="0" shapeId="0">
      <text>
        <t>Line code / Risk code
Line or product the row applies to; * = every product
Mandatory: Yes
Format: Line or risk codes separated by commas
Allowed values: Codes of PM-01 Product catalogue, column Risk code (one or more)
Example: MOTOR</t>
      </text>
    </comment>
    <comment ref="D16" authorId="0" shapeId="0">
      <text>
        <t>Code or field key
Coverage code, or field key of the rule
Mandatory: Yes
Format: Text
Allowed values: Free entry
Example: OD_THEFT</t>
      </text>
    </comment>
    <comment ref="E16" authorId="0" shapeId="0">
      <text>
        <t>Name or label
Name of the coverage or label of the field
Mandatory: Yes
Format: Text
Allowed values: Free entry
Example: Own damage and theft</t>
      </text>
    </comment>
    <comment ref="F16" authorId="0" shapeId="0">
      <text>
        <t>Kind or check
Coverage kind, or check of the field rule
Mandatory: Yes
Format: Text
Allowed values: Section, Coverage, Peril, Extension; Presence, List of values, Number range, Format
Example: Coverage</t>
      </text>
    </comment>
    <comment ref="G16" authorId="0" shapeId="0">
      <text>
        <t>Basic
Y when the coverage is basic
Mandatory: Conditional: COVERAGE
Format: Y or N
Allowed values: Y or N
Example: Y</t>
      </text>
    </comment>
    <comment ref="H16" authorId="0" shapeId="0">
      <text>
        <t>Parameters
List code; minimum and maximum; pattern
Mandatory: Conditional: List, range or format rules
Format: Text
Allowed values: Free entry</t>
      </text>
    </comment>
    <comment ref="I16" authorId="0" shapeId="0">
      <text>
        <t>Document type
Document type of a document rule
Mandatory: Conditional: DOCUMENT_RULE
Format: Code from the drop-down
Allowed values: List Document type: 61 values, see Reference lists</t>
      </text>
    </comment>
    <comment ref="J16" authorId="0" shapeId="0">
      <text>
        <t>Mandatory
Y when the field or document is mandatory
Mandatory: Yes
Format: Y or N
Allowed values: Y or N
Example: Y</t>
      </text>
    </comment>
  </commentList>
</comments>
</file>

<file path=xl/comments/comment38.xml><?xml version="1.0" encoding="utf-8"?>
<comments xmlns="http://schemas.openxmlformats.org/spreadsheetml/2006/main">
  <authors>
    <author>iorta TechNXT</author>
  </authors>
  <commentList>
    <comment ref="B16" authorId="0" shapeId="0">
      <text>
        <t>Clause code
Code of the clause
Mandatory: Yes
Format: A-Z, 0-9 and _
Allowed values: Free entry
Example: FLEET_REPAIR</t>
      </text>
    </comment>
    <comment ref="C16" authorId="0" shapeId="0">
      <text>
        <t>Kind
Kind of the clause
Mandatory: Yes
Format: Code from the drop-down
Allowed values: WARRANTY, CLAUSE, EXCLUSION, DEDUCTIBLE_WORDING (list Clause kind)
Example: CLAUSE</t>
      </text>
    </comment>
    <comment ref="D16" authorId="0" shapeId="0">
      <text>
        <t>Line code
Line of the clause; blank = every line
Mandatory: No
Format: Text
Allowed values: Code of an existing line
Example: MOTOR</t>
      </text>
    </comment>
    <comment ref="E16" authorId="0" shapeId="0">
      <text>
        <t>Title
Title of the clause
Mandatory: Yes
Format: Text
Allowed values: Free entry
Example: Accredited repair shops for fleets</t>
      </text>
    </comment>
    <comment ref="F16" authorId="0" shapeId="0">
      <text>
        <t>Wording
Full text
Mandatory: Yes
Format: Text
Allowed values: Free entry
Example: Repairs are made at the accredited shops of the insurer.</t>
      </text>
    </comment>
    <comment ref="G16" authorId="0" shapeId="0">
      <text>
        <t>Effective from / to
First day; last day after a semicolon, blank = open
Mandatory: Yes
Format: dd-MMM-yyyy; dd-MMM-yyyy
Allowed values: Free entry
Example: 01-Jan-2027</t>
      </text>
    </comment>
  </commentList>
</comments>
</file>

<file path=xl/comments/comment39.xml><?xml version="1.0" encoding="utf-8"?>
<comments xmlns="http://schemas.openxmlformats.org/spreadsheetml/2006/main">
  <authors>
    <author>iorta TechNXT</author>
  </authors>
  <commentList>
    <comment ref="B17" authorId="0" shapeId="0">
      <text>
        <t>legacy_client_no
Client number in the source system
Mandatory: Yes
Format: Code, up to 30; As stored in legacy
Allowed values: legacy_client_no of C01
Example: Q-0012345</t>
      </text>
    </comment>
    <comment ref="C17" authorId="0" shapeId="0">
      <text>
        <t>record_type
Address or contact person
Mandatory: Yes
Format: Code, up to 10; Upper case
Allowed values: ADDRESS, CONTACT (list C02 record_type)
Example: ADDRESS</t>
      </text>
    </comment>
    <comment ref="D17" authorId="0" shapeId="0">
      <text>
        <t>seq_no
Sequence within the client and record type
Mandatory: Yes
Format: Integer, up to 3; Digits
Allowed values: A whole number
Example: 1</t>
      </text>
    </comment>
    <comment ref="E17" authorId="0" shapeId="0">
      <text>
        <t>address_type
Kind of address
Mandatory: Conditional: Mandatory for ADDRESS
Format: Code, up to 12; Upper case
Allowed values: HOME, BUSINESS, MAILING, BILLING (list C02 address_type)
Example: MAILING</t>
      </text>
    </comment>
    <comment ref="F17" authorId="0" shapeId="0">
      <text>
        <t>address_line
Street address
Mandatory: Conditional: Mandatory for ADDRESS
Format: Text, up to 300; Free text
Allowed values: Free entry, up to 300 characters
Example: 12 Rizal St., Brgy. San Antonio</t>
      </text>
    </comment>
    <comment ref="G17" authorId="0" shapeId="0">
      <text>
        <t>city
City / municipality
Mandatory: No
Format: Text, up to 80; Free text
Allowed values: Free entry, up to 80 characters
Example: Pasig</t>
      </text>
    </comment>
    <comment ref="H17" authorId="0" shapeId="0">
      <text>
        <t>province
Province
Mandatory: No
Format: Text, up to 80; Free text
Allowed values: Free entry, up to 80 characters
Example: Metro Manila</t>
      </text>
    </comment>
    <comment ref="I17" authorId="0" shapeId="0">
      <text>
        <t>postal_code
Postal code
Mandatory: No
Format: Text, up to 10; 4 digits
Allowed values: Free entry, up to 10 characters
Example: 1600</t>
      </text>
    </comment>
    <comment ref="J17" authorId="0" shapeId="0">
      <text>
        <t>contact_name
Contact person (corporate clients)
Mandatory: Conditional: Mandatory for CONTACT
Format: Text, up to 200; Free text
Allowed values: Free entry, up to 200 characters
Example: Jose Santos</t>
      </text>
    </comment>
    <comment ref="K17" authorId="0" shapeId="0">
      <text>
        <t>contact_role
Role of the contact
Mandatory: No
Format: Text, up to 60; Free text
Allowed values: Free entry, up to 60 characters
Example: HR Manager</t>
      </text>
    </comment>
    <comment ref="L17" authorId="0" shapeId="0">
      <text>
        <t>email
E-mail
Mandatory: No
Format: Text, up to 120; name@domain
Allowed values: Free entry, up to 120 characters
Example: jose.santos@acme.example</t>
      </text>
    </comment>
    <comment ref="M17" authorId="0" shapeId="0">
      <text>
        <t>mobile
Mobile number
Mandatory: No
Format: Text, up to 30; 09xxxxxxxxx
Allowed values: Free entry, up to 30 characters
Example: 09181234567</t>
      </text>
    </comment>
    <comment ref="N17" authorId="0" shapeId="0">
      <text>
        <t>primary_flag
Primary address or contact
Mandatory: Yes
Format: Flag, up to 1; Y or N
Allowed values: Y or N
Example: Y</t>
      </text>
    </comment>
  </commentList>
</comments>
</file>

<file path=xl/comments/comment40.xml><?xml version="1.0" encoding="utf-8"?>
<comments xmlns="http://schemas.openxmlformats.org/spreadsheetml/2006/main">
  <authors>
    <author>iorta TechNXT</author>
  </authors>
  <commentList>
    <comment ref="B17" authorId="0" shapeId="0">
      <text>
        <t>legacy_client_no
Client number in the source system
Mandatory: Yes
Format: Code, up to 30; As stored in legacy
Allowed values: legacy_client_no of C01
Example: E-0098765</t>
      </text>
    </comment>
    <comment ref="C17" authorId="0" shapeId="0">
      <text>
        <t>mode
Payout mode
Mandatory: Yes
Format: Code, up to 10; Upper case
Allowed values: CTA, CHECK (list C03 mode)
Example: CTA</t>
      </text>
    </comment>
    <comment ref="D17" authorId="0" shapeId="0">
      <text>
        <t>payee_name
Name on the account or check
Mandatory: Yes
Format: Text, up to 250; Free text
Allowed values: Free entry, up to 250 characters
Example: Ana C. Reyes</t>
      </text>
    </comment>
    <comment ref="E17" authorId="0" shapeId="0">
      <text>
        <t>bank_code
Bank of the account
Mandatory: Conditional: Mandatory for CTA; mapped
Format: Code, up to 30; As stored in legacy
Allowed values: The legacy code; mapped by the code map BANK (Code Maps screen of the Data Migration Console; maps prepared in the Migration Workbook of BRD-13)
Example: BDO</t>
      </text>
    </comment>
    <comment ref="F17" authorId="0" shapeId="0">
      <text>
        <t>account_no
Account number
Mandatory: Conditional: Mandatory for CTA
Format: Text, up to 40; Digits
Allowed values: Free entry, up to 40 characters
Example: 001234567890</t>
      </text>
    </comment>
    <comment ref="G17" authorId="0" shapeId="0">
      <text>
        <t>active_flag
Account in use
Mandatory: Yes
Format: Flag, up to 1; Y or N
Allowed values: Y or N
Example: Y</t>
      </text>
    </comment>
  </commentList>
</comments>
</file>

<file path=xl/comments/comment41.xml><?xml version="1.0" encoding="utf-8"?>
<comments xmlns="http://schemas.openxmlformats.org/spreadsheetml/2006/main">
  <authors>
    <author>iorta TechNXT</author>
  </authors>
  <commentList>
    <comment ref="B16" authorId="0" shapeId="0">
      <text>
        <t>Bank account code
Bank account of the book
Mandatory: Yes
Format: Text
Allowed values: Code of an existing bank account
Example: BNK-CA-001</t>
      </text>
    </comment>
    <comment ref="C16" authorId="0" shapeId="0">
      <text>
        <t>First check number
First check number of the book
Mandatory: Yes
Format: Digits
Allowed values: Free entry
Example: 0001001</t>
      </text>
    </comment>
    <comment ref="D16" authorId="0" shapeId="0">
      <text>
        <t>Last check number
Last check number of the book
Mandatory: Yes
Format: Digits
Allowed values: Free entry
Example: 0001100</t>
      </text>
    </comment>
    <comment ref="E16" authorId="0" shapeId="0">
      <text>
        <t>Next check number
Next check number to issue
Mandatory: Yes
Format: Digits
Allowed values: Free entry
Example: 0001001</t>
      </text>
    </comment>
    <comment ref="F16" authorId="0" shapeId="0">
      <text>
        <t>Received on
Date the book was received
Mandatory: Yes
Format: Date dd-MMM-yyyy, e.g. 15-Jan-2026
Allowed values: A date, for example 15-Jan-2028
Example: 01-Dec-2027</t>
      </text>
    </comment>
  </commentList>
</comments>
</file>

<file path=xl/comments/comment42.xml><?xml version="1.0" encoding="utf-8"?>
<comments xmlns="http://schemas.openxmlformats.org/spreadsheetml/2006/main">
  <authors>
    <author>iorta TechNXT</author>
  </authors>
  <commentList>
    <comment ref="B16" authorId="0" shapeId="0">
      <text>
        <t>Branch code
Branch of the fund
Mandatory: Yes
Format: Text
Allowed values: Code of an existing branch
Example: HO</t>
      </text>
    </comment>
    <comment ref="C16" authorId="0" shapeId="0">
      <text>
        <t>Fund code
Code of the fund
Mandatory: Yes
Format: Text
Allowed values: Free entry
Example: PCF-HO</t>
      </text>
    </comment>
    <comment ref="D16" authorId="0" shapeId="0">
      <text>
        <t>Name
Name of the fund
Mandatory: Yes
Format: Text
Allowed values: Free entry
Example: Head Office petty cash</t>
      </text>
    </comment>
    <comment ref="E16" authorId="0" shapeId="0">
      <text>
        <t>Custodian
Employee number of the custodian
Mandatory: Yes
Format: Text
Allowed values: Code of an existing employee
Example: 1203344</t>
      </text>
    </comment>
    <comment ref="F16" authorId="0" shapeId="0">
      <text>
        <t>GL account
Account of the fund
Mandatory: Yes
Format: Text
Allowed values: Code of an existing account of the chart of accounts
Example: 1101.01</t>
      </text>
    </comment>
    <comment ref="G16" authorId="0" shapeId="0">
      <text>
        <t>Replenishment bank account
Bank account that replenishes the fund
Mandatory: Yes
Format: Text
Allowed values: Code of an existing bank account
Example: BNK-CA-001</t>
      </text>
    </comment>
    <comment ref="H16" authorId="0" shapeId="0">
      <text>
        <t>Currency
Currency of the fund
Mandatory: Yes
Format: Text
Allowed values: Free entry
Example: PHP</t>
      </text>
    </comment>
    <comment ref="I16" authorId="0" shapeId="0">
      <text>
        <t>Imprest amount
Amount of the fund
Mandatory: Yes
Format: Number without thousands separators, e.g. 1500000.50
Allowed values: A number
Example: 20000</t>
      </text>
    </comment>
  </commentList>
</comments>
</file>

<file path=xl/comments/comment43.xml><?xml version="1.0" encoding="utf-8"?>
<comments xmlns="http://schemas.openxmlformats.org/spreadsheetml/2006/main">
  <authors>
    <author>iorta TechNXT</author>
  </authors>
  <commentList>
    <comment ref="B16" authorId="0" shapeId="0">
      <text>
        <t>Bank account code
Bank account of the statements
Mandatory: Yes
Format: Text
Allowed values: Code of an existing bank account
Example: BNK-CA-001</t>
      </text>
    </comment>
    <comment ref="C16" authorId="0" shapeId="0">
      <text>
        <t>Layout name
Name of the layout
Mandatory: Yes
Format: Text
Allowed values: Free entry
Example: Bank CSV statement</t>
      </text>
    </comment>
    <comment ref="D16" authorId="0" shapeId="0">
      <text>
        <t>Date column
Column of the posting date
Mandatory: Yes
Format: Column header or number
Allowed values: Free entry
Example: Posting Date</t>
      </text>
    </comment>
    <comment ref="E16" authorId="0" shapeId="0">
      <text>
        <t>Description column
Column of the description
Mandatory: Yes
Format: Column header or number
Allowed values: Free entry
Example: Description</t>
      </text>
    </comment>
    <comment ref="F16" authorId="0" shapeId="0">
      <text>
        <t>Reference column
Column of the reference
Mandatory: No
Format: Column header or number
Allowed values: Free entry
Example: Reference No.</t>
      </text>
    </comment>
    <comment ref="G16" authorId="0" shapeId="0">
      <text>
        <t>Debit column
Column of the debits
Mandatory: No
Format: Column header or number
Allowed values: Free entry
Example: Debit</t>
      </text>
    </comment>
    <comment ref="H16" authorId="0" shapeId="0">
      <text>
        <t>Credit column
Column of the credits
Mandatory: No
Format: Column header or number
Allowed values: Free entry
Example: Credit</t>
      </text>
    </comment>
    <comment ref="I16" authorId="0" shapeId="0">
      <text>
        <t>Amount column
Column of a signed amount, instead of debit and credit
Mandatory: No
Format: Column header or number
Allowed values: Free entry</t>
      </text>
    </comment>
    <comment ref="J16" authorId="0" shapeId="0">
      <text>
        <t>Balance column
Column of the balance
Mandatory: No
Format: Column header or number
Allowed values: Free entry
Example: Balance</t>
      </text>
    </comment>
    <comment ref="K16" authorId="0" shapeId="0">
      <text>
        <t>Date format
How the bank writes dates
Mandatory: Yes
Format: For example dd/MM/yyyy
Allowed values: Free entry
Example: MM/dd/yyyy</t>
      </text>
    </comment>
  </commentList>
</comments>
</file>

<file path=xl/comments/comment44.xml><?xml version="1.0" encoding="utf-8"?>
<comments xmlns="http://schemas.openxmlformats.org/spreadsheetml/2006/main">
  <authors>
    <author>iorta TechNXT</author>
  </authors>
  <commentList>
    <comment ref="B17" authorId="0" shapeId="0">
      <text>
        <t>tb_version
Version of the trial balance - PROVISIONAL at cut-over (preliminary December TB), then TU1, TU2... and FINAL (audited) at the true-ups
Mandatory: Yes
Format: Code, up to 12; Upper case
Allowed values: PROVISIONAL, TU1, TU2, TU3, FINAL (list G01 tb_version)
Example: PROVISIONAL</t>
      </text>
    </comment>
    <comment ref="C17" authorId="0" shapeId="0">
      <text>
        <t>as_of_date
Trial balance date - 31-Dec-2027 for every version; the version says which adjustments it includes
Mandatory: Yes
Format: Date, up to 10; yyyy-MM-dd
Allowed values: Free entry
Example: 2027-12-31</t>
      </text>
    </comment>
    <comment ref="D17" authorId="0" shapeId="0">
      <text>
        <t>branch_code
Branch
Mandatory: Yes
Format: Code, up to 20; As stored in legacy
Allowed values: The legacy code; mapped by the code map BRANCH (Code Maps screen of the Data Migration Console; maps prepared in the Migration Workbook of BRD-13)
Example: MKT01</t>
      </text>
    </comment>
    <comment ref="E17" authorId="0" shapeId="0">
      <text>
        <t>currency
Account currency
Mandatory: Yes
Format: Code, up to 3; Upper case
Allowed values: ISO 4217
Example: USD</t>
      </text>
    </comment>
    <comment ref="F17" authorId="0" shapeId="0">
      <text>
        <t>legacy_account_code
Legacy account
Mandatory: Yes
Format: Code, up to 30; As stored in legacy
Allowed values: The legacy code; mapped by the code map GL_ACCOUNT (Code Maps screen of the Data Migration Console; maps prepared in the Migration Workbook of BRD-13)
Example: 1101-02</t>
      </text>
    </comment>
    <comment ref="G17" authorId="0" shapeId="0">
      <text>
        <t>cost_center
Cost centre
Mandatory: No
Format: Code, up to 20; As stored in legacy
Allowed values: The legacy code; mapped by the code map COST_CENTER (Code Maps screen of the Data Migration Console; maps prepared in the Migration Workbook of BRD-13)
Example: 4100</t>
      </text>
    </comment>
    <comment ref="H17" authorId="0" shapeId="0">
      <text>
        <t>debit_fc
Debit balance in the account currency
Mandatory: Yes
Format: Amount, up to 19,2; Dot decimal, 2 decimals
Allowed values: A number
Example: 12500.00</t>
      </text>
    </comment>
    <comment ref="I17" authorId="0" shapeId="0">
      <text>
        <t>credit_fc
Credit balance in the account currency
Mandatory: Yes
Format: Amount, up to 19,2; Dot decimal, 2 decimals
Allowed values: A number
Example: 0.00</t>
      </text>
    </comment>
    <comment ref="J17" authorId="0" shapeId="0">
      <text>
        <t>debit_php
Debit balance in PHP
Mandatory: Yes
Format: Amount, up to 19,2; Dot decimal, 2 decimals
Allowed values: A number
Example: 701562.50</t>
      </text>
    </comment>
    <comment ref="K17" authorId="0" shapeId="0">
      <text>
        <t>credit_php
Credit balance in PHP
Mandatory: Yes
Format: Amount, up to 19,2; Dot decimal, 2 decimals
Allowed values: A number
Example: 0.00</t>
      </text>
    </comment>
    <comment ref="L17" authorId="0" shapeId="0">
      <text>
        <t>fx_rate
Rate used for the PHP amount
Mandatory: Conditional: Mandatory when currency is not PHP
Format: Decimal, up to 12,6; Dot decimal
Allowed values: A number
Example: 56.125000</t>
      </text>
    </comment>
  </commentList>
</comments>
</file>

<file path=xl/comments/comment45.xml><?xml version="1.0" encoding="utf-8"?>
<comments xmlns="http://schemas.openxmlformats.org/spreadsheetml/2006/main">
  <authors>
    <author>iorta TechNXT</author>
  </authors>
  <commentList>
    <comment ref="B19" authorId="0" shapeId="0">
      <text>
        <t>Table
Rate table of the row
Mandatory: Yes
Format: Code from the drop-down
Allowed values: TAX, SHORT_PERIOD, MOTOR_LIMIT (list Table (PM-04))
Example: TAX</t>
      </text>
    </comment>
    <comment ref="C19" authorId="0" shapeId="0">
      <text>
        <t>Rate
Premium charge or rating factor
Mandatory: Conditional: TAX
Format: Code from the drop-down
Allowed values: List Premium charge or rating factor (BIBS): 7 values, see Reference lists
Example: DST</t>
      </text>
    </comment>
    <comment ref="D19" authorId="0" shapeId="0">
      <text>
        <t>Line code
Line of the rate; blank = every line
Mandatory: No
Format: Text
Allowed values: Code of an existing line</t>
      </text>
    </comment>
    <comment ref="E19" authorId="0" shapeId="0">
      <text>
        <t>Rate %
Up to four decimals, 0 to 100
Mandatory: Conditional: TAX, SHORT_PERIOD
Format: Text
Allowed values: Free entry
Example: 12.5</t>
      </text>
    </comment>
    <comment ref="F19" authorId="0" shapeId="0">
      <text>
        <t>Months covered
Months covered, 1 to 12
Mandatory: Conditional: SHORT_PERIOD
Format: Text
Allowed values: Free entry</t>
      </text>
    </comment>
    <comment ref="G19" authorId="0" shapeId="0">
      <text>
        <t>Coverage / Limit / Premium
BI or PD; limit; premium
Mandatory: Conditional: MOTOR_LIMIT
Format: BI; 100000.00; 350.00
Allowed values: Free entry</t>
      </text>
    </comment>
    <comment ref="H19" authorId="0" shapeId="0">
      <text>
        <t>Effective from / to
First day; last day after a semicolon, blank = open
Mandatory: Yes
Format: dd-MMM-yyyy; dd-MMM-yyyy
Allowed values: Free entry
Example: 01-Jan-2028</t>
      </text>
    </comment>
  </commentList>
</comments>
</file>

<file path=xl/comments/comment46.xml><?xml version="1.0" encoding="utf-8"?>
<comments xmlns="http://schemas.openxmlformats.org/spreadsheetml/2006/main">
  <authors>
    <author>iorta TechNXT</author>
  </authors>
  <commentList>
    <comment ref="A4" authorId="0" shapeId="0">
      <text>
        <t>Charge: Item</t>
      </text>
    </comment>
    <comment ref="B4" authorId="0" shapeId="0">
      <text>
        <t>What BIBS does: The rule of the platform</t>
      </text>
    </comment>
    <comment ref="C4" authorId="0" shapeId="0">
      <text>
        <t>Where it is set up: Template, column or list</t>
      </text>
    </comment>
    <comment ref="D4" authorId="0" shapeId="0">
      <text>
        <t>What BDOI provides or confirms: Input asked from BDOI</t>
      </text>
    </comment>
    <comment ref="E4" authorId="0" shapeId="0">
      <text>
        <t>Held by BIBS: Yes, or No (sheet Gaps)</t>
      </text>
    </comment>
    <comment ref="F4" authorId="0" shapeId="0">
      <text>
        <t>Question: Ref of the question in the BDOI Requirements and Inputs workbook</t>
      </text>
    </comment>
    <comment ref="G4" authorId="0" shapeId="0">
      <text>
        <t>Rule confirmed: Agree, or Change (describe in BDOI comments)</t>
      </text>
    </comment>
    <comment ref="H4" authorId="0" shapeId="0">
      <text>
        <t>BDOI comments: Decision, value or comment of the owner</t>
      </text>
    </comment>
    <comment ref="I4" authorId="0" shapeId="0">
      <text>
        <t>Status: Status of the item</t>
      </text>
    </comment>
  </commentList>
</comments>
</file>

<file path=xl/comments/comment47.xml><?xml version="1.0" encoding="utf-8"?>
<comments xmlns="http://schemas.openxmlformats.org/spreadsheetml/2006/main">
  <authors>
    <author>iorta TechNXT</author>
  </authors>
  <commentList>
    <comment ref="B17" authorId="0" shapeId="0">
      <text>
        <t>Charge code
Code of the charge
Mandatory: Yes
Format: Up to 30 capitals
Allowed values: Free entry
Example: NOTARIAL_FEE</t>
      </text>
    </comment>
    <comment ref="C17" authorId="0" shapeId="0">
      <text>
        <t>Name
Name on the invoice
Mandatory: Yes
Format: Text
Allowed values: Free entry
Example: Notarial fee</t>
      </text>
    </comment>
    <comment ref="D17" authorId="0" shapeId="0">
      <text>
        <t>Line code
Line of the charge; blank = every line
Mandatory: No
Format: Text
Allowed values: Code of an existing line
Example: MOTOR</t>
      </text>
    </comment>
    <comment ref="E17" authorId="0" shapeId="0">
      <text>
        <t>Product code
Product of the charge; blank = every product
Mandatory: No
Format: Text
Allowed values: Code of an existing product</t>
      </text>
    </comment>
    <comment ref="F17" authorId="0" shapeId="0">
      <text>
        <t>Basis
Fixed amount or rate of the net premium
Mandatory: Yes
Format: Code from the drop-down
Allowed values: AMOUNT, RATE (list Basis (PM-04C))
Example: AMOUNT</t>
      </text>
    </comment>
    <comment ref="G17" authorId="0" shapeId="0">
      <text>
        <t>Amount or rate %
Amount, or rate from 0 to 100
Mandatory: Yes
Format: Number without thousands separators, e.g. 1500000.50
Allowed values: A number
Example: 150</t>
      </text>
    </comment>
    <comment ref="H17" authorId="0" shapeId="0">
      <text>
        <t>VAT treatment
VAT treatment of the charge
Mandatory: Yes
Format: Code from the drop-down
Allowed values: VATABLE, EXEMPT, ZERO_RATED (list VAT treatment (PM-04C))
Example: VATABLE</t>
      </text>
    </comment>
    <comment ref="I17" authorId="0" shapeId="0">
      <text>
        <t>GL account
Postable account the charge is credited to
Mandatory: Yes
Format: Text
Allowed values: Code of an existing account of the chart of accounts
Example: 4190</t>
      </text>
    </comment>
    <comment ref="J17" authorId="0" shapeId="0">
      <text>
        <t>Effective from / to
First day; last day after a semicolon, blank = open
Mandatory: Yes
Format: dd-MMM-yyyy; dd-MMM-yyyy
Allowed values: Free entry
Example: 01-Jan-2028</t>
      </text>
    </comment>
  </commentList>
</comments>
</file>

<file path=xl/comments/comment48.xml><?xml version="1.0" encoding="utf-8"?>
<comments xmlns="http://schemas.openxmlformats.org/spreadsheetml/2006/main">
  <authors>
    <author>iorta TechNXT</author>
  </authors>
  <commentList>
    <comment ref="B16" authorId="0" shapeId="0">
      <text>
        <t>Code / Name
Code; name
Mandatory: Yes
Format: A-Z, 0-9, _ and -; text
Allowed values: Free entry
Example: CPC2; CPC2 campaign 2028</t>
      </text>
    </comment>
    <comment ref="C16" authorId="0" shapeId="0">
      <text>
        <t>Incentive type
Incentive type
Mandatory: Yes
Format: Code from the drop-down
Allowed values: OTHERS, MIGRATED (list Incentive type)
Example: OTHERS</t>
      </text>
    </comment>
    <comment ref="D16" authorId="0" shapeId="0">
      <text>
        <t>Value basis / Value
Rate (%), Fixed amount or Rule; value
Mandatory: Yes
Format: Text
Allowed values: Free entry
Example: Rate (%); 1.00</t>
      </text>
    </comment>
    <comment ref="E16" authorId="0" shapeId="0">
      <text>
        <t>Rule parameters
Parameter and value pairs separated by semicolons
Mandatory: No
Format: Text
Allowed values: Free entry
Example: Minimum Gross Premium 5000</t>
      </text>
    </comment>
    <comment ref="F16" authorId="0" shapeId="0">
      <text>
        <t>Products matrix: risk code / segment
Risk code; market segment (blank = every segment)
Mandatory: Yes
Format: One product per line
Allowed values: Codes of PM-01 Product catalogue, column Risk code (one or more)
Example: MTR30; COMBANK</t>
      </text>
    </comment>
    <comment ref="G16" authorId="0" shapeId="0">
      <text>
        <t>Effective from / to
First day; last day after a semicolon, blank = open
Mandatory: Yes
Format: dd-MMM-yyyy; dd-MMM-yyyy
Allowed values: Free entry
Example: 01-Jan-2028</t>
      </text>
    </comment>
  </commentList>
</comments>
</file>

<file path=xl/comments/comment49.xml><?xml version="1.0" encoding="utf-8"?>
<comments xmlns="http://schemas.openxmlformats.org/spreadsheetml/2006/main">
  <authors>
    <author>iorta TechNXT</author>
  </authors>
  <commentList>
    <comment ref="B17" authorId="0" shapeId="0">
      <text>
        <t>Party code
Code of the client, insurer, partner or payee
Mandatory: Yes
Format: Text, up to 30
Allowed values: Free entry, up to 30 characters
Example: C-000101</t>
      </text>
    </comment>
    <comment ref="C17" authorId="0" shapeId="0">
      <text>
        <t>TIN
Taxpayer identification number as registered
Mandatory: Yes
Format: Digits and dashes, up to 20
Allowed values: Free entry, up to 20 characters
Example: 123-456-789</t>
      </text>
    </comment>
    <comment ref="D17" authorId="0" shapeId="0">
      <text>
        <t>Branch code
TIN branch code (000 or 00000 for the head office)
Mandatory: No
Format: Up to 5 digits
Allowed values: Free entry, up to 5 characters
Example: 00000</t>
      </text>
    </comment>
    <comment ref="E17" authorId="0" shapeId="0">
      <text>
        <t>Payee class
Individual or corporate (decides the WI or WC ATC and the alphalist name)
Mandatory: Yes
Format: Code of the list
Allowed values: INDIVIDUAL, CORPORATE (list Payee class (BIR))
Example: CORPORATE</t>
      </text>
    </comment>
    <comment ref="F17" authorId="0" shapeId="0">
      <text>
        <t>Registered name
Name as registered with the BIR
Mandatory: Yes
Format: Text, up to 200
Allowed values: Free entry, up to 200 characters
Example: Juan Dela Cruz Trading Corp.</t>
      </text>
    </comment>
    <comment ref="G17" authorId="0" shapeId="0">
      <text>
        <t>Last name
Last name of an individual
Mandatory: Conditional: individuals
Format: Text, up to 60
Allowed values: Free entry, up to 60 characters</t>
      </text>
    </comment>
    <comment ref="H17" authorId="0" shapeId="0">
      <text>
        <t>First name
First name of an individual
Mandatory: Conditional: individuals
Format: Text, up to 60
Allowed values: Free entry, up to 60 characters</t>
      </text>
    </comment>
    <comment ref="I17" authorId="0" shapeId="0">
      <text>
        <t>Middle name
Middle name of an individual
Mandatory: No
Format: Text, up to 60
Allowed values: Free entry, up to 60 characters</t>
      </text>
    </comment>
    <comment ref="J17" authorId="0" shapeId="0">
      <text>
        <t>Registered address
Address as registered with the BIR
Mandatory: No
Format: Text, up to 300
Allowed values: Free entry, up to 300 characters
Example: Makati City</t>
      </text>
    </comment>
    <comment ref="K17" authorId="0" shapeId="0">
      <text>
        <t>ZIP code
ZIP code of the registered address
Mandatory: No
Format: Up to 10 characters
Allowed values: Free entry, up to 10 characters
Example: 1226</t>
      </text>
    </comment>
    <comment ref="L17" authorId="0" shapeId="0">
      <text>
        <t>VAT treatment
How a premium without VAT is classified on the VAT return
Mandatory: No
Format: Code of the list
Allowed values: REGULAR, ZERO_RATED, EXEMPT (list VAT treatment)
Example: REGULAR</t>
      </text>
    </comment>
    <comment ref="M17" authorId="0" shapeId="0">
      <text>
        <t>Default ATC
Withholding tax code applied by default to payments to or from the party
Mandatory: No
Format: Tax code of D0-10
Allowed values: Free entry, up to 20 characters</t>
      </text>
    </comment>
    <comment ref="N17" authorId="0" shapeId="0">
      <text>
        <t>Withholding agent
Y when the party withholds tax on its payments to BDOI (2307 expected); set by BIBS when Top withholding agent or Government payor is Y
Mandatory: No
Format: Y or N (blank = N)
Allowed values: Y or N
Example: Y</t>
      </text>
    </comment>
    <comment ref="O17" authorId="0" shapeId="0">
      <text>
        <t>Top withholding agent
Y when the BIR classifies the party as a top withholding agent
Mandatory: No
Format: Y or N (blank = N)
Allowed values: Y or N
Example: N</t>
      </text>
    </comment>
    <comment ref="P17" authorId="0" shapeId="0">
      <text>
        <t>Government payor
Y for a government office or company that withholds the final VAT and the final tax on its payments to BDOI
Mandatory: No
Format: Y or N (blank = N)
Allowed values: Y or N
Example: N</t>
      </text>
    </comment>
    <comment ref="Q17" authorId="0" shapeId="0">
      <text>
        <t>Tax exemption certificate no.
Number of the party's tax exemption certificate, when it has one
Mandatory: No
Format: Text, up to 40
Allowed values: Free entry, up to 40 characters</t>
      </text>
    </comment>
    <comment ref="R17" authorId="0" shapeId="0">
      <text>
        <t>Certificate valid from
First day of the certificate
Mandatory: Conditional: certificate number given
Format: dd-mmm-yyyy
Allowed values: A date, for example 15-Jan-2028</t>
      </text>
    </comment>
    <comment ref="S17" authorId="0" shapeId="0">
      <text>
        <t>Certificate valid to
Last day of the certificate (not before the first day); a zero-rated or exempt invoice outside this period is flagged on the VAT worksheet
Mandatory: Conditional: certificate number given
Format: dd-mmm-yyyy
Allowed values: A date, for example 15-Jan-2028</t>
      </text>
    </comment>
  </commentList>
</comments>
</file>

<file path=xl/comments/comment50.xml><?xml version="1.0" encoding="utf-8"?>
<comments xmlns="http://schemas.openxmlformats.org/spreadsheetml/2006/main">
  <authors>
    <author>iorta TechNXT</author>
  </authors>
  <commentList>
    <comment ref="B16" authorId="0" shapeId="0">
      <text>
        <t>Risk code
Risk code of the packaged product
Mandatory: Yes
Format: Text
Allowed values: Code of an existing product
Example: MTR30</t>
      </text>
    </comment>
    <comment ref="C16" authorId="0" shapeId="0">
      <text>
        <t>Package name / Scope / Client code
Name; Generic or Client-specific; client code
Mandatory: Yes
Format: Text
Allowed values: Free entry
Example: Motor Fleet Plus; Generic</t>
      </text>
    </comment>
    <comment ref="D16" authorId="0" shapeId="0">
      <text>
        <t>Effective from / Package start / Package end / Anniversary
Effective from; package start; package end; anniversary
Mandatory: Yes
Format: dd-MMM-yyyy; dd-MMM-yyyy; dd-MMM-yyyy; dd-MMM-yyyy
Allowed values: Free entry
Example: 01-Jan-2028; 01-Jan-2028; 31-Dec-2028; -</t>
      </text>
    </comment>
    <comment ref="E16" authorId="0" shapeId="0">
      <text>
        <t>Package rate % / Minimum premium / Commission % / Package TSI limit
Rate %; minimum premium; commission %; TSI limit
Mandatory: Yes
Format: Text
Allowed values: Free entry
Example: 1.2000; 5000.00; 15; 5000000.00</t>
      </text>
    </comment>
    <comment ref="F16" authorId="0" shapeId="0">
      <text>
        <t>Computation basis
How the premium is computed
Mandatory: Yes
Format: Text
Allowed values: Free entry
Example: Comprehensive rate on the vehicle value</t>
      </text>
    </comment>
    <comment ref="G16" authorId="0" shapeId="0">
      <text>
        <t>Coverage code / Included / Optional / Limit / Deductible
Coverage; included Y/N; optional Y/N; limit; deductible
Mandatory: Yes
Format: One coverage per line
Allowed values: Codes of PM-02 Coverages, perils and field rules, column Code or field key (one or more)
Example: OD_THEFT; Y; N; -; 2000.00</t>
      </text>
    </comment>
    <comment ref="H16" authorId="0" shapeId="0">
      <text>
        <t>Insurer code / Role / Share % / Rate % / Minimum premium
Insurer; Panel, Lead or Participant; share %; rate %; minimum premium
Mandatory: Yes
Format: One insurer per line
Allowed values: Codes of R04 Insurers, column insurer_code (one or more)
Example: INS-MGIC; Panel; -; 1.2000; -</t>
      </text>
    </comment>
    <comment ref="I16" authorId="0" shapeId="0">
      <text>
        <t>Insurer terms: insurer / coverage / limit / deductible / clauses
Insurer; coverage; limit; deductible; clauses separated by commas
Mandatory: Yes
Format: One term per line
Allowed values: Codes of PM-03 Clause library, column Clause code (one or more)
Example: INS-MGIC; OD_THEFT; -; 2000.00; FLEET_REPAIR</t>
      </text>
    </comment>
    <comment ref="J16" authorId="0" shapeId="0">
      <text>
        <t>ManCom sign-off reference / Signed package slip
ManCom sign-off reference
Mandatory: Yes
Format: Text
Allowed values: Free entry
Example: MC-2026-017</t>
      </text>
    </comment>
  </commentList>
</comments>
</file>

<file path=xl/comments/comment51.xml><?xml version="1.0" encoding="utf-8"?>
<comments xmlns="http://schemas.openxmlformats.org/spreadsheetml/2006/main">
  <authors>
    <author>iorta TechNXT</author>
  </authors>
  <commentList>
    <comment ref="B17" authorId="0" shapeId="0">
      <text>
        <t>legacy_package_code
Legacy package code
Mandatory: Yes
Format: Code, up to 20; As stored in legacy
Allowed values: Free entry, up to 20 characters
Example: PKG-MC-PRIV</t>
      </text>
    </comment>
    <comment ref="C17" authorId="0" shapeId="0">
      <text>
        <t>legacy_package_version
Version of the legacy package
Mandatory: Yes
Format: Integer, up to 4; Digits
Allowed values: A whole number
Example: 3</t>
      </text>
    </comment>
    <comment ref="D17" authorId="0" shapeId="0">
      <text>
        <t>legacy_package_name
Package name in legacy
Mandatory: Yes
Format: Text, up to 200; Free text
Allowed values: Free entry, up to 200 characters
Example: Private Car Package 2027</t>
      </text>
    </comment>
    <comment ref="E17" authorId="0" shapeId="0">
      <text>
        <t>qualifier
Attribute that splits one legacy package into several BIBS packages
Mandatory: No
Format: Code, up to 20; Upper case
Allowed values: RISK_CODE, INSURER, SI_BAND (list R06 qualifier)
Example: SI_BAND</t>
      </text>
    </comment>
    <comment ref="F17" authorId="0" shapeId="0">
      <text>
        <t>qualifier_value
Value of the qualifier (risk code, insurer code, or sum-insured band as from-to)
Mandatory: Conditional: Mandatory with a qualifier; bands of one legacy package do not overlap
Format: Text, up to 60; Code, or from-to amounts with a dot decimal
Allowed values: Free entry, up to 60 characters
Example: 0.00-2000000.00</t>
      </text>
    </comment>
    <comment ref="G17" authorId="0" shapeId="0">
      <text>
        <t>action
MAP to a BIBS package version, or REJECT (no BIBS package)
Mandatory: Yes
Format: Code, up to 6; Upper case
Allowed values: MAP, REJECT (list R06 action)
Example: MAP</t>
      </text>
    </comment>
    <comment ref="H17" authorId="0" shapeId="0">
      <text>
        <t>bibs_package_version
BIBS package version maintained by TSU
Mandatory: Conditional: Mandatory for MAP; active in Product Maintenance
Format: Code, up to 40; As in BIBS
Allowed values: Active package versions in Product Maintenance
Example: MC-PRIVATE-STD v1</t>
      </text>
    </comment>
    <comment ref="I17" authorId="0" shapeId="0">
      <text>
        <t>remarks
Why the entry maps as it does
Mandatory: No
Format: Text, up to 250; Free text
Allowed values: Free entry, up to 250 characters
Example: Sum insured up to 2,000,000.00</t>
      </text>
    </comment>
  </commentList>
</comments>
</file>

<file path=xl/comments/comment52.xml><?xml version="1.0" encoding="utf-8"?>
<comments xmlns="http://schemas.openxmlformats.org/spreadsheetml/2006/main">
  <authors>
    <author>iorta TechNXT</author>
  </authors>
  <commentList>
    <comment ref="B16" authorId="0" shapeId="0">
      <text>
        <t>Template
Package document template
Mandatory: Yes
Format: Code from the drop-down
Allowed values: List Template (PM-08): 6 values, see Reference lists
Example: PKG_ADVISORY</t>
      </text>
    </comment>
    <comment ref="C16" authorId="0" shapeId="0">
      <text>
        <t>Title
Title of the document
Mandatory: Yes
Format: Text
Allowed values: Free entry
Example: Package advisory</t>
      </text>
    </comment>
    <comment ref="D16" authorId="0" shapeId="0">
      <text>
        <t>Text
Text with merge fields in double braces
Mandatory: Yes
Format: Text
Allowed values: Free entry
Example: This is to advise that the package {{productCode}} - {{productName}} is available.</t>
      </text>
    </comment>
    <comment ref="E16" authorId="0" shapeId="0">
      <text>
        <t>Merge fields used
Merge fields of the text, for reference
Mandatory: No
Format: Text
Allowed values: Free entry
Example: productCode, productName</t>
      </text>
    </comment>
    <comment ref="F16" authorId="0" shapeId="0">
      <text>
        <t>Effective from
First day of use of the version
Mandatory: Yes
Format: Date dd-MMM-yyyy, e.g. 15-Jan-2026
Allowed values: A date, for example 15-Jan-2028
Example: 01-Jan-2028</t>
      </text>
    </comment>
  </commentList>
</comments>
</file>

<file path=xl/comments/comment53.xml><?xml version="1.0" encoding="utf-8"?>
<comments xmlns="http://schemas.openxmlformats.org/spreadsheetml/2006/main">
  <authors>
    <author>iorta TechNXT</author>
  </authors>
  <commentList>
    <comment ref="B16" authorId="0" shapeId="0">
      <text>
        <t>Parameter
One row per parameter
Mandatory: Yes
Format: Code from the drop-down
Allowed values: List Parameter (UA-05): 17 values, see Reference lists
Example: PASSWORD_MAX_AGE_DAYS</t>
      </text>
    </comment>
    <comment ref="C16" authorId="0" shapeId="0">
      <text>
        <t>Value as delivered
The value proposed with the system; blank = no value
Mandatory: No
Format: Text
Allowed values: Free entry
Example: 90</t>
      </text>
    </comment>
    <comment ref="D16" authorId="0" shapeId="0">
      <text>
        <t>Value wanted
The value wanted; blank = no value
Mandatory: No
Format: Same type and range
Allowed values: Free entry
Example: 90</t>
      </text>
    </comment>
    <comment ref="E16" authorId="0" shapeId="0">
      <text>
        <t>Reason
Policy reference or reason
Mandatory: No
Format: Text
Allowed values: Free entry
Example: Password policy</t>
      </text>
    </comment>
    <comment ref="F16" authorId="0" shapeId="0">
      <text>
        <t>Approved by
Information Security or IT approver of the value
Mandatory: Yes
Format: Text
Allowed values: Free entry
Example: Ramon Dizon</t>
      </text>
    </comment>
  </commentList>
</comments>
</file>

<file path=xl/comments/comment54.xml><?xml version="1.0" encoding="utf-8"?>
<comments xmlns="http://schemas.openxmlformats.org/spreadsheetml/2006/main">
  <authors>
    <author>iorta TechNXT</author>
  </authors>
  <commentList>
    <comment ref="B16" authorId="0" shapeId="0">
      <text>
        <t>Reference
Reference of the record in the source list
Mandatory: Yes
Format: Text
Allowed values: Free entry
Example: UNSC-0001</t>
      </text>
    </comment>
    <comment ref="C16" authorId="0" shapeId="0">
      <text>
        <t>Entity Type
A listed person or an entity
Mandatory: Yes
Format: Text
Allowed values: INDIVIDUAL, ENTITY (list Entity Type (UP-03))
Example: INDIVIDUAL</t>
      </text>
    </comment>
    <comment ref="D16" authorId="0" shapeId="0">
      <text>
        <t>Primary Name
Name as listed
Mandatory: Yes
Format: Text
Allowed values: Free entry
Example: Dela Cruz, Juan Listed</t>
      </text>
    </comment>
    <comment ref="E16" authorId="0" shapeId="0">
      <text>
        <t>First Name
First name of a person
Mandatory: No
Format: Text
Allowed values: Free entry
Example: Juan</t>
      </text>
    </comment>
    <comment ref="F16" authorId="0" shapeId="0">
      <text>
        <t>Last Name
Last name of a person
Mandatory: No
Format: Text
Allowed values: Free entry
Example: Dela Cruz</t>
      </text>
    </comment>
    <comment ref="G16" authorId="0" shapeId="0">
      <text>
        <t>Aliases
Other names of the record
Mandatory: No
Format: Text; several names separated by ;
Allowed values: Free entry
Example: Juanito DC; J. D. Cruz</t>
      </text>
    </comment>
    <comment ref="H16" authorId="0" shapeId="0">
      <text>
        <t>Birth Date
Birth date of a person
Mandatory: No
Format: Date yyyy-MM-dd, e.g. 1970-02-28, or an Excel date
Allowed values: Free entry
Example: 1970-02-28</t>
      </text>
    </comment>
    <comment ref="I16" authorId="0" shapeId="0">
      <text>
        <t>Nationality
Nationality
Mandatory: No
Format: Text
Allowed values: Free entry
Example: Filipino</t>
      </text>
    </comment>
    <comment ref="J16" authorId="0" shapeId="0">
      <text>
        <t>ID Numbers
Identification numbers
Mandatory: No
Format: Text
Allowed values: Free entry
Example: P1234567</t>
      </text>
    </comment>
    <comment ref="K16" authorId="0" shapeId="0">
      <text>
        <t>Listed On
Date the record was listed
Mandatory: No
Format: Date yyyy-MM-dd, e.g. 2026-01-15, or an Excel date
Allowed values: Free entry
Example: 2026-01-15</t>
      </text>
    </comment>
    <comment ref="L16" authorId="0" shapeId="0">
      <text>
        <t>List Type
Kind of list; blank for the source's kind
Mandatory: No
Format: Text
Allowed values: SANCTION, PEP, INTERNAL (list List Type (UP-03))</t>
      </text>
    </comment>
    <comment ref="M16" authorId="0" shapeId="0">
      <text>
        <t>Remarks
Remarks
Mandatory: No
Format: Text
Allowed values: Free entry
Example: Advisory 2026-01</t>
      </text>
    </comment>
  </commentList>
</comments>
</file>

<file path=xl/comments/comment55.xml><?xml version="1.0" encoding="utf-8"?>
<comments xmlns="http://schemas.openxmlformats.org/spreadsheetml/2006/main">
  <authors>
    <author>iorta TechNXT</author>
  </authors>
  <commentList>
    <comment ref="A4" authorId="0" shapeId="0">
      <text>
        <t>List: Code of the list on Lists of Values</t>
      </text>
    </comment>
    <comment ref="B4" authorId="0" shapeId="0">
      <text>
        <t>Name: Name of the list</t>
      </text>
    </comment>
    <comment ref="C4" authorId="0" shapeId="0">
      <text>
        <t>Module: Module that uses the list</t>
      </text>
    </comment>
    <comment ref="D4" authorId="0" shapeId="0">
      <text>
        <t>Owner (BDOI unit): Unit that owns the values</t>
      </text>
    </comment>
    <comment ref="E4" authorId="0" shapeId="0">
      <text>
        <t>Values proposed: Number of values proposed with the platform</t>
      </text>
    </comment>
    <comment ref="F4" authorId="0" shapeId="0">
      <text>
        <t>Route: Migration Console or Configuration screen</t>
      </text>
    </comment>
    <comment ref="G4" authorId="0" shapeId="0">
      <text>
        <t>Given in: Template where the values are given</t>
      </text>
    </comment>
    <comment ref="H4" authorId="0" shapeId="0">
      <text>
        <t>Due: Due date</t>
      </text>
    </comment>
    <comment ref="I4" authorId="0" shapeId="0">
      <text>
        <t>Values to keep, add or retire: The owner's decision on the values</t>
      </text>
    </comment>
    <comment ref="J4" authorId="0" shapeId="0">
      <text>
        <t>Status: Status of the row</t>
      </text>
    </comment>
    <comment ref="K4" authorId="0" shapeId="0">
      <text>
        <t>BDOI comments: Decision, value or comment of the owner</t>
      </text>
    </comment>
  </commentList>
</comments>
</file>

<file path=xl/comments/comment56.xml><?xml version="1.0" encoding="utf-8"?>
<comments xmlns="http://schemas.openxmlformats.org/spreadsheetml/2006/main">
  <authors>
    <author>iorta TechNXT</author>
  </authors>
  <commentList>
    <comment ref="A4" authorId="0" shapeId="0">
      <text>
        <t>Parameter: Parameter on System Parameters</t>
      </text>
    </comment>
    <comment ref="B4" authorId="0" shapeId="0">
      <text>
        <t>Group: Group of the parameter</t>
      </text>
    </comment>
    <comment ref="C4" authorId="0" shapeId="0">
      <text>
        <t>Module: Module</t>
      </text>
    </comment>
    <comment ref="D4" authorId="0" shapeId="0">
      <text>
        <t>Owner (BDOI unit): Unit that decides the value</t>
      </text>
    </comment>
    <comment ref="E4" authorId="0" shapeId="0">
      <text>
        <t>What it controls: Meaning of the parameter</t>
      </text>
    </comment>
    <comment ref="F4" authorId="0" shapeId="0">
      <text>
        <t>Type: Kind of value</t>
      </text>
    </comment>
    <comment ref="G4" authorId="0" shapeId="0">
      <text>
        <t>Value proposed: Value proposed with the platform</t>
      </text>
    </comment>
    <comment ref="H4" authorId="0" shapeId="0">
      <text>
        <t>Allowed range: Minimum and maximum</t>
      </text>
    </comment>
    <comment ref="I4" authorId="0" shapeId="0">
      <text>
        <t>Given in: Where the value wanted is given</t>
      </text>
    </comment>
    <comment ref="J4" authorId="0" shapeId="0">
      <text>
        <t>Due: Due date</t>
      </text>
    </comment>
    <comment ref="K4" authorId="0" shapeId="0">
      <text>
        <t>Value wanted: Value BDOI wants</t>
      </text>
    </comment>
    <comment ref="L4" authorId="0" shapeId="0">
      <text>
        <t>Reason: Policy reference or reason of a change</t>
      </text>
    </comment>
    <comment ref="M4" authorId="0" shapeId="0">
      <text>
        <t>Approved by: BDOI approver of the value</t>
      </text>
    </comment>
    <comment ref="N4" authorId="0" shapeId="0">
      <text>
        <t>Status: Status of the row</t>
      </text>
    </comment>
    <comment ref="O4" authorId="0" shapeId="0">
      <text>
        <t>BDOI comments: Decision, value or comment of the owner</t>
      </text>
    </comment>
  </commentList>
</comments>
</file>

<file path=xl/comments/comment57.xml><?xml version="1.0" encoding="utf-8"?>
<comments xmlns="http://schemas.openxmlformats.org/spreadsheetml/2006/main">
  <authors>
    <author>iorta TechNXT</author>
  </authors>
  <commentList>
    <comment ref="A4" authorId="0" shapeId="0">
      <text>
        <t>Parameter: Parameter on System Parameters</t>
      </text>
    </comment>
    <comment ref="B4" authorId="0" shapeId="0">
      <text>
        <t>Group: Group of the parameter</t>
      </text>
    </comment>
    <comment ref="C4" authorId="0" shapeId="0">
      <text>
        <t>Module: Module</t>
      </text>
    </comment>
    <comment ref="D4" authorId="0" shapeId="0">
      <text>
        <t>Owner (BDOI unit): Unit that decides the value</t>
      </text>
    </comment>
    <comment ref="E4" authorId="0" shapeId="0">
      <text>
        <t>What it controls: Meaning of the parameter</t>
      </text>
    </comment>
    <comment ref="F4" authorId="0" shapeId="0">
      <text>
        <t>Type: Kind of value</t>
      </text>
    </comment>
    <comment ref="G4" authorId="0" shapeId="0">
      <text>
        <t>Value proposed: Value proposed with the platform</t>
      </text>
    </comment>
    <comment ref="H4" authorId="0" shapeId="0">
      <text>
        <t>Allowed range: Minimum and maximum</t>
      </text>
    </comment>
    <comment ref="I4" authorId="0" shapeId="0">
      <text>
        <t>Given in: Where the value wanted is given</t>
      </text>
    </comment>
    <comment ref="J4" authorId="0" shapeId="0">
      <text>
        <t>Due: Due date</t>
      </text>
    </comment>
    <comment ref="K4" authorId="0" shapeId="0">
      <text>
        <t>Value wanted: Value BDOI wants</t>
      </text>
    </comment>
    <comment ref="L4" authorId="0" shapeId="0">
      <text>
        <t>Reason: Policy reference or reason of a change</t>
      </text>
    </comment>
    <comment ref="M4" authorId="0" shapeId="0">
      <text>
        <t>Approved by: BDOI approver of the value</t>
      </text>
    </comment>
    <comment ref="N4" authorId="0" shapeId="0">
      <text>
        <t>Status: Status of the row</t>
      </text>
    </comment>
    <comment ref="O4" authorId="0" shapeId="0">
      <text>
        <t>BDOI comments: Decision, value or comment of the owner</t>
      </text>
    </comment>
  </commentList>
</comments>
</file>

<file path=xl/comments/comment58.xml><?xml version="1.0" encoding="utf-8"?>
<comments xmlns="http://schemas.openxmlformats.org/spreadsheetml/2006/main">
  <authors>
    <author>iorta TechNXT</author>
  </authors>
  <commentList>
    <comment ref="A4" authorId="0" shapeId="0">
      <text>
        <t>Parameter: Prefix parameter</t>
      </text>
    </comment>
    <comment ref="B4" authorId="0" shapeId="0">
      <text>
        <t>Module: Module of the document</t>
      </text>
    </comment>
    <comment ref="C4" authorId="0" shapeId="0">
      <text>
        <t>Numbered document: Document numbered with the prefix</t>
      </text>
    </comment>
    <comment ref="D4" authorId="0" shapeId="0">
      <text>
        <t>Prefix proposed: Prefix proposed with the platform</t>
      </text>
    </comment>
    <comment ref="E4" authorId="0" shapeId="0">
      <text>
        <t>Owner (BDOI unit): Unit that decides the prefix</t>
      </text>
    </comment>
    <comment ref="F4" authorId="0" shapeId="0">
      <text>
        <t>Prefix wanted: Prefix BDOI wants; the year and a running number follow it</t>
      </text>
    </comment>
    <comment ref="G4" authorId="0" shapeId="0">
      <text>
        <t>Status: Status of the row</t>
      </text>
    </comment>
    <comment ref="H4" authorId="0" shapeId="0">
      <text>
        <t>BDOI comments: Decision, value or comment of the owner</t>
      </text>
    </comment>
  </commentList>
</comments>
</file>

<file path=xl/comments/comment59.xml><?xml version="1.0" encoding="utf-8"?>
<comments xmlns="http://schemas.openxmlformats.org/spreadsheetml/2006/main">
  <authors>
    <author>iorta TechNXT</author>
  </authors>
  <commentList>
    <comment ref="A4" authorId="0" shapeId="0">
      <text>
        <t>Event: Notification event</t>
      </text>
    </comment>
    <comment ref="B4" authorId="0" shapeId="0">
      <text>
        <t>Name: Name shown in Notification Settings</t>
      </text>
    </comment>
    <comment ref="C4" authorId="0" shapeId="0">
      <text>
        <t>Module: Module</t>
      </text>
    </comment>
    <comment ref="D4" authorId="0" shapeId="0">
      <text>
        <t>Owner (BDOI unit): Unit that confirms the event</t>
      </text>
    </comment>
    <comment ref="E4" authorId="0" shapeId="0">
      <text>
        <t>Who is told and when: What the event tells the user</t>
      </text>
    </comment>
    <comment ref="F4" authorId="0" shapeId="0">
      <text>
        <t>In-app proposed: Y or N</t>
      </text>
    </comment>
    <comment ref="G4" authorId="0" shapeId="0">
      <text>
        <t>E-mail proposed: Y or N</t>
      </text>
    </comment>
    <comment ref="H4" authorId="0" shapeId="0">
      <text>
        <t>In-app wanted: Y or N</t>
      </text>
    </comment>
    <comment ref="I4" authorId="0" shapeId="0">
      <text>
        <t>E-mail wanted: Y or N</t>
      </text>
    </comment>
    <comment ref="J4" authorId="0" shapeId="0">
      <text>
        <t>Unit mailbox (recipient): Mailbox that also receives the e-mail (optional)</t>
      </text>
    </comment>
    <comment ref="K4" authorId="0" shapeId="0">
      <text>
        <t>Status: Status of the row</t>
      </text>
    </comment>
    <comment ref="L4" authorId="0" shapeId="0">
      <text>
        <t>BDOI comments: Decision, value or comment of the owner</t>
      </text>
    </comment>
  </commentList>
</comments>
</file>

<file path=xl/comments/comment60.xml><?xml version="1.0" encoding="utf-8"?>
<comments xmlns="http://schemas.openxmlformats.org/spreadsheetml/2006/main">
  <authors>
    <author>iorta TechNXT</author>
  </authors>
  <commentList>
    <comment ref="A4" authorId="0" shapeId="0">
      <text>
        <t>Template: Template code on Document Templates</t>
      </text>
    </comment>
    <comment ref="B4" authorId="0" shapeId="0">
      <text>
        <t>Title: Title of the template</t>
      </text>
    </comment>
    <comment ref="C4" authorId="0" shapeId="0">
      <text>
        <t>Module: Module that generates the document</t>
      </text>
    </comment>
    <comment ref="D4" authorId="0" shapeId="0">
      <text>
        <t>Owner (BDOI unit): Unit that gives the wording and layout</t>
      </text>
    </comment>
    <comment ref="E4" authorId="0" shapeId="0">
      <text>
        <t>Merge fields available: Fields BIBS fills in</t>
      </text>
    </comment>
    <comment ref="F4" authorId="0" shapeId="0">
      <text>
        <t>Given in: Where the text is given</t>
      </text>
    </comment>
    <comment ref="G4" authorId="0" shapeId="0">
      <text>
        <t>Due: Due date</t>
      </text>
    </comment>
    <comment ref="H4" authorId="0" shapeId="0">
      <text>
        <t>BDOI layout attached: Y when the layout is sent</t>
      </text>
    </comment>
    <comment ref="I4" authorId="0" shapeId="0">
      <text>
        <t>Status: Status of the row</t>
      </text>
    </comment>
    <comment ref="J4" authorId="0" shapeId="0">
      <text>
        <t>BDOI comments: Decision, value or comment of the owner</t>
      </text>
    </comment>
  </commentList>
</comments>
</file>

<file path=xl/comments/comment61.xml><?xml version="1.0" encoding="utf-8"?>
<comments xmlns="http://schemas.openxmlformats.org/spreadsheetml/2006/main">
  <authors>
    <author>iorta TechNXT</author>
  </authors>
  <commentList>
    <comment ref="A4" authorId="0" shapeId="0">
      <text>
        <t>Event type: Accounting event of the platform</t>
      </text>
    </comment>
    <comment ref="B4" authorId="0" shapeId="0">
      <text>
        <t>Name: Name of the event</t>
      </text>
    </comment>
    <comment ref="C4" authorId="0" shapeId="0">
      <text>
        <t>Category: Category</t>
      </text>
    </comment>
    <comment ref="D4" authorId="0" shapeId="0">
      <text>
        <t>Journal type: Journal type of the entries</t>
      </text>
    </comment>
    <comment ref="E4" authorId="0" shapeId="0">
      <text>
        <t>Amount components: Amounts the rule lines can post</t>
      </text>
    </comment>
    <comment ref="F4" authorId="0" shapeId="0">
      <text>
        <t>Given in: Template of the rules</t>
      </text>
    </comment>
    <comment ref="G4" authorId="0" shapeId="0">
      <text>
        <t>Status: Status of the row</t>
      </text>
    </comment>
    <comment ref="H4" authorId="0" shapeId="0">
      <text>
        <t>BDOI comments: Decision, value or comment of the owner</t>
      </text>
    </comment>
  </commentList>
</comments>
</file>

<file path=xl/comments/comment62.xml><?xml version="1.0" encoding="utf-8"?>
<comments xmlns="http://schemas.openxmlformats.org/spreadsheetml/2006/main">
  <authors>
    <author>iorta TechNXT</author>
  </authors>
  <commentList>
    <comment ref="A4" authorId="0" shapeId="0">
      <text>
        <t>ID: Configuration item of the Drop 0 register</t>
      </text>
    </comment>
    <comment ref="B4" authorId="0" shapeId="0">
      <text>
        <t>Dataset: What is configured</t>
      </text>
    </comment>
    <comment ref="C4" authorId="0" shapeId="0">
      <text>
        <t>What BDOI decides or provides: Content of the set-up</t>
      </text>
    </comment>
    <comment ref="D4" authorId="0" shapeId="0">
      <text>
        <t>BRD: BRD</t>
      </text>
    </comment>
    <comment ref="E4" authorId="0" shapeId="0">
      <text>
        <t>Owner (BDOI unit): Unit that decides</t>
      </text>
    </comment>
    <comment ref="F4" authorId="0" shapeId="0">
      <text>
        <t>Configured on: Screen of BIBS</t>
      </text>
    </comment>
    <comment ref="G4" authorId="0" shapeId="0">
      <text>
        <t>Due: Due date</t>
      </text>
    </comment>
    <comment ref="H4" authorId="0" shapeId="0">
      <text>
        <t>Status: Status of the item</t>
      </text>
    </comment>
    <comment ref="I4" authorId="0" shapeId="0">
      <text>
        <t>BDOI comments: Decisions and values of the owner</t>
      </text>
    </comment>
  </commentList>
</comments>
</file>

<file path=xl/comments/comment63.xml><?xml version="1.0" encoding="utf-8"?>
<comments xmlns="http://schemas.openxmlformats.org/spreadsheetml/2006/main">
  <authors>
    <author>iorta TechNXT</author>
  </authors>
  <commentList>
    <comment ref="A4" authorId="0" shapeId="0">
      <text>
        <t>Kind of gap: No upload route, or not held by BIBS</t>
      </text>
    </comment>
    <comment ref="B4" authorId="0" shapeId="0">
      <text>
        <t>Template or question: Template of this workbook, or Ref of the question</t>
      </text>
    </comment>
    <comment ref="C4" authorId="0" shapeId="0">
      <text>
        <t>Dataset: Dataset</t>
      </text>
    </comment>
    <comment ref="D4" authorId="0" shapeId="0">
      <text>
        <t>BRD: BRD</t>
      </text>
    </comment>
    <comment ref="E4" authorId="0" shapeId="0">
      <text>
        <t>Provided by: Who fills in the template</t>
      </text>
    </comment>
    <comment ref="F4" authorId="0" shapeId="0">
      <text>
        <t>Keyed on: Screen where the rows are entered</t>
      </text>
    </comment>
    <comment ref="G4" authorId="0" shapeId="0">
      <text>
        <t>Columns: Columns of the template</t>
      </text>
    </comment>
    <comment ref="H4" authorId="0" shapeId="0">
      <text>
        <t>Mandatory: Mandatory columns</t>
      </text>
    </comment>
    <comment ref="I4" authorId="0" shapeId="0">
      <text>
        <t>Due: Due date of the template</t>
      </text>
    </comment>
    <comment ref="J4" authorId="0" shapeId="0">
      <text>
        <t>How the rows get into BIBS, or what is asked: Handling of the dataset</t>
      </text>
    </comment>
  </commentList>
</comments>
</file>

<file path=xl/comments/comment64.xml><?xml version="1.0" encoding="utf-8"?>
<comments xmlns="http://schemas.openxmlformats.org/spreadsheetml/2006/main">
  <authors>
    <author>iorta TechNXT</author>
  </authors>
  <commentList>
    <comment ref="A4" authorId="0" shapeId="0">
      <text>
        <t>Dataset: Dataset asked about</t>
      </text>
    </comment>
    <comment ref="B4" authorId="0" shapeId="0">
      <text>
        <t>Where it is in this workbook: Template, list or sheet</t>
      </text>
    </comment>
    <comment ref="C4" authorId="0" shapeId="0">
      <text>
        <t>Held by BIBS: Yes, Partly or No</t>
      </text>
    </comment>
    <comment ref="D4" authorId="0" shapeId="0">
      <text>
        <t>Note: What BIBS keeps and what it does not</t>
      </text>
    </comment>
    <comment ref="E4" authorId="0" shapeId="0">
      <text>
        <t>Question: Ref of the question in the BDOI Requirements and Inputs workbook</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14</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D0_02" displayName="T_D0_02" ref="B17:O518" headerRowCount="1">
  <autoFilter ref="B17:O518"/>
  <tableColumns count="14">
    <tableColumn id="2" name="Branch code *"/>
    <tableColumn id="3" name="Branch name *"/>
    <tableColumn id="4" name="Region"/>
    <tableColumn id="5" name="Address"/>
    <tableColumn id="6" name="Opening date *"/>
    <tableColumn id="7" name="Head office *"/>
    <tableColumn id="8" name="Foreign currency authorised *"/>
    <tableColumn id="9" name="Contact phone"/>
    <tableColumn id="10" name="Contact e-mail"/>
    <tableColumn id="11" name="Branch manager"/>
    <tableColumn id="12" name="Weekly rest days"/>
    <tableColumn id="13" name="Legacy branch codes"/>
    <tableColumn id="14" name="BIR branch code"/>
    <tableColumn id="15" name="RDO code"/>
  </tableColumns>
  <tableStyleInfo name="TableStyleLight9" showRowStripes="1"/>
</table>
</file>

<file path=xl/tables/table2.xml><?xml version="1.0" encoding="utf-8"?>
<table xmlns="http://schemas.openxmlformats.org/spreadsheetml/2006/main" id="2" name="T_D0_04" displayName="T_D0_04" ref="B16:E517" headerRowCount="1">
  <autoFilter ref="B16:E517"/>
  <tableColumns count="4">
    <tableColumn id="2" name="Dimension *"/>
    <tableColumn id="3" name="Code *"/>
    <tableColumn id="4" name="Name *"/>
    <tableColumn id="5" name="Active *"/>
  </tableColumns>
  <tableStyleInfo name="TableStyleLight9" showRowStripes="1"/>
</table>
</file>

<file path=xl/tables/table3.xml><?xml version="1.0" encoding="utf-8"?>
<table xmlns="http://schemas.openxmlformats.org/spreadsheetml/2006/main" id="3" name="T_D0_07" displayName="T_D0_07" ref="B16:I517" headerRowCount="1">
  <autoFilter ref="B16:I517"/>
  <tableColumns count="8">
    <tableColumn id="2" name="Row *"/>
    <tableColumn id="3" name="Category code"/>
    <tableColumn id="4" name="Category name"/>
    <tableColumn id="5" name="Account class"/>
    <tableColumn id="6" name="Bank category"/>
    <tableColumn id="7" name="Parent account"/>
    <tableColumn id="8" name="Separator"/>
    <tableColumn id="9" name="Width"/>
  </tableColumns>
  <tableStyleInfo name="TableStyleLight9" showRowStripes="1"/>
</table>
</file>

<file path=xl/tables/table4.xml><?xml version="1.0" encoding="utf-8"?>
<table xmlns="http://schemas.openxmlformats.org/spreadsheetml/2006/main" id="4" name="T_MD_02" displayName="T_MD_02" ref="B16:F317" headerRowCount="1">
  <autoFilter ref="B16:F317"/>
  <tableColumns count="5">
    <tableColumn id="2" name="Currency code *"/>
    <tableColumn id="3" name="Name *"/>
    <tableColumn id="4" name="Symbol"/>
    <tableColumn id="5" name="Decimal places *"/>
    <tableColumn id="6" name="Active *"/>
  </tableColumns>
  <tableStyleInfo name="TableStyleLight9" showRowStripes="1"/>
</table>
</file>

<file path=xl/tables/table5.xml><?xml version="1.0" encoding="utf-8"?>
<table xmlns="http://schemas.openxmlformats.org/spreadsheetml/2006/main" id="5" name="T_PM_09" displayName="T_PM_09" ref="B16:F517" headerRowCount="1">
  <autoFilter ref="B16:F517"/>
  <tableColumns count="5">
    <tableColumn id="2" name="List or parameter *"/>
    <tableColumn id="3" name="Value code"/>
    <tableColumn id="4" name="Label or value *"/>
    <tableColumn id="5" name="Order / Active"/>
    <tableColumn id="6" name="Effective from"/>
  </tableColumns>
  <tableStyleInfo name="TableStyleLight9" showRowStripes="1"/>
</table>
</file>

<file path=xl/tables/table6.xml><?xml version="1.0" encoding="utf-8"?>
<table xmlns="http://schemas.openxmlformats.org/spreadsheetml/2006/main" id="6" name="T_R01" displayName="T_R01" ref="B17:I218" headerRowCount="1">
  <autoFilter ref="B17:I218"/>
  <tableColumns count="8">
    <tableColumn id="2" name="list_type *"/>
    <tableColumn id="3" name="code *"/>
    <tableColumn id="4" name="description *"/>
    <tableColumn id="5" name="parent_code"/>
    <tableColumn id="6" name="active_flag *"/>
    <tableColumn id="7" name="effective_from"/>
    <tableColumn id="8" name="effective_to"/>
    <tableColumn id="9" name="used_count"/>
  </tableColumns>
  <tableStyleInfo name="TableStyleLight9" showRowStripes="1"/>
</table>
</file>

<file path=xl/tables/table7.xml><?xml version="1.0" encoding="utf-8"?>
<table xmlns="http://schemas.openxmlformats.org/spreadsheetml/2006/main" id="7" name="T_R04" displayName="T_R04" ref="B19:K220" headerRowCount="1">
  <autoFilter ref="B19:K220"/>
  <tableColumns count="10">
    <tableColumn id="2" name="insurer_code *"/>
    <tableColumn id="3" name="insurer_name *"/>
    <tableColumn id="4" name="short_name"/>
    <tableColumn id="5" name="tin"/>
    <tableColumn id="6" name="address"/>
    <tableColumn id="7" name="accreditation_no"/>
    <tableColumn id="8" name="accredited_until"/>
    <tableColumn id="9" name="placement_email"/>
    <tableColumn id="10" name="default_credit_days"/>
    <tableColumn id="11" name="status *"/>
  </tableColumns>
  <tableStyleInfo name="TableStyleLight9" showRowStripes="1"/>
</table>
</file>

<file path=xl/tables/table8.xml><?xml version="1.0" encoding="utf-8"?>
<table xmlns="http://schemas.openxmlformats.org/spreadsheetml/2006/main" id="8" name="T_UA_02" displayName="T_UA_02" ref="B16:I517" headerRowCount="1">
  <autoFilter ref="B16:I517"/>
  <tableColumns count="8">
    <tableColumn id="2" name="Group profile code *"/>
    <tableColumn id="3" name="Name *"/>
    <tableColumn id="4" name="Description"/>
    <tableColumn id="5" name="Privilege level *"/>
    <tableColumn id="6" name="Permission *"/>
    <tableColumn id="7" name="Action class"/>
    <tableColumn id="8" name="Keep / Add / Remove *"/>
    <tableColumn id="9" name="Approved by unit head *"/>
  </tableColumns>
  <tableStyleInfo name="TableStyleLight9" showRowStripes="1"/>
</table>
</file>

<file path=xl/tables/table9.xml><?xml version="1.0" encoding="utf-8"?>
<table xmlns="http://schemas.openxmlformats.org/spreadsheetml/2006/main" id="9" name="T_UA_06" displayName="T_UA_06" ref="B16:F517" headerRowCount="1">
  <autoFilter ref="B16:F517"/>
  <tableColumns count="5">
    <tableColumn id="2" name="List *"/>
    <tableColumn id="3" name="Code *"/>
    <tableColumn id="4" name="Label *"/>
    <tableColumn id="5" name="Sort order"/>
    <tableColumn id="6" name="Effective from *"/>
  </tableColumns>
  <tableStyleInfo name="TableStyleLight9" showRowStripes="1"/>
</table>
</file>

<file path=xl/tables/table10.xml><?xml version="1.0" encoding="utf-8"?>
<table xmlns="http://schemas.openxmlformats.org/spreadsheetml/2006/main" id="10" name="T_D0_05" displayName="T_D0_05" ref="B16:H517" headerRowCount="1">
  <autoFilter ref="B16:H517"/>
  <tableColumns count="7">
    <tableColumn id="2" name="Employee number *"/>
    <tableColumn id="3" name="Full name *"/>
    <tableColumn id="4" name="Branch code *"/>
    <tableColumn id="5" name="Cost centre *"/>
    <tableColumn id="6" name="Position"/>
    <tableColumn id="7" name="E-mail"/>
    <tableColumn id="8" name="Hired on"/>
  </tableColumns>
  <tableStyleInfo name="TableStyleLight9" showRowStripes="1"/>
</table>
</file>

<file path=xl/tables/table11.xml><?xml version="1.0" encoding="utf-8"?>
<table xmlns="http://schemas.openxmlformats.org/spreadsheetml/2006/main" id="11" name="T_D0_06" displayName="T_D0_06" ref="B16:Q517" headerRowCount="1">
  <autoFilter ref="B16:Q517"/>
  <tableColumns count="16">
    <tableColumn id="2" name="Parent Code"/>
    <tableColumn id="3" name="Account Code"/>
    <tableColumn id="4" name="Account Name *"/>
    <tableColumn id="5" name="Short Code"/>
    <tableColumn id="6" name="Class *"/>
    <tableColumn id="7" name="Level *"/>
    <tableColumn id="8" name="Category"/>
    <tableColumn id="9" name="Control Account"/>
    <tableColumn id="10" name="Sub-ledger Type"/>
    <tableColumn id="11" name="Currencies"/>
    <tableColumn id="12" name="Manual Posting"/>
    <tableColumn id="13" name="Cost Centre Required"/>
    <tableColumn id="14" name="Revaluation Required"/>
    <tableColumn id="15" name="Report Group"/>
    <tableColumn id="16" name="Opened On"/>
    <tableColumn id="17" name="Negative Balance"/>
  </tableColumns>
  <tableStyleInfo name="TableStyleLight9" showRowStripes="1"/>
</table>
</file>

<file path=xl/tables/table12.xml><?xml version="1.0" encoding="utf-8"?>
<table xmlns="http://schemas.openxmlformats.org/spreadsheetml/2006/main" id="12" name="T_MD_01" displayName="T_MD_01" ref="B16:O317" headerRowCount="1">
  <autoFilter ref="B16:O317"/>
  <tableColumns count="14">
    <tableColumn id="2" name="Party code *"/>
    <tableColumn id="3" name="Party type *"/>
    <tableColumn id="4" name="Name *"/>
    <tableColumn id="5" name="TIN / tax id"/>
    <tableColumn id="6" name="Address"/>
    <tableColumn id="7" name="E-mail"/>
    <tableColumn id="8" name="Phone"/>
    <tableColumn id="9" name="Default currency *"/>
    <tableColumn id="10" name="Bank name"/>
    <tableColumn id="11" name="Bank account no."/>
    <tableColumn id="12" name="Licence no."/>
    <tableColumn id="13" name="Credit days"/>
    <tableColumn id="14" name="Commission rate %"/>
    <tableColumn id="15" name="Withholding tax rate %"/>
  </tableColumns>
  <tableStyleInfo name="TableStyleLight9" showRowStripes="1"/>
</table>
</file>

<file path=xl/tables/table13.xml><?xml version="1.0" encoding="utf-8"?>
<table xmlns="http://schemas.openxmlformats.org/spreadsheetml/2006/main" id="13" name="T_R03" displayName="T_R03" ref="B17:L218" headerRowCount="1">
  <autoFilter ref="B17:L218"/>
  <tableColumns count="11">
    <tableColumn id="2" name="record_type *"/>
    <tableColumn id="3" name="unit_code *"/>
    <tableColumn id="4" name="unit_name"/>
    <tableColumn id="5" name="parent_unit_code"/>
    <tableColumn id="6" name="unit_head_user_id"/>
    <tableColumn id="7" name="cost_center"/>
    <tableColumn id="8" name="ao_user_id"/>
    <tableColumn id="9" name="ao_code"/>
    <tableColumn id="10" name="ao_name"/>
    <tableColumn id="11" name="branch_code"/>
    <tableColumn id="12" name="active_flag *"/>
  </tableColumns>
  <tableStyleInfo name="TableStyleLight9" showRowStripes="1"/>
</table>
</file>

<file path=xl/tables/table14.xml><?xml version="1.0" encoding="utf-8"?>
<table xmlns="http://schemas.openxmlformats.org/spreadsheetml/2006/main" id="14" name="T_R05" displayName="T_R05" ref="B17:J218" headerRowCount="1">
  <autoFilter ref="B17:J218"/>
  <tableColumns count="9">
    <tableColumn id="2" name="line_code *"/>
    <tableColumn id="3" name="line_name"/>
    <tableColumn id="4" name="cover_type_code"/>
    <tableColumn id="5" name="risk_code *"/>
    <tableColumn id="6" name="risk_name *"/>
    <tableColumn id="7" name="packaged_flag"/>
    <tableColumn id="8" name="market_segments"/>
    <tableColumn id="9" name="status *"/>
    <tableColumn id="10" name="open_item_count"/>
  </tableColumns>
  <tableStyleInfo name="TableStyleLight9" showRowStripes="1"/>
</table>
</file>

<file path=xl/tables/table15.xml><?xml version="1.0" encoding="utf-8"?>
<table xmlns="http://schemas.openxmlformats.org/spreadsheetml/2006/main" id="15" name="T_UA_01" displayName="T_UA_01" ref="B16:L517" headerRowCount="1">
  <autoFilter ref="B16:L517"/>
  <tableColumns count="11">
    <tableColumn id="2" name="Action *"/>
    <tableColumn id="3" name="User ID *"/>
    <tableColumn id="4" name="Full Name"/>
    <tableColumn id="5" name="E-mail"/>
    <tableColumn id="6" name="Windows ID"/>
    <tableColumn id="7" name="Home Branch Code"/>
    <tableColumn id="8" name="Business Unit"/>
    <tableColumn id="9" name="User Level"/>
    <tableColumn id="10" name="Group Profiles"/>
    <tableColumn id="11" name="Effective Date"/>
    <tableColumn id="12" name="Remarks *"/>
  </tableColumns>
  <tableStyleInfo name="TableStyleLight9" showRowStripes="1"/>
</table>
</file>

<file path=xl/tables/table16.xml><?xml version="1.0" encoding="utf-8"?>
<table xmlns="http://schemas.openxmlformats.org/spreadsheetml/2006/main" id="16" name="T_D0_03" displayName="T_D0_03" ref="B16:D517" headerRowCount="1">
  <autoFilter ref="B16:D517"/>
  <tableColumns count="3">
    <tableColumn id="2" name="Branch code"/>
    <tableColumn id="3" name="Date *"/>
    <tableColumn id="4" name="Description *"/>
  </tableColumns>
  <tableStyleInfo name="TableStyleLight9" showRowStripes="1"/>
</table>
</file>

<file path=xl/tables/table17.xml><?xml version="1.0" encoding="utf-8"?>
<table xmlns="http://schemas.openxmlformats.org/spreadsheetml/2006/main" id="17" name="T_MD_03" displayName="T_MD_03" ref="B16:E317" headerRowCount="1">
  <autoFilter ref="B16:E317"/>
  <tableColumns count="4">
    <tableColumn id="2" name="Currency code *"/>
    <tableColumn id="3" name="Rate type *"/>
    <tableColumn id="4" name="Effective date *"/>
    <tableColumn id="5" name="Rate *"/>
  </tableColumns>
  <tableStyleInfo name="TableStyleLight9" showRowStripes="1"/>
</table>
</file>

<file path=xl/tables/table18.xml><?xml version="1.0" encoding="utf-8"?>
<table xmlns="http://schemas.openxmlformats.org/spreadsheetml/2006/main" id="18" name="T_R02" displayName="T_R02" ref="B17:F218" headerRowCount="1">
  <autoFilter ref="B17:F218"/>
  <tableColumns count="5">
    <tableColumn id="2" name="branch_code *"/>
    <tableColumn id="3" name="branch_name *"/>
    <tableColumn id="4" name="invoicing_branch_flag *"/>
    <tableColumn id="5" name="city"/>
    <tableColumn id="6" name="active_flag *"/>
  </tableColumns>
  <tableStyleInfo name="TableStyleLight9" showRowStripes="1"/>
</table>
</file>

<file path=xl/tables/table19.xml><?xml version="1.0" encoding="utf-8"?>
<table xmlns="http://schemas.openxmlformats.org/spreadsheetml/2006/main" id="19" name="T_R04B" displayName="T_R04B" ref="B17:H218" headerRowCount="1">
  <autoFilter ref="B17:H218"/>
  <tableColumns count="7">
    <tableColumn id="2" name="insurer_code *"/>
    <tableColumn id="3" name="branch_code *"/>
    <tableColumn id="4" name="branch_name *"/>
    <tableColumn id="5" name="city"/>
    <tableColumn id="6" name="lgt_rate"/>
    <tableColumn id="7" name="placement_email"/>
    <tableColumn id="8" name="status *"/>
  </tableColumns>
  <tableStyleInfo name="TableStyleLight9" showRowStripes="1"/>
</table>
</file>

<file path=xl/tables/table20.xml><?xml version="1.0" encoding="utf-8"?>
<table xmlns="http://schemas.openxmlformats.org/spreadsheetml/2006/main" id="20" name="T_R11" displayName="T_R11" ref="B17:I218" headerRowCount="1">
  <autoFilter ref="B17:I218"/>
  <tableColumns count="8">
    <tableColumn id="2" name="branch_code *"/>
    <tableColumn id="3" name="kind *"/>
    <tableColumn id="4" name="atp_no *"/>
    <tableColumn id="5" name="prefix"/>
    <tableColumn id="6" name="from_no *"/>
    <tableColumn id="7" name="to_no *"/>
    <tableColumn id="8" name="last_used_no *"/>
    <tableColumn id="9" name="next_no *"/>
  </tableColumns>
  <tableStyleInfo name="TableStyleLight9" showRowStripes="1"/>
</table>
</file>

<file path=xl/tables/table21.xml><?xml version="1.0" encoding="utf-8"?>
<table xmlns="http://schemas.openxmlformats.org/spreadsheetml/2006/main" id="21" name="T_UA_04" displayName="T_UA_04" ref="B17:H518" headerRowCount="1">
  <autoFilter ref="B17:H518"/>
  <tableColumns count="7">
    <tableColumn id="2" name="Rule ID *"/>
    <tableColumn id="3" name="Rule *"/>
    <tableColumn id="4" name="Status *"/>
    <tableColumn id="5" name="Profile or permission A"/>
    <tableColumn id="6" name="Profile or permission B"/>
    <tableColumn id="7" name="Control *"/>
    <tableColumn id="8" name="Review frequency"/>
  </tableColumns>
  <tableStyleInfo name="TableStyleLight9" showRowStripes="1"/>
</table>
</file>

<file path=xl/tables/table22.xml><?xml version="1.0" encoding="utf-8"?>
<table xmlns="http://schemas.openxmlformats.org/spreadsheetml/2006/main" id="22" name="T_UP_01" displayName="T_UP_01" ref="B16:W317" headerRowCount="1">
  <autoFilter ref="B16:W317"/>
  <tableColumns count="22">
    <tableColumn id="2" name="Client Code"/>
    <tableColumn id="3" name="Client Type *"/>
    <tableColumn id="4" name="Last Name"/>
    <tableColumn id="5" name="First Name"/>
    <tableColumn id="6" name="Middle Name"/>
    <tableColumn id="7" name="Corporate Name"/>
    <tableColumn id="8" name="Birth Date"/>
    <tableColumn id="9" name="TIN"/>
    <tableColumn id="10" name="ID Type"/>
    <tableColumn id="11" name="ID Number"/>
    <tableColumn id="12" name="E-mail"/>
    <tableColumn id="13" name="Mobile"/>
    <tableColumn id="14" name="Address"/>
    <tableColumn id="15" name="City"/>
    <tableColumn id="16" name="Province"/>
    <tableColumn id="17" name="Postal Code"/>
    <tableColumn id="18" name="Market Segment"/>
    <tableColumn id="19" name="Bank Client"/>
    <tableColumn id="20" name="Bank CIF"/>
    <tableColumn id="21" name="Nationality"/>
    <tableColumn id="22" name="Source of Funds"/>
    <tableColumn id="23" name="Risk Rating"/>
  </tableColumns>
  <tableStyleInfo name="TableStyleLight9" showRowStripes="1"/>
</table>
</file>

<file path=xl/tables/table23.xml><?xml version="1.0" encoding="utf-8"?>
<table xmlns="http://schemas.openxmlformats.org/spreadsheetml/2006/main" id="23" name="T_C01" displayName="T_C01" ref="B18:AK219" headerRowCount="1">
  <autoFilter ref="B18:AK219"/>
  <tableColumns count="36">
    <tableColumn id="2" name="legacy_client_no *"/>
    <tableColumn id="3" name="client_type *"/>
    <tableColumn id="4" name="last_name"/>
    <tableColumn id="5" name="first_name"/>
    <tableColumn id="6" name="middle_name"/>
    <tableColumn id="7" name="suffix"/>
    <tableColumn id="8" name="corporate_name"/>
    <tableColumn id="9" name="registration_no"/>
    <tableColumn id="10" name="birth_date"/>
    <tableColumn id="11" name="tin"/>
    <tableColumn id="12" name="id_type"/>
    <tableColumn id="13" name="id_number"/>
    <tableColumn id="14" name="bank_client_flag"/>
    <tableColumn id="15" name="bank_cif"/>
    <tableColumn id="16" name="nationality"/>
    <tableColumn id="17" name="source_of_funds"/>
    <tableColumn id="18" name="market_segment *"/>
    <tableColumn id="19" name="customer_segment"/>
    <tableColumn id="20" name="business_origin"/>
    <tableColumn id="21" name="ao_user_id"/>
    <tableColumn id="22" name="sales_unit_code"/>
    <tableColumn id="23" name="branch_code"/>
    <tableColumn id="24" name="email"/>
    <tableColumn id="25" name="mobile"/>
    <tableColumn id="26" name="phone"/>
    <tableColumn id="27" name="address_line"/>
    <tableColumn id="28" name="city"/>
    <tableColumn id="29" name="province"/>
    <tableColumn id="30" name="postal_code"/>
    <tableColumn id="31" name="kyc_status"/>
    <tableColumn id="32" name="kyc_verified_date"/>
    <tableColumn id="33" name="kyc_review_due"/>
    <tableColumn id="34" name="risk_rating"/>
    <tableColumn id="35" name="client_status *"/>
    <tableColumn id="36" name="created_date *"/>
    <tableColumn id="37" name="last_updated *"/>
  </tableColumns>
  <tableStyleInfo name="TableStyleLight9" showRowStripes="1"/>
</table>
</file>

<file path=xl/tables/table24.xml><?xml version="1.0" encoding="utf-8"?>
<table xmlns="http://schemas.openxmlformats.org/spreadsheetml/2006/main" id="24" name="T_D0_10" displayName="T_D0_10" ref="B18:K519" headerRowCount="1">
  <autoFilter ref="B18:K519"/>
  <tableColumns count="10">
    <tableColumn id="2" name="Tax code *"/>
    <tableColumn id="3" name="Name *"/>
    <tableColumn id="4" name="Tax type *"/>
    <tableColumn id="5" name="ATC"/>
    <tableColumn id="6" name="Payee class"/>
    <tableColumn id="7" name="Rate % *"/>
    <tableColumn id="8" name="GL account *"/>
    <tableColumn id="9" name="Income nature"/>
    <tableColumn id="10" name="Effective from *"/>
    <tableColumn id="11" name="Effective to"/>
  </tableColumns>
  <tableStyleInfo name="TableStyleLight9" showRowStripes="1"/>
</table>
</file>

<file path=xl/tables/table25.xml><?xml version="1.0" encoding="utf-8"?>
<table xmlns="http://schemas.openxmlformats.org/spreadsheetml/2006/main" id="25" name="T_D0_11" displayName="T_D0_11" ref="B17:J518" headerRowCount="1">
  <autoFilter ref="B17:J518"/>
  <tableColumns count="9">
    <tableColumn id="2" name="Bank account code *"/>
    <tableColumn id="3" name="Name *"/>
    <tableColumn id="4" name="Bank *"/>
    <tableColumn id="5" name="Account number *"/>
    <tableColumn id="6" name="Currency *"/>
    <tableColumn id="7" name="GL account *"/>
    <tableColumn id="8" name="PDC clearing account"/>
    <tableColumn id="9" name="Branch code"/>
    <tableColumn id="10" name="Payment notification format *"/>
  </tableColumns>
  <tableStyleInfo name="TableStyleLight9" showRowStripes="1"/>
</table>
</file>

<file path=xl/tables/table26.xml><?xml version="1.0" encoding="utf-8"?>
<table xmlns="http://schemas.openxmlformats.org/spreadsheetml/2006/main" id="26" name="T_PM_01" displayName="T_PM_01" ref="B16:W517" headerRowCount="1">
  <autoFilter ref="B16:W517"/>
  <tableColumns count="22">
    <tableColumn id="2" name="Line code *"/>
    <tableColumn id="3" name="Line name *"/>
    <tableColumn id="4" name="Risk-code pattern"/>
    <tableColumn id="5" name="Cover type code"/>
    <tableColumn id="6" name="Cover type name"/>
    <tableColumn id="7" name="Parent cover type"/>
    <tableColumn id="8" name="Risk code *"/>
    <tableColumn id="9" name="Product name *"/>
    <tableColumn id="10" name="Legacy code"/>
    <tableColumn id="11" name="Package *"/>
    <tableColumn id="12" name="Market segments"/>
    <tableColumn id="13" name="Placement after *"/>
    <tableColumn id="14" name="TSU review"/>
    <tableColumn id="15" name="Default rate %"/>
    <tableColumn id="16" name="Default commission % *"/>
    <tableColumn id="17" name="Minimum premium *"/>
    <tableColumn id="18" name="Package TSI limit"/>
    <tableColumn id="19" name="Fleet"/>
    <tableColumn id="20" name="Mortgage related"/>
    <tableColumn id="21" name="Direct payment allowed"/>
    <tableColumn id="22" name="Multi-year / Maximum term"/>
    <tableColumn id="23" name="Free First Year"/>
  </tableColumns>
  <tableStyleInfo name="TableStyleLight9" showRowStripes="1"/>
</table>
</file>

<file path=xl/tables/table27.xml><?xml version="1.0" encoding="utf-8"?>
<table xmlns="http://schemas.openxmlformats.org/spreadsheetml/2006/main" id="27" name="T_R08" displayName="T_R08" ref="B17:I218" headerRowCount="1">
  <autoFilter ref="B17:I218"/>
  <tableColumns count="8">
    <tableColumn id="2" name="legacy_account_code *"/>
    <tableColumn id="3" name="legacy_account_name *"/>
    <tableColumn id="4" name="account_type *"/>
    <tableColumn id="5" name="normal_balance *"/>
    <tableColumn id="6" name="legacy_control_type"/>
    <tableColumn id="7" name="bibs_account_code"/>
    <tableColumn id="8" name="branch_specific_flag"/>
    <tableColumn id="9" name="remarks"/>
  </tableColumns>
  <tableStyleInfo name="TableStyleLight9" showRowStripes="1"/>
</table>
</file>

<file path=xl/tables/table28.xml><?xml version="1.0" encoding="utf-8"?>
<table xmlns="http://schemas.openxmlformats.org/spreadsheetml/2006/main" id="28" name="T_UP_02" displayName="T_UP_02" ref="B16:L317" headerRowCount="1">
  <autoFilter ref="B16:L317"/>
  <tableColumns count="11">
    <tableColumn id="2" name="Payee code *"/>
    <tableColumn id="3" name="Payee class *"/>
    <tableColumn id="4" name="Name *"/>
    <tableColumn id="5" name="Address"/>
    <tableColumn id="6" name="Email"/>
    <tableColumn id="7" name="TIN"/>
    <tableColumn id="8" name="Default mode *"/>
    <tableColumn id="9" name="Allowed modes *"/>
    <tableColumn id="10" name="Currency *"/>
    <tableColumn id="11" name="Bank"/>
    <tableColumn id="12" name="Account no"/>
  </tableColumns>
  <tableStyleInfo name="TableStyleLight9" showRowStripes="1"/>
</table>
</file>

<file path=xl/tables/table29.xml><?xml version="1.0" encoding="utf-8"?>
<table xmlns="http://schemas.openxmlformats.org/spreadsheetml/2006/main" id="29" name="T_D0_01" displayName="T_D0_01" ref="B17:P518" headerRowCount="1">
  <autoFilter ref="B17:P518"/>
  <tableColumns count="15">
    <tableColumn id="2" name="Company code *"/>
    <tableColumn id="3" name="Registered name *"/>
    <tableColumn id="4" name="TIN *"/>
    <tableColumn id="5" name="Registered address *"/>
    <tableColumn id="6" name="Base currency *"/>
    <tableColumn id="7" name="Fiscal year start month *"/>
    <tableColumn id="8" name="Back-value days *"/>
    <tableColumn id="9" name="Forward-value days *"/>
    <tableColumn id="10" name="Retained earnings account *"/>
    <tableColumn id="11" name="RDO code"/>
    <tableColumn id="12" name="VAT registered"/>
    <tableColumn id="13" name="CAS permit no."/>
    <tableColumn id="14" name="CAS permit date"/>
    <tableColumn id="15" name="E-invoicing permit no."/>
    <tableColumn id="16" name="E-invoicing permit date"/>
  </tableColumns>
  <tableStyleInfo name="TableStyleLight9" showRowStripes="1"/>
</table>
</file>

<file path=xl/tables/table30.xml><?xml version="1.0" encoding="utf-8"?>
<table xmlns="http://schemas.openxmlformats.org/spreadsheetml/2006/main" id="30" name="T_D0_08" displayName="T_D0_08" ref="B16:K517" headerRowCount="1">
  <autoFilter ref="B16:K517"/>
  <tableColumns count="10">
    <tableColumn id="2" name="Event type *"/>
    <tableColumn id="3" name="Rule name *"/>
    <tableColumn id="4" name="Business line"/>
    <tableColumn id="5" name="Currency"/>
    <tableColumn id="6" name="Effective from *"/>
    <tableColumn id="7" name="Line *"/>
    <tableColumn id="8" name="Debit or credit *"/>
    <tableColumn id="9" name="Account code *"/>
    <tableColumn id="10" name="Amount component *"/>
    <tableColumn id="11" name="Narration"/>
  </tableColumns>
  <tableStyleInfo name="TableStyleLight9" showRowStripes="1"/>
</table>
</file>

<file path=xl/tables/table31.xml><?xml version="1.0" encoding="utf-8"?>
<table xmlns="http://schemas.openxmlformats.org/spreadsheetml/2006/main" id="31" name="T_D0_09" displayName="T_D0_09" ref="B16:F517" headerRowCount="1">
  <autoFilter ref="B16:F517"/>
  <tableColumns count="5">
    <tableColumn id="2" name="Legacy account *"/>
    <tableColumn id="3" name="Component"/>
    <tableColumn id="4" name="BIBS account code *"/>
    <tableColumn id="5" name="Legacy GL accounts"/>
    <tableColumn id="6" name="Remarks"/>
  </tableColumns>
  <tableStyleInfo name="TableStyleLight9" showRowStripes="1"/>
</table>
</file>

<file path=xl/tables/table32.xml><?xml version="1.0" encoding="utf-8"?>
<table xmlns="http://schemas.openxmlformats.org/spreadsheetml/2006/main" id="32" name="T_D0_15" displayName="T_D0_15" ref="B18:J519" headerRowCount="1">
  <autoFilter ref="B18:J519"/>
  <tableColumns count="9">
    <tableColumn id="2" name="Module *"/>
    <tableColumn id="3" name="Document or transaction *"/>
    <tableColumn id="4" name="Segment or case type"/>
    <tableColumn id="5" name="From amount"/>
    <tableColumn id="6" name="To amount"/>
    <tableColumn id="7" name="Approval level *"/>
    <tableColumn id="8" name="Approver role *"/>
    <tableColumn id="9" name="Named approver"/>
    <tableColumn id="10" name="Signatory title"/>
  </tableColumns>
  <tableStyleInfo name="TableStyleLight9" showRowStripes="1"/>
</table>
</file>

<file path=xl/tables/table33.xml><?xml version="1.0" encoding="utf-8"?>
<table xmlns="http://schemas.openxmlformats.org/spreadsheetml/2006/main" id="33" name="T_R07" displayName="T_R07" ref="B17:F218" headerRowCount="1">
  <autoFilter ref="B17:F218"/>
  <tableColumns count="5">
    <tableColumn id="2" name="insurer_code *"/>
    <tableColumn id="3" name="risk_code *"/>
    <tableColumn id="4" name="rate_pct *"/>
    <tableColumn id="5" name="effective_from *"/>
    <tableColumn id="6" name="effective_to"/>
  </tableColumns>
  <tableStyleInfo name="TableStyleLight9" showRowStripes="1"/>
</table>
</file>

<file path=xl/tables/table34.xml><?xml version="1.0" encoding="utf-8"?>
<table xmlns="http://schemas.openxmlformats.org/spreadsheetml/2006/main" id="34" name="T_TX_02" displayName="T_TX_02" ref="B16:K317" headerRowCount="1">
  <autoFilter ref="B16:K317"/>
  <tableColumns count="10">
    <tableColumn id="2" name="Form code *"/>
    <tableColumn id="3" name="Name *"/>
    <tableColumn id="4" name="Authority *"/>
    <tableColumn id="5" name="Frequency *"/>
    <tableColumn id="6" name="Worksheet *"/>
    <tableColumn id="7" name="Months after period end *"/>
    <tableColumn id="8" name="Due day *"/>
    <tableColumn id="9" name="Tax payable account"/>
    <tableColumn id="10" name="Credit account"/>
    <tableColumn id="11" name="Tracked from *"/>
  </tableColumns>
  <tableStyleInfo name="TableStyleLight9" showRowStripes="1"/>
</table>
</file>

<file path=xl/tables/table35.xml><?xml version="1.0" encoding="utf-8"?>
<table xmlns="http://schemas.openxmlformats.org/spreadsheetml/2006/main" id="35" name="T_UA_03" displayName="T_UA_03" ref="B16:G517" headerRowCount="1">
  <autoFilter ref="B16:G517"/>
  <tableColumns count="6">
    <tableColumn id="2" name="Role in user access *"/>
    <tableColumn id="3" name="User ID *"/>
    <tableColumn id="4" name="Unit *"/>
    <tableColumn id="5" name="Approver order for group profiles"/>
    <tableColumn id="6" name="Any approver may decide"/>
    <tableColumn id="7" name="Authorisation limit"/>
  </tableColumns>
  <tableStyleInfo name="TableStyleLight9" showRowStripes="1"/>
</table>
</file>

<file path=xl/tables/table36.xml><?xml version="1.0" encoding="utf-8"?>
<table xmlns="http://schemas.openxmlformats.org/spreadsheetml/2006/main" id="36" name="T_PM_02" displayName="T_PM_02" ref="B16:J517" headerRowCount="1">
  <autoFilter ref="B16:J517"/>
  <tableColumns count="9">
    <tableColumn id="2" name="Record *"/>
    <tableColumn id="3" name="Line code / Risk code *"/>
    <tableColumn id="4" name="Code or field key *"/>
    <tableColumn id="5" name="Name or label *"/>
    <tableColumn id="6" name="Kind or check *"/>
    <tableColumn id="7" name="Basic"/>
    <tableColumn id="8" name="Parameters"/>
    <tableColumn id="9" name="Document type"/>
    <tableColumn id="10" name="Mandatory *"/>
  </tableColumns>
  <tableStyleInfo name="TableStyleLight9" showRowStripes="1"/>
</table>
</file>

<file path=xl/tables/table37.xml><?xml version="1.0" encoding="utf-8"?>
<table xmlns="http://schemas.openxmlformats.org/spreadsheetml/2006/main" id="37" name="T_PM_03" displayName="T_PM_03" ref="B16:G517" headerRowCount="1">
  <autoFilter ref="B16:G517"/>
  <tableColumns count="6">
    <tableColumn id="2" name="Clause code *"/>
    <tableColumn id="3" name="Kind *"/>
    <tableColumn id="4" name="Line code"/>
    <tableColumn id="5" name="Title *"/>
    <tableColumn id="6" name="Wording *"/>
    <tableColumn id="7" name="Effective from / to *"/>
  </tableColumns>
  <tableStyleInfo name="TableStyleLight9" showRowStripes="1"/>
</table>
</file>

<file path=xl/tables/table38.xml><?xml version="1.0" encoding="utf-8"?>
<table xmlns="http://schemas.openxmlformats.org/spreadsheetml/2006/main" id="38" name="T_C02" displayName="T_C02" ref="B17:N218" headerRowCount="1">
  <autoFilter ref="B17:N218"/>
  <tableColumns count="13">
    <tableColumn id="2" name="legacy_client_no *"/>
    <tableColumn id="3" name="record_type *"/>
    <tableColumn id="4" name="seq_no *"/>
    <tableColumn id="5" name="address_type"/>
    <tableColumn id="6" name="address_line"/>
    <tableColumn id="7" name="city"/>
    <tableColumn id="8" name="province"/>
    <tableColumn id="9" name="postal_code"/>
    <tableColumn id="10" name="contact_name"/>
    <tableColumn id="11" name="contact_role"/>
    <tableColumn id="12" name="email"/>
    <tableColumn id="13" name="mobile"/>
    <tableColumn id="14" name="primary_flag *"/>
  </tableColumns>
  <tableStyleInfo name="TableStyleLight9" showRowStripes="1"/>
</table>
</file>

<file path=xl/tables/table39.xml><?xml version="1.0" encoding="utf-8"?>
<table xmlns="http://schemas.openxmlformats.org/spreadsheetml/2006/main" id="39" name="T_C03" displayName="T_C03" ref="B17:G218" headerRowCount="1">
  <autoFilter ref="B17:G218"/>
  <tableColumns count="6">
    <tableColumn id="2" name="legacy_client_no *"/>
    <tableColumn id="3" name="mode *"/>
    <tableColumn id="4" name="payee_name *"/>
    <tableColumn id="5" name="bank_code"/>
    <tableColumn id="6" name="account_no"/>
    <tableColumn id="7" name="active_flag *"/>
  </tableColumns>
  <tableStyleInfo name="TableStyleLight9" showRowStripes="1"/>
</table>
</file>

<file path=xl/tables/table40.xml><?xml version="1.0" encoding="utf-8"?>
<table xmlns="http://schemas.openxmlformats.org/spreadsheetml/2006/main" id="40" name="T_D0_12" displayName="T_D0_12" ref="B16:F517" headerRowCount="1">
  <autoFilter ref="B16:F517"/>
  <tableColumns count="5">
    <tableColumn id="2" name="Bank account code *"/>
    <tableColumn id="3" name="First check number *"/>
    <tableColumn id="4" name="Last check number *"/>
    <tableColumn id="5" name="Next check number *"/>
    <tableColumn id="6" name="Received on *"/>
  </tableColumns>
  <tableStyleInfo name="TableStyleLight9" showRowStripes="1"/>
</table>
</file>

<file path=xl/tables/table41.xml><?xml version="1.0" encoding="utf-8"?>
<table xmlns="http://schemas.openxmlformats.org/spreadsheetml/2006/main" id="41" name="T_D0_13" displayName="T_D0_13" ref="B16:I517" headerRowCount="1">
  <autoFilter ref="B16:I517"/>
  <tableColumns count="8">
    <tableColumn id="2" name="Branch code *"/>
    <tableColumn id="3" name="Fund code *"/>
    <tableColumn id="4" name="Name *"/>
    <tableColumn id="5" name="Custodian *"/>
    <tableColumn id="6" name="GL account *"/>
    <tableColumn id="7" name="Replenishment bank account *"/>
    <tableColumn id="8" name="Currency *"/>
    <tableColumn id="9" name="Imprest amount *"/>
  </tableColumns>
  <tableStyleInfo name="TableStyleLight9" showRowStripes="1"/>
</table>
</file>

<file path=xl/tables/table42.xml><?xml version="1.0" encoding="utf-8"?>
<table xmlns="http://schemas.openxmlformats.org/spreadsheetml/2006/main" id="42" name="T_D0_14" displayName="T_D0_14" ref="B16:K517" headerRowCount="1">
  <autoFilter ref="B16:K517"/>
  <tableColumns count="10">
    <tableColumn id="2" name="Bank account code *"/>
    <tableColumn id="3" name="Layout name *"/>
    <tableColumn id="4" name="Date column *"/>
    <tableColumn id="5" name="Description column *"/>
    <tableColumn id="6" name="Reference column"/>
    <tableColumn id="7" name="Debit column"/>
    <tableColumn id="8" name="Credit column"/>
    <tableColumn id="9" name="Amount column"/>
    <tableColumn id="10" name="Balance column"/>
    <tableColumn id="11" name="Date format *"/>
  </tableColumns>
  <tableStyleInfo name="TableStyleLight9" showRowStripes="1"/>
</table>
</file>

<file path=xl/tables/table43.xml><?xml version="1.0" encoding="utf-8"?>
<table xmlns="http://schemas.openxmlformats.org/spreadsheetml/2006/main" id="43" name="T_G01" displayName="T_G01" ref="B17:L218" headerRowCount="1">
  <autoFilter ref="B17:L218"/>
  <tableColumns count="11">
    <tableColumn id="2" name="tb_version *"/>
    <tableColumn id="3" name="as_of_date *"/>
    <tableColumn id="4" name="branch_code *"/>
    <tableColumn id="5" name="currency *"/>
    <tableColumn id="6" name="legacy_account_code *"/>
    <tableColumn id="7" name="cost_center"/>
    <tableColumn id="8" name="debit_fc *"/>
    <tableColumn id="9" name="credit_fc *"/>
    <tableColumn id="10" name="debit_php *"/>
    <tableColumn id="11" name="credit_php *"/>
    <tableColumn id="12" name="fx_rate"/>
  </tableColumns>
  <tableStyleInfo name="TableStyleLight9" showRowStripes="1"/>
</table>
</file>

<file path=xl/tables/table44.xml><?xml version="1.0" encoding="utf-8"?>
<table xmlns="http://schemas.openxmlformats.org/spreadsheetml/2006/main" id="44" name="T_PM_04" displayName="T_PM_04" ref="B19:H520" headerRowCount="1">
  <autoFilter ref="B19:H520"/>
  <tableColumns count="7">
    <tableColumn id="2" name="Table *"/>
    <tableColumn id="3" name="Rate"/>
    <tableColumn id="4" name="Line code"/>
    <tableColumn id="5" name="Rate %"/>
    <tableColumn id="6" name="Months covered"/>
    <tableColumn id="7" name="Coverage / Limit / Premium"/>
    <tableColumn id="8" name="Effective from / to *"/>
  </tableColumns>
  <tableStyleInfo name="TableStyleLight9" showRowStripes="1"/>
</table>
</file>

<file path=xl/tables/table45.xml><?xml version="1.0" encoding="utf-8"?>
<table xmlns="http://schemas.openxmlformats.org/spreadsheetml/2006/main" id="45" name="T_PM_04C" displayName="T_PM_04C" ref="B17:J318" headerRowCount="1">
  <autoFilter ref="B17:J318"/>
  <tableColumns count="9">
    <tableColumn id="2" name="Charge code *"/>
    <tableColumn id="3" name="Name *"/>
    <tableColumn id="4" name="Line code"/>
    <tableColumn id="5" name="Product code"/>
    <tableColumn id="6" name="Basis *"/>
    <tableColumn id="7" name="Amount or rate % *"/>
    <tableColumn id="8" name="VAT treatment *"/>
    <tableColumn id="9" name="GL account *"/>
    <tableColumn id="10" name="Effective from / to *"/>
  </tableColumns>
  <tableStyleInfo name="TableStyleLight9" showRowStripes="1"/>
</table>
</file>

<file path=xl/tables/table46.xml><?xml version="1.0" encoding="utf-8"?>
<table xmlns="http://schemas.openxmlformats.org/spreadsheetml/2006/main" id="46" name="T_PM_10" displayName="T_PM_10" ref="B16:G517" headerRowCount="1">
  <autoFilter ref="B16:G517"/>
  <tableColumns count="6">
    <tableColumn id="2" name="Code / Name *"/>
    <tableColumn id="3" name="Incentive type *"/>
    <tableColumn id="4" name="Value basis / Value *"/>
    <tableColumn id="5" name="Rule parameters"/>
    <tableColumn id="6" name="Products matrix: risk code / segment *"/>
    <tableColumn id="7" name="Effective from / to *"/>
  </tableColumns>
  <tableStyleInfo name="TableStyleLight9" showRowStripes="1"/>
</table>
</file>

<file path=xl/tables/table47.xml><?xml version="1.0" encoding="utf-8"?>
<table xmlns="http://schemas.openxmlformats.org/spreadsheetml/2006/main" id="47" name="T_TX_01" displayName="T_TX_01" ref="B17:S318" headerRowCount="1">
  <autoFilter ref="B17:S318"/>
  <tableColumns count="18">
    <tableColumn id="2" name="Party code *"/>
    <tableColumn id="3" name="TIN *"/>
    <tableColumn id="4" name="Branch code"/>
    <tableColumn id="5" name="Payee class *"/>
    <tableColumn id="6" name="Registered name *"/>
    <tableColumn id="7" name="Last name"/>
    <tableColumn id="8" name="First name"/>
    <tableColumn id="9" name="Middle name"/>
    <tableColumn id="10" name="Registered address"/>
    <tableColumn id="11" name="ZIP code"/>
    <tableColumn id="12" name="VAT treatment"/>
    <tableColumn id="13" name="Default ATC"/>
    <tableColumn id="14" name="Withholding agent"/>
    <tableColumn id="15" name="Top withholding agent"/>
    <tableColumn id="16" name="Government payor"/>
    <tableColumn id="17" name="Tax exemption certificate no."/>
    <tableColumn id="18" name="Certificate valid from"/>
    <tableColumn id="19" name="Certificate valid to"/>
  </tableColumns>
  <tableStyleInfo name="TableStyleLight9" showRowStripes="1"/>
</table>
</file>

<file path=xl/tables/table48.xml><?xml version="1.0" encoding="utf-8"?>
<table xmlns="http://schemas.openxmlformats.org/spreadsheetml/2006/main" id="48" name="T_PM_06" displayName="T_PM_06" ref="B16:J517" headerRowCount="1">
  <autoFilter ref="B16:J517"/>
  <tableColumns count="9">
    <tableColumn id="2" name="Risk code *"/>
    <tableColumn id="3" name="Package name / Scope / Client code *"/>
    <tableColumn id="4" name="Effective from / Package start / Package end / Anniversary *"/>
    <tableColumn id="5" name="Package rate % / Minimum premium / Commission % / Package TSI limit *"/>
    <tableColumn id="6" name="Computation basis *"/>
    <tableColumn id="7" name="Coverage code / Included / Optional / Limit / Deductible *"/>
    <tableColumn id="8" name="Insurer code / Role / Share % / Rate % / Minimum premium *"/>
    <tableColumn id="9" name="Insurer terms: insurer / coverage / limit / deductible / clauses *"/>
    <tableColumn id="10" name="ManCom sign-off reference / Signed package slip *"/>
  </tableColumns>
  <tableStyleInfo name="TableStyleLight9" showRowStripes="1"/>
</table>
</file>

<file path=xl/tables/table49.xml><?xml version="1.0" encoding="utf-8"?>
<table xmlns="http://schemas.openxmlformats.org/spreadsheetml/2006/main" id="49" name="T_R06" displayName="T_R06" ref="B17:I218" headerRowCount="1">
  <autoFilter ref="B17:I218"/>
  <tableColumns count="8">
    <tableColumn id="2" name="legacy_package_code *"/>
    <tableColumn id="3" name="legacy_package_version *"/>
    <tableColumn id="4" name="legacy_package_name *"/>
    <tableColumn id="5" name="qualifier"/>
    <tableColumn id="6" name="qualifier_value"/>
    <tableColumn id="7" name="action *"/>
    <tableColumn id="8" name="bibs_package_version"/>
    <tableColumn id="9" name="remarks"/>
  </tableColumns>
  <tableStyleInfo name="TableStyleLight9" showRowStripes="1"/>
</table>
</file>

<file path=xl/tables/table50.xml><?xml version="1.0" encoding="utf-8"?>
<table xmlns="http://schemas.openxmlformats.org/spreadsheetml/2006/main" id="50" name="T_PM_08" displayName="T_PM_08" ref="B16:F517" headerRowCount="1">
  <autoFilter ref="B16:F517"/>
  <tableColumns count="5">
    <tableColumn id="2" name="Template *"/>
    <tableColumn id="3" name="Title *"/>
    <tableColumn id="4" name="Text *"/>
    <tableColumn id="5" name="Merge fields used"/>
    <tableColumn id="6" name="Effective from *"/>
  </tableColumns>
  <tableStyleInfo name="TableStyleLight9" showRowStripes="1"/>
</table>
</file>

<file path=xl/tables/table51.xml><?xml version="1.0" encoding="utf-8"?>
<table xmlns="http://schemas.openxmlformats.org/spreadsheetml/2006/main" id="51" name="T_UA_05" displayName="T_UA_05" ref="B16:F517" headerRowCount="1">
  <autoFilter ref="B16:F517"/>
  <tableColumns count="5">
    <tableColumn id="2" name="Parameter *"/>
    <tableColumn id="3" name="Value as delivered"/>
    <tableColumn id="4" name="Value wanted"/>
    <tableColumn id="5" name="Reason"/>
    <tableColumn id="6" name="Approved by *"/>
  </tableColumns>
  <tableStyleInfo name="TableStyleLight9" showRowStripes="1"/>
</table>
</file>

<file path=xl/tables/table52.xml><?xml version="1.0" encoding="utf-8"?>
<table xmlns="http://schemas.openxmlformats.org/spreadsheetml/2006/main" id="52" name="T_UP_03" displayName="T_UP_03" ref="B16:M317" headerRowCount="1">
  <autoFilter ref="B16:M317"/>
  <tableColumns count="12">
    <tableColumn id="2" name="Reference *"/>
    <tableColumn id="3" name="Entity Type *"/>
    <tableColumn id="4" name="Primary Name *"/>
    <tableColumn id="5" name="First Name"/>
    <tableColumn id="6" name="Last Name"/>
    <tableColumn id="7" name="Aliases"/>
    <tableColumn id="8" name="Birth Date"/>
    <tableColumn id="9" name="Nationality"/>
    <tableColumn id="10" name="ID Numbers"/>
    <tableColumn id="11" name="Listed On"/>
    <tableColumn id="12" name="List Type"/>
    <tableColumn id="13" name="Remark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table" Target="/xl/tables/table11.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table" Target="/xl/tables/table12.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table" Target="/xl/tables/table13.xm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table" Target="/xl/tables/table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table" Target="/xl/tables/table15.xml" Id="rId1"/><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table" Target="/xl/tables/table16.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table" Target="/xl/tables/table17.xml" Id="rId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9.xml.rels><Relationships xmlns="http://schemas.openxmlformats.org/package/2006/relationships"><Relationship Type="http://schemas.openxmlformats.org/officeDocument/2006/relationships/table" Target="/xl/tables/table18.xm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0.xml.rels><Relationships xmlns="http://schemas.openxmlformats.org/package/2006/relationships"><Relationship Type="http://schemas.openxmlformats.org/officeDocument/2006/relationships/table" Target="/xl/tables/table19.xm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1.xml.rels><Relationships xmlns="http://schemas.openxmlformats.org/package/2006/relationships"><Relationship Type="http://schemas.openxmlformats.org/officeDocument/2006/relationships/table" Target="/xl/tables/table20.xml" Id="rId1"/><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2.xml.rels><Relationships xmlns="http://schemas.openxmlformats.org/package/2006/relationships"><Relationship Type="http://schemas.openxmlformats.org/officeDocument/2006/relationships/table" Target="/xl/tables/table21.xml" Id="rId1"/><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3.xml.rels><Relationships xmlns="http://schemas.openxmlformats.org/package/2006/relationships"><Relationship Type="http://schemas.openxmlformats.org/officeDocument/2006/relationships/table" Target="/xl/tables/table22.xml" Id="rId1"/><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4.xml.rels><Relationships xmlns="http://schemas.openxmlformats.org/package/2006/relationships"><Relationship Type="http://schemas.openxmlformats.org/officeDocument/2006/relationships/table" Target="/xl/tables/table23.xml" Id="rId1"/><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5.xml.rels><Relationships xmlns="http://schemas.openxmlformats.org/package/2006/relationships"><Relationship Type="http://schemas.openxmlformats.org/officeDocument/2006/relationships/table" Target="/xl/tables/table24.xml" Id="rId1"/><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6.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7.xml.rels><Relationships xmlns="http://schemas.openxmlformats.org/package/2006/relationships"><Relationship Type="http://schemas.openxmlformats.org/officeDocument/2006/relationships/table" Target="/xl/tables/table25.xml" Id="rId1"/><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28.xml.rels><Relationships xmlns="http://schemas.openxmlformats.org/package/2006/relationships"><Relationship Type="http://schemas.openxmlformats.org/officeDocument/2006/relationships/table" Target="/xl/tables/table26.xml" Id="rId1"/><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29.xml.rels><Relationships xmlns="http://schemas.openxmlformats.org/package/2006/relationships"><Relationship Type="http://schemas.openxmlformats.org/officeDocument/2006/relationships/table" Target="/xl/tables/table27.xml" Id="rId1"/><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0.xml.rels><Relationships xmlns="http://schemas.openxmlformats.org/package/2006/relationships"><Relationship Type="http://schemas.openxmlformats.org/officeDocument/2006/relationships/table" Target="/xl/tables/table28.xml" Id="rId1"/><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1.xml.rels><Relationships xmlns="http://schemas.openxmlformats.org/package/2006/relationships"><Relationship Type="http://schemas.openxmlformats.org/officeDocument/2006/relationships/table" Target="/xl/tables/table29.xml" Id="rId1"/><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2.xml.rels><Relationships xmlns="http://schemas.openxmlformats.org/package/2006/relationships"><Relationship Type="http://schemas.openxmlformats.org/officeDocument/2006/relationships/table" Target="/xl/tables/table30.xml" Id="rId1"/><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3.xml.rels><Relationships xmlns="http://schemas.openxmlformats.org/package/2006/relationships"><Relationship Type="http://schemas.openxmlformats.org/officeDocument/2006/relationships/table" Target="/xl/tables/table31.xml" Id="rId1"/><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4.xml.rels><Relationships xmlns="http://schemas.openxmlformats.org/package/2006/relationships"><Relationship Type="http://schemas.openxmlformats.org/officeDocument/2006/relationships/table" Target="/xl/tables/table32.xml" Id="rId1"/><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35.xml.rels><Relationships xmlns="http://schemas.openxmlformats.org/package/2006/relationships"><Relationship Type="http://schemas.openxmlformats.org/officeDocument/2006/relationships/table" Target="/xl/tables/table33.xml" Id="rId1"/><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36.xml.rels><Relationships xmlns="http://schemas.openxmlformats.org/package/2006/relationships"><Relationship Type="http://schemas.openxmlformats.org/officeDocument/2006/relationships/table" Target="/xl/tables/table34.xml" Id="rId1"/><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37.xml.rels><Relationships xmlns="http://schemas.openxmlformats.org/package/2006/relationships"><Relationship Type="http://schemas.openxmlformats.org/officeDocument/2006/relationships/table" Target="/xl/tables/table35.xml" Id="rId1"/><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38.xml.rels><Relationships xmlns="http://schemas.openxmlformats.org/package/2006/relationships"><Relationship Type="http://schemas.openxmlformats.org/officeDocument/2006/relationships/table" Target="/xl/tables/table36.xml" Id="rId1"/><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39.xml.rels><Relationships xmlns="http://schemas.openxmlformats.org/package/2006/relationships"><Relationship Type="http://schemas.openxmlformats.org/officeDocument/2006/relationships/table" Target="/xl/tables/table37.xml" Id="rId1"/><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40.xml.rels><Relationships xmlns="http://schemas.openxmlformats.org/package/2006/relationships"><Relationship Type="http://schemas.openxmlformats.org/officeDocument/2006/relationships/table" Target="/xl/tables/table38.xml" Id="rId1"/><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41.xml.rels><Relationships xmlns="http://schemas.openxmlformats.org/package/2006/relationships"><Relationship Type="http://schemas.openxmlformats.org/officeDocument/2006/relationships/table" Target="/xl/tables/table39.xml" Id="rId1"/><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42.xml.rels><Relationships xmlns="http://schemas.openxmlformats.org/package/2006/relationships"><Relationship Type="http://schemas.openxmlformats.org/officeDocument/2006/relationships/table" Target="/xl/tables/table40.xml" Id="rId1"/><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_rels/sheet43.xml.rels><Relationships xmlns="http://schemas.openxmlformats.org/package/2006/relationships"><Relationship Type="http://schemas.openxmlformats.org/officeDocument/2006/relationships/table" Target="/xl/tables/table41.xml" Id="rId1"/><Relationship Type="http://schemas.openxmlformats.org/officeDocument/2006/relationships/comments" Target="/xl/comments/comment42.xml" Id="comments"/><Relationship Type="http://schemas.openxmlformats.org/officeDocument/2006/relationships/vmlDrawing" Target="/xl/drawings/commentsDrawing42.vml" Id="anysvml"/></Relationships>
</file>

<file path=xl/worksheets/_rels/sheet44.xml.rels><Relationships xmlns="http://schemas.openxmlformats.org/package/2006/relationships"><Relationship Type="http://schemas.openxmlformats.org/officeDocument/2006/relationships/table" Target="/xl/tables/table42.xml" Id="rId1"/><Relationship Type="http://schemas.openxmlformats.org/officeDocument/2006/relationships/comments" Target="/xl/comments/comment43.xml" Id="comments"/><Relationship Type="http://schemas.openxmlformats.org/officeDocument/2006/relationships/vmlDrawing" Target="/xl/drawings/commentsDrawing43.vml" Id="anysvml"/></Relationships>
</file>

<file path=xl/worksheets/_rels/sheet45.xml.rels><Relationships xmlns="http://schemas.openxmlformats.org/package/2006/relationships"><Relationship Type="http://schemas.openxmlformats.org/officeDocument/2006/relationships/table" Target="/xl/tables/table43.xml" Id="rId1"/><Relationship Type="http://schemas.openxmlformats.org/officeDocument/2006/relationships/comments" Target="/xl/comments/comment44.xml" Id="comments"/><Relationship Type="http://schemas.openxmlformats.org/officeDocument/2006/relationships/vmlDrawing" Target="/xl/drawings/commentsDrawing44.vml" Id="anysvml"/></Relationships>
</file>

<file path=xl/worksheets/_rels/sheet46.xml.rels><Relationships xmlns="http://schemas.openxmlformats.org/package/2006/relationships"><Relationship Type="http://schemas.openxmlformats.org/officeDocument/2006/relationships/table" Target="/xl/tables/table44.xml" Id="rId1"/><Relationship Type="http://schemas.openxmlformats.org/officeDocument/2006/relationships/comments" Target="/xl/comments/comment45.xml" Id="comments"/><Relationship Type="http://schemas.openxmlformats.org/officeDocument/2006/relationships/vmlDrawing" Target="/xl/drawings/commentsDrawing45.vml" Id="anysvml"/></Relationships>
</file>

<file path=xl/worksheets/_rels/sheet47.xml.rels><Relationships xmlns="http://schemas.openxmlformats.org/package/2006/relationships"><Relationship Type="http://schemas.openxmlformats.org/officeDocument/2006/relationships/comments" Target="/xl/comments/comment46.xml" Id="comments"/><Relationship Type="http://schemas.openxmlformats.org/officeDocument/2006/relationships/vmlDrawing" Target="/xl/drawings/commentsDrawing46.vml" Id="anysvml"/></Relationships>
</file>

<file path=xl/worksheets/_rels/sheet48.xml.rels><Relationships xmlns="http://schemas.openxmlformats.org/package/2006/relationships"><Relationship Type="http://schemas.openxmlformats.org/officeDocument/2006/relationships/table" Target="/xl/tables/table45.xml" Id="rId1"/><Relationship Type="http://schemas.openxmlformats.org/officeDocument/2006/relationships/comments" Target="/xl/comments/comment47.xml" Id="comments"/><Relationship Type="http://schemas.openxmlformats.org/officeDocument/2006/relationships/vmlDrawing" Target="/xl/drawings/commentsDrawing47.vml" Id="anysvml"/></Relationships>
</file>

<file path=xl/worksheets/_rels/sheet49.xml.rels><Relationships xmlns="http://schemas.openxmlformats.org/package/2006/relationships"><Relationship Type="http://schemas.openxmlformats.org/officeDocument/2006/relationships/table" Target="/xl/tables/table46.xml" Id="rId1"/><Relationship Type="http://schemas.openxmlformats.org/officeDocument/2006/relationships/comments" Target="/xl/comments/comment48.xml" Id="comments"/><Relationship Type="http://schemas.openxmlformats.org/officeDocument/2006/relationships/vmlDrawing" Target="/xl/drawings/commentsDrawing48.vml" Id="anysvml"/></Relationships>
</file>

<file path=xl/worksheets/_rels/sheet50.xml.rels><Relationships xmlns="http://schemas.openxmlformats.org/package/2006/relationships"><Relationship Type="http://schemas.openxmlformats.org/officeDocument/2006/relationships/table" Target="/xl/tables/table47.xml" Id="rId1"/><Relationship Type="http://schemas.openxmlformats.org/officeDocument/2006/relationships/comments" Target="/xl/comments/comment49.xml" Id="comments"/><Relationship Type="http://schemas.openxmlformats.org/officeDocument/2006/relationships/vmlDrawing" Target="/xl/drawings/commentsDrawing49.vml" Id="anysvml"/></Relationships>
</file>

<file path=xl/worksheets/_rels/sheet51.xml.rels><Relationships xmlns="http://schemas.openxmlformats.org/package/2006/relationships"><Relationship Type="http://schemas.openxmlformats.org/officeDocument/2006/relationships/table" Target="/xl/tables/table48.xml" Id="rId1"/><Relationship Type="http://schemas.openxmlformats.org/officeDocument/2006/relationships/comments" Target="/xl/comments/comment50.xml" Id="comments"/><Relationship Type="http://schemas.openxmlformats.org/officeDocument/2006/relationships/vmlDrawing" Target="/xl/drawings/commentsDrawing50.vml" Id="anysvml"/></Relationships>
</file>

<file path=xl/worksheets/_rels/sheet52.xml.rels><Relationships xmlns="http://schemas.openxmlformats.org/package/2006/relationships"><Relationship Type="http://schemas.openxmlformats.org/officeDocument/2006/relationships/table" Target="/xl/tables/table49.xml" Id="rId1"/><Relationship Type="http://schemas.openxmlformats.org/officeDocument/2006/relationships/comments" Target="/xl/comments/comment51.xml" Id="comments"/><Relationship Type="http://schemas.openxmlformats.org/officeDocument/2006/relationships/vmlDrawing" Target="/xl/drawings/commentsDrawing51.vml" Id="anysvml"/></Relationships>
</file>

<file path=xl/worksheets/_rels/sheet53.xml.rels><Relationships xmlns="http://schemas.openxmlformats.org/package/2006/relationships"><Relationship Type="http://schemas.openxmlformats.org/officeDocument/2006/relationships/table" Target="/xl/tables/table50.xml" Id="rId1"/><Relationship Type="http://schemas.openxmlformats.org/officeDocument/2006/relationships/comments" Target="/xl/comments/comment52.xml" Id="comments"/><Relationship Type="http://schemas.openxmlformats.org/officeDocument/2006/relationships/vmlDrawing" Target="/xl/drawings/commentsDrawing52.vml" Id="anysvml"/></Relationships>
</file>

<file path=xl/worksheets/_rels/sheet54.xml.rels><Relationships xmlns="http://schemas.openxmlformats.org/package/2006/relationships"><Relationship Type="http://schemas.openxmlformats.org/officeDocument/2006/relationships/table" Target="/xl/tables/table51.xml" Id="rId1"/><Relationship Type="http://schemas.openxmlformats.org/officeDocument/2006/relationships/comments" Target="/xl/comments/comment53.xml" Id="comments"/><Relationship Type="http://schemas.openxmlformats.org/officeDocument/2006/relationships/vmlDrawing" Target="/xl/drawings/commentsDrawing53.vml" Id="anysvml"/></Relationships>
</file>

<file path=xl/worksheets/_rels/sheet55.xml.rels><Relationships xmlns="http://schemas.openxmlformats.org/package/2006/relationships"><Relationship Type="http://schemas.openxmlformats.org/officeDocument/2006/relationships/table" Target="/xl/tables/table52.xml" Id="rId1"/><Relationship Type="http://schemas.openxmlformats.org/officeDocument/2006/relationships/comments" Target="/xl/comments/comment54.xml" Id="comments"/><Relationship Type="http://schemas.openxmlformats.org/officeDocument/2006/relationships/vmlDrawing" Target="/xl/drawings/commentsDrawing54.vml" Id="anysvml"/></Relationships>
</file>

<file path=xl/worksheets/_rels/sheet56.xml.rels><Relationships xmlns="http://schemas.openxmlformats.org/package/2006/relationships"><Relationship Type="http://schemas.openxmlformats.org/officeDocument/2006/relationships/comments" Target="/xl/comments/comment55.xml" Id="comments"/><Relationship Type="http://schemas.openxmlformats.org/officeDocument/2006/relationships/vmlDrawing" Target="/xl/drawings/commentsDrawing55.vml" Id="anysvml"/></Relationships>
</file>

<file path=xl/worksheets/_rels/sheet57.xml.rels><Relationships xmlns="http://schemas.openxmlformats.org/package/2006/relationships"><Relationship Type="http://schemas.openxmlformats.org/officeDocument/2006/relationships/comments" Target="/xl/comments/comment56.xml" Id="comments"/><Relationship Type="http://schemas.openxmlformats.org/officeDocument/2006/relationships/vmlDrawing" Target="/xl/drawings/commentsDrawing56.vml" Id="anysvml"/></Relationships>
</file>

<file path=xl/worksheets/_rels/sheet58.xml.rels><Relationships xmlns="http://schemas.openxmlformats.org/package/2006/relationships"><Relationship Type="http://schemas.openxmlformats.org/officeDocument/2006/relationships/comments" Target="/xl/comments/comment57.xml" Id="comments"/><Relationship Type="http://schemas.openxmlformats.org/officeDocument/2006/relationships/vmlDrawing" Target="/xl/drawings/commentsDrawing57.vml" Id="anysvml"/></Relationships>
</file>

<file path=xl/worksheets/_rels/sheet59.xml.rels><Relationships xmlns="http://schemas.openxmlformats.org/package/2006/relationships"><Relationship Type="http://schemas.openxmlformats.org/officeDocument/2006/relationships/comments" Target="/xl/comments/comment58.xml" Id="comments"/><Relationship Type="http://schemas.openxmlformats.org/officeDocument/2006/relationships/vmlDrawing" Target="/xl/drawings/commentsDrawing58.vml" Id="anysvml"/></Relationships>
</file>

<file path=xl/worksheets/_rels/sheet60.xml.rels><Relationships xmlns="http://schemas.openxmlformats.org/package/2006/relationships"><Relationship Type="http://schemas.openxmlformats.org/officeDocument/2006/relationships/comments" Target="/xl/comments/comment59.xml" Id="comments"/><Relationship Type="http://schemas.openxmlformats.org/officeDocument/2006/relationships/vmlDrawing" Target="/xl/drawings/commentsDrawing59.vml" Id="anysvml"/></Relationships>
</file>

<file path=xl/worksheets/_rels/sheet61.xml.rels><Relationships xmlns="http://schemas.openxmlformats.org/package/2006/relationships"><Relationship Type="http://schemas.openxmlformats.org/officeDocument/2006/relationships/comments" Target="/xl/comments/comment60.xml" Id="comments"/><Relationship Type="http://schemas.openxmlformats.org/officeDocument/2006/relationships/vmlDrawing" Target="/xl/drawings/commentsDrawing60.vml" Id="anysvml"/></Relationships>
</file>

<file path=xl/worksheets/_rels/sheet62.xml.rels><Relationships xmlns="http://schemas.openxmlformats.org/package/2006/relationships"><Relationship Type="http://schemas.openxmlformats.org/officeDocument/2006/relationships/comments" Target="/xl/comments/comment61.xml" Id="comments"/><Relationship Type="http://schemas.openxmlformats.org/officeDocument/2006/relationships/vmlDrawing" Target="/xl/drawings/commentsDrawing61.vml" Id="anysvml"/></Relationships>
</file>

<file path=xl/worksheets/_rels/sheet63.xml.rels><Relationships xmlns="http://schemas.openxmlformats.org/package/2006/relationships"><Relationship Type="http://schemas.openxmlformats.org/officeDocument/2006/relationships/comments" Target="/xl/comments/comment62.xml" Id="comments"/><Relationship Type="http://schemas.openxmlformats.org/officeDocument/2006/relationships/vmlDrawing" Target="/xl/drawings/commentsDrawing62.vml" Id="anysvml"/></Relationships>
</file>

<file path=xl/worksheets/_rels/sheet64.xml.rels><Relationships xmlns="http://schemas.openxmlformats.org/package/2006/relationships"><Relationship Type="http://schemas.openxmlformats.org/officeDocument/2006/relationships/comments" Target="/xl/comments/comment63.xml" Id="comments"/><Relationship Type="http://schemas.openxmlformats.org/officeDocument/2006/relationships/vmlDrawing" Target="/xl/drawings/commentsDrawing63.vml" Id="anysvml"/></Relationships>
</file>

<file path=xl/worksheets/_rels/sheet65.xml.rels><Relationships xmlns="http://schemas.openxmlformats.org/package/2006/relationships"><Relationship Type="http://schemas.openxmlformats.org/officeDocument/2006/relationships/comments" Target="/xl/comments/comment64.xml" Id="comments"/><Relationship Type="http://schemas.openxmlformats.org/officeDocument/2006/relationships/vmlDrawing" Target="/xl/drawings/commentsDrawing64.vml" Id="anysvml"/></Relationships>
</file>

<file path=xl/worksheets/sheet1.xml><?xml version="1.0" encoding="utf-8"?>
<worksheet xmlns="http://schemas.openxmlformats.org/spreadsheetml/2006/main">
  <sheetPr>
    <tabColor rgb="00FDB913"/>
    <outlinePr summaryBelow="1" summaryRight="1"/>
    <pageSetUpPr fitToPage="1"/>
  </sheetPr>
  <dimension ref="A2:O114"/>
  <sheetViews>
    <sheetView showGridLines="0" tabSelected="1" workbookViewId="0">
      <selection activeCell="A1" sqref="A1"/>
    </sheetView>
  </sheetViews>
  <sheetFormatPr baseColWidth="8" defaultRowHeight="15"/>
  <cols>
    <col width="6" customWidth="1" min="1" max="1"/>
    <col width="8" customWidth="1" min="2" max="2"/>
    <col width="28" customWidth="1" min="3" max="3"/>
    <col width="18" customWidth="1" min="4" max="4"/>
    <col width="8" customWidth="1" min="5" max="5"/>
    <col width="8" customWidth="1" min="6" max="6"/>
    <col width="26" customWidth="1" min="7" max="7"/>
    <col width="30" customWidth="1" min="8" max="8"/>
    <col width="28" customWidth="1" min="9" max="9"/>
    <col width="13" customWidth="1" min="10" max="10"/>
    <col width="20" customWidth="1" min="11" max="11"/>
    <col width="9" customWidth="1" min="12" max="12"/>
    <col width="10" customWidth="1" min="13" max="13"/>
    <col width="14" customWidth="1" min="14" max="14"/>
    <col width="9" customWidth="1" min="15" max="15"/>
  </cols>
  <sheetData>
    <row r="1" ht="34" customHeight="1"/>
    <row r="2" ht="6" customHeight="1">
      <c r="A2" s="1" t="n"/>
      <c r="B2" s="1" t="n"/>
      <c r="C2" s="1" t="n"/>
      <c r="D2" s="1" t="n"/>
      <c r="E2" s="1" t="n"/>
      <c r="F2" s="1" t="n"/>
      <c r="G2" s="1" t="n"/>
      <c r="H2" s="1" t="n"/>
      <c r="I2" s="1" t="n"/>
      <c r="J2" s="1" t="n"/>
      <c r="K2" s="1" t="n"/>
      <c r="L2" s="1" t="n"/>
      <c r="M2" s="1" t="n"/>
      <c r="N2" s="1" t="n"/>
      <c r="O2" s="1" t="n"/>
    </row>
    <row r="3" ht="28" customHeight="1">
      <c r="A3" s="2" t="inlineStr">
        <is>
          <t>Master Data and Configuration Upload Templates</t>
        </is>
      </c>
    </row>
    <row r="4">
      <c r="A4" s="3" t="inlineStr">
        <is>
          <t>Every master, reference and configuration dataset BIBS needs before go-live, with the templates in the order the data is loaded</t>
        </is>
      </c>
    </row>
    <row r="6">
      <c r="A6" s="4" t="inlineStr">
        <is>
          <t>Client</t>
        </is>
      </c>
      <c r="B6" s="5" t="n"/>
      <c r="C6" s="6" t="inlineStr">
        <is>
          <t>BDO Insurance and Reinsurance Brokers, Inc.</t>
        </is>
      </c>
      <c r="D6" s="7" t="n"/>
      <c r="E6" s="7" t="n"/>
      <c r="F6" s="7" t="n"/>
      <c r="G6" s="7" t="n"/>
      <c r="H6" s="7" t="n"/>
    </row>
    <row r="7">
      <c r="A7" s="4" t="inlineStr">
        <is>
          <t>Scope</t>
        </is>
      </c>
      <c r="B7" s="5" t="n"/>
      <c r="C7" s="6" t="inlineStr">
        <is>
          <t>Every master, reference and configuration dataset BIBS needs before go-live, all BRDs</t>
        </is>
      </c>
      <c r="D7" s="7" t="n"/>
      <c r="E7" s="7" t="n"/>
      <c r="F7" s="7" t="n"/>
      <c r="G7" s="7" t="n"/>
      <c r="H7" s="7" t="n"/>
    </row>
    <row r="8">
      <c r="A8" s="4" t="inlineStr">
        <is>
          <t>Version and date</t>
        </is>
      </c>
      <c r="B8" s="5" t="n"/>
      <c r="C8" s="6" t="inlineStr">
        <is>
          <t>Version 1.2, 9 October 2026</t>
        </is>
      </c>
      <c r="D8" s="7" t="n"/>
      <c r="E8" s="7" t="n"/>
      <c r="F8" s="7" t="n"/>
      <c r="G8" s="7" t="n"/>
      <c r="H8" s="7" t="n"/>
    </row>
    <row r="9">
      <c r="A9" s="4" t="inlineStr">
        <is>
          <t>Go-live</t>
        </is>
      </c>
      <c r="B9" s="5" t="n"/>
      <c r="C9" s="6" t="inlineStr">
        <is>
          <t>Go-live is proposed for Monday 3 January 2028 (T), at the year-end boundary (option A of the Data Migration set, for Comptrollership to confirm).</t>
        </is>
      </c>
      <c r="D9" s="7" t="n"/>
      <c r="E9" s="7" t="n"/>
      <c r="F9" s="7" t="n"/>
      <c r="G9" s="7" t="n"/>
      <c r="H9" s="7" t="n"/>
    </row>
    <row r="10">
      <c r="A10" s="4" t="inlineStr">
        <is>
          <t>Owner</t>
        </is>
      </c>
      <c r="B10" s="5" t="n"/>
      <c r="C10" s="6" t="inlineStr">
        <is>
          <t>Program Manager, Business Project Services, with the BDOI owner of each dataset</t>
        </is>
      </c>
      <c r="D10" s="7" t="n"/>
      <c r="E10" s="7" t="n"/>
      <c r="F10" s="7" t="n"/>
      <c r="G10" s="7" t="n"/>
      <c r="H10" s="7" t="n"/>
    </row>
    <row r="11">
      <c r="A11" s="4" t="inlineStr">
        <is>
          <t>Prepared by</t>
        </is>
      </c>
      <c r="B11" s="5" t="n"/>
      <c r="C11" s="6" t="inlineStr">
        <is>
          <t>iorta TechNXT</t>
        </is>
      </c>
      <c r="D11" s="7" t="n"/>
      <c r="E11" s="7" t="n"/>
      <c r="F11" s="7" t="n"/>
      <c r="G11" s="7" t="n"/>
      <c r="H11" s="7" t="n"/>
    </row>
    <row r="12">
      <c r="A12" s="4" t="inlineStr">
        <is>
          <t>Classification</t>
        </is>
      </c>
      <c r="B12" s="5" t="n"/>
      <c r="C12" s="6" t="inlineStr">
        <is>
          <t>Confidential</t>
        </is>
      </c>
      <c r="D12" s="7" t="n"/>
      <c r="E12" s="7" t="n"/>
      <c r="F12" s="7" t="n"/>
      <c r="G12" s="7" t="n"/>
      <c r="H12" s="7" t="n"/>
    </row>
    <row r="14">
      <c r="A14" s="8" t="inlineStr">
        <is>
          <t>How to fill in this workbook</t>
        </is>
      </c>
    </row>
    <row r="15" ht="29" customHeight="1">
      <c r="A15" s="9" t="n">
        <v>1</v>
      </c>
      <c r="B15" s="10" t="inlineStr">
        <is>
          <t>The index below lists every master, reference and configuration dataset BIBS needs before go-live, one template sheet each, in the order the data is loaded: a dataset whose codes others use comes first (Loads after names the templates it depends on). Each template has the column layout BIBS loads.</t>
        </is>
      </c>
    </row>
    <row r="16" ht="42" customHeight="1">
      <c r="A16" s="9" t="n">
        <v>2</v>
      </c>
      <c r="B16" s="10" t="inlineStr">
        <is>
          <t>Load route: Configuration screen upload (28 templates) - the filled-in sheet is uploaded with Upload on the named configuration screen, in exactly this layout; every row is checked first and the rows are applied when a second user approves the upload; Screen upload (5) - the filled-in sheet is uploaded on the named screen, which checks every row; Migration Console (15) - the data is extracted from the legacy systems by BDOI IT in this layout and loaded by the Data Migration Console; Configuration screen (0) - no upload: the rows are keyed on the screen from the filled-in template (sheet Gaps). Every record is authorised by a second user.</t>
        </is>
      </c>
    </row>
    <row r="17" ht="42" customHeight="1">
      <c r="A17" s="9" t="n">
        <v>3</v>
      </c>
      <c r="B17" s="10" t="inlineStr">
        <is>
          <t>On a template sheet, read the header block (purpose, who fills it in, how it is loaded, due, depends on) and the guide above each column (Mandatory, Format, Allowed values, What to enter; * marks a mandatory column). Overwrite or delete the grey example row and enter one row per record. Drop-downs offer the allowed values (sheet Reference lists) and the codes of the templates filled in before; a mandatory cell left empty turns red. For a large legacy dataset (clients, opening balances) BDOI IT sends the extract file in the layout instead of typing it.</t>
        </is>
      </c>
    </row>
    <row r="18" ht="29" customHeight="1">
      <c r="A18" s="9" t="n">
        <v>4</v>
      </c>
      <c r="B18" s="10" t="inlineStr">
        <is>
          <t>The review sheets (lists of values, system parameters, SLA and turnaround, numbering prefixes, notification events, document templates, accounting events) list what the platform delivers; write the value wanted or the decision on each row you own. The sheet Configured on screens lists the set-up decided in working sessions and entered directly on the screens.</t>
        </is>
      </c>
    </row>
    <row r="19" ht="29" customHeight="1">
      <c r="A19" s="9" t="n">
        <v>5</v>
      </c>
      <c r="B19" s="10" t="inlineStr">
        <is>
          <t>Set the Status of each template, follow Rows entered and Mandatory cells missing, raise questions on the sheet Questions and comments, and return the workbook to the iorta TechNXT project team by each due date. The owner confirms each template (Confirmed by and Date on the sheet) before it is loaded; the guide (BIBS_Templates_BRD-00_Master_Data_Upload_Guide_v1.2) explains the validation and the sign-off of the master data.</t>
        </is>
      </c>
    </row>
    <row r="21">
      <c r="A21" s="8" t="inlineStr">
        <is>
          <t>Index of the datasets in load order (dependencies first)</t>
        </is>
      </c>
    </row>
    <row r="22" ht="30" customHeight="1">
      <c r="A22" s="11" t="inlineStr">
        <is>
          <t>Step</t>
        </is>
      </c>
      <c r="B22" s="11" t="inlineStr">
        <is>
          <t>ID</t>
        </is>
      </c>
      <c r="C22" s="11" t="inlineStr">
        <is>
          <t>Dataset</t>
        </is>
      </c>
      <c r="D22" s="11" t="inlineStr">
        <is>
          <t>Group</t>
        </is>
      </c>
      <c r="E22" s="11" t="inlineStr">
        <is>
          <t>BRD</t>
        </is>
      </c>
      <c r="F22" s="11" t="inlineStr">
        <is>
          <t>Drop</t>
        </is>
      </c>
      <c r="G22" s="11" t="inlineStr">
        <is>
          <t>Provided by</t>
        </is>
      </c>
      <c r="H22" s="11" t="inlineStr">
        <is>
          <t>Load route</t>
        </is>
      </c>
      <c r="I22" s="11" t="inlineStr">
        <is>
          <t>Entered or loaded on</t>
        </is>
      </c>
      <c r="J22" s="11" t="inlineStr">
        <is>
          <t>Loads after</t>
        </is>
      </c>
      <c r="K22" s="11" t="inlineStr">
        <is>
          <t>Due</t>
        </is>
      </c>
      <c r="L22" s="11" t="inlineStr">
        <is>
          <t>Rows entered</t>
        </is>
      </c>
      <c r="M22" s="11" t="inlineStr">
        <is>
          <t>Mandatory cells missing</t>
        </is>
      </c>
      <c r="N22" s="11" t="inlineStr">
        <is>
          <t>Status</t>
        </is>
      </c>
      <c r="O22" s="11" t="inlineStr">
        <is>
          <t>Open</t>
        </is>
      </c>
    </row>
    <row r="23" ht="30" customHeight="1">
      <c r="A23" s="12" t="n">
        <v>1</v>
      </c>
      <c r="B23" s="13" t="inlineStr">
        <is>
          <t>D0-02</t>
        </is>
      </c>
      <c r="C23" s="14" t="inlineStr">
        <is>
          <t>Branches</t>
        </is>
      </c>
      <c r="D23" s="14" t="inlineStr">
        <is>
          <t>Organisation</t>
        </is>
      </c>
      <c r="E23" s="14" t="inlineStr">
        <is>
          <t>BRD-05</t>
        </is>
      </c>
      <c r="F23" s="14" t="inlineStr">
        <is>
          <t>Drop 1</t>
        </is>
      </c>
      <c r="G23" s="14" t="inlineStr">
        <is>
          <t>Head, Comptrollership</t>
        </is>
      </c>
      <c r="H23" s="14" t="inlineStr">
        <is>
          <t>Configuration screen upload</t>
        </is>
      </c>
      <c r="I23" s="14" t="inlineStr">
        <is>
          <t>Setup &amp; Administration › Setup › Branches</t>
        </is>
      </c>
      <c r="J23" s="14" t="inlineStr">
        <is>
          <t>-</t>
        </is>
      </c>
      <c r="K23" s="14" t="inlineStr">
        <is>
          <t>4-Jan-2027 – Platform set-up for Drop 1 SIT</t>
        </is>
      </c>
      <c r="L23" s="15">
        <f>'D0-02 Branches'!$C$10</f>
        <v/>
      </c>
      <c r="M23" s="15">
        <f>'D0-02 Branches'!$E$10</f>
        <v/>
      </c>
      <c r="N23" s="14" t="inlineStr">
        <is>
          <t>Not started</t>
        </is>
      </c>
      <c r="O23" s="16" t="inlineStr">
        <is>
          <t>D0-02 →</t>
        </is>
      </c>
    </row>
    <row r="24" ht="30" customHeight="1">
      <c r="A24" s="17" t="n">
        <v>2</v>
      </c>
      <c r="B24" s="18" t="inlineStr">
        <is>
          <t>D0-04</t>
        </is>
      </c>
      <c r="C24" s="19" t="inlineStr">
        <is>
          <t>Cost centres and business lines</t>
        </is>
      </c>
      <c r="D24" s="19" t="inlineStr">
        <is>
          <t>Organisation</t>
        </is>
      </c>
      <c r="E24" s="19" t="inlineStr">
        <is>
          <t>BRD-05</t>
        </is>
      </c>
      <c r="F24" s="19" t="inlineStr">
        <is>
          <t>Drop 1</t>
        </is>
      </c>
      <c r="G24" s="19" t="inlineStr">
        <is>
          <t>Head, Comptrollership</t>
        </is>
      </c>
      <c r="H24" s="19" t="inlineStr">
        <is>
          <t>Configuration screen upload</t>
        </is>
      </c>
      <c r="I24" s="19" t="inlineStr">
        <is>
          <t>Setup &amp; Administration › Setup › Dimensions</t>
        </is>
      </c>
      <c r="J24" s="19" t="inlineStr">
        <is>
          <t>-</t>
        </is>
      </c>
      <c r="K24" s="19" t="inlineStr">
        <is>
          <t>4-Jan-2027 – Platform set-up for Drop 1 SIT</t>
        </is>
      </c>
      <c r="L24" s="20">
        <f>'D0-04 Dimensions'!$C$9</f>
        <v/>
      </c>
      <c r="M24" s="20">
        <f>'D0-04 Dimensions'!$E$9</f>
        <v/>
      </c>
      <c r="N24" s="19" t="inlineStr">
        <is>
          <t>Not started</t>
        </is>
      </c>
      <c r="O24" s="21" t="inlineStr">
        <is>
          <t>D0-04 →</t>
        </is>
      </c>
    </row>
    <row r="25" ht="30" customHeight="1">
      <c r="A25" s="12" t="n">
        <v>3</v>
      </c>
      <c r="B25" s="13" t="inlineStr">
        <is>
          <t>D0-07</t>
        </is>
      </c>
      <c r="C25" s="14" t="inlineStr">
        <is>
          <t>Account categories and numbering</t>
        </is>
      </c>
      <c r="D25" s="14" t="inlineStr">
        <is>
          <t>Chart of accounts, tax and accounting</t>
        </is>
      </c>
      <c r="E25" s="14" t="inlineStr">
        <is>
          <t>BRD-05</t>
        </is>
      </c>
      <c r="F25" s="14" t="inlineStr">
        <is>
          <t>Drop 1</t>
        </is>
      </c>
      <c r="G25" s="14" t="inlineStr">
        <is>
          <t>Head, Comptrollership</t>
        </is>
      </c>
      <c r="H25" s="14" t="inlineStr">
        <is>
          <t>Configuration screen upload</t>
        </is>
      </c>
      <c r="I25" s="14" t="inlineStr">
        <is>
          <t>Finance › General Ledger › Chart Upload</t>
        </is>
      </c>
      <c r="J25" s="14" t="inlineStr">
        <is>
          <t>-</t>
        </is>
      </c>
      <c r="K25" s="14" t="inlineStr">
        <is>
          <t>4-Jan-2027 – Platform set-up for Drop 1 SIT</t>
        </is>
      </c>
      <c r="L25" s="15">
        <f>'D0-07 Categories and numbering'!$C$9</f>
        <v/>
      </c>
      <c r="M25" s="15">
        <f>'D0-07 Categories and numbering'!$E$9</f>
        <v/>
      </c>
      <c r="N25" s="14" t="inlineStr">
        <is>
          <t>Not started</t>
        </is>
      </c>
      <c r="O25" s="16" t="inlineStr">
        <is>
          <t>D0-07 →</t>
        </is>
      </c>
    </row>
    <row r="26" ht="56" customHeight="1">
      <c r="A26" s="17" t="n">
        <v>4</v>
      </c>
      <c r="B26" s="18" t="inlineStr">
        <is>
          <t>MD-02</t>
        </is>
      </c>
      <c r="C26" s="19" t="inlineStr">
        <is>
          <t>Currencies</t>
        </is>
      </c>
      <c r="D26" s="19" t="inlineStr">
        <is>
          <t>Chart of accounts, tax and accounting</t>
        </is>
      </c>
      <c r="E26" s="19" t="inlineStr">
        <is>
          <t>BRD-05</t>
        </is>
      </c>
      <c r="F26" s="19" t="inlineStr">
        <is>
          <t>Drop 1</t>
        </is>
      </c>
      <c r="G26" s="19" t="inlineStr">
        <is>
          <t>Head, Comptrollership (Treasury)</t>
        </is>
      </c>
      <c r="H26" s="19" t="inlineStr">
        <is>
          <t>Configuration screen – no upload: BDOI fills in this template and the rows are keyed on the screen, each record authorised by a second user</t>
        </is>
      </c>
      <c r="I26" s="19" t="inlineStr">
        <is>
          <t>Setup &amp; Administration › Setup › Currencies &amp; Rates</t>
        </is>
      </c>
      <c r="J26" s="19" t="inlineStr">
        <is>
          <t>-</t>
        </is>
      </c>
      <c r="K26" s="19" t="inlineStr">
        <is>
          <t>4-Jan-2027 – Platform set-up for Drop 1 SIT</t>
        </is>
      </c>
      <c r="L26" s="20">
        <f>'MD-02 Currencies'!$C$9</f>
        <v/>
      </c>
      <c r="M26" s="20">
        <f>'MD-02 Currencies'!$E$9</f>
        <v/>
      </c>
      <c r="N26" s="19" t="inlineStr">
        <is>
          <t>Not started</t>
        </is>
      </c>
      <c r="O26" s="21" t="inlineStr">
        <is>
          <t>MD-02 →</t>
        </is>
      </c>
    </row>
    <row r="27" ht="56" customHeight="1">
      <c r="A27" s="12" t="n">
        <v>5</v>
      </c>
      <c r="B27" s="13" t="inlineStr">
        <is>
          <t>PM-09</t>
        </is>
      </c>
      <c r="C27" s="14" t="inlineStr">
        <is>
          <t>Lists of values and parameters</t>
        </is>
      </c>
      <c r="D27" s="14" t="inlineStr">
        <is>
          <t>Products, packages and rates</t>
        </is>
      </c>
      <c r="E27" s="14" t="inlineStr">
        <is>
          <t>BRD-03</t>
        </is>
      </c>
      <c r="F27" s="14" t="inlineStr">
        <is>
          <t>Drop 0</t>
        </is>
      </c>
      <c r="G27" s="14" t="inlineStr">
        <is>
          <t>Product Owner, MBS; System Administrator (entry)</t>
        </is>
      </c>
      <c r="H27" s="14" t="inlineStr">
        <is>
          <t>Configuration screen upload</t>
        </is>
      </c>
      <c r="I27" s="14" t="inlineStr">
        <is>
          <t>Setup &amp; Administration › Broking Setup › Lists of Values or Setup &amp; Administration › Administration › System Parameters</t>
        </is>
      </c>
      <c r="J27" s="14" t="inlineStr">
        <is>
          <t>-</t>
        </is>
      </c>
      <c r="K27" s="14" t="inlineStr">
        <is>
          <t>16-Jul-2027 – Values for UAT</t>
        </is>
      </c>
      <c r="L27" s="15">
        <f>'PM-09 Lists and parameters'!$C$9</f>
        <v/>
      </c>
      <c r="M27" s="15">
        <f>'PM-09 Lists and parameters'!$E$9</f>
        <v/>
      </c>
      <c r="N27" s="14" t="inlineStr">
        <is>
          <t>Not started</t>
        </is>
      </c>
      <c r="O27" s="16" t="inlineStr">
        <is>
          <t>PM-09 →</t>
        </is>
      </c>
    </row>
    <row r="28" ht="56" customHeight="1">
      <c r="A28" s="17" t="n">
        <v>6</v>
      </c>
      <c r="B28" s="18" t="inlineStr">
        <is>
          <t>R01</t>
        </is>
      </c>
      <c r="C28" s="19" t="inlineStr">
        <is>
          <t>Lists of values and MIS values</t>
        </is>
      </c>
      <c r="D28" s="19" t="inlineStr">
        <is>
          <t>Clients and KYC</t>
        </is>
      </c>
      <c r="E28" s="19" t="inlineStr">
        <is>
          <t>BRD-13</t>
        </is>
      </c>
      <c r="F28" s="19" t="inlineStr">
        <is>
          <t>Drop 0</t>
        </is>
      </c>
      <c r="G28" s="19" t="inlineStr">
        <is>
          <t>MBS data steward (to name); approved by Product Owner, Marketing Business System (MBS); extracted by BDOI IT</t>
        </is>
      </c>
      <c r="H28" s="19" t="inlineStr">
        <is>
          <t>Migration Console</t>
        </is>
      </c>
      <c r="I28" s="19" t="inlineStr">
        <is>
          <t>Data Migration › Data Migration › Extracts and Batches</t>
        </is>
      </c>
      <c r="J28" s="19" t="inlineStr">
        <is>
          <t>-</t>
        </is>
      </c>
      <c r="K28" s="19" t="inlineStr">
        <is>
          <t>M3 (29 Jan 2027)</t>
        </is>
      </c>
      <c r="L28" s="20">
        <f>'R01 Lists of values and MIS val'!$C$9</f>
        <v/>
      </c>
      <c r="M28" s="20">
        <f>'R01 Lists of values and MIS val'!$E$9</f>
        <v/>
      </c>
      <c r="N28" s="19" t="inlineStr">
        <is>
          <t>Not started</t>
        </is>
      </c>
      <c r="O28" s="21" t="inlineStr">
        <is>
          <t>R01 →</t>
        </is>
      </c>
    </row>
    <row r="29" ht="43" customHeight="1">
      <c r="A29" s="12" t="n">
        <v>7</v>
      </c>
      <c r="B29" s="13" t="inlineStr">
        <is>
          <t>R04</t>
        </is>
      </c>
      <c r="C29" s="14" t="inlineStr">
        <is>
          <t>Insurers</t>
        </is>
      </c>
      <c r="D29" s="14" t="inlineStr">
        <is>
          <t>Insurers, partners, intermediaries and payees</t>
        </is>
      </c>
      <c r="E29" s="14" t="inlineStr">
        <is>
          <t>BRD-03</t>
        </is>
      </c>
      <c r="F29" s="14" t="inlineStr">
        <is>
          <t>Drop 0</t>
        </is>
      </c>
      <c r="G29" s="14" t="inlineStr">
        <is>
          <t>Operations data steward (to name); approved by Head, Operations; extracted by BDOI IT</t>
        </is>
      </c>
      <c r="H29" s="14" t="inlineStr">
        <is>
          <t>Migration Console</t>
        </is>
      </c>
      <c r="I29" s="14" t="inlineStr">
        <is>
          <t>Data Migration › Data Migration › Extracts and Batches</t>
        </is>
      </c>
      <c r="J29" s="14" t="inlineStr">
        <is>
          <t>-</t>
        </is>
      </c>
      <c r="K29" s="14" t="inlineStr">
        <is>
          <t>M3 (29 Jan 2027)</t>
        </is>
      </c>
      <c r="L29" s="15">
        <f>'R04 Insurers'!$C$11</f>
        <v/>
      </c>
      <c r="M29" s="15">
        <f>'R04 Insurers'!$E$11</f>
        <v/>
      </c>
      <c r="N29" s="14" t="inlineStr">
        <is>
          <t>Not started</t>
        </is>
      </c>
      <c r="O29" s="16" t="inlineStr">
        <is>
          <t>R04 →</t>
        </is>
      </c>
    </row>
    <row r="30" ht="56" customHeight="1">
      <c r="A30" s="17" t="n">
        <v>8</v>
      </c>
      <c r="B30" s="18" t="inlineStr">
        <is>
          <t>UA-02</t>
        </is>
      </c>
      <c r="C30" s="19" t="inlineStr">
        <is>
          <t>Role-to-permission matrix</t>
        </is>
      </c>
      <c r="D30" s="19" t="inlineStr">
        <is>
          <t>Users, access and approvals</t>
        </is>
      </c>
      <c r="E30" s="19" t="inlineStr">
        <is>
          <t>BRD-11</t>
        </is>
      </c>
      <c r="F30" s="19" t="inlineStr">
        <is>
          <t>Drop 0</t>
        </is>
      </c>
      <c r="G30" s="19" t="inlineStr">
        <is>
          <t>Business Administration with the unit heads; reviewed and signed by BDOI Information Security</t>
        </is>
      </c>
      <c r="H30" s="19" t="inlineStr">
        <is>
          <t>Configuration screen upload</t>
        </is>
      </c>
      <c r="I30" s="19" t="inlineStr">
        <is>
          <t>Setup &amp; Administration › Administration › Roles &amp; Permissions</t>
        </is>
      </c>
      <c r="J30" s="19" t="inlineStr">
        <is>
          <t>-</t>
        </is>
      </c>
      <c r="K30" s="19" t="inlineStr">
        <is>
          <t>9-Apr-2027 – Reference data for Trial migration 1 (M4)</t>
        </is>
      </c>
      <c r="L30" s="20">
        <f>'UA-02 Role matrix'!$C$9</f>
        <v/>
      </c>
      <c r="M30" s="20">
        <f>'UA-02 Role matrix'!$E$9</f>
        <v/>
      </c>
      <c r="N30" s="19" t="inlineStr">
        <is>
          <t>Not started</t>
        </is>
      </c>
      <c r="O30" s="21" t="inlineStr">
        <is>
          <t>UA-02 →</t>
        </is>
      </c>
    </row>
    <row r="31" ht="43" customHeight="1">
      <c r="A31" s="12" t="n">
        <v>9</v>
      </c>
      <c r="B31" s="13" t="inlineStr">
        <is>
          <t>UA-06</t>
        </is>
      </c>
      <c r="C31" s="14" t="inlineStr">
        <is>
          <t>Lists of values</t>
        </is>
      </c>
      <c r="D31" s="14" t="inlineStr">
        <is>
          <t>Users, access and approvals</t>
        </is>
      </c>
      <c r="E31" s="14" t="inlineStr">
        <is>
          <t>BRD-11</t>
        </is>
      </c>
      <c r="F31" s="14" t="inlineStr">
        <is>
          <t>Drop 0</t>
        </is>
      </c>
      <c r="G31" s="14" t="inlineStr">
        <is>
          <t>Business Administration</t>
        </is>
      </c>
      <c r="H31" s="14" t="inlineStr">
        <is>
          <t>Configuration screen upload</t>
        </is>
      </c>
      <c r="I31" s="14" t="inlineStr">
        <is>
          <t>Setup &amp; Administration › Broking Setup › Lists of Values</t>
        </is>
      </c>
      <c r="J31" s="14" t="inlineStr">
        <is>
          <t>-</t>
        </is>
      </c>
      <c r="K31" s="14" t="inlineStr">
        <is>
          <t>1-Nov-2027 – before the templates that use its codes</t>
        </is>
      </c>
      <c r="L31" s="15">
        <f>'UA-06 Lists of values'!$C$9</f>
        <v/>
      </c>
      <c r="M31" s="15">
        <f>'UA-06 Lists of values'!$E$9</f>
        <v/>
      </c>
      <c r="N31" s="14" t="inlineStr">
        <is>
          <t>Not started</t>
        </is>
      </c>
      <c r="O31" s="16" t="inlineStr">
        <is>
          <t>UA-06 →</t>
        </is>
      </c>
    </row>
    <row r="32" ht="30" customHeight="1">
      <c r="A32" s="17" t="n">
        <v>10</v>
      </c>
      <c r="B32" s="18" t="inlineStr">
        <is>
          <t>D0-05</t>
        </is>
      </c>
      <c r="C32" s="19" t="inlineStr">
        <is>
          <t>Employees</t>
        </is>
      </c>
      <c r="D32" s="19" t="inlineStr">
        <is>
          <t>Organisation</t>
        </is>
      </c>
      <c r="E32" s="19" t="inlineStr">
        <is>
          <t>BRD-05</t>
        </is>
      </c>
      <c r="F32" s="19" t="inlineStr">
        <is>
          <t>Drop 1</t>
        </is>
      </c>
      <c r="G32" s="19" t="inlineStr">
        <is>
          <t>Human Resources; Head, Comptrollership</t>
        </is>
      </c>
      <c r="H32" s="19" t="inlineStr">
        <is>
          <t>Configuration screen upload</t>
        </is>
      </c>
      <c r="I32" s="19" t="inlineStr">
        <is>
          <t>Setup &amp; Administration › Setup › Employees</t>
        </is>
      </c>
      <c r="J32" s="19" t="inlineStr">
        <is>
          <t>D0-02, D0-04</t>
        </is>
      </c>
      <c r="K32" s="19" t="inlineStr">
        <is>
          <t>16-Jul-2027 – Values for UAT</t>
        </is>
      </c>
      <c r="L32" s="20">
        <f>'D0-05 Employees'!$C$9</f>
        <v/>
      </c>
      <c r="M32" s="20">
        <f>'D0-05 Employees'!$E$9</f>
        <v/>
      </c>
      <c r="N32" s="19" t="inlineStr">
        <is>
          <t>Not started</t>
        </is>
      </c>
      <c r="O32" s="21" t="inlineStr">
        <is>
          <t>D0-05 →</t>
        </is>
      </c>
    </row>
    <row r="33" ht="30" customHeight="1">
      <c r="A33" s="12" t="n">
        <v>11</v>
      </c>
      <c r="B33" s="13" t="inlineStr">
        <is>
          <t>D0-06</t>
        </is>
      </c>
      <c r="C33" s="14" t="inlineStr">
        <is>
          <t>Chart of accounts</t>
        </is>
      </c>
      <c r="D33" s="14" t="inlineStr">
        <is>
          <t>Chart of accounts, tax and accounting</t>
        </is>
      </c>
      <c r="E33" s="14" t="inlineStr">
        <is>
          <t>BRD-05</t>
        </is>
      </c>
      <c r="F33" s="14" t="inlineStr">
        <is>
          <t>Drop 1</t>
        </is>
      </c>
      <c r="G33" s="14" t="inlineStr">
        <is>
          <t>Head, Comptrollership</t>
        </is>
      </c>
      <c r="H33" s="14" t="inlineStr">
        <is>
          <t>Screen upload</t>
        </is>
      </c>
      <c r="I33" s="14" t="inlineStr">
        <is>
          <t>Finance › General Ledger › Chart Upload</t>
        </is>
      </c>
      <c r="J33" s="14" t="inlineStr">
        <is>
          <t>D0-07</t>
        </is>
      </c>
      <c r="K33" s="14" t="inlineStr">
        <is>
          <t>4-Jan-2027 – Platform set-up for Drop 1 SIT</t>
        </is>
      </c>
      <c r="L33" s="15">
        <f>'D0-06 Chart of accounts'!$C$9</f>
        <v/>
      </c>
      <c r="M33" s="15">
        <f>'D0-06 Chart of accounts'!$E$9</f>
        <v/>
      </c>
      <c r="N33" s="14" t="inlineStr">
        <is>
          <t>Not started</t>
        </is>
      </c>
      <c r="O33" s="16" t="inlineStr">
        <is>
          <t>D0-06 →</t>
        </is>
      </c>
    </row>
    <row r="34" ht="43" customHeight="1">
      <c r="A34" s="17" t="n">
        <v>12</v>
      </c>
      <c r="B34" s="18" t="inlineStr">
        <is>
          <t>MD-01</t>
        </is>
      </c>
      <c r="C34" s="19" t="inlineStr">
        <is>
          <t>Business partners (reinsurers, intermediaries, suppliers)</t>
        </is>
      </c>
      <c r="D34" s="19" t="inlineStr">
        <is>
          <t>Insurers, partners, intermediaries and payees</t>
        </is>
      </c>
      <c r="E34" s="19" t="inlineStr">
        <is>
          <t>BRD-05</t>
        </is>
      </c>
      <c r="F34" s="19" t="inlineStr">
        <is>
          <t>Drop 1</t>
        </is>
      </c>
      <c r="G34" s="19" t="inlineStr">
        <is>
          <t>Head, Comptrollership; Head, Operations for the reinsurers and intermediaries</t>
        </is>
      </c>
      <c r="H34" s="19" t="inlineStr">
        <is>
          <t>Configuration screen upload</t>
        </is>
      </c>
      <c r="I34" s="19" t="inlineStr">
        <is>
          <t>Setup &amp; Administration › Setup › Business Partners</t>
        </is>
      </c>
      <c r="J34" s="19" t="inlineStr">
        <is>
          <t>D0-02</t>
        </is>
      </c>
      <c r="K34" s="19" t="inlineStr">
        <is>
          <t>9-Apr-2027 – Reference data for Trial migration 1 (M4)</t>
        </is>
      </c>
      <c r="L34" s="20">
        <f>'MD-01 Business partners'!$C$9</f>
        <v/>
      </c>
      <c r="M34" s="20">
        <f>'MD-01 Business partners'!$E$9</f>
        <v/>
      </c>
      <c r="N34" s="19" t="inlineStr">
        <is>
          <t>Not started</t>
        </is>
      </c>
      <c r="O34" s="21" t="inlineStr">
        <is>
          <t>MD-01 →</t>
        </is>
      </c>
    </row>
    <row r="35" ht="56" customHeight="1">
      <c r="A35" s="12" t="n">
        <v>13</v>
      </c>
      <c r="B35" s="13" t="inlineStr">
        <is>
          <t>R03</t>
        </is>
      </c>
      <c r="C35" s="14" t="inlineStr">
        <is>
          <t>Sales organisation (units and account officers)</t>
        </is>
      </c>
      <c r="D35" s="14" t="inlineStr">
        <is>
          <t>Organisation</t>
        </is>
      </c>
      <c r="E35" s="14" t="inlineStr">
        <is>
          <t>BRD-01</t>
        </is>
      </c>
      <c r="F35" s="14" t="inlineStr">
        <is>
          <t>Drop 1</t>
        </is>
      </c>
      <c r="G35" s="14" t="inlineStr">
        <is>
          <t>Marketing data steward (to name); approved by Heads, Retail and Corporate Marketing; extracted by BDOI IT</t>
        </is>
      </c>
      <c r="H35" s="14" t="inlineStr">
        <is>
          <t>Migration Console</t>
        </is>
      </c>
      <c r="I35" s="14" t="inlineStr">
        <is>
          <t>Data Migration › Data Migration › Extracts and Batches</t>
        </is>
      </c>
      <c r="J35" s="14" t="inlineStr">
        <is>
          <t>D0-02, D0-04</t>
        </is>
      </c>
      <c r="K35" s="14" t="inlineStr">
        <is>
          <t>M3 (29 Jan 2027)</t>
        </is>
      </c>
      <c r="L35" s="15">
        <f>'R03 Sales organisation (units a'!$C$9</f>
        <v/>
      </c>
      <c r="M35" s="15">
        <f>'R03 Sales organisation (units a'!$E$9</f>
        <v/>
      </c>
      <c r="N35" s="14" t="inlineStr">
        <is>
          <t>Not started</t>
        </is>
      </c>
      <c r="O35" s="16" t="inlineStr">
        <is>
          <t>R03 →</t>
        </is>
      </c>
    </row>
    <row r="36" ht="43" customHeight="1">
      <c r="A36" s="17" t="n">
        <v>14</v>
      </c>
      <c r="B36" s="18" t="inlineStr">
        <is>
          <t>R05</t>
        </is>
      </c>
      <c r="C36" s="19" t="inlineStr">
        <is>
          <t>Product lines, cover types, products and risk codes</t>
        </is>
      </c>
      <c r="D36" s="19" t="inlineStr">
        <is>
          <t>Products, packages and rates</t>
        </is>
      </c>
      <c r="E36" s="19" t="inlineStr">
        <is>
          <t>BRD-03</t>
        </is>
      </c>
      <c r="F36" s="19" t="inlineStr">
        <is>
          <t>Drop 0</t>
        </is>
      </c>
      <c r="G36" s="19" t="inlineStr">
        <is>
          <t>MBS data steward (to name); approved by Product Owner, MBS; extracted by BDOI IT</t>
        </is>
      </c>
      <c r="H36" s="19" t="inlineStr">
        <is>
          <t>Migration Console</t>
        </is>
      </c>
      <c r="I36" s="19" t="inlineStr">
        <is>
          <t>Data Migration › Data Migration › Extracts and Batches</t>
        </is>
      </c>
      <c r="J36" s="19" t="inlineStr">
        <is>
          <t>PM-09</t>
        </is>
      </c>
      <c r="K36" s="19" t="inlineStr">
        <is>
          <t>M3 (29 Jan 2027)</t>
        </is>
      </c>
      <c r="L36" s="20">
        <f>'R05 Product lines, cover types,'!$C$9</f>
        <v/>
      </c>
      <c r="M36" s="20">
        <f>'R05 Product lines, cover types,'!$E$9</f>
        <v/>
      </c>
      <c r="N36" s="19" t="inlineStr">
        <is>
          <t>Not started</t>
        </is>
      </c>
      <c r="O36" s="21" t="inlineStr">
        <is>
          <t>R05 →</t>
        </is>
      </c>
    </row>
    <row r="37" ht="43" customHeight="1">
      <c r="A37" s="12" t="n">
        <v>15</v>
      </c>
      <c r="B37" s="13" t="inlineStr">
        <is>
          <t>UA-01</t>
        </is>
      </c>
      <c r="C37" s="14" t="inlineStr">
        <is>
          <t>Users and roles load</t>
        </is>
      </c>
      <c r="D37" s="14" t="inlineStr">
        <is>
          <t>Users, access and approvals</t>
        </is>
      </c>
      <c r="E37" s="14" t="inlineStr">
        <is>
          <t>BRD-11</t>
        </is>
      </c>
      <c r="F37" s="14" t="inlineStr">
        <is>
          <t>Drop 0</t>
        </is>
      </c>
      <c r="G37" s="14" t="inlineStr">
        <is>
          <t>Business Administration, with the unit heads who name their users</t>
        </is>
      </c>
      <c r="H37" s="14" t="inlineStr">
        <is>
          <t>Screen upload</t>
        </is>
      </c>
      <c r="I37" s="14" t="inlineStr">
        <is>
          <t>Setup &amp; Administration › User Access › Bulk Request</t>
        </is>
      </c>
      <c r="J37" s="14" t="inlineStr">
        <is>
          <t>UA-06, UA-02</t>
        </is>
      </c>
      <c r="K37" s="14" t="inlineStr">
        <is>
          <t>1-Nov-2027 – Production values before the dress rehearsal</t>
        </is>
      </c>
      <c r="L37" s="15">
        <f>'UA-01 Users and roles'!$C$9</f>
        <v/>
      </c>
      <c r="M37" s="15">
        <f>'UA-01 Users and roles'!$E$9</f>
        <v/>
      </c>
      <c r="N37" s="14" t="inlineStr">
        <is>
          <t>Not started</t>
        </is>
      </c>
      <c r="O37" s="16" t="inlineStr">
        <is>
          <t>UA-01 →</t>
        </is>
      </c>
    </row>
    <row r="38" ht="30" customHeight="1">
      <c r="A38" s="17" t="n">
        <v>16</v>
      </c>
      <c r="B38" s="18" t="inlineStr">
        <is>
          <t>D0-03</t>
        </is>
      </c>
      <c r="C38" s="19" t="inlineStr">
        <is>
          <t>Holiday calendar</t>
        </is>
      </c>
      <c r="D38" s="19" t="inlineStr">
        <is>
          <t>Organisation</t>
        </is>
      </c>
      <c r="E38" s="19" t="inlineStr">
        <is>
          <t>BRD-05</t>
        </is>
      </c>
      <c r="F38" s="19" t="inlineStr">
        <is>
          <t>Drop 1</t>
        </is>
      </c>
      <c r="G38" s="19" t="inlineStr">
        <is>
          <t>Head, Comptrollership; Human Resources</t>
        </is>
      </c>
      <c r="H38" s="19" t="inlineStr">
        <is>
          <t>Configuration screen upload</t>
        </is>
      </c>
      <c r="I38" s="19" t="inlineStr">
        <is>
          <t>Setup &amp; Administration › Setup › Holiday Calendar</t>
        </is>
      </c>
      <c r="J38" s="19" t="inlineStr">
        <is>
          <t>D0-02</t>
        </is>
      </c>
      <c r="K38" s="19" t="inlineStr">
        <is>
          <t>4-Jan-2027 – Platform set-up for Drop 1 SIT</t>
        </is>
      </c>
      <c r="L38" s="20">
        <f>'D0-03 Holiday calendar'!$C$9</f>
        <v/>
      </c>
      <c r="M38" s="20">
        <f>'D0-03 Holiday calendar'!$E$9</f>
        <v/>
      </c>
      <c r="N38" s="19" t="inlineStr">
        <is>
          <t>Not started</t>
        </is>
      </c>
      <c r="O38" s="21" t="inlineStr">
        <is>
          <t>D0-03 →</t>
        </is>
      </c>
    </row>
    <row r="39" ht="56" customHeight="1">
      <c r="A39" s="12" t="n">
        <v>17</v>
      </c>
      <c r="B39" s="13" t="inlineStr">
        <is>
          <t>MD-03</t>
        </is>
      </c>
      <c r="C39" s="14" t="inlineStr">
        <is>
          <t>Exchange rates and their source</t>
        </is>
      </c>
      <c r="D39" s="14" t="inlineStr">
        <is>
          <t>Chart of accounts, tax and accounting</t>
        </is>
      </c>
      <c r="E39" s="14" t="inlineStr">
        <is>
          <t>BRD-05</t>
        </is>
      </c>
      <c r="F39" s="14" t="inlineStr">
        <is>
          <t>Drop 1</t>
        </is>
      </c>
      <c r="G39" s="14" t="inlineStr">
        <is>
          <t>Head, Comptrollership (Treasury)</t>
        </is>
      </c>
      <c r="H39" s="14" t="inlineStr">
        <is>
          <t>Configuration screen – no upload: BDOI fills in this template and the rows are keyed on the screen, each record authorised by a second user</t>
        </is>
      </c>
      <c r="I39" s="14" t="inlineStr">
        <is>
          <t>Setup &amp; Administration › Setup › Currencies &amp; Rates</t>
        </is>
      </c>
      <c r="J39" s="14" t="inlineStr">
        <is>
          <t>MD-02</t>
        </is>
      </c>
      <c r="K39" s="14" t="inlineStr">
        <is>
          <t>16-Jul-2027 – Values for UAT</t>
        </is>
      </c>
      <c r="L39" s="15">
        <f>'MD-03 Exchange rates'!$C$9</f>
        <v/>
      </c>
      <c r="M39" s="15">
        <f>'MD-03 Exchange rates'!$E$9</f>
        <v/>
      </c>
      <c r="N39" s="14" t="inlineStr">
        <is>
          <t>Not started</t>
        </is>
      </c>
      <c r="O39" s="16" t="inlineStr">
        <is>
          <t>MD-03 →</t>
        </is>
      </c>
    </row>
    <row r="40" ht="56" customHeight="1">
      <c r="A40" s="17" t="n">
        <v>18</v>
      </c>
      <c r="B40" s="18" t="inlineStr">
        <is>
          <t>R02</t>
        </is>
      </c>
      <c r="C40" s="19" t="inlineStr">
        <is>
          <t>Branches and invoicing branches</t>
        </is>
      </c>
      <c r="D40" s="19" t="inlineStr">
        <is>
          <t>Organisation</t>
        </is>
      </c>
      <c r="E40" s="19" t="inlineStr">
        <is>
          <t>BRD-05</t>
        </is>
      </c>
      <c r="F40" s="19" t="inlineStr">
        <is>
          <t>Drop 1</t>
        </is>
      </c>
      <c r="G40" s="19" t="inlineStr">
        <is>
          <t>Comptrollership data steward (to name); approved by Head, Comptrollership; extracted by BDOI IT</t>
        </is>
      </c>
      <c r="H40" s="19" t="inlineStr">
        <is>
          <t>Migration Console</t>
        </is>
      </c>
      <c r="I40" s="19" t="inlineStr">
        <is>
          <t>Data Migration › Data Migration › Extracts and Batches</t>
        </is>
      </c>
      <c r="J40" s="19" t="inlineStr">
        <is>
          <t>D0-02</t>
        </is>
      </c>
      <c r="K40" s="19" t="inlineStr">
        <is>
          <t>M3 (29 Jan 2027)</t>
        </is>
      </c>
      <c r="L40" s="20">
        <f>'R02 Branches and invoicing bran'!$C$9</f>
        <v/>
      </c>
      <c r="M40" s="20">
        <f>'R02 Branches and invoicing bran'!$E$9</f>
        <v/>
      </c>
      <c r="N40" s="19" t="inlineStr">
        <is>
          <t>Not started</t>
        </is>
      </c>
      <c r="O40" s="21" t="inlineStr">
        <is>
          <t>R02 →</t>
        </is>
      </c>
    </row>
    <row r="41" ht="43" customHeight="1">
      <c r="A41" s="12" t="n">
        <v>19</v>
      </c>
      <c r="B41" s="13" t="inlineStr">
        <is>
          <t>R04B</t>
        </is>
      </c>
      <c r="C41" s="14" t="inlineStr">
        <is>
          <t>Insurer branches</t>
        </is>
      </c>
      <c r="D41" s="14" t="inlineStr">
        <is>
          <t>Insurers, partners, intermediaries and payees</t>
        </is>
      </c>
      <c r="E41" s="14" t="inlineStr">
        <is>
          <t>BRD-03</t>
        </is>
      </c>
      <c r="F41" s="14" t="inlineStr">
        <is>
          <t>Drop 0</t>
        </is>
      </c>
      <c r="G41" s="14" t="inlineStr">
        <is>
          <t>Operations data steward (to name); approved by Head, Operations; extracted by BDOI IT</t>
        </is>
      </c>
      <c r="H41" s="14" t="inlineStr">
        <is>
          <t>Migration Console</t>
        </is>
      </c>
      <c r="I41" s="14" t="inlineStr">
        <is>
          <t>Data Migration › Data Migration › Extracts and Batches</t>
        </is>
      </c>
      <c r="J41" s="14" t="inlineStr">
        <is>
          <t>R04</t>
        </is>
      </c>
      <c r="K41" s="14" t="inlineStr">
        <is>
          <t>M3 (29 Jan 2027)</t>
        </is>
      </c>
      <c r="L41" s="15">
        <f>'R04B Insurer branches'!$C$9</f>
        <v/>
      </c>
      <c r="M41" s="15">
        <f>'R04B Insurer branches'!$E$9</f>
        <v/>
      </c>
      <c r="N41" s="14" t="inlineStr">
        <is>
          <t>Not started</t>
        </is>
      </c>
      <c r="O41" s="16" t="inlineStr">
        <is>
          <t>R04B →</t>
        </is>
      </c>
    </row>
    <row r="42" ht="56" customHeight="1">
      <c r="A42" s="17" t="n">
        <v>20</v>
      </c>
      <c r="B42" s="18" t="inlineStr">
        <is>
          <t>R11</t>
        </is>
      </c>
      <c r="C42" s="19" t="inlineStr">
        <is>
          <t>Receipt series in use</t>
        </is>
      </c>
      <c r="D42" s="19" t="inlineStr">
        <is>
          <t>Banks, bank accounts and cheque books</t>
        </is>
      </c>
      <c r="E42" s="19" t="inlineStr">
        <is>
          <t>BRD-02</t>
        </is>
      </c>
      <c r="F42" s="19" t="inlineStr">
        <is>
          <t>Drop 1</t>
        </is>
      </c>
      <c r="G42" s="19" t="inlineStr">
        <is>
          <t>Cashiering data steward (to name); approved by Operations - Financial Transactions; extracted by BDOI IT</t>
        </is>
      </c>
      <c r="H42" s="19" t="inlineStr">
        <is>
          <t>Migration Console</t>
        </is>
      </c>
      <c r="I42" s="19" t="inlineStr">
        <is>
          <t>Data Migration › Data Migration › Extracts and Batches</t>
        </is>
      </c>
      <c r="J42" s="19" t="inlineStr">
        <is>
          <t>D0-02</t>
        </is>
      </c>
      <c r="K42" s="19" t="inlineStr">
        <is>
          <t>M3 (29 Jan 2027); final at T-3</t>
        </is>
      </c>
      <c r="L42" s="20">
        <f>'R11 Receipt series in use'!$C$9</f>
        <v/>
      </c>
      <c r="M42" s="20">
        <f>'R11 Receipt series in use'!$E$9</f>
        <v/>
      </c>
      <c r="N42" s="19" t="inlineStr">
        <is>
          <t>Not started</t>
        </is>
      </c>
      <c r="O42" s="21" t="inlineStr">
        <is>
          <t>R11 →</t>
        </is>
      </c>
    </row>
    <row r="43" ht="30" customHeight="1">
      <c r="A43" s="12" t="n">
        <v>21</v>
      </c>
      <c r="B43" s="13" t="inlineStr">
        <is>
          <t>UA-04</t>
        </is>
      </c>
      <c r="C43" s="14" t="inlineStr">
        <is>
          <t>Separation-of-duties rules</t>
        </is>
      </c>
      <c r="D43" s="14" t="inlineStr">
        <is>
          <t>Users, access and approvals</t>
        </is>
      </c>
      <c r="E43" s="14" t="inlineStr">
        <is>
          <t>BRD-11</t>
        </is>
      </c>
      <c r="F43" s="14" t="inlineStr">
        <is>
          <t>Drop 0</t>
        </is>
      </c>
      <c r="G43" s="14" t="inlineStr">
        <is>
          <t>BDOI Information Security</t>
        </is>
      </c>
      <c r="H43" s="14" t="inlineStr">
        <is>
          <t>Configuration screen upload</t>
        </is>
      </c>
      <c r="I43" s="14" t="inlineStr">
        <is>
          <t>Setup &amp; Administration › User Access › Separation of Duties</t>
        </is>
      </c>
      <c r="J43" s="14" t="inlineStr">
        <is>
          <t>UA-02</t>
        </is>
      </c>
      <c r="K43" s="14" t="inlineStr">
        <is>
          <t>16-Jul-2027 – Values for UAT</t>
        </is>
      </c>
      <c r="L43" s="15">
        <f>'UA-04 SoD rules'!$C$10</f>
        <v/>
      </c>
      <c r="M43" s="15">
        <f>'UA-04 SoD rules'!$E$10</f>
        <v/>
      </c>
      <c r="N43" s="14" t="inlineStr">
        <is>
          <t>Not started</t>
        </is>
      </c>
      <c r="O43" s="16" t="inlineStr">
        <is>
          <t>UA-04 →</t>
        </is>
      </c>
    </row>
    <row r="44" ht="30" customHeight="1">
      <c r="A44" s="17" t="n">
        <v>22</v>
      </c>
      <c r="B44" s="18" t="inlineStr">
        <is>
          <t>UP-01</t>
        </is>
      </c>
      <c r="C44" s="19" t="inlineStr">
        <is>
          <t>Clients not held in the legacy systems</t>
        </is>
      </c>
      <c r="D44" s="19" t="inlineStr">
        <is>
          <t>Clients and KYC</t>
        </is>
      </c>
      <c r="E44" s="19" t="inlineStr">
        <is>
          <t>BRD-01</t>
        </is>
      </c>
      <c r="F44" s="19" t="inlineStr">
        <is>
          <t>Drop 1</t>
        </is>
      </c>
      <c r="G44" s="19" t="inlineStr">
        <is>
          <t>Heads, Retail and Corporate Marketing; Product Owner, MBS</t>
        </is>
      </c>
      <c r="H44" s="19" t="inlineStr">
        <is>
          <t>Screen upload</t>
        </is>
      </c>
      <c r="I44" s="19" t="inlineStr">
        <is>
          <t>Client &amp; Policy › Clients › Clients</t>
        </is>
      </c>
      <c r="J44" s="19" t="inlineStr">
        <is>
          <t>R01</t>
        </is>
      </c>
      <c r="K44" s="19" t="inlineStr">
        <is>
          <t>16-Jul-2027 – Values for UAT</t>
        </is>
      </c>
      <c r="L44" s="20">
        <f>'UP-01 Clients (upload)'!$C$9</f>
        <v/>
      </c>
      <c r="M44" s="20">
        <f>'UP-01 Clients (upload)'!$E$9</f>
        <v/>
      </c>
      <c r="N44" s="19" t="inlineStr">
        <is>
          <t>Not started</t>
        </is>
      </c>
      <c r="O44" s="21" t="inlineStr">
        <is>
          <t>UP-01 →</t>
        </is>
      </c>
    </row>
    <row r="45" ht="69" customHeight="1">
      <c r="A45" s="12" t="n">
        <v>23</v>
      </c>
      <c r="B45" s="13" t="inlineStr">
        <is>
          <t>C01</t>
        </is>
      </c>
      <c r="C45" s="14" t="inlineStr">
        <is>
          <t>Client master</t>
        </is>
      </c>
      <c r="D45" s="14" t="inlineStr">
        <is>
          <t>Clients and KYC</t>
        </is>
      </c>
      <c r="E45" s="14" t="inlineStr">
        <is>
          <t>BRD-01</t>
        </is>
      </c>
      <c r="F45" s="14" t="inlineStr">
        <is>
          <t>Drop 1</t>
        </is>
      </c>
      <c r="G45" s="14" t="inlineStr">
        <is>
          <t>Marketing data steward (to name); approved by Product Owner, MBS; Heads, Retail and Corporate Marketing; extracted by BDOI IT</t>
        </is>
      </c>
      <c r="H45" s="14" t="inlineStr">
        <is>
          <t>Migration Console</t>
        </is>
      </c>
      <c r="I45" s="14" t="inlineStr">
        <is>
          <t>Data Migration › Data Migration › Extracts and Batches</t>
        </is>
      </c>
      <c r="J45" s="14" t="inlineStr">
        <is>
          <t>R01, R03, D0-02</t>
        </is>
      </c>
      <c r="K45" s="14" t="inlineStr">
        <is>
          <t>M3 (29 Jan 2027); deltas daily from T-14 days</t>
        </is>
      </c>
      <c r="L45" s="15">
        <f>'C01 Client master'!$C$10</f>
        <v/>
      </c>
      <c r="M45" s="15">
        <f>'C01 Client master'!$E$10</f>
        <v/>
      </c>
      <c r="N45" s="14" t="inlineStr">
        <is>
          <t>Not started</t>
        </is>
      </c>
      <c r="O45" s="16" t="inlineStr">
        <is>
          <t>C01 →</t>
        </is>
      </c>
    </row>
    <row r="46" ht="30" customHeight="1">
      <c r="A46" s="17" t="n">
        <v>24</v>
      </c>
      <c r="B46" s="18" t="inlineStr">
        <is>
          <t>D0-10</t>
        </is>
      </c>
      <c r="C46" s="19" t="inlineStr">
        <is>
          <t>Tax codes</t>
        </is>
      </c>
      <c r="D46" s="19" t="inlineStr">
        <is>
          <t>Chart of accounts, tax and accounting</t>
        </is>
      </c>
      <c r="E46" s="19" t="inlineStr">
        <is>
          <t>BRD-05</t>
        </is>
      </c>
      <c r="F46" s="19" t="inlineStr">
        <is>
          <t>Drop 1</t>
        </is>
      </c>
      <c r="G46" s="19" t="inlineStr">
        <is>
          <t>Head, Comptrollership (Tax)</t>
        </is>
      </c>
      <c r="H46" s="19" t="inlineStr">
        <is>
          <t>Configuration screen upload</t>
        </is>
      </c>
      <c r="I46" s="19" t="inlineStr">
        <is>
          <t>Finance › Tax &amp; Statutory › Tax Codes &amp; Forms</t>
        </is>
      </c>
      <c r="J46" s="19" t="inlineStr">
        <is>
          <t>D0-06</t>
        </is>
      </c>
      <c r="K46" s="19" t="inlineStr">
        <is>
          <t>16-Jul-2027 – Values for UAT</t>
        </is>
      </c>
      <c r="L46" s="20">
        <f>'D0-10 Tax codes'!$C$11</f>
        <v/>
      </c>
      <c r="M46" s="20">
        <f>'D0-10 Tax codes'!$E$11</f>
        <v/>
      </c>
      <c r="N46" s="19" t="inlineStr">
        <is>
          <t>Not started</t>
        </is>
      </c>
      <c r="O46" s="21" t="inlineStr">
        <is>
          <t>D0-10 →</t>
        </is>
      </c>
    </row>
    <row r="47" ht="30" customHeight="1">
      <c r="A47" s="12" t="n">
        <v>25</v>
      </c>
      <c r="B47" s="13" t="inlineStr">
        <is>
          <t>D0-11</t>
        </is>
      </c>
      <c r="C47" s="14" t="inlineStr">
        <is>
          <t>Company bank accounts</t>
        </is>
      </c>
      <c r="D47" s="14" t="inlineStr">
        <is>
          <t>Banks, bank accounts and cheque books</t>
        </is>
      </c>
      <c r="E47" s="14" t="inlineStr">
        <is>
          <t>BRD-05</t>
        </is>
      </c>
      <c r="F47" s="14" t="inlineStr">
        <is>
          <t>Drop 1</t>
        </is>
      </c>
      <c r="G47" s="14" t="inlineStr">
        <is>
          <t>Head, Comptrollership; Treasury</t>
        </is>
      </c>
      <c r="H47" s="14" t="inlineStr">
        <is>
          <t>Configuration screen upload</t>
        </is>
      </c>
      <c r="I47" s="14" t="inlineStr">
        <is>
          <t>Finance › Disbursement › Bank Accounts and Checks</t>
        </is>
      </c>
      <c r="J47" s="14" t="inlineStr">
        <is>
          <t>D0-06, D0-02</t>
        </is>
      </c>
      <c r="K47" s="14" t="inlineStr">
        <is>
          <t>4-Jan-2027 – Platform set-up for Drop 1 SIT</t>
        </is>
      </c>
      <c r="L47" s="15">
        <f>'D0-11 Bank accounts'!$C$10</f>
        <v/>
      </c>
      <c r="M47" s="15">
        <f>'D0-11 Bank accounts'!$E$10</f>
        <v/>
      </c>
      <c r="N47" s="14" t="inlineStr">
        <is>
          <t>Not started</t>
        </is>
      </c>
      <c r="O47" s="16" t="inlineStr">
        <is>
          <t>D0-11 →</t>
        </is>
      </c>
    </row>
    <row r="48" ht="43" customHeight="1">
      <c r="A48" s="17" t="n">
        <v>26</v>
      </c>
      <c r="B48" s="18" t="inlineStr">
        <is>
          <t>PM-01</t>
        </is>
      </c>
      <c r="C48" s="19" t="inlineStr">
        <is>
          <t>Product catalogue</t>
        </is>
      </c>
      <c r="D48" s="19" t="inlineStr">
        <is>
          <t>Products, packages and rates</t>
        </is>
      </c>
      <c r="E48" s="19" t="inlineStr">
        <is>
          <t>BRD-03</t>
        </is>
      </c>
      <c r="F48" s="19" t="inlineStr">
        <is>
          <t>Drop 0</t>
        </is>
      </c>
      <c r="G48" s="19" t="inlineStr">
        <is>
          <t>Product Owner, Marketing Business System (MBS)</t>
        </is>
      </c>
      <c r="H48" s="19" t="inlineStr">
        <is>
          <t>Migration Console</t>
        </is>
      </c>
      <c r="I48" s="19" t="inlineStr">
        <is>
          <t>Client &amp; Policy › Product Maintenance › Products</t>
        </is>
      </c>
      <c r="J48" s="19" t="inlineStr">
        <is>
          <t>PM-09, R05</t>
        </is>
      </c>
      <c r="K48" s="19" t="inlineStr">
        <is>
          <t>9-Apr-2027 – Reference data for Trial migration 1 (M4)</t>
        </is>
      </c>
      <c r="L48" s="20">
        <f>'PM-01 Product catalogue'!$C$9</f>
        <v/>
      </c>
      <c r="M48" s="20">
        <f>'PM-01 Product catalogue'!$E$9</f>
        <v/>
      </c>
      <c r="N48" s="19" t="inlineStr">
        <is>
          <t>Not started</t>
        </is>
      </c>
      <c r="O48" s="21" t="inlineStr">
        <is>
          <t>PM-01 →</t>
        </is>
      </c>
    </row>
    <row r="49" ht="69" customHeight="1">
      <c r="A49" s="12" t="n">
        <v>27</v>
      </c>
      <c r="B49" s="13" t="inlineStr">
        <is>
          <t>R08</t>
        </is>
      </c>
      <c r="C49" s="14" t="inlineStr">
        <is>
          <t>Chart of accounts mapping</t>
        </is>
      </c>
      <c r="D49" s="14" t="inlineStr">
        <is>
          <t>Chart of accounts, tax and accounting</t>
        </is>
      </c>
      <c r="E49" s="14" t="inlineStr">
        <is>
          <t>BRD-05</t>
        </is>
      </c>
      <c r="F49" s="14" t="inlineStr">
        <is>
          <t>Drop 1</t>
        </is>
      </c>
      <c r="G49" s="14" t="inlineStr">
        <is>
          <t>Comptrollership data steward (to name); approved by Head, Comptrollership; Product Owner FRBS and ACSL; extracted by BDOI IT</t>
        </is>
      </c>
      <c r="H49" s="14" t="inlineStr">
        <is>
          <t>Migration Console</t>
        </is>
      </c>
      <c r="I49" s="14" t="inlineStr">
        <is>
          <t>Data Migration › Data Migration › Extracts and Batches</t>
        </is>
      </c>
      <c r="J49" s="14" t="inlineStr">
        <is>
          <t>D0-06</t>
        </is>
      </c>
      <c r="K49" s="14" t="inlineStr">
        <is>
          <t>M3 (29 Jan 2027)</t>
        </is>
      </c>
      <c r="L49" s="15">
        <f>'R08 Chart of accounts mapping'!$C$9</f>
        <v/>
      </c>
      <c r="M49" s="15">
        <f>'R08 Chart of accounts mapping'!$E$9</f>
        <v/>
      </c>
      <c r="N49" s="14" t="inlineStr">
        <is>
          <t>Not started</t>
        </is>
      </c>
      <c r="O49" s="16" t="inlineStr">
        <is>
          <t>R08 →</t>
        </is>
      </c>
    </row>
    <row r="50" ht="43" customHeight="1">
      <c r="A50" s="17" t="n">
        <v>28</v>
      </c>
      <c r="B50" s="18" t="inlineStr">
        <is>
          <t>UP-02</t>
        </is>
      </c>
      <c r="C50" s="19" t="inlineStr">
        <is>
          <t>Payees</t>
        </is>
      </c>
      <c r="D50" s="19" t="inlineStr">
        <is>
          <t>Insurers, partners, intermediaries and payees</t>
        </is>
      </c>
      <c r="E50" s="19" t="inlineStr">
        <is>
          <t>BRD-05</t>
        </is>
      </c>
      <c r="F50" s="19" t="inlineStr">
        <is>
          <t>Drop 1</t>
        </is>
      </c>
      <c r="G50" s="19" t="inlineStr">
        <is>
          <t>Product Owner, Comptrollership - Disbursement</t>
        </is>
      </c>
      <c r="H50" s="19" t="inlineStr">
        <is>
          <t>Screen upload</t>
        </is>
      </c>
      <c r="I50" s="19" t="inlineStr">
        <is>
          <t>Finance › Disbursement › Disbursement Uploads</t>
        </is>
      </c>
      <c r="J50" s="19" t="inlineStr">
        <is>
          <t>MD-01</t>
        </is>
      </c>
      <c r="K50" s="19" t="inlineStr">
        <is>
          <t>9-Apr-2027 – Reference data for Trial migration 1 (M4)</t>
        </is>
      </c>
      <c r="L50" s="20">
        <f>'UP-02 Payees (upload)'!$C$9</f>
        <v/>
      </c>
      <c r="M50" s="20">
        <f>'UP-02 Payees (upload)'!$E$9</f>
        <v/>
      </c>
      <c r="N50" s="19" t="inlineStr">
        <is>
          <t>Not started</t>
        </is>
      </c>
      <c r="O50" s="21" t="inlineStr">
        <is>
          <t>UP-02 →</t>
        </is>
      </c>
    </row>
    <row r="51" ht="30" customHeight="1">
      <c r="A51" s="12" t="n">
        <v>29</v>
      </c>
      <c r="B51" s="13" t="inlineStr">
        <is>
          <t>D0-01</t>
        </is>
      </c>
      <c r="C51" s="14" t="inlineStr">
        <is>
          <t>Company</t>
        </is>
      </c>
      <c r="D51" s="14" t="inlineStr">
        <is>
          <t>Organisation</t>
        </is>
      </c>
      <c r="E51" s="14" t="inlineStr">
        <is>
          <t>BRD-05</t>
        </is>
      </c>
      <c r="F51" s="14" t="inlineStr">
        <is>
          <t>Drop 1</t>
        </is>
      </c>
      <c r="G51" s="14" t="inlineStr">
        <is>
          <t>Head, Comptrollership</t>
        </is>
      </c>
      <c r="H51" s="14" t="inlineStr">
        <is>
          <t>Configuration screen upload</t>
        </is>
      </c>
      <c r="I51" s="14" t="inlineStr">
        <is>
          <t>Setup &amp; Administration › Setup › Companies</t>
        </is>
      </c>
      <c r="J51" s="14" t="inlineStr">
        <is>
          <t>D0-06</t>
        </is>
      </c>
      <c r="K51" s="14" t="inlineStr">
        <is>
          <t>4-Jan-2027 – Platform set-up for Drop 1 SIT</t>
        </is>
      </c>
      <c r="L51" s="15">
        <f>'D0-01 Company'!$C$10</f>
        <v/>
      </c>
      <c r="M51" s="15">
        <f>'D0-01 Company'!$E$10</f>
        <v/>
      </c>
      <c r="N51" s="14" t="inlineStr">
        <is>
          <t>Not started</t>
        </is>
      </c>
      <c r="O51" s="16" t="inlineStr">
        <is>
          <t>D0-01 →</t>
        </is>
      </c>
    </row>
    <row r="52" ht="30" customHeight="1">
      <c r="A52" s="17" t="n">
        <v>30</v>
      </c>
      <c r="B52" s="18" t="inlineStr">
        <is>
          <t>D0-08</t>
        </is>
      </c>
      <c r="C52" s="19" t="inlineStr">
        <is>
          <t>Accounting rules</t>
        </is>
      </c>
      <c r="D52" s="19" t="inlineStr">
        <is>
          <t>Chart of accounts, tax and accounting</t>
        </is>
      </c>
      <c r="E52" s="19" t="inlineStr">
        <is>
          <t>BRD-05</t>
        </is>
      </c>
      <c r="F52" s="19" t="inlineStr">
        <is>
          <t>Drop 1</t>
        </is>
      </c>
      <c r="G52" s="19" t="inlineStr">
        <is>
          <t>Head, Comptrollership</t>
        </is>
      </c>
      <c r="H52" s="19" t="inlineStr">
        <is>
          <t>Configuration screen upload</t>
        </is>
      </c>
      <c r="I52" s="19" t="inlineStr">
        <is>
          <t>Finance › Accounting Engine › Accounting Rules</t>
        </is>
      </c>
      <c r="J52" s="19" t="inlineStr">
        <is>
          <t>D0-04, D0-06</t>
        </is>
      </c>
      <c r="K52" s="19" t="inlineStr">
        <is>
          <t>4-Jan-2027 – Platform set-up for Drop 1 SIT</t>
        </is>
      </c>
      <c r="L52" s="20">
        <f>'D0-08 Accounting rules'!$C$9</f>
        <v/>
      </c>
      <c r="M52" s="20">
        <f>'D0-08 Accounting rules'!$E$9</f>
        <v/>
      </c>
      <c r="N52" s="19" t="inlineStr">
        <is>
          <t>Not started</t>
        </is>
      </c>
      <c r="O52" s="21" t="inlineStr">
        <is>
          <t>D0-08 →</t>
        </is>
      </c>
    </row>
    <row r="53" ht="30" customHeight="1">
      <c r="A53" s="12" t="n">
        <v>31</v>
      </c>
      <c r="B53" s="13" t="inlineStr">
        <is>
          <t>D0-09</t>
        </is>
      </c>
      <c r="C53" s="14" t="inlineStr">
        <is>
          <t>Legacy control accounts</t>
        </is>
      </c>
      <c r="D53" s="14" t="inlineStr">
        <is>
          <t>Chart of accounts, tax and accounting</t>
        </is>
      </c>
      <c r="E53" s="14" t="inlineStr">
        <is>
          <t>BRD-05</t>
        </is>
      </c>
      <c r="F53" s="14" t="inlineStr">
        <is>
          <t>Drop 1</t>
        </is>
      </c>
      <c r="G53" s="14" t="inlineStr">
        <is>
          <t>Head, Comptrollership</t>
        </is>
      </c>
      <c r="H53" s="14" t="inlineStr">
        <is>
          <t>Configuration screen upload</t>
        </is>
      </c>
      <c r="I53" s="14" t="inlineStr">
        <is>
          <t>Finance › General Ledger › Chart of Accounts</t>
        </is>
      </c>
      <c r="J53" s="14" t="inlineStr">
        <is>
          <t>D0-06</t>
        </is>
      </c>
      <c r="K53" s="14" t="inlineStr">
        <is>
          <t>1-Dec-2026 – Drafts with the Drop 0 sign-off</t>
        </is>
      </c>
      <c r="L53" s="15">
        <f>'D0-09 Legacy accounts'!$C$9</f>
        <v/>
      </c>
      <c r="M53" s="15">
        <f>'D0-09 Legacy accounts'!$E$9</f>
        <v/>
      </c>
      <c r="N53" s="14" t="inlineStr">
        <is>
          <t>Not started</t>
        </is>
      </c>
      <c r="O53" s="16" t="inlineStr">
        <is>
          <t>D0-09 →</t>
        </is>
      </c>
    </row>
    <row r="54" ht="56" customHeight="1">
      <c r="A54" s="17" t="n">
        <v>32</v>
      </c>
      <c r="B54" s="18" t="inlineStr">
        <is>
          <t>D0-15</t>
        </is>
      </c>
      <c r="C54" s="19" t="inlineStr">
        <is>
          <t>Approval limits and matrices</t>
        </is>
      </c>
      <c r="D54" s="19" t="inlineStr">
        <is>
          <t>Users, access and approvals</t>
        </is>
      </c>
      <c r="E54" s="19" t="inlineStr">
        <is>
          <t>BRD-00</t>
        </is>
      </c>
      <c r="F54" s="19" t="inlineStr">
        <is>
          <t>Programme</t>
        </is>
      </c>
      <c r="G54" s="19" t="inlineStr">
        <is>
          <t>Owners of the modules; Head, Comptrollership for the amounts</t>
        </is>
      </c>
      <c r="H54" s="19" t="inlineStr">
        <is>
          <t>Configuration screen upload</t>
        </is>
      </c>
      <c r="I54" s="19" t="inlineStr">
        <is>
          <t>Client &amp; Policy › Submitted Policies › Submitted Policies Setup or Client &amp; Policy › Employee Benefits › EB Setup</t>
        </is>
      </c>
      <c r="J54" s="19" t="inlineStr">
        <is>
          <t>UA-02, UA-01</t>
        </is>
      </c>
      <c r="K54" s="19" t="inlineStr">
        <is>
          <t>16-Jul-2027 – Values for UAT</t>
        </is>
      </c>
      <c r="L54" s="20">
        <f>'D0-15 Approval limits'!$C$11</f>
        <v/>
      </c>
      <c r="M54" s="20">
        <f>'D0-15 Approval limits'!$E$11</f>
        <v/>
      </c>
      <c r="N54" s="19" t="inlineStr">
        <is>
          <t>Not started</t>
        </is>
      </c>
      <c r="O54" s="21" t="inlineStr">
        <is>
          <t>D0-15 →</t>
        </is>
      </c>
    </row>
    <row r="55" ht="43" customHeight="1">
      <c r="A55" s="12" t="n">
        <v>33</v>
      </c>
      <c r="B55" s="13" t="inlineStr">
        <is>
          <t>R07</t>
        </is>
      </c>
      <c r="C55" s="14" t="inlineStr">
        <is>
          <t>Commission rates by insurer and product</t>
        </is>
      </c>
      <c r="D55" s="14" t="inlineStr">
        <is>
          <t>Insurers, partners, intermediaries and payees</t>
        </is>
      </c>
      <c r="E55" s="14" t="inlineStr">
        <is>
          <t>BRD-03</t>
        </is>
      </c>
      <c r="F55" s="14" t="inlineStr">
        <is>
          <t>Drop 0</t>
        </is>
      </c>
      <c r="G55" s="14" t="inlineStr">
        <is>
          <t>Operations data steward (to name); approved by Head, Operations; extracted by BDOI IT</t>
        </is>
      </c>
      <c r="H55" s="14" t="inlineStr">
        <is>
          <t>Migration Console</t>
        </is>
      </c>
      <c r="I55" s="14" t="inlineStr">
        <is>
          <t>Data Migration › Data Migration › Extracts and Batches</t>
        </is>
      </c>
      <c r="J55" s="14" t="inlineStr">
        <is>
          <t>R04, R05</t>
        </is>
      </c>
      <c r="K55" s="14" t="inlineStr">
        <is>
          <t>M3 (29 Jan 2027)</t>
        </is>
      </c>
      <c r="L55" s="15">
        <f>'R07 Commission rates by insurer'!$C$9</f>
        <v/>
      </c>
      <c r="M55" s="15">
        <f>'R07 Commission rates by insurer'!$E$9</f>
        <v/>
      </c>
      <c r="N55" s="14" t="inlineStr">
        <is>
          <t>Not started</t>
        </is>
      </c>
      <c r="O55" s="16" t="inlineStr">
        <is>
          <t>R07 →</t>
        </is>
      </c>
    </row>
    <row r="56" ht="56" customHeight="1">
      <c r="A56" s="17" t="n">
        <v>34</v>
      </c>
      <c r="B56" s="18" t="inlineStr">
        <is>
          <t>TX-02</t>
        </is>
      </c>
      <c r="C56" s="19" t="inlineStr">
        <is>
          <t>Tax forms and filing calendar</t>
        </is>
      </c>
      <c r="D56" s="19" t="inlineStr">
        <is>
          <t>Chart of accounts, tax and accounting</t>
        </is>
      </c>
      <c r="E56" s="19" t="inlineStr">
        <is>
          <t>BRD-05</t>
        </is>
      </c>
      <c r="F56" s="19" t="inlineStr">
        <is>
          <t>Drop 1</t>
        </is>
      </c>
      <c r="G56" s="19" t="inlineStr">
        <is>
          <t>Head, Comptrollership (Tax)</t>
        </is>
      </c>
      <c r="H56" s="19" t="inlineStr">
        <is>
          <t>Configuration screen – no upload: BDOI fills in this template and the rows are keyed on the screen, each record authorised by a second user</t>
        </is>
      </c>
      <c r="I56" s="19" t="inlineStr">
        <is>
          <t>Finance › Tax &amp; Statutory › Tax Codes &amp; Forms</t>
        </is>
      </c>
      <c r="J56" s="19" t="inlineStr">
        <is>
          <t>D0-06</t>
        </is>
      </c>
      <c r="K56" s="19" t="inlineStr">
        <is>
          <t>16-Jul-2027 – Values for UAT</t>
        </is>
      </c>
      <c r="L56" s="20">
        <f>'TX-02 Tax forms'!$C$9</f>
        <v/>
      </c>
      <c r="M56" s="20">
        <f>'TX-02 Tax forms'!$E$9</f>
        <v/>
      </c>
      <c r="N56" s="19" t="inlineStr">
        <is>
          <t>Not started</t>
        </is>
      </c>
      <c r="O56" s="21" t="inlineStr">
        <is>
          <t>TX-02 →</t>
        </is>
      </c>
    </row>
    <row r="57" ht="56" customHeight="1">
      <c r="A57" s="12" t="n">
        <v>35</v>
      </c>
      <c r="B57" s="13" t="inlineStr">
        <is>
          <t>UA-03</t>
        </is>
      </c>
      <c r="C57" s="14" t="inlineStr">
        <is>
          <t>Approvers, approval rules and limits</t>
        </is>
      </c>
      <c r="D57" s="14" t="inlineStr">
        <is>
          <t>Users, access and approvals</t>
        </is>
      </c>
      <c r="E57" s="14" t="inlineStr">
        <is>
          <t>BRD-11</t>
        </is>
      </c>
      <c r="F57" s="14" t="inlineStr">
        <is>
          <t>Drop 0</t>
        </is>
      </c>
      <c r="G57" s="14" t="inlineStr">
        <is>
          <t>Business Administration; BDOI Information Security for the second approval; Comptrollership for the authorisation limits</t>
        </is>
      </c>
      <c r="H57" s="14" t="inlineStr">
        <is>
          <t>Configuration screen upload</t>
        </is>
      </c>
      <c r="I57" s="14" t="inlineStr">
        <is>
          <t>Setup &amp; Administration › Administration › Users</t>
        </is>
      </c>
      <c r="J57" s="14" t="inlineStr">
        <is>
          <t>UA-01</t>
        </is>
      </c>
      <c r="K57" s="14" t="inlineStr">
        <is>
          <t>16-Jul-2027 – Values for UAT</t>
        </is>
      </c>
      <c r="L57" s="15">
        <f>'UA-03 Approval rules'!$C$9</f>
        <v/>
      </c>
      <c r="M57" s="15">
        <f>'UA-03 Approval rules'!$E$9</f>
        <v/>
      </c>
      <c r="N57" s="14" t="inlineStr">
        <is>
          <t>Not started</t>
        </is>
      </c>
      <c r="O57" s="16" t="inlineStr">
        <is>
          <t>UA-03 →</t>
        </is>
      </c>
    </row>
    <row r="58" ht="56" customHeight="1">
      <c r="A58" s="17" t="n">
        <v>36</v>
      </c>
      <c r="B58" s="18" t="inlineStr">
        <is>
          <t>PM-02</t>
        </is>
      </c>
      <c r="C58" s="19" t="inlineStr">
        <is>
          <t>Coverages, perils and field rules</t>
        </is>
      </c>
      <c r="D58" s="19" t="inlineStr">
        <is>
          <t>Products, packages and rates</t>
        </is>
      </c>
      <c r="E58" s="19" t="inlineStr">
        <is>
          <t>BRD-03</t>
        </is>
      </c>
      <c r="F58" s="19" t="inlineStr">
        <is>
          <t>Drop 0</t>
        </is>
      </c>
      <c r="G58" s="19" t="inlineStr">
        <is>
          <t>MBS</t>
        </is>
      </c>
      <c r="H58" s="19" t="inlineStr">
        <is>
          <t>Configuration screen upload</t>
        </is>
      </c>
      <c r="I58" s="19" t="inlineStr">
        <is>
          <t>Client &amp; Policy › Product Maintenance › Coverages &amp; Clauses or Client &amp; Policy › Product Maintenance › Products</t>
        </is>
      </c>
      <c r="J58" s="19" t="inlineStr">
        <is>
          <t>PM-09, PM-01</t>
        </is>
      </c>
      <c r="K58" s="19" t="inlineStr">
        <is>
          <t>16-Jul-2027 – Values for UAT</t>
        </is>
      </c>
      <c r="L58" s="20">
        <f>'PM-02 Coverages and rules'!$C$9</f>
        <v/>
      </c>
      <c r="M58" s="20">
        <f>'PM-02 Coverages and rules'!$E$9</f>
        <v/>
      </c>
      <c r="N58" s="19" t="inlineStr">
        <is>
          <t>Not started</t>
        </is>
      </c>
      <c r="O58" s="21" t="inlineStr">
        <is>
          <t>PM-02 →</t>
        </is>
      </c>
    </row>
    <row r="59" ht="30" customHeight="1">
      <c r="A59" s="12" t="n">
        <v>37</v>
      </c>
      <c r="B59" s="13" t="inlineStr">
        <is>
          <t>PM-03</t>
        </is>
      </c>
      <c r="C59" s="14" t="inlineStr">
        <is>
          <t>Clause library</t>
        </is>
      </c>
      <c r="D59" s="14" t="inlineStr">
        <is>
          <t>Products, packages and rates</t>
        </is>
      </c>
      <c r="E59" s="14" t="inlineStr">
        <is>
          <t>BRD-03</t>
        </is>
      </c>
      <c r="F59" s="14" t="inlineStr">
        <is>
          <t>Drop 0</t>
        </is>
      </c>
      <c r="G59" s="14" t="inlineStr">
        <is>
          <t>TSU (wordings); MBS (maintenance)</t>
        </is>
      </c>
      <c r="H59" s="14" t="inlineStr">
        <is>
          <t>Configuration screen upload</t>
        </is>
      </c>
      <c r="I59" s="14" t="inlineStr">
        <is>
          <t>Client &amp; Policy › Product Maintenance › Coverages &amp; Clauses</t>
        </is>
      </c>
      <c r="J59" s="14" t="inlineStr">
        <is>
          <t>PM-09, PM-01</t>
        </is>
      </c>
      <c r="K59" s="14" t="inlineStr">
        <is>
          <t>16-Jul-2027 – Values for UAT</t>
        </is>
      </c>
      <c r="L59" s="15">
        <f>'PM-03 Clause library'!$C$9</f>
        <v/>
      </c>
      <c r="M59" s="15">
        <f>'PM-03 Clause library'!$E$9</f>
        <v/>
      </c>
      <c r="N59" s="14" t="inlineStr">
        <is>
          <t>Not started</t>
        </is>
      </c>
      <c r="O59" s="16" t="inlineStr">
        <is>
          <t>PM-03 →</t>
        </is>
      </c>
    </row>
    <row r="60" ht="69" customHeight="1">
      <c r="A60" s="17" t="n">
        <v>38</v>
      </c>
      <c r="B60" s="18" t="inlineStr">
        <is>
          <t>C02</t>
        </is>
      </c>
      <c r="C60" s="19" t="inlineStr">
        <is>
          <t>Client addresses and contacts</t>
        </is>
      </c>
      <c r="D60" s="19" t="inlineStr">
        <is>
          <t>Clients and KYC</t>
        </is>
      </c>
      <c r="E60" s="19" t="inlineStr">
        <is>
          <t>BRD-01</t>
        </is>
      </c>
      <c r="F60" s="19" t="inlineStr">
        <is>
          <t>Drop 1</t>
        </is>
      </c>
      <c r="G60" s="19" t="inlineStr">
        <is>
          <t>Marketing data steward (to name); approved by Product Owner, MBS; Heads, Retail and Corporate Marketing; extracted by BDOI IT</t>
        </is>
      </c>
      <c r="H60" s="19" t="inlineStr">
        <is>
          <t>Migration Console</t>
        </is>
      </c>
      <c r="I60" s="19" t="inlineStr">
        <is>
          <t>Data Migration › Data Migration › Extracts and Batches</t>
        </is>
      </c>
      <c r="J60" s="19" t="inlineStr">
        <is>
          <t>C01</t>
        </is>
      </c>
      <c r="K60" s="19" t="inlineStr">
        <is>
          <t>M3 (29 Jan 2027); deltas daily from T-14 days</t>
        </is>
      </c>
      <c r="L60" s="20">
        <f>'C02 Client addresses and contac'!$C$9</f>
        <v/>
      </c>
      <c r="M60" s="20">
        <f>'C02 Client addresses and contac'!$E$9</f>
        <v/>
      </c>
      <c r="N60" s="19" t="inlineStr">
        <is>
          <t>Not started</t>
        </is>
      </c>
      <c r="O60" s="21" t="inlineStr">
        <is>
          <t>C02 →</t>
        </is>
      </c>
    </row>
    <row r="61" ht="56" customHeight="1">
      <c r="A61" s="12" t="n">
        <v>39</v>
      </c>
      <c r="B61" s="13" t="inlineStr">
        <is>
          <t>C03</t>
        </is>
      </c>
      <c r="C61" s="14" t="inlineStr">
        <is>
          <t>Client payout accounts</t>
        </is>
      </c>
      <c r="D61" s="14" t="inlineStr">
        <is>
          <t>Clients and KYC</t>
        </is>
      </c>
      <c r="E61" s="14" t="inlineStr">
        <is>
          <t>BRD-05</t>
        </is>
      </c>
      <c r="F61" s="14" t="inlineStr">
        <is>
          <t>Drop 1</t>
        </is>
      </c>
      <c r="G61" s="14" t="inlineStr">
        <is>
          <t>Disbursement data steward (to name); approved by Product Owner, Comptrollership - Disbursement; extracted by BDOI IT</t>
        </is>
      </c>
      <c r="H61" s="14" t="inlineStr">
        <is>
          <t>Migration Console</t>
        </is>
      </c>
      <c r="I61" s="14" t="inlineStr">
        <is>
          <t>Data Migration › Data Migration › Extracts and Batches</t>
        </is>
      </c>
      <c r="J61" s="14" t="inlineStr">
        <is>
          <t>C01</t>
        </is>
      </c>
      <c r="K61" s="14" t="inlineStr">
        <is>
          <t>M3 (29 Jan 2027)</t>
        </is>
      </c>
      <c r="L61" s="15">
        <f>'C03 Client payout accounts'!$C$9</f>
        <v/>
      </c>
      <c r="M61" s="15">
        <f>'C03 Client payout accounts'!$E$9</f>
        <v/>
      </c>
      <c r="N61" s="14" t="inlineStr">
        <is>
          <t>Not started</t>
        </is>
      </c>
      <c r="O61" s="16" t="inlineStr">
        <is>
          <t>C03 →</t>
        </is>
      </c>
    </row>
    <row r="62" ht="43" customHeight="1">
      <c r="A62" s="17" t="n">
        <v>40</v>
      </c>
      <c r="B62" s="18" t="inlineStr">
        <is>
          <t>D0-12</t>
        </is>
      </c>
      <c r="C62" s="19" t="inlineStr">
        <is>
          <t>Check books</t>
        </is>
      </c>
      <c r="D62" s="19" t="inlineStr">
        <is>
          <t>Banks, bank accounts and cheque books</t>
        </is>
      </c>
      <c r="E62" s="19" t="inlineStr">
        <is>
          <t>BRD-05</t>
        </is>
      </c>
      <c r="F62" s="19" t="inlineStr">
        <is>
          <t>Drop 1</t>
        </is>
      </c>
      <c r="G62" s="19" t="inlineStr">
        <is>
          <t>Treasury; Product Owner, Comptrollership - Disbursement</t>
        </is>
      </c>
      <c r="H62" s="19" t="inlineStr">
        <is>
          <t>Configuration screen upload</t>
        </is>
      </c>
      <c r="I62" s="19" t="inlineStr">
        <is>
          <t>Finance › Disbursement › Bank Accounts and Checks</t>
        </is>
      </c>
      <c r="J62" s="19" t="inlineStr">
        <is>
          <t>D0-11</t>
        </is>
      </c>
      <c r="K62" s="19" t="inlineStr">
        <is>
          <t>1-Nov-2027 – Production values before the dress rehearsal</t>
        </is>
      </c>
      <c r="L62" s="20">
        <f>'D0-12 Check books'!$C$9</f>
        <v/>
      </c>
      <c r="M62" s="20">
        <f>'D0-12 Check books'!$E$9</f>
        <v/>
      </c>
      <c r="N62" s="19" t="inlineStr">
        <is>
          <t>Not started</t>
        </is>
      </c>
      <c r="O62" s="21" t="inlineStr">
        <is>
          <t>D0-12 →</t>
        </is>
      </c>
    </row>
    <row r="63" ht="43" customHeight="1">
      <c r="A63" s="12" t="n">
        <v>41</v>
      </c>
      <c r="B63" s="13" t="inlineStr">
        <is>
          <t>D0-13</t>
        </is>
      </c>
      <c r="C63" s="14" t="inlineStr">
        <is>
          <t>Petty cash funds</t>
        </is>
      </c>
      <c r="D63" s="14" t="inlineStr">
        <is>
          <t>Banks, bank accounts and cheque books</t>
        </is>
      </c>
      <c r="E63" s="14" t="inlineStr">
        <is>
          <t>BRD-05</t>
        </is>
      </c>
      <c r="F63" s="14" t="inlineStr">
        <is>
          <t>Drop 1</t>
        </is>
      </c>
      <c r="G63" s="14" t="inlineStr">
        <is>
          <t>Head, Comptrollership</t>
        </is>
      </c>
      <c r="H63" s="14" t="inlineStr">
        <is>
          <t>Configuration screen upload</t>
        </is>
      </c>
      <c r="I63" s="14" t="inlineStr">
        <is>
          <t>Finance › Payables &amp; Cash › Petty Cash</t>
        </is>
      </c>
      <c r="J63" s="14" t="inlineStr">
        <is>
          <t>D0-02, D0-05, D0-06, D0-11</t>
        </is>
      </c>
      <c r="K63" s="14" t="inlineStr">
        <is>
          <t>1-Nov-2027 – Production values before the dress rehearsal</t>
        </is>
      </c>
      <c r="L63" s="15">
        <f>'D0-13 Petty cash funds'!$C$9</f>
        <v/>
      </c>
      <c r="M63" s="15">
        <f>'D0-13 Petty cash funds'!$E$9</f>
        <v/>
      </c>
      <c r="N63" s="14" t="inlineStr">
        <is>
          <t>Not started</t>
        </is>
      </c>
      <c r="O63" s="16" t="inlineStr">
        <is>
          <t>D0-13 →</t>
        </is>
      </c>
    </row>
    <row r="64" ht="30" customHeight="1">
      <c r="A64" s="17" t="n">
        <v>42</v>
      </c>
      <c r="B64" s="18" t="inlineStr">
        <is>
          <t>D0-14</t>
        </is>
      </c>
      <c r="C64" s="19" t="inlineStr">
        <is>
          <t>Bank statement layouts</t>
        </is>
      </c>
      <c r="D64" s="19" t="inlineStr">
        <is>
          <t>Banks, bank accounts and cheque books</t>
        </is>
      </c>
      <c r="E64" s="19" t="inlineStr">
        <is>
          <t>BRD-05</t>
        </is>
      </c>
      <c r="F64" s="19" t="inlineStr">
        <is>
          <t>Drop 1</t>
        </is>
      </c>
      <c r="G64" s="19" t="inlineStr">
        <is>
          <t>Head, Comptrollership; Treasury</t>
        </is>
      </c>
      <c r="H64" s="19" t="inlineStr">
        <is>
          <t>Configuration screen upload</t>
        </is>
      </c>
      <c r="I64" s="19" t="inlineStr">
        <is>
          <t>Setup &amp; Administration › Setup › Bank Statement Layouts</t>
        </is>
      </c>
      <c r="J64" s="19" t="inlineStr">
        <is>
          <t>D0-11</t>
        </is>
      </c>
      <c r="K64" s="19" t="inlineStr">
        <is>
          <t>16-Jul-2027 – Values for UAT</t>
        </is>
      </c>
      <c r="L64" s="20">
        <f>'D0-14 Statement layouts'!$C$9</f>
        <v/>
      </c>
      <c r="M64" s="20">
        <f>'D0-14 Statement layouts'!$E$9</f>
        <v/>
      </c>
      <c r="N64" s="19" t="inlineStr">
        <is>
          <t>Not started</t>
        </is>
      </c>
      <c r="O64" s="21" t="inlineStr">
        <is>
          <t>D0-14 →</t>
        </is>
      </c>
    </row>
    <row r="65" ht="56" customHeight="1">
      <c r="A65" s="12" t="n">
        <v>43</v>
      </c>
      <c r="B65" s="13" t="inlineStr">
        <is>
          <t>G01</t>
        </is>
      </c>
      <c r="C65" s="14" t="inlineStr">
        <is>
          <t>GL opening trial balance</t>
        </is>
      </c>
      <c r="D65" s="14" t="inlineStr">
        <is>
          <t>Chart of accounts, tax and accounting</t>
        </is>
      </c>
      <c r="E65" s="14" t="inlineStr">
        <is>
          <t>BRD-05</t>
        </is>
      </c>
      <c r="F65" s="14" t="inlineStr">
        <is>
          <t>Drop 1</t>
        </is>
      </c>
      <c r="G65" s="14" t="inlineStr">
        <is>
          <t>Comptrollership data steward (to name); approved by Head, Comptrollership; extracted by BDOI IT</t>
        </is>
      </c>
      <c r="H65" s="14" t="inlineStr">
        <is>
          <t>Migration Console</t>
        </is>
      </c>
      <c r="I65" s="14" t="inlineStr">
        <is>
          <t>Data Migration › Data Migration › Extracts and Batches</t>
        </is>
      </c>
      <c r="J65" s="14" t="inlineStr">
        <is>
          <t>R08, D0-02</t>
        </is>
      </c>
      <c r="K65" s="14" t="inlineStr">
        <is>
          <t>M3 (29 Jan 2027); final at T-2; at each true-up</t>
        </is>
      </c>
      <c r="L65" s="15">
        <f>'G01 GL opening trial balance'!$C$9</f>
        <v/>
      </c>
      <c r="M65" s="15">
        <f>'G01 GL opening trial balance'!$E$9</f>
        <v/>
      </c>
      <c r="N65" s="14" t="inlineStr">
        <is>
          <t>Not started</t>
        </is>
      </c>
      <c r="O65" s="16" t="inlineStr">
        <is>
          <t>G01 →</t>
        </is>
      </c>
    </row>
    <row r="66" ht="30" customHeight="1">
      <c r="A66" s="17" t="n">
        <v>44</v>
      </c>
      <c r="B66" s="18" t="inlineStr">
        <is>
          <t>PM-04</t>
        </is>
      </c>
      <c r="C66" s="19" t="inlineStr">
        <is>
          <t>Rate tables</t>
        </is>
      </c>
      <c r="D66" s="19" t="inlineStr">
        <is>
          <t>Products, packages and rates</t>
        </is>
      </c>
      <c r="E66" s="19" t="inlineStr">
        <is>
          <t>BRD-03</t>
        </is>
      </c>
      <c r="F66" s="19" t="inlineStr">
        <is>
          <t>Drop 0</t>
        </is>
      </c>
      <c r="G66" s="19" t="inlineStr">
        <is>
          <t>Product Owner, MBS; Comptrollership (taxes)</t>
        </is>
      </c>
      <c r="H66" s="19" t="inlineStr">
        <is>
          <t>Configuration screen upload</t>
        </is>
      </c>
      <c r="I66" s="19" t="inlineStr">
        <is>
          <t>Client &amp; Policy › Product Maintenance › Rates &amp; Taxes</t>
        </is>
      </c>
      <c r="J66" s="19" t="inlineStr">
        <is>
          <t>PM-01</t>
        </is>
      </c>
      <c r="K66" s="19" t="inlineStr">
        <is>
          <t>16-Jul-2027 – Values for UAT</t>
        </is>
      </c>
      <c r="L66" s="20">
        <f>'PM-04 Rate tables'!$C$12</f>
        <v/>
      </c>
      <c r="M66" s="20">
        <f>'PM-04 Rate tables'!$E$12</f>
        <v/>
      </c>
      <c r="N66" s="19" t="inlineStr">
        <is>
          <t>Not started</t>
        </is>
      </c>
      <c r="O66" s="21" t="inlineStr">
        <is>
          <t>PM-04 →</t>
        </is>
      </c>
    </row>
    <row r="67" ht="43" customHeight="1">
      <c r="A67" s="12" t="n">
        <v>45</v>
      </c>
      <c r="B67" s="13" t="inlineStr">
        <is>
          <t>PM-04C</t>
        </is>
      </c>
      <c r="C67" s="14" t="inlineStr">
        <is>
          <t>Other charges billed with the premium</t>
        </is>
      </c>
      <c r="D67" s="14" t="inlineStr">
        <is>
          <t>Products, packages and rates</t>
        </is>
      </c>
      <c r="E67" s="14" t="inlineStr">
        <is>
          <t>BRD-03</t>
        </is>
      </c>
      <c r="F67" s="14" t="inlineStr">
        <is>
          <t>Drop 0</t>
        </is>
      </c>
      <c r="G67" s="14" t="inlineStr">
        <is>
          <t>Product Owner, MBS; Head, Comptrollership (charges and accounts)</t>
        </is>
      </c>
      <c r="H67" s="14" t="inlineStr">
        <is>
          <t>Configuration screen upload</t>
        </is>
      </c>
      <c r="I67" s="14" t="inlineStr">
        <is>
          <t>Client &amp; Policy › Product Maintenance › Rates &amp; Taxes</t>
        </is>
      </c>
      <c r="J67" s="14" t="inlineStr">
        <is>
          <t>PM-01, D0-06</t>
        </is>
      </c>
      <c r="K67" s="14" t="inlineStr">
        <is>
          <t>16-Jul-2027 – Values for UAT</t>
        </is>
      </c>
      <c r="L67" s="15">
        <f>'PM-04C Other charges'!$C$10</f>
        <v/>
      </c>
      <c r="M67" s="15">
        <f>'PM-04C Other charges'!$E$10</f>
        <v/>
      </c>
      <c r="N67" s="14" t="inlineStr">
        <is>
          <t>Not started</t>
        </is>
      </c>
      <c r="O67" s="16" t="inlineStr">
        <is>
          <t>PM-04C →</t>
        </is>
      </c>
    </row>
    <row r="68" ht="43" customHeight="1">
      <c r="A68" s="17" t="n">
        <v>46</v>
      </c>
      <c r="B68" s="18" t="inlineStr">
        <is>
          <t>PM-10</t>
        </is>
      </c>
      <c r="C68" s="19" t="inlineStr">
        <is>
          <t>Incentive criteria</t>
        </is>
      </c>
      <c r="D68" s="19" t="inlineStr">
        <is>
          <t>Products, packages and rates</t>
        </is>
      </c>
      <c r="E68" s="19" t="inlineStr">
        <is>
          <t>BRD-03</t>
        </is>
      </c>
      <c r="F68" s="19" t="inlineStr">
        <is>
          <t>Drop 0</t>
        </is>
      </c>
      <c r="G68" s="19" t="inlineStr">
        <is>
          <t>Incentive Maintenance user (MBS); Comptrollership (CPC2 definition, PQ04)</t>
        </is>
      </c>
      <c r="H68" s="19" t="inlineStr">
        <is>
          <t>Configuration screen upload</t>
        </is>
      </c>
      <c r="I68" s="19" t="inlineStr">
        <is>
          <t>Client &amp; Policy › Product Maintenance › Incentive Criteria</t>
        </is>
      </c>
      <c r="J68" s="19" t="inlineStr">
        <is>
          <t>PM-09, PM-01</t>
        </is>
      </c>
      <c r="K68" s="19" t="inlineStr">
        <is>
          <t>16-Jul-2027 – Values for UAT</t>
        </is>
      </c>
      <c r="L68" s="20">
        <f>'PM-10 Incentive criteria'!$C$9</f>
        <v/>
      </c>
      <c r="M68" s="20">
        <f>'PM-10 Incentive criteria'!$E$9</f>
        <v/>
      </c>
      <c r="N68" s="19" t="inlineStr">
        <is>
          <t>Not started</t>
        </is>
      </c>
      <c r="O68" s="21" t="inlineStr">
        <is>
          <t>PM-10 →</t>
        </is>
      </c>
    </row>
    <row r="69" ht="56" customHeight="1">
      <c r="A69" s="12" t="n">
        <v>47</v>
      </c>
      <c r="B69" s="13" t="inlineStr">
        <is>
          <t>TX-01</t>
        </is>
      </c>
      <c r="C69" s="14" t="inlineStr">
        <is>
          <t>Party tax profiles (clients, insurers, payees)</t>
        </is>
      </c>
      <c r="D69" s="14" t="inlineStr">
        <is>
          <t>Chart of accounts, tax and accounting</t>
        </is>
      </c>
      <c r="E69" s="14" t="inlineStr">
        <is>
          <t>BRD-05</t>
        </is>
      </c>
      <c r="F69" s="14" t="inlineStr">
        <is>
          <t>Drop 1</t>
        </is>
      </c>
      <c r="G69" s="14" t="inlineStr">
        <is>
          <t>Head, Comptrollership (Tax)</t>
        </is>
      </c>
      <c r="H69" s="14" t="inlineStr">
        <is>
          <t>Configuration screen – no upload: BDOI fills in this template and the rows are keyed on the screen, each record authorised by a second user</t>
        </is>
      </c>
      <c r="I69" s="14" t="inlineStr">
        <is>
          <t>Finance › Tax &amp; Statutory › Party Tax Profiles</t>
        </is>
      </c>
      <c r="J69" s="14" t="inlineStr">
        <is>
          <t>D0-10, R04, C01, MD-01, UP-02</t>
        </is>
      </c>
      <c r="K69" s="14" t="inlineStr">
        <is>
          <t>16-Jul-2027 – Values for UAT</t>
        </is>
      </c>
      <c r="L69" s="15">
        <f>'TX-01 Party tax profiles'!$C$10</f>
        <v/>
      </c>
      <c r="M69" s="15">
        <f>'TX-01 Party tax profiles'!$E$10</f>
        <v/>
      </c>
      <c r="N69" s="14" t="inlineStr">
        <is>
          <t>Not started</t>
        </is>
      </c>
      <c r="O69" s="16" t="inlineStr">
        <is>
          <t>TX-01 →</t>
        </is>
      </c>
    </row>
    <row r="70" ht="43" customHeight="1">
      <c r="A70" s="17" t="n">
        <v>48</v>
      </c>
      <c r="B70" s="18" t="inlineStr">
        <is>
          <t>PM-06</t>
        </is>
      </c>
      <c r="C70" s="19" t="inlineStr">
        <is>
          <t>Packages in force at go-live</t>
        </is>
      </c>
      <c r="D70" s="19" t="inlineStr">
        <is>
          <t>Products, packages and rates</t>
        </is>
      </c>
      <c r="E70" s="19" t="inlineStr">
        <is>
          <t>BRD-03</t>
        </is>
      </c>
      <c r="F70" s="19" t="inlineStr">
        <is>
          <t>Drop 0</t>
        </is>
      </c>
      <c r="G70" s="19" t="inlineStr">
        <is>
          <t>TSU (prepares); Product Owner, MBS (approves)</t>
        </is>
      </c>
      <c r="H70" s="19" t="inlineStr">
        <is>
          <t>Configuration screen upload</t>
        </is>
      </c>
      <c r="I70" s="19" t="inlineStr">
        <is>
          <t>Client &amp; Policy › Product Maintenance › Products</t>
        </is>
      </c>
      <c r="J70" s="19" t="inlineStr">
        <is>
          <t>PM-01, PM-02, R04, PM-03</t>
        </is>
      </c>
      <c r="K70" s="19" t="inlineStr">
        <is>
          <t>1-Nov-2027 – Production values before the dress rehearsal</t>
        </is>
      </c>
      <c r="L70" s="20">
        <f>'PM-06 Packages'!$C$9</f>
        <v/>
      </c>
      <c r="M70" s="20">
        <f>'PM-06 Packages'!$E$9</f>
        <v/>
      </c>
      <c r="N70" s="19" t="inlineStr">
        <is>
          <t>Not started</t>
        </is>
      </c>
      <c r="O70" s="21" t="inlineStr">
        <is>
          <t>PM-06 →</t>
        </is>
      </c>
    </row>
    <row r="71" ht="56" customHeight="1">
      <c r="A71" s="12" t="n">
        <v>49</v>
      </c>
      <c r="B71" s="13" t="inlineStr">
        <is>
          <t>R06</t>
        </is>
      </c>
      <c r="C71" s="14" t="inlineStr">
        <is>
          <t>Package code map (legacy package to BIBS package version)</t>
        </is>
      </c>
      <c r="D71" s="14" t="inlineStr">
        <is>
          <t>Products, packages and rates</t>
        </is>
      </c>
      <c r="E71" s="14" t="inlineStr">
        <is>
          <t>BRD-03</t>
        </is>
      </c>
      <c r="F71" s="14" t="inlineStr">
        <is>
          <t>Drop 0</t>
        </is>
      </c>
      <c r="G71" s="14" t="inlineStr">
        <is>
          <t>TSU (to name); approved by Product Owner, MBS (approves); TSU (prepares); extracted by BDOI IT</t>
        </is>
      </c>
      <c r="H71" s="14" t="inlineStr">
        <is>
          <t>Migration Console</t>
        </is>
      </c>
      <c r="I71" s="14" t="inlineStr">
        <is>
          <t>Data Migration › Data Migration › Extracts and Batches</t>
        </is>
      </c>
      <c r="J71" s="14" t="inlineStr">
        <is>
          <t>R05, PM-06</t>
        </is>
      </c>
      <c r="K71" s="14" t="inlineStr">
        <is>
          <t>M5 (18 Jun 2027); final at T-7</t>
        </is>
      </c>
      <c r="L71" s="15">
        <f>'R06 Package code map (legacy pa'!$C$9</f>
        <v/>
      </c>
      <c r="M71" s="15">
        <f>'R06 Package code map (legacy pa'!$E$9</f>
        <v/>
      </c>
      <c r="N71" s="14" t="inlineStr">
        <is>
          <t>Not started</t>
        </is>
      </c>
      <c r="O71" s="16" t="inlineStr">
        <is>
          <t>R06 →</t>
        </is>
      </c>
    </row>
    <row r="72" ht="30" customHeight="1">
      <c r="A72" s="17" t="n">
        <v>50</v>
      </c>
      <c r="B72" s="18" t="inlineStr">
        <is>
          <t>PM-08</t>
        </is>
      </c>
      <c r="C72" s="19" t="inlineStr">
        <is>
          <t>Document templates</t>
        </is>
      </c>
      <c r="D72" s="19" t="inlineStr">
        <is>
          <t>Products, packages and rates</t>
        </is>
      </c>
      <c r="E72" s="19" t="inlineStr">
        <is>
          <t>BRD-03</t>
        </is>
      </c>
      <c r="F72" s="19" t="inlineStr">
        <is>
          <t>Drop 0</t>
        </is>
      </c>
      <c r="G72" s="19" t="inlineStr">
        <is>
          <t>TSU and MBS (texts); Business Administrator (maintenance)</t>
        </is>
      </c>
      <c r="H72" s="19" t="inlineStr">
        <is>
          <t>Configuration screen upload</t>
        </is>
      </c>
      <c r="I72" s="19" t="inlineStr">
        <is>
          <t>Setup &amp; Administration › Broking Setup › Document Templates</t>
        </is>
      </c>
      <c r="J72" s="19" t="inlineStr">
        <is>
          <t>-</t>
        </is>
      </c>
      <c r="K72" s="19" t="inlineStr">
        <is>
          <t>16-Jul-2027 – Values for UAT</t>
        </is>
      </c>
      <c r="L72" s="20">
        <f>'PM-08 Document templates'!$C$9</f>
        <v/>
      </c>
      <c r="M72" s="20">
        <f>'PM-08 Document templates'!$E$9</f>
        <v/>
      </c>
      <c r="N72" s="19" t="inlineStr">
        <is>
          <t>Not started</t>
        </is>
      </c>
      <c r="O72" s="21" t="inlineStr">
        <is>
          <t>PM-08 →</t>
        </is>
      </c>
    </row>
    <row r="73" ht="30" customHeight="1">
      <c r="A73" s="12" t="n">
        <v>51</v>
      </c>
      <c r="B73" s="13" t="inlineStr">
        <is>
          <t>UA-05</t>
        </is>
      </c>
      <c r="C73" s="14" t="inlineStr">
        <is>
          <t>Password, session and sign-in parameters</t>
        </is>
      </c>
      <c r="D73" s="14" t="inlineStr">
        <is>
          <t>Users, access and approvals</t>
        </is>
      </c>
      <c r="E73" s="14" t="inlineStr">
        <is>
          <t>BRD-11</t>
        </is>
      </c>
      <c r="F73" s="14" t="inlineStr">
        <is>
          <t>Drop 0</t>
        </is>
      </c>
      <c r="G73" s="14" t="inlineStr">
        <is>
          <t>BDOI Information Security; BDOI IT for the sign-in mode</t>
        </is>
      </c>
      <c r="H73" s="14" t="inlineStr">
        <is>
          <t>Configuration screen upload</t>
        </is>
      </c>
      <c r="I73" s="14" t="inlineStr">
        <is>
          <t>Setup &amp; Administration › Administration › System Parameters</t>
        </is>
      </c>
      <c r="J73" s="14" t="inlineStr">
        <is>
          <t>-</t>
        </is>
      </c>
      <c r="K73" s="14" t="inlineStr">
        <is>
          <t>16-Jul-2027 – Values for UAT</t>
        </is>
      </c>
      <c r="L73" s="15">
        <f>'UA-05 Parameters'!$C$9</f>
        <v/>
      </c>
      <c r="M73" s="15">
        <f>'UA-05 Parameters'!$E$9</f>
        <v/>
      </c>
      <c r="N73" s="14" t="inlineStr">
        <is>
          <t>Not started</t>
        </is>
      </c>
      <c r="O73" s="16" t="inlineStr">
        <is>
          <t>UA-05 →</t>
        </is>
      </c>
    </row>
    <row r="74" ht="30" customHeight="1">
      <c r="A74" s="17" t="n">
        <v>52</v>
      </c>
      <c r="B74" s="18" t="inlineStr">
        <is>
          <t>UP-03</t>
        </is>
      </c>
      <c r="C74" s="19" t="inlineStr">
        <is>
          <t>Watchlist entries (sanctions, PEP and internal lists)</t>
        </is>
      </c>
      <c r="D74" s="19" t="inlineStr">
        <is>
          <t>Compliance</t>
        </is>
      </c>
      <c r="E74" s="19" t="inlineStr">
        <is>
          <t>BRD-10</t>
        </is>
      </c>
      <c r="F74" s="19" t="inlineStr">
        <is>
          <t>Drop 1</t>
        </is>
      </c>
      <c r="G74" s="19" t="inlineStr">
        <is>
          <t>Compliance (Chief Compliance Officer)</t>
        </is>
      </c>
      <c r="H74" s="19" t="inlineStr">
        <is>
          <t>Screen upload</t>
        </is>
      </c>
      <c r="I74" s="19" t="inlineStr">
        <is>
          <t>Setup &amp; Administration › Compliance Setup › List Sources and Runs</t>
        </is>
      </c>
      <c r="J74" s="19" t="inlineStr">
        <is>
          <t>-</t>
        </is>
      </c>
      <c r="K74" s="19" t="inlineStr">
        <is>
          <t>16-Jul-2027 – Values for UAT</t>
        </is>
      </c>
      <c r="L74" s="20">
        <f>'UP-03 Watchlist entries (upload'!$C$9</f>
        <v/>
      </c>
      <c r="M74" s="20">
        <f>'UP-03 Watchlist entries (upload'!$E$9</f>
        <v/>
      </c>
      <c r="N74" s="19" t="inlineStr">
        <is>
          <t>Not started</t>
        </is>
      </c>
      <c r="O74" s="21" t="inlineStr">
        <is>
          <t>UP-03 →</t>
        </is>
      </c>
    </row>
    <row r="76">
      <c r="A76" s="8" t="inlineStr">
        <is>
          <t>Groups of datasets</t>
        </is>
      </c>
    </row>
    <row r="77">
      <c r="A77" s="22" t="inlineStr">
        <is>
          <t>Group</t>
        </is>
      </c>
      <c r="B77" s="23" t="n"/>
      <c r="C77" s="5" t="n"/>
      <c r="D77" s="22" t="inlineStr">
        <is>
          <t>Templates</t>
        </is>
      </c>
      <c r="E77" s="23" t="n"/>
      <c r="F77" s="23" t="n"/>
      <c r="G77" s="23" t="n"/>
      <c r="H77" s="23" t="n"/>
      <c r="I77" s="5" t="n"/>
      <c r="J77" s="22" t="inlineStr">
        <is>
          <t>Configuration screen upload</t>
        </is>
      </c>
      <c r="K77" s="5" t="n"/>
      <c r="L77" s="22" t="inlineStr">
        <is>
          <t>Screen upload</t>
        </is>
      </c>
      <c r="M77" s="5" t="n"/>
      <c r="N77" s="22" t="inlineStr">
        <is>
          <t>Migration Console</t>
        </is>
      </c>
      <c r="O77" s="22" t="inlineStr">
        <is>
          <t>Keyed on screen</t>
        </is>
      </c>
    </row>
    <row r="78">
      <c r="A78" s="14" t="inlineStr">
        <is>
          <t>Organisation</t>
        </is>
      </c>
      <c r="B78" s="23" t="n"/>
      <c r="C78" s="5" t="n"/>
      <c r="D78" s="14" t="inlineStr">
        <is>
          <t>D0-01, D0-02, R02, D0-03, D0-04, D0-05, R03</t>
        </is>
      </c>
      <c r="E78" s="23" t="n"/>
      <c r="F78" s="23" t="n"/>
      <c r="G78" s="23" t="n"/>
      <c r="H78" s="23" t="n"/>
      <c r="I78" s="5" t="n"/>
      <c r="J78" s="14" t="n">
        <v>5</v>
      </c>
      <c r="K78" s="5" t="n"/>
      <c r="L78" s="14" t="n">
        <v>0</v>
      </c>
      <c r="M78" s="5" t="n"/>
      <c r="N78" s="14" t="n">
        <v>2</v>
      </c>
      <c r="O78" s="14" t="n">
        <v>0</v>
      </c>
    </row>
    <row r="79">
      <c r="A79" s="14" t="inlineStr">
        <is>
          <t>Users, access and approvals</t>
        </is>
      </c>
      <c r="B79" s="23" t="n"/>
      <c r="C79" s="5" t="n"/>
      <c r="D79" s="14" t="inlineStr">
        <is>
          <t>UA-06, UA-02, UA-01, UA-03, UA-04, UA-05, D0-15</t>
        </is>
      </c>
      <c r="E79" s="23" t="n"/>
      <c r="F79" s="23" t="n"/>
      <c r="G79" s="23" t="n"/>
      <c r="H79" s="23" t="n"/>
      <c r="I79" s="5" t="n"/>
      <c r="J79" s="14" t="n">
        <v>6</v>
      </c>
      <c r="K79" s="5" t="n"/>
      <c r="L79" s="14" t="n">
        <v>1</v>
      </c>
      <c r="M79" s="5" t="n"/>
      <c r="N79" s="14" t="n">
        <v>0</v>
      </c>
      <c r="O79" s="14" t="n">
        <v>0</v>
      </c>
    </row>
    <row r="80">
      <c r="A80" s="14" t="inlineStr">
        <is>
          <t>Chart of accounts, tax and accounting</t>
        </is>
      </c>
      <c r="B80" s="23" t="n"/>
      <c r="C80" s="5" t="n"/>
      <c r="D80" s="14" t="inlineStr">
        <is>
          <t>D0-07, D0-06, R08, D0-09, D0-08, D0-10, TX-02, TX-01, MD-02, MD-03, G01</t>
        </is>
      </c>
      <c r="E80" s="23" t="n"/>
      <c r="F80" s="23" t="n"/>
      <c r="G80" s="23" t="n"/>
      <c r="H80" s="23" t="n"/>
      <c r="I80" s="5" t="n"/>
      <c r="J80" s="14" t="n">
        <v>4</v>
      </c>
      <c r="K80" s="5" t="n"/>
      <c r="L80" s="14" t="n">
        <v>1</v>
      </c>
      <c r="M80" s="5" t="n"/>
      <c r="N80" s="14" t="n">
        <v>2</v>
      </c>
      <c r="O80" s="14" t="n">
        <v>4</v>
      </c>
    </row>
    <row r="81">
      <c r="A81" s="14" t="inlineStr">
        <is>
          <t>Banks, bank accounts and cheque books</t>
        </is>
      </c>
      <c r="B81" s="23" t="n"/>
      <c r="C81" s="5" t="n"/>
      <c r="D81" s="14" t="inlineStr">
        <is>
          <t>D0-11, D0-12, D0-13, D0-14, R11</t>
        </is>
      </c>
      <c r="E81" s="23" t="n"/>
      <c r="F81" s="23" t="n"/>
      <c r="G81" s="23" t="n"/>
      <c r="H81" s="23" t="n"/>
      <c r="I81" s="5" t="n"/>
      <c r="J81" s="14" t="n">
        <v>4</v>
      </c>
      <c r="K81" s="5" t="n"/>
      <c r="L81" s="14" t="n">
        <v>0</v>
      </c>
      <c r="M81" s="5" t="n"/>
      <c r="N81" s="14" t="n">
        <v>1</v>
      </c>
      <c r="O81" s="14" t="n">
        <v>0</v>
      </c>
    </row>
    <row r="82">
      <c r="A82" s="14" t="inlineStr">
        <is>
          <t>Products, packages and rates</t>
        </is>
      </c>
      <c r="B82" s="23" t="n"/>
      <c r="C82" s="5" t="n"/>
      <c r="D82" s="14" t="inlineStr">
        <is>
          <t>PM-09, R05, PM-01, PM-02, PM-03, PM-04, PM-04C, PM-06, R06, PM-10, PM-08</t>
        </is>
      </c>
      <c r="E82" s="23" t="n"/>
      <c r="F82" s="23" t="n"/>
      <c r="G82" s="23" t="n"/>
      <c r="H82" s="23" t="n"/>
      <c r="I82" s="5" t="n"/>
      <c r="J82" s="14" t="n">
        <v>8</v>
      </c>
      <c r="K82" s="5" t="n"/>
      <c r="L82" s="14" t="n">
        <v>0</v>
      </c>
      <c r="M82" s="5" t="n"/>
      <c r="N82" s="14" t="n">
        <v>3</v>
      </c>
      <c r="O82" s="14" t="n">
        <v>0</v>
      </c>
    </row>
    <row r="83">
      <c r="A83" s="14" t="inlineStr">
        <is>
          <t>Insurers, partners, intermediaries and payees</t>
        </is>
      </c>
      <c r="B83" s="23" t="n"/>
      <c r="C83" s="5" t="n"/>
      <c r="D83" s="14" t="inlineStr">
        <is>
          <t>R04, R04B, R07, MD-01, UP-02</t>
        </is>
      </c>
      <c r="E83" s="23" t="n"/>
      <c r="F83" s="23" t="n"/>
      <c r="G83" s="23" t="n"/>
      <c r="H83" s="23" t="n"/>
      <c r="I83" s="5" t="n"/>
      <c r="J83" s="14" t="n">
        <v>1</v>
      </c>
      <c r="K83" s="5" t="n"/>
      <c r="L83" s="14" t="n">
        <v>1</v>
      </c>
      <c r="M83" s="5" t="n"/>
      <c r="N83" s="14" t="n">
        <v>3</v>
      </c>
      <c r="O83" s="14" t="n">
        <v>0</v>
      </c>
    </row>
    <row r="84">
      <c r="A84" s="14" t="inlineStr">
        <is>
          <t>Clients and KYC</t>
        </is>
      </c>
      <c r="B84" s="23" t="n"/>
      <c r="C84" s="5" t="n"/>
      <c r="D84" s="14" t="inlineStr">
        <is>
          <t>R01, C01, C02, C03, UP-01</t>
        </is>
      </c>
      <c r="E84" s="23" t="n"/>
      <c r="F84" s="23" t="n"/>
      <c r="G84" s="23" t="n"/>
      <c r="H84" s="23" t="n"/>
      <c r="I84" s="5" t="n"/>
      <c r="J84" s="14" t="n">
        <v>0</v>
      </c>
      <c r="K84" s="5" t="n"/>
      <c r="L84" s="14" t="n">
        <v>1</v>
      </c>
      <c r="M84" s="5" t="n"/>
      <c r="N84" s="14" t="n">
        <v>4</v>
      </c>
      <c r="O84" s="14" t="n">
        <v>0</v>
      </c>
    </row>
    <row r="85">
      <c r="A85" s="14" t="inlineStr">
        <is>
          <t>Compliance</t>
        </is>
      </c>
      <c r="B85" s="23" t="n"/>
      <c r="C85" s="5" t="n"/>
      <c r="D85" s="14" t="inlineStr">
        <is>
          <t>UP-03</t>
        </is>
      </c>
      <c r="E85" s="23" t="n"/>
      <c r="F85" s="23" t="n"/>
      <c r="G85" s="23" t="n"/>
      <c r="H85" s="23" t="n"/>
      <c r="I85" s="5" t="n"/>
      <c r="J85" s="14" t="n">
        <v>0</v>
      </c>
      <c r="K85" s="5" t="n"/>
      <c r="L85" s="14" t="n">
        <v>1</v>
      </c>
      <c r="M85" s="5" t="n"/>
      <c r="N85" s="14" t="n">
        <v>0</v>
      </c>
      <c r="O85" s="14" t="n">
        <v>0</v>
      </c>
    </row>
    <row r="87">
      <c r="A87" s="8" t="inlineStr">
        <is>
          <t>Due milestones</t>
        </is>
      </c>
    </row>
    <row r="88">
      <c r="A88" s="22" t="inlineStr">
        <is>
          <t>Due</t>
        </is>
      </c>
      <c r="B88" s="22" t="inlineStr">
        <is>
          <t>Milestone</t>
        </is>
      </c>
      <c r="C88" s="23" t="n"/>
      <c r="D88" s="23" t="n"/>
      <c r="E88" s="5" t="n"/>
      <c r="F88" s="22" t="inlineStr">
        <is>
          <t>Due date</t>
        </is>
      </c>
      <c r="G88" s="5" t="n"/>
      <c r="H88" s="22" t="inlineStr">
        <is>
          <t>Before go-live</t>
        </is>
      </c>
      <c r="I88" s="5" t="n"/>
      <c r="J88" s="22" t="inlineStr">
        <is>
          <t>Why this date</t>
        </is>
      </c>
      <c r="K88" s="23" t="n"/>
      <c r="L88" s="23" t="n"/>
      <c r="M88" s="23" t="n"/>
      <c r="N88" s="23" t="n"/>
      <c r="O88" s="5" t="n"/>
    </row>
    <row r="89">
      <c r="A89" s="14" t="inlineStr">
        <is>
          <t>D1</t>
        </is>
      </c>
      <c r="B89" s="14" t="inlineStr">
        <is>
          <t>Drafts with the Drop 0 sign-off</t>
        </is>
      </c>
      <c r="C89" s="23" t="n"/>
      <c r="D89" s="23" t="n"/>
      <c r="E89" s="5" t="n"/>
      <c r="F89" s="14" t="inlineStr">
        <is>
          <t>1-Dec-2026</t>
        </is>
      </c>
      <c r="G89" s="5" t="n"/>
      <c r="H89" s="14" t="inlineStr">
        <is>
          <t>T-56 weeks</t>
        </is>
      </c>
      <c r="I89" s="5" t="n"/>
      <c r="J89" s="14" t="inlineStr">
        <is>
          <t>Sign-off of BRD-11 on 1-Dec-2026, the last of the three Drop 0 sets</t>
        </is>
      </c>
      <c r="K89" s="23" t="n"/>
      <c r="L89" s="23" t="n"/>
      <c r="M89" s="23" t="n"/>
      <c r="N89" s="23" t="n"/>
      <c r="O89" s="5" t="n"/>
    </row>
    <row r="90">
      <c r="A90" s="14" t="inlineStr">
        <is>
          <t>D2</t>
        </is>
      </c>
      <c r="B90" s="14" t="inlineStr">
        <is>
          <t>Platform set-up for Drop 1 SIT</t>
        </is>
      </c>
      <c r="C90" s="23" t="n"/>
      <c r="D90" s="23" t="n"/>
      <c r="E90" s="5" t="n"/>
      <c r="F90" s="14" t="inlineStr">
        <is>
          <t>4-Jan-2027</t>
        </is>
      </c>
      <c r="G90" s="5" t="n"/>
      <c r="H90" s="14" t="inlineStr">
        <is>
          <t>T-52 weeks</t>
        </is>
      </c>
      <c r="I90" s="5" t="n"/>
      <c r="J90" s="14" t="inlineStr">
        <is>
          <t>Drop 1 SIT runs Jan - Jul 2027 on the BDOI organisation, chart of accounts and banks</t>
        </is>
      </c>
      <c r="K90" s="23" t="n"/>
      <c r="L90" s="23" t="n"/>
      <c r="M90" s="23" t="n"/>
      <c r="N90" s="23" t="n"/>
      <c r="O90" s="5" t="n"/>
    </row>
    <row r="91">
      <c r="A91" s="14" t="inlineStr">
        <is>
          <t>D3</t>
        </is>
      </c>
      <c r="B91" s="14" t="inlineStr">
        <is>
          <t>Reference data for Trial migration 1 (M4)</t>
        </is>
      </c>
      <c r="C91" s="23" t="n"/>
      <c r="D91" s="23" t="n"/>
      <c r="E91" s="5" t="n"/>
      <c r="F91" s="14" t="inlineStr">
        <is>
          <t>9-Apr-2027</t>
        </is>
      </c>
      <c r="G91" s="5" t="n"/>
      <c r="H91" s="14" t="inlineStr">
        <is>
          <t>T-38 weeks</t>
        </is>
      </c>
      <c r="I91" s="5" t="n"/>
      <c r="J91" s="14" t="inlineStr">
        <is>
          <t>Extracts for Trial migration 1; reference data and clients first</t>
        </is>
      </c>
      <c r="K91" s="23" t="n"/>
      <c r="L91" s="23" t="n"/>
      <c r="M91" s="23" t="n"/>
      <c r="N91" s="23" t="n"/>
      <c r="O91" s="5" t="n"/>
    </row>
    <row r="92">
      <c r="A92" s="14" t="inlineStr">
        <is>
          <t>D4</t>
        </is>
      </c>
      <c r="B92" s="14" t="inlineStr">
        <is>
          <t>Code maps approved (M5)</t>
        </is>
      </c>
      <c r="C92" s="23" t="n"/>
      <c r="D92" s="23" t="n"/>
      <c r="E92" s="5" t="n"/>
      <c r="F92" s="14" t="inlineStr">
        <is>
          <t>18-Jun-2027</t>
        </is>
      </c>
      <c r="G92" s="5" t="n"/>
      <c r="H92" s="14" t="inlineStr">
        <is>
          <t>T-28 weeks</t>
        </is>
      </c>
      <c r="I92" s="5" t="n"/>
      <c r="J92" s="14" t="inlineStr">
        <is>
          <t>Code maps approved for Trial migration 2, including the package code map</t>
        </is>
      </c>
      <c r="K92" s="23" t="n"/>
      <c r="L92" s="23" t="n"/>
      <c r="M92" s="23" t="n"/>
      <c r="N92" s="23" t="n"/>
      <c r="O92" s="5" t="n"/>
    </row>
    <row r="93">
      <c r="A93" s="14" t="inlineStr">
        <is>
          <t>D5</t>
        </is>
      </c>
      <c r="B93" s="14" t="inlineStr">
        <is>
          <t>Values for UAT</t>
        </is>
      </c>
      <c r="C93" s="23" t="n"/>
      <c r="D93" s="23" t="n"/>
      <c r="E93" s="5" t="n"/>
      <c r="F93" s="14" t="inlineStr">
        <is>
          <t>16-Jul-2027</t>
        </is>
      </c>
      <c r="G93" s="5" t="n"/>
      <c r="H93" s="14" t="inlineStr">
        <is>
          <t>T-24 weeks</t>
        </is>
      </c>
      <c r="I93" s="5" t="n"/>
      <c r="J93" s="14" t="inlineStr">
        <is>
          <t>UAT plans and sign-off forms due 16-Jul-2027; UAT Aug - Dec 2027 runs on the production values</t>
        </is>
      </c>
      <c r="K93" s="23" t="n"/>
      <c r="L93" s="23" t="n"/>
      <c r="M93" s="23" t="n"/>
      <c r="N93" s="23" t="n"/>
      <c r="O93" s="5" t="n"/>
    </row>
    <row r="94">
      <c r="A94" s="14" t="inlineStr">
        <is>
          <t>D6</t>
        </is>
      </c>
      <c r="B94" s="14" t="inlineStr">
        <is>
          <t>Production values before the dress rehearsal</t>
        </is>
      </c>
      <c r="C94" s="23" t="n"/>
      <c r="D94" s="23" t="n"/>
      <c r="E94" s="5" t="n"/>
      <c r="F94" s="14" t="inlineStr">
        <is>
          <t>1-Nov-2027</t>
        </is>
      </c>
      <c r="G94" s="5" t="n"/>
      <c r="H94" s="14" t="inlineStr">
        <is>
          <t>T-9 weeks</t>
        </is>
      </c>
      <c r="I94" s="5" t="n"/>
      <c r="J94" s="14" t="inlineStr">
        <is>
          <t>Dress rehearsal in November 2027; the values loaded for it are the go-live values</t>
        </is>
      </c>
      <c r="K94" s="23" t="n"/>
      <c r="L94" s="23" t="n"/>
      <c r="M94" s="23" t="n"/>
      <c r="N94" s="23" t="n"/>
      <c r="O94" s="5" t="n"/>
    </row>
    <row r="95">
      <c r="A95" s="14" t="inlineStr">
        <is>
          <t>D7</t>
        </is>
      </c>
      <c r="B95" s="14" t="inlineStr">
        <is>
          <t>Map freeze (T-7)</t>
        </is>
      </c>
      <c r="C95" s="23" t="n"/>
      <c r="D95" s="23" t="n"/>
      <c r="E95" s="5" t="n"/>
      <c r="F95" s="14" t="inlineStr">
        <is>
          <t>27-Dec-2027</t>
        </is>
      </c>
      <c r="G95" s="5" t="n"/>
      <c r="H95" s="14" t="inlineStr">
        <is>
          <t>T-1 weeks</t>
        </is>
      </c>
      <c r="I95" s="5" t="n"/>
      <c r="J95" s="14" t="inlineStr">
        <is>
          <t>No change of a code map or reference value after the freeze except by change request</t>
        </is>
      </c>
      <c r="K95" s="23" t="n"/>
      <c r="L95" s="23" t="n"/>
      <c r="M95" s="23" t="n"/>
      <c r="N95" s="23" t="n"/>
      <c r="O95" s="5" t="n"/>
    </row>
    <row r="97">
      <c r="A97" s="8" t="inlineStr">
        <is>
          <t>Other sheets</t>
        </is>
      </c>
    </row>
    <row r="98">
      <c r="A98" s="22" t="inlineStr">
        <is>
          <t>Sheet</t>
        </is>
      </c>
      <c r="B98" s="23" t="n"/>
      <c r="C98" s="5" t="n"/>
      <c r="D98" s="22" t="inlineStr">
        <is>
          <t>What it holds</t>
        </is>
      </c>
      <c r="E98" s="23" t="n"/>
      <c r="F98" s="23" t="n"/>
      <c r="G98" s="23" t="n"/>
      <c r="H98" s="23" t="n"/>
      <c r="I98" s="23" t="n"/>
      <c r="J98" s="23" t="n"/>
      <c r="K98" s="23" t="n"/>
      <c r="L98" s="23" t="n"/>
      <c r="M98" s="5" t="n"/>
    </row>
    <row r="99">
      <c r="A99" s="16" t="inlineStr">
        <is>
          <t>Lists of values</t>
        </is>
      </c>
      <c r="B99" s="23" t="n"/>
      <c r="C99" s="5" t="n"/>
      <c r="D99" s="14" t="inlineStr">
        <is>
          <t>Every list of values of BIBS with its owner and its route: legacy values mapped through the Migration Console (R01), the others entered on Lists of Values</t>
        </is>
      </c>
      <c r="E99" s="23" t="n"/>
      <c r="F99" s="23" t="n"/>
      <c r="G99" s="23" t="n"/>
      <c r="H99" s="23" t="n"/>
      <c r="I99" s="23" t="n"/>
      <c r="J99" s="23" t="n"/>
      <c r="K99" s="23" t="n"/>
      <c r="L99" s="23" t="n"/>
      <c r="M99" s="5" t="n"/>
    </row>
    <row r="100">
      <c r="A100" s="16" t="inlineStr">
        <is>
          <t>System parameters</t>
        </is>
      </c>
      <c r="B100" s="23" t="n"/>
      <c r="C100" s="5" t="n"/>
      <c r="D100" s="14" t="inlineStr">
        <is>
          <t>Every system parameter of BIBS (other than the SLA and turnaround parameters and the numbering prefixes) with the value proposed and the value BDOI wants</t>
        </is>
      </c>
      <c r="E100" s="23" t="n"/>
      <c r="F100" s="23" t="n"/>
      <c r="G100" s="23" t="n"/>
      <c r="H100" s="23" t="n"/>
      <c r="I100" s="23" t="n"/>
      <c r="J100" s="23" t="n"/>
      <c r="K100" s="23" t="n"/>
      <c r="L100" s="23" t="n"/>
      <c r="M100" s="5" t="n"/>
    </row>
    <row r="101">
      <c r="A101" s="16" t="inlineStr">
        <is>
          <t>SLA and turnaround</t>
        </is>
      </c>
      <c r="B101" s="23" t="n"/>
      <c r="C101" s="5" t="n"/>
      <c r="D101" s="14" t="inlineStr">
        <is>
          <t>The SLA, turnaround, reminder, escalation and ageing parameters: days and hours of the work queues, insurer replies, reminders and alerts</t>
        </is>
      </c>
      <c r="E101" s="23" t="n"/>
      <c r="F101" s="23" t="n"/>
      <c r="G101" s="23" t="n"/>
      <c r="H101" s="23" t="n"/>
      <c r="I101" s="23" t="n"/>
      <c r="J101" s="23" t="n"/>
      <c r="K101" s="23" t="n"/>
      <c r="L101" s="23" t="n"/>
      <c r="M101" s="5" t="n"/>
    </row>
    <row r="102">
      <c r="A102" s="16" t="inlineStr">
        <is>
          <t>Numbering prefixes</t>
        </is>
      </c>
      <c r="B102" s="23" t="n"/>
      <c r="C102" s="5" t="n"/>
      <c r="D102" s="14" t="inlineStr">
        <is>
          <t>Prefixes of the numbered documents; receipt series come from R11, check numbers from D0-12</t>
        </is>
      </c>
      <c r="E102" s="23" t="n"/>
      <c r="F102" s="23" t="n"/>
      <c r="G102" s="23" t="n"/>
      <c r="H102" s="23" t="n"/>
      <c r="I102" s="23" t="n"/>
      <c r="J102" s="23" t="n"/>
      <c r="K102" s="23" t="n"/>
      <c r="L102" s="23" t="n"/>
      <c r="M102" s="5" t="n"/>
    </row>
    <row r="103">
      <c r="A103" s="16" t="inlineStr">
        <is>
          <t>Notification events</t>
        </is>
      </c>
      <c r="B103" s="23" t="n"/>
      <c r="C103" s="5" t="n"/>
      <c r="D103" s="14" t="inlineStr">
        <is>
          <t>Every notification event with its default channels and the unit mailbox that also receives it; users choose their own channels in Notification Settings</t>
        </is>
      </c>
      <c r="E103" s="23" t="n"/>
      <c r="F103" s="23" t="n"/>
      <c r="G103" s="23" t="n"/>
      <c r="H103" s="23" t="n"/>
      <c r="I103" s="23" t="n"/>
      <c r="J103" s="23" t="n"/>
      <c r="K103" s="23" t="n"/>
      <c r="L103" s="23" t="n"/>
      <c r="M103" s="5" t="n"/>
    </row>
    <row r="104">
      <c r="A104" s="16" t="inlineStr">
        <is>
          <t>Document templates</t>
        </is>
      </c>
      <c r="B104" s="23" t="n"/>
      <c r="C104" s="5" t="n"/>
      <c r="D104" s="14" t="inlineStr">
        <is>
          <t>Every generated document and letter with the unit that gives its BDOI wording and layout; the layout is uploaded as a Word file on Document Templates</t>
        </is>
      </c>
      <c r="E104" s="23" t="n"/>
      <c r="F104" s="23" t="n"/>
      <c r="G104" s="23" t="n"/>
      <c r="H104" s="23" t="n"/>
      <c r="I104" s="23" t="n"/>
      <c r="J104" s="23" t="n"/>
      <c r="K104" s="23" t="n"/>
      <c r="L104" s="23" t="n"/>
      <c r="M104" s="5" t="n"/>
    </row>
    <row r="105">
      <c r="A105" s="16" t="inlineStr">
        <is>
          <t>Accounting events</t>
        </is>
      </c>
      <c r="B105" s="23" t="n"/>
      <c r="C105" s="5" t="n"/>
      <c r="D105" s="14" t="inlineStr">
        <is>
          <t>The accounting events that need a rule of template D0-08 (accounting rules mapping); owner Head, Comptrollership</t>
        </is>
      </c>
      <c r="E105" s="23" t="n"/>
      <c r="F105" s="23" t="n"/>
      <c r="G105" s="23" t="n"/>
      <c r="H105" s="23" t="n"/>
      <c r="I105" s="23" t="n"/>
      <c r="J105" s="23" t="n"/>
      <c r="K105" s="23" t="n"/>
      <c r="L105" s="23" t="n"/>
      <c r="M105" s="5" t="n"/>
    </row>
    <row r="106">
      <c r="A106" s="16" t="inlineStr">
        <is>
          <t>PM-04 Charges checklist</t>
        </is>
      </c>
      <c r="B106" s="23" t="n"/>
      <c r="C106" s="5" t="n"/>
      <c r="D106" s="14" t="inlineStr">
        <is>
          <t>Premium charges billed to clients: one row per charge with the rule BIBS applies</t>
        </is>
      </c>
      <c r="E106" s="23" t="n"/>
      <c r="F106" s="23" t="n"/>
      <c r="G106" s="23" t="n"/>
      <c r="H106" s="23" t="n"/>
      <c r="I106" s="23" t="n"/>
      <c r="J106" s="23" t="n"/>
      <c r="K106" s="23" t="n"/>
      <c r="L106" s="23" t="n"/>
      <c r="M106" s="5" t="n"/>
    </row>
    <row r="107">
      <c r="A107" s="16" t="inlineStr">
        <is>
          <t>D0-10 Tax checklist</t>
        </is>
      </c>
      <c r="B107" s="23" t="n"/>
      <c r="C107" s="5" t="n"/>
      <c r="D107" s="14" t="inlineStr">
        <is>
          <t>BDOI's own taxes: one row per kind of tax, what BIBS does and what BDOI provides</t>
        </is>
      </c>
      <c r="E107" s="23" t="n"/>
      <c r="F107" s="23" t="n"/>
      <c r="G107" s="23" t="n"/>
      <c r="H107" s="23" t="n"/>
      <c r="I107" s="23" t="n"/>
      <c r="J107" s="23" t="n"/>
      <c r="K107" s="23" t="n"/>
      <c r="L107" s="23" t="n"/>
      <c r="M107" s="5" t="n"/>
    </row>
    <row r="108">
      <c r="A108" s="16" t="inlineStr">
        <is>
          <t>Configured on screens</t>
        </is>
      </c>
      <c r="B108" s="23" t="n"/>
      <c r="C108" s="5" t="n"/>
      <c r="D108" s="14" t="inlineStr">
        <is>
          <t>Set-up decided in working sessions and entered on the screens (no template)</t>
        </is>
      </c>
      <c r="E108" s="23" t="n"/>
      <c r="F108" s="23" t="n"/>
      <c r="G108" s="23" t="n"/>
      <c r="H108" s="23" t="n"/>
      <c r="I108" s="23" t="n"/>
      <c r="J108" s="23" t="n"/>
      <c r="K108" s="23" t="n"/>
      <c r="L108" s="23" t="n"/>
      <c r="M108" s="5" t="n"/>
    </row>
    <row r="109">
      <c r="A109" s="16" t="inlineStr">
        <is>
          <t>Gaps</t>
        </is>
      </c>
      <c r="B109" s="23" t="n"/>
      <c r="C109" s="5" t="n"/>
      <c r="D109" s="14" t="inlineStr">
        <is>
          <t>Datasets without an upload route, and data BIBS does not hold (questions)</t>
        </is>
      </c>
      <c r="E109" s="23" t="n"/>
      <c r="F109" s="23" t="n"/>
      <c r="G109" s="23" t="n"/>
      <c r="H109" s="23" t="n"/>
      <c r="I109" s="23" t="n"/>
      <c r="J109" s="23" t="n"/>
      <c r="K109" s="23" t="n"/>
      <c r="L109" s="23" t="n"/>
      <c r="M109" s="5" t="n"/>
    </row>
    <row r="110">
      <c r="A110" s="16" t="inlineStr">
        <is>
          <t>Coverage check</t>
        </is>
      </c>
      <c r="B110" s="23" t="n"/>
      <c r="C110" s="5" t="n"/>
      <c r="D110" s="14" t="inlineStr">
        <is>
          <t>The datasets asked about and where each is, or why BIBS does not hold it</t>
        </is>
      </c>
      <c r="E110" s="23" t="n"/>
      <c r="F110" s="23" t="n"/>
      <c r="G110" s="23" t="n"/>
      <c r="H110" s="23" t="n"/>
      <c r="I110" s="23" t="n"/>
      <c r="J110" s="23" t="n"/>
      <c r="K110" s="23" t="n"/>
      <c r="L110" s="23" t="n"/>
      <c r="M110" s="5" t="n"/>
    </row>
    <row r="111">
      <c r="A111" s="16" t="inlineStr">
        <is>
          <t>Reference lists</t>
        </is>
      </c>
      <c r="B111" s="23" t="n"/>
      <c r="C111" s="5" t="n"/>
      <c r="D111" s="14" t="inlineStr">
        <is>
          <t>Every list of allowed values of the drop-downs, with code and label</t>
        </is>
      </c>
      <c r="E111" s="23" t="n"/>
      <c r="F111" s="23" t="n"/>
      <c r="G111" s="23" t="n"/>
      <c r="H111" s="23" t="n"/>
      <c r="I111" s="23" t="n"/>
      <c r="J111" s="23" t="n"/>
      <c r="K111" s="23" t="n"/>
      <c r="L111" s="23" t="n"/>
      <c r="M111" s="5" t="n"/>
    </row>
    <row r="112">
      <c r="A112" s="16" t="inlineStr">
        <is>
          <t>Questions and comments</t>
        </is>
      </c>
      <c r="B112" s="23" t="n"/>
      <c r="C112" s="5" t="n"/>
      <c r="D112" s="14" t="inlineStr">
        <is>
          <t>Questions and comments per template and column, with the answer</t>
        </is>
      </c>
      <c r="E112" s="23" t="n"/>
      <c r="F112" s="23" t="n"/>
      <c r="G112" s="23" t="n"/>
      <c r="H112" s="23" t="n"/>
      <c r="I112" s="23" t="n"/>
      <c r="J112" s="23" t="n"/>
      <c r="K112" s="23" t="n"/>
      <c r="L112" s="23" t="n"/>
      <c r="M112" s="5" t="n"/>
    </row>
    <row r="114">
      <c r="A114" s="24" t="inlineStr">
        <is>
          <t>Prepared by iorta TechNXT for BDOI. Confidential – BDOI.</t>
        </is>
      </c>
    </row>
  </sheetData>
  <autoFilter ref="A22:O74"/>
  <mergeCells count="117">
    <mergeCell ref="J82:K82"/>
    <mergeCell ref="D102:M102"/>
    <mergeCell ref="L82:M82"/>
    <mergeCell ref="A80:C80"/>
    <mergeCell ref="J89:O89"/>
    <mergeCell ref="C9:H9"/>
    <mergeCell ref="B16:O16"/>
    <mergeCell ref="A105:C105"/>
    <mergeCell ref="C11:H11"/>
    <mergeCell ref="B18:O18"/>
    <mergeCell ref="A7:B7"/>
    <mergeCell ref="B91:E91"/>
    <mergeCell ref="H94:I94"/>
    <mergeCell ref="H89:I89"/>
    <mergeCell ref="J91:O91"/>
    <mergeCell ref="D82:I82"/>
    <mergeCell ref="B93:E93"/>
    <mergeCell ref="D105:M105"/>
    <mergeCell ref="L79:M79"/>
    <mergeCell ref="A77:C77"/>
    <mergeCell ref="A83:C83"/>
    <mergeCell ref="D107:M107"/>
    <mergeCell ref="L81:M81"/>
    <mergeCell ref="D84:I84"/>
    <mergeCell ref="A110:C110"/>
    <mergeCell ref="B15:O15"/>
    <mergeCell ref="A9:B9"/>
    <mergeCell ref="F88:G88"/>
    <mergeCell ref="D106:M106"/>
    <mergeCell ref="H91:I91"/>
    <mergeCell ref="C10:H10"/>
    <mergeCell ref="A11:B11"/>
    <mergeCell ref="H93:I93"/>
    <mergeCell ref="J95:O95"/>
    <mergeCell ref="D78:I78"/>
    <mergeCell ref="A104:C104"/>
    <mergeCell ref="J77:K77"/>
    <mergeCell ref="D110:M110"/>
    <mergeCell ref="D100:M100"/>
    <mergeCell ref="B90:E90"/>
    <mergeCell ref="A106:C106"/>
    <mergeCell ref="J83:K83"/>
    <mergeCell ref="F94:G94"/>
    <mergeCell ref="D109:M109"/>
    <mergeCell ref="L83:M83"/>
    <mergeCell ref="A81:C81"/>
    <mergeCell ref="J90:O90"/>
    <mergeCell ref="B17:O17"/>
    <mergeCell ref="J85:K85"/>
    <mergeCell ref="D111:M111"/>
    <mergeCell ref="L85:M85"/>
    <mergeCell ref="D108:M108"/>
    <mergeCell ref="B19:O19"/>
    <mergeCell ref="A8:B8"/>
    <mergeCell ref="L84:M84"/>
    <mergeCell ref="D104:M104"/>
    <mergeCell ref="A82:C82"/>
    <mergeCell ref="C6:H6"/>
    <mergeCell ref="H95:I95"/>
    <mergeCell ref="A10:B10"/>
    <mergeCell ref="J93:O93"/>
    <mergeCell ref="L80:M80"/>
    <mergeCell ref="D77:I77"/>
    <mergeCell ref="A99:C99"/>
    <mergeCell ref="A108:C108"/>
    <mergeCell ref="J81:K81"/>
    <mergeCell ref="A84:C84"/>
    <mergeCell ref="A101:C101"/>
    <mergeCell ref="B95:E95"/>
    <mergeCell ref="F89:G89"/>
    <mergeCell ref="B89:E89"/>
    <mergeCell ref="J94:O94"/>
    <mergeCell ref="C8:H8"/>
    <mergeCell ref="D99:M99"/>
    <mergeCell ref="A12:B12"/>
    <mergeCell ref="F91:G91"/>
    <mergeCell ref="A112:C112"/>
    <mergeCell ref="D101:M101"/>
    <mergeCell ref="D79:I79"/>
    <mergeCell ref="F93:G93"/>
    <mergeCell ref="A98:C98"/>
    <mergeCell ref="D81:I81"/>
    <mergeCell ref="A107:C107"/>
    <mergeCell ref="F92:G92"/>
    <mergeCell ref="A79:C79"/>
    <mergeCell ref="J88:O88"/>
    <mergeCell ref="D103:M103"/>
    <mergeCell ref="H92:I92"/>
    <mergeCell ref="L77:M77"/>
    <mergeCell ref="D112:M112"/>
    <mergeCell ref="B92:E92"/>
    <mergeCell ref="C12:H12"/>
    <mergeCell ref="J84:K84"/>
    <mergeCell ref="A6:B6"/>
    <mergeCell ref="J78:K78"/>
    <mergeCell ref="D98:M98"/>
    <mergeCell ref="B94:E94"/>
    <mergeCell ref="L78:M78"/>
    <mergeCell ref="A85:C85"/>
    <mergeCell ref="F95:G95"/>
    <mergeCell ref="J80:K80"/>
    <mergeCell ref="A100:C100"/>
    <mergeCell ref="D83:I83"/>
    <mergeCell ref="A109:C109"/>
    <mergeCell ref="H88:I88"/>
    <mergeCell ref="C7:H7"/>
    <mergeCell ref="J79:K79"/>
    <mergeCell ref="A102:C102"/>
    <mergeCell ref="D85:I85"/>
    <mergeCell ref="F90:G90"/>
    <mergeCell ref="A111:C111"/>
    <mergeCell ref="H90:I90"/>
    <mergeCell ref="J92:O92"/>
    <mergeCell ref="A103:C103"/>
    <mergeCell ref="B88:E88"/>
    <mergeCell ref="D80:I80"/>
    <mergeCell ref="A78:C78"/>
  </mergeCells>
  <conditionalFormatting sqref="N23:N74">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M23:M74">
    <cfRule type="cellIs" priority="6" operator="greaterThan" dxfId="5">
      <formula>0</formula>
    </cfRule>
  </conditionalFormatting>
  <dataValidations count="1">
    <dataValidation sqref="N23:N74" showDropDown="0" showInputMessage="1" showErrorMessage="1" allowBlank="1" errorTitle="Status" error="Choose a value of the list Status (sheet Reference lists)." promptTitle="Status" prompt="Status of the template: Not started, In progress, Ready for review, Confirmed, Not applicable" type="list" errorStyle="stop">
      <formula1>=LIST_STATUS</formula1>
    </dataValidation>
  </dataValidations>
  <hyperlinks>
    <hyperlink ref="O23" location="'D0-02 Branches'!A1"/>
    <hyperlink ref="O24" location="'D0-04 Dimensions'!A1"/>
    <hyperlink ref="O25" location="'D0-07 Categories and numbering'!A1"/>
    <hyperlink ref="O26" location="'MD-02 Currencies'!A1"/>
    <hyperlink ref="O27" location="'PM-09 Lists and parameters'!A1"/>
    <hyperlink ref="O28" location="'R01 Lists of values and MIS val'!A1"/>
    <hyperlink ref="O29" location="'R04 Insurers'!A1"/>
    <hyperlink ref="O30" location="'UA-02 Role matrix'!A1"/>
    <hyperlink ref="O31" location="'UA-06 Lists of values'!A1"/>
    <hyperlink ref="O32" location="'D0-05 Employees'!A1"/>
    <hyperlink ref="O33" location="'D0-06 Chart of accounts'!A1"/>
    <hyperlink ref="O34" location="'MD-01 Business partners'!A1"/>
    <hyperlink ref="O35" location="'R03 Sales organisation (units a'!A1"/>
    <hyperlink ref="O36" location="'R05 Product lines, cover types,'!A1"/>
    <hyperlink ref="O37" location="'UA-01 Users and roles'!A1"/>
    <hyperlink ref="O38" location="'D0-03 Holiday calendar'!A1"/>
    <hyperlink ref="O39" location="'MD-03 Exchange rates'!A1"/>
    <hyperlink ref="O40" location="'R02 Branches and invoicing bran'!A1"/>
    <hyperlink ref="O41" location="'R04B Insurer branches'!A1"/>
    <hyperlink ref="O42" location="'R11 Receipt series in use'!A1"/>
    <hyperlink ref="O43" location="'UA-04 SoD rules'!A1"/>
    <hyperlink ref="O44" location="'UP-01 Clients (upload)'!A1"/>
    <hyperlink ref="O45" location="'C01 Client master'!A1"/>
    <hyperlink ref="O46" location="'D0-10 Tax codes'!A1"/>
    <hyperlink ref="O47" location="'D0-11 Bank accounts'!A1"/>
    <hyperlink ref="O48" location="'PM-01 Product catalogue'!A1"/>
    <hyperlink ref="O49" location="'R08 Chart of accounts mapping'!A1"/>
    <hyperlink ref="O50" location="'UP-02 Payees (upload)'!A1"/>
    <hyperlink ref="O51" location="'D0-01 Company'!A1"/>
    <hyperlink ref="O52" location="'D0-08 Accounting rules'!A1"/>
    <hyperlink ref="O53" location="'D0-09 Legacy accounts'!A1"/>
    <hyperlink ref="O54" location="'D0-15 Approval limits'!A1"/>
    <hyperlink ref="O55" location="'R07 Commission rates by insurer'!A1"/>
    <hyperlink ref="O56" location="'TX-02 Tax forms'!A1"/>
    <hyperlink ref="O57" location="'UA-03 Approval rules'!A1"/>
    <hyperlink ref="O58" location="'PM-02 Coverages and rules'!A1"/>
    <hyperlink ref="O59" location="'PM-03 Clause library'!A1"/>
    <hyperlink ref="O60" location="'C02 Client addresses and contac'!A1"/>
    <hyperlink ref="O61" location="'C03 Client payout accounts'!A1"/>
    <hyperlink ref="O62" location="'D0-12 Check books'!A1"/>
    <hyperlink ref="O63" location="'D0-13 Petty cash funds'!A1"/>
    <hyperlink ref="O64" location="'D0-14 Statement layouts'!A1"/>
    <hyperlink ref="O65" location="'G01 GL opening trial balance'!A1"/>
    <hyperlink ref="O66" location="'PM-04 Rate tables'!A1"/>
    <hyperlink ref="O67" location="'PM-04C Other charges'!A1"/>
    <hyperlink ref="O68" location="'PM-10 Incentive criteria'!A1"/>
    <hyperlink ref="O69" location="'TX-01 Party tax profiles'!A1"/>
    <hyperlink ref="O70" location="'PM-06 Packages'!A1"/>
    <hyperlink ref="O71" location="'R06 Package code map (legacy pa'!A1"/>
    <hyperlink ref="O72" location="'PM-08 Document templates'!A1"/>
    <hyperlink ref="O73" location="'UA-05 Parameters'!A1"/>
    <hyperlink ref="O74" location="'UP-03 Watchlist entries (upload'!A1"/>
    <hyperlink ref="A99" location="'Lists of values'!A1"/>
    <hyperlink ref="A100" location="'System parameters'!A1"/>
    <hyperlink ref="A101" location="'SLA and turnaround'!A1"/>
    <hyperlink ref="A102" location="'Numbering prefixes'!A1"/>
    <hyperlink ref="A103" location="'Notification events'!A1"/>
    <hyperlink ref="A104" location="'Document templates'!A1"/>
    <hyperlink ref="A105" location="'Accounting events'!A1"/>
    <hyperlink ref="A106" location="'PM-04 Charges checklist'!A1"/>
    <hyperlink ref="A107" location="'D0-10 Tax checklist'!A1"/>
    <hyperlink ref="A108" location="'Configured on screens'!A1"/>
    <hyperlink ref="A109" location="'Gaps'!A1"/>
    <hyperlink ref="A110" location="'Coverage check'!A1"/>
    <hyperlink ref="A111" location="'Reference lists'!A1"/>
    <hyperlink ref="A11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5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2" customWidth="1" min="4" max="4"/>
    <col width="13" customWidth="1" min="5" max="5"/>
    <col width="17" customWidth="1" min="6" max="6"/>
    <col width="16" customWidth="1" min="7" max="7"/>
    <col width="32" customWidth="1" min="8" max="8"/>
    <col width="18" customWidth="1" min="9" max="9"/>
    <col width="23" customWidth="1" min="10" max="10"/>
    <col width="19" customWidth="1" min="11" max="11"/>
    <col width="21" customWidth="1" min="12" max="12"/>
    <col width="24" customWidth="1" min="13" max="13"/>
    <col width="20" customWidth="1" min="14" max="14"/>
    <col width="15" customWidth="1" min="15" max="15"/>
  </cols>
  <sheetData>
    <row r="1" ht="26" customHeight="1">
      <c r="A1" s="25" t="inlineStr">
        <is>
          <t>D0-02 Branches</t>
        </is>
      </c>
      <c r="O1" s="26" t="inlineStr">
        <is>
          <t>Step 1 of 52</t>
        </is>
      </c>
    </row>
    <row r="2">
      <c r="A2" s="27" t="inlineStr">
        <is>
          <t>← Back to Start here</t>
        </is>
      </c>
      <c r="B2" s="28" t="inlineStr">
        <is>
          <t>Step 1 of 52. Fill in one row per record below the column headers; the guide above each column says what to enter.</t>
        </is>
      </c>
      <c r="O2" s="29" t="inlineStr">
        <is>
          <t>Ask a question →</t>
        </is>
      </c>
    </row>
    <row r="3" outlineLevel="1" ht="15.5" customHeight="1">
      <c r="A3" s="30" t="inlineStr">
        <is>
          <t>Purpose</t>
        </is>
      </c>
      <c r="B3" s="31" t="inlineStr">
        <is>
          <t>Every BDOI branch and invoicing branch</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Upload on the configuration screen Setup &amp; Administration › Setup › Branches, approved by a second user</t>
        </is>
      </c>
    </row>
    <row r="7" outlineLevel="1" ht="15.5" customHeight="1">
      <c r="A7" s="30" t="inlineStr">
        <is>
          <t>Source</t>
        </is>
      </c>
      <c r="B7" s="31" t="inlineStr">
        <is>
          <t>Upload template of the configuration screen (the same columns, headers, mandatory flags and allowed values)</t>
        </is>
      </c>
    </row>
    <row r="8" outlineLevel="1">
      <c r="A8" s="30" t="inlineStr">
        <is>
          <t>Depends on</t>
        </is>
      </c>
      <c r="B8" s="33" t="inlineStr">
        <is>
          <t>Nothing: this template can be filled in first</t>
        </is>
      </c>
    </row>
    <row r="9" outlineLevel="1" ht="15.5" customHeight="1">
      <c r="A9" s="30" t="inlineStr">
        <is>
          <t>Tax registration</t>
        </is>
      </c>
      <c r="B9" s="31" t="inlineStr">
        <is>
          <t>The BIR branch code and the RDO code of each branch registered with the BIR (blank for a branch that is not a separate registration)</t>
        </is>
      </c>
    </row>
    <row r="10" ht="26" customHeight="1">
      <c r="A10" s="34" t="inlineStr">
        <is>
          <t>Progress</t>
        </is>
      </c>
      <c r="B10" s="35" t="inlineStr">
        <is>
          <t>Rows entered</t>
        </is>
      </c>
      <c r="C10" s="36">
        <f>SUMPRODUCT(((ROW($B$18:$B$518)&gt;18)+($B$18&lt;&gt;"HO")&gt;0)*(LEN($B$18:$B$518&amp;$C$18:$C$518&amp;$D$18:$D$518&amp;$E$18:$E$518&amp;$F$18:$F$518&amp;$G$18:$G$518&amp;$H$18:$H$518&amp;$I$18:$I$518&amp;$J$18:$J$518&amp;$K$18:$K$518&amp;$L$18:$L$518&amp;$M$18:$M$518&amp;$N$18:$N$518&amp;$O$18:$O$518)&gt;0))</f>
        <v/>
      </c>
      <c r="D10" s="35" t="inlineStr">
        <is>
          <t>Mandatory cells missing</t>
        </is>
      </c>
      <c r="E10" s="36">
        <f>SUMPRODUCT(((ROW($B$18:$B$518)&gt;18)+($B$18&lt;&gt;"HO")&gt;0)*(LEN($B$18:$B$518&amp;$C$18:$C$518&amp;$D$18:$D$518&amp;$E$18:$E$518&amp;$F$18:$F$518&amp;$G$18:$G$518&amp;$H$18:$H$518&amp;$I$18:$I$518&amp;$J$18:$J$518&amp;$K$18:$K$518&amp;$L$18:$L$518&amp;$M$18:$M$518&amp;$N$18:$N$518&amp;$O$18:$O$518)&gt;0)*(($B$18:$B$518="")+($C$18:$C$518="")+($F$18:$F$518="")+($G$18:$G$518="")+($H$18:$H$518="")))</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c r="I12" s="40" t="n"/>
      <c r="J12" s="40" t="n"/>
      <c r="K12" s="40" t="n"/>
      <c r="L12" s="40" t="n"/>
      <c r="M12" s="40" t="n"/>
      <c r="N12" s="40" t="n"/>
      <c r="O12" s="40" t="n"/>
    </row>
    <row r="13" ht="17" customHeight="1">
      <c r="A13" s="41" t="inlineStr">
        <is>
          <t>Mandatory</t>
        </is>
      </c>
      <c r="B13" s="42" t="inlineStr">
        <is>
          <t>Yes</t>
        </is>
      </c>
      <c r="C13" s="42" t="inlineStr">
        <is>
          <t>Yes</t>
        </is>
      </c>
      <c r="D13" s="43" t="inlineStr">
        <is>
          <t>No</t>
        </is>
      </c>
      <c r="E13" s="43" t="inlineStr">
        <is>
          <t>No</t>
        </is>
      </c>
      <c r="F13" s="42" t="inlineStr">
        <is>
          <t>Yes</t>
        </is>
      </c>
      <c r="G13" s="42" t="inlineStr">
        <is>
          <t>Yes</t>
        </is>
      </c>
      <c r="H13" s="42" t="inlineStr">
        <is>
          <t>Yes</t>
        </is>
      </c>
      <c r="I13" s="43" t="inlineStr">
        <is>
          <t>No</t>
        </is>
      </c>
      <c r="J13" s="43" t="inlineStr">
        <is>
          <t>No</t>
        </is>
      </c>
      <c r="K13" s="43" t="inlineStr">
        <is>
          <t>No</t>
        </is>
      </c>
      <c r="L13" s="43" t="inlineStr">
        <is>
          <t>No</t>
        </is>
      </c>
      <c r="M13" s="43" t="inlineStr">
        <is>
          <t>No</t>
        </is>
      </c>
      <c r="N13" s="43" t="inlineStr">
        <is>
          <t>No</t>
        </is>
      </c>
      <c r="O13" s="43" t="inlineStr">
        <is>
          <t>No</t>
        </is>
      </c>
    </row>
    <row r="14" ht="30" customHeight="1">
      <c r="A14" s="41" t="inlineStr">
        <is>
          <t>Format</t>
        </is>
      </c>
      <c r="B14" s="43" t="inlineStr">
        <is>
          <t>Up to 10 capitals</t>
        </is>
      </c>
      <c r="C14" s="43" t="inlineStr">
        <is>
          <t>Text</t>
        </is>
      </c>
      <c r="D14" s="43" t="inlineStr">
        <is>
          <t>Text</t>
        </is>
      </c>
      <c r="E14" s="43" t="inlineStr">
        <is>
          <t>Text</t>
        </is>
      </c>
      <c r="F14" s="43" t="inlineStr">
        <is>
          <t>Date dd-MMM-yyyy, e.g. 15-Jan-2026</t>
        </is>
      </c>
      <c r="G14" s="43" t="inlineStr">
        <is>
          <t>Y or N</t>
        </is>
      </c>
      <c r="H14" s="43" t="inlineStr">
        <is>
          <t>Y or N</t>
        </is>
      </c>
      <c r="I14" s="43" t="inlineStr">
        <is>
          <t>Text</t>
        </is>
      </c>
      <c r="J14" s="43" t="inlineStr">
        <is>
          <t>Text</t>
        </is>
      </c>
      <c r="K14" s="43" t="inlineStr">
        <is>
          <t>Text</t>
        </is>
      </c>
      <c r="L14" s="43" t="inlineStr">
        <is>
          <t>SAT, SUN</t>
        </is>
      </c>
      <c r="M14" s="43" t="inlineStr">
        <is>
          <t>Codes separated by commas</t>
        </is>
      </c>
      <c r="N14" s="43" t="inlineStr">
        <is>
          <t>3 to 5 digits</t>
        </is>
      </c>
      <c r="O14" s="43" t="inlineStr">
        <is>
          <t>Three digits, optionally a letter</t>
        </is>
      </c>
    </row>
    <row r="15" ht="30" customHeight="1">
      <c r="A15" s="41" t="inlineStr">
        <is>
          <t>Allowed values</t>
        </is>
      </c>
      <c r="B15" s="43" t="inlineStr">
        <is>
          <t>Free entry</t>
        </is>
      </c>
      <c r="C15" s="43" t="inlineStr">
        <is>
          <t>Free entry</t>
        </is>
      </c>
      <c r="D15" s="43" t="inlineStr">
        <is>
          <t>Free entry</t>
        </is>
      </c>
      <c r="E15" s="43" t="inlineStr">
        <is>
          <t>Free entry</t>
        </is>
      </c>
      <c r="F15" s="43" t="inlineStr">
        <is>
          <t>A date, for example 15-Jan-2028</t>
        </is>
      </c>
      <c r="G15" s="43" t="inlineStr">
        <is>
          <t>Y or N</t>
        </is>
      </c>
      <c r="H15" s="43" t="inlineStr">
        <is>
          <t>Y or N</t>
        </is>
      </c>
      <c r="I15" s="43" t="inlineStr">
        <is>
          <t>Free entry</t>
        </is>
      </c>
      <c r="J15" s="43" t="inlineStr">
        <is>
          <t>Free entry</t>
        </is>
      </c>
      <c r="K15" s="43" t="inlineStr">
        <is>
          <t>Free entry</t>
        </is>
      </c>
      <c r="L15" s="43" t="inlineStr">
        <is>
          <t>Free entry</t>
        </is>
      </c>
      <c r="M15" s="43" t="inlineStr">
        <is>
          <t>Free entry</t>
        </is>
      </c>
      <c r="N15" s="43" t="inlineStr">
        <is>
          <t>Free entry</t>
        </is>
      </c>
      <c r="O15" s="43" t="inlineStr">
        <is>
          <t>Free entry</t>
        </is>
      </c>
    </row>
    <row r="16" ht="43" customHeight="1">
      <c r="A16" s="41" t="inlineStr">
        <is>
          <t>What to enter</t>
        </is>
      </c>
      <c r="B16" s="43" t="inlineStr">
        <is>
          <t>Code of the branch; unique</t>
        </is>
      </c>
      <c r="C16" s="43" t="inlineStr">
        <is>
          <t>Name shown on screens and documents</t>
        </is>
      </c>
      <c r="D16" s="43" t="inlineStr">
        <is>
          <t>Region of the branch</t>
        </is>
      </c>
      <c r="E16" s="43" t="inlineStr">
        <is>
          <t>Address printed on documents</t>
        </is>
      </c>
      <c r="F16" s="43" t="inlineStr">
        <is>
          <t>Date the branch opened</t>
        </is>
      </c>
      <c r="G16" s="43" t="inlineStr">
        <is>
          <t>Y for one branch only</t>
        </is>
      </c>
      <c r="H16" s="43" t="inlineStr">
        <is>
          <t>May receive and pay in foreign currency</t>
        </is>
      </c>
      <c r="I16" s="43" t="inlineStr">
        <is>
          <t>Branch telephone</t>
        </is>
      </c>
      <c r="J16" s="43" t="inlineStr">
        <is>
          <t>Branch mailbox</t>
        </is>
      </c>
      <c r="K16" s="43" t="inlineStr">
        <is>
          <t>Head of the branch</t>
        </is>
      </c>
      <c r="L16" s="43" t="inlineStr">
        <is>
          <t>Days the branch is closed each week</t>
        </is>
      </c>
      <c r="M16" s="43" t="inlineStr">
        <is>
          <t>Legacy branch codes for the code map BRANCH</t>
        </is>
      </c>
      <c r="N16" s="43" t="inlineStr">
        <is>
          <t>Branch code of the BIR registration</t>
        </is>
      </c>
      <c r="O16" s="43" t="inlineStr">
        <is>
          <t>Revenue District Office of the branch</t>
        </is>
      </c>
    </row>
    <row r="17" ht="30" customHeight="1">
      <c r="A17" s="44" t="inlineStr">
        <is>
          <t>Row</t>
        </is>
      </c>
      <c r="B17" s="45" t="inlineStr">
        <is>
          <t>Branch code *</t>
        </is>
      </c>
      <c r="C17" s="45" t="inlineStr">
        <is>
          <t>Branch name *</t>
        </is>
      </c>
      <c r="D17" s="45" t="inlineStr">
        <is>
          <t>Region</t>
        </is>
      </c>
      <c r="E17" s="45" t="inlineStr">
        <is>
          <t>Address</t>
        </is>
      </c>
      <c r="F17" s="45" t="inlineStr">
        <is>
          <t>Opening date *</t>
        </is>
      </c>
      <c r="G17" s="45" t="inlineStr">
        <is>
          <t>Head office *</t>
        </is>
      </c>
      <c r="H17" s="45" t="inlineStr">
        <is>
          <t>Foreign currency authorised *</t>
        </is>
      </c>
      <c r="I17" s="45" t="inlineStr">
        <is>
          <t>Contact phone</t>
        </is>
      </c>
      <c r="J17" s="45" t="inlineStr">
        <is>
          <t>Contact e-mail</t>
        </is>
      </c>
      <c r="K17" s="45" t="inlineStr">
        <is>
          <t>Branch manager</t>
        </is>
      </c>
      <c r="L17" s="45" t="inlineStr">
        <is>
          <t>Weekly rest days</t>
        </is>
      </c>
      <c r="M17" s="45" t="inlineStr">
        <is>
          <t>Legacy branch codes</t>
        </is>
      </c>
      <c r="N17" s="45" t="inlineStr">
        <is>
          <t>BIR branch code</t>
        </is>
      </c>
      <c r="O17" s="45" t="inlineStr">
        <is>
          <t>RDO code</t>
        </is>
      </c>
    </row>
    <row r="18" ht="18" customHeight="1">
      <c r="A18" s="46" t="inlineStr">
        <is>
          <t>Example – overwrite or delete</t>
        </is>
      </c>
      <c r="B18" s="47" t="inlineStr">
        <is>
          <t>HO</t>
        </is>
      </c>
      <c r="C18" s="47" t="inlineStr">
        <is>
          <t>Head Office</t>
        </is>
      </c>
      <c r="D18" s="47" t="inlineStr">
        <is>
          <t>NCR</t>
        </is>
      </c>
      <c r="E18" s="47" t="inlineStr">
        <is>
          <t>Makati City</t>
        </is>
      </c>
      <c r="F18" s="48" t="n">
        <v>40179</v>
      </c>
      <c r="G18" s="47" t="inlineStr">
        <is>
          <t>Y</t>
        </is>
      </c>
      <c r="H18" s="47" t="inlineStr">
        <is>
          <t>Y</t>
        </is>
      </c>
      <c r="I18" s="47" t="inlineStr">
        <is>
          <t>(02) 8888-0000</t>
        </is>
      </c>
      <c r="J18" s="47" t="inlineStr">
        <is>
          <t>ho@company.example.ph</t>
        </is>
      </c>
      <c r="K18" s="47" t="n"/>
      <c r="L18" s="47" t="inlineStr">
        <is>
          <t>SAT,SUN</t>
        </is>
      </c>
      <c r="M18" s="47" t="inlineStr">
        <is>
          <t>001</t>
        </is>
      </c>
      <c r="N18" s="47" t="inlineStr">
        <is>
          <t>00000</t>
        </is>
      </c>
      <c r="O18" s="47" t="inlineStr">
        <is>
          <t>050</t>
        </is>
      </c>
    </row>
    <row r="19">
      <c r="B19" s="49" t="n"/>
      <c r="C19" s="49" t="n"/>
      <c r="D19" s="49" t="n"/>
      <c r="E19" s="49" t="n"/>
      <c r="F19" s="50" t="n"/>
      <c r="G19" s="49" t="n"/>
      <c r="H19" s="49" t="n"/>
      <c r="I19" s="49" t="n"/>
      <c r="J19" s="49" t="n"/>
      <c r="K19" s="49" t="n"/>
      <c r="L19" s="49" t="n"/>
      <c r="M19" s="49" t="n"/>
      <c r="N19" s="49" t="n"/>
      <c r="O19" s="49" t="n"/>
    </row>
    <row r="20">
      <c r="B20" s="49" t="n"/>
      <c r="C20" s="49" t="n"/>
      <c r="D20" s="49" t="n"/>
      <c r="E20" s="49" t="n"/>
      <c r="F20" s="50" t="n"/>
      <c r="G20" s="49" t="n"/>
      <c r="H20" s="49" t="n"/>
      <c r="I20" s="49" t="n"/>
      <c r="J20" s="49" t="n"/>
      <c r="K20" s="49" t="n"/>
      <c r="L20" s="49" t="n"/>
      <c r="M20" s="49" t="n"/>
      <c r="N20" s="49" t="n"/>
      <c r="O20" s="49" t="n"/>
    </row>
    <row r="21">
      <c r="B21" s="49" t="n"/>
      <c r="C21" s="49" t="n"/>
      <c r="D21" s="49" t="n"/>
      <c r="E21" s="49" t="n"/>
      <c r="F21" s="50" t="n"/>
      <c r="G21" s="49" t="n"/>
      <c r="H21" s="49" t="n"/>
      <c r="I21" s="49" t="n"/>
      <c r="J21" s="49" t="n"/>
      <c r="K21" s="49" t="n"/>
      <c r="L21" s="49" t="n"/>
      <c r="M21" s="49" t="n"/>
      <c r="N21" s="49" t="n"/>
      <c r="O21" s="49" t="n"/>
    </row>
    <row r="22">
      <c r="B22" s="49" t="n"/>
      <c r="C22" s="49" t="n"/>
      <c r="D22" s="49" t="n"/>
      <c r="E22" s="49" t="n"/>
      <c r="F22" s="50" t="n"/>
      <c r="G22" s="49" t="n"/>
      <c r="H22" s="49" t="n"/>
      <c r="I22" s="49" t="n"/>
      <c r="J22" s="49" t="n"/>
      <c r="K22" s="49" t="n"/>
      <c r="L22" s="49" t="n"/>
      <c r="M22" s="49" t="n"/>
      <c r="N22" s="49" t="n"/>
      <c r="O22" s="49" t="n"/>
    </row>
    <row r="23">
      <c r="B23" s="49" t="n"/>
      <c r="C23" s="49" t="n"/>
      <c r="D23" s="49" t="n"/>
      <c r="E23" s="49" t="n"/>
      <c r="F23" s="50" t="n"/>
      <c r="G23" s="49" t="n"/>
      <c r="H23" s="49" t="n"/>
      <c r="I23" s="49" t="n"/>
      <c r="J23" s="49" t="n"/>
      <c r="K23" s="49" t="n"/>
      <c r="L23" s="49" t="n"/>
      <c r="M23" s="49" t="n"/>
      <c r="N23" s="49" t="n"/>
      <c r="O23" s="49" t="n"/>
    </row>
    <row r="24">
      <c r="B24" s="49" t="n"/>
      <c r="C24" s="49" t="n"/>
      <c r="D24" s="49" t="n"/>
      <c r="E24" s="49" t="n"/>
      <c r="F24" s="50" t="n"/>
      <c r="G24" s="49" t="n"/>
      <c r="H24" s="49" t="n"/>
      <c r="I24" s="49" t="n"/>
      <c r="J24" s="49" t="n"/>
      <c r="K24" s="49" t="n"/>
      <c r="L24" s="49" t="n"/>
      <c r="M24" s="49" t="n"/>
      <c r="N24" s="49" t="n"/>
      <c r="O24" s="49" t="n"/>
    </row>
    <row r="25">
      <c r="B25" s="49" t="n"/>
      <c r="C25" s="49" t="n"/>
      <c r="D25" s="49" t="n"/>
      <c r="E25" s="49" t="n"/>
      <c r="F25" s="50" t="n"/>
      <c r="G25" s="49" t="n"/>
      <c r="H25" s="49" t="n"/>
      <c r="I25" s="49" t="n"/>
      <c r="J25" s="49" t="n"/>
      <c r="K25" s="49" t="n"/>
      <c r="L25" s="49" t="n"/>
      <c r="M25" s="49" t="n"/>
      <c r="N25" s="49" t="n"/>
      <c r="O25" s="49" t="n"/>
    </row>
    <row r="26">
      <c r="B26" s="49" t="n"/>
      <c r="C26" s="49" t="n"/>
      <c r="D26" s="49" t="n"/>
      <c r="E26" s="49" t="n"/>
      <c r="F26" s="50" t="n"/>
      <c r="G26" s="49" t="n"/>
      <c r="H26" s="49" t="n"/>
      <c r="I26" s="49" t="n"/>
      <c r="J26" s="49" t="n"/>
      <c r="K26" s="49" t="n"/>
      <c r="L26" s="49" t="n"/>
      <c r="M26" s="49" t="n"/>
      <c r="N26" s="49" t="n"/>
      <c r="O26" s="49" t="n"/>
    </row>
    <row r="27">
      <c r="B27" s="49" t="n"/>
      <c r="C27" s="49" t="n"/>
      <c r="D27" s="49" t="n"/>
      <c r="E27" s="49" t="n"/>
      <c r="F27" s="50" t="n"/>
      <c r="G27" s="49" t="n"/>
      <c r="H27" s="49" t="n"/>
      <c r="I27" s="49" t="n"/>
      <c r="J27" s="49" t="n"/>
      <c r="K27" s="49" t="n"/>
      <c r="L27" s="49" t="n"/>
      <c r="M27" s="49" t="n"/>
      <c r="N27" s="49" t="n"/>
      <c r="O27" s="49" t="n"/>
    </row>
    <row r="28">
      <c r="B28" s="49" t="n"/>
      <c r="C28" s="49" t="n"/>
      <c r="D28" s="49" t="n"/>
      <c r="E28" s="49" t="n"/>
      <c r="F28" s="50" t="n"/>
      <c r="G28" s="49" t="n"/>
      <c r="H28" s="49" t="n"/>
      <c r="I28" s="49" t="n"/>
      <c r="J28" s="49" t="n"/>
      <c r="K28" s="49" t="n"/>
      <c r="L28" s="49" t="n"/>
      <c r="M28" s="49" t="n"/>
      <c r="N28" s="49" t="n"/>
      <c r="O28" s="49" t="n"/>
    </row>
    <row r="29">
      <c r="B29" s="49" t="n"/>
      <c r="C29" s="49" t="n"/>
      <c r="D29" s="49" t="n"/>
      <c r="E29" s="49" t="n"/>
      <c r="F29" s="50" t="n"/>
      <c r="G29" s="49" t="n"/>
      <c r="H29" s="49" t="n"/>
      <c r="I29" s="49" t="n"/>
      <c r="J29" s="49" t="n"/>
      <c r="K29" s="49" t="n"/>
      <c r="L29" s="49" t="n"/>
      <c r="M29" s="49" t="n"/>
      <c r="N29" s="49" t="n"/>
      <c r="O29" s="49" t="n"/>
    </row>
    <row r="30">
      <c r="B30" s="49" t="n"/>
      <c r="C30" s="49" t="n"/>
      <c r="D30" s="49" t="n"/>
      <c r="E30" s="49" t="n"/>
      <c r="F30" s="50" t="n"/>
      <c r="G30" s="49" t="n"/>
      <c r="H30" s="49" t="n"/>
      <c r="I30" s="49" t="n"/>
      <c r="J30" s="49" t="n"/>
      <c r="K30" s="49" t="n"/>
      <c r="L30" s="49" t="n"/>
      <c r="M30" s="49" t="n"/>
      <c r="N30" s="49" t="n"/>
      <c r="O30" s="49" t="n"/>
    </row>
    <row r="31">
      <c r="B31" s="49" t="n"/>
      <c r="C31" s="49" t="n"/>
      <c r="D31" s="49" t="n"/>
      <c r="E31" s="49" t="n"/>
      <c r="F31" s="50" t="n"/>
      <c r="G31" s="49" t="n"/>
      <c r="H31" s="49" t="n"/>
      <c r="I31" s="49" t="n"/>
      <c r="J31" s="49" t="n"/>
      <c r="K31" s="49" t="n"/>
      <c r="L31" s="49" t="n"/>
      <c r="M31" s="49" t="n"/>
      <c r="N31" s="49" t="n"/>
      <c r="O31" s="49" t="n"/>
    </row>
    <row r="32">
      <c r="B32" s="49" t="n"/>
      <c r="C32" s="49" t="n"/>
      <c r="D32" s="49" t="n"/>
      <c r="E32" s="49" t="n"/>
      <c r="F32" s="50" t="n"/>
      <c r="G32" s="49" t="n"/>
      <c r="H32" s="49" t="n"/>
      <c r="I32" s="49" t="n"/>
      <c r="J32" s="49" t="n"/>
      <c r="K32" s="49" t="n"/>
      <c r="L32" s="49" t="n"/>
      <c r="M32" s="49" t="n"/>
      <c r="N32" s="49" t="n"/>
      <c r="O32" s="49" t="n"/>
    </row>
    <row r="33">
      <c r="B33" s="49" t="n"/>
      <c r="C33" s="49" t="n"/>
      <c r="D33" s="49" t="n"/>
      <c r="E33" s="49" t="n"/>
      <c r="F33" s="50" t="n"/>
      <c r="G33" s="49" t="n"/>
      <c r="H33" s="49" t="n"/>
      <c r="I33" s="49" t="n"/>
      <c r="J33" s="49" t="n"/>
      <c r="K33" s="49" t="n"/>
      <c r="L33" s="49" t="n"/>
      <c r="M33" s="49" t="n"/>
      <c r="N33" s="49" t="n"/>
      <c r="O33" s="49" t="n"/>
    </row>
    <row r="34">
      <c r="B34" s="49" t="n"/>
      <c r="C34" s="49" t="n"/>
      <c r="D34" s="49" t="n"/>
      <c r="E34" s="49" t="n"/>
      <c r="F34" s="50" t="n"/>
      <c r="G34" s="49" t="n"/>
      <c r="H34" s="49" t="n"/>
      <c r="I34" s="49" t="n"/>
      <c r="J34" s="49" t="n"/>
      <c r="K34" s="49" t="n"/>
      <c r="L34" s="49" t="n"/>
      <c r="M34" s="49" t="n"/>
      <c r="N34" s="49" t="n"/>
      <c r="O34" s="49" t="n"/>
    </row>
    <row r="35">
      <c r="B35" s="49" t="n"/>
      <c r="C35" s="49" t="n"/>
      <c r="D35" s="49" t="n"/>
      <c r="E35" s="49" t="n"/>
      <c r="F35" s="50" t="n"/>
      <c r="G35" s="49" t="n"/>
      <c r="H35" s="49" t="n"/>
      <c r="I35" s="49" t="n"/>
      <c r="J35" s="49" t="n"/>
      <c r="K35" s="49" t="n"/>
      <c r="L35" s="49" t="n"/>
      <c r="M35" s="49" t="n"/>
      <c r="N35" s="49" t="n"/>
      <c r="O35" s="49" t="n"/>
    </row>
    <row r="36">
      <c r="B36" s="49" t="n"/>
      <c r="C36" s="49" t="n"/>
      <c r="D36" s="49" t="n"/>
      <c r="E36" s="49" t="n"/>
      <c r="F36" s="50" t="n"/>
      <c r="G36" s="49" t="n"/>
      <c r="H36" s="49" t="n"/>
      <c r="I36" s="49" t="n"/>
      <c r="J36" s="49" t="n"/>
      <c r="K36" s="49" t="n"/>
      <c r="L36" s="49" t="n"/>
      <c r="M36" s="49" t="n"/>
      <c r="N36" s="49" t="n"/>
      <c r="O36" s="49" t="n"/>
    </row>
    <row r="37">
      <c r="B37" s="49" t="n"/>
      <c r="C37" s="49" t="n"/>
      <c r="D37" s="49" t="n"/>
      <c r="E37" s="49" t="n"/>
      <c r="F37" s="50" t="n"/>
      <c r="G37" s="49" t="n"/>
      <c r="H37" s="49" t="n"/>
      <c r="I37" s="49" t="n"/>
      <c r="J37" s="49" t="n"/>
      <c r="K37" s="49" t="n"/>
      <c r="L37" s="49" t="n"/>
      <c r="M37" s="49" t="n"/>
      <c r="N37" s="49" t="n"/>
      <c r="O37" s="49" t="n"/>
    </row>
    <row r="38">
      <c r="B38" s="49" t="n"/>
      <c r="C38" s="49" t="n"/>
      <c r="D38" s="49" t="n"/>
      <c r="E38" s="49" t="n"/>
      <c r="F38" s="50" t="n"/>
      <c r="G38" s="49" t="n"/>
      <c r="H38" s="49" t="n"/>
      <c r="I38" s="49" t="n"/>
      <c r="J38" s="49" t="n"/>
      <c r="K38" s="49" t="n"/>
      <c r="L38" s="49" t="n"/>
      <c r="M38" s="49" t="n"/>
      <c r="N38" s="49" t="n"/>
      <c r="O38" s="49" t="n"/>
    </row>
    <row r="39">
      <c r="B39" s="49" t="n"/>
      <c r="C39" s="49" t="n"/>
      <c r="D39" s="49" t="n"/>
      <c r="E39" s="49" t="n"/>
      <c r="F39" s="50" t="n"/>
      <c r="G39" s="49" t="n"/>
      <c r="H39" s="49" t="n"/>
      <c r="I39" s="49" t="n"/>
      <c r="J39" s="49" t="n"/>
      <c r="K39" s="49" t="n"/>
      <c r="L39" s="49" t="n"/>
      <c r="M39" s="49" t="n"/>
      <c r="N39" s="49" t="n"/>
      <c r="O39" s="49" t="n"/>
    </row>
    <row r="40">
      <c r="B40" s="49" t="n"/>
      <c r="C40" s="49" t="n"/>
      <c r="D40" s="49" t="n"/>
      <c r="E40" s="49" t="n"/>
      <c r="F40" s="50" t="n"/>
      <c r="G40" s="49" t="n"/>
      <c r="H40" s="49" t="n"/>
      <c r="I40" s="49" t="n"/>
      <c r="J40" s="49" t="n"/>
      <c r="K40" s="49" t="n"/>
      <c r="L40" s="49" t="n"/>
      <c r="M40" s="49" t="n"/>
      <c r="N40" s="49" t="n"/>
      <c r="O40" s="49" t="n"/>
    </row>
    <row r="41">
      <c r="B41" s="49" t="n"/>
      <c r="C41" s="49" t="n"/>
      <c r="D41" s="49" t="n"/>
      <c r="E41" s="49" t="n"/>
      <c r="F41" s="50" t="n"/>
      <c r="G41" s="49" t="n"/>
      <c r="H41" s="49" t="n"/>
      <c r="I41" s="49" t="n"/>
      <c r="J41" s="49" t="n"/>
      <c r="K41" s="49" t="n"/>
      <c r="L41" s="49" t="n"/>
      <c r="M41" s="49" t="n"/>
      <c r="N41" s="49" t="n"/>
      <c r="O41" s="49" t="n"/>
    </row>
    <row r="42">
      <c r="B42" s="49" t="n"/>
      <c r="C42" s="49" t="n"/>
      <c r="D42" s="49" t="n"/>
      <c r="E42" s="49" t="n"/>
      <c r="F42" s="50" t="n"/>
      <c r="G42" s="49" t="n"/>
      <c r="H42" s="49" t="n"/>
      <c r="I42" s="49" t="n"/>
      <c r="J42" s="49" t="n"/>
      <c r="K42" s="49" t="n"/>
      <c r="L42" s="49" t="n"/>
      <c r="M42" s="49" t="n"/>
      <c r="N42" s="49" t="n"/>
      <c r="O42" s="49" t="n"/>
    </row>
    <row r="43">
      <c r="B43" s="49" t="n"/>
      <c r="C43" s="49" t="n"/>
      <c r="D43" s="49" t="n"/>
      <c r="E43" s="49" t="n"/>
      <c r="F43" s="50" t="n"/>
      <c r="G43" s="49" t="n"/>
      <c r="H43" s="49" t="n"/>
      <c r="I43" s="49" t="n"/>
      <c r="J43" s="49" t="n"/>
      <c r="K43" s="49" t="n"/>
      <c r="L43" s="49" t="n"/>
      <c r="M43" s="49" t="n"/>
      <c r="N43" s="49" t="n"/>
      <c r="O43" s="49" t="n"/>
    </row>
    <row r="44">
      <c r="B44" s="49" t="n"/>
      <c r="C44" s="49" t="n"/>
      <c r="D44" s="49" t="n"/>
      <c r="E44" s="49" t="n"/>
      <c r="F44" s="50" t="n"/>
      <c r="G44" s="49" t="n"/>
      <c r="H44" s="49" t="n"/>
      <c r="I44" s="49" t="n"/>
      <c r="J44" s="49" t="n"/>
      <c r="K44" s="49" t="n"/>
      <c r="L44" s="49" t="n"/>
      <c r="M44" s="49" t="n"/>
      <c r="N44" s="49" t="n"/>
      <c r="O44" s="49" t="n"/>
    </row>
    <row r="45">
      <c r="B45" s="49" t="n"/>
      <c r="C45" s="49" t="n"/>
      <c r="D45" s="49" t="n"/>
      <c r="E45" s="49" t="n"/>
      <c r="F45" s="50" t="n"/>
      <c r="G45" s="49" t="n"/>
      <c r="H45" s="49" t="n"/>
      <c r="I45" s="49" t="n"/>
      <c r="J45" s="49" t="n"/>
      <c r="K45" s="49" t="n"/>
      <c r="L45" s="49" t="n"/>
      <c r="M45" s="49" t="n"/>
      <c r="N45" s="49" t="n"/>
      <c r="O45" s="49" t="n"/>
    </row>
    <row r="46">
      <c r="B46" s="49" t="n"/>
      <c r="C46" s="49" t="n"/>
      <c r="D46" s="49" t="n"/>
      <c r="E46" s="49" t="n"/>
      <c r="F46" s="50" t="n"/>
      <c r="G46" s="49" t="n"/>
      <c r="H46" s="49" t="n"/>
      <c r="I46" s="49" t="n"/>
      <c r="J46" s="49" t="n"/>
      <c r="K46" s="49" t="n"/>
      <c r="L46" s="49" t="n"/>
      <c r="M46" s="49" t="n"/>
      <c r="N46" s="49" t="n"/>
      <c r="O46" s="49" t="n"/>
    </row>
    <row r="47">
      <c r="B47" s="49" t="n"/>
      <c r="C47" s="49" t="n"/>
      <c r="D47" s="49" t="n"/>
      <c r="E47" s="49" t="n"/>
      <c r="F47" s="50" t="n"/>
      <c r="G47" s="49" t="n"/>
      <c r="H47" s="49" t="n"/>
      <c r="I47" s="49" t="n"/>
      <c r="J47" s="49" t="n"/>
      <c r="K47" s="49" t="n"/>
      <c r="L47" s="49" t="n"/>
      <c r="M47" s="49" t="n"/>
      <c r="N47" s="49" t="n"/>
      <c r="O47" s="49" t="n"/>
    </row>
    <row r="48">
      <c r="B48" s="49" t="n"/>
      <c r="C48" s="49" t="n"/>
      <c r="D48" s="49" t="n"/>
      <c r="E48" s="49" t="n"/>
      <c r="F48" s="50" t="n"/>
      <c r="G48" s="49" t="n"/>
      <c r="H48" s="49" t="n"/>
      <c r="I48" s="49" t="n"/>
      <c r="J48" s="49" t="n"/>
      <c r="K48" s="49" t="n"/>
      <c r="L48" s="49" t="n"/>
      <c r="M48" s="49" t="n"/>
      <c r="N48" s="49" t="n"/>
      <c r="O48" s="49" t="n"/>
    </row>
    <row r="49">
      <c r="B49" s="49" t="n"/>
      <c r="C49" s="49" t="n"/>
      <c r="D49" s="49" t="n"/>
      <c r="E49" s="49" t="n"/>
      <c r="F49" s="50" t="n"/>
      <c r="G49" s="49" t="n"/>
      <c r="H49" s="49" t="n"/>
      <c r="I49" s="49" t="n"/>
      <c r="J49" s="49" t="n"/>
      <c r="K49" s="49" t="n"/>
      <c r="L49" s="49" t="n"/>
      <c r="M49" s="49" t="n"/>
      <c r="N49" s="49" t="n"/>
      <c r="O49" s="49" t="n"/>
    </row>
    <row r="50">
      <c r="B50" s="49" t="n"/>
      <c r="C50" s="49" t="n"/>
      <c r="D50" s="49" t="n"/>
      <c r="E50" s="49" t="n"/>
      <c r="F50" s="50" t="n"/>
      <c r="G50" s="49" t="n"/>
      <c r="H50" s="49" t="n"/>
      <c r="I50" s="49" t="n"/>
      <c r="J50" s="49" t="n"/>
      <c r="K50" s="49" t="n"/>
      <c r="L50" s="49" t="n"/>
      <c r="M50" s="49" t="n"/>
      <c r="N50" s="49" t="n"/>
      <c r="O50" s="49" t="n"/>
    </row>
    <row r="51">
      <c r="B51" s="49" t="n"/>
      <c r="C51" s="49" t="n"/>
      <c r="D51" s="49" t="n"/>
      <c r="E51" s="49" t="n"/>
      <c r="F51" s="50" t="n"/>
      <c r="G51" s="49" t="n"/>
      <c r="H51" s="49" t="n"/>
      <c r="I51" s="49" t="n"/>
      <c r="J51" s="49" t="n"/>
      <c r="K51" s="49" t="n"/>
      <c r="L51" s="49" t="n"/>
      <c r="M51" s="49" t="n"/>
      <c r="N51" s="49" t="n"/>
      <c r="O51" s="49" t="n"/>
    </row>
    <row r="52">
      <c r="B52" s="49" t="n"/>
      <c r="C52" s="49" t="n"/>
      <c r="D52" s="49" t="n"/>
      <c r="E52" s="49" t="n"/>
      <c r="F52" s="50" t="n"/>
      <c r="G52" s="49" t="n"/>
      <c r="H52" s="49" t="n"/>
      <c r="I52" s="49" t="n"/>
      <c r="J52" s="49" t="n"/>
      <c r="K52" s="49" t="n"/>
      <c r="L52" s="49" t="n"/>
      <c r="M52" s="49" t="n"/>
      <c r="N52" s="49" t="n"/>
      <c r="O52" s="49" t="n"/>
    </row>
    <row r="53">
      <c r="B53" s="49" t="n"/>
      <c r="C53" s="49" t="n"/>
      <c r="D53" s="49" t="n"/>
      <c r="E53" s="49" t="n"/>
      <c r="F53" s="50" t="n"/>
      <c r="G53" s="49" t="n"/>
      <c r="H53" s="49" t="n"/>
      <c r="I53" s="49" t="n"/>
      <c r="J53" s="49" t="n"/>
      <c r="K53" s="49" t="n"/>
      <c r="L53" s="49" t="n"/>
      <c r="M53" s="49" t="n"/>
      <c r="N53" s="49" t="n"/>
      <c r="O53" s="49" t="n"/>
    </row>
    <row r="54">
      <c r="B54" s="49" t="n"/>
      <c r="C54" s="49" t="n"/>
      <c r="D54" s="49" t="n"/>
      <c r="E54" s="49" t="n"/>
      <c r="F54" s="50" t="n"/>
      <c r="G54" s="49" t="n"/>
      <c r="H54" s="49" t="n"/>
      <c r="I54" s="49" t="n"/>
      <c r="J54" s="49" t="n"/>
      <c r="K54" s="49" t="n"/>
      <c r="L54" s="49" t="n"/>
      <c r="M54" s="49" t="n"/>
      <c r="N54" s="49" t="n"/>
      <c r="O54" s="49" t="n"/>
    </row>
    <row r="55">
      <c r="B55" s="49" t="n"/>
      <c r="C55" s="49" t="n"/>
      <c r="D55" s="49" t="n"/>
      <c r="E55" s="49" t="n"/>
      <c r="F55" s="50" t="n"/>
      <c r="G55" s="49" t="n"/>
      <c r="H55" s="49" t="n"/>
      <c r="I55" s="49" t="n"/>
      <c r="J55" s="49" t="n"/>
      <c r="K55" s="49" t="n"/>
      <c r="L55" s="49" t="n"/>
      <c r="M55" s="49" t="n"/>
      <c r="N55" s="49" t="n"/>
      <c r="O55" s="49" t="n"/>
    </row>
    <row r="56">
      <c r="B56" s="49" t="n"/>
      <c r="C56" s="49" t="n"/>
      <c r="D56" s="49" t="n"/>
      <c r="E56" s="49" t="n"/>
      <c r="F56" s="50" t="n"/>
      <c r="G56" s="49" t="n"/>
      <c r="H56" s="49" t="n"/>
      <c r="I56" s="49" t="n"/>
      <c r="J56" s="49" t="n"/>
      <c r="K56" s="49" t="n"/>
      <c r="L56" s="49" t="n"/>
      <c r="M56" s="49" t="n"/>
      <c r="N56" s="49" t="n"/>
      <c r="O56" s="49" t="n"/>
    </row>
    <row r="57">
      <c r="B57" s="49" t="n"/>
      <c r="C57" s="49" t="n"/>
      <c r="D57" s="49" t="n"/>
      <c r="E57" s="49" t="n"/>
      <c r="F57" s="50" t="n"/>
      <c r="G57" s="49" t="n"/>
      <c r="H57" s="49" t="n"/>
      <c r="I57" s="49" t="n"/>
      <c r="J57" s="49" t="n"/>
      <c r="K57" s="49" t="n"/>
      <c r="L57" s="49" t="n"/>
      <c r="M57" s="49" t="n"/>
      <c r="N57" s="49" t="n"/>
      <c r="O57" s="49" t="n"/>
    </row>
    <row r="58">
      <c r="B58" s="49" t="n"/>
      <c r="C58" s="49" t="n"/>
      <c r="D58" s="49" t="n"/>
      <c r="E58" s="49" t="n"/>
      <c r="F58" s="50" t="n"/>
      <c r="G58" s="49" t="n"/>
      <c r="H58" s="49" t="n"/>
      <c r="I58" s="49" t="n"/>
      <c r="J58" s="49" t="n"/>
      <c r="K58" s="49" t="n"/>
      <c r="L58" s="49" t="n"/>
      <c r="M58" s="49" t="n"/>
      <c r="N58" s="49" t="n"/>
      <c r="O58" s="49" t="n"/>
    </row>
    <row r="59">
      <c r="B59" s="49" t="n"/>
      <c r="C59" s="49" t="n"/>
      <c r="D59" s="49" t="n"/>
      <c r="E59" s="49" t="n"/>
      <c r="F59" s="50" t="n"/>
      <c r="G59" s="49" t="n"/>
      <c r="H59" s="49" t="n"/>
      <c r="I59" s="49" t="n"/>
      <c r="J59" s="49" t="n"/>
      <c r="K59" s="49" t="n"/>
      <c r="L59" s="49" t="n"/>
      <c r="M59" s="49" t="n"/>
      <c r="N59" s="49" t="n"/>
      <c r="O59" s="49" t="n"/>
    </row>
    <row r="60">
      <c r="B60" s="49" t="n"/>
      <c r="C60" s="49" t="n"/>
      <c r="D60" s="49" t="n"/>
      <c r="E60" s="49" t="n"/>
      <c r="F60" s="50" t="n"/>
      <c r="G60" s="49" t="n"/>
      <c r="H60" s="49" t="n"/>
      <c r="I60" s="49" t="n"/>
      <c r="J60" s="49" t="n"/>
      <c r="K60" s="49" t="n"/>
      <c r="L60" s="49" t="n"/>
      <c r="M60" s="49" t="n"/>
      <c r="N60" s="49" t="n"/>
      <c r="O60" s="49" t="n"/>
    </row>
    <row r="61">
      <c r="B61" s="49" t="n"/>
      <c r="C61" s="49" t="n"/>
      <c r="D61" s="49" t="n"/>
      <c r="E61" s="49" t="n"/>
      <c r="F61" s="50" t="n"/>
      <c r="G61" s="49" t="n"/>
      <c r="H61" s="49" t="n"/>
      <c r="I61" s="49" t="n"/>
      <c r="J61" s="49" t="n"/>
      <c r="K61" s="49" t="n"/>
      <c r="L61" s="49" t="n"/>
      <c r="M61" s="49" t="n"/>
      <c r="N61" s="49" t="n"/>
      <c r="O61" s="49" t="n"/>
    </row>
    <row r="62">
      <c r="B62" s="49" t="n"/>
      <c r="C62" s="49" t="n"/>
      <c r="D62" s="49" t="n"/>
      <c r="E62" s="49" t="n"/>
      <c r="F62" s="50" t="n"/>
      <c r="G62" s="49" t="n"/>
      <c r="H62" s="49" t="n"/>
      <c r="I62" s="49" t="n"/>
      <c r="J62" s="49" t="n"/>
      <c r="K62" s="49" t="n"/>
      <c r="L62" s="49" t="n"/>
      <c r="M62" s="49" t="n"/>
      <c r="N62" s="49" t="n"/>
      <c r="O62" s="49" t="n"/>
    </row>
    <row r="63">
      <c r="B63" s="49" t="n"/>
      <c r="C63" s="49" t="n"/>
      <c r="D63" s="49" t="n"/>
      <c r="E63" s="49" t="n"/>
      <c r="F63" s="50" t="n"/>
      <c r="G63" s="49" t="n"/>
      <c r="H63" s="49" t="n"/>
      <c r="I63" s="49" t="n"/>
      <c r="J63" s="49" t="n"/>
      <c r="K63" s="49" t="n"/>
      <c r="L63" s="49" t="n"/>
      <c r="M63" s="49" t="n"/>
      <c r="N63" s="49" t="n"/>
      <c r="O63" s="49" t="n"/>
    </row>
    <row r="64">
      <c r="B64" s="49" t="n"/>
      <c r="C64" s="49" t="n"/>
      <c r="D64" s="49" t="n"/>
      <c r="E64" s="49" t="n"/>
      <c r="F64" s="50" t="n"/>
      <c r="G64" s="49" t="n"/>
      <c r="H64" s="49" t="n"/>
      <c r="I64" s="49" t="n"/>
      <c r="J64" s="49" t="n"/>
      <c r="K64" s="49" t="n"/>
      <c r="L64" s="49" t="n"/>
      <c r="M64" s="49" t="n"/>
      <c r="N64" s="49" t="n"/>
      <c r="O64" s="49" t="n"/>
    </row>
    <row r="65">
      <c r="B65" s="49" t="n"/>
      <c r="C65" s="49" t="n"/>
      <c r="D65" s="49" t="n"/>
      <c r="E65" s="49" t="n"/>
      <c r="F65" s="50" t="n"/>
      <c r="G65" s="49" t="n"/>
      <c r="H65" s="49" t="n"/>
      <c r="I65" s="49" t="n"/>
      <c r="J65" s="49" t="n"/>
      <c r="K65" s="49" t="n"/>
      <c r="L65" s="49" t="n"/>
      <c r="M65" s="49" t="n"/>
      <c r="N65" s="49" t="n"/>
      <c r="O65" s="49" t="n"/>
    </row>
    <row r="66">
      <c r="B66" s="49" t="n"/>
      <c r="C66" s="49" t="n"/>
      <c r="D66" s="49" t="n"/>
      <c r="E66" s="49" t="n"/>
      <c r="F66" s="50" t="n"/>
      <c r="G66" s="49" t="n"/>
      <c r="H66" s="49" t="n"/>
      <c r="I66" s="49" t="n"/>
      <c r="J66" s="49" t="n"/>
      <c r="K66" s="49" t="n"/>
      <c r="L66" s="49" t="n"/>
      <c r="M66" s="49" t="n"/>
      <c r="N66" s="49" t="n"/>
      <c r="O66" s="49" t="n"/>
    </row>
    <row r="67">
      <c r="B67" s="49" t="n"/>
      <c r="C67" s="49" t="n"/>
      <c r="D67" s="49" t="n"/>
      <c r="E67" s="49" t="n"/>
      <c r="F67" s="50" t="n"/>
      <c r="G67" s="49" t="n"/>
      <c r="H67" s="49" t="n"/>
      <c r="I67" s="49" t="n"/>
      <c r="J67" s="49" t="n"/>
      <c r="K67" s="49" t="n"/>
      <c r="L67" s="49" t="n"/>
      <c r="M67" s="49" t="n"/>
      <c r="N67" s="49" t="n"/>
      <c r="O67" s="49" t="n"/>
    </row>
    <row r="68">
      <c r="B68" s="49" t="n"/>
      <c r="C68" s="49" t="n"/>
      <c r="D68" s="49" t="n"/>
      <c r="E68" s="49" t="n"/>
      <c r="F68" s="50" t="n"/>
      <c r="G68" s="49" t="n"/>
      <c r="H68" s="49" t="n"/>
      <c r="I68" s="49" t="n"/>
      <c r="J68" s="49" t="n"/>
      <c r="K68" s="49" t="n"/>
      <c r="L68" s="49" t="n"/>
      <c r="M68" s="49" t="n"/>
      <c r="N68" s="49" t="n"/>
      <c r="O68" s="49" t="n"/>
    </row>
    <row r="69">
      <c r="B69" s="49" t="n"/>
      <c r="C69" s="49" t="n"/>
      <c r="D69" s="49" t="n"/>
      <c r="E69" s="49" t="n"/>
      <c r="F69" s="50" t="n"/>
      <c r="G69" s="49" t="n"/>
      <c r="H69" s="49" t="n"/>
      <c r="I69" s="49" t="n"/>
      <c r="J69" s="49" t="n"/>
      <c r="K69" s="49" t="n"/>
      <c r="L69" s="49" t="n"/>
      <c r="M69" s="49" t="n"/>
      <c r="N69" s="49" t="n"/>
      <c r="O69" s="49" t="n"/>
    </row>
    <row r="70">
      <c r="B70" s="49" t="n"/>
      <c r="C70" s="49" t="n"/>
      <c r="D70" s="49" t="n"/>
      <c r="E70" s="49" t="n"/>
      <c r="F70" s="50" t="n"/>
      <c r="G70" s="49" t="n"/>
      <c r="H70" s="49" t="n"/>
      <c r="I70" s="49" t="n"/>
      <c r="J70" s="49" t="n"/>
      <c r="K70" s="49" t="n"/>
      <c r="L70" s="49" t="n"/>
      <c r="M70" s="49" t="n"/>
      <c r="N70" s="49" t="n"/>
      <c r="O70" s="49" t="n"/>
    </row>
    <row r="71">
      <c r="B71" s="49" t="n"/>
      <c r="C71" s="49" t="n"/>
      <c r="D71" s="49" t="n"/>
      <c r="E71" s="49" t="n"/>
      <c r="F71" s="50" t="n"/>
      <c r="G71" s="49" t="n"/>
      <c r="H71" s="49" t="n"/>
      <c r="I71" s="49" t="n"/>
      <c r="J71" s="49" t="n"/>
      <c r="K71" s="49" t="n"/>
      <c r="L71" s="49" t="n"/>
      <c r="M71" s="49" t="n"/>
      <c r="N71" s="49" t="n"/>
      <c r="O71" s="49" t="n"/>
    </row>
    <row r="72">
      <c r="B72" s="49" t="n"/>
      <c r="C72" s="49" t="n"/>
      <c r="D72" s="49" t="n"/>
      <c r="E72" s="49" t="n"/>
      <c r="F72" s="50" t="n"/>
      <c r="G72" s="49" t="n"/>
      <c r="H72" s="49" t="n"/>
      <c r="I72" s="49" t="n"/>
      <c r="J72" s="49" t="n"/>
      <c r="K72" s="49" t="n"/>
      <c r="L72" s="49" t="n"/>
      <c r="M72" s="49" t="n"/>
      <c r="N72" s="49" t="n"/>
      <c r="O72" s="49" t="n"/>
    </row>
    <row r="73">
      <c r="B73" s="49" t="n"/>
      <c r="C73" s="49" t="n"/>
      <c r="D73" s="49" t="n"/>
      <c r="E73" s="49" t="n"/>
      <c r="F73" s="50" t="n"/>
      <c r="G73" s="49" t="n"/>
      <c r="H73" s="49" t="n"/>
      <c r="I73" s="49" t="n"/>
      <c r="J73" s="49" t="n"/>
      <c r="K73" s="49" t="n"/>
      <c r="L73" s="49" t="n"/>
      <c r="M73" s="49" t="n"/>
      <c r="N73" s="49" t="n"/>
      <c r="O73" s="49" t="n"/>
    </row>
    <row r="74">
      <c r="B74" s="49" t="n"/>
      <c r="C74" s="49" t="n"/>
      <c r="D74" s="49" t="n"/>
      <c r="E74" s="49" t="n"/>
      <c r="F74" s="50" t="n"/>
      <c r="G74" s="49" t="n"/>
      <c r="H74" s="49" t="n"/>
      <c r="I74" s="49" t="n"/>
      <c r="J74" s="49" t="n"/>
      <c r="K74" s="49" t="n"/>
      <c r="L74" s="49" t="n"/>
      <c r="M74" s="49" t="n"/>
      <c r="N74" s="49" t="n"/>
      <c r="O74" s="49" t="n"/>
    </row>
    <row r="75">
      <c r="B75" s="49" t="n"/>
      <c r="C75" s="49" t="n"/>
      <c r="D75" s="49" t="n"/>
      <c r="E75" s="49" t="n"/>
      <c r="F75" s="50" t="n"/>
      <c r="G75" s="49" t="n"/>
      <c r="H75" s="49" t="n"/>
      <c r="I75" s="49" t="n"/>
      <c r="J75" s="49" t="n"/>
      <c r="K75" s="49" t="n"/>
      <c r="L75" s="49" t="n"/>
      <c r="M75" s="49" t="n"/>
      <c r="N75" s="49" t="n"/>
      <c r="O75" s="49" t="n"/>
    </row>
    <row r="76">
      <c r="B76" s="49" t="n"/>
      <c r="C76" s="49" t="n"/>
      <c r="D76" s="49" t="n"/>
      <c r="E76" s="49" t="n"/>
      <c r="F76" s="50" t="n"/>
      <c r="G76" s="49" t="n"/>
      <c r="H76" s="49" t="n"/>
      <c r="I76" s="49" t="n"/>
      <c r="J76" s="49" t="n"/>
      <c r="K76" s="49" t="n"/>
      <c r="L76" s="49" t="n"/>
      <c r="M76" s="49" t="n"/>
      <c r="N76" s="49" t="n"/>
      <c r="O76" s="49" t="n"/>
    </row>
    <row r="77">
      <c r="B77" s="49" t="n"/>
      <c r="C77" s="49" t="n"/>
      <c r="D77" s="49" t="n"/>
      <c r="E77" s="49" t="n"/>
      <c r="F77" s="50" t="n"/>
      <c r="G77" s="49" t="n"/>
      <c r="H77" s="49" t="n"/>
      <c r="I77" s="49" t="n"/>
      <c r="J77" s="49" t="n"/>
      <c r="K77" s="49" t="n"/>
      <c r="L77" s="49" t="n"/>
      <c r="M77" s="49" t="n"/>
      <c r="N77" s="49" t="n"/>
      <c r="O77" s="49" t="n"/>
    </row>
    <row r="78">
      <c r="B78" s="49" t="n"/>
      <c r="C78" s="49" t="n"/>
      <c r="D78" s="49" t="n"/>
      <c r="E78" s="49" t="n"/>
      <c r="F78" s="50" t="n"/>
      <c r="G78" s="49" t="n"/>
      <c r="H78" s="49" t="n"/>
      <c r="I78" s="49" t="n"/>
      <c r="J78" s="49" t="n"/>
      <c r="K78" s="49" t="n"/>
      <c r="L78" s="49" t="n"/>
      <c r="M78" s="49" t="n"/>
      <c r="N78" s="49" t="n"/>
      <c r="O78" s="49" t="n"/>
    </row>
    <row r="79">
      <c r="B79" s="49" t="n"/>
      <c r="C79" s="49" t="n"/>
      <c r="D79" s="49" t="n"/>
      <c r="E79" s="49" t="n"/>
      <c r="F79" s="50" t="n"/>
      <c r="G79" s="49" t="n"/>
      <c r="H79" s="49" t="n"/>
      <c r="I79" s="49" t="n"/>
      <c r="J79" s="49" t="n"/>
      <c r="K79" s="49" t="n"/>
      <c r="L79" s="49" t="n"/>
      <c r="M79" s="49" t="n"/>
      <c r="N79" s="49" t="n"/>
      <c r="O79" s="49" t="n"/>
    </row>
    <row r="80">
      <c r="B80" s="49" t="n"/>
      <c r="C80" s="49" t="n"/>
      <c r="D80" s="49" t="n"/>
      <c r="E80" s="49" t="n"/>
      <c r="F80" s="50" t="n"/>
      <c r="G80" s="49" t="n"/>
      <c r="H80" s="49" t="n"/>
      <c r="I80" s="49" t="n"/>
      <c r="J80" s="49" t="n"/>
      <c r="K80" s="49" t="n"/>
      <c r="L80" s="49" t="n"/>
      <c r="M80" s="49" t="n"/>
      <c r="N80" s="49" t="n"/>
      <c r="O80" s="49" t="n"/>
    </row>
    <row r="81">
      <c r="B81" s="49" t="n"/>
      <c r="C81" s="49" t="n"/>
      <c r="D81" s="49" t="n"/>
      <c r="E81" s="49" t="n"/>
      <c r="F81" s="50" t="n"/>
      <c r="G81" s="49" t="n"/>
      <c r="H81" s="49" t="n"/>
      <c r="I81" s="49" t="n"/>
      <c r="J81" s="49" t="n"/>
      <c r="K81" s="49" t="n"/>
      <c r="L81" s="49" t="n"/>
      <c r="M81" s="49" t="n"/>
      <c r="N81" s="49" t="n"/>
      <c r="O81" s="49" t="n"/>
    </row>
    <row r="82">
      <c r="B82" s="49" t="n"/>
      <c r="C82" s="49" t="n"/>
      <c r="D82" s="49" t="n"/>
      <c r="E82" s="49" t="n"/>
      <c r="F82" s="50" t="n"/>
      <c r="G82" s="49" t="n"/>
      <c r="H82" s="49" t="n"/>
      <c r="I82" s="49" t="n"/>
      <c r="J82" s="49" t="n"/>
      <c r="K82" s="49" t="n"/>
      <c r="L82" s="49" t="n"/>
      <c r="M82" s="49" t="n"/>
      <c r="N82" s="49" t="n"/>
      <c r="O82" s="49" t="n"/>
    </row>
    <row r="83">
      <c r="B83" s="49" t="n"/>
      <c r="C83" s="49" t="n"/>
      <c r="D83" s="49" t="n"/>
      <c r="E83" s="49" t="n"/>
      <c r="F83" s="50" t="n"/>
      <c r="G83" s="49" t="n"/>
      <c r="H83" s="49" t="n"/>
      <c r="I83" s="49" t="n"/>
      <c r="J83" s="49" t="n"/>
      <c r="K83" s="49" t="n"/>
      <c r="L83" s="49" t="n"/>
      <c r="M83" s="49" t="n"/>
      <c r="N83" s="49" t="n"/>
      <c r="O83" s="49" t="n"/>
    </row>
    <row r="84">
      <c r="B84" s="49" t="n"/>
      <c r="C84" s="49" t="n"/>
      <c r="D84" s="49" t="n"/>
      <c r="E84" s="49" t="n"/>
      <c r="F84" s="50" t="n"/>
      <c r="G84" s="49" t="n"/>
      <c r="H84" s="49" t="n"/>
      <c r="I84" s="49" t="n"/>
      <c r="J84" s="49" t="n"/>
      <c r="K84" s="49" t="n"/>
      <c r="L84" s="49" t="n"/>
      <c r="M84" s="49" t="n"/>
      <c r="N84" s="49" t="n"/>
      <c r="O84" s="49" t="n"/>
    </row>
    <row r="85">
      <c r="B85" s="49" t="n"/>
      <c r="C85" s="49" t="n"/>
      <c r="D85" s="49" t="n"/>
      <c r="E85" s="49" t="n"/>
      <c r="F85" s="50" t="n"/>
      <c r="G85" s="49" t="n"/>
      <c r="H85" s="49" t="n"/>
      <c r="I85" s="49" t="n"/>
      <c r="J85" s="49" t="n"/>
      <c r="K85" s="49" t="n"/>
      <c r="L85" s="49" t="n"/>
      <c r="M85" s="49" t="n"/>
      <c r="N85" s="49" t="n"/>
      <c r="O85" s="49" t="n"/>
    </row>
    <row r="86">
      <c r="B86" s="49" t="n"/>
      <c r="C86" s="49" t="n"/>
      <c r="D86" s="49" t="n"/>
      <c r="E86" s="49" t="n"/>
      <c r="F86" s="50" t="n"/>
      <c r="G86" s="49" t="n"/>
      <c r="H86" s="49" t="n"/>
      <c r="I86" s="49" t="n"/>
      <c r="J86" s="49" t="n"/>
      <c r="K86" s="49" t="n"/>
      <c r="L86" s="49" t="n"/>
      <c r="M86" s="49" t="n"/>
      <c r="N86" s="49" t="n"/>
      <c r="O86" s="49" t="n"/>
    </row>
    <row r="87">
      <c r="B87" s="49" t="n"/>
      <c r="C87" s="49" t="n"/>
      <c r="D87" s="49" t="n"/>
      <c r="E87" s="49" t="n"/>
      <c r="F87" s="50" t="n"/>
      <c r="G87" s="49" t="n"/>
      <c r="H87" s="49" t="n"/>
      <c r="I87" s="49" t="n"/>
      <c r="J87" s="49" t="n"/>
      <c r="K87" s="49" t="n"/>
      <c r="L87" s="49" t="n"/>
      <c r="M87" s="49" t="n"/>
      <c r="N87" s="49" t="n"/>
      <c r="O87" s="49" t="n"/>
    </row>
    <row r="88">
      <c r="B88" s="49" t="n"/>
      <c r="C88" s="49" t="n"/>
      <c r="D88" s="49" t="n"/>
      <c r="E88" s="49" t="n"/>
      <c r="F88" s="50" t="n"/>
      <c r="G88" s="49" t="n"/>
      <c r="H88" s="49" t="n"/>
      <c r="I88" s="49" t="n"/>
      <c r="J88" s="49" t="n"/>
      <c r="K88" s="49" t="n"/>
      <c r="L88" s="49" t="n"/>
      <c r="M88" s="49" t="n"/>
      <c r="N88" s="49" t="n"/>
      <c r="O88" s="49" t="n"/>
    </row>
    <row r="89">
      <c r="B89" s="49" t="n"/>
      <c r="C89" s="49" t="n"/>
      <c r="D89" s="49" t="n"/>
      <c r="E89" s="49" t="n"/>
      <c r="F89" s="50" t="n"/>
      <c r="G89" s="49" t="n"/>
      <c r="H89" s="49" t="n"/>
      <c r="I89" s="49" t="n"/>
      <c r="J89" s="49" t="n"/>
      <c r="K89" s="49" t="n"/>
      <c r="L89" s="49" t="n"/>
      <c r="M89" s="49" t="n"/>
      <c r="N89" s="49" t="n"/>
      <c r="O89" s="49" t="n"/>
    </row>
    <row r="90">
      <c r="B90" s="49" t="n"/>
      <c r="C90" s="49" t="n"/>
      <c r="D90" s="49" t="n"/>
      <c r="E90" s="49" t="n"/>
      <c r="F90" s="50" t="n"/>
      <c r="G90" s="49" t="n"/>
      <c r="H90" s="49" t="n"/>
      <c r="I90" s="49" t="n"/>
      <c r="J90" s="49" t="n"/>
      <c r="K90" s="49" t="n"/>
      <c r="L90" s="49" t="n"/>
      <c r="M90" s="49" t="n"/>
      <c r="N90" s="49" t="n"/>
      <c r="O90" s="49" t="n"/>
    </row>
    <row r="91">
      <c r="B91" s="49" t="n"/>
      <c r="C91" s="49" t="n"/>
      <c r="D91" s="49" t="n"/>
      <c r="E91" s="49" t="n"/>
      <c r="F91" s="50" t="n"/>
      <c r="G91" s="49" t="n"/>
      <c r="H91" s="49" t="n"/>
      <c r="I91" s="49" t="n"/>
      <c r="J91" s="49" t="n"/>
      <c r="K91" s="49" t="n"/>
      <c r="L91" s="49" t="n"/>
      <c r="M91" s="49" t="n"/>
      <c r="N91" s="49" t="n"/>
      <c r="O91" s="49" t="n"/>
    </row>
    <row r="92">
      <c r="B92" s="49" t="n"/>
      <c r="C92" s="49" t="n"/>
      <c r="D92" s="49" t="n"/>
      <c r="E92" s="49" t="n"/>
      <c r="F92" s="50" t="n"/>
      <c r="G92" s="49" t="n"/>
      <c r="H92" s="49" t="n"/>
      <c r="I92" s="49" t="n"/>
      <c r="J92" s="49" t="n"/>
      <c r="K92" s="49" t="n"/>
      <c r="L92" s="49" t="n"/>
      <c r="M92" s="49" t="n"/>
      <c r="N92" s="49" t="n"/>
      <c r="O92" s="49" t="n"/>
    </row>
    <row r="93">
      <c r="B93" s="49" t="n"/>
      <c r="C93" s="49" t="n"/>
      <c r="D93" s="49" t="n"/>
      <c r="E93" s="49" t="n"/>
      <c r="F93" s="50" t="n"/>
      <c r="G93" s="49" t="n"/>
      <c r="H93" s="49" t="n"/>
      <c r="I93" s="49" t="n"/>
      <c r="J93" s="49" t="n"/>
      <c r="K93" s="49" t="n"/>
      <c r="L93" s="49" t="n"/>
      <c r="M93" s="49" t="n"/>
      <c r="N93" s="49" t="n"/>
      <c r="O93" s="49" t="n"/>
    </row>
    <row r="94">
      <c r="B94" s="49" t="n"/>
      <c r="C94" s="49" t="n"/>
      <c r="D94" s="49" t="n"/>
      <c r="E94" s="49" t="n"/>
      <c r="F94" s="50" t="n"/>
      <c r="G94" s="49" t="n"/>
      <c r="H94" s="49" t="n"/>
      <c r="I94" s="49" t="n"/>
      <c r="J94" s="49" t="n"/>
      <c r="K94" s="49" t="n"/>
      <c r="L94" s="49" t="n"/>
      <c r="M94" s="49" t="n"/>
      <c r="N94" s="49" t="n"/>
      <c r="O94" s="49" t="n"/>
    </row>
    <row r="95">
      <c r="B95" s="49" t="n"/>
      <c r="C95" s="49" t="n"/>
      <c r="D95" s="49" t="n"/>
      <c r="E95" s="49" t="n"/>
      <c r="F95" s="50" t="n"/>
      <c r="G95" s="49" t="n"/>
      <c r="H95" s="49" t="n"/>
      <c r="I95" s="49" t="n"/>
      <c r="J95" s="49" t="n"/>
      <c r="K95" s="49" t="n"/>
      <c r="L95" s="49" t="n"/>
      <c r="M95" s="49" t="n"/>
      <c r="N95" s="49" t="n"/>
      <c r="O95" s="49" t="n"/>
    </row>
    <row r="96">
      <c r="B96" s="49" t="n"/>
      <c r="C96" s="49" t="n"/>
      <c r="D96" s="49" t="n"/>
      <c r="E96" s="49" t="n"/>
      <c r="F96" s="50" t="n"/>
      <c r="G96" s="49" t="n"/>
      <c r="H96" s="49" t="n"/>
      <c r="I96" s="49" t="n"/>
      <c r="J96" s="49" t="n"/>
      <c r="K96" s="49" t="n"/>
      <c r="L96" s="49" t="n"/>
      <c r="M96" s="49" t="n"/>
      <c r="N96" s="49" t="n"/>
      <c r="O96" s="49" t="n"/>
    </row>
    <row r="97">
      <c r="B97" s="49" t="n"/>
      <c r="C97" s="49" t="n"/>
      <c r="D97" s="49" t="n"/>
      <c r="E97" s="49" t="n"/>
      <c r="F97" s="50" t="n"/>
      <c r="G97" s="49" t="n"/>
      <c r="H97" s="49" t="n"/>
      <c r="I97" s="49" t="n"/>
      <c r="J97" s="49" t="n"/>
      <c r="K97" s="49" t="n"/>
      <c r="L97" s="49" t="n"/>
      <c r="M97" s="49" t="n"/>
      <c r="N97" s="49" t="n"/>
      <c r="O97" s="49" t="n"/>
    </row>
    <row r="98">
      <c r="B98" s="49" t="n"/>
      <c r="C98" s="49" t="n"/>
      <c r="D98" s="49" t="n"/>
      <c r="E98" s="49" t="n"/>
      <c r="F98" s="50" t="n"/>
      <c r="G98" s="49" t="n"/>
      <c r="H98" s="49" t="n"/>
      <c r="I98" s="49" t="n"/>
      <c r="J98" s="49" t="n"/>
      <c r="K98" s="49" t="n"/>
      <c r="L98" s="49" t="n"/>
      <c r="M98" s="49" t="n"/>
      <c r="N98" s="49" t="n"/>
      <c r="O98" s="49" t="n"/>
    </row>
    <row r="99">
      <c r="B99" s="49" t="n"/>
      <c r="C99" s="49" t="n"/>
      <c r="D99" s="49" t="n"/>
      <c r="E99" s="49" t="n"/>
      <c r="F99" s="50" t="n"/>
      <c r="G99" s="49" t="n"/>
      <c r="H99" s="49" t="n"/>
      <c r="I99" s="49" t="n"/>
      <c r="J99" s="49" t="n"/>
      <c r="K99" s="49" t="n"/>
      <c r="L99" s="49" t="n"/>
      <c r="M99" s="49" t="n"/>
      <c r="N99" s="49" t="n"/>
      <c r="O99" s="49" t="n"/>
    </row>
    <row r="100">
      <c r="B100" s="49" t="n"/>
      <c r="C100" s="49" t="n"/>
      <c r="D100" s="49" t="n"/>
      <c r="E100" s="49" t="n"/>
      <c r="F100" s="50" t="n"/>
      <c r="G100" s="49" t="n"/>
      <c r="H100" s="49" t="n"/>
      <c r="I100" s="49" t="n"/>
      <c r="J100" s="49" t="n"/>
      <c r="K100" s="49" t="n"/>
      <c r="L100" s="49" t="n"/>
      <c r="M100" s="49" t="n"/>
      <c r="N100" s="49" t="n"/>
      <c r="O100" s="49" t="n"/>
    </row>
    <row r="101">
      <c r="B101" s="49" t="n"/>
      <c r="C101" s="49" t="n"/>
      <c r="D101" s="49" t="n"/>
      <c r="E101" s="49" t="n"/>
      <c r="F101" s="50" t="n"/>
      <c r="G101" s="49" t="n"/>
      <c r="H101" s="49" t="n"/>
      <c r="I101" s="49" t="n"/>
      <c r="J101" s="49" t="n"/>
      <c r="K101" s="49" t="n"/>
      <c r="L101" s="49" t="n"/>
      <c r="M101" s="49" t="n"/>
      <c r="N101" s="49" t="n"/>
      <c r="O101" s="49" t="n"/>
    </row>
    <row r="102">
      <c r="B102" s="49" t="n"/>
      <c r="C102" s="49" t="n"/>
      <c r="D102" s="49" t="n"/>
      <c r="E102" s="49" t="n"/>
      <c r="F102" s="50" t="n"/>
      <c r="G102" s="49" t="n"/>
      <c r="H102" s="49" t="n"/>
      <c r="I102" s="49" t="n"/>
      <c r="J102" s="49" t="n"/>
      <c r="K102" s="49" t="n"/>
      <c r="L102" s="49" t="n"/>
      <c r="M102" s="49" t="n"/>
      <c r="N102" s="49" t="n"/>
      <c r="O102" s="49" t="n"/>
    </row>
    <row r="103">
      <c r="B103" s="49" t="n"/>
      <c r="C103" s="49" t="n"/>
      <c r="D103" s="49" t="n"/>
      <c r="E103" s="49" t="n"/>
      <c r="F103" s="50" t="n"/>
      <c r="G103" s="49" t="n"/>
      <c r="H103" s="49" t="n"/>
      <c r="I103" s="49" t="n"/>
      <c r="J103" s="49" t="n"/>
      <c r="K103" s="49" t="n"/>
      <c r="L103" s="49" t="n"/>
      <c r="M103" s="49" t="n"/>
      <c r="N103" s="49" t="n"/>
      <c r="O103" s="49" t="n"/>
    </row>
    <row r="104">
      <c r="B104" s="49" t="n"/>
      <c r="C104" s="49" t="n"/>
      <c r="D104" s="49" t="n"/>
      <c r="E104" s="49" t="n"/>
      <c r="F104" s="50" t="n"/>
      <c r="G104" s="49" t="n"/>
      <c r="H104" s="49" t="n"/>
      <c r="I104" s="49" t="n"/>
      <c r="J104" s="49" t="n"/>
      <c r="K104" s="49" t="n"/>
      <c r="L104" s="49" t="n"/>
      <c r="M104" s="49" t="n"/>
      <c r="N104" s="49" t="n"/>
      <c r="O104" s="49" t="n"/>
    </row>
    <row r="105">
      <c r="B105" s="49" t="n"/>
      <c r="C105" s="49" t="n"/>
      <c r="D105" s="49" t="n"/>
      <c r="E105" s="49" t="n"/>
      <c r="F105" s="50" t="n"/>
      <c r="G105" s="49" t="n"/>
      <c r="H105" s="49" t="n"/>
      <c r="I105" s="49" t="n"/>
      <c r="J105" s="49" t="n"/>
      <c r="K105" s="49" t="n"/>
      <c r="L105" s="49" t="n"/>
      <c r="M105" s="49" t="n"/>
      <c r="N105" s="49" t="n"/>
      <c r="O105" s="49" t="n"/>
    </row>
    <row r="106">
      <c r="B106" s="49" t="n"/>
      <c r="C106" s="49" t="n"/>
      <c r="D106" s="49" t="n"/>
      <c r="E106" s="49" t="n"/>
      <c r="F106" s="50" t="n"/>
      <c r="G106" s="49" t="n"/>
      <c r="H106" s="49" t="n"/>
      <c r="I106" s="49" t="n"/>
      <c r="J106" s="49" t="n"/>
      <c r="K106" s="49" t="n"/>
      <c r="L106" s="49" t="n"/>
      <c r="M106" s="49" t="n"/>
      <c r="N106" s="49" t="n"/>
      <c r="O106" s="49" t="n"/>
    </row>
    <row r="107">
      <c r="B107" s="49" t="n"/>
      <c r="C107" s="49" t="n"/>
      <c r="D107" s="49" t="n"/>
      <c r="E107" s="49" t="n"/>
      <c r="F107" s="50" t="n"/>
      <c r="G107" s="49" t="n"/>
      <c r="H107" s="49" t="n"/>
      <c r="I107" s="49" t="n"/>
      <c r="J107" s="49" t="n"/>
      <c r="K107" s="49" t="n"/>
      <c r="L107" s="49" t="n"/>
      <c r="M107" s="49" t="n"/>
      <c r="N107" s="49" t="n"/>
      <c r="O107" s="49" t="n"/>
    </row>
    <row r="108">
      <c r="B108" s="49" t="n"/>
      <c r="C108" s="49" t="n"/>
      <c r="D108" s="49" t="n"/>
      <c r="E108" s="49" t="n"/>
      <c r="F108" s="50" t="n"/>
      <c r="G108" s="49" t="n"/>
      <c r="H108" s="49" t="n"/>
      <c r="I108" s="49" t="n"/>
      <c r="J108" s="49" t="n"/>
      <c r="K108" s="49" t="n"/>
      <c r="L108" s="49" t="n"/>
      <c r="M108" s="49" t="n"/>
      <c r="N108" s="49" t="n"/>
      <c r="O108" s="49" t="n"/>
    </row>
    <row r="109">
      <c r="B109" s="49" t="n"/>
      <c r="C109" s="49" t="n"/>
      <c r="D109" s="49" t="n"/>
      <c r="E109" s="49" t="n"/>
      <c r="F109" s="50" t="n"/>
      <c r="G109" s="49" t="n"/>
      <c r="H109" s="49" t="n"/>
      <c r="I109" s="49" t="n"/>
      <c r="J109" s="49" t="n"/>
      <c r="K109" s="49" t="n"/>
      <c r="L109" s="49" t="n"/>
      <c r="M109" s="49" t="n"/>
      <c r="N109" s="49" t="n"/>
      <c r="O109" s="49" t="n"/>
    </row>
    <row r="110">
      <c r="B110" s="49" t="n"/>
      <c r="C110" s="49" t="n"/>
      <c r="D110" s="49" t="n"/>
      <c r="E110" s="49" t="n"/>
      <c r="F110" s="50" t="n"/>
      <c r="G110" s="49" t="n"/>
      <c r="H110" s="49" t="n"/>
      <c r="I110" s="49" t="n"/>
      <c r="J110" s="49" t="n"/>
      <c r="K110" s="49" t="n"/>
      <c r="L110" s="49" t="n"/>
      <c r="M110" s="49" t="n"/>
      <c r="N110" s="49" t="n"/>
      <c r="O110" s="49" t="n"/>
    </row>
    <row r="111">
      <c r="B111" s="49" t="n"/>
      <c r="C111" s="49" t="n"/>
      <c r="D111" s="49" t="n"/>
      <c r="E111" s="49" t="n"/>
      <c r="F111" s="50" t="n"/>
      <c r="G111" s="49" t="n"/>
      <c r="H111" s="49" t="n"/>
      <c r="I111" s="49" t="n"/>
      <c r="J111" s="49" t="n"/>
      <c r="K111" s="49" t="n"/>
      <c r="L111" s="49" t="n"/>
      <c r="M111" s="49" t="n"/>
      <c r="N111" s="49" t="n"/>
      <c r="O111" s="49" t="n"/>
    </row>
    <row r="112">
      <c r="B112" s="49" t="n"/>
      <c r="C112" s="49" t="n"/>
      <c r="D112" s="49" t="n"/>
      <c r="E112" s="49" t="n"/>
      <c r="F112" s="50" t="n"/>
      <c r="G112" s="49" t="n"/>
      <c r="H112" s="49" t="n"/>
      <c r="I112" s="49" t="n"/>
      <c r="J112" s="49" t="n"/>
      <c r="K112" s="49" t="n"/>
      <c r="L112" s="49" t="n"/>
      <c r="M112" s="49" t="n"/>
      <c r="N112" s="49" t="n"/>
      <c r="O112" s="49" t="n"/>
    </row>
    <row r="113">
      <c r="B113" s="49" t="n"/>
      <c r="C113" s="49" t="n"/>
      <c r="D113" s="49" t="n"/>
      <c r="E113" s="49" t="n"/>
      <c r="F113" s="50" t="n"/>
      <c r="G113" s="49" t="n"/>
      <c r="H113" s="49" t="n"/>
      <c r="I113" s="49" t="n"/>
      <c r="J113" s="49" t="n"/>
      <c r="K113" s="49" t="n"/>
      <c r="L113" s="49" t="n"/>
      <c r="M113" s="49" t="n"/>
      <c r="N113" s="49" t="n"/>
      <c r="O113" s="49" t="n"/>
    </row>
    <row r="114">
      <c r="B114" s="49" t="n"/>
      <c r="C114" s="49" t="n"/>
      <c r="D114" s="49" t="n"/>
      <c r="E114" s="49" t="n"/>
      <c r="F114" s="50" t="n"/>
      <c r="G114" s="49" t="n"/>
      <c r="H114" s="49" t="n"/>
      <c r="I114" s="49" t="n"/>
      <c r="J114" s="49" t="n"/>
      <c r="K114" s="49" t="n"/>
      <c r="L114" s="49" t="n"/>
      <c r="M114" s="49" t="n"/>
      <c r="N114" s="49" t="n"/>
      <c r="O114" s="49" t="n"/>
    </row>
    <row r="115">
      <c r="B115" s="49" t="n"/>
      <c r="C115" s="49" t="n"/>
      <c r="D115" s="49" t="n"/>
      <c r="E115" s="49" t="n"/>
      <c r="F115" s="50" t="n"/>
      <c r="G115" s="49" t="n"/>
      <c r="H115" s="49" t="n"/>
      <c r="I115" s="49" t="n"/>
      <c r="J115" s="49" t="n"/>
      <c r="K115" s="49" t="n"/>
      <c r="L115" s="49" t="n"/>
      <c r="M115" s="49" t="n"/>
      <c r="N115" s="49" t="n"/>
      <c r="O115" s="49" t="n"/>
    </row>
    <row r="116">
      <c r="B116" s="49" t="n"/>
      <c r="C116" s="49" t="n"/>
      <c r="D116" s="49" t="n"/>
      <c r="E116" s="49" t="n"/>
      <c r="F116" s="50" t="n"/>
      <c r="G116" s="49" t="n"/>
      <c r="H116" s="49" t="n"/>
      <c r="I116" s="49" t="n"/>
      <c r="J116" s="49" t="n"/>
      <c r="K116" s="49" t="n"/>
      <c r="L116" s="49" t="n"/>
      <c r="M116" s="49" t="n"/>
      <c r="N116" s="49" t="n"/>
      <c r="O116" s="49" t="n"/>
    </row>
    <row r="117">
      <c r="B117" s="49" t="n"/>
      <c r="C117" s="49" t="n"/>
      <c r="D117" s="49" t="n"/>
      <c r="E117" s="49" t="n"/>
      <c r="F117" s="50" t="n"/>
      <c r="G117" s="49" t="n"/>
      <c r="H117" s="49" t="n"/>
      <c r="I117" s="49" t="n"/>
      <c r="J117" s="49" t="n"/>
      <c r="K117" s="49" t="n"/>
      <c r="L117" s="49" t="n"/>
      <c r="M117" s="49" t="n"/>
      <c r="N117" s="49" t="n"/>
      <c r="O117" s="49" t="n"/>
    </row>
    <row r="118">
      <c r="B118" s="49" t="n"/>
      <c r="C118" s="49" t="n"/>
      <c r="D118" s="49" t="n"/>
      <c r="E118" s="49" t="n"/>
      <c r="F118" s="50" t="n"/>
      <c r="G118" s="49" t="n"/>
      <c r="H118" s="49" t="n"/>
      <c r="I118" s="49" t="n"/>
      <c r="J118" s="49" t="n"/>
      <c r="K118" s="49" t="n"/>
      <c r="L118" s="49" t="n"/>
      <c r="M118" s="49" t="n"/>
      <c r="N118" s="49" t="n"/>
      <c r="O118" s="49" t="n"/>
    </row>
    <row r="119">
      <c r="B119" s="49" t="n"/>
      <c r="C119" s="49" t="n"/>
      <c r="D119" s="49" t="n"/>
      <c r="E119" s="49" t="n"/>
      <c r="F119" s="50" t="n"/>
      <c r="G119" s="49" t="n"/>
      <c r="H119" s="49" t="n"/>
      <c r="I119" s="49" t="n"/>
      <c r="J119" s="49" t="n"/>
      <c r="K119" s="49" t="n"/>
      <c r="L119" s="49" t="n"/>
      <c r="M119" s="49" t="n"/>
      <c r="N119" s="49" t="n"/>
      <c r="O119" s="49" t="n"/>
    </row>
    <row r="120">
      <c r="B120" s="49" t="n"/>
      <c r="C120" s="49" t="n"/>
      <c r="D120" s="49" t="n"/>
      <c r="E120" s="49" t="n"/>
      <c r="F120" s="50" t="n"/>
      <c r="G120" s="49" t="n"/>
      <c r="H120" s="49" t="n"/>
      <c r="I120" s="49" t="n"/>
      <c r="J120" s="49" t="n"/>
      <c r="K120" s="49" t="n"/>
      <c r="L120" s="49" t="n"/>
      <c r="M120" s="49" t="n"/>
      <c r="N120" s="49" t="n"/>
      <c r="O120" s="49" t="n"/>
    </row>
    <row r="121">
      <c r="B121" s="49" t="n"/>
      <c r="C121" s="49" t="n"/>
      <c r="D121" s="49" t="n"/>
      <c r="E121" s="49" t="n"/>
      <c r="F121" s="50" t="n"/>
      <c r="G121" s="49" t="n"/>
      <c r="H121" s="49" t="n"/>
      <c r="I121" s="49" t="n"/>
      <c r="J121" s="49" t="n"/>
      <c r="K121" s="49" t="n"/>
      <c r="L121" s="49" t="n"/>
      <c r="M121" s="49" t="n"/>
      <c r="N121" s="49" t="n"/>
      <c r="O121" s="49" t="n"/>
    </row>
    <row r="122">
      <c r="B122" s="49" t="n"/>
      <c r="C122" s="49" t="n"/>
      <c r="D122" s="49" t="n"/>
      <c r="E122" s="49" t="n"/>
      <c r="F122" s="50" t="n"/>
      <c r="G122" s="49" t="n"/>
      <c r="H122" s="49" t="n"/>
      <c r="I122" s="49" t="n"/>
      <c r="J122" s="49" t="n"/>
      <c r="K122" s="49" t="n"/>
      <c r="L122" s="49" t="n"/>
      <c r="M122" s="49" t="n"/>
      <c r="N122" s="49" t="n"/>
      <c r="O122" s="49" t="n"/>
    </row>
    <row r="123">
      <c r="B123" s="49" t="n"/>
      <c r="C123" s="49" t="n"/>
      <c r="D123" s="49" t="n"/>
      <c r="E123" s="49" t="n"/>
      <c r="F123" s="50" t="n"/>
      <c r="G123" s="49" t="n"/>
      <c r="H123" s="49" t="n"/>
      <c r="I123" s="49" t="n"/>
      <c r="J123" s="49" t="n"/>
      <c r="K123" s="49" t="n"/>
      <c r="L123" s="49" t="n"/>
      <c r="M123" s="49" t="n"/>
      <c r="N123" s="49" t="n"/>
      <c r="O123" s="49" t="n"/>
    </row>
    <row r="124">
      <c r="B124" s="49" t="n"/>
      <c r="C124" s="49" t="n"/>
      <c r="D124" s="49" t="n"/>
      <c r="E124" s="49" t="n"/>
      <c r="F124" s="50" t="n"/>
      <c r="G124" s="49" t="n"/>
      <c r="H124" s="49" t="n"/>
      <c r="I124" s="49" t="n"/>
      <c r="J124" s="49" t="n"/>
      <c r="K124" s="49" t="n"/>
      <c r="L124" s="49" t="n"/>
      <c r="M124" s="49" t="n"/>
      <c r="N124" s="49" t="n"/>
      <c r="O124" s="49" t="n"/>
    </row>
    <row r="125">
      <c r="B125" s="49" t="n"/>
      <c r="C125" s="49" t="n"/>
      <c r="D125" s="49" t="n"/>
      <c r="E125" s="49" t="n"/>
      <c r="F125" s="50" t="n"/>
      <c r="G125" s="49" t="n"/>
      <c r="H125" s="49" t="n"/>
      <c r="I125" s="49" t="n"/>
      <c r="J125" s="49" t="n"/>
      <c r="K125" s="49" t="n"/>
      <c r="L125" s="49" t="n"/>
      <c r="M125" s="49" t="n"/>
      <c r="N125" s="49" t="n"/>
      <c r="O125" s="49" t="n"/>
    </row>
    <row r="126">
      <c r="B126" s="49" t="n"/>
      <c r="C126" s="49" t="n"/>
      <c r="D126" s="49" t="n"/>
      <c r="E126" s="49" t="n"/>
      <c r="F126" s="50" t="n"/>
      <c r="G126" s="49" t="n"/>
      <c r="H126" s="49" t="n"/>
      <c r="I126" s="49" t="n"/>
      <c r="J126" s="49" t="n"/>
      <c r="K126" s="49" t="n"/>
      <c r="L126" s="49" t="n"/>
      <c r="M126" s="49" t="n"/>
      <c r="N126" s="49" t="n"/>
      <c r="O126" s="49" t="n"/>
    </row>
    <row r="127">
      <c r="B127" s="49" t="n"/>
      <c r="C127" s="49" t="n"/>
      <c r="D127" s="49" t="n"/>
      <c r="E127" s="49" t="n"/>
      <c r="F127" s="50" t="n"/>
      <c r="G127" s="49" t="n"/>
      <c r="H127" s="49" t="n"/>
      <c r="I127" s="49" t="n"/>
      <c r="J127" s="49" t="n"/>
      <c r="K127" s="49" t="n"/>
      <c r="L127" s="49" t="n"/>
      <c r="M127" s="49" t="n"/>
      <c r="N127" s="49" t="n"/>
      <c r="O127" s="49" t="n"/>
    </row>
    <row r="128">
      <c r="B128" s="49" t="n"/>
      <c r="C128" s="49" t="n"/>
      <c r="D128" s="49" t="n"/>
      <c r="E128" s="49" t="n"/>
      <c r="F128" s="50" t="n"/>
      <c r="G128" s="49" t="n"/>
      <c r="H128" s="49" t="n"/>
      <c r="I128" s="49" t="n"/>
      <c r="J128" s="49" t="n"/>
      <c r="K128" s="49" t="n"/>
      <c r="L128" s="49" t="n"/>
      <c r="M128" s="49" t="n"/>
      <c r="N128" s="49" t="n"/>
      <c r="O128" s="49" t="n"/>
    </row>
    <row r="129">
      <c r="B129" s="49" t="n"/>
      <c r="C129" s="49" t="n"/>
      <c r="D129" s="49" t="n"/>
      <c r="E129" s="49" t="n"/>
      <c r="F129" s="50" t="n"/>
      <c r="G129" s="49" t="n"/>
      <c r="H129" s="49" t="n"/>
      <c r="I129" s="49" t="n"/>
      <c r="J129" s="49" t="n"/>
      <c r="K129" s="49" t="n"/>
      <c r="L129" s="49" t="n"/>
      <c r="M129" s="49" t="n"/>
      <c r="N129" s="49" t="n"/>
      <c r="O129" s="49" t="n"/>
    </row>
    <row r="130">
      <c r="B130" s="49" t="n"/>
      <c r="C130" s="49" t="n"/>
      <c r="D130" s="49" t="n"/>
      <c r="E130" s="49" t="n"/>
      <c r="F130" s="50" t="n"/>
      <c r="G130" s="49" t="n"/>
      <c r="H130" s="49" t="n"/>
      <c r="I130" s="49" t="n"/>
      <c r="J130" s="49" t="n"/>
      <c r="K130" s="49" t="n"/>
      <c r="L130" s="49" t="n"/>
      <c r="M130" s="49" t="n"/>
      <c r="N130" s="49" t="n"/>
      <c r="O130" s="49" t="n"/>
    </row>
    <row r="131">
      <c r="B131" s="49" t="n"/>
      <c r="C131" s="49" t="n"/>
      <c r="D131" s="49" t="n"/>
      <c r="E131" s="49" t="n"/>
      <c r="F131" s="50" t="n"/>
      <c r="G131" s="49" t="n"/>
      <c r="H131" s="49" t="n"/>
      <c r="I131" s="49" t="n"/>
      <c r="J131" s="49" t="n"/>
      <c r="K131" s="49" t="n"/>
      <c r="L131" s="49" t="n"/>
      <c r="M131" s="49" t="n"/>
      <c r="N131" s="49" t="n"/>
      <c r="O131" s="49" t="n"/>
    </row>
    <row r="132">
      <c r="B132" s="49" t="n"/>
      <c r="C132" s="49" t="n"/>
      <c r="D132" s="49" t="n"/>
      <c r="E132" s="49" t="n"/>
      <c r="F132" s="50" t="n"/>
      <c r="G132" s="49" t="n"/>
      <c r="H132" s="49" t="n"/>
      <c r="I132" s="49" t="n"/>
      <c r="J132" s="49" t="n"/>
      <c r="K132" s="49" t="n"/>
      <c r="L132" s="49" t="n"/>
      <c r="M132" s="49" t="n"/>
      <c r="N132" s="49" t="n"/>
      <c r="O132" s="49" t="n"/>
    </row>
    <row r="133">
      <c r="B133" s="49" t="n"/>
      <c r="C133" s="49" t="n"/>
      <c r="D133" s="49" t="n"/>
      <c r="E133" s="49" t="n"/>
      <c r="F133" s="50" t="n"/>
      <c r="G133" s="49" t="n"/>
      <c r="H133" s="49" t="n"/>
      <c r="I133" s="49" t="n"/>
      <c r="J133" s="49" t="n"/>
      <c r="K133" s="49" t="n"/>
      <c r="L133" s="49" t="n"/>
      <c r="M133" s="49" t="n"/>
      <c r="N133" s="49" t="n"/>
      <c r="O133" s="49" t="n"/>
    </row>
    <row r="134">
      <c r="B134" s="49" t="n"/>
      <c r="C134" s="49" t="n"/>
      <c r="D134" s="49" t="n"/>
      <c r="E134" s="49" t="n"/>
      <c r="F134" s="50" t="n"/>
      <c r="G134" s="49" t="n"/>
      <c r="H134" s="49" t="n"/>
      <c r="I134" s="49" t="n"/>
      <c r="J134" s="49" t="n"/>
      <c r="K134" s="49" t="n"/>
      <c r="L134" s="49" t="n"/>
      <c r="M134" s="49" t="n"/>
      <c r="N134" s="49" t="n"/>
      <c r="O134" s="49" t="n"/>
    </row>
    <row r="135">
      <c r="B135" s="49" t="n"/>
      <c r="C135" s="49" t="n"/>
      <c r="D135" s="49" t="n"/>
      <c r="E135" s="49" t="n"/>
      <c r="F135" s="50" t="n"/>
      <c r="G135" s="49" t="n"/>
      <c r="H135" s="49" t="n"/>
      <c r="I135" s="49" t="n"/>
      <c r="J135" s="49" t="n"/>
      <c r="K135" s="49" t="n"/>
      <c r="L135" s="49" t="n"/>
      <c r="M135" s="49" t="n"/>
      <c r="N135" s="49" t="n"/>
      <c r="O135" s="49" t="n"/>
    </row>
    <row r="136">
      <c r="B136" s="49" t="n"/>
      <c r="C136" s="49" t="n"/>
      <c r="D136" s="49" t="n"/>
      <c r="E136" s="49" t="n"/>
      <c r="F136" s="50" t="n"/>
      <c r="G136" s="49" t="n"/>
      <c r="H136" s="49" t="n"/>
      <c r="I136" s="49" t="n"/>
      <c r="J136" s="49" t="n"/>
      <c r="K136" s="49" t="n"/>
      <c r="L136" s="49" t="n"/>
      <c r="M136" s="49" t="n"/>
      <c r="N136" s="49" t="n"/>
      <c r="O136" s="49" t="n"/>
    </row>
    <row r="137">
      <c r="B137" s="49" t="n"/>
      <c r="C137" s="49" t="n"/>
      <c r="D137" s="49" t="n"/>
      <c r="E137" s="49" t="n"/>
      <c r="F137" s="50" t="n"/>
      <c r="G137" s="49" t="n"/>
      <c r="H137" s="49" t="n"/>
      <c r="I137" s="49" t="n"/>
      <c r="J137" s="49" t="n"/>
      <c r="K137" s="49" t="n"/>
      <c r="L137" s="49" t="n"/>
      <c r="M137" s="49" t="n"/>
      <c r="N137" s="49" t="n"/>
      <c r="O137" s="49" t="n"/>
    </row>
    <row r="138">
      <c r="B138" s="49" t="n"/>
      <c r="C138" s="49" t="n"/>
      <c r="D138" s="49" t="n"/>
      <c r="E138" s="49" t="n"/>
      <c r="F138" s="50" t="n"/>
      <c r="G138" s="49" t="n"/>
      <c r="H138" s="49" t="n"/>
      <c r="I138" s="49" t="n"/>
      <c r="J138" s="49" t="n"/>
      <c r="K138" s="49" t="n"/>
      <c r="L138" s="49" t="n"/>
      <c r="M138" s="49" t="n"/>
      <c r="N138" s="49" t="n"/>
      <c r="O138" s="49" t="n"/>
    </row>
    <row r="139">
      <c r="B139" s="49" t="n"/>
      <c r="C139" s="49" t="n"/>
      <c r="D139" s="49" t="n"/>
      <c r="E139" s="49" t="n"/>
      <c r="F139" s="50" t="n"/>
      <c r="G139" s="49" t="n"/>
      <c r="H139" s="49" t="n"/>
      <c r="I139" s="49" t="n"/>
      <c r="J139" s="49" t="n"/>
      <c r="K139" s="49" t="n"/>
      <c r="L139" s="49" t="n"/>
      <c r="M139" s="49" t="n"/>
      <c r="N139" s="49" t="n"/>
      <c r="O139" s="49" t="n"/>
    </row>
    <row r="140">
      <c r="B140" s="49" t="n"/>
      <c r="C140" s="49" t="n"/>
      <c r="D140" s="49" t="n"/>
      <c r="E140" s="49" t="n"/>
      <c r="F140" s="50" t="n"/>
      <c r="G140" s="49" t="n"/>
      <c r="H140" s="49" t="n"/>
      <c r="I140" s="49" t="n"/>
      <c r="J140" s="49" t="n"/>
      <c r="K140" s="49" t="n"/>
      <c r="L140" s="49" t="n"/>
      <c r="M140" s="49" t="n"/>
      <c r="N140" s="49" t="n"/>
      <c r="O140" s="49" t="n"/>
    </row>
    <row r="141">
      <c r="B141" s="49" t="n"/>
      <c r="C141" s="49" t="n"/>
      <c r="D141" s="49" t="n"/>
      <c r="E141" s="49" t="n"/>
      <c r="F141" s="50" t="n"/>
      <c r="G141" s="49" t="n"/>
      <c r="H141" s="49" t="n"/>
      <c r="I141" s="49" t="n"/>
      <c r="J141" s="49" t="n"/>
      <c r="K141" s="49" t="n"/>
      <c r="L141" s="49" t="n"/>
      <c r="M141" s="49" t="n"/>
      <c r="N141" s="49" t="n"/>
      <c r="O141" s="49" t="n"/>
    </row>
    <row r="142">
      <c r="B142" s="49" t="n"/>
      <c r="C142" s="49" t="n"/>
      <c r="D142" s="49" t="n"/>
      <c r="E142" s="49" t="n"/>
      <c r="F142" s="50" t="n"/>
      <c r="G142" s="49" t="n"/>
      <c r="H142" s="49" t="n"/>
      <c r="I142" s="49" t="n"/>
      <c r="J142" s="49" t="n"/>
      <c r="K142" s="49" t="n"/>
      <c r="L142" s="49" t="n"/>
      <c r="M142" s="49" t="n"/>
      <c r="N142" s="49" t="n"/>
      <c r="O142" s="49" t="n"/>
    </row>
    <row r="143">
      <c r="B143" s="49" t="n"/>
      <c r="C143" s="49" t="n"/>
      <c r="D143" s="49" t="n"/>
      <c r="E143" s="49" t="n"/>
      <c r="F143" s="50" t="n"/>
      <c r="G143" s="49" t="n"/>
      <c r="H143" s="49" t="n"/>
      <c r="I143" s="49" t="n"/>
      <c r="J143" s="49" t="n"/>
      <c r="K143" s="49" t="n"/>
      <c r="L143" s="49" t="n"/>
      <c r="M143" s="49" t="n"/>
      <c r="N143" s="49" t="n"/>
      <c r="O143" s="49" t="n"/>
    </row>
    <row r="144">
      <c r="B144" s="49" t="n"/>
      <c r="C144" s="49" t="n"/>
      <c r="D144" s="49" t="n"/>
      <c r="E144" s="49" t="n"/>
      <c r="F144" s="50" t="n"/>
      <c r="G144" s="49" t="n"/>
      <c r="H144" s="49" t="n"/>
      <c r="I144" s="49" t="n"/>
      <c r="J144" s="49" t="n"/>
      <c r="K144" s="49" t="n"/>
      <c r="L144" s="49" t="n"/>
      <c r="M144" s="49" t="n"/>
      <c r="N144" s="49" t="n"/>
      <c r="O144" s="49" t="n"/>
    </row>
    <row r="145">
      <c r="B145" s="49" t="n"/>
      <c r="C145" s="49" t="n"/>
      <c r="D145" s="49" t="n"/>
      <c r="E145" s="49" t="n"/>
      <c r="F145" s="50" t="n"/>
      <c r="G145" s="49" t="n"/>
      <c r="H145" s="49" t="n"/>
      <c r="I145" s="49" t="n"/>
      <c r="J145" s="49" t="n"/>
      <c r="K145" s="49" t="n"/>
      <c r="L145" s="49" t="n"/>
      <c r="M145" s="49" t="n"/>
      <c r="N145" s="49" t="n"/>
      <c r="O145" s="49" t="n"/>
    </row>
    <row r="146">
      <c r="B146" s="49" t="n"/>
      <c r="C146" s="49" t="n"/>
      <c r="D146" s="49" t="n"/>
      <c r="E146" s="49" t="n"/>
      <c r="F146" s="50" t="n"/>
      <c r="G146" s="49" t="n"/>
      <c r="H146" s="49" t="n"/>
      <c r="I146" s="49" t="n"/>
      <c r="J146" s="49" t="n"/>
      <c r="K146" s="49" t="n"/>
      <c r="L146" s="49" t="n"/>
      <c r="M146" s="49" t="n"/>
      <c r="N146" s="49" t="n"/>
      <c r="O146" s="49" t="n"/>
    </row>
    <row r="147">
      <c r="B147" s="49" t="n"/>
      <c r="C147" s="49" t="n"/>
      <c r="D147" s="49" t="n"/>
      <c r="E147" s="49" t="n"/>
      <c r="F147" s="50" t="n"/>
      <c r="G147" s="49" t="n"/>
      <c r="H147" s="49" t="n"/>
      <c r="I147" s="49" t="n"/>
      <c r="J147" s="49" t="n"/>
      <c r="K147" s="49" t="n"/>
      <c r="L147" s="49" t="n"/>
      <c r="M147" s="49" t="n"/>
      <c r="N147" s="49" t="n"/>
      <c r="O147" s="49" t="n"/>
    </row>
    <row r="148">
      <c r="B148" s="49" t="n"/>
      <c r="C148" s="49" t="n"/>
      <c r="D148" s="49" t="n"/>
      <c r="E148" s="49" t="n"/>
      <c r="F148" s="50" t="n"/>
      <c r="G148" s="49" t="n"/>
      <c r="H148" s="49" t="n"/>
      <c r="I148" s="49" t="n"/>
      <c r="J148" s="49" t="n"/>
      <c r="K148" s="49" t="n"/>
      <c r="L148" s="49" t="n"/>
      <c r="M148" s="49" t="n"/>
      <c r="N148" s="49" t="n"/>
      <c r="O148" s="49" t="n"/>
    </row>
    <row r="149">
      <c r="B149" s="49" t="n"/>
      <c r="C149" s="49" t="n"/>
      <c r="D149" s="49" t="n"/>
      <c r="E149" s="49" t="n"/>
      <c r="F149" s="50" t="n"/>
      <c r="G149" s="49" t="n"/>
      <c r="H149" s="49" t="n"/>
      <c r="I149" s="49" t="n"/>
      <c r="J149" s="49" t="n"/>
      <c r="K149" s="49" t="n"/>
      <c r="L149" s="49" t="n"/>
      <c r="M149" s="49" t="n"/>
      <c r="N149" s="49" t="n"/>
      <c r="O149" s="49" t="n"/>
    </row>
    <row r="150">
      <c r="B150" s="49" t="n"/>
      <c r="C150" s="49" t="n"/>
      <c r="D150" s="49" t="n"/>
      <c r="E150" s="49" t="n"/>
      <c r="F150" s="50" t="n"/>
      <c r="G150" s="49" t="n"/>
      <c r="H150" s="49" t="n"/>
      <c r="I150" s="49" t="n"/>
      <c r="J150" s="49" t="n"/>
      <c r="K150" s="49" t="n"/>
      <c r="L150" s="49" t="n"/>
      <c r="M150" s="49" t="n"/>
      <c r="N150" s="49" t="n"/>
      <c r="O150" s="49" t="n"/>
    </row>
    <row r="151">
      <c r="B151" s="49" t="n"/>
      <c r="C151" s="49" t="n"/>
      <c r="D151" s="49" t="n"/>
      <c r="E151" s="49" t="n"/>
      <c r="F151" s="50" t="n"/>
      <c r="G151" s="49" t="n"/>
      <c r="H151" s="49" t="n"/>
      <c r="I151" s="49" t="n"/>
      <c r="J151" s="49" t="n"/>
      <c r="K151" s="49" t="n"/>
      <c r="L151" s="49" t="n"/>
      <c r="M151" s="49" t="n"/>
      <c r="N151" s="49" t="n"/>
      <c r="O151" s="49" t="n"/>
    </row>
    <row r="152">
      <c r="B152" s="49" t="n"/>
      <c r="C152" s="49" t="n"/>
      <c r="D152" s="49" t="n"/>
      <c r="E152" s="49" t="n"/>
      <c r="F152" s="50" t="n"/>
      <c r="G152" s="49" t="n"/>
      <c r="H152" s="49" t="n"/>
      <c r="I152" s="49" t="n"/>
      <c r="J152" s="49" t="n"/>
      <c r="K152" s="49" t="n"/>
      <c r="L152" s="49" t="n"/>
      <c r="M152" s="49" t="n"/>
      <c r="N152" s="49" t="n"/>
      <c r="O152" s="49" t="n"/>
    </row>
    <row r="153">
      <c r="B153" s="49" t="n"/>
      <c r="C153" s="49" t="n"/>
      <c r="D153" s="49" t="n"/>
      <c r="E153" s="49" t="n"/>
      <c r="F153" s="50" t="n"/>
      <c r="G153" s="49" t="n"/>
      <c r="H153" s="49" t="n"/>
      <c r="I153" s="49" t="n"/>
      <c r="J153" s="49" t="n"/>
      <c r="K153" s="49" t="n"/>
      <c r="L153" s="49" t="n"/>
      <c r="M153" s="49" t="n"/>
      <c r="N153" s="49" t="n"/>
      <c r="O153" s="49" t="n"/>
    </row>
    <row r="154">
      <c r="B154" s="49" t="n"/>
      <c r="C154" s="49" t="n"/>
      <c r="D154" s="49" t="n"/>
      <c r="E154" s="49" t="n"/>
      <c r="F154" s="50" t="n"/>
      <c r="G154" s="49" t="n"/>
      <c r="H154" s="49" t="n"/>
      <c r="I154" s="49" t="n"/>
      <c r="J154" s="49" t="n"/>
      <c r="K154" s="49" t="n"/>
      <c r="L154" s="49" t="n"/>
      <c r="M154" s="49" t="n"/>
      <c r="N154" s="49" t="n"/>
      <c r="O154" s="49" t="n"/>
    </row>
    <row r="155">
      <c r="B155" s="49" t="n"/>
      <c r="C155" s="49" t="n"/>
      <c r="D155" s="49" t="n"/>
      <c r="E155" s="49" t="n"/>
      <c r="F155" s="50" t="n"/>
      <c r="G155" s="49" t="n"/>
      <c r="H155" s="49" t="n"/>
      <c r="I155" s="49" t="n"/>
      <c r="J155" s="49" t="n"/>
      <c r="K155" s="49" t="n"/>
      <c r="L155" s="49" t="n"/>
      <c r="M155" s="49" t="n"/>
      <c r="N155" s="49" t="n"/>
      <c r="O155" s="49" t="n"/>
    </row>
    <row r="156">
      <c r="B156" s="49" t="n"/>
      <c r="C156" s="49" t="n"/>
      <c r="D156" s="49" t="n"/>
      <c r="E156" s="49" t="n"/>
      <c r="F156" s="50" t="n"/>
      <c r="G156" s="49" t="n"/>
      <c r="H156" s="49" t="n"/>
      <c r="I156" s="49" t="n"/>
      <c r="J156" s="49" t="n"/>
      <c r="K156" s="49" t="n"/>
      <c r="L156" s="49" t="n"/>
      <c r="M156" s="49" t="n"/>
      <c r="N156" s="49" t="n"/>
      <c r="O156" s="49" t="n"/>
    </row>
    <row r="157">
      <c r="B157" s="49" t="n"/>
      <c r="C157" s="49" t="n"/>
      <c r="D157" s="49" t="n"/>
      <c r="E157" s="49" t="n"/>
      <c r="F157" s="50" t="n"/>
      <c r="G157" s="49" t="n"/>
      <c r="H157" s="49" t="n"/>
      <c r="I157" s="49" t="n"/>
      <c r="J157" s="49" t="n"/>
      <c r="K157" s="49" t="n"/>
      <c r="L157" s="49" t="n"/>
      <c r="M157" s="49" t="n"/>
      <c r="N157" s="49" t="n"/>
      <c r="O157" s="49" t="n"/>
    </row>
    <row r="158">
      <c r="B158" s="49" t="n"/>
      <c r="C158" s="49" t="n"/>
      <c r="D158" s="49" t="n"/>
      <c r="E158" s="49" t="n"/>
      <c r="F158" s="50" t="n"/>
      <c r="G158" s="49" t="n"/>
      <c r="H158" s="49" t="n"/>
      <c r="I158" s="49" t="n"/>
      <c r="J158" s="49" t="n"/>
      <c r="K158" s="49" t="n"/>
      <c r="L158" s="49" t="n"/>
      <c r="M158" s="49" t="n"/>
      <c r="N158" s="49" t="n"/>
      <c r="O158" s="49" t="n"/>
    </row>
    <row r="159">
      <c r="B159" s="49" t="n"/>
      <c r="C159" s="49" t="n"/>
      <c r="D159" s="49" t="n"/>
      <c r="E159" s="49" t="n"/>
      <c r="F159" s="50" t="n"/>
      <c r="G159" s="49" t="n"/>
      <c r="H159" s="49" t="n"/>
      <c r="I159" s="49" t="n"/>
      <c r="J159" s="49" t="n"/>
      <c r="K159" s="49" t="n"/>
      <c r="L159" s="49" t="n"/>
      <c r="M159" s="49" t="n"/>
      <c r="N159" s="49" t="n"/>
      <c r="O159" s="49" t="n"/>
    </row>
    <row r="160">
      <c r="B160" s="49" t="n"/>
      <c r="C160" s="49" t="n"/>
      <c r="D160" s="49" t="n"/>
      <c r="E160" s="49" t="n"/>
      <c r="F160" s="50" t="n"/>
      <c r="G160" s="49" t="n"/>
      <c r="H160" s="49" t="n"/>
      <c r="I160" s="49" t="n"/>
      <c r="J160" s="49" t="n"/>
      <c r="K160" s="49" t="n"/>
      <c r="L160" s="49" t="n"/>
      <c r="M160" s="49" t="n"/>
      <c r="N160" s="49" t="n"/>
      <c r="O160" s="49" t="n"/>
    </row>
    <row r="161">
      <c r="B161" s="49" t="n"/>
      <c r="C161" s="49" t="n"/>
      <c r="D161" s="49" t="n"/>
      <c r="E161" s="49" t="n"/>
      <c r="F161" s="50" t="n"/>
      <c r="G161" s="49" t="n"/>
      <c r="H161" s="49" t="n"/>
      <c r="I161" s="49" t="n"/>
      <c r="J161" s="49" t="n"/>
      <c r="K161" s="49" t="n"/>
      <c r="L161" s="49" t="n"/>
      <c r="M161" s="49" t="n"/>
      <c r="N161" s="49" t="n"/>
      <c r="O161" s="49" t="n"/>
    </row>
    <row r="162">
      <c r="B162" s="49" t="n"/>
      <c r="C162" s="49" t="n"/>
      <c r="D162" s="49" t="n"/>
      <c r="E162" s="49" t="n"/>
      <c r="F162" s="50" t="n"/>
      <c r="G162" s="49" t="n"/>
      <c r="H162" s="49" t="n"/>
      <c r="I162" s="49" t="n"/>
      <c r="J162" s="49" t="n"/>
      <c r="K162" s="49" t="n"/>
      <c r="L162" s="49" t="n"/>
      <c r="M162" s="49" t="n"/>
      <c r="N162" s="49" t="n"/>
      <c r="O162" s="49" t="n"/>
    </row>
    <row r="163">
      <c r="B163" s="49" t="n"/>
      <c r="C163" s="49" t="n"/>
      <c r="D163" s="49" t="n"/>
      <c r="E163" s="49" t="n"/>
      <c r="F163" s="50" t="n"/>
      <c r="G163" s="49" t="n"/>
      <c r="H163" s="49" t="n"/>
      <c r="I163" s="49" t="n"/>
      <c r="J163" s="49" t="n"/>
      <c r="K163" s="49" t="n"/>
      <c r="L163" s="49" t="n"/>
      <c r="M163" s="49" t="n"/>
      <c r="N163" s="49" t="n"/>
      <c r="O163" s="49" t="n"/>
    </row>
    <row r="164">
      <c r="B164" s="49" t="n"/>
      <c r="C164" s="49" t="n"/>
      <c r="D164" s="49" t="n"/>
      <c r="E164" s="49" t="n"/>
      <c r="F164" s="50" t="n"/>
      <c r="G164" s="49" t="n"/>
      <c r="H164" s="49" t="n"/>
      <c r="I164" s="49" t="n"/>
      <c r="J164" s="49" t="n"/>
      <c r="K164" s="49" t="n"/>
      <c r="L164" s="49" t="n"/>
      <c r="M164" s="49" t="n"/>
      <c r="N164" s="49" t="n"/>
      <c r="O164" s="49" t="n"/>
    </row>
    <row r="165">
      <c r="B165" s="49" t="n"/>
      <c r="C165" s="49" t="n"/>
      <c r="D165" s="49" t="n"/>
      <c r="E165" s="49" t="n"/>
      <c r="F165" s="50" t="n"/>
      <c r="G165" s="49" t="n"/>
      <c r="H165" s="49" t="n"/>
      <c r="I165" s="49" t="n"/>
      <c r="J165" s="49" t="n"/>
      <c r="K165" s="49" t="n"/>
      <c r="L165" s="49" t="n"/>
      <c r="M165" s="49" t="n"/>
      <c r="N165" s="49" t="n"/>
      <c r="O165" s="49" t="n"/>
    </row>
    <row r="166">
      <c r="B166" s="49" t="n"/>
      <c r="C166" s="49" t="n"/>
      <c r="D166" s="49" t="n"/>
      <c r="E166" s="49" t="n"/>
      <c r="F166" s="50" t="n"/>
      <c r="G166" s="49" t="n"/>
      <c r="H166" s="49" t="n"/>
      <c r="I166" s="49" t="n"/>
      <c r="J166" s="49" t="n"/>
      <c r="K166" s="49" t="n"/>
      <c r="L166" s="49" t="n"/>
      <c r="M166" s="49" t="n"/>
      <c r="N166" s="49" t="n"/>
      <c r="O166" s="49" t="n"/>
    </row>
    <row r="167">
      <c r="B167" s="49" t="n"/>
      <c r="C167" s="49" t="n"/>
      <c r="D167" s="49" t="n"/>
      <c r="E167" s="49" t="n"/>
      <c r="F167" s="50" t="n"/>
      <c r="G167" s="49" t="n"/>
      <c r="H167" s="49" t="n"/>
      <c r="I167" s="49" t="n"/>
      <c r="J167" s="49" t="n"/>
      <c r="K167" s="49" t="n"/>
      <c r="L167" s="49" t="n"/>
      <c r="M167" s="49" t="n"/>
      <c r="N167" s="49" t="n"/>
      <c r="O167" s="49" t="n"/>
    </row>
    <row r="168">
      <c r="B168" s="49" t="n"/>
      <c r="C168" s="49" t="n"/>
      <c r="D168" s="49" t="n"/>
      <c r="E168" s="49" t="n"/>
      <c r="F168" s="50" t="n"/>
      <c r="G168" s="49" t="n"/>
      <c r="H168" s="49" t="n"/>
      <c r="I168" s="49" t="n"/>
      <c r="J168" s="49" t="n"/>
      <c r="K168" s="49" t="n"/>
      <c r="L168" s="49" t="n"/>
      <c r="M168" s="49" t="n"/>
      <c r="N168" s="49" t="n"/>
      <c r="O168" s="49" t="n"/>
    </row>
    <row r="169">
      <c r="B169" s="49" t="n"/>
      <c r="C169" s="49" t="n"/>
      <c r="D169" s="49" t="n"/>
      <c r="E169" s="49" t="n"/>
      <c r="F169" s="50" t="n"/>
      <c r="G169" s="49" t="n"/>
      <c r="H169" s="49" t="n"/>
      <c r="I169" s="49" t="n"/>
      <c r="J169" s="49" t="n"/>
      <c r="K169" s="49" t="n"/>
      <c r="L169" s="49" t="n"/>
      <c r="M169" s="49" t="n"/>
      <c r="N169" s="49" t="n"/>
      <c r="O169" s="49" t="n"/>
    </row>
    <row r="170">
      <c r="B170" s="49" t="n"/>
      <c r="C170" s="49" t="n"/>
      <c r="D170" s="49" t="n"/>
      <c r="E170" s="49" t="n"/>
      <c r="F170" s="50" t="n"/>
      <c r="G170" s="49" t="n"/>
      <c r="H170" s="49" t="n"/>
      <c r="I170" s="49" t="n"/>
      <c r="J170" s="49" t="n"/>
      <c r="K170" s="49" t="n"/>
      <c r="L170" s="49" t="n"/>
      <c r="M170" s="49" t="n"/>
      <c r="N170" s="49" t="n"/>
      <c r="O170" s="49" t="n"/>
    </row>
    <row r="171">
      <c r="B171" s="49" t="n"/>
      <c r="C171" s="49" t="n"/>
      <c r="D171" s="49" t="n"/>
      <c r="E171" s="49" t="n"/>
      <c r="F171" s="50" t="n"/>
      <c r="G171" s="49" t="n"/>
      <c r="H171" s="49" t="n"/>
      <c r="I171" s="49" t="n"/>
      <c r="J171" s="49" t="n"/>
      <c r="K171" s="49" t="n"/>
      <c r="L171" s="49" t="n"/>
      <c r="M171" s="49" t="n"/>
      <c r="N171" s="49" t="n"/>
      <c r="O171" s="49" t="n"/>
    </row>
    <row r="172">
      <c r="B172" s="49" t="n"/>
      <c r="C172" s="49" t="n"/>
      <c r="D172" s="49" t="n"/>
      <c r="E172" s="49" t="n"/>
      <c r="F172" s="50" t="n"/>
      <c r="G172" s="49" t="n"/>
      <c r="H172" s="49" t="n"/>
      <c r="I172" s="49" t="n"/>
      <c r="J172" s="49" t="n"/>
      <c r="K172" s="49" t="n"/>
      <c r="L172" s="49" t="n"/>
      <c r="M172" s="49" t="n"/>
      <c r="N172" s="49" t="n"/>
      <c r="O172" s="49" t="n"/>
    </row>
    <row r="173">
      <c r="B173" s="49" t="n"/>
      <c r="C173" s="49" t="n"/>
      <c r="D173" s="49" t="n"/>
      <c r="E173" s="49" t="n"/>
      <c r="F173" s="50" t="n"/>
      <c r="G173" s="49" t="n"/>
      <c r="H173" s="49" t="n"/>
      <c r="I173" s="49" t="n"/>
      <c r="J173" s="49" t="n"/>
      <c r="K173" s="49" t="n"/>
      <c r="L173" s="49" t="n"/>
      <c r="M173" s="49" t="n"/>
      <c r="N173" s="49" t="n"/>
      <c r="O173" s="49" t="n"/>
    </row>
    <row r="174">
      <c r="B174" s="49" t="n"/>
      <c r="C174" s="49" t="n"/>
      <c r="D174" s="49" t="n"/>
      <c r="E174" s="49" t="n"/>
      <c r="F174" s="50" t="n"/>
      <c r="G174" s="49" t="n"/>
      <c r="H174" s="49" t="n"/>
      <c r="I174" s="49" t="n"/>
      <c r="J174" s="49" t="n"/>
      <c r="K174" s="49" t="n"/>
      <c r="L174" s="49" t="n"/>
      <c r="M174" s="49" t="n"/>
      <c r="N174" s="49" t="n"/>
      <c r="O174" s="49" t="n"/>
    </row>
    <row r="175">
      <c r="B175" s="49" t="n"/>
      <c r="C175" s="49" t="n"/>
      <c r="D175" s="49" t="n"/>
      <c r="E175" s="49" t="n"/>
      <c r="F175" s="50" t="n"/>
      <c r="G175" s="49" t="n"/>
      <c r="H175" s="49" t="n"/>
      <c r="I175" s="49" t="n"/>
      <c r="J175" s="49" t="n"/>
      <c r="K175" s="49" t="n"/>
      <c r="L175" s="49" t="n"/>
      <c r="M175" s="49" t="n"/>
      <c r="N175" s="49" t="n"/>
      <c r="O175" s="49" t="n"/>
    </row>
    <row r="176">
      <c r="B176" s="49" t="n"/>
      <c r="C176" s="49" t="n"/>
      <c r="D176" s="49" t="n"/>
      <c r="E176" s="49" t="n"/>
      <c r="F176" s="50" t="n"/>
      <c r="G176" s="49" t="n"/>
      <c r="H176" s="49" t="n"/>
      <c r="I176" s="49" t="n"/>
      <c r="J176" s="49" t="n"/>
      <c r="K176" s="49" t="n"/>
      <c r="L176" s="49" t="n"/>
      <c r="M176" s="49" t="n"/>
      <c r="N176" s="49" t="n"/>
      <c r="O176" s="49" t="n"/>
    </row>
    <row r="177">
      <c r="B177" s="49" t="n"/>
      <c r="C177" s="49" t="n"/>
      <c r="D177" s="49" t="n"/>
      <c r="E177" s="49" t="n"/>
      <c r="F177" s="50" t="n"/>
      <c r="G177" s="49" t="n"/>
      <c r="H177" s="49" t="n"/>
      <c r="I177" s="49" t="n"/>
      <c r="J177" s="49" t="n"/>
      <c r="K177" s="49" t="n"/>
      <c r="L177" s="49" t="n"/>
      <c r="M177" s="49" t="n"/>
      <c r="N177" s="49" t="n"/>
      <c r="O177" s="49" t="n"/>
    </row>
    <row r="178">
      <c r="B178" s="49" t="n"/>
      <c r="C178" s="49" t="n"/>
      <c r="D178" s="49" t="n"/>
      <c r="E178" s="49" t="n"/>
      <c r="F178" s="50" t="n"/>
      <c r="G178" s="49" t="n"/>
      <c r="H178" s="49" t="n"/>
      <c r="I178" s="49" t="n"/>
      <c r="J178" s="49" t="n"/>
      <c r="K178" s="49" t="n"/>
      <c r="L178" s="49" t="n"/>
      <c r="M178" s="49" t="n"/>
      <c r="N178" s="49" t="n"/>
      <c r="O178" s="49" t="n"/>
    </row>
    <row r="179">
      <c r="B179" s="49" t="n"/>
      <c r="C179" s="49" t="n"/>
      <c r="D179" s="49" t="n"/>
      <c r="E179" s="49" t="n"/>
      <c r="F179" s="50" t="n"/>
      <c r="G179" s="49" t="n"/>
      <c r="H179" s="49" t="n"/>
      <c r="I179" s="49" t="n"/>
      <c r="J179" s="49" t="n"/>
      <c r="K179" s="49" t="n"/>
      <c r="L179" s="49" t="n"/>
      <c r="M179" s="49" t="n"/>
      <c r="N179" s="49" t="n"/>
      <c r="O179" s="49" t="n"/>
    </row>
    <row r="180">
      <c r="B180" s="49" t="n"/>
      <c r="C180" s="49" t="n"/>
      <c r="D180" s="49" t="n"/>
      <c r="E180" s="49" t="n"/>
      <c r="F180" s="50" t="n"/>
      <c r="G180" s="49" t="n"/>
      <c r="H180" s="49" t="n"/>
      <c r="I180" s="49" t="n"/>
      <c r="J180" s="49" t="n"/>
      <c r="K180" s="49" t="n"/>
      <c r="L180" s="49" t="n"/>
      <c r="M180" s="49" t="n"/>
      <c r="N180" s="49" t="n"/>
      <c r="O180" s="49" t="n"/>
    </row>
    <row r="181">
      <c r="B181" s="49" t="n"/>
      <c r="C181" s="49" t="n"/>
      <c r="D181" s="49" t="n"/>
      <c r="E181" s="49" t="n"/>
      <c r="F181" s="50" t="n"/>
      <c r="G181" s="49" t="n"/>
      <c r="H181" s="49" t="n"/>
      <c r="I181" s="49" t="n"/>
      <c r="J181" s="49" t="n"/>
      <c r="K181" s="49" t="n"/>
      <c r="L181" s="49" t="n"/>
      <c r="M181" s="49" t="n"/>
      <c r="N181" s="49" t="n"/>
      <c r="O181" s="49" t="n"/>
    </row>
    <row r="182">
      <c r="B182" s="49" t="n"/>
      <c r="C182" s="49" t="n"/>
      <c r="D182" s="49" t="n"/>
      <c r="E182" s="49" t="n"/>
      <c r="F182" s="50" t="n"/>
      <c r="G182" s="49" t="n"/>
      <c r="H182" s="49" t="n"/>
      <c r="I182" s="49" t="n"/>
      <c r="J182" s="49" t="n"/>
      <c r="K182" s="49" t="n"/>
      <c r="L182" s="49" t="n"/>
      <c r="M182" s="49" t="n"/>
      <c r="N182" s="49" t="n"/>
      <c r="O182" s="49" t="n"/>
    </row>
    <row r="183">
      <c r="B183" s="49" t="n"/>
      <c r="C183" s="49" t="n"/>
      <c r="D183" s="49" t="n"/>
      <c r="E183" s="49" t="n"/>
      <c r="F183" s="50" t="n"/>
      <c r="G183" s="49" t="n"/>
      <c r="H183" s="49" t="n"/>
      <c r="I183" s="49" t="n"/>
      <c r="J183" s="49" t="n"/>
      <c r="K183" s="49" t="n"/>
      <c r="L183" s="49" t="n"/>
      <c r="M183" s="49" t="n"/>
      <c r="N183" s="49" t="n"/>
      <c r="O183" s="49" t="n"/>
    </row>
    <row r="184">
      <c r="B184" s="49" t="n"/>
      <c r="C184" s="49" t="n"/>
      <c r="D184" s="49" t="n"/>
      <c r="E184" s="49" t="n"/>
      <c r="F184" s="50" t="n"/>
      <c r="G184" s="49" t="n"/>
      <c r="H184" s="49" t="n"/>
      <c r="I184" s="49" t="n"/>
      <c r="J184" s="49" t="n"/>
      <c r="K184" s="49" t="n"/>
      <c r="L184" s="49" t="n"/>
      <c r="M184" s="49" t="n"/>
      <c r="N184" s="49" t="n"/>
      <c r="O184" s="49" t="n"/>
    </row>
    <row r="185">
      <c r="B185" s="49" t="n"/>
      <c r="C185" s="49" t="n"/>
      <c r="D185" s="49" t="n"/>
      <c r="E185" s="49" t="n"/>
      <c r="F185" s="50" t="n"/>
      <c r="G185" s="49" t="n"/>
      <c r="H185" s="49" t="n"/>
      <c r="I185" s="49" t="n"/>
      <c r="J185" s="49" t="n"/>
      <c r="K185" s="49" t="n"/>
      <c r="L185" s="49" t="n"/>
      <c r="M185" s="49" t="n"/>
      <c r="N185" s="49" t="n"/>
      <c r="O185" s="49" t="n"/>
    </row>
    <row r="186">
      <c r="B186" s="49" t="n"/>
      <c r="C186" s="49" t="n"/>
      <c r="D186" s="49" t="n"/>
      <c r="E186" s="49" t="n"/>
      <c r="F186" s="50" t="n"/>
      <c r="G186" s="49" t="n"/>
      <c r="H186" s="49" t="n"/>
      <c r="I186" s="49" t="n"/>
      <c r="J186" s="49" t="n"/>
      <c r="K186" s="49" t="n"/>
      <c r="L186" s="49" t="n"/>
      <c r="M186" s="49" t="n"/>
      <c r="N186" s="49" t="n"/>
      <c r="O186" s="49" t="n"/>
    </row>
    <row r="187">
      <c r="B187" s="49" t="n"/>
      <c r="C187" s="49" t="n"/>
      <c r="D187" s="49" t="n"/>
      <c r="E187" s="49" t="n"/>
      <c r="F187" s="50" t="n"/>
      <c r="G187" s="49" t="n"/>
      <c r="H187" s="49" t="n"/>
      <c r="I187" s="49" t="n"/>
      <c r="J187" s="49" t="n"/>
      <c r="K187" s="49" t="n"/>
      <c r="L187" s="49" t="n"/>
      <c r="M187" s="49" t="n"/>
      <c r="N187" s="49" t="n"/>
      <c r="O187" s="49" t="n"/>
    </row>
    <row r="188">
      <c r="B188" s="49" t="n"/>
      <c r="C188" s="49" t="n"/>
      <c r="D188" s="49" t="n"/>
      <c r="E188" s="49" t="n"/>
      <c r="F188" s="50" t="n"/>
      <c r="G188" s="49" t="n"/>
      <c r="H188" s="49" t="n"/>
      <c r="I188" s="49" t="n"/>
      <c r="J188" s="49" t="n"/>
      <c r="K188" s="49" t="n"/>
      <c r="L188" s="49" t="n"/>
      <c r="M188" s="49" t="n"/>
      <c r="N188" s="49" t="n"/>
      <c r="O188" s="49" t="n"/>
    </row>
    <row r="189">
      <c r="B189" s="49" t="n"/>
      <c r="C189" s="49" t="n"/>
      <c r="D189" s="49" t="n"/>
      <c r="E189" s="49" t="n"/>
      <c r="F189" s="50" t="n"/>
      <c r="G189" s="49" t="n"/>
      <c r="H189" s="49" t="n"/>
      <c r="I189" s="49" t="n"/>
      <c r="J189" s="49" t="n"/>
      <c r="K189" s="49" t="n"/>
      <c r="L189" s="49" t="n"/>
      <c r="M189" s="49" t="n"/>
      <c r="N189" s="49" t="n"/>
      <c r="O189" s="49" t="n"/>
    </row>
    <row r="190">
      <c r="B190" s="49" t="n"/>
      <c r="C190" s="49" t="n"/>
      <c r="D190" s="49" t="n"/>
      <c r="E190" s="49" t="n"/>
      <c r="F190" s="50" t="n"/>
      <c r="G190" s="49" t="n"/>
      <c r="H190" s="49" t="n"/>
      <c r="I190" s="49" t="n"/>
      <c r="J190" s="49" t="n"/>
      <c r="K190" s="49" t="n"/>
      <c r="L190" s="49" t="n"/>
      <c r="M190" s="49" t="n"/>
      <c r="N190" s="49" t="n"/>
      <c r="O190" s="49" t="n"/>
    </row>
    <row r="191">
      <c r="B191" s="49" t="n"/>
      <c r="C191" s="49" t="n"/>
      <c r="D191" s="49" t="n"/>
      <c r="E191" s="49" t="n"/>
      <c r="F191" s="50" t="n"/>
      <c r="G191" s="49" t="n"/>
      <c r="H191" s="49" t="n"/>
      <c r="I191" s="49" t="n"/>
      <c r="J191" s="49" t="n"/>
      <c r="K191" s="49" t="n"/>
      <c r="L191" s="49" t="n"/>
      <c r="M191" s="49" t="n"/>
      <c r="N191" s="49" t="n"/>
      <c r="O191" s="49" t="n"/>
    </row>
    <row r="192">
      <c r="B192" s="49" t="n"/>
      <c r="C192" s="49" t="n"/>
      <c r="D192" s="49" t="n"/>
      <c r="E192" s="49" t="n"/>
      <c r="F192" s="50" t="n"/>
      <c r="G192" s="49" t="n"/>
      <c r="H192" s="49" t="n"/>
      <c r="I192" s="49" t="n"/>
      <c r="J192" s="49" t="n"/>
      <c r="K192" s="49" t="n"/>
      <c r="L192" s="49" t="n"/>
      <c r="M192" s="49" t="n"/>
      <c r="N192" s="49" t="n"/>
      <c r="O192" s="49" t="n"/>
    </row>
    <row r="193">
      <c r="B193" s="49" t="n"/>
      <c r="C193" s="49" t="n"/>
      <c r="D193" s="49" t="n"/>
      <c r="E193" s="49" t="n"/>
      <c r="F193" s="50" t="n"/>
      <c r="G193" s="49" t="n"/>
      <c r="H193" s="49" t="n"/>
      <c r="I193" s="49" t="n"/>
      <c r="J193" s="49" t="n"/>
      <c r="K193" s="49" t="n"/>
      <c r="L193" s="49" t="n"/>
      <c r="M193" s="49" t="n"/>
      <c r="N193" s="49" t="n"/>
      <c r="O193" s="49" t="n"/>
    </row>
    <row r="194">
      <c r="B194" s="49" t="n"/>
      <c r="C194" s="49" t="n"/>
      <c r="D194" s="49" t="n"/>
      <c r="E194" s="49" t="n"/>
      <c r="F194" s="50" t="n"/>
      <c r="G194" s="49" t="n"/>
      <c r="H194" s="49" t="n"/>
      <c r="I194" s="49" t="n"/>
      <c r="J194" s="49" t="n"/>
      <c r="K194" s="49" t="n"/>
      <c r="L194" s="49" t="n"/>
      <c r="M194" s="49" t="n"/>
      <c r="N194" s="49" t="n"/>
      <c r="O194" s="49" t="n"/>
    </row>
    <row r="195">
      <c r="B195" s="49" t="n"/>
      <c r="C195" s="49" t="n"/>
      <c r="D195" s="49" t="n"/>
      <c r="E195" s="49" t="n"/>
      <c r="F195" s="50" t="n"/>
      <c r="G195" s="49" t="n"/>
      <c r="H195" s="49" t="n"/>
      <c r="I195" s="49" t="n"/>
      <c r="J195" s="49" t="n"/>
      <c r="K195" s="49" t="n"/>
      <c r="L195" s="49" t="n"/>
      <c r="M195" s="49" t="n"/>
      <c r="N195" s="49" t="n"/>
      <c r="O195" s="49" t="n"/>
    </row>
    <row r="196">
      <c r="B196" s="49" t="n"/>
      <c r="C196" s="49" t="n"/>
      <c r="D196" s="49" t="n"/>
      <c r="E196" s="49" t="n"/>
      <c r="F196" s="50" t="n"/>
      <c r="G196" s="49" t="n"/>
      <c r="H196" s="49" t="n"/>
      <c r="I196" s="49" t="n"/>
      <c r="J196" s="49" t="n"/>
      <c r="K196" s="49" t="n"/>
      <c r="L196" s="49" t="n"/>
      <c r="M196" s="49" t="n"/>
      <c r="N196" s="49" t="n"/>
      <c r="O196" s="49" t="n"/>
    </row>
    <row r="197">
      <c r="B197" s="49" t="n"/>
      <c r="C197" s="49" t="n"/>
      <c r="D197" s="49" t="n"/>
      <c r="E197" s="49" t="n"/>
      <c r="F197" s="50" t="n"/>
      <c r="G197" s="49" t="n"/>
      <c r="H197" s="49" t="n"/>
      <c r="I197" s="49" t="n"/>
      <c r="J197" s="49" t="n"/>
      <c r="K197" s="49" t="n"/>
      <c r="L197" s="49" t="n"/>
      <c r="M197" s="49" t="n"/>
      <c r="N197" s="49" t="n"/>
      <c r="O197" s="49" t="n"/>
    </row>
    <row r="198">
      <c r="B198" s="49" t="n"/>
      <c r="C198" s="49" t="n"/>
      <c r="D198" s="49" t="n"/>
      <c r="E198" s="49" t="n"/>
      <c r="F198" s="50" t="n"/>
      <c r="G198" s="49" t="n"/>
      <c r="H198" s="49" t="n"/>
      <c r="I198" s="49" t="n"/>
      <c r="J198" s="49" t="n"/>
      <c r="K198" s="49" t="n"/>
      <c r="L198" s="49" t="n"/>
      <c r="M198" s="49" t="n"/>
      <c r="N198" s="49" t="n"/>
      <c r="O198" s="49" t="n"/>
    </row>
    <row r="199">
      <c r="B199" s="49" t="n"/>
      <c r="C199" s="49" t="n"/>
      <c r="D199" s="49" t="n"/>
      <c r="E199" s="49" t="n"/>
      <c r="F199" s="50" t="n"/>
      <c r="G199" s="49" t="n"/>
      <c r="H199" s="49" t="n"/>
      <c r="I199" s="49" t="n"/>
      <c r="J199" s="49" t="n"/>
      <c r="K199" s="49" t="n"/>
      <c r="L199" s="49" t="n"/>
      <c r="M199" s="49" t="n"/>
      <c r="N199" s="49" t="n"/>
      <c r="O199" s="49" t="n"/>
    </row>
    <row r="200">
      <c r="B200" s="49" t="n"/>
      <c r="C200" s="49" t="n"/>
      <c r="D200" s="49" t="n"/>
      <c r="E200" s="49" t="n"/>
      <c r="F200" s="50" t="n"/>
      <c r="G200" s="49" t="n"/>
      <c r="H200" s="49" t="n"/>
      <c r="I200" s="49" t="n"/>
      <c r="J200" s="49" t="n"/>
      <c r="K200" s="49" t="n"/>
      <c r="L200" s="49" t="n"/>
      <c r="M200" s="49" t="n"/>
      <c r="N200" s="49" t="n"/>
      <c r="O200" s="49" t="n"/>
    </row>
    <row r="201">
      <c r="B201" s="49" t="n"/>
      <c r="C201" s="49" t="n"/>
      <c r="D201" s="49" t="n"/>
      <c r="E201" s="49" t="n"/>
      <c r="F201" s="50" t="n"/>
      <c r="G201" s="49" t="n"/>
      <c r="H201" s="49" t="n"/>
      <c r="I201" s="49" t="n"/>
      <c r="J201" s="49" t="n"/>
      <c r="K201" s="49" t="n"/>
      <c r="L201" s="49" t="n"/>
      <c r="M201" s="49" t="n"/>
      <c r="N201" s="49" t="n"/>
      <c r="O201" s="49" t="n"/>
    </row>
    <row r="202">
      <c r="B202" s="49" t="n"/>
      <c r="C202" s="49" t="n"/>
      <c r="D202" s="49" t="n"/>
      <c r="E202" s="49" t="n"/>
      <c r="F202" s="50" t="n"/>
      <c r="G202" s="49" t="n"/>
      <c r="H202" s="49" t="n"/>
      <c r="I202" s="49" t="n"/>
      <c r="J202" s="49" t="n"/>
      <c r="K202" s="49" t="n"/>
      <c r="L202" s="49" t="n"/>
      <c r="M202" s="49" t="n"/>
      <c r="N202" s="49" t="n"/>
      <c r="O202" s="49" t="n"/>
    </row>
    <row r="203">
      <c r="B203" s="49" t="n"/>
      <c r="C203" s="49" t="n"/>
      <c r="D203" s="49" t="n"/>
      <c r="E203" s="49" t="n"/>
      <c r="F203" s="50" t="n"/>
      <c r="G203" s="49" t="n"/>
      <c r="H203" s="49" t="n"/>
      <c r="I203" s="49" t="n"/>
      <c r="J203" s="49" t="n"/>
      <c r="K203" s="49" t="n"/>
      <c r="L203" s="49" t="n"/>
      <c r="M203" s="49" t="n"/>
      <c r="N203" s="49" t="n"/>
      <c r="O203" s="49" t="n"/>
    </row>
    <row r="204">
      <c r="B204" s="49" t="n"/>
      <c r="C204" s="49" t="n"/>
      <c r="D204" s="49" t="n"/>
      <c r="E204" s="49" t="n"/>
      <c r="F204" s="50" t="n"/>
      <c r="G204" s="49" t="n"/>
      <c r="H204" s="49" t="n"/>
      <c r="I204" s="49" t="n"/>
      <c r="J204" s="49" t="n"/>
      <c r="K204" s="49" t="n"/>
      <c r="L204" s="49" t="n"/>
      <c r="M204" s="49" t="n"/>
      <c r="N204" s="49" t="n"/>
      <c r="O204" s="49" t="n"/>
    </row>
    <row r="205">
      <c r="B205" s="49" t="n"/>
      <c r="C205" s="49" t="n"/>
      <c r="D205" s="49" t="n"/>
      <c r="E205" s="49" t="n"/>
      <c r="F205" s="50" t="n"/>
      <c r="G205" s="49" t="n"/>
      <c r="H205" s="49" t="n"/>
      <c r="I205" s="49" t="n"/>
      <c r="J205" s="49" t="n"/>
      <c r="K205" s="49" t="n"/>
      <c r="L205" s="49" t="n"/>
      <c r="M205" s="49" t="n"/>
      <c r="N205" s="49" t="n"/>
      <c r="O205" s="49" t="n"/>
    </row>
    <row r="206">
      <c r="B206" s="49" t="n"/>
      <c r="C206" s="49" t="n"/>
      <c r="D206" s="49" t="n"/>
      <c r="E206" s="49" t="n"/>
      <c r="F206" s="50" t="n"/>
      <c r="G206" s="49" t="n"/>
      <c r="H206" s="49" t="n"/>
      <c r="I206" s="49" t="n"/>
      <c r="J206" s="49" t="n"/>
      <c r="K206" s="49" t="n"/>
      <c r="L206" s="49" t="n"/>
      <c r="M206" s="49" t="n"/>
      <c r="N206" s="49" t="n"/>
      <c r="O206" s="49" t="n"/>
    </row>
    <row r="207">
      <c r="B207" s="49" t="n"/>
      <c r="C207" s="49" t="n"/>
      <c r="D207" s="49" t="n"/>
      <c r="E207" s="49" t="n"/>
      <c r="F207" s="50" t="n"/>
      <c r="G207" s="49" t="n"/>
      <c r="H207" s="49" t="n"/>
      <c r="I207" s="49" t="n"/>
      <c r="J207" s="49" t="n"/>
      <c r="K207" s="49" t="n"/>
      <c r="L207" s="49" t="n"/>
      <c r="M207" s="49" t="n"/>
      <c r="N207" s="49" t="n"/>
      <c r="O207" s="49" t="n"/>
    </row>
    <row r="208">
      <c r="B208" s="49" t="n"/>
      <c r="C208" s="49" t="n"/>
      <c r="D208" s="49" t="n"/>
      <c r="E208" s="49" t="n"/>
      <c r="F208" s="50" t="n"/>
      <c r="G208" s="49" t="n"/>
      <c r="H208" s="49" t="n"/>
      <c r="I208" s="49" t="n"/>
      <c r="J208" s="49" t="n"/>
      <c r="K208" s="49" t="n"/>
      <c r="L208" s="49" t="n"/>
      <c r="M208" s="49" t="n"/>
      <c r="N208" s="49" t="n"/>
      <c r="O208" s="49" t="n"/>
    </row>
    <row r="209">
      <c r="B209" s="49" t="n"/>
      <c r="C209" s="49" t="n"/>
      <c r="D209" s="49" t="n"/>
      <c r="E209" s="49" t="n"/>
      <c r="F209" s="50" t="n"/>
      <c r="G209" s="49" t="n"/>
      <c r="H209" s="49" t="n"/>
      <c r="I209" s="49" t="n"/>
      <c r="J209" s="49" t="n"/>
      <c r="K209" s="49" t="n"/>
      <c r="L209" s="49" t="n"/>
      <c r="M209" s="49" t="n"/>
      <c r="N209" s="49" t="n"/>
      <c r="O209" s="49" t="n"/>
    </row>
    <row r="210">
      <c r="B210" s="49" t="n"/>
      <c r="C210" s="49" t="n"/>
      <c r="D210" s="49" t="n"/>
      <c r="E210" s="49" t="n"/>
      <c r="F210" s="50" t="n"/>
      <c r="G210" s="49" t="n"/>
      <c r="H210" s="49" t="n"/>
      <c r="I210" s="49" t="n"/>
      <c r="J210" s="49" t="n"/>
      <c r="K210" s="49" t="n"/>
      <c r="L210" s="49" t="n"/>
      <c r="M210" s="49" t="n"/>
      <c r="N210" s="49" t="n"/>
      <c r="O210" s="49" t="n"/>
    </row>
    <row r="211">
      <c r="B211" s="49" t="n"/>
      <c r="C211" s="49" t="n"/>
      <c r="D211" s="49" t="n"/>
      <c r="E211" s="49" t="n"/>
      <c r="F211" s="50" t="n"/>
      <c r="G211" s="49" t="n"/>
      <c r="H211" s="49" t="n"/>
      <c r="I211" s="49" t="n"/>
      <c r="J211" s="49" t="n"/>
      <c r="K211" s="49" t="n"/>
      <c r="L211" s="49" t="n"/>
      <c r="M211" s="49" t="n"/>
      <c r="N211" s="49" t="n"/>
      <c r="O211" s="49" t="n"/>
    </row>
    <row r="212">
      <c r="B212" s="49" t="n"/>
      <c r="C212" s="49" t="n"/>
      <c r="D212" s="49" t="n"/>
      <c r="E212" s="49" t="n"/>
      <c r="F212" s="50" t="n"/>
      <c r="G212" s="49" t="n"/>
      <c r="H212" s="49" t="n"/>
      <c r="I212" s="49" t="n"/>
      <c r="J212" s="49" t="n"/>
      <c r="K212" s="49" t="n"/>
      <c r="L212" s="49" t="n"/>
      <c r="M212" s="49" t="n"/>
      <c r="N212" s="49" t="n"/>
      <c r="O212" s="49" t="n"/>
    </row>
    <row r="213">
      <c r="B213" s="49" t="n"/>
      <c r="C213" s="49" t="n"/>
      <c r="D213" s="49" t="n"/>
      <c r="E213" s="49" t="n"/>
      <c r="F213" s="50" t="n"/>
      <c r="G213" s="49" t="n"/>
      <c r="H213" s="49" t="n"/>
      <c r="I213" s="49" t="n"/>
      <c r="J213" s="49" t="n"/>
      <c r="K213" s="49" t="n"/>
      <c r="L213" s="49" t="n"/>
      <c r="M213" s="49" t="n"/>
      <c r="N213" s="49" t="n"/>
      <c r="O213" s="49" t="n"/>
    </row>
    <row r="214">
      <c r="B214" s="49" t="n"/>
      <c r="C214" s="49" t="n"/>
      <c r="D214" s="49" t="n"/>
      <c r="E214" s="49" t="n"/>
      <c r="F214" s="50" t="n"/>
      <c r="G214" s="49" t="n"/>
      <c r="H214" s="49" t="n"/>
      <c r="I214" s="49" t="n"/>
      <c r="J214" s="49" t="n"/>
      <c r="K214" s="49" t="n"/>
      <c r="L214" s="49" t="n"/>
      <c r="M214" s="49" t="n"/>
      <c r="N214" s="49" t="n"/>
      <c r="O214" s="49" t="n"/>
    </row>
    <row r="215">
      <c r="B215" s="49" t="n"/>
      <c r="C215" s="49" t="n"/>
      <c r="D215" s="49" t="n"/>
      <c r="E215" s="49" t="n"/>
      <c r="F215" s="50" t="n"/>
      <c r="G215" s="49" t="n"/>
      <c r="H215" s="49" t="n"/>
      <c r="I215" s="49" t="n"/>
      <c r="J215" s="49" t="n"/>
      <c r="K215" s="49" t="n"/>
      <c r="L215" s="49" t="n"/>
      <c r="M215" s="49" t="n"/>
      <c r="N215" s="49" t="n"/>
      <c r="O215" s="49" t="n"/>
    </row>
    <row r="216">
      <c r="B216" s="49" t="n"/>
      <c r="C216" s="49" t="n"/>
      <c r="D216" s="49" t="n"/>
      <c r="E216" s="49" t="n"/>
      <c r="F216" s="50" t="n"/>
      <c r="G216" s="49" t="n"/>
      <c r="H216" s="49" t="n"/>
      <c r="I216" s="49" t="n"/>
      <c r="J216" s="49" t="n"/>
      <c r="K216" s="49" t="n"/>
      <c r="L216" s="49" t="n"/>
      <c r="M216" s="49" t="n"/>
      <c r="N216" s="49" t="n"/>
      <c r="O216" s="49" t="n"/>
    </row>
    <row r="217">
      <c r="B217" s="49" t="n"/>
      <c r="C217" s="49" t="n"/>
      <c r="D217" s="49" t="n"/>
      <c r="E217" s="49" t="n"/>
      <c r="F217" s="50" t="n"/>
      <c r="G217" s="49" t="n"/>
      <c r="H217" s="49" t="n"/>
      <c r="I217" s="49" t="n"/>
      <c r="J217" s="49" t="n"/>
      <c r="K217" s="49" t="n"/>
      <c r="L217" s="49" t="n"/>
      <c r="M217" s="49" t="n"/>
      <c r="N217" s="49" t="n"/>
      <c r="O217" s="49" t="n"/>
    </row>
    <row r="218">
      <c r="B218" s="49" t="n"/>
      <c r="C218" s="49" t="n"/>
      <c r="D218" s="49" t="n"/>
      <c r="E218" s="49" t="n"/>
      <c r="F218" s="50" t="n"/>
      <c r="G218" s="49" t="n"/>
      <c r="H218" s="49" t="n"/>
      <c r="I218" s="49" t="n"/>
      <c r="J218" s="49" t="n"/>
      <c r="K218" s="49" t="n"/>
      <c r="L218" s="49" t="n"/>
      <c r="M218" s="49" t="n"/>
      <c r="N218" s="49" t="n"/>
      <c r="O218" s="49" t="n"/>
    </row>
    <row r="219">
      <c r="B219" s="49" t="n"/>
      <c r="C219" s="49" t="n"/>
      <c r="D219" s="49" t="n"/>
      <c r="E219" s="49" t="n"/>
      <c r="F219" s="50" t="n"/>
      <c r="G219" s="49" t="n"/>
      <c r="H219" s="49" t="n"/>
      <c r="I219" s="49" t="n"/>
      <c r="J219" s="49" t="n"/>
      <c r="K219" s="49" t="n"/>
      <c r="L219" s="49" t="n"/>
      <c r="M219" s="49" t="n"/>
      <c r="N219" s="49" t="n"/>
      <c r="O219" s="49" t="n"/>
    </row>
    <row r="220">
      <c r="B220" s="49" t="n"/>
      <c r="C220" s="49" t="n"/>
      <c r="D220" s="49" t="n"/>
      <c r="E220" s="49" t="n"/>
      <c r="F220" s="50" t="n"/>
      <c r="G220" s="49" t="n"/>
      <c r="H220" s="49" t="n"/>
      <c r="I220" s="49" t="n"/>
      <c r="J220" s="49" t="n"/>
      <c r="K220" s="49" t="n"/>
      <c r="L220" s="49" t="n"/>
      <c r="M220" s="49" t="n"/>
      <c r="N220" s="49" t="n"/>
      <c r="O220" s="49" t="n"/>
    </row>
    <row r="221">
      <c r="B221" s="49" t="n"/>
      <c r="C221" s="49" t="n"/>
      <c r="D221" s="49" t="n"/>
      <c r="E221" s="49" t="n"/>
      <c r="F221" s="50" t="n"/>
      <c r="G221" s="49" t="n"/>
      <c r="H221" s="49" t="n"/>
      <c r="I221" s="49" t="n"/>
      <c r="J221" s="49" t="n"/>
      <c r="K221" s="49" t="n"/>
      <c r="L221" s="49" t="n"/>
      <c r="M221" s="49" t="n"/>
      <c r="N221" s="49" t="n"/>
      <c r="O221" s="49" t="n"/>
    </row>
    <row r="222">
      <c r="B222" s="49" t="n"/>
      <c r="C222" s="49" t="n"/>
      <c r="D222" s="49" t="n"/>
      <c r="E222" s="49" t="n"/>
      <c r="F222" s="50" t="n"/>
      <c r="G222" s="49" t="n"/>
      <c r="H222" s="49" t="n"/>
      <c r="I222" s="49" t="n"/>
      <c r="J222" s="49" t="n"/>
      <c r="K222" s="49" t="n"/>
      <c r="L222" s="49" t="n"/>
      <c r="M222" s="49" t="n"/>
      <c r="N222" s="49" t="n"/>
      <c r="O222" s="49" t="n"/>
    </row>
    <row r="223">
      <c r="B223" s="49" t="n"/>
      <c r="C223" s="49" t="n"/>
      <c r="D223" s="49" t="n"/>
      <c r="E223" s="49" t="n"/>
      <c r="F223" s="50" t="n"/>
      <c r="G223" s="49" t="n"/>
      <c r="H223" s="49" t="n"/>
      <c r="I223" s="49" t="n"/>
      <c r="J223" s="49" t="n"/>
      <c r="K223" s="49" t="n"/>
      <c r="L223" s="49" t="n"/>
      <c r="M223" s="49" t="n"/>
      <c r="N223" s="49" t="n"/>
      <c r="O223" s="49" t="n"/>
    </row>
    <row r="224">
      <c r="B224" s="49" t="n"/>
      <c r="C224" s="49" t="n"/>
      <c r="D224" s="49" t="n"/>
      <c r="E224" s="49" t="n"/>
      <c r="F224" s="50" t="n"/>
      <c r="G224" s="49" t="n"/>
      <c r="H224" s="49" t="n"/>
      <c r="I224" s="49" t="n"/>
      <c r="J224" s="49" t="n"/>
      <c r="K224" s="49" t="n"/>
      <c r="L224" s="49" t="n"/>
      <c r="M224" s="49" t="n"/>
      <c r="N224" s="49" t="n"/>
      <c r="O224" s="49" t="n"/>
    </row>
    <row r="225">
      <c r="B225" s="49" t="n"/>
      <c r="C225" s="49" t="n"/>
      <c r="D225" s="49" t="n"/>
      <c r="E225" s="49" t="n"/>
      <c r="F225" s="50" t="n"/>
      <c r="G225" s="49" t="n"/>
      <c r="H225" s="49" t="n"/>
      <c r="I225" s="49" t="n"/>
      <c r="J225" s="49" t="n"/>
      <c r="K225" s="49" t="n"/>
      <c r="L225" s="49" t="n"/>
      <c r="M225" s="49" t="n"/>
      <c r="N225" s="49" t="n"/>
      <c r="O225" s="49" t="n"/>
    </row>
    <row r="226">
      <c r="B226" s="49" t="n"/>
      <c r="C226" s="49" t="n"/>
      <c r="D226" s="49" t="n"/>
      <c r="E226" s="49" t="n"/>
      <c r="F226" s="50" t="n"/>
      <c r="G226" s="49" t="n"/>
      <c r="H226" s="49" t="n"/>
      <c r="I226" s="49" t="n"/>
      <c r="J226" s="49" t="n"/>
      <c r="K226" s="49" t="n"/>
      <c r="L226" s="49" t="n"/>
      <c r="M226" s="49" t="n"/>
      <c r="N226" s="49" t="n"/>
      <c r="O226" s="49" t="n"/>
    </row>
    <row r="227">
      <c r="B227" s="49" t="n"/>
      <c r="C227" s="49" t="n"/>
      <c r="D227" s="49" t="n"/>
      <c r="E227" s="49" t="n"/>
      <c r="F227" s="50" t="n"/>
      <c r="G227" s="49" t="n"/>
      <c r="H227" s="49" t="n"/>
      <c r="I227" s="49" t="n"/>
      <c r="J227" s="49" t="n"/>
      <c r="K227" s="49" t="n"/>
      <c r="L227" s="49" t="n"/>
      <c r="M227" s="49" t="n"/>
      <c r="N227" s="49" t="n"/>
      <c r="O227" s="49" t="n"/>
    </row>
    <row r="228">
      <c r="B228" s="49" t="n"/>
      <c r="C228" s="49" t="n"/>
      <c r="D228" s="49" t="n"/>
      <c r="E228" s="49" t="n"/>
      <c r="F228" s="50" t="n"/>
      <c r="G228" s="49" t="n"/>
      <c r="H228" s="49" t="n"/>
      <c r="I228" s="49" t="n"/>
      <c r="J228" s="49" t="n"/>
      <c r="K228" s="49" t="n"/>
      <c r="L228" s="49" t="n"/>
      <c r="M228" s="49" t="n"/>
      <c r="N228" s="49" t="n"/>
      <c r="O228" s="49" t="n"/>
    </row>
    <row r="229">
      <c r="B229" s="49" t="n"/>
      <c r="C229" s="49" t="n"/>
      <c r="D229" s="49" t="n"/>
      <c r="E229" s="49" t="n"/>
      <c r="F229" s="50" t="n"/>
      <c r="G229" s="49" t="n"/>
      <c r="H229" s="49" t="n"/>
      <c r="I229" s="49" t="n"/>
      <c r="J229" s="49" t="n"/>
      <c r="K229" s="49" t="n"/>
      <c r="L229" s="49" t="n"/>
      <c r="M229" s="49" t="n"/>
      <c r="N229" s="49" t="n"/>
      <c r="O229" s="49" t="n"/>
    </row>
    <row r="230">
      <c r="B230" s="49" t="n"/>
      <c r="C230" s="49" t="n"/>
      <c r="D230" s="49" t="n"/>
      <c r="E230" s="49" t="n"/>
      <c r="F230" s="50" t="n"/>
      <c r="G230" s="49" t="n"/>
      <c r="H230" s="49" t="n"/>
      <c r="I230" s="49" t="n"/>
      <c r="J230" s="49" t="n"/>
      <c r="K230" s="49" t="n"/>
      <c r="L230" s="49" t="n"/>
      <c r="M230" s="49" t="n"/>
      <c r="N230" s="49" t="n"/>
      <c r="O230" s="49" t="n"/>
    </row>
    <row r="231">
      <c r="B231" s="49" t="n"/>
      <c r="C231" s="49" t="n"/>
      <c r="D231" s="49" t="n"/>
      <c r="E231" s="49" t="n"/>
      <c r="F231" s="50" t="n"/>
      <c r="G231" s="49" t="n"/>
      <c r="H231" s="49" t="n"/>
      <c r="I231" s="49" t="n"/>
      <c r="J231" s="49" t="n"/>
      <c r="K231" s="49" t="n"/>
      <c r="L231" s="49" t="n"/>
      <c r="M231" s="49" t="n"/>
      <c r="N231" s="49" t="n"/>
      <c r="O231" s="49" t="n"/>
    </row>
    <row r="232">
      <c r="B232" s="49" t="n"/>
      <c r="C232" s="49" t="n"/>
      <c r="D232" s="49" t="n"/>
      <c r="E232" s="49" t="n"/>
      <c r="F232" s="50" t="n"/>
      <c r="G232" s="49" t="n"/>
      <c r="H232" s="49" t="n"/>
      <c r="I232" s="49" t="n"/>
      <c r="J232" s="49" t="n"/>
      <c r="K232" s="49" t="n"/>
      <c r="L232" s="49" t="n"/>
      <c r="M232" s="49" t="n"/>
      <c r="N232" s="49" t="n"/>
      <c r="O232" s="49" t="n"/>
    </row>
    <row r="233">
      <c r="B233" s="49" t="n"/>
      <c r="C233" s="49" t="n"/>
      <c r="D233" s="49" t="n"/>
      <c r="E233" s="49" t="n"/>
      <c r="F233" s="50" t="n"/>
      <c r="G233" s="49" t="n"/>
      <c r="H233" s="49" t="n"/>
      <c r="I233" s="49" t="n"/>
      <c r="J233" s="49" t="n"/>
      <c r="K233" s="49" t="n"/>
      <c r="L233" s="49" t="n"/>
      <c r="M233" s="49" t="n"/>
      <c r="N233" s="49" t="n"/>
      <c r="O233" s="49" t="n"/>
    </row>
    <row r="234">
      <c r="B234" s="49" t="n"/>
      <c r="C234" s="49" t="n"/>
      <c r="D234" s="49" t="n"/>
      <c r="E234" s="49" t="n"/>
      <c r="F234" s="50" t="n"/>
      <c r="G234" s="49" t="n"/>
      <c r="H234" s="49" t="n"/>
      <c r="I234" s="49" t="n"/>
      <c r="J234" s="49" t="n"/>
      <c r="K234" s="49" t="n"/>
      <c r="L234" s="49" t="n"/>
      <c r="M234" s="49" t="n"/>
      <c r="N234" s="49" t="n"/>
      <c r="O234" s="49" t="n"/>
    </row>
    <row r="235">
      <c r="B235" s="49" t="n"/>
      <c r="C235" s="49" t="n"/>
      <c r="D235" s="49" t="n"/>
      <c r="E235" s="49" t="n"/>
      <c r="F235" s="50" t="n"/>
      <c r="G235" s="49" t="n"/>
      <c r="H235" s="49" t="n"/>
      <c r="I235" s="49" t="n"/>
      <c r="J235" s="49" t="n"/>
      <c r="K235" s="49" t="n"/>
      <c r="L235" s="49" t="n"/>
      <c r="M235" s="49" t="n"/>
      <c r="N235" s="49" t="n"/>
      <c r="O235" s="49" t="n"/>
    </row>
    <row r="236">
      <c r="B236" s="49" t="n"/>
      <c r="C236" s="49" t="n"/>
      <c r="D236" s="49" t="n"/>
      <c r="E236" s="49" t="n"/>
      <c r="F236" s="50" t="n"/>
      <c r="G236" s="49" t="n"/>
      <c r="H236" s="49" t="n"/>
      <c r="I236" s="49" t="n"/>
      <c r="J236" s="49" t="n"/>
      <c r="K236" s="49" t="n"/>
      <c r="L236" s="49" t="n"/>
      <c r="M236" s="49" t="n"/>
      <c r="N236" s="49" t="n"/>
      <c r="O236" s="49" t="n"/>
    </row>
    <row r="237">
      <c r="B237" s="49" t="n"/>
      <c r="C237" s="49" t="n"/>
      <c r="D237" s="49" t="n"/>
      <c r="E237" s="49" t="n"/>
      <c r="F237" s="50" t="n"/>
      <c r="G237" s="49" t="n"/>
      <c r="H237" s="49" t="n"/>
      <c r="I237" s="49" t="n"/>
      <c r="J237" s="49" t="n"/>
      <c r="K237" s="49" t="n"/>
      <c r="L237" s="49" t="n"/>
      <c r="M237" s="49" t="n"/>
      <c r="N237" s="49" t="n"/>
      <c r="O237" s="49" t="n"/>
    </row>
    <row r="238">
      <c r="B238" s="49" t="n"/>
      <c r="C238" s="49" t="n"/>
      <c r="D238" s="49" t="n"/>
      <c r="E238" s="49" t="n"/>
      <c r="F238" s="50" t="n"/>
      <c r="G238" s="49" t="n"/>
      <c r="H238" s="49" t="n"/>
      <c r="I238" s="49" t="n"/>
      <c r="J238" s="49" t="n"/>
      <c r="K238" s="49" t="n"/>
      <c r="L238" s="49" t="n"/>
      <c r="M238" s="49" t="n"/>
      <c r="N238" s="49" t="n"/>
      <c r="O238" s="49" t="n"/>
    </row>
    <row r="239">
      <c r="B239" s="49" t="n"/>
      <c r="C239" s="49" t="n"/>
      <c r="D239" s="49" t="n"/>
      <c r="E239" s="49" t="n"/>
      <c r="F239" s="50" t="n"/>
      <c r="G239" s="49" t="n"/>
      <c r="H239" s="49" t="n"/>
      <c r="I239" s="49" t="n"/>
      <c r="J239" s="49" t="n"/>
      <c r="K239" s="49" t="n"/>
      <c r="L239" s="49" t="n"/>
      <c r="M239" s="49" t="n"/>
      <c r="N239" s="49" t="n"/>
      <c r="O239" s="49" t="n"/>
    </row>
    <row r="240">
      <c r="B240" s="49" t="n"/>
      <c r="C240" s="49" t="n"/>
      <c r="D240" s="49" t="n"/>
      <c r="E240" s="49" t="n"/>
      <c r="F240" s="50" t="n"/>
      <c r="G240" s="49" t="n"/>
      <c r="H240" s="49" t="n"/>
      <c r="I240" s="49" t="n"/>
      <c r="J240" s="49" t="n"/>
      <c r="K240" s="49" t="n"/>
      <c r="L240" s="49" t="n"/>
      <c r="M240" s="49" t="n"/>
      <c r="N240" s="49" t="n"/>
      <c r="O240" s="49" t="n"/>
    </row>
    <row r="241">
      <c r="B241" s="49" t="n"/>
      <c r="C241" s="49" t="n"/>
      <c r="D241" s="49" t="n"/>
      <c r="E241" s="49" t="n"/>
      <c r="F241" s="50" t="n"/>
      <c r="G241" s="49" t="n"/>
      <c r="H241" s="49" t="n"/>
      <c r="I241" s="49" t="n"/>
      <c r="J241" s="49" t="n"/>
      <c r="K241" s="49" t="n"/>
      <c r="L241" s="49" t="n"/>
      <c r="M241" s="49" t="n"/>
      <c r="N241" s="49" t="n"/>
      <c r="O241" s="49" t="n"/>
    </row>
    <row r="242">
      <c r="B242" s="49" t="n"/>
      <c r="C242" s="49" t="n"/>
      <c r="D242" s="49" t="n"/>
      <c r="E242" s="49" t="n"/>
      <c r="F242" s="50" t="n"/>
      <c r="G242" s="49" t="n"/>
      <c r="H242" s="49" t="n"/>
      <c r="I242" s="49" t="n"/>
      <c r="J242" s="49" t="n"/>
      <c r="K242" s="49" t="n"/>
      <c r="L242" s="49" t="n"/>
      <c r="M242" s="49" t="n"/>
      <c r="N242" s="49" t="n"/>
      <c r="O242" s="49" t="n"/>
    </row>
    <row r="243">
      <c r="B243" s="49" t="n"/>
      <c r="C243" s="49" t="n"/>
      <c r="D243" s="49" t="n"/>
      <c r="E243" s="49" t="n"/>
      <c r="F243" s="50" t="n"/>
      <c r="G243" s="49" t="n"/>
      <c r="H243" s="49" t="n"/>
      <c r="I243" s="49" t="n"/>
      <c r="J243" s="49" t="n"/>
      <c r="K243" s="49" t="n"/>
      <c r="L243" s="49" t="n"/>
      <c r="M243" s="49" t="n"/>
      <c r="N243" s="49" t="n"/>
      <c r="O243" s="49" t="n"/>
    </row>
    <row r="244">
      <c r="B244" s="49" t="n"/>
      <c r="C244" s="49" t="n"/>
      <c r="D244" s="49" t="n"/>
      <c r="E244" s="49" t="n"/>
      <c r="F244" s="50" t="n"/>
      <c r="G244" s="49" t="n"/>
      <c r="H244" s="49" t="n"/>
      <c r="I244" s="49" t="n"/>
      <c r="J244" s="49" t="n"/>
      <c r="K244" s="49" t="n"/>
      <c r="L244" s="49" t="n"/>
      <c r="M244" s="49" t="n"/>
      <c r="N244" s="49" t="n"/>
      <c r="O244" s="49" t="n"/>
    </row>
    <row r="245">
      <c r="B245" s="49" t="n"/>
      <c r="C245" s="49" t="n"/>
      <c r="D245" s="49" t="n"/>
      <c r="E245" s="49" t="n"/>
      <c r="F245" s="50" t="n"/>
      <c r="G245" s="49" t="n"/>
      <c r="H245" s="49" t="n"/>
      <c r="I245" s="49" t="n"/>
      <c r="J245" s="49" t="n"/>
      <c r="K245" s="49" t="n"/>
      <c r="L245" s="49" t="n"/>
      <c r="M245" s="49" t="n"/>
      <c r="N245" s="49" t="n"/>
      <c r="O245" s="49" t="n"/>
    </row>
    <row r="246">
      <c r="B246" s="49" t="n"/>
      <c r="C246" s="49" t="n"/>
      <c r="D246" s="49" t="n"/>
      <c r="E246" s="49" t="n"/>
      <c r="F246" s="50" t="n"/>
      <c r="G246" s="49" t="n"/>
      <c r="H246" s="49" t="n"/>
      <c r="I246" s="49" t="n"/>
      <c r="J246" s="49" t="n"/>
      <c r="K246" s="49" t="n"/>
      <c r="L246" s="49" t="n"/>
      <c r="M246" s="49" t="n"/>
      <c r="N246" s="49" t="n"/>
      <c r="O246" s="49" t="n"/>
    </row>
    <row r="247">
      <c r="B247" s="49" t="n"/>
      <c r="C247" s="49" t="n"/>
      <c r="D247" s="49" t="n"/>
      <c r="E247" s="49" t="n"/>
      <c r="F247" s="50" t="n"/>
      <c r="G247" s="49" t="n"/>
      <c r="H247" s="49" t="n"/>
      <c r="I247" s="49" t="n"/>
      <c r="J247" s="49" t="n"/>
      <c r="K247" s="49" t="n"/>
      <c r="L247" s="49" t="n"/>
      <c r="M247" s="49" t="n"/>
      <c r="N247" s="49" t="n"/>
      <c r="O247" s="49" t="n"/>
    </row>
    <row r="248">
      <c r="B248" s="49" t="n"/>
      <c r="C248" s="49" t="n"/>
      <c r="D248" s="49" t="n"/>
      <c r="E248" s="49" t="n"/>
      <c r="F248" s="50" t="n"/>
      <c r="G248" s="49" t="n"/>
      <c r="H248" s="49" t="n"/>
      <c r="I248" s="49" t="n"/>
      <c r="J248" s="49" t="n"/>
      <c r="K248" s="49" t="n"/>
      <c r="L248" s="49" t="n"/>
      <c r="M248" s="49" t="n"/>
      <c r="N248" s="49" t="n"/>
      <c r="O248" s="49" t="n"/>
    </row>
    <row r="249">
      <c r="B249" s="49" t="n"/>
      <c r="C249" s="49" t="n"/>
      <c r="D249" s="49" t="n"/>
      <c r="E249" s="49" t="n"/>
      <c r="F249" s="50" t="n"/>
      <c r="G249" s="49" t="n"/>
      <c r="H249" s="49" t="n"/>
      <c r="I249" s="49" t="n"/>
      <c r="J249" s="49" t="n"/>
      <c r="K249" s="49" t="n"/>
      <c r="L249" s="49" t="n"/>
      <c r="M249" s="49" t="n"/>
      <c r="N249" s="49" t="n"/>
      <c r="O249" s="49" t="n"/>
    </row>
    <row r="250">
      <c r="B250" s="49" t="n"/>
      <c r="C250" s="49" t="n"/>
      <c r="D250" s="49" t="n"/>
      <c r="E250" s="49" t="n"/>
      <c r="F250" s="50" t="n"/>
      <c r="G250" s="49" t="n"/>
      <c r="H250" s="49" t="n"/>
      <c r="I250" s="49" t="n"/>
      <c r="J250" s="49" t="n"/>
      <c r="K250" s="49" t="n"/>
      <c r="L250" s="49" t="n"/>
      <c r="M250" s="49" t="n"/>
      <c r="N250" s="49" t="n"/>
      <c r="O250" s="49" t="n"/>
    </row>
    <row r="251">
      <c r="B251" s="49" t="n"/>
      <c r="C251" s="49" t="n"/>
      <c r="D251" s="49" t="n"/>
      <c r="E251" s="49" t="n"/>
      <c r="F251" s="50" t="n"/>
      <c r="G251" s="49" t="n"/>
      <c r="H251" s="49" t="n"/>
      <c r="I251" s="49" t="n"/>
      <c r="J251" s="49" t="n"/>
      <c r="K251" s="49" t="n"/>
      <c r="L251" s="49" t="n"/>
      <c r="M251" s="49" t="n"/>
      <c r="N251" s="49" t="n"/>
      <c r="O251" s="49" t="n"/>
    </row>
    <row r="252">
      <c r="B252" s="49" t="n"/>
      <c r="C252" s="49" t="n"/>
      <c r="D252" s="49" t="n"/>
      <c r="E252" s="49" t="n"/>
      <c r="F252" s="50" t="n"/>
      <c r="G252" s="49" t="n"/>
      <c r="H252" s="49" t="n"/>
      <c r="I252" s="49" t="n"/>
      <c r="J252" s="49" t="n"/>
      <c r="K252" s="49" t="n"/>
      <c r="L252" s="49" t="n"/>
      <c r="M252" s="49" t="n"/>
      <c r="N252" s="49" t="n"/>
      <c r="O252" s="49" t="n"/>
    </row>
    <row r="253">
      <c r="B253" s="49" t="n"/>
      <c r="C253" s="49" t="n"/>
      <c r="D253" s="49" t="n"/>
      <c r="E253" s="49" t="n"/>
      <c r="F253" s="50" t="n"/>
      <c r="G253" s="49" t="n"/>
      <c r="H253" s="49" t="n"/>
      <c r="I253" s="49" t="n"/>
      <c r="J253" s="49" t="n"/>
      <c r="K253" s="49" t="n"/>
      <c r="L253" s="49" t="n"/>
      <c r="M253" s="49" t="n"/>
      <c r="N253" s="49" t="n"/>
      <c r="O253" s="49" t="n"/>
    </row>
    <row r="254">
      <c r="B254" s="49" t="n"/>
      <c r="C254" s="49" t="n"/>
      <c r="D254" s="49" t="n"/>
      <c r="E254" s="49" t="n"/>
      <c r="F254" s="50" t="n"/>
      <c r="G254" s="49" t="n"/>
      <c r="H254" s="49" t="n"/>
      <c r="I254" s="49" t="n"/>
      <c r="J254" s="49" t="n"/>
      <c r="K254" s="49" t="n"/>
      <c r="L254" s="49" t="n"/>
      <c r="M254" s="49" t="n"/>
      <c r="N254" s="49" t="n"/>
      <c r="O254" s="49" t="n"/>
    </row>
    <row r="255">
      <c r="B255" s="49" t="n"/>
      <c r="C255" s="49" t="n"/>
      <c r="D255" s="49" t="n"/>
      <c r="E255" s="49" t="n"/>
      <c r="F255" s="50" t="n"/>
      <c r="G255" s="49" t="n"/>
      <c r="H255" s="49" t="n"/>
      <c r="I255" s="49" t="n"/>
      <c r="J255" s="49" t="n"/>
      <c r="K255" s="49" t="n"/>
      <c r="L255" s="49" t="n"/>
      <c r="M255" s="49" t="n"/>
      <c r="N255" s="49" t="n"/>
      <c r="O255" s="49" t="n"/>
    </row>
    <row r="256">
      <c r="B256" s="49" t="n"/>
      <c r="C256" s="49" t="n"/>
      <c r="D256" s="49" t="n"/>
      <c r="E256" s="49" t="n"/>
      <c r="F256" s="50" t="n"/>
      <c r="G256" s="49" t="n"/>
      <c r="H256" s="49" t="n"/>
      <c r="I256" s="49" t="n"/>
      <c r="J256" s="49" t="n"/>
      <c r="K256" s="49" t="n"/>
      <c r="L256" s="49" t="n"/>
      <c r="M256" s="49" t="n"/>
      <c r="N256" s="49" t="n"/>
      <c r="O256" s="49" t="n"/>
    </row>
    <row r="257">
      <c r="B257" s="49" t="n"/>
      <c r="C257" s="49" t="n"/>
      <c r="D257" s="49" t="n"/>
      <c r="E257" s="49" t="n"/>
      <c r="F257" s="50" t="n"/>
      <c r="G257" s="49" t="n"/>
      <c r="H257" s="49" t="n"/>
      <c r="I257" s="49" t="n"/>
      <c r="J257" s="49" t="n"/>
      <c r="K257" s="49" t="n"/>
      <c r="L257" s="49" t="n"/>
      <c r="M257" s="49" t="n"/>
      <c r="N257" s="49" t="n"/>
      <c r="O257" s="49" t="n"/>
    </row>
    <row r="258">
      <c r="B258" s="49" t="n"/>
      <c r="C258" s="49" t="n"/>
      <c r="D258" s="49" t="n"/>
      <c r="E258" s="49" t="n"/>
      <c r="F258" s="50" t="n"/>
      <c r="G258" s="49" t="n"/>
      <c r="H258" s="49" t="n"/>
      <c r="I258" s="49" t="n"/>
      <c r="J258" s="49" t="n"/>
      <c r="K258" s="49" t="n"/>
      <c r="L258" s="49" t="n"/>
      <c r="M258" s="49" t="n"/>
      <c r="N258" s="49" t="n"/>
      <c r="O258" s="49" t="n"/>
    </row>
    <row r="259">
      <c r="B259" s="49" t="n"/>
      <c r="C259" s="49" t="n"/>
      <c r="D259" s="49" t="n"/>
      <c r="E259" s="49" t="n"/>
      <c r="F259" s="50" t="n"/>
      <c r="G259" s="49" t="n"/>
      <c r="H259" s="49" t="n"/>
      <c r="I259" s="49" t="n"/>
      <c r="J259" s="49" t="n"/>
      <c r="K259" s="49" t="n"/>
      <c r="L259" s="49" t="n"/>
      <c r="M259" s="49" t="n"/>
      <c r="N259" s="49" t="n"/>
      <c r="O259" s="49" t="n"/>
    </row>
    <row r="260">
      <c r="B260" s="49" t="n"/>
      <c r="C260" s="49" t="n"/>
      <c r="D260" s="49" t="n"/>
      <c r="E260" s="49" t="n"/>
      <c r="F260" s="50" t="n"/>
      <c r="G260" s="49" t="n"/>
      <c r="H260" s="49" t="n"/>
      <c r="I260" s="49" t="n"/>
      <c r="J260" s="49" t="n"/>
      <c r="K260" s="49" t="n"/>
      <c r="L260" s="49" t="n"/>
      <c r="M260" s="49" t="n"/>
      <c r="N260" s="49" t="n"/>
      <c r="O260" s="49" t="n"/>
    </row>
    <row r="261">
      <c r="B261" s="49" t="n"/>
      <c r="C261" s="49" t="n"/>
      <c r="D261" s="49" t="n"/>
      <c r="E261" s="49" t="n"/>
      <c r="F261" s="50" t="n"/>
      <c r="G261" s="49" t="n"/>
      <c r="H261" s="49" t="n"/>
      <c r="I261" s="49" t="n"/>
      <c r="J261" s="49" t="n"/>
      <c r="K261" s="49" t="n"/>
      <c r="L261" s="49" t="n"/>
      <c r="M261" s="49" t="n"/>
      <c r="N261" s="49" t="n"/>
      <c r="O261" s="49" t="n"/>
    </row>
    <row r="262">
      <c r="B262" s="49" t="n"/>
      <c r="C262" s="49" t="n"/>
      <c r="D262" s="49" t="n"/>
      <c r="E262" s="49" t="n"/>
      <c r="F262" s="50" t="n"/>
      <c r="G262" s="49" t="n"/>
      <c r="H262" s="49" t="n"/>
      <c r="I262" s="49" t="n"/>
      <c r="J262" s="49" t="n"/>
      <c r="K262" s="49" t="n"/>
      <c r="L262" s="49" t="n"/>
      <c r="M262" s="49" t="n"/>
      <c r="N262" s="49" t="n"/>
      <c r="O262" s="49" t="n"/>
    </row>
    <row r="263">
      <c r="B263" s="49" t="n"/>
      <c r="C263" s="49" t="n"/>
      <c r="D263" s="49" t="n"/>
      <c r="E263" s="49" t="n"/>
      <c r="F263" s="50" t="n"/>
      <c r="G263" s="49" t="n"/>
      <c r="H263" s="49" t="n"/>
      <c r="I263" s="49" t="n"/>
      <c r="J263" s="49" t="n"/>
      <c r="K263" s="49" t="n"/>
      <c r="L263" s="49" t="n"/>
      <c r="M263" s="49" t="n"/>
      <c r="N263" s="49" t="n"/>
      <c r="O263" s="49" t="n"/>
    </row>
    <row r="264">
      <c r="B264" s="49" t="n"/>
      <c r="C264" s="49" t="n"/>
      <c r="D264" s="49" t="n"/>
      <c r="E264" s="49" t="n"/>
      <c r="F264" s="50" t="n"/>
      <c r="G264" s="49" t="n"/>
      <c r="H264" s="49" t="n"/>
      <c r="I264" s="49" t="n"/>
      <c r="J264" s="49" t="n"/>
      <c r="K264" s="49" t="n"/>
      <c r="L264" s="49" t="n"/>
      <c r="M264" s="49" t="n"/>
      <c r="N264" s="49" t="n"/>
      <c r="O264" s="49" t="n"/>
    </row>
    <row r="265">
      <c r="B265" s="49" t="n"/>
      <c r="C265" s="49" t="n"/>
      <c r="D265" s="49" t="n"/>
      <c r="E265" s="49" t="n"/>
      <c r="F265" s="50" t="n"/>
      <c r="G265" s="49" t="n"/>
      <c r="H265" s="49" t="n"/>
      <c r="I265" s="49" t="n"/>
      <c r="J265" s="49" t="n"/>
      <c r="K265" s="49" t="n"/>
      <c r="L265" s="49" t="n"/>
      <c r="M265" s="49" t="n"/>
      <c r="N265" s="49" t="n"/>
      <c r="O265" s="49" t="n"/>
    </row>
    <row r="266">
      <c r="B266" s="49" t="n"/>
      <c r="C266" s="49" t="n"/>
      <c r="D266" s="49" t="n"/>
      <c r="E266" s="49" t="n"/>
      <c r="F266" s="50" t="n"/>
      <c r="G266" s="49" t="n"/>
      <c r="H266" s="49" t="n"/>
      <c r="I266" s="49" t="n"/>
      <c r="J266" s="49" t="n"/>
      <c r="K266" s="49" t="n"/>
      <c r="L266" s="49" t="n"/>
      <c r="M266" s="49" t="n"/>
      <c r="N266" s="49" t="n"/>
      <c r="O266" s="49" t="n"/>
    </row>
    <row r="267">
      <c r="B267" s="49" t="n"/>
      <c r="C267" s="49" t="n"/>
      <c r="D267" s="49" t="n"/>
      <c r="E267" s="49" t="n"/>
      <c r="F267" s="50" t="n"/>
      <c r="G267" s="49" t="n"/>
      <c r="H267" s="49" t="n"/>
      <c r="I267" s="49" t="n"/>
      <c r="J267" s="49" t="n"/>
      <c r="K267" s="49" t="n"/>
      <c r="L267" s="49" t="n"/>
      <c r="M267" s="49" t="n"/>
      <c r="N267" s="49" t="n"/>
      <c r="O267" s="49" t="n"/>
    </row>
    <row r="268">
      <c r="B268" s="49" t="n"/>
      <c r="C268" s="49" t="n"/>
      <c r="D268" s="49" t="n"/>
      <c r="E268" s="49" t="n"/>
      <c r="F268" s="50" t="n"/>
      <c r="G268" s="49" t="n"/>
      <c r="H268" s="49" t="n"/>
      <c r="I268" s="49" t="n"/>
      <c r="J268" s="49" t="n"/>
      <c r="K268" s="49" t="n"/>
      <c r="L268" s="49" t="n"/>
      <c r="M268" s="49" t="n"/>
      <c r="N268" s="49" t="n"/>
      <c r="O268" s="49" t="n"/>
    </row>
    <row r="269">
      <c r="B269" s="49" t="n"/>
      <c r="C269" s="49" t="n"/>
      <c r="D269" s="49" t="n"/>
      <c r="E269" s="49" t="n"/>
      <c r="F269" s="50" t="n"/>
      <c r="G269" s="49" t="n"/>
      <c r="H269" s="49" t="n"/>
      <c r="I269" s="49" t="n"/>
      <c r="J269" s="49" t="n"/>
      <c r="K269" s="49" t="n"/>
      <c r="L269" s="49" t="n"/>
      <c r="M269" s="49" t="n"/>
      <c r="N269" s="49" t="n"/>
      <c r="O269" s="49" t="n"/>
    </row>
    <row r="270">
      <c r="B270" s="49" t="n"/>
      <c r="C270" s="49" t="n"/>
      <c r="D270" s="49" t="n"/>
      <c r="E270" s="49" t="n"/>
      <c r="F270" s="50" t="n"/>
      <c r="G270" s="49" t="n"/>
      <c r="H270" s="49" t="n"/>
      <c r="I270" s="49" t="n"/>
      <c r="J270" s="49" t="n"/>
      <c r="K270" s="49" t="n"/>
      <c r="L270" s="49" t="n"/>
      <c r="M270" s="49" t="n"/>
      <c r="N270" s="49" t="n"/>
      <c r="O270" s="49" t="n"/>
    </row>
    <row r="271">
      <c r="B271" s="49" t="n"/>
      <c r="C271" s="49" t="n"/>
      <c r="D271" s="49" t="n"/>
      <c r="E271" s="49" t="n"/>
      <c r="F271" s="50" t="n"/>
      <c r="G271" s="49" t="n"/>
      <c r="H271" s="49" t="n"/>
      <c r="I271" s="49" t="n"/>
      <c r="J271" s="49" t="n"/>
      <c r="K271" s="49" t="n"/>
      <c r="L271" s="49" t="n"/>
      <c r="M271" s="49" t="n"/>
      <c r="N271" s="49" t="n"/>
      <c r="O271" s="49" t="n"/>
    </row>
    <row r="272">
      <c r="B272" s="49" t="n"/>
      <c r="C272" s="49" t="n"/>
      <c r="D272" s="49" t="n"/>
      <c r="E272" s="49" t="n"/>
      <c r="F272" s="50" t="n"/>
      <c r="G272" s="49" t="n"/>
      <c r="H272" s="49" t="n"/>
      <c r="I272" s="49" t="n"/>
      <c r="J272" s="49" t="n"/>
      <c r="K272" s="49" t="n"/>
      <c r="L272" s="49" t="n"/>
      <c r="M272" s="49" t="n"/>
      <c r="N272" s="49" t="n"/>
      <c r="O272" s="49" t="n"/>
    </row>
    <row r="273">
      <c r="B273" s="49" t="n"/>
      <c r="C273" s="49" t="n"/>
      <c r="D273" s="49" t="n"/>
      <c r="E273" s="49" t="n"/>
      <c r="F273" s="50" t="n"/>
      <c r="G273" s="49" t="n"/>
      <c r="H273" s="49" t="n"/>
      <c r="I273" s="49" t="n"/>
      <c r="J273" s="49" t="n"/>
      <c r="K273" s="49" t="n"/>
      <c r="L273" s="49" t="n"/>
      <c r="M273" s="49" t="n"/>
      <c r="N273" s="49" t="n"/>
      <c r="O273" s="49" t="n"/>
    </row>
    <row r="274">
      <c r="B274" s="49" t="n"/>
      <c r="C274" s="49" t="n"/>
      <c r="D274" s="49" t="n"/>
      <c r="E274" s="49" t="n"/>
      <c r="F274" s="50" t="n"/>
      <c r="G274" s="49" t="n"/>
      <c r="H274" s="49" t="n"/>
      <c r="I274" s="49" t="n"/>
      <c r="J274" s="49" t="n"/>
      <c r="K274" s="49" t="n"/>
      <c r="L274" s="49" t="n"/>
      <c r="M274" s="49" t="n"/>
      <c r="N274" s="49" t="n"/>
      <c r="O274" s="49" t="n"/>
    </row>
    <row r="275">
      <c r="B275" s="49" t="n"/>
      <c r="C275" s="49" t="n"/>
      <c r="D275" s="49" t="n"/>
      <c r="E275" s="49" t="n"/>
      <c r="F275" s="50" t="n"/>
      <c r="G275" s="49" t="n"/>
      <c r="H275" s="49" t="n"/>
      <c r="I275" s="49" t="n"/>
      <c r="J275" s="49" t="n"/>
      <c r="K275" s="49" t="n"/>
      <c r="L275" s="49" t="n"/>
      <c r="M275" s="49" t="n"/>
      <c r="N275" s="49" t="n"/>
      <c r="O275" s="49" t="n"/>
    </row>
    <row r="276">
      <c r="B276" s="49" t="n"/>
      <c r="C276" s="49" t="n"/>
      <c r="D276" s="49" t="n"/>
      <c r="E276" s="49" t="n"/>
      <c r="F276" s="50" t="n"/>
      <c r="G276" s="49" t="n"/>
      <c r="H276" s="49" t="n"/>
      <c r="I276" s="49" t="n"/>
      <c r="J276" s="49" t="n"/>
      <c r="K276" s="49" t="n"/>
      <c r="L276" s="49" t="n"/>
      <c r="M276" s="49" t="n"/>
      <c r="N276" s="49" t="n"/>
      <c r="O276" s="49" t="n"/>
    </row>
    <row r="277">
      <c r="B277" s="49" t="n"/>
      <c r="C277" s="49" t="n"/>
      <c r="D277" s="49" t="n"/>
      <c r="E277" s="49" t="n"/>
      <c r="F277" s="50" t="n"/>
      <c r="G277" s="49" t="n"/>
      <c r="H277" s="49" t="n"/>
      <c r="I277" s="49" t="n"/>
      <c r="J277" s="49" t="n"/>
      <c r="K277" s="49" t="n"/>
      <c r="L277" s="49" t="n"/>
      <c r="M277" s="49" t="n"/>
      <c r="N277" s="49" t="n"/>
      <c r="O277" s="49" t="n"/>
    </row>
    <row r="278">
      <c r="B278" s="49" t="n"/>
      <c r="C278" s="49" t="n"/>
      <c r="D278" s="49" t="n"/>
      <c r="E278" s="49" t="n"/>
      <c r="F278" s="50" t="n"/>
      <c r="G278" s="49" t="n"/>
      <c r="H278" s="49" t="n"/>
      <c r="I278" s="49" t="n"/>
      <c r="J278" s="49" t="n"/>
      <c r="K278" s="49" t="n"/>
      <c r="L278" s="49" t="n"/>
      <c r="M278" s="49" t="n"/>
      <c r="N278" s="49" t="n"/>
      <c r="O278" s="49" t="n"/>
    </row>
    <row r="279">
      <c r="B279" s="49" t="n"/>
      <c r="C279" s="49" t="n"/>
      <c r="D279" s="49" t="n"/>
      <c r="E279" s="49" t="n"/>
      <c r="F279" s="50" t="n"/>
      <c r="G279" s="49" t="n"/>
      <c r="H279" s="49" t="n"/>
      <c r="I279" s="49" t="n"/>
      <c r="J279" s="49" t="n"/>
      <c r="K279" s="49" t="n"/>
      <c r="L279" s="49" t="n"/>
      <c r="M279" s="49" t="n"/>
      <c r="N279" s="49" t="n"/>
      <c r="O279" s="49" t="n"/>
    </row>
    <row r="280">
      <c r="B280" s="49" t="n"/>
      <c r="C280" s="49" t="n"/>
      <c r="D280" s="49" t="n"/>
      <c r="E280" s="49" t="n"/>
      <c r="F280" s="50" t="n"/>
      <c r="G280" s="49" t="n"/>
      <c r="H280" s="49" t="n"/>
      <c r="I280" s="49" t="n"/>
      <c r="J280" s="49" t="n"/>
      <c r="K280" s="49" t="n"/>
      <c r="L280" s="49" t="n"/>
      <c r="M280" s="49" t="n"/>
      <c r="N280" s="49" t="n"/>
      <c r="O280" s="49" t="n"/>
    </row>
    <row r="281">
      <c r="B281" s="49" t="n"/>
      <c r="C281" s="49" t="n"/>
      <c r="D281" s="49" t="n"/>
      <c r="E281" s="49" t="n"/>
      <c r="F281" s="50" t="n"/>
      <c r="G281" s="49" t="n"/>
      <c r="H281" s="49" t="n"/>
      <c r="I281" s="49" t="n"/>
      <c r="J281" s="49" t="n"/>
      <c r="K281" s="49" t="n"/>
      <c r="L281" s="49" t="n"/>
      <c r="M281" s="49" t="n"/>
      <c r="N281" s="49" t="n"/>
      <c r="O281" s="49" t="n"/>
    </row>
    <row r="282">
      <c r="B282" s="49" t="n"/>
      <c r="C282" s="49" t="n"/>
      <c r="D282" s="49" t="n"/>
      <c r="E282" s="49" t="n"/>
      <c r="F282" s="50" t="n"/>
      <c r="G282" s="49" t="n"/>
      <c r="H282" s="49" t="n"/>
      <c r="I282" s="49" t="n"/>
      <c r="J282" s="49" t="n"/>
      <c r="K282" s="49" t="n"/>
      <c r="L282" s="49" t="n"/>
      <c r="M282" s="49" t="n"/>
      <c r="N282" s="49" t="n"/>
      <c r="O282" s="49" t="n"/>
    </row>
    <row r="283">
      <c r="B283" s="49" t="n"/>
      <c r="C283" s="49" t="n"/>
      <c r="D283" s="49" t="n"/>
      <c r="E283" s="49" t="n"/>
      <c r="F283" s="50" t="n"/>
      <c r="G283" s="49" t="n"/>
      <c r="H283" s="49" t="n"/>
      <c r="I283" s="49" t="n"/>
      <c r="J283" s="49" t="n"/>
      <c r="K283" s="49" t="n"/>
      <c r="L283" s="49" t="n"/>
      <c r="M283" s="49" t="n"/>
      <c r="N283" s="49" t="n"/>
      <c r="O283" s="49" t="n"/>
    </row>
    <row r="284">
      <c r="B284" s="49" t="n"/>
      <c r="C284" s="49" t="n"/>
      <c r="D284" s="49" t="n"/>
      <c r="E284" s="49" t="n"/>
      <c r="F284" s="50" t="n"/>
      <c r="G284" s="49" t="n"/>
      <c r="H284" s="49" t="n"/>
      <c r="I284" s="49" t="n"/>
      <c r="J284" s="49" t="n"/>
      <c r="K284" s="49" t="n"/>
      <c r="L284" s="49" t="n"/>
      <c r="M284" s="49" t="n"/>
      <c r="N284" s="49" t="n"/>
      <c r="O284" s="49" t="n"/>
    </row>
    <row r="285">
      <c r="B285" s="49" t="n"/>
      <c r="C285" s="49" t="n"/>
      <c r="D285" s="49" t="n"/>
      <c r="E285" s="49" t="n"/>
      <c r="F285" s="50" t="n"/>
      <c r="G285" s="49" t="n"/>
      <c r="H285" s="49" t="n"/>
      <c r="I285" s="49" t="n"/>
      <c r="J285" s="49" t="n"/>
      <c r="K285" s="49" t="n"/>
      <c r="L285" s="49" t="n"/>
      <c r="M285" s="49" t="n"/>
      <c r="N285" s="49" t="n"/>
      <c r="O285" s="49" t="n"/>
    </row>
    <row r="286">
      <c r="B286" s="49" t="n"/>
      <c r="C286" s="49" t="n"/>
      <c r="D286" s="49" t="n"/>
      <c r="E286" s="49" t="n"/>
      <c r="F286" s="50" t="n"/>
      <c r="G286" s="49" t="n"/>
      <c r="H286" s="49" t="n"/>
      <c r="I286" s="49" t="n"/>
      <c r="J286" s="49" t="n"/>
      <c r="K286" s="49" t="n"/>
      <c r="L286" s="49" t="n"/>
      <c r="M286" s="49" t="n"/>
      <c r="N286" s="49" t="n"/>
      <c r="O286" s="49" t="n"/>
    </row>
    <row r="287">
      <c r="B287" s="49" t="n"/>
      <c r="C287" s="49" t="n"/>
      <c r="D287" s="49" t="n"/>
      <c r="E287" s="49" t="n"/>
      <c r="F287" s="50" t="n"/>
      <c r="G287" s="49" t="n"/>
      <c r="H287" s="49" t="n"/>
      <c r="I287" s="49" t="n"/>
      <c r="J287" s="49" t="n"/>
      <c r="K287" s="49" t="n"/>
      <c r="L287" s="49" t="n"/>
      <c r="M287" s="49" t="n"/>
      <c r="N287" s="49" t="n"/>
      <c r="O287" s="49" t="n"/>
    </row>
    <row r="288">
      <c r="B288" s="49" t="n"/>
      <c r="C288" s="49" t="n"/>
      <c r="D288" s="49" t="n"/>
      <c r="E288" s="49" t="n"/>
      <c r="F288" s="50" t="n"/>
      <c r="G288" s="49" t="n"/>
      <c r="H288" s="49" t="n"/>
      <c r="I288" s="49" t="n"/>
      <c r="J288" s="49" t="n"/>
      <c r="K288" s="49" t="n"/>
      <c r="L288" s="49" t="n"/>
      <c r="M288" s="49" t="n"/>
      <c r="N288" s="49" t="n"/>
      <c r="O288" s="49" t="n"/>
    </row>
    <row r="289">
      <c r="B289" s="49" t="n"/>
      <c r="C289" s="49" t="n"/>
      <c r="D289" s="49" t="n"/>
      <c r="E289" s="49" t="n"/>
      <c r="F289" s="50" t="n"/>
      <c r="G289" s="49" t="n"/>
      <c r="H289" s="49" t="n"/>
      <c r="I289" s="49" t="n"/>
      <c r="J289" s="49" t="n"/>
      <c r="K289" s="49" t="n"/>
      <c r="L289" s="49" t="n"/>
      <c r="M289" s="49" t="n"/>
      <c r="N289" s="49" t="n"/>
      <c r="O289" s="49" t="n"/>
    </row>
    <row r="290">
      <c r="B290" s="49" t="n"/>
      <c r="C290" s="49" t="n"/>
      <c r="D290" s="49" t="n"/>
      <c r="E290" s="49" t="n"/>
      <c r="F290" s="50" t="n"/>
      <c r="G290" s="49" t="n"/>
      <c r="H290" s="49" t="n"/>
      <c r="I290" s="49" t="n"/>
      <c r="J290" s="49" t="n"/>
      <c r="K290" s="49" t="n"/>
      <c r="L290" s="49" t="n"/>
      <c r="M290" s="49" t="n"/>
      <c r="N290" s="49" t="n"/>
      <c r="O290" s="49" t="n"/>
    </row>
    <row r="291">
      <c r="B291" s="49" t="n"/>
      <c r="C291" s="49" t="n"/>
      <c r="D291" s="49" t="n"/>
      <c r="E291" s="49" t="n"/>
      <c r="F291" s="50" t="n"/>
      <c r="G291" s="49" t="n"/>
      <c r="H291" s="49" t="n"/>
      <c r="I291" s="49" t="n"/>
      <c r="J291" s="49" t="n"/>
      <c r="K291" s="49" t="n"/>
      <c r="L291" s="49" t="n"/>
      <c r="M291" s="49" t="n"/>
      <c r="N291" s="49" t="n"/>
      <c r="O291" s="49" t="n"/>
    </row>
    <row r="292">
      <c r="B292" s="49" t="n"/>
      <c r="C292" s="49" t="n"/>
      <c r="D292" s="49" t="n"/>
      <c r="E292" s="49" t="n"/>
      <c r="F292" s="50" t="n"/>
      <c r="G292" s="49" t="n"/>
      <c r="H292" s="49" t="n"/>
      <c r="I292" s="49" t="n"/>
      <c r="J292" s="49" t="n"/>
      <c r="K292" s="49" t="n"/>
      <c r="L292" s="49" t="n"/>
      <c r="M292" s="49" t="n"/>
      <c r="N292" s="49" t="n"/>
      <c r="O292" s="49" t="n"/>
    </row>
    <row r="293">
      <c r="B293" s="49" t="n"/>
      <c r="C293" s="49" t="n"/>
      <c r="D293" s="49" t="n"/>
      <c r="E293" s="49" t="n"/>
      <c r="F293" s="50" t="n"/>
      <c r="G293" s="49" t="n"/>
      <c r="H293" s="49" t="n"/>
      <c r="I293" s="49" t="n"/>
      <c r="J293" s="49" t="n"/>
      <c r="K293" s="49" t="n"/>
      <c r="L293" s="49" t="n"/>
      <c r="M293" s="49" t="n"/>
      <c r="N293" s="49" t="n"/>
      <c r="O293" s="49" t="n"/>
    </row>
    <row r="294">
      <c r="B294" s="49" t="n"/>
      <c r="C294" s="49" t="n"/>
      <c r="D294" s="49" t="n"/>
      <c r="E294" s="49" t="n"/>
      <c r="F294" s="50" t="n"/>
      <c r="G294" s="49" t="n"/>
      <c r="H294" s="49" t="n"/>
      <c r="I294" s="49" t="n"/>
      <c r="J294" s="49" t="n"/>
      <c r="K294" s="49" t="n"/>
      <c r="L294" s="49" t="n"/>
      <c r="M294" s="49" t="n"/>
      <c r="N294" s="49" t="n"/>
      <c r="O294" s="49" t="n"/>
    </row>
    <row r="295">
      <c r="B295" s="49" t="n"/>
      <c r="C295" s="49" t="n"/>
      <c r="D295" s="49" t="n"/>
      <c r="E295" s="49" t="n"/>
      <c r="F295" s="50" t="n"/>
      <c r="G295" s="49" t="n"/>
      <c r="H295" s="49" t="n"/>
      <c r="I295" s="49" t="n"/>
      <c r="J295" s="49" t="n"/>
      <c r="K295" s="49" t="n"/>
      <c r="L295" s="49" t="n"/>
      <c r="M295" s="49" t="n"/>
      <c r="N295" s="49" t="n"/>
      <c r="O295" s="49" t="n"/>
    </row>
    <row r="296">
      <c r="B296" s="49" t="n"/>
      <c r="C296" s="49" t="n"/>
      <c r="D296" s="49" t="n"/>
      <c r="E296" s="49" t="n"/>
      <c r="F296" s="50" t="n"/>
      <c r="G296" s="49" t="n"/>
      <c r="H296" s="49" t="n"/>
      <c r="I296" s="49" t="n"/>
      <c r="J296" s="49" t="n"/>
      <c r="K296" s="49" t="n"/>
      <c r="L296" s="49" t="n"/>
      <c r="M296" s="49" t="n"/>
      <c r="N296" s="49" t="n"/>
      <c r="O296" s="49" t="n"/>
    </row>
    <row r="297">
      <c r="B297" s="49" t="n"/>
      <c r="C297" s="49" t="n"/>
      <c r="D297" s="49" t="n"/>
      <c r="E297" s="49" t="n"/>
      <c r="F297" s="50" t="n"/>
      <c r="G297" s="49" t="n"/>
      <c r="H297" s="49" t="n"/>
      <c r="I297" s="49" t="n"/>
      <c r="J297" s="49" t="n"/>
      <c r="K297" s="49" t="n"/>
      <c r="L297" s="49" t="n"/>
      <c r="M297" s="49" t="n"/>
      <c r="N297" s="49" t="n"/>
      <c r="O297" s="49" t="n"/>
    </row>
    <row r="298">
      <c r="B298" s="49" t="n"/>
      <c r="C298" s="49" t="n"/>
      <c r="D298" s="49" t="n"/>
      <c r="E298" s="49" t="n"/>
      <c r="F298" s="50" t="n"/>
      <c r="G298" s="49" t="n"/>
      <c r="H298" s="49" t="n"/>
      <c r="I298" s="49" t="n"/>
      <c r="J298" s="49" t="n"/>
      <c r="K298" s="49" t="n"/>
      <c r="L298" s="49" t="n"/>
      <c r="M298" s="49" t="n"/>
      <c r="N298" s="49" t="n"/>
      <c r="O298" s="49" t="n"/>
    </row>
    <row r="299">
      <c r="B299" s="49" t="n"/>
      <c r="C299" s="49" t="n"/>
      <c r="D299" s="49" t="n"/>
      <c r="E299" s="49" t="n"/>
      <c r="F299" s="50" t="n"/>
      <c r="G299" s="49" t="n"/>
      <c r="H299" s="49" t="n"/>
      <c r="I299" s="49" t="n"/>
      <c r="J299" s="49" t="n"/>
      <c r="K299" s="49" t="n"/>
      <c r="L299" s="49" t="n"/>
      <c r="M299" s="49" t="n"/>
      <c r="N299" s="49" t="n"/>
      <c r="O299" s="49" t="n"/>
    </row>
    <row r="300">
      <c r="B300" s="49" t="n"/>
      <c r="C300" s="49" t="n"/>
      <c r="D300" s="49" t="n"/>
      <c r="E300" s="49" t="n"/>
      <c r="F300" s="50" t="n"/>
      <c r="G300" s="49" t="n"/>
      <c r="H300" s="49" t="n"/>
      <c r="I300" s="49" t="n"/>
      <c r="J300" s="49" t="n"/>
      <c r="K300" s="49" t="n"/>
      <c r="L300" s="49" t="n"/>
      <c r="M300" s="49" t="n"/>
      <c r="N300" s="49" t="n"/>
      <c r="O300" s="49" t="n"/>
    </row>
    <row r="301">
      <c r="B301" s="49" t="n"/>
      <c r="C301" s="49" t="n"/>
      <c r="D301" s="49" t="n"/>
      <c r="E301" s="49" t="n"/>
      <c r="F301" s="50" t="n"/>
      <c r="G301" s="49" t="n"/>
      <c r="H301" s="49" t="n"/>
      <c r="I301" s="49" t="n"/>
      <c r="J301" s="49" t="n"/>
      <c r="K301" s="49" t="n"/>
      <c r="L301" s="49" t="n"/>
      <c r="M301" s="49" t="n"/>
      <c r="N301" s="49" t="n"/>
      <c r="O301" s="49" t="n"/>
    </row>
    <row r="302">
      <c r="B302" s="49" t="n"/>
      <c r="C302" s="49" t="n"/>
      <c r="D302" s="49" t="n"/>
      <c r="E302" s="49" t="n"/>
      <c r="F302" s="50" t="n"/>
      <c r="G302" s="49" t="n"/>
      <c r="H302" s="49" t="n"/>
      <c r="I302" s="49" t="n"/>
      <c r="J302" s="49" t="n"/>
      <c r="K302" s="49" t="n"/>
      <c r="L302" s="49" t="n"/>
      <c r="M302" s="49" t="n"/>
      <c r="N302" s="49" t="n"/>
      <c r="O302" s="49" t="n"/>
    </row>
    <row r="303">
      <c r="B303" s="49" t="n"/>
      <c r="C303" s="49" t="n"/>
      <c r="D303" s="49" t="n"/>
      <c r="E303" s="49" t="n"/>
      <c r="F303" s="50" t="n"/>
      <c r="G303" s="49" t="n"/>
      <c r="H303" s="49" t="n"/>
      <c r="I303" s="49" t="n"/>
      <c r="J303" s="49" t="n"/>
      <c r="K303" s="49" t="n"/>
      <c r="L303" s="49" t="n"/>
      <c r="M303" s="49" t="n"/>
      <c r="N303" s="49" t="n"/>
      <c r="O303" s="49" t="n"/>
    </row>
    <row r="304">
      <c r="B304" s="49" t="n"/>
      <c r="C304" s="49" t="n"/>
      <c r="D304" s="49" t="n"/>
      <c r="E304" s="49" t="n"/>
      <c r="F304" s="50" t="n"/>
      <c r="G304" s="49" t="n"/>
      <c r="H304" s="49" t="n"/>
      <c r="I304" s="49" t="n"/>
      <c r="J304" s="49" t="n"/>
      <c r="K304" s="49" t="n"/>
      <c r="L304" s="49" t="n"/>
      <c r="M304" s="49" t="n"/>
      <c r="N304" s="49" t="n"/>
      <c r="O304" s="49" t="n"/>
    </row>
    <row r="305">
      <c r="B305" s="49" t="n"/>
      <c r="C305" s="49" t="n"/>
      <c r="D305" s="49" t="n"/>
      <c r="E305" s="49" t="n"/>
      <c r="F305" s="50" t="n"/>
      <c r="G305" s="49" t="n"/>
      <c r="H305" s="49" t="n"/>
      <c r="I305" s="49" t="n"/>
      <c r="J305" s="49" t="n"/>
      <c r="K305" s="49" t="n"/>
      <c r="L305" s="49" t="n"/>
      <c r="M305" s="49" t="n"/>
      <c r="N305" s="49" t="n"/>
      <c r="O305" s="49" t="n"/>
    </row>
    <row r="306">
      <c r="B306" s="49" t="n"/>
      <c r="C306" s="49" t="n"/>
      <c r="D306" s="49" t="n"/>
      <c r="E306" s="49" t="n"/>
      <c r="F306" s="50" t="n"/>
      <c r="G306" s="49" t="n"/>
      <c r="H306" s="49" t="n"/>
      <c r="I306" s="49" t="n"/>
      <c r="J306" s="49" t="n"/>
      <c r="K306" s="49" t="n"/>
      <c r="L306" s="49" t="n"/>
      <c r="M306" s="49" t="n"/>
      <c r="N306" s="49" t="n"/>
      <c r="O306" s="49" t="n"/>
    </row>
    <row r="307">
      <c r="B307" s="49" t="n"/>
      <c r="C307" s="49" t="n"/>
      <c r="D307" s="49" t="n"/>
      <c r="E307" s="49" t="n"/>
      <c r="F307" s="50" t="n"/>
      <c r="G307" s="49" t="n"/>
      <c r="H307" s="49" t="n"/>
      <c r="I307" s="49" t="n"/>
      <c r="J307" s="49" t="n"/>
      <c r="K307" s="49" t="n"/>
      <c r="L307" s="49" t="n"/>
      <c r="M307" s="49" t="n"/>
      <c r="N307" s="49" t="n"/>
      <c r="O307" s="49" t="n"/>
    </row>
    <row r="308">
      <c r="B308" s="49" t="n"/>
      <c r="C308" s="49" t="n"/>
      <c r="D308" s="49" t="n"/>
      <c r="E308" s="49" t="n"/>
      <c r="F308" s="50" t="n"/>
      <c r="G308" s="49" t="n"/>
      <c r="H308" s="49" t="n"/>
      <c r="I308" s="49" t="n"/>
      <c r="J308" s="49" t="n"/>
      <c r="K308" s="49" t="n"/>
      <c r="L308" s="49" t="n"/>
      <c r="M308" s="49" t="n"/>
      <c r="N308" s="49" t="n"/>
      <c r="O308" s="49" t="n"/>
    </row>
    <row r="309">
      <c r="B309" s="49" t="n"/>
      <c r="C309" s="49" t="n"/>
      <c r="D309" s="49" t="n"/>
      <c r="E309" s="49" t="n"/>
      <c r="F309" s="50" t="n"/>
      <c r="G309" s="49" t="n"/>
      <c r="H309" s="49" t="n"/>
      <c r="I309" s="49" t="n"/>
      <c r="J309" s="49" t="n"/>
      <c r="K309" s="49" t="n"/>
      <c r="L309" s="49" t="n"/>
      <c r="M309" s="49" t="n"/>
      <c r="N309" s="49" t="n"/>
      <c r="O309" s="49" t="n"/>
    </row>
    <row r="310">
      <c r="B310" s="49" t="n"/>
      <c r="C310" s="49" t="n"/>
      <c r="D310" s="49" t="n"/>
      <c r="E310" s="49" t="n"/>
      <c r="F310" s="50" t="n"/>
      <c r="G310" s="49" t="n"/>
      <c r="H310" s="49" t="n"/>
      <c r="I310" s="49" t="n"/>
      <c r="J310" s="49" t="n"/>
      <c r="K310" s="49" t="n"/>
      <c r="L310" s="49" t="n"/>
      <c r="M310" s="49" t="n"/>
      <c r="N310" s="49" t="n"/>
      <c r="O310" s="49" t="n"/>
    </row>
    <row r="311">
      <c r="B311" s="49" t="n"/>
      <c r="C311" s="49" t="n"/>
      <c r="D311" s="49" t="n"/>
      <c r="E311" s="49" t="n"/>
      <c r="F311" s="50" t="n"/>
      <c r="G311" s="49" t="n"/>
      <c r="H311" s="49" t="n"/>
      <c r="I311" s="49" t="n"/>
      <c r="J311" s="49" t="n"/>
      <c r="K311" s="49" t="n"/>
      <c r="L311" s="49" t="n"/>
      <c r="M311" s="49" t="n"/>
      <c r="N311" s="49" t="n"/>
      <c r="O311" s="49" t="n"/>
    </row>
    <row r="312">
      <c r="B312" s="49" t="n"/>
      <c r="C312" s="49" t="n"/>
      <c r="D312" s="49" t="n"/>
      <c r="E312" s="49" t="n"/>
      <c r="F312" s="50" t="n"/>
      <c r="G312" s="49" t="n"/>
      <c r="H312" s="49" t="n"/>
      <c r="I312" s="49" t="n"/>
      <c r="J312" s="49" t="n"/>
      <c r="K312" s="49" t="n"/>
      <c r="L312" s="49" t="n"/>
      <c r="M312" s="49" t="n"/>
      <c r="N312" s="49" t="n"/>
      <c r="O312" s="49" t="n"/>
    </row>
    <row r="313">
      <c r="B313" s="49" t="n"/>
      <c r="C313" s="49" t="n"/>
      <c r="D313" s="49" t="n"/>
      <c r="E313" s="49" t="n"/>
      <c r="F313" s="50" t="n"/>
      <c r="G313" s="49" t="n"/>
      <c r="H313" s="49" t="n"/>
      <c r="I313" s="49" t="n"/>
      <c r="J313" s="49" t="n"/>
      <c r="K313" s="49" t="n"/>
      <c r="L313" s="49" t="n"/>
      <c r="M313" s="49" t="n"/>
      <c r="N313" s="49" t="n"/>
      <c r="O313" s="49" t="n"/>
    </row>
    <row r="314">
      <c r="B314" s="49" t="n"/>
      <c r="C314" s="49" t="n"/>
      <c r="D314" s="49" t="n"/>
      <c r="E314" s="49" t="n"/>
      <c r="F314" s="50" t="n"/>
      <c r="G314" s="49" t="n"/>
      <c r="H314" s="49" t="n"/>
      <c r="I314" s="49" t="n"/>
      <c r="J314" s="49" t="n"/>
      <c r="K314" s="49" t="n"/>
      <c r="L314" s="49" t="n"/>
      <c r="M314" s="49" t="n"/>
      <c r="N314" s="49" t="n"/>
      <c r="O314" s="49" t="n"/>
    </row>
    <row r="315">
      <c r="B315" s="49" t="n"/>
      <c r="C315" s="49" t="n"/>
      <c r="D315" s="49" t="n"/>
      <c r="E315" s="49" t="n"/>
      <c r="F315" s="50" t="n"/>
      <c r="G315" s="49" t="n"/>
      <c r="H315" s="49" t="n"/>
      <c r="I315" s="49" t="n"/>
      <c r="J315" s="49" t="n"/>
      <c r="K315" s="49" t="n"/>
      <c r="L315" s="49" t="n"/>
      <c r="M315" s="49" t="n"/>
      <c r="N315" s="49" t="n"/>
      <c r="O315" s="49" t="n"/>
    </row>
    <row r="316">
      <c r="B316" s="49" t="n"/>
      <c r="C316" s="49" t="n"/>
      <c r="D316" s="49" t="n"/>
      <c r="E316" s="49" t="n"/>
      <c r="F316" s="50" t="n"/>
      <c r="G316" s="49" t="n"/>
      <c r="H316" s="49" t="n"/>
      <c r="I316" s="49" t="n"/>
      <c r="J316" s="49" t="n"/>
      <c r="K316" s="49" t="n"/>
      <c r="L316" s="49" t="n"/>
      <c r="M316" s="49" t="n"/>
      <c r="N316" s="49" t="n"/>
      <c r="O316" s="49" t="n"/>
    </row>
    <row r="317">
      <c r="B317" s="49" t="n"/>
      <c r="C317" s="49" t="n"/>
      <c r="D317" s="49" t="n"/>
      <c r="E317" s="49" t="n"/>
      <c r="F317" s="50" t="n"/>
      <c r="G317" s="49" t="n"/>
      <c r="H317" s="49" t="n"/>
      <c r="I317" s="49" t="n"/>
      <c r="J317" s="49" t="n"/>
      <c r="K317" s="49" t="n"/>
      <c r="L317" s="49" t="n"/>
      <c r="M317" s="49" t="n"/>
      <c r="N317" s="49" t="n"/>
      <c r="O317" s="49" t="n"/>
    </row>
    <row r="318">
      <c r="B318" s="49" t="n"/>
      <c r="C318" s="49" t="n"/>
      <c r="D318" s="49" t="n"/>
      <c r="E318" s="49" t="n"/>
      <c r="F318" s="50" t="n"/>
      <c r="G318" s="49" t="n"/>
      <c r="H318" s="49" t="n"/>
      <c r="I318" s="49" t="n"/>
      <c r="J318" s="49" t="n"/>
      <c r="K318" s="49" t="n"/>
      <c r="L318" s="49" t="n"/>
      <c r="M318" s="49" t="n"/>
      <c r="N318" s="49" t="n"/>
      <c r="O318" s="49" t="n"/>
    </row>
    <row r="319">
      <c r="B319" s="49" t="n"/>
      <c r="C319" s="49" t="n"/>
      <c r="D319" s="49" t="n"/>
      <c r="E319" s="49" t="n"/>
      <c r="F319" s="50" t="n"/>
      <c r="G319" s="49" t="n"/>
      <c r="H319" s="49" t="n"/>
      <c r="I319" s="49" t="n"/>
      <c r="J319" s="49" t="n"/>
      <c r="K319" s="49" t="n"/>
      <c r="L319" s="49" t="n"/>
      <c r="M319" s="49" t="n"/>
      <c r="N319" s="49" t="n"/>
      <c r="O319" s="49" t="n"/>
    </row>
    <row r="320">
      <c r="B320" s="49" t="n"/>
      <c r="C320" s="49" t="n"/>
      <c r="D320" s="49" t="n"/>
      <c r="E320" s="49" t="n"/>
      <c r="F320" s="50" t="n"/>
      <c r="G320" s="49" t="n"/>
      <c r="H320" s="49" t="n"/>
      <c r="I320" s="49" t="n"/>
      <c r="J320" s="49" t="n"/>
      <c r="K320" s="49" t="n"/>
      <c r="L320" s="49" t="n"/>
      <c r="M320" s="49" t="n"/>
      <c r="N320" s="49" t="n"/>
      <c r="O320" s="49" t="n"/>
    </row>
    <row r="321">
      <c r="B321" s="49" t="n"/>
      <c r="C321" s="49" t="n"/>
      <c r="D321" s="49" t="n"/>
      <c r="E321" s="49" t="n"/>
      <c r="F321" s="50" t="n"/>
      <c r="G321" s="49" t="n"/>
      <c r="H321" s="49" t="n"/>
      <c r="I321" s="49" t="n"/>
      <c r="J321" s="49" t="n"/>
      <c r="K321" s="49" t="n"/>
      <c r="L321" s="49" t="n"/>
      <c r="M321" s="49" t="n"/>
      <c r="N321" s="49" t="n"/>
      <c r="O321" s="49" t="n"/>
    </row>
    <row r="322">
      <c r="B322" s="49" t="n"/>
      <c r="C322" s="49" t="n"/>
      <c r="D322" s="49" t="n"/>
      <c r="E322" s="49" t="n"/>
      <c r="F322" s="50" t="n"/>
      <c r="G322" s="49" t="n"/>
      <c r="H322" s="49" t="n"/>
      <c r="I322" s="49" t="n"/>
      <c r="J322" s="49" t="n"/>
      <c r="K322" s="49" t="n"/>
      <c r="L322" s="49" t="n"/>
      <c r="M322" s="49" t="n"/>
      <c r="N322" s="49" t="n"/>
      <c r="O322" s="49" t="n"/>
    </row>
    <row r="323">
      <c r="B323" s="49" t="n"/>
      <c r="C323" s="49" t="n"/>
      <c r="D323" s="49" t="n"/>
      <c r="E323" s="49" t="n"/>
      <c r="F323" s="50" t="n"/>
      <c r="G323" s="49" t="n"/>
      <c r="H323" s="49" t="n"/>
      <c r="I323" s="49" t="n"/>
      <c r="J323" s="49" t="n"/>
      <c r="K323" s="49" t="n"/>
      <c r="L323" s="49" t="n"/>
      <c r="M323" s="49" t="n"/>
      <c r="N323" s="49" t="n"/>
      <c r="O323" s="49" t="n"/>
    </row>
    <row r="324">
      <c r="B324" s="49" t="n"/>
      <c r="C324" s="49" t="n"/>
      <c r="D324" s="49" t="n"/>
      <c r="E324" s="49" t="n"/>
      <c r="F324" s="50" t="n"/>
      <c r="G324" s="49" t="n"/>
      <c r="H324" s="49" t="n"/>
      <c r="I324" s="49" t="n"/>
      <c r="J324" s="49" t="n"/>
      <c r="K324" s="49" t="n"/>
      <c r="L324" s="49" t="n"/>
      <c r="M324" s="49" t="n"/>
      <c r="N324" s="49" t="n"/>
      <c r="O324" s="49" t="n"/>
    </row>
    <row r="325">
      <c r="B325" s="49" t="n"/>
      <c r="C325" s="49" t="n"/>
      <c r="D325" s="49" t="n"/>
      <c r="E325" s="49" t="n"/>
      <c r="F325" s="50" t="n"/>
      <c r="G325" s="49" t="n"/>
      <c r="H325" s="49" t="n"/>
      <c r="I325" s="49" t="n"/>
      <c r="J325" s="49" t="n"/>
      <c r="K325" s="49" t="n"/>
      <c r="L325" s="49" t="n"/>
      <c r="M325" s="49" t="n"/>
      <c r="N325" s="49" t="n"/>
      <c r="O325" s="49" t="n"/>
    </row>
    <row r="326">
      <c r="B326" s="49" t="n"/>
      <c r="C326" s="49" t="n"/>
      <c r="D326" s="49" t="n"/>
      <c r="E326" s="49" t="n"/>
      <c r="F326" s="50" t="n"/>
      <c r="G326" s="49" t="n"/>
      <c r="H326" s="49" t="n"/>
      <c r="I326" s="49" t="n"/>
      <c r="J326" s="49" t="n"/>
      <c r="K326" s="49" t="n"/>
      <c r="L326" s="49" t="n"/>
      <c r="M326" s="49" t="n"/>
      <c r="N326" s="49" t="n"/>
      <c r="O326" s="49" t="n"/>
    </row>
    <row r="327">
      <c r="B327" s="49" t="n"/>
      <c r="C327" s="49" t="n"/>
      <c r="D327" s="49" t="n"/>
      <c r="E327" s="49" t="n"/>
      <c r="F327" s="50" t="n"/>
      <c r="G327" s="49" t="n"/>
      <c r="H327" s="49" t="n"/>
      <c r="I327" s="49" t="n"/>
      <c r="J327" s="49" t="n"/>
      <c r="K327" s="49" t="n"/>
      <c r="L327" s="49" t="n"/>
      <c r="M327" s="49" t="n"/>
      <c r="N327" s="49" t="n"/>
      <c r="O327" s="49" t="n"/>
    </row>
    <row r="328">
      <c r="B328" s="49" t="n"/>
      <c r="C328" s="49" t="n"/>
      <c r="D328" s="49" t="n"/>
      <c r="E328" s="49" t="n"/>
      <c r="F328" s="50" t="n"/>
      <c r="G328" s="49" t="n"/>
      <c r="H328" s="49" t="n"/>
      <c r="I328" s="49" t="n"/>
      <c r="J328" s="49" t="n"/>
      <c r="K328" s="49" t="n"/>
      <c r="L328" s="49" t="n"/>
      <c r="M328" s="49" t="n"/>
      <c r="N328" s="49" t="n"/>
      <c r="O328" s="49" t="n"/>
    </row>
    <row r="329">
      <c r="B329" s="49" t="n"/>
      <c r="C329" s="49" t="n"/>
      <c r="D329" s="49" t="n"/>
      <c r="E329" s="49" t="n"/>
      <c r="F329" s="50" t="n"/>
      <c r="G329" s="49" t="n"/>
      <c r="H329" s="49" t="n"/>
      <c r="I329" s="49" t="n"/>
      <c r="J329" s="49" t="n"/>
      <c r="K329" s="49" t="n"/>
      <c r="L329" s="49" t="n"/>
      <c r="M329" s="49" t="n"/>
      <c r="N329" s="49" t="n"/>
      <c r="O329" s="49" t="n"/>
    </row>
    <row r="330">
      <c r="B330" s="49" t="n"/>
      <c r="C330" s="49" t="n"/>
      <c r="D330" s="49" t="n"/>
      <c r="E330" s="49" t="n"/>
      <c r="F330" s="50" t="n"/>
      <c r="G330" s="49" t="n"/>
      <c r="H330" s="49" t="n"/>
      <c r="I330" s="49" t="n"/>
      <c r="J330" s="49" t="n"/>
      <c r="K330" s="49" t="n"/>
      <c r="L330" s="49" t="n"/>
      <c r="M330" s="49" t="n"/>
      <c r="N330" s="49" t="n"/>
      <c r="O330" s="49" t="n"/>
    </row>
    <row r="331">
      <c r="B331" s="49" t="n"/>
      <c r="C331" s="49" t="n"/>
      <c r="D331" s="49" t="n"/>
      <c r="E331" s="49" t="n"/>
      <c r="F331" s="50" t="n"/>
      <c r="G331" s="49" t="n"/>
      <c r="H331" s="49" t="n"/>
      <c r="I331" s="49" t="n"/>
      <c r="J331" s="49" t="n"/>
      <c r="K331" s="49" t="n"/>
      <c r="L331" s="49" t="n"/>
      <c r="M331" s="49" t="n"/>
      <c r="N331" s="49" t="n"/>
      <c r="O331" s="49" t="n"/>
    </row>
    <row r="332">
      <c r="B332" s="49" t="n"/>
      <c r="C332" s="49" t="n"/>
      <c r="D332" s="49" t="n"/>
      <c r="E332" s="49" t="n"/>
      <c r="F332" s="50" t="n"/>
      <c r="G332" s="49" t="n"/>
      <c r="H332" s="49" t="n"/>
      <c r="I332" s="49" t="n"/>
      <c r="J332" s="49" t="n"/>
      <c r="K332" s="49" t="n"/>
      <c r="L332" s="49" t="n"/>
      <c r="M332" s="49" t="n"/>
      <c r="N332" s="49" t="n"/>
      <c r="O332" s="49" t="n"/>
    </row>
    <row r="333">
      <c r="B333" s="49" t="n"/>
      <c r="C333" s="49" t="n"/>
      <c r="D333" s="49" t="n"/>
      <c r="E333" s="49" t="n"/>
      <c r="F333" s="50" t="n"/>
      <c r="G333" s="49" t="n"/>
      <c r="H333" s="49" t="n"/>
      <c r="I333" s="49" t="n"/>
      <c r="J333" s="49" t="n"/>
      <c r="K333" s="49" t="n"/>
      <c r="L333" s="49" t="n"/>
      <c r="M333" s="49" t="n"/>
      <c r="N333" s="49" t="n"/>
      <c r="O333" s="49" t="n"/>
    </row>
    <row r="334">
      <c r="B334" s="49" t="n"/>
      <c r="C334" s="49" t="n"/>
      <c r="D334" s="49" t="n"/>
      <c r="E334" s="49" t="n"/>
      <c r="F334" s="50" t="n"/>
      <c r="G334" s="49" t="n"/>
      <c r="H334" s="49" t="n"/>
      <c r="I334" s="49" t="n"/>
      <c r="J334" s="49" t="n"/>
      <c r="K334" s="49" t="n"/>
      <c r="L334" s="49" t="n"/>
      <c r="M334" s="49" t="n"/>
      <c r="N334" s="49" t="n"/>
      <c r="O334" s="49" t="n"/>
    </row>
    <row r="335">
      <c r="B335" s="49" t="n"/>
      <c r="C335" s="49" t="n"/>
      <c r="D335" s="49" t="n"/>
      <c r="E335" s="49" t="n"/>
      <c r="F335" s="50" t="n"/>
      <c r="G335" s="49" t="n"/>
      <c r="H335" s="49" t="n"/>
      <c r="I335" s="49" t="n"/>
      <c r="J335" s="49" t="n"/>
      <c r="K335" s="49" t="n"/>
      <c r="L335" s="49" t="n"/>
      <c r="M335" s="49" t="n"/>
      <c r="N335" s="49" t="n"/>
      <c r="O335" s="49" t="n"/>
    </row>
    <row r="336">
      <c r="B336" s="49" t="n"/>
      <c r="C336" s="49" t="n"/>
      <c r="D336" s="49" t="n"/>
      <c r="E336" s="49" t="n"/>
      <c r="F336" s="50" t="n"/>
      <c r="G336" s="49" t="n"/>
      <c r="H336" s="49" t="n"/>
      <c r="I336" s="49" t="n"/>
      <c r="J336" s="49" t="n"/>
      <c r="K336" s="49" t="n"/>
      <c r="L336" s="49" t="n"/>
      <c r="M336" s="49" t="n"/>
      <c r="N336" s="49" t="n"/>
      <c r="O336" s="49" t="n"/>
    </row>
    <row r="337">
      <c r="B337" s="49" t="n"/>
      <c r="C337" s="49" t="n"/>
      <c r="D337" s="49" t="n"/>
      <c r="E337" s="49" t="n"/>
      <c r="F337" s="50" t="n"/>
      <c r="G337" s="49" t="n"/>
      <c r="H337" s="49" t="n"/>
      <c r="I337" s="49" t="n"/>
      <c r="J337" s="49" t="n"/>
      <c r="K337" s="49" t="n"/>
      <c r="L337" s="49" t="n"/>
      <c r="M337" s="49" t="n"/>
      <c r="N337" s="49" t="n"/>
      <c r="O337" s="49" t="n"/>
    </row>
    <row r="338">
      <c r="B338" s="49" t="n"/>
      <c r="C338" s="49" t="n"/>
      <c r="D338" s="49" t="n"/>
      <c r="E338" s="49" t="n"/>
      <c r="F338" s="50" t="n"/>
      <c r="G338" s="49" t="n"/>
      <c r="H338" s="49" t="n"/>
      <c r="I338" s="49" t="n"/>
      <c r="J338" s="49" t="n"/>
      <c r="K338" s="49" t="n"/>
      <c r="L338" s="49" t="n"/>
      <c r="M338" s="49" t="n"/>
      <c r="N338" s="49" t="n"/>
      <c r="O338" s="49" t="n"/>
    </row>
    <row r="339">
      <c r="B339" s="49" t="n"/>
      <c r="C339" s="49" t="n"/>
      <c r="D339" s="49" t="n"/>
      <c r="E339" s="49" t="n"/>
      <c r="F339" s="50" t="n"/>
      <c r="G339" s="49" t="n"/>
      <c r="H339" s="49" t="n"/>
      <c r="I339" s="49" t="n"/>
      <c r="J339" s="49" t="n"/>
      <c r="K339" s="49" t="n"/>
      <c r="L339" s="49" t="n"/>
      <c r="M339" s="49" t="n"/>
      <c r="N339" s="49" t="n"/>
      <c r="O339" s="49" t="n"/>
    </row>
    <row r="340">
      <c r="B340" s="49" t="n"/>
      <c r="C340" s="49" t="n"/>
      <c r="D340" s="49" t="n"/>
      <c r="E340" s="49" t="n"/>
      <c r="F340" s="50" t="n"/>
      <c r="G340" s="49" t="n"/>
      <c r="H340" s="49" t="n"/>
      <c r="I340" s="49" t="n"/>
      <c r="J340" s="49" t="n"/>
      <c r="K340" s="49" t="n"/>
      <c r="L340" s="49" t="n"/>
      <c r="M340" s="49" t="n"/>
      <c r="N340" s="49" t="n"/>
      <c r="O340" s="49" t="n"/>
    </row>
    <row r="341">
      <c r="B341" s="49" t="n"/>
      <c r="C341" s="49" t="n"/>
      <c r="D341" s="49" t="n"/>
      <c r="E341" s="49" t="n"/>
      <c r="F341" s="50" t="n"/>
      <c r="G341" s="49" t="n"/>
      <c r="H341" s="49" t="n"/>
      <c r="I341" s="49" t="n"/>
      <c r="J341" s="49" t="n"/>
      <c r="K341" s="49" t="n"/>
      <c r="L341" s="49" t="n"/>
      <c r="M341" s="49" t="n"/>
      <c r="N341" s="49" t="n"/>
      <c r="O341" s="49" t="n"/>
    </row>
    <row r="342">
      <c r="B342" s="49" t="n"/>
      <c r="C342" s="49" t="n"/>
      <c r="D342" s="49" t="n"/>
      <c r="E342" s="49" t="n"/>
      <c r="F342" s="50" t="n"/>
      <c r="G342" s="49" t="n"/>
      <c r="H342" s="49" t="n"/>
      <c r="I342" s="49" t="n"/>
      <c r="J342" s="49" t="n"/>
      <c r="K342" s="49" t="n"/>
      <c r="L342" s="49" t="n"/>
      <c r="M342" s="49" t="n"/>
      <c r="N342" s="49" t="n"/>
      <c r="O342" s="49" t="n"/>
    </row>
    <row r="343">
      <c r="B343" s="49" t="n"/>
      <c r="C343" s="49" t="n"/>
      <c r="D343" s="49" t="n"/>
      <c r="E343" s="49" t="n"/>
      <c r="F343" s="50" t="n"/>
      <c r="G343" s="49" t="n"/>
      <c r="H343" s="49" t="n"/>
      <c r="I343" s="49" t="n"/>
      <c r="J343" s="49" t="n"/>
      <c r="K343" s="49" t="n"/>
      <c r="L343" s="49" t="n"/>
      <c r="M343" s="49" t="n"/>
      <c r="N343" s="49" t="n"/>
      <c r="O343" s="49" t="n"/>
    </row>
    <row r="344">
      <c r="B344" s="49" t="n"/>
      <c r="C344" s="49" t="n"/>
      <c r="D344" s="49" t="n"/>
      <c r="E344" s="49" t="n"/>
      <c r="F344" s="50" t="n"/>
      <c r="G344" s="49" t="n"/>
      <c r="H344" s="49" t="n"/>
      <c r="I344" s="49" t="n"/>
      <c r="J344" s="49" t="n"/>
      <c r="K344" s="49" t="n"/>
      <c r="L344" s="49" t="n"/>
      <c r="M344" s="49" t="n"/>
      <c r="N344" s="49" t="n"/>
      <c r="O344" s="49" t="n"/>
    </row>
    <row r="345">
      <c r="B345" s="49" t="n"/>
      <c r="C345" s="49" t="n"/>
      <c r="D345" s="49" t="n"/>
      <c r="E345" s="49" t="n"/>
      <c r="F345" s="50" t="n"/>
      <c r="G345" s="49" t="n"/>
      <c r="H345" s="49" t="n"/>
      <c r="I345" s="49" t="n"/>
      <c r="J345" s="49" t="n"/>
      <c r="K345" s="49" t="n"/>
      <c r="L345" s="49" t="n"/>
      <c r="M345" s="49" t="n"/>
      <c r="N345" s="49" t="n"/>
      <c r="O345" s="49" t="n"/>
    </row>
    <row r="346">
      <c r="B346" s="49" t="n"/>
      <c r="C346" s="49" t="n"/>
      <c r="D346" s="49" t="n"/>
      <c r="E346" s="49" t="n"/>
      <c r="F346" s="50" t="n"/>
      <c r="G346" s="49" t="n"/>
      <c r="H346" s="49" t="n"/>
      <c r="I346" s="49" t="n"/>
      <c r="J346" s="49" t="n"/>
      <c r="K346" s="49" t="n"/>
      <c r="L346" s="49" t="n"/>
      <c r="M346" s="49" t="n"/>
      <c r="N346" s="49" t="n"/>
      <c r="O346" s="49" t="n"/>
    </row>
    <row r="347">
      <c r="B347" s="49" t="n"/>
      <c r="C347" s="49" t="n"/>
      <c r="D347" s="49" t="n"/>
      <c r="E347" s="49" t="n"/>
      <c r="F347" s="50" t="n"/>
      <c r="G347" s="49" t="n"/>
      <c r="H347" s="49" t="n"/>
      <c r="I347" s="49" t="n"/>
      <c r="J347" s="49" t="n"/>
      <c r="K347" s="49" t="n"/>
      <c r="L347" s="49" t="n"/>
      <c r="M347" s="49" t="n"/>
      <c r="N347" s="49" t="n"/>
      <c r="O347" s="49" t="n"/>
    </row>
    <row r="348">
      <c r="B348" s="49" t="n"/>
      <c r="C348" s="49" t="n"/>
      <c r="D348" s="49" t="n"/>
      <c r="E348" s="49" t="n"/>
      <c r="F348" s="50" t="n"/>
      <c r="G348" s="49" t="n"/>
      <c r="H348" s="49" t="n"/>
      <c r="I348" s="49" t="n"/>
      <c r="J348" s="49" t="n"/>
      <c r="K348" s="49" t="n"/>
      <c r="L348" s="49" t="n"/>
      <c r="M348" s="49" t="n"/>
      <c r="N348" s="49" t="n"/>
      <c r="O348" s="49" t="n"/>
    </row>
    <row r="349">
      <c r="B349" s="49" t="n"/>
      <c r="C349" s="49" t="n"/>
      <c r="D349" s="49" t="n"/>
      <c r="E349" s="49" t="n"/>
      <c r="F349" s="50" t="n"/>
      <c r="G349" s="49" t="n"/>
      <c r="H349" s="49" t="n"/>
      <c r="I349" s="49" t="n"/>
      <c r="J349" s="49" t="n"/>
      <c r="K349" s="49" t="n"/>
      <c r="L349" s="49" t="n"/>
      <c r="M349" s="49" t="n"/>
      <c r="N349" s="49" t="n"/>
      <c r="O349" s="49" t="n"/>
    </row>
    <row r="350">
      <c r="B350" s="49" t="n"/>
      <c r="C350" s="49" t="n"/>
      <c r="D350" s="49" t="n"/>
      <c r="E350" s="49" t="n"/>
      <c r="F350" s="50" t="n"/>
      <c r="G350" s="49" t="n"/>
      <c r="H350" s="49" t="n"/>
      <c r="I350" s="49" t="n"/>
      <c r="J350" s="49" t="n"/>
      <c r="K350" s="49" t="n"/>
      <c r="L350" s="49" t="n"/>
      <c r="M350" s="49" t="n"/>
      <c r="N350" s="49" t="n"/>
      <c r="O350" s="49" t="n"/>
    </row>
    <row r="351">
      <c r="B351" s="49" t="n"/>
      <c r="C351" s="49" t="n"/>
      <c r="D351" s="49" t="n"/>
      <c r="E351" s="49" t="n"/>
      <c r="F351" s="50" t="n"/>
      <c r="G351" s="49" t="n"/>
      <c r="H351" s="49" t="n"/>
      <c r="I351" s="49" t="n"/>
      <c r="J351" s="49" t="n"/>
      <c r="K351" s="49" t="n"/>
      <c r="L351" s="49" t="n"/>
      <c r="M351" s="49" t="n"/>
      <c r="N351" s="49" t="n"/>
      <c r="O351" s="49" t="n"/>
    </row>
    <row r="352">
      <c r="B352" s="49" t="n"/>
      <c r="C352" s="49" t="n"/>
      <c r="D352" s="49" t="n"/>
      <c r="E352" s="49" t="n"/>
      <c r="F352" s="50" t="n"/>
      <c r="G352" s="49" t="n"/>
      <c r="H352" s="49" t="n"/>
      <c r="I352" s="49" t="n"/>
      <c r="J352" s="49" t="n"/>
      <c r="K352" s="49" t="n"/>
      <c r="L352" s="49" t="n"/>
      <c r="M352" s="49" t="n"/>
      <c r="N352" s="49" t="n"/>
      <c r="O352" s="49" t="n"/>
    </row>
    <row r="353">
      <c r="B353" s="49" t="n"/>
      <c r="C353" s="49" t="n"/>
      <c r="D353" s="49" t="n"/>
      <c r="E353" s="49" t="n"/>
      <c r="F353" s="50" t="n"/>
      <c r="G353" s="49" t="n"/>
      <c r="H353" s="49" t="n"/>
      <c r="I353" s="49" t="n"/>
      <c r="J353" s="49" t="n"/>
      <c r="K353" s="49" t="n"/>
      <c r="L353" s="49" t="n"/>
      <c r="M353" s="49" t="n"/>
      <c r="N353" s="49" t="n"/>
      <c r="O353" s="49" t="n"/>
    </row>
    <row r="354">
      <c r="B354" s="49" t="n"/>
      <c r="C354" s="49" t="n"/>
      <c r="D354" s="49" t="n"/>
      <c r="E354" s="49" t="n"/>
      <c r="F354" s="50" t="n"/>
      <c r="G354" s="49" t="n"/>
      <c r="H354" s="49" t="n"/>
      <c r="I354" s="49" t="n"/>
      <c r="J354" s="49" t="n"/>
      <c r="K354" s="49" t="n"/>
      <c r="L354" s="49" t="n"/>
      <c r="M354" s="49" t="n"/>
      <c r="N354" s="49" t="n"/>
      <c r="O354" s="49" t="n"/>
    </row>
    <row r="355">
      <c r="B355" s="49" t="n"/>
      <c r="C355" s="49" t="n"/>
      <c r="D355" s="49" t="n"/>
      <c r="E355" s="49" t="n"/>
      <c r="F355" s="50" t="n"/>
      <c r="G355" s="49" t="n"/>
      <c r="H355" s="49" t="n"/>
      <c r="I355" s="49" t="n"/>
      <c r="J355" s="49" t="n"/>
      <c r="K355" s="49" t="n"/>
      <c r="L355" s="49" t="n"/>
      <c r="M355" s="49" t="n"/>
      <c r="N355" s="49" t="n"/>
      <c r="O355" s="49" t="n"/>
    </row>
    <row r="356">
      <c r="B356" s="49" t="n"/>
      <c r="C356" s="49" t="n"/>
      <c r="D356" s="49" t="n"/>
      <c r="E356" s="49" t="n"/>
      <c r="F356" s="50" t="n"/>
      <c r="G356" s="49" t="n"/>
      <c r="H356" s="49" t="n"/>
      <c r="I356" s="49" t="n"/>
      <c r="J356" s="49" t="n"/>
      <c r="K356" s="49" t="n"/>
      <c r="L356" s="49" t="n"/>
      <c r="M356" s="49" t="n"/>
      <c r="N356" s="49" t="n"/>
      <c r="O356" s="49" t="n"/>
    </row>
    <row r="357">
      <c r="B357" s="49" t="n"/>
      <c r="C357" s="49" t="n"/>
      <c r="D357" s="49" t="n"/>
      <c r="E357" s="49" t="n"/>
      <c r="F357" s="50" t="n"/>
      <c r="G357" s="49" t="n"/>
      <c r="H357" s="49" t="n"/>
      <c r="I357" s="49" t="n"/>
      <c r="J357" s="49" t="n"/>
      <c r="K357" s="49" t="n"/>
      <c r="L357" s="49" t="n"/>
      <c r="M357" s="49" t="n"/>
      <c r="N357" s="49" t="n"/>
      <c r="O357" s="49" t="n"/>
    </row>
    <row r="358">
      <c r="B358" s="49" t="n"/>
      <c r="C358" s="49" t="n"/>
      <c r="D358" s="49" t="n"/>
      <c r="E358" s="49" t="n"/>
      <c r="F358" s="50" t="n"/>
      <c r="G358" s="49" t="n"/>
      <c r="H358" s="49" t="n"/>
      <c r="I358" s="49" t="n"/>
      <c r="J358" s="49" t="n"/>
      <c r="K358" s="49" t="n"/>
      <c r="L358" s="49" t="n"/>
      <c r="M358" s="49" t="n"/>
      <c r="N358" s="49" t="n"/>
      <c r="O358" s="49" t="n"/>
    </row>
    <row r="359">
      <c r="B359" s="49" t="n"/>
      <c r="C359" s="49" t="n"/>
      <c r="D359" s="49" t="n"/>
      <c r="E359" s="49" t="n"/>
      <c r="F359" s="50" t="n"/>
      <c r="G359" s="49" t="n"/>
      <c r="H359" s="49" t="n"/>
      <c r="I359" s="49" t="n"/>
      <c r="J359" s="49" t="n"/>
      <c r="K359" s="49" t="n"/>
      <c r="L359" s="49" t="n"/>
      <c r="M359" s="49" t="n"/>
      <c r="N359" s="49" t="n"/>
      <c r="O359" s="49" t="n"/>
    </row>
    <row r="360">
      <c r="B360" s="49" t="n"/>
      <c r="C360" s="49" t="n"/>
      <c r="D360" s="49" t="n"/>
      <c r="E360" s="49" t="n"/>
      <c r="F360" s="50" t="n"/>
      <c r="G360" s="49" t="n"/>
      <c r="H360" s="49" t="n"/>
      <c r="I360" s="49" t="n"/>
      <c r="J360" s="49" t="n"/>
      <c r="K360" s="49" t="n"/>
      <c r="L360" s="49" t="n"/>
      <c r="M360" s="49" t="n"/>
      <c r="N360" s="49" t="n"/>
      <c r="O360" s="49" t="n"/>
    </row>
    <row r="361">
      <c r="B361" s="49" t="n"/>
      <c r="C361" s="49" t="n"/>
      <c r="D361" s="49" t="n"/>
      <c r="E361" s="49" t="n"/>
      <c r="F361" s="50" t="n"/>
      <c r="G361" s="49" t="n"/>
      <c r="H361" s="49" t="n"/>
      <c r="I361" s="49" t="n"/>
      <c r="J361" s="49" t="n"/>
      <c r="K361" s="49" t="n"/>
      <c r="L361" s="49" t="n"/>
      <c r="M361" s="49" t="n"/>
      <c r="N361" s="49" t="n"/>
      <c r="O361" s="49" t="n"/>
    </row>
    <row r="362">
      <c r="B362" s="49" t="n"/>
      <c r="C362" s="49" t="n"/>
      <c r="D362" s="49" t="n"/>
      <c r="E362" s="49" t="n"/>
      <c r="F362" s="50" t="n"/>
      <c r="G362" s="49" t="n"/>
      <c r="H362" s="49" t="n"/>
      <c r="I362" s="49" t="n"/>
      <c r="J362" s="49" t="n"/>
      <c r="K362" s="49" t="n"/>
      <c r="L362" s="49" t="n"/>
      <c r="M362" s="49" t="n"/>
      <c r="N362" s="49" t="n"/>
      <c r="O362" s="49" t="n"/>
    </row>
    <row r="363">
      <c r="B363" s="49" t="n"/>
      <c r="C363" s="49" t="n"/>
      <c r="D363" s="49" t="n"/>
      <c r="E363" s="49" t="n"/>
      <c r="F363" s="50" t="n"/>
      <c r="G363" s="49" t="n"/>
      <c r="H363" s="49" t="n"/>
      <c r="I363" s="49" t="n"/>
      <c r="J363" s="49" t="n"/>
      <c r="K363" s="49" t="n"/>
      <c r="L363" s="49" t="n"/>
      <c r="M363" s="49" t="n"/>
      <c r="N363" s="49" t="n"/>
      <c r="O363" s="49" t="n"/>
    </row>
    <row r="364">
      <c r="B364" s="49" t="n"/>
      <c r="C364" s="49" t="n"/>
      <c r="D364" s="49" t="n"/>
      <c r="E364" s="49" t="n"/>
      <c r="F364" s="50" t="n"/>
      <c r="G364" s="49" t="n"/>
      <c r="H364" s="49" t="n"/>
      <c r="I364" s="49" t="n"/>
      <c r="J364" s="49" t="n"/>
      <c r="K364" s="49" t="n"/>
      <c r="L364" s="49" t="n"/>
      <c r="M364" s="49" t="n"/>
      <c r="N364" s="49" t="n"/>
      <c r="O364" s="49" t="n"/>
    </row>
    <row r="365">
      <c r="B365" s="49" t="n"/>
      <c r="C365" s="49" t="n"/>
      <c r="D365" s="49" t="n"/>
      <c r="E365" s="49" t="n"/>
      <c r="F365" s="50" t="n"/>
      <c r="G365" s="49" t="n"/>
      <c r="H365" s="49" t="n"/>
      <c r="I365" s="49" t="n"/>
      <c r="J365" s="49" t="n"/>
      <c r="K365" s="49" t="n"/>
      <c r="L365" s="49" t="n"/>
      <c r="M365" s="49" t="n"/>
      <c r="N365" s="49" t="n"/>
      <c r="O365" s="49" t="n"/>
    </row>
    <row r="366">
      <c r="B366" s="49" t="n"/>
      <c r="C366" s="49" t="n"/>
      <c r="D366" s="49" t="n"/>
      <c r="E366" s="49" t="n"/>
      <c r="F366" s="50" t="n"/>
      <c r="G366" s="49" t="n"/>
      <c r="H366" s="49" t="n"/>
      <c r="I366" s="49" t="n"/>
      <c r="J366" s="49" t="n"/>
      <c r="K366" s="49" t="n"/>
      <c r="L366" s="49" t="n"/>
      <c r="M366" s="49" t="n"/>
      <c r="N366" s="49" t="n"/>
      <c r="O366" s="49" t="n"/>
    </row>
    <row r="367">
      <c r="B367" s="49" t="n"/>
      <c r="C367" s="49" t="n"/>
      <c r="D367" s="49" t="n"/>
      <c r="E367" s="49" t="n"/>
      <c r="F367" s="50" t="n"/>
      <c r="G367" s="49" t="n"/>
      <c r="H367" s="49" t="n"/>
      <c r="I367" s="49" t="n"/>
      <c r="J367" s="49" t="n"/>
      <c r="K367" s="49" t="n"/>
      <c r="L367" s="49" t="n"/>
      <c r="M367" s="49" t="n"/>
      <c r="N367" s="49" t="n"/>
      <c r="O367" s="49" t="n"/>
    </row>
    <row r="368">
      <c r="B368" s="49" t="n"/>
      <c r="C368" s="49" t="n"/>
      <c r="D368" s="49" t="n"/>
      <c r="E368" s="49" t="n"/>
      <c r="F368" s="50" t="n"/>
      <c r="G368" s="49" t="n"/>
      <c r="H368" s="49" t="n"/>
      <c r="I368" s="49" t="n"/>
      <c r="J368" s="49" t="n"/>
      <c r="K368" s="49" t="n"/>
      <c r="L368" s="49" t="n"/>
      <c r="M368" s="49" t="n"/>
      <c r="N368" s="49" t="n"/>
      <c r="O368" s="49" t="n"/>
    </row>
    <row r="369">
      <c r="B369" s="49" t="n"/>
      <c r="C369" s="49" t="n"/>
      <c r="D369" s="49" t="n"/>
      <c r="E369" s="49" t="n"/>
      <c r="F369" s="50" t="n"/>
      <c r="G369" s="49" t="n"/>
      <c r="H369" s="49" t="n"/>
      <c r="I369" s="49" t="n"/>
      <c r="J369" s="49" t="n"/>
      <c r="K369" s="49" t="n"/>
      <c r="L369" s="49" t="n"/>
      <c r="M369" s="49" t="n"/>
      <c r="N369" s="49" t="n"/>
      <c r="O369" s="49" t="n"/>
    </row>
    <row r="370">
      <c r="B370" s="49" t="n"/>
      <c r="C370" s="49" t="n"/>
      <c r="D370" s="49" t="n"/>
      <c r="E370" s="49" t="n"/>
      <c r="F370" s="50" t="n"/>
      <c r="G370" s="49" t="n"/>
      <c r="H370" s="49" t="n"/>
      <c r="I370" s="49" t="n"/>
      <c r="J370" s="49" t="n"/>
      <c r="K370" s="49" t="n"/>
      <c r="L370" s="49" t="n"/>
      <c r="M370" s="49" t="n"/>
      <c r="N370" s="49" t="n"/>
      <c r="O370" s="49" t="n"/>
    </row>
    <row r="371">
      <c r="B371" s="49" t="n"/>
      <c r="C371" s="49" t="n"/>
      <c r="D371" s="49" t="n"/>
      <c r="E371" s="49" t="n"/>
      <c r="F371" s="50" t="n"/>
      <c r="G371" s="49" t="n"/>
      <c r="H371" s="49" t="n"/>
      <c r="I371" s="49" t="n"/>
      <c r="J371" s="49" t="n"/>
      <c r="K371" s="49" t="n"/>
      <c r="L371" s="49" t="n"/>
      <c r="M371" s="49" t="n"/>
      <c r="N371" s="49" t="n"/>
      <c r="O371" s="49" t="n"/>
    </row>
    <row r="372">
      <c r="B372" s="49" t="n"/>
      <c r="C372" s="49" t="n"/>
      <c r="D372" s="49" t="n"/>
      <c r="E372" s="49" t="n"/>
      <c r="F372" s="50" t="n"/>
      <c r="G372" s="49" t="n"/>
      <c r="H372" s="49" t="n"/>
      <c r="I372" s="49" t="n"/>
      <c r="J372" s="49" t="n"/>
      <c r="K372" s="49" t="n"/>
      <c r="L372" s="49" t="n"/>
      <c r="M372" s="49" t="n"/>
      <c r="N372" s="49" t="n"/>
      <c r="O372" s="49" t="n"/>
    </row>
    <row r="373">
      <c r="B373" s="49" t="n"/>
      <c r="C373" s="49" t="n"/>
      <c r="D373" s="49" t="n"/>
      <c r="E373" s="49" t="n"/>
      <c r="F373" s="50" t="n"/>
      <c r="G373" s="49" t="n"/>
      <c r="H373" s="49" t="n"/>
      <c r="I373" s="49" t="n"/>
      <c r="J373" s="49" t="n"/>
      <c r="K373" s="49" t="n"/>
      <c r="L373" s="49" t="n"/>
      <c r="M373" s="49" t="n"/>
      <c r="N373" s="49" t="n"/>
      <c r="O373" s="49" t="n"/>
    </row>
    <row r="374">
      <c r="B374" s="49" t="n"/>
      <c r="C374" s="49" t="n"/>
      <c r="D374" s="49" t="n"/>
      <c r="E374" s="49" t="n"/>
      <c r="F374" s="50" t="n"/>
      <c r="G374" s="49" t="n"/>
      <c r="H374" s="49" t="n"/>
      <c r="I374" s="49" t="n"/>
      <c r="J374" s="49" t="n"/>
      <c r="K374" s="49" t="n"/>
      <c r="L374" s="49" t="n"/>
      <c r="M374" s="49" t="n"/>
      <c r="N374" s="49" t="n"/>
      <c r="O374" s="49" t="n"/>
    </row>
    <row r="375">
      <c r="B375" s="49" t="n"/>
      <c r="C375" s="49" t="n"/>
      <c r="D375" s="49" t="n"/>
      <c r="E375" s="49" t="n"/>
      <c r="F375" s="50" t="n"/>
      <c r="G375" s="49" t="n"/>
      <c r="H375" s="49" t="n"/>
      <c r="I375" s="49" t="n"/>
      <c r="J375" s="49" t="n"/>
      <c r="K375" s="49" t="n"/>
      <c r="L375" s="49" t="n"/>
      <c r="M375" s="49" t="n"/>
      <c r="N375" s="49" t="n"/>
      <c r="O375" s="49" t="n"/>
    </row>
    <row r="376">
      <c r="B376" s="49" t="n"/>
      <c r="C376" s="49" t="n"/>
      <c r="D376" s="49" t="n"/>
      <c r="E376" s="49" t="n"/>
      <c r="F376" s="50" t="n"/>
      <c r="G376" s="49" t="n"/>
      <c r="H376" s="49" t="n"/>
      <c r="I376" s="49" t="n"/>
      <c r="J376" s="49" t="n"/>
      <c r="K376" s="49" t="n"/>
      <c r="L376" s="49" t="n"/>
      <c r="M376" s="49" t="n"/>
      <c r="N376" s="49" t="n"/>
      <c r="O376" s="49" t="n"/>
    </row>
    <row r="377">
      <c r="B377" s="49" t="n"/>
      <c r="C377" s="49" t="n"/>
      <c r="D377" s="49" t="n"/>
      <c r="E377" s="49" t="n"/>
      <c r="F377" s="50" t="n"/>
      <c r="G377" s="49" t="n"/>
      <c r="H377" s="49" t="n"/>
      <c r="I377" s="49" t="n"/>
      <c r="J377" s="49" t="n"/>
      <c r="K377" s="49" t="n"/>
      <c r="L377" s="49" t="n"/>
      <c r="M377" s="49" t="n"/>
      <c r="N377" s="49" t="n"/>
      <c r="O377" s="49" t="n"/>
    </row>
    <row r="378">
      <c r="B378" s="49" t="n"/>
      <c r="C378" s="49" t="n"/>
      <c r="D378" s="49" t="n"/>
      <c r="E378" s="49" t="n"/>
      <c r="F378" s="50" t="n"/>
      <c r="G378" s="49" t="n"/>
      <c r="H378" s="49" t="n"/>
      <c r="I378" s="49" t="n"/>
      <c r="J378" s="49" t="n"/>
      <c r="K378" s="49" t="n"/>
      <c r="L378" s="49" t="n"/>
      <c r="M378" s="49" t="n"/>
      <c r="N378" s="49" t="n"/>
      <c r="O378" s="49" t="n"/>
    </row>
    <row r="379">
      <c r="B379" s="49" t="n"/>
      <c r="C379" s="49" t="n"/>
      <c r="D379" s="49" t="n"/>
      <c r="E379" s="49" t="n"/>
      <c r="F379" s="50" t="n"/>
      <c r="G379" s="49" t="n"/>
      <c r="H379" s="49" t="n"/>
      <c r="I379" s="49" t="n"/>
      <c r="J379" s="49" t="n"/>
      <c r="K379" s="49" t="n"/>
      <c r="L379" s="49" t="n"/>
      <c r="M379" s="49" t="n"/>
      <c r="N379" s="49" t="n"/>
      <c r="O379" s="49" t="n"/>
    </row>
    <row r="380">
      <c r="B380" s="49" t="n"/>
      <c r="C380" s="49" t="n"/>
      <c r="D380" s="49" t="n"/>
      <c r="E380" s="49" t="n"/>
      <c r="F380" s="50" t="n"/>
      <c r="G380" s="49" t="n"/>
      <c r="H380" s="49" t="n"/>
      <c r="I380" s="49" t="n"/>
      <c r="J380" s="49" t="n"/>
      <c r="K380" s="49" t="n"/>
      <c r="L380" s="49" t="n"/>
      <c r="M380" s="49" t="n"/>
      <c r="N380" s="49" t="n"/>
      <c r="O380" s="49" t="n"/>
    </row>
    <row r="381">
      <c r="B381" s="49" t="n"/>
      <c r="C381" s="49" t="n"/>
      <c r="D381" s="49" t="n"/>
      <c r="E381" s="49" t="n"/>
      <c r="F381" s="50" t="n"/>
      <c r="G381" s="49" t="n"/>
      <c r="H381" s="49" t="n"/>
      <c r="I381" s="49" t="n"/>
      <c r="J381" s="49" t="n"/>
      <c r="K381" s="49" t="n"/>
      <c r="L381" s="49" t="n"/>
      <c r="M381" s="49" t="n"/>
      <c r="N381" s="49" t="n"/>
      <c r="O381" s="49" t="n"/>
    </row>
    <row r="382">
      <c r="B382" s="49" t="n"/>
      <c r="C382" s="49" t="n"/>
      <c r="D382" s="49" t="n"/>
      <c r="E382" s="49" t="n"/>
      <c r="F382" s="50" t="n"/>
      <c r="G382" s="49" t="n"/>
      <c r="H382" s="49" t="n"/>
      <c r="I382" s="49" t="n"/>
      <c r="J382" s="49" t="n"/>
      <c r="K382" s="49" t="n"/>
      <c r="L382" s="49" t="n"/>
      <c r="M382" s="49" t="n"/>
      <c r="N382" s="49" t="n"/>
      <c r="O382" s="49" t="n"/>
    </row>
    <row r="383">
      <c r="B383" s="49" t="n"/>
      <c r="C383" s="49" t="n"/>
      <c r="D383" s="49" t="n"/>
      <c r="E383" s="49" t="n"/>
      <c r="F383" s="50" t="n"/>
      <c r="G383" s="49" t="n"/>
      <c r="H383" s="49" t="n"/>
      <c r="I383" s="49" t="n"/>
      <c r="J383" s="49" t="n"/>
      <c r="K383" s="49" t="n"/>
      <c r="L383" s="49" t="n"/>
      <c r="M383" s="49" t="n"/>
      <c r="N383" s="49" t="n"/>
      <c r="O383" s="49" t="n"/>
    </row>
    <row r="384">
      <c r="B384" s="49" t="n"/>
      <c r="C384" s="49" t="n"/>
      <c r="D384" s="49" t="n"/>
      <c r="E384" s="49" t="n"/>
      <c r="F384" s="50" t="n"/>
      <c r="G384" s="49" t="n"/>
      <c r="H384" s="49" t="n"/>
      <c r="I384" s="49" t="n"/>
      <c r="J384" s="49" t="n"/>
      <c r="K384" s="49" t="n"/>
      <c r="L384" s="49" t="n"/>
      <c r="M384" s="49" t="n"/>
      <c r="N384" s="49" t="n"/>
      <c r="O384" s="49" t="n"/>
    </row>
    <row r="385">
      <c r="B385" s="49" t="n"/>
      <c r="C385" s="49" t="n"/>
      <c r="D385" s="49" t="n"/>
      <c r="E385" s="49" t="n"/>
      <c r="F385" s="50" t="n"/>
      <c r="G385" s="49" t="n"/>
      <c r="H385" s="49" t="n"/>
      <c r="I385" s="49" t="n"/>
      <c r="J385" s="49" t="n"/>
      <c r="K385" s="49" t="n"/>
      <c r="L385" s="49" t="n"/>
      <c r="M385" s="49" t="n"/>
      <c r="N385" s="49" t="n"/>
      <c r="O385" s="49" t="n"/>
    </row>
    <row r="386">
      <c r="B386" s="49" t="n"/>
      <c r="C386" s="49" t="n"/>
      <c r="D386" s="49" t="n"/>
      <c r="E386" s="49" t="n"/>
      <c r="F386" s="50" t="n"/>
      <c r="G386" s="49" t="n"/>
      <c r="H386" s="49" t="n"/>
      <c r="I386" s="49" t="n"/>
      <c r="J386" s="49" t="n"/>
      <c r="K386" s="49" t="n"/>
      <c r="L386" s="49" t="n"/>
      <c r="M386" s="49" t="n"/>
      <c r="N386" s="49" t="n"/>
      <c r="O386" s="49" t="n"/>
    </row>
    <row r="387">
      <c r="B387" s="49" t="n"/>
      <c r="C387" s="49" t="n"/>
      <c r="D387" s="49" t="n"/>
      <c r="E387" s="49" t="n"/>
      <c r="F387" s="50" t="n"/>
      <c r="G387" s="49" t="n"/>
      <c r="H387" s="49" t="n"/>
      <c r="I387" s="49" t="n"/>
      <c r="J387" s="49" t="n"/>
      <c r="K387" s="49" t="n"/>
      <c r="L387" s="49" t="n"/>
      <c r="M387" s="49" t="n"/>
      <c r="N387" s="49" t="n"/>
      <c r="O387" s="49" t="n"/>
    </row>
    <row r="388">
      <c r="B388" s="49" t="n"/>
      <c r="C388" s="49" t="n"/>
      <c r="D388" s="49" t="n"/>
      <c r="E388" s="49" t="n"/>
      <c r="F388" s="50" t="n"/>
      <c r="G388" s="49" t="n"/>
      <c r="H388" s="49" t="n"/>
      <c r="I388" s="49" t="n"/>
      <c r="J388" s="49" t="n"/>
      <c r="K388" s="49" t="n"/>
      <c r="L388" s="49" t="n"/>
      <c r="M388" s="49" t="n"/>
      <c r="N388" s="49" t="n"/>
      <c r="O388" s="49" t="n"/>
    </row>
    <row r="389">
      <c r="B389" s="49" t="n"/>
      <c r="C389" s="49" t="n"/>
      <c r="D389" s="49" t="n"/>
      <c r="E389" s="49" t="n"/>
      <c r="F389" s="50" t="n"/>
      <c r="G389" s="49" t="n"/>
      <c r="H389" s="49" t="n"/>
      <c r="I389" s="49" t="n"/>
      <c r="J389" s="49" t="n"/>
      <c r="K389" s="49" t="n"/>
      <c r="L389" s="49" t="n"/>
      <c r="M389" s="49" t="n"/>
      <c r="N389" s="49" t="n"/>
      <c r="O389" s="49" t="n"/>
    </row>
    <row r="390">
      <c r="B390" s="49" t="n"/>
      <c r="C390" s="49" t="n"/>
      <c r="D390" s="49" t="n"/>
      <c r="E390" s="49" t="n"/>
      <c r="F390" s="50" t="n"/>
      <c r="G390" s="49" t="n"/>
      <c r="H390" s="49" t="n"/>
      <c r="I390" s="49" t="n"/>
      <c r="J390" s="49" t="n"/>
      <c r="K390" s="49" t="n"/>
      <c r="L390" s="49" t="n"/>
      <c r="M390" s="49" t="n"/>
      <c r="N390" s="49" t="n"/>
      <c r="O390" s="49" t="n"/>
    </row>
    <row r="391">
      <c r="B391" s="49" t="n"/>
      <c r="C391" s="49" t="n"/>
      <c r="D391" s="49" t="n"/>
      <c r="E391" s="49" t="n"/>
      <c r="F391" s="50" t="n"/>
      <c r="G391" s="49" t="n"/>
      <c r="H391" s="49" t="n"/>
      <c r="I391" s="49" t="n"/>
      <c r="J391" s="49" t="n"/>
      <c r="K391" s="49" t="n"/>
      <c r="L391" s="49" t="n"/>
      <c r="M391" s="49" t="n"/>
      <c r="N391" s="49" t="n"/>
      <c r="O391" s="49" t="n"/>
    </row>
    <row r="392">
      <c r="B392" s="49" t="n"/>
      <c r="C392" s="49" t="n"/>
      <c r="D392" s="49" t="n"/>
      <c r="E392" s="49" t="n"/>
      <c r="F392" s="50" t="n"/>
      <c r="G392" s="49" t="n"/>
      <c r="H392" s="49" t="n"/>
      <c r="I392" s="49" t="n"/>
      <c r="J392" s="49" t="n"/>
      <c r="K392" s="49" t="n"/>
      <c r="L392" s="49" t="n"/>
      <c r="M392" s="49" t="n"/>
      <c r="N392" s="49" t="n"/>
      <c r="O392" s="49" t="n"/>
    </row>
    <row r="393">
      <c r="B393" s="49" t="n"/>
      <c r="C393" s="49" t="n"/>
      <c r="D393" s="49" t="n"/>
      <c r="E393" s="49" t="n"/>
      <c r="F393" s="50" t="n"/>
      <c r="G393" s="49" t="n"/>
      <c r="H393" s="49" t="n"/>
      <c r="I393" s="49" t="n"/>
      <c r="J393" s="49" t="n"/>
      <c r="K393" s="49" t="n"/>
      <c r="L393" s="49" t="n"/>
      <c r="M393" s="49" t="n"/>
      <c r="N393" s="49" t="n"/>
      <c r="O393" s="49" t="n"/>
    </row>
    <row r="394">
      <c r="B394" s="49" t="n"/>
      <c r="C394" s="49" t="n"/>
      <c r="D394" s="49" t="n"/>
      <c r="E394" s="49" t="n"/>
      <c r="F394" s="50" t="n"/>
      <c r="G394" s="49" t="n"/>
      <c r="H394" s="49" t="n"/>
      <c r="I394" s="49" t="n"/>
      <c r="J394" s="49" t="n"/>
      <c r="K394" s="49" t="n"/>
      <c r="L394" s="49" t="n"/>
      <c r="M394" s="49" t="n"/>
      <c r="N394" s="49" t="n"/>
      <c r="O394" s="49" t="n"/>
    </row>
    <row r="395">
      <c r="B395" s="49" t="n"/>
      <c r="C395" s="49" t="n"/>
      <c r="D395" s="49" t="n"/>
      <c r="E395" s="49" t="n"/>
      <c r="F395" s="50" t="n"/>
      <c r="G395" s="49" t="n"/>
      <c r="H395" s="49" t="n"/>
      <c r="I395" s="49" t="n"/>
      <c r="J395" s="49" t="n"/>
      <c r="K395" s="49" t="n"/>
      <c r="L395" s="49" t="n"/>
      <c r="M395" s="49" t="n"/>
      <c r="N395" s="49" t="n"/>
      <c r="O395" s="49" t="n"/>
    </row>
    <row r="396">
      <c r="B396" s="49" t="n"/>
      <c r="C396" s="49" t="n"/>
      <c r="D396" s="49" t="n"/>
      <c r="E396" s="49" t="n"/>
      <c r="F396" s="50" t="n"/>
      <c r="G396" s="49" t="n"/>
      <c r="H396" s="49" t="n"/>
      <c r="I396" s="49" t="n"/>
      <c r="J396" s="49" t="n"/>
      <c r="K396" s="49" t="n"/>
      <c r="L396" s="49" t="n"/>
      <c r="M396" s="49" t="n"/>
      <c r="N396" s="49" t="n"/>
      <c r="O396" s="49" t="n"/>
    </row>
    <row r="397">
      <c r="B397" s="49" t="n"/>
      <c r="C397" s="49" t="n"/>
      <c r="D397" s="49" t="n"/>
      <c r="E397" s="49" t="n"/>
      <c r="F397" s="50" t="n"/>
      <c r="G397" s="49" t="n"/>
      <c r="H397" s="49" t="n"/>
      <c r="I397" s="49" t="n"/>
      <c r="J397" s="49" t="n"/>
      <c r="K397" s="49" t="n"/>
      <c r="L397" s="49" t="n"/>
      <c r="M397" s="49" t="n"/>
      <c r="N397" s="49" t="n"/>
      <c r="O397" s="49" t="n"/>
    </row>
    <row r="398">
      <c r="B398" s="49" t="n"/>
      <c r="C398" s="49" t="n"/>
      <c r="D398" s="49" t="n"/>
      <c r="E398" s="49" t="n"/>
      <c r="F398" s="50" t="n"/>
      <c r="G398" s="49" t="n"/>
      <c r="H398" s="49" t="n"/>
      <c r="I398" s="49" t="n"/>
      <c r="J398" s="49" t="n"/>
      <c r="K398" s="49" t="n"/>
      <c r="L398" s="49" t="n"/>
      <c r="M398" s="49" t="n"/>
      <c r="N398" s="49" t="n"/>
      <c r="O398" s="49" t="n"/>
    </row>
    <row r="399">
      <c r="B399" s="49" t="n"/>
      <c r="C399" s="49" t="n"/>
      <c r="D399" s="49" t="n"/>
      <c r="E399" s="49" t="n"/>
      <c r="F399" s="50" t="n"/>
      <c r="G399" s="49" t="n"/>
      <c r="H399" s="49" t="n"/>
      <c r="I399" s="49" t="n"/>
      <c r="J399" s="49" t="n"/>
      <c r="K399" s="49" t="n"/>
      <c r="L399" s="49" t="n"/>
      <c r="M399" s="49" t="n"/>
      <c r="N399" s="49" t="n"/>
      <c r="O399" s="49" t="n"/>
    </row>
    <row r="400">
      <c r="B400" s="49" t="n"/>
      <c r="C400" s="49" t="n"/>
      <c r="D400" s="49" t="n"/>
      <c r="E400" s="49" t="n"/>
      <c r="F400" s="50" t="n"/>
      <c r="G400" s="49" t="n"/>
      <c r="H400" s="49" t="n"/>
      <c r="I400" s="49" t="n"/>
      <c r="J400" s="49" t="n"/>
      <c r="K400" s="49" t="n"/>
      <c r="L400" s="49" t="n"/>
      <c r="M400" s="49" t="n"/>
      <c r="N400" s="49" t="n"/>
      <c r="O400" s="49" t="n"/>
    </row>
    <row r="401">
      <c r="B401" s="49" t="n"/>
      <c r="C401" s="49" t="n"/>
      <c r="D401" s="49" t="n"/>
      <c r="E401" s="49" t="n"/>
      <c r="F401" s="50" t="n"/>
      <c r="G401" s="49" t="n"/>
      <c r="H401" s="49" t="n"/>
      <c r="I401" s="49" t="n"/>
      <c r="J401" s="49" t="n"/>
      <c r="K401" s="49" t="n"/>
      <c r="L401" s="49" t="n"/>
      <c r="M401" s="49" t="n"/>
      <c r="N401" s="49" t="n"/>
      <c r="O401" s="49" t="n"/>
    </row>
    <row r="402">
      <c r="B402" s="49" t="n"/>
      <c r="C402" s="49" t="n"/>
      <c r="D402" s="49" t="n"/>
      <c r="E402" s="49" t="n"/>
      <c r="F402" s="50" t="n"/>
      <c r="G402" s="49" t="n"/>
      <c r="H402" s="49" t="n"/>
      <c r="I402" s="49" t="n"/>
      <c r="J402" s="49" t="n"/>
      <c r="K402" s="49" t="n"/>
      <c r="L402" s="49" t="n"/>
      <c r="M402" s="49" t="n"/>
      <c r="N402" s="49" t="n"/>
      <c r="O402" s="49" t="n"/>
    </row>
    <row r="403">
      <c r="B403" s="49" t="n"/>
      <c r="C403" s="49" t="n"/>
      <c r="D403" s="49" t="n"/>
      <c r="E403" s="49" t="n"/>
      <c r="F403" s="50" t="n"/>
      <c r="G403" s="49" t="n"/>
      <c r="H403" s="49" t="n"/>
      <c r="I403" s="49" t="n"/>
      <c r="J403" s="49" t="n"/>
      <c r="K403" s="49" t="n"/>
      <c r="L403" s="49" t="n"/>
      <c r="M403" s="49" t="n"/>
      <c r="N403" s="49" t="n"/>
      <c r="O403" s="49" t="n"/>
    </row>
    <row r="404">
      <c r="B404" s="49" t="n"/>
      <c r="C404" s="49" t="n"/>
      <c r="D404" s="49" t="n"/>
      <c r="E404" s="49" t="n"/>
      <c r="F404" s="50" t="n"/>
      <c r="G404" s="49" t="n"/>
      <c r="H404" s="49" t="n"/>
      <c r="I404" s="49" t="n"/>
      <c r="J404" s="49" t="n"/>
      <c r="K404" s="49" t="n"/>
      <c r="L404" s="49" t="n"/>
      <c r="M404" s="49" t="n"/>
      <c r="N404" s="49" t="n"/>
      <c r="O404" s="49" t="n"/>
    </row>
    <row r="405">
      <c r="B405" s="49" t="n"/>
      <c r="C405" s="49" t="n"/>
      <c r="D405" s="49" t="n"/>
      <c r="E405" s="49" t="n"/>
      <c r="F405" s="50" t="n"/>
      <c r="G405" s="49" t="n"/>
      <c r="H405" s="49" t="n"/>
      <c r="I405" s="49" t="n"/>
      <c r="J405" s="49" t="n"/>
      <c r="K405" s="49" t="n"/>
      <c r="L405" s="49" t="n"/>
      <c r="M405" s="49" t="n"/>
      <c r="N405" s="49" t="n"/>
      <c r="O405" s="49" t="n"/>
    </row>
    <row r="406">
      <c r="B406" s="49" t="n"/>
      <c r="C406" s="49" t="n"/>
      <c r="D406" s="49" t="n"/>
      <c r="E406" s="49" t="n"/>
      <c r="F406" s="50" t="n"/>
      <c r="G406" s="49" t="n"/>
      <c r="H406" s="49" t="n"/>
      <c r="I406" s="49" t="n"/>
      <c r="J406" s="49" t="n"/>
      <c r="K406" s="49" t="n"/>
      <c r="L406" s="49" t="n"/>
      <c r="M406" s="49" t="n"/>
      <c r="N406" s="49" t="n"/>
      <c r="O406" s="49" t="n"/>
    </row>
    <row r="407">
      <c r="B407" s="49" t="n"/>
      <c r="C407" s="49" t="n"/>
      <c r="D407" s="49" t="n"/>
      <c r="E407" s="49" t="n"/>
      <c r="F407" s="50" t="n"/>
      <c r="G407" s="49" t="n"/>
      <c r="H407" s="49" t="n"/>
      <c r="I407" s="49" t="n"/>
      <c r="J407" s="49" t="n"/>
      <c r="K407" s="49" t="n"/>
      <c r="L407" s="49" t="n"/>
      <c r="M407" s="49" t="n"/>
      <c r="N407" s="49" t="n"/>
      <c r="O407" s="49" t="n"/>
    </row>
    <row r="408">
      <c r="B408" s="49" t="n"/>
      <c r="C408" s="49" t="n"/>
      <c r="D408" s="49" t="n"/>
      <c r="E408" s="49" t="n"/>
      <c r="F408" s="50" t="n"/>
      <c r="G408" s="49" t="n"/>
      <c r="H408" s="49" t="n"/>
      <c r="I408" s="49" t="n"/>
      <c r="J408" s="49" t="n"/>
      <c r="K408" s="49" t="n"/>
      <c r="L408" s="49" t="n"/>
      <c r="M408" s="49" t="n"/>
      <c r="N408" s="49" t="n"/>
      <c r="O408" s="49" t="n"/>
    </row>
    <row r="409">
      <c r="B409" s="49" t="n"/>
      <c r="C409" s="49" t="n"/>
      <c r="D409" s="49" t="n"/>
      <c r="E409" s="49" t="n"/>
      <c r="F409" s="50" t="n"/>
      <c r="G409" s="49" t="n"/>
      <c r="H409" s="49" t="n"/>
      <c r="I409" s="49" t="n"/>
      <c r="J409" s="49" t="n"/>
      <c r="K409" s="49" t="n"/>
      <c r="L409" s="49" t="n"/>
      <c r="M409" s="49" t="n"/>
      <c r="N409" s="49" t="n"/>
      <c r="O409" s="49" t="n"/>
    </row>
    <row r="410">
      <c r="B410" s="49" t="n"/>
      <c r="C410" s="49" t="n"/>
      <c r="D410" s="49" t="n"/>
      <c r="E410" s="49" t="n"/>
      <c r="F410" s="50" t="n"/>
      <c r="G410" s="49" t="n"/>
      <c r="H410" s="49" t="n"/>
      <c r="I410" s="49" t="n"/>
      <c r="J410" s="49" t="n"/>
      <c r="K410" s="49" t="n"/>
      <c r="L410" s="49" t="n"/>
      <c r="M410" s="49" t="n"/>
      <c r="N410" s="49" t="n"/>
      <c r="O410" s="49" t="n"/>
    </row>
    <row r="411">
      <c r="B411" s="49" t="n"/>
      <c r="C411" s="49" t="n"/>
      <c r="D411" s="49" t="n"/>
      <c r="E411" s="49" t="n"/>
      <c r="F411" s="50" t="n"/>
      <c r="G411" s="49" t="n"/>
      <c r="H411" s="49" t="n"/>
      <c r="I411" s="49" t="n"/>
      <c r="J411" s="49" t="n"/>
      <c r="K411" s="49" t="n"/>
      <c r="L411" s="49" t="n"/>
      <c r="M411" s="49" t="n"/>
      <c r="N411" s="49" t="n"/>
      <c r="O411" s="49" t="n"/>
    </row>
    <row r="412">
      <c r="B412" s="49" t="n"/>
      <c r="C412" s="49" t="n"/>
      <c r="D412" s="49" t="n"/>
      <c r="E412" s="49" t="n"/>
      <c r="F412" s="50" t="n"/>
      <c r="G412" s="49" t="n"/>
      <c r="H412" s="49" t="n"/>
      <c r="I412" s="49" t="n"/>
      <c r="J412" s="49" t="n"/>
      <c r="K412" s="49" t="n"/>
      <c r="L412" s="49" t="n"/>
      <c r="M412" s="49" t="n"/>
      <c r="N412" s="49" t="n"/>
      <c r="O412" s="49" t="n"/>
    </row>
    <row r="413">
      <c r="B413" s="49" t="n"/>
      <c r="C413" s="49" t="n"/>
      <c r="D413" s="49" t="n"/>
      <c r="E413" s="49" t="n"/>
      <c r="F413" s="50" t="n"/>
      <c r="G413" s="49" t="n"/>
      <c r="H413" s="49" t="n"/>
      <c r="I413" s="49" t="n"/>
      <c r="J413" s="49" t="n"/>
      <c r="K413" s="49" t="n"/>
      <c r="L413" s="49" t="n"/>
      <c r="M413" s="49" t="n"/>
      <c r="N413" s="49" t="n"/>
      <c r="O413" s="49" t="n"/>
    </row>
    <row r="414">
      <c r="B414" s="49" t="n"/>
      <c r="C414" s="49" t="n"/>
      <c r="D414" s="49" t="n"/>
      <c r="E414" s="49" t="n"/>
      <c r="F414" s="50" t="n"/>
      <c r="G414" s="49" t="n"/>
      <c r="H414" s="49" t="n"/>
      <c r="I414" s="49" t="n"/>
      <c r="J414" s="49" t="n"/>
      <c r="K414" s="49" t="n"/>
      <c r="L414" s="49" t="n"/>
      <c r="M414" s="49" t="n"/>
      <c r="N414" s="49" t="n"/>
      <c r="O414" s="49" t="n"/>
    </row>
    <row r="415">
      <c r="B415" s="49" t="n"/>
      <c r="C415" s="49" t="n"/>
      <c r="D415" s="49" t="n"/>
      <c r="E415" s="49" t="n"/>
      <c r="F415" s="50" t="n"/>
      <c r="G415" s="49" t="n"/>
      <c r="H415" s="49" t="n"/>
      <c r="I415" s="49" t="n"/>
      <c r="J415" s="49" t="n"/>
      <c r="K415" s="49" t="n"/>
      <c r="L415" s="49" t="n"/>
      <c r="M415" s="49" t="n"/>
      <c r="N415" s="49" t="n"/>
      <c r="O415" s="49" t="n"/>
    </row>
    <row r="416">
      <c r="B416" s="49" t="n"/>
      <c r="C416" s="49" t="n"/>
      <c r="D416" s="49" t="n"/>
      <c r="E416" s="49" t="n"/>
      <c r="F416" s="50" t="n"/>
      <c r="G416" s="49" t="n"/>
      <c r="H416" s="49" t="n"/>
      <c r="I416" s="49" t="n"/>
      <c r="J416" s="49" t="n"/>
      <c r="K416" s="49" t="n"/>
      <c r="L416" s="49" t="n"/>
      <c r="M416" s="49" t="n"/>
      <c r="N416" s="49" t="n"/>
      <c r="O416" s="49" t="n"/>
    </row>
    <row r="417">
      <c r="B417" s="49" t="n"/>
      <c r="C417" s="49" t="n"/>
      <c r="D417" s="49" t="n"/>
      <c r="E417" s="49" t="n"/>
      <c r="F417" s="50" t="n"/>
      <c r="G417" s="49" t="n"/>
      <c r="H417" s="49" t="n"/>
      <c r="I417" s="49" t="n"/>
      <c r="J417" s="49" t="n"/>
      <c r="K417" s="49" t="n"/>
      <c r="L417" s="49" t="n"/>
      <c r="M417" s="49" t="n"/>
      <c r="N417" s="49" t="n"/>
      <c r="O417" s="49" t="n"/>
    </row>
    <row r="418">
      <c r="B418" s="49" t="n"/>
      <c r="C418" s="49" t="n"/>
      <c r="D418" s="49" t="n"/>
      <c r="E418" s="49" t="n"/>
      <c r="F418" s="50" t="n"/>
      <c r="G418" s="49" t="n"/>
      <c r="H418" s="49" t="n"/>
      <c r="I418" s="49" t="n"/>
      <c r="J418" s="49" t="n"/>
      <c r="K418" s="49" t="n"/>
      <c r="L418" s="49" t="n"/>
      <c r="M418" s="49" t="n"/>
      <c r="N418" s="49" t="n"/>
      <c r="O418" s="49" t="n"/>
    </row>
    <row r="419">
      <c r="B419" s="49" t="n"/>
      <c r="C419" s="49" t="n"/>
      <c r="D419" s="49" t="n"/>
      <c r="E419" s="49" t="n"/>
      <c r="F419" s="50" t="n"/>
      <c r="G419" s="49" t="n"/>
      <c r="H419" s="49" t="n"/>
      <c r="I419" s="49" t="n"/>
      <c r="J419" s="49" t="n"/>
      <c r="K419" s="49" t="n"/>
      <c r="L419" s="49" t="n"/>
      <c r="M419" s="49" t="n"/>
      <c r="N419" s="49" t="n"/>
      <c r="O419" s="49" t="n"/>
    </row>
    <row r="420">
      <c r="B420" s="49" t="n"/>
      <c r="C420" s="49" t="n"/>
      <c r="D420" s="49" t="n"/>
      <c r="E420" s="49" t="n"/>
      <c r="F420" s="50" t="n"/>
      <c r="G420" s="49" t="n"/>
      <c r="H420" s="49" t="n"/>
      <c r="I420" s="49" t="n"/>
      <c r="J420" s="49" t="n"/>
      <c r="K420" s="49" t="n"/>
      <c r="L420" s="49" t="n"/>
      <c r="M420" s="49" t="n"/>
      <c r="N420" s="49" t="n"/>
      <c r="O420" s="49" t="n"/>
    </row>
    <row r="421">
      <c r="B421" s="49" t="n"/>
      <c r="C421" s="49" t="n"/>
      <c r="D421" s="49" t="n"/>
      <c r="E421" s="49" t="n"/>
      <c r="F421" s="50" t="n"/>
      <c r="G421" s="49" t="n"/>
      <c r="H421" s="49" t="n"/>
      <c r="I421" s="49" t="n"/>
      <c r="J421" s="49" t="n"/>
      <c r="K421" s="49" t="n"/>
      <c r="L421" s="49" t="n"/>
      <c r="M421" s="49" t="n"/>
      <c r="N421" s="49" t="n"/>
      <c r="O421" s="49" t="n"/>
    </row>
    <row r="422">
      <c r="B422" s="49" t="n"/>
      <c r="C422" s="49" t="n"/>
      <c r="D422" s="49" t="n"/>
      <c r="E422" s="49" t="n"/>
      <c r="F422" s="50" t="n"/>
      <c r="G422" s="49" t="n"/>
      <c r="H422" s="49" t="n"/>
      <c r="I422" s="49" t="n"/>
      <c r="J422" s="49" t="n"/>
      <c r="K422" s="49" t="n"/>
      <c r="L422" s="49" t="n"/>
      <c r="M422" s="49" t="n"/>
      <c r="N422" s="49" t="n"/>
      <c r="O422" s="49" t="n"/>
    </row>
    <row r="423">
      <c r="B423" s="49" t="n"/>
      <c r="C423" s="49" t="n"/>
      <c r="D423" s="49" t="n"/>
      <c r="E423" s="49" t="n"/>
      <c r="F423" s="50" t="n"/>
      <c r="G423" s="49" t="n"/>
      <c r="H423" s="49" t="n"/>
      <c r="I423" s="49" t="n"/>
      <c r="J423" s="49" t="n"/>
      <c r="K423" s="49" t="n"/>
      <c r="L423" s="49" t="n"/>
      <c r="M423" s="49" t="n"/>
      <c r="N423" s="49" t="n"/>
      <c r="O423" s="49" t="n"/>
    </row>
    <row r="424">
      <c r="B424" s="49" t="n"/>
      <c r="C424" s="49" t="n"/>
      <c r="D424" s="49" t="n"/>
      <c r="E424" s="49" t="n"/>
      <c r="F424" s="50" t="n"/>
      <c r="G424" s="49" t="n"/>
      <c r="H424" s="49" t="n"/>
      <c r="I424" s="49" t="n"/>
      <c r="J424" s="49" t="n"/>
      <c r="K424" s="49" t="n"/>
      <c r="L424" s="49" t="n"/>
      <c r="M424" s="49" t="n"/>
      <c r="N424" s="49" t="n"/>
      <c r="O424" s="49" t="n"/>
    </row>
    <row r="425">
      <c r="B425" s="49" t="n"/>
      <c r="C425" s="49" t="n"/>
      <c r="D425" s="49" t="n"/>
      <c r="E425" s="49" t="n"/>
      <c r="F425" s="50" t="n"/>
      <c r="G425" s="49" t="n"/>
      <c r="H425" s="49" t="n"/>
      <c r="I425" s="49" t="n"/>
      <c r="J425" s="49" t="n"/>
      <c r="K425" s="49" t="n"/>
      <c r="L425" s="49" t="n"/>
      <c r="M425" s="49" t="n"/>
      <c r="N425" s="49" t="n"/>
      <c r="O425" s="49" t="n"/>
    </row>
    <row r="426">
      <c r="B426" s="49" t="n"/>
      <c r="C426" s="49" t="n"/>
      <c r="D426" s="49" t="n"/>
      <c r="E426" s="49" t="n"/>
      <c r="F426" s="50" t="n"/>
      <c r="G426" s="49" t="n"/>
      <c r="H426" s="49" t="n"/>
      <c r="I426" s="49" t="n"/>
      <c r="J426" s="49" t="n"/>
      <c r="K426" s="49" t="n"/>
      <c r="L426" s="49" t="n"/>
      <c r="M426" s="49" t="n"/>
      <c r="N426" s="49" t="n"/>
      <c r="O426" s="49" t="n"/>
    </row>
    <row r="427">
      <c r="B427" s="49" t="n"/>
      <c r="C427" s="49" t="n"/>
      <c r="D427" s="49" t="n"/>
      <c r="E427" s="49" t="n"/>
      <c r="F427" s="50" t="n"/>
      <c r="G427" s="49" t="n"/>
      <c r="H427" s="49" t="n"/>
      <c r="I427" s="49" t="n"/>
      <c r="J427" s="49" t="n"/>
      <c r="K427" s="49" t="n"/>
      <c r="L427" s="49" t="n"/>
      <c r="M427" s="49" t="n"/>
      <c r="N427" s="49" t="n"/>
      <c r="O427" s="49" t="n"/>
    </row>
    <row r="428">
      <c r="B428" s="49" t="n"/>
      <c r="C428" s="49" t="n"/>
      <c r="D428" s="49" t="n"/>
      <c r="E428" s="49" t="n"/>
      <c r="F428" s="50" t="n"/>
      <c r="G428" s="49" t="n"/>
      <c r="H428" s="49" t="n"/>
      <c r="I428" s="49" t="n"/>
      <c r="J428" s="49" t="n"/>
      <c r="K428" s="49" t="n"/>
      <c r="L428" s="49" t="n"/>
      <c r="M428" s="49" t="n"/>
      <c r="N428" s="49" t="n"/>
      <c r="O428" s="49" t="n"/>
    </row>
    <row r="429">
      <c r="B429" s="49" t="n"/>
      <c r="C429" s="49" t="n"/>
      <c r="D429" s="49" t="n"/>
      <c r="E429" s="49" t="n"/>
      <c r="F429" s="50" t="n"/>
      <c r="G429" s="49" t="n"/>
      <c r="H429" s="49" t="n"/>
      <c r="I429" s="49" t="n"/>
      <c r="J429" s="49" t="n"/>
      <c r="K429" s="49" t="n"/>
      <c r="L429" s="49" t="n"/>
      <c r="M429" s="49" t="n"/>
      <c r="N429" s="49" t="n"/>
      <c r="O429" s="49" t="n"/>
    </row>
    <row r="430">
      <c r="B430" s="49" t="n"/>
      <c r="C430" s="49" t="n"/>
      <c r="D430" s="49" t="n"/>
      <c r="E430" s="49" t="n"/>
      <c r="F430" s="50" t="n"/>
      <c r="G430" s="49" t="n"/>
      <c r="H430" s="49" t="n"/>
      <c r="I430" s="49" t="n"/>
      <c r="J430" s="49" t="n"/>
      <c r="K430" s="49" t="n"/>
      <c r="L430" s="49" t="n"/>
      <c r="M430" s="49" t="n"/>
      <c r="N430" s="49" t="n"/>
      <c r="O430" s="49" t="n"/>
    </row>
    <row r="431">
      <c r="B431" s="49" t="n"/>
      <c r="C431" s="49" t="n"/>
      <c r="D431" s="49" t="n"/>
      <c r="E431" s="49" t="n"/>
      <c r="F431" s="50" t="n"/>
      <c r="G431" s="49" t="n"/>
      <c r="H431" s="49" t="n"/>
      <c r="I431" s="49" t="n"/>
      <c r="J431" s="49" t="n"/>
      <c r="K431" s="49" t="n"/>
      <c r="L431" s="49" t="n"/>
      <c r="M431" s="49" t="n"/>
      <c r="N431" s="49" t="n"/>
      <c r="O431" s="49" t="n"/>
    </row>
    <row r="432">
      <c r="B432" s="49" t="n"/>
      <c r="C432" s="49" t="n"/>
      <c r="D432" s="49" t="n"/>
      <c r="E432" s="49" t="n"/>
      <c r="F432" s="50" t="n"/>
      <c r="G432" s="49" t="n"/>
      <c r="H432" s="49" t="n"/>
      <c r="I432" s="49" t="n"/>
      <c r="J432" s="49" t="n"/>
      <c r="K432" s="49" t="n"/>
      <c r="L432" s="49" t="n"/>
      <c r="M432" s="49" t="n"/>
      <c r="N432" s="49" t="n"/>
      <c r="O432" s="49" t="n"/>
    </row>
    <row r="433">
      <c r="B433" s="49" t="n"/>
      <c r="C433" s="49" t="n"/>
      <c r="D433" s="49" t="n"/>
      <c r="E433" s="49" t="n"/>
      <c r="F433" s="50" t="n"/>
      <c r="G433" s="49" t="n"/>
      <c r="H433" s="49" t="n"/>
      <c r="I433" s="49" t="n"/>
      <c r="J433" s="49" t="n"/>
      <c r="K433" s="49" t="n"/>
      <c r="L433" s="49" t="n"/>
      <c r="M433" s="49" t="n"/>
      <c r="N433" s="49" t="n"/>
      <c r="O433" s="49" t="n"/>
    </row>
    <row r="434">
      <c r="B434" s="49" t="n"/>
      <c r="C434" s="49" t="n"/>
      <c r="D434" s="49" t="n"/>
      <c r="E434" s="49" t="n"/>
      <c r="F434" s="50" t="n"/>
      <c r="G434" s="49" t="n"/>
      <c r="H434" s="49" t="n"/>
      <c r="I434" s="49" t="n"/>
      <c r="J434" s="49" t="n"/>
      <c r="K434" s="49" t="n"/>
      <c r="L434" s="49" t="n"/>
      <c r="M434" s="49" t="n"/>
      <c r="N434" s="49" t="n"/>
      <c r="O434" s="49" t="n"/>
    </row>
    <row r="435">
      <c r="B435" s="49" t="n"/>
      <c r="C435" s="49" t="n"/>
      <c r="D435" s="49" t="n"/>
      <c r="E435" s="49" t="n"/>
      <c r="F435" s="50" t="n"/>
      <c r="G435" s="49" t="n"/>
      <c r="H435" s="49" t="n"/>
      <c r="I435" s="49" t="n"/>
      <c r="J435" s="49" t="n"/>
      <c r="K435" s="49" t="n"/>
      <c r="L435" s="49" t="n"/>
      <c r="M435" s="49" t="n"/>
      <c r="N435" s="49" t="n"/>
      <c r="O435" s="49" t="n"/>
    </row>
    <row r="436">
      <c r="B436" s="49" t="n"/>
      <c r="C436" s="49" t="n"/>
      <c r="D436" s="49" t="n"/>
      <c r="E436" s="49" t="n"/>
      <c r="F436" s="50" t="n"/>
      <c r="G436" s="49" t="n"/>
      <c r="H436" s="49" t="n"/>
      <c r="I436" s="49" t="n"/>
      <c r="J436" s="49" t="n"/>
      <c r="K436" s="49" t="n"/>
      <c r="L436" s="49" t="n"/>
      <c r="M436" s="49" t="n"/>
      <c r="N436" s="49" t="n"/>
      <c r="O436" s="49" t="n"/>
    </row>
    <row r="437">
      <c r="B437" s="49" t="n"/>
      <c r="C437" s="49" t="n"/>
      <c r="D437" s="49" t="n"/>
      <c r="E437" s="49" t="n"/>
      <c r="F437" s="50" t="n"/>
      <c r="G437" s="49" t="n"/>
      <c r="H437" s="49" t="n"/>
      <c r="I437" s="49" t="n"/>
      <c r="J437" s="49" t="n"/>
      <c r="K437" s="49" t="n"/>
      <c r="L437" s="49" t="n"/>
      <c r="M437" s="49" t="n"/>
      <c r="N437" s="49" t="n"/>
      <c r="O437" s="49" t="n"/>
    </row>
    <row r="438">
      <c r="B438" s="49" t="n"/>
      <c r="C438" s="49" t="n"/>
      <c r="D438" s="49" t="n"/>
      <c r="E438" s="49" t="n"/>
      <c r="F438" s="50" t="n"/>
      <c r="G438" s="49" t="n"/>
      <c r="H438" s="49" t="n"/>
      <c r="I438" s="49" t="n"/>
      <c r="J438" s="49" t="n"/>
      <c r="K438" s="49" t="n"/>
      <c r="L438" s="49" t="n"/>
      <c r="M438" s="49" t="n"/>
      <c r="N438" s="49" t="n"/>
      <c r="O438" s="49" t="n"/>
    </row>
    <row r="439">
      <c r="B439" s="49" t="n"/>
      <c r="C439" s="49" t="n"/>
      <c r="D439" s="49" t="n"/>
      <c r="E439" s="49" t="n"/>
      <c r="F439" s="50" t="n"/>
      <c r="G439" s="49" t="n"/>
      <c r="H439" s="49" t="n"/>
      <c r="I439" s="49" t="n"/>
      <c r="J439" s="49" t="n"/>
      <c r="K439" s="49" t="n"/>
      <c r="L439" s="49" t="n"/>
      <c r="M439" s="49" t="n"/>
      <c r="N439" s="49" t="n"/>
      <c r="O439" s="49" t="n"/>
    </row>
    <row r="440">
      <c r="B440" s="49" t="n"/>
      <c r="C440" s="49" t="n"/>
      <c r="D440" s="49" t="n"/>
      <c r="E440" s="49" t="n"/>
      <c r="F440" s="50" t="n"/>
      <c r="G440" s="49" t="n"/>
      <c r="H440" s="49" t="n"/>
      <c r="I440" s="49" t="n"/>
      <c r="J440" s="49" t="n"/>
      <c r="K440" s="49" t="n"/>
      <c r="L440" s="49" t="n"/>
      <c r="M440" s="49" t="n"/>
      <c r="N440" s="49" t="n"/>
      <c r="O440" s="49" t="n"/>
    </row>
    <row r="441">
      <c r="B441" s="49" t="n"/>
      <c r="C441" s="49" t="n"/>
      <c r="D441" s="49" t="n"/>
      <c r="E441" s="49" t="n"/>
      <c r="F441" s="50" t="n"/>
      <c r="G441" s="49" t="n"/>
      <c r="H441" s="49" t="n"/>
      <c r="I441" s="49" t="n"/>
      <c r="J441" s="49" t="n"/>
      <c r="K441" s="49" t="n"/>
      <c r="L441" s="49" t="n"/>
      <c r="M441" s="49" t="n"/>
      <c r="N441" s="49" t="n"/>
      <c r="O441" s="49" t="n"/>
    </row>
    <row r="442">
      <c r="B442" s="49" t="n"/>
      <c r="C442" s="49" t="n"/>
      <c r="D442" s="49" t="n"/>
      <c r="E442" s="49" t="n"/>
      <c r="F442" s="50" t="n"/>
      <c r="G442" s="49" t="n"/>
      <c r="H442" s="49" t="n"/>
      <c r="I442" s="49" t="n"/>
      <c r="J442" s="49" t="n"/>
      <c r="K442" s="49" t="n"/>
      <c r="L442" s="49" t="n"/>
      <c r="M442" s="49" t="n"/>
      <c r="N442" s="49" t="n"/>
      <c r="O442" s="49" t="n"/>
    </row>
    <row r="443">
      <c r="B443" s="49" t="n"/>
      <c r="C443" s="49" t="n"/>
      <c r="D443" s="49" t="n"/>
      <c r="E443" s="49" t="n"/>
      <c r="F443" s="50" t="n"/>
      <c r="G443" s="49" t="n"/>
      <c r="H443" s="49" t="n"/>
      <c r="I443" s="49" t="n"/>
      <c r="J443" s="49" t="n"/>
      <c r="K443" s="49" t="n"/>
      <c r="L443" s="49" t="n"/>
      <c r="M443" s="49" t="n"/>
      <c r="N443" s="49" t="n"/>
      <c r="O443" s="49" t="n"/>
    </row>
    <row r="444">
      <c r="B444" s="49" t="n"/>
      <c r="C444" s="49" t="n"/>
      <c r="D444" s="49" t="n"/>
      <c r="E444" s="49" t="n"/>
      <c r="F444" s="50" t="n"/>
      <c r="G444" s="49" t="n"/>
      <c r="H444" s="49" t="n"/>
      <c r="I444" s="49" t="n"/>
      <c r="J444" s="49" t="n"/>
      <c r="K444" s="49" t="n"/>
      <c r="L444" s="49" t="n"/>
      <c r="M444" s="49" t="n"/>
      <c r="N444" s="49" t="n"/>
      <c r="O444" s="49" t="n"/>
    </row>
    <row r="445">
      <c r="B445" s="49" t="n"/>
      <c r="C445" s="49" t="n"/>
      <c r="D445" s="49" t="n"/>
      <c r="E445" s="49" t="n"/>
      <c r="F445" s="50" t="n"/>
      <c r="G445" s="49" t="n"/>
      <c r="H445" s="49" t="n"/>
      <c r="I445" s="49" t="n"/>
      <c r="J445" s="49" t="n"/>
      <c r="K445" s="49" t="n"/>
      <c r="L445" s="49" t="n"/>
      <c r="M445" s="49" t="n"/>
      <c r="N445" s="49" t="n"/>
      <c r="O445" s="49" t="n"/>
    </row>
    <row r="446">
      <c r="B446" s="49" t="n"/>
      <c r="C446" s="49" t="n"/>
      <c r="D446" s="49" t="n"/>
      <c r="E446" s="49" t="n"/>
      <c r="F446" s="50" t="n"/>
      <c r="G446" s="49" t="n"/>
      <c r="H446" s="49" t="n"/>
      <c r="I446" s="49" t="n"/>
      <c r="J446" s="49" t="n"/>
      <c r="K446" s="49" t="n"/>
      <c r="L446" s="49" t="n"/>
      <c r="M446" s="49" t="n"/>
      <c r="N446" s="49" t="n"/>
      <c r="O446" s="49" t="n"/>
    </row>
    <row r="447">
      <c r="B447" s="49" t="n"/>
      <c r="C447" s="49" t="n"/>
      <c r="D447" s="49" t="n"/>
      <c r="E447" s="49" t="n"/>
      <c r="F447" s="50" t="n"/>
      <c r="G447" s="49" t="n"/>
      <c r="H447" s="49" t="n"/>
      <c r="I447" s="49" t="n"/>
      <c r="J447" s="49" t="n"/>
      <c r="K447" s="49" t="n"/>
      <c r="L447" s="49" t="n"/>
      <c r="M447" s="49" t="n"/>
      <c r="N447" s="49" t="n"/>
      <c r="O447" s="49" t="n"/>
    </row>
    <row r="448">
      <c r="B448" s="49" t="n"/>
      <c r="C448" s="49" t="n"/>
      <c r="D448" s="49" t="n"/>
      <c r="E448" s="49" t="n"/>
      <c r="F448" s="50" t="n"/>
      <c r="G448" s="49" t="n"/>
      <c r="H448" s="49" t="n"/>
      <c r="I448" s="49" t="n"/>
      <c r="J448" s="49" t="n"/>
      <c r="K448" s="49" t="n"/>
      <c r="L448" s="49" t="n"/>
      <c r="M448" s="49" t="n"/>
      <c r="N448" s="49" t="n"/>
      <c r="O448" s="49" t="n"/>
    </row>
    <row r="449">
      <c r="B449" s="49" t="n"/>
      <c r="C449" s="49" t="n"/>
      <c r="D449" s="49" t="n"/>
      <c r="E449" s="49" t="n"/>
      <c r="F449" s="50" t="n"/>
      <c r="G449" s="49" t="n"/>
      <c r="H449" s="49" t="n"/>
      <c r="I449" s="49" t="n"/>
      <c r="J449" s="49" t="n"/>
      <c r="K449" s="49" t="n"/>
      <c r="L449" s="49" t="n"/>
      <c r="M449" s="49" t="n"/>
      <c r="N449" s="49" t="n"/>
      <c r="O449" s="49" t="n"/>
    </row>
    <row r="450">
      <c r="B450" s="49" t="n"/>
      <c r="C450" s="49" t="n"/>
      <c r="D450" s="49" t="n"/>
      <c r="E450" s="49" t="n"/>
      <c r="F450" s="50" t="n"/>
      <c r="G450" s="49" t="n"/>
      <c r="H450" s="49" t="n"/>
      <c r="I450" s="49" t="n"/>
      <c r="J450" s="49" t="n"/>
      <c r="K450" s="49" t="n"/>
      <c r="L450" s="49" t="n"/>
      <c r="M450" s="49" t="n"/>
      <c r="N450" s="49" t="n"/>
      <c r="O450" s="49" t="n"/>
    </row>
    <row r="451">
      <c r="B451" s="49" t="n"/>
      <c r="C451" s="49" t="n"/>
      <c r="D451" s="49" t="n"/>
      <c r="E451" s="49" t="n"/>
      <c r="F451" s="50" t="n"/>
      <c r="G451" s="49" t="n"/>
      <c r="H451" s="49" t="n"/>
      <c r="I451" s="49" t="n"/>
      <c r="J451" s="49" t="n"/>
      <c r="K451" s="49" t="n"/>
      <c r="L451" s="49" t="n"/>
      <c r="M451" s="49" t="n"/>
      <c r="N451" s="49" t="n"/>
      <c r="O451" s="49" t="n"/>
    </row>
    <row r="452">
      <c r="B452" s="49" t="n"/>
      <c r="C452" s="49" t="n"/>
      <c r="D452" s="49" t="n"/>
      <c r="E452" s="49" t="n"/>
      <c r="F452" s="50" t="n"/>
      <c r="G452" s="49" t="n"/>
      <c r="H452" s="49" t="n"/>
      <c r="I452" s="49" t="n"/>
      <c r="J452" s="49" t="n"/>
      <c r="K452" s="49" t="n"/>
      <c r="L452" s="49" t="n"/>
      <c r="M452" s="49" t="n"/>
      <c r="N452" s="49" t="n"/>
      <c r="O452" s="49" t="n"/>
    </row>
    <row r="453">
      <c r="B453" s="49" t="n"/>
      <c r="C453" s="49" t="n"/>
      <c r="D453" s="49" t="n"/>
      <c r="E453" s="49" t="n"/>
      <c r="F453" s="50" t="n"/>
      <c r="G453" s="49" t="n"/>
      <c r="H453" s="49" t="n"/>
      <c r="I453" s="49" t="n"/>
      <c r="J453" s="49" t="n"/>
      <c r="K453" s="49" t="n"/>
      <c r="L453" s="49" t="n"/>
      <c r="M453" s="49" t="n"/>
      <c r="N453" s="49" t="n"/>
      <c r="O453" s="49" t="n"/>
    </row>
    <row r="454">
      <c r="B454" s="49" t="n"/>
      <c r="C454" s="49" t="n"/>
      <c r="D454" s="49" t="n"/>
      <c r="E454" s="49" t="n"/>
      <c r="F454" s="50" t="n"/>
      <c r="G454" s="49" t="n"/>
      <c r="H454" s="49" t="n"/>
      <c r="I454" s="49" t="n"/>
      <c r="J454" s="49" t="n"/>
      <c r="K454" s="49" t="n"/>
      <c r="L454" s="49" t="n"/>
      <c r="M454" s="49" t="n"/>
      <c r="N454" s="49" t="n"/>
      <c r="O454" s="49" t="n"/>
    </row>
    <row r="455">
      <c r="B455" s="49" t="n"/>
      <c r="C455" s="49" t="n"/>
      <c r="D455" s="49" t="n"/>
      <c r="E455" s="49" t="n"/>
      <c r="F455" s="50" t="n"/>
      <c r="G455" s="49" t="n"/>
      <c r="H455" s="49" t="n"/>
      <c r="I455" s="49" t="n"/>
      <c r="J455" s="49" t="n"/>
      <c r="K455" s="49" t="n"/>
      <c r="L455" s="49" t="n"/>
      <c r="M455" s="49" t="n"/>
      <c r="N455" s="49" t="n"/>
      <c r="O455" s="49" t="n"/>
    </row>
    <row r="456">
      <c r="B456" s="49" t="n"/>
      <c r="C456" s="49" t="n"/>
      <c r="D456" s="49" t="n"/>
      <c r="E456" s="49" t="n"/>
      <c r="F456" s="50" t="n"/>
      <c r="G456" s="49" t="n"/>
      <c r="H456" s="49" t="n"/>
      <c r="I456" s="49" t="n"/>
      <c r="J456" s="49" t="n"/>
      <c r="K456" s="49" t="n"/>
      <c r="L456" s="49" t="n"/>
      <c r="M456" s="49" t="n"/>
      <c r="N456" s="49" t="n"/>
      <c r="O456" s="49" t="n"/>
    </row>
    <row r="457">
      <c r="B457" s="49" t="n"/>
      <c r="C457" s="49" t="n"/>
      <c r="D457" s="49" t="n"/>
      <c r="E457" s="49" t="n"/>
      <c r="F457" s="50" t="n"/>
      <c r="G457" s="49" t="n"/>
      <c r="H457" s="49" t="n"/>
      <c r="I457" s="49" t="n"/>
      <c r="J457" s="49" t="n"/>
      <c r="K457" s="49" t="n"/>
      <c r="L457" s="49" t="n"/>
      <c r="M457" s="49" t="n"/>
      <c r="N457" s="49" t="n"/>
      <c r="O457" s="49" t="n"/>
    </row>
    <row r="458">
      <c r="B458" s="49" t="n"/>
      <c r="C458" s="49" t="n"/>
      <c r="D458" s="49" t="n"/>
      <c r="E458" s="49" t="n"/>
      <c r="F458" s="50" t="n"/>
      <c r="G458" s="49" t="n"/>
      <c r="H458" s="49" t="n"/>
      <c r="I458" s="49" t="n"/>
      <c r="J458" s="49" t="n"/>
      <c r="K458" s="49" t="n"/>
      <c r="L458" s="49" t="n"/>
      <c r="M458" s="49" t="n"/>
      <c r="N458" s="49" t="n"/>
      <c r="O458" s="49" t="n"/>
    </row>
    <row r="459">
      <c r="B459" s="49" t="n"/>
      <c r="C459" s="49" t="n"/>
      <c r="D459" s="49" t="n"/>
      <c r="E459" s="49" t="n"/>
      <c r="F459" s="50" t="n"/>
      <c r="G459" s="49" t="n"/>
      <c r="H459" s="49" t="n"/>
      <c r="I459" s="49" t="n"/>
      <c r="J459" s="49" t="n"/>
      <c r="K459" s="49" t="n"/>
      <c r="L459" s="49" t="n"/>
      <c r="M459" s="49" t="n"/>
      <c r="N459" s="49" t="n"/>
      <c r="O459" s="49" t="n"/>
    </row>
    <row r="460">
      <c r="B460" s="49" t="n"/>
      <c r="C460" s="49" t="n"/>
      <c r="D460" s="49" t="n"/>
      <c r="E460" s="49" t="n"/>
      <c r="F460" s="50" t="n"/>
      <c r="G460" s="49" t="n"/>
      <c r="H460" s="49" t="n"/>
      <c r="I460" s="49" t="n"/>
      <c r="J460" s="49" t="n"/>
      <c r="K460" s="49" t="n"/>
      <c r="L460" s="49" t="n"/>
      <c r="M460" s="49" t="n"/>
      <c r="N460" s="49" t="n"/>
      <c r="O460" s="49" t="n"/>
    </row>
    <row r="461">
      <c r="B461" s="49" t="n"/>
      <c r="C461" s="49" t="n"/>
      <c r="D461" s="49" t="n"/>
      <c r="E461" s="49" t="n"/>
      <c r="F461" s="50" t="n"/>
      <c r="G461" s="49" t="n"/>
      <c r="H461" s="49" t="n"/>
      <c r="I461" s="49" t="n"/>
      <c r="J461" s="49" t="n"/>
      <c r="K461" s="49" t="n"/>
      <c r="L461" s="49" t="n"/>
      <c r="M461" s="49" t="n"/>
      <c r="N461" s="49" t="n"/>
      <c r="O461" s="49" t="n"/>
    </row>
    <row r="462">
      <c r="B462" s="49" t="n"/>
      <c r="C462" s="49" t="n"/>
      <c r="D462" s="49" t="n"/>
      <c r="E462" s="49" t="n"/>
      <c r="F462" s="50" t="n"/>
      <c r="G462" s="49" t="n"/>
      <c r="H462" s="49" t="n"/>
      <c r="I462" s="49" t="n"/>
      <c r="J462" s="49" t="n"/>
      <c r="K462" s="49" t="n"/>
      <c r="L462" s="49" t="n"/>
      <c r="M462" s="49" t="n"/>
      <c r="N462" s="49" t="n"/>
      <c r="O462" s="49" t="n"/>
    </row>
    <row r="463">
      <c r="B463" s="49" t="n"/>
      <c r="C463" s="49" t="n"/>
      <c r="D463" s="49" t="n"/>
      <c r="E463" s="49" t="n"/>
      <c r="F463" s="50" t="n"/>
      <c r="G463" s="49" t="n"/>
      <c r="H463" s="49" t="n"/>
      <c r="I463" s="49" t="n"/>
      <c r="J463" s="49" t="n"/>
      <c r="K463" s="49" t="n"/>
      <c r="L463" s="49" t="n"/>
      <c r="M463" s="49" t="n"/>
      <c r="N463" s="49" t="n"/>
      <c r="O463" s="49" t="n"/>
    </row>
    <row r="464">
      <c r="B464" s="49" t="n"/>
      <c r="C464" s="49" t="n"/>
      <c r="D464" s="49" t="n"/>
      <c r="E464" s="49" t="n"/>
      <c r="F464" s="50" t="n"/>
      <c r="G464" s="49" t="n"/>
      <c r="H464" s="49" t="n"/>
      <c r="I464" s="49" t="n"/>
      <c r="J464" s="49" t="n"/>
      <c r="K464" s="49" t="n"/>
      <c r="L464" s="49" t="n"/>
      <c r="M464" s="49" t="n"/>
      <c r="N464" s="49" t="n"/>
      <c r="O464" s="49" t="n"/>
    </row>
    <row r="465">
      <c r="B465" s="49" t="n"/>
      <c r="C465" s="49" t="n"/>
      <c r="D465" s="49" t="n"/>
      <c r="E465" s="49" t="n"/>
      <c r="F465" s="50" t="n"/>
      <c r="G465" s="49" t="n"/>
      <c r="H465" s="49" t="n"/>
      <c r="I465" s="49" t="n"/>
      <c r="J465" s="49" t="n"/>
      <c r="K465" s="49" t="n"/>
      <c r="L465" s="49" t="n"/>
      <c r="M465" s="49" t="n"/>
      <c r="N465" s="49" t="n"/>
      <c r="O465" s="49" t="n"/>
    </row>
    <row r="466">
      <c r="B466" s="49" t="n"/>
      <c r="C466" s="49" t="n"/>
      <c r="D466" s="49" t="n"/>
      <c r="E466" s="49" t="n"/>
      <c r="F466" s="50" t="n"/>
      <c r="G466" s="49" t="n"/>
      <c r="H466" s="49" t="n"/>
      <c r="I466" s="49" t="n"/>
      <c r="J466" s="49" t="n"/>
      <c r="K466" s="49" t="n"/>
      <c r="L466" s="49" t="n"/>
      <c r="M466" s="49" t="n"/>
      <c r="N466" s="49" t="n"/>
      <c r="O466" s="49" t="n"/>
    </row>
    <row r="467">
      <c r="B467" s="49" t="n"/>
      <c r="C467" s="49" t="n"/>
      <c r="D467" s="49" t="n"/>
      <c r="E467" s="49" t="n"/>
      <c r="F467" s="50" t="n"/>
      <c r="G467" s="49" t="n"/>
      <c r="H467" s="49" t="n"/>
      <c r="I467" s="49" t="n"/>
      <c r="J467" s="49" t="n"/>
      <c r="K467" s="49" t="n"/>
      <c r="L467" s="49" t="n"/>
      <c r="M467" s="49" t="n"/>
      <c r="N467" s="49" t="n"/>
      <c r="O467" s="49" t="n"/>
    </row>
    <row r="468">
      <c r="B468" s="49" t="n"/>
      <c r="C468" s="49" t="n"/>
      <c r="D468" s="49" t="n"/>
      <c r="E468" s="49" t="n"/>
      <c r="F468" s="50" t="n"/>
      <c r="G468" s="49" t="n"/>
      <c r="H468" s="49" t="n"/>
      <c r="I468" s="49" t="n"/>
      <c r="J468" s="49" t="n"/>
      <c r="K468" s="49" t="n"/>
      <c r="L468" s="49" t="n"/>
      <c r="M468" s="49" t="n"/>
      <c r="N468" s="49" t="n"/>
      <c r="O468" s="49" t="n"/>
    </row>
    <row r="469">
      <c r="B469" s="49" t="n"/>
      <c r="C469" s="49" t="n"/>
      <c r="D469" s="49" t="n"/>
      <c r="E469" s="49" t="n"/>
      <c r="F469" s="50" t="n"/>
      <c r="G469" s="49" t="n"/>
      <c r="H469" s="49" t="n"/>
      <c r="I469" s="49" t="n"/>
      <c r="J469" s="49" t="n"/>
      <c r="K469" s="49" t="n"/>
      <c r="L469" s="49" t="n"/>
      <c r="M469" s="49" t="n"/>
      <c r="N469" s="49" t="n"/>
      <c r="O469" s="49" t="n"/>
    </row>
    <row r="470">
      <c r="B470" s="49" t="n"/>
      <c r="C470" s="49" t="n"/>
      <c r="D470" s="49" t="n"/>
      <c r="E470" s="49" t="n"/>
      <c r="F470" s="50" t="n"/>
      <c r="G470" s="49" t="n"/>
      <c r="H470" s="49" t="n"/>
      <c r="I470" s="49" t="n"/>
      <c r="J470" s="49" t="n"/>
      <c r="K470" s="49" t="n"/>
      <c r="L470" s="49" t="n"/>
      <c r="M470" s="49" t="n"/>
      <c r="N470" s="49" t="n"/>
      <c r="O470" s="49" t="n"/>
    </row>
    <row r="471">
      <c r="B471" s="49" t="n"/>
      <c r="C471" s="49" t="n"/>
      <c r="D471" s="49" t="n"/>
      <c r="E471" s="49" t="n"/>
      <c r="F471" s="50" t="n"/>
      <c r="G471" s="49" t="n"/>
      <c r="H471" s="49" t="n"/>
      <c r="I471" s="49" t="n"/>
      <c r="J471" s="49" t="n"/>
      <c r="K471" s="49" t="n"/>
      <c r="L471" s="49" t="n"/>
      <c r="M471" s="49" t="n"/>
      <c r="N471" s="49" t="n"/>
      <c r="O471" s="49" t="n"/>
    </row>
    <row r="472">
      <c r="B472" s="49" t="n"/>
      <c r="C472" s="49" t="n"/>
      <c r="D472" s="49" t="n"/>
      <c r="E472" s="49" t="n"/>
      <c r="F472" s="50" t="n"/>
      <c r="G472" s="49" t="n"/>
      <c r="H472" s="49" t="n"/>
      <c r="I472" s="49" t="n"/>
      <c r="J472" s="49" t="n"/>
      <c r="K472" s="49" t="n"/>
      <c r="L472" s="49" t="n"/>
      <c r="M472" s="49" t="n"/>
      <c r="N472" s="49" t="n"/>
      <c r="O472" s="49" t="n"/>
    </row>
    <row r="473">
      <c r="B473" s="49" t="n"/>
      <c r="C473" s="49" t="n"/>
      <c r="D473" s="49" t="n"/>
      <c r="E473" s="49" t="n"/>
      <c r="F473" s="50" t="n"/>
      <c r="G473" s="49" t="n"/>
      <c r="H473" s="49" t="n"/>
      <c r="I473" s="49" t="n"/>
      <c r="J473" s="49" t="n"/>
      <c r="K473" s="49" t="n"/>
      <c r="L473" s="49" t="n"/>
      <c r="M473" s="49" t="n"/>
      <c r="N473" s="49" t="n"/>
      <c r="O473" s="49" t="n"/>
    </row>
    <row r="474">
      <c r="B474" s="49" t="n"/>
      <c r="C474" s="49" t="n"/>
      <c r="D474" s="49" t="n"/>
      <c r="E474" s="49" t="n"/>
      <c r="F474" s="50" t="n"/>
      <c r="G474" s="49" t="n"/>
      <c r="H474" s="49" t="n"/>
      <c r="I474" s="49" t="n"/>
      <c r="J474" s="49" t="n"/>
      <c r="K474" s="49" t="n"/>
      <c r="L474" s="49" t="n"/>
      <c r="M474" s="49" t="n"/>
      <c r="N474" s="49" t="n"/>
      <c r="O474" s="49" t="n"/>
    </row>
    <row r="475">
      <c r="B475" s="49" t="n"/>
      <c r="C475" s="49" t="n"/>
      <c r="D475" s="49" t="n"/>
      <c r="E475" s="49" t="n"/>
      <c r="F475" s="50" t="n"/>
      <c r="G475" s="49" t="n"/>
      <c r="H475" s="49" t="n"/>
      <c r="I475" s="49" t="n"/>
      <c r="J475" s="49" t="n"/>
      <c r="K475" s="49" t="n"/>
      <c r="L475" s="49" t="n"/>
      <c r="M475" s="49" t="n"/>
      <c r="N475" s="49" t="n"/>
      <c r="O475" s="49" t="n"/>
    </row>
    <row r="476">
      <c r="B476" s="49" t="n"/>
      <c r="C476" s="49" t="n"/>
      <c r="D476" s="49" t="n"/>
      <c r="E476" s="49" t="n"/>
      <c r="F476" s="50" t="n"/>
      <c r="G476" s="49" t="n"/>
      <c r="H476" s="49" t="n"/>
      <c r="I476" s="49" t="n"/>
      <c r="J476" s="49" t="n"/>
      <c r="K476" s="49" t="n"/>
      <c r="L476" s="49" t="n"/>
      <c r="M476" s="49" t="n"/>
      <c r="N476" s="49" t="n"/>
      <c r="O476" s="49" t="n"/>
    </row>
    <row r="477">
      <c r="B477" s="49" t="n"/>
      <c r="C477" s="49" t="n"/>
      <c r="D477" s="49" t="n"/>
      <c r="E477" s="49" t="n"/>
      <c r="F477" s="50" t="n"/>
      <c r="G477" s="49" t="n"/>
      <c r="H477" s="49" t="n"/>
      <c r="I477" s="49" t="n"/>
      <c r="J477" s="49" t="n"/>
      <c r="K477" s="49" t="n"/>
      <c r="L477" s="49" t="n"/>
      <c r="M477" s="49" t="n"/>
      <c r="N477" s="49" t="n"/>
      <c r="O477" s="49" t="n"/>
    </row>
    <row r="478">
      <c r="B478" s="49" t="n"/>
      <c r="C478" s="49" t="n"/>
      <c r="D478" s="49" t="n"/>
      <c r="E478" s="49" t="n"/>
      <c r="F478" s="50" t="n"/>
      <c r="G478" s="49" t="n"/>
      <c r="H478" s="49" t="n"/>
      <c r="I478" s="49" t="n"/>
      <c r="J478" s="49" t="n"/>
      <c r="K478" s="49" t="n"/>
      <c r="L478" s="49" t="n"/>
      <c r="M478" s="49" t="n"/>
      <c r="N478" s="49" t="n"/>
      <c r="O478" s="49" t="n"/>
    </row>
    <row r="479">
      <c r="B479" s="49" t="n"/>
      <c r="C479" s="49" t="n"/>
      <c r="D479" s="49" t="n"/>
      <c r="E479" s="49" t="n"/>
      <c r="F479" s="50" t="n"/>
      <c r="G479" s="49" t="n"/>
      <c r="H479" s="49" t="n"/>
      <c r="I479" s="49" t="n"/>
      <c r="J479" s="49" t="n"/>
      <c r="K479" s="49" t="n"/>
      <c r="L479" s="49" t="n"/>
      <c r="M479" s="49" t="n"/>
      <c r="N479" s="49" t="n"/>
      <c r="O479" s="49" t="n"/>
    </row>
    <row r="480">
      <c r="B480" s="49" t="n"/>
      <c r="C480" s="49" t="n"/>
      <c r="D480" s="49" t="n"/>
      <c r="E480" s="49" t="n"/>
      <c r="F480" s="50" t="n"/>
      <c r="G480" s="49" t="n"/>
      <c r="H480" s="49" t="n"/>
      <c r="I480" s="49" t="n"/>
      <c r="J480" s="49" t="n"/>
      <c r="K480" s="49" t="n"/>
      <c r="L480" s="49" t="n"/>
      <c r="M480" s="49" t="n"/>
      <c r="N480" s="49" t="n"/>
      <c r="O480" s="49" t="n"/>
    </row>
    <row r="481">
      <c r="B481" s="49" t="n"/>
      <c r="C481" s="49" t="n"/>
      <c r="D481" s="49" t="n"/>
      <c r="E481" s="49" t="n"/>
      <c r="F481" s="50" t="n"/>
      <c r="G481" s="49" t="n"/>
      <c r="H481" s="49" t="n"/>
      <c r="I481" s="49" t="n"/>
      <c r="J481" s="49" t="n"/>
      <c r="K481" s="49" t="n"/>
      <c r="L481" s="49" t="n"/>
      <c r="M481" s="49" t="n"/>
      <c r="N481" s="49" t="n"/>
      <c r="O481" s="49" t="n"/>
    </row>
    <row r="482">
      <c r="B482" s="49" t="n"/>
      <c r="C482" s="49" t="n"/>
      <c r="D482" s="49" t="n"/>
      <c r="E482" s="49" t="n"/>
      <c r="F482" s="50" t="n"/>
      <c r="G482" s="49" t="n"/>
      <c r="H482" s="49" t="n"/>
      <c r="I482" s="49" t="n"/>
      <c r="J482" s="49" t="n"/>
      <c r="K482" s="49" t="n"/>
      <c r="L482" s="49" t="n"/>
      <c r="M482" s="49" t="n"/>
      <c r="N482" s="49" t="n"/>
      <c r="O482" s="49" t="n"/>
    </row>
    <row r="483">
      <c r="B483" s="49" t="n"/>
      <c r="C483" s="49" t="n"/>
      <c r="D483" s="49" t="n"/>
      <c r="E483" s="49" t="n"/>
      <c r="F483" s="50" t="n"/>
      <c r="G483" s="49" t="n"/>
      <c r="H483" s="49" t="n"/>
      <c r="I483" s="49" t="n"/>
      <c r="J483" s="49" t="n"/>
      <c r="K483" s="49" t="n"/>
      <c r="L483" s="49" t="n"/>
      <c r="M483" s="49" t="n"/>
      <c r="N483" s="49" t="n"/>
      <c r="O483" s="49" t="n"/>
    </row>
    <row r="484">
      <c r="B484" s="49" t="n"/>
      <c r="C484" s="49" t="n"/>
      <c r="D484" s="49" t="n"/>
      <c r="E484" s="49" t="n"/>
      <c r="F484" s="50" t="n"/>
      <c r="G484" s="49" t="n"/>
      <c r="H484" s="49" t="n"/>
      <c r="I484" s="49" t="n"/>
      <c r="J484" s="49" t="n"/>
      <c r="K484" s="49" t="n"/>
      <c r="L484" s="49" t="n"/>
      <c r="M484" s="49" t="n"/>
      <c r="N484" s="49" t="n"/>
      <c r="O484" s="49" t="n"/>
    </row>
    <row r="485">
      <c r="B485" s="49" t="n"/>
      <c r="C485" s="49" t="n"/>
      <c r="D485" s="49" t="n"/>
      <c r="E485" s="49" t="n"/>
      <c r="F485" s="50" t="n"/>
      <c r="G485" s="49" t="n"/>
      <c r="H485" s="49" t="n"/>
      <c r="I485" s="49" t="n"/>
      <c r="J485" s="49" t="n"/>
      <c r="K485" s="49" t="n"/>
      <c r="L485" s="49" t="n"/>
      <c r="M485" s="49" t="n"/>
      <c r="N485" s="49" t="n"/>
      <c r="O485" s="49" t="n"/>
    </row>
    <row r="486">
      <c r="B486" s="49" t="n"/>
      <c r="C486" s="49" t="n"/>
      <c r="D486" s="49" t="n"/>
      <c r="E486" s="49" t="n"/>
      <c r="F486" s="50" t="n"/>
      <c r="G486" s="49" t="n"/>
      <c r="H486" s="49" t="n"/>
      <c r="I486" s="49" t="n"/>
      <c r="J486" s="49" t="n"/>
      <c r="K486" s="49" t="n"/>
      <c r="L486" s="49" t="n"/>
      <c r="M486" s="49" t="n"/>
      <c r="N486" s="49" t="n"/>
      <c r="O486" s="49" t="n"/>
    </row>
    <row r="487">
      <c r="B487" s="49" t="n"/>
      <c r="C487" s="49" t="n"/>
      <c r="D487" s="49" t="n"/>
      <c r="E487" s="49" t="n"/>
      <c r="F487" s="50" t="n"/>
      <c r="G487" s="49" t="n"/>
      <c r="H487" s="49" t="n"/>
      <c r="I487" s="49" t="n"/>
      <c r="J487" s="49" t="n"/>
      <c r="K487" s="49" t="n"/>
      <c r="L487" s="49" t="n"/>
      <c r="M487" s="49" t="n"/>
      <c r="N487" s="49" t="n"/>
      <c r="O487" s="49" t="n"/>
    </row>
    <row r="488">
      <c r="B488" s="49" t="n"/>
      <c r="C488" s="49" t="n"/>
      <c r="D488" s="49" t="n"/>
      <c r="E488" s="49" t="n"/>
      <c r="F488" s="50" t="n"/>
      <c r="G488" s="49" t="n"/>
      <c r="H488" s="49" t="n"/>
      <c r="I488" s="49" t="n"/>
      <c r="J488" s="49" t="n"/>
      <c r="K488" s="49" t="n"/>
      <c r="L488" s="49" t="n"/>
      <c r="M488" s="49" t="n"/>
      <c r="N488" s="49" t="n"/>
      <c r="O488" s="49" t="n"/>
    </row>
    <row r="489">
      <c r="B489" s="49" t="n"/>
      <c r="C489" s="49" t="n"/>
      <c r="D489" s="49" t="n"/>
      <c r="E489" s="49" t="n"/>
      <c r="F489" s="50" t="n"/>
      <c r="G489" s="49" t="n"/>
      <c r="H489" s="49" t="n"/>
      <c r="I489" s="49" t="n"/>
      <c r="J489" s="49" t="n"/>
      <c r="K489" s="49" t="n"/>
      <c r="L489" s="49" t="n"/>
      <c r="M489" s="49" t="n"/>
      <c r="N489" s="49" t="n"/>
      <c r="O489" s="49" t="n"/>
    </row>
    <row r="490">
      <c r="B490" s="49" t="n"/>
      <c r="C490" s="49" t="n"/>
      <c r="D490" s="49" t="n"/>
      <c r="E490" s="49" t="n"/>
      <c r="F490" s="50" t="n"/>
      <c r="G490" s="49" t="n"/>
      <c r="H490" s="49" t="n"/>
      <c r="I490" s="49" t="n"/>
      <c r="J490" s="49" t="n"/>
      <c r="K490" s="49" t="n"/>
      <c r="L490" s="49" t="n"/>
      <c r="M490" s="49" t="n"/>
      <c r="N490" s="49" t="n"/>
      <c r="O490" s="49" t="n"/>
    </row>
    <row r="491">
      <c r="B491" s="49" t="n"/>
      <c r="C491" s="49" t="n"/>
      <c r="D491" s="49" t="n"/>
      <c r="E491" s="49" t="n"/>
      <c r="F491" s="50" t="n"/>
      <c r="G491" s="49" t="n"/>
      <c r="H491" s="49" t="n"/>
      <c r="I491" s="49" t="n"/>
      <c r="J491" s="49" t="n"/>
      <c r="K491" s="49" t="n"/>
      <c r="L491" s="49" t="n"/>
      <c r="M491" s="49" t="n"/>
      <c r="N491" s="49" t="n"/>
      <c r="O491" s="49" t="n"/>
    </row>
    <row r="492">
      <c r="B492" s="49" t="n"/>
      <c r="C492" s="49" t="n"/>
      <c r="D492" s="49" t="n"/>
      <c r="E492" s="49" t="n"/>
      <c r="F492" s="50" t="n"/>
      <c r="G492" s="49" t="n"/>
      <c r="H492" s="49" t="n"/>
      <c r="I492" s="49" t="n"/>
      <c r="J492" s="49" t="n"/>
      <c r="K492" s="49" t="n"/>
      <c r="L492" s="49" t="n"/>
      <c r="M492" s="49" t="n"/>
      <c r="N492" s="49" t="n"/>
      <c r="O492" s="49" t="n"/>
    </row>
    <row r="493">
      <c r="B493" s="49" t="n"/>
      <c r="C493" s="49" t="n"/>
      <c r="D493" s="49" t="n"/>
      <c r="E493" s="49" t="n"/>
      <c r="F493" s="50" t="n"/>
      <c r="G493" s="49" t="n"/>
      <c r="H493" s="49" t="n"/>
      <c r="I493" s="49" t="n"/>
      <c r="J493" s="49" t="n"/>
      <c r="K493" s="49" t="n"/>
      <c r="L493" s="49" t="n"/>
      <c r="M493" s="49" t="n"/>
      <c r="N493" s="49" t="n"/>
      <c r="O493" s="49" t="n"/>
    </row>
    <row r="494">
      <c r="B494" s="49" t="n"/>
      <c r="C494" s="49" t="n"/>
      <c r="D494" s="49" t="n"/>
      <c r="E494" s="49" t="n"/>
      <c r="F494" s="50" t="n"/>
      <c r="G494" s="49" t="n"/>
      <c r="H494" s="49" t="n"/>
      <c r="I494" s="49" t="n"/>
      <c r="J494" s="49" t="n"/>
      <c r="K494" s="49" t="n"/>
      <c r="L494" s="49" t="n"/>
      <c r="M494" s="49" t="n"/>
      <c r="N494" s="49" t="n"/>
      <c r="O494" s="49" t="n"/>
    </row>
    <row r="495">
      <c r="B495" s="49" t="n"/>
      <c r="C495" s="49" t="n"/>
      <c r="D495" s="49" t="n"/>
      <c r="E495" s="49" t="n"/>
      <c r="F495" s="50" t="n"/>
      <c r="G495" s="49" t="n"/>
      <c r="H495" s="49" t="n"/>
      <c r="I495" s="49" t="n"/>
      <c r="J495" s="49" t="n"/>
      <c r="K495" s="49" t="n"/>
      <c r="L495" s="49" t="n"/>
      <c r="M495" s="49" t="n"/>
      <c r="N495" s="49" t="n"/>
      <c r="O495" s="49" t="n"/>
    </row>
    <row r="496">
      <c r="B496" s="49" t="n"/>
      <c r="C496" s="49" t="n"/>
      <c r="D496" s="49" t="n"/>
      <c r="E496" s="49" t="n"/>
      <c r="F496" s="50" t="n"/>
      <c r="G496" s="49" t="n"/>
      <c r="H496" s="49" t="n"/>
      <c r="I496" s="49" t="n"/>
      <c r="J496" s="49" t="n"/>
      <c r="K496" s="49" t="n"/>
      <c r="L496" s="49" t="n"/>
      <c r="M496" s="49" t="n"/>
      <c r="N496" s="49" t="n"/>
      <c r="O496" s="49" t="n"/>
    </row>
    <row r="497">
      <c r="B497" s="49" t="n"/>
      <c r="C497" s="49" t="n"/>
      <c r="D497" s="49" t="n"/>
      <c r="E497" s="49" t="n"/>
      <c r="F497" s="50" t="n"/>
      <c r="G497" s="49" t="n"/>
      <c r="H497" s="49" t="n"/>
      <c r="I497" s="49" t="n"/>
      <c r="J497" s="49" t="n"/>
      <c r="K497" s="49" t="n"/>
      <c r="L497" s="49" t="n"/>
      <c r="M497" s="49" t="n"/>
      <c r="N497" s="49" t="n"/>
      <c r="O497" s="49" t="n"/>
    </row>
    <row r="498">
      <c r="B498" s="49" t="n"/>
      <c r="C498" s="49" t="n"/>
      <c r="D498" s="49" t="n"/>
      <c r="E498" s="49" t="n"/>
      <c r="F498" s="50" t="n"/>
      <c r="G498" s="49" t="n"/>
      <c r="H498" s="49" t="n"/>
      <c r="I498" s="49" t="n"/>
      <c r="J498" s="49" t="n"/>
      <c r="K498" s="49" t="n"/>
      <c r="L498" s="49" t="n"/>
      <c r="M498" s="49" t="n"/>
      <c r="N498" s="49" t="n"/>
      <c r="O498" s="49" t="n"/>
    </row>
    <row r="499">
      <c r="B499" s="49" t="n"/>
      <c r="C499" s="49" t="n"/>
      <c r="D499" s="49" t="n"/>
      <c r="E499" s="49" t="n"/>
      <c r="F499" s="50" t="n"/>
      <c r="G499" s="49" t="n"/>
      <c r="H499" s="49" t="n"/>
      <c r="I499" s="49" t="n"/>
      <c r="J499" s="49" t="n"/>
      <c r="K499" s="49" t="n"/>
      <c r="L499" s="49" t="n"/>
      <c r="M499" s="49" t="n"/>
      <c r="N499" s="49" t="n"/>
      <c r="O499" s="49" t="n"/>
    </row>
    <row r="500">
      <c r="B500" s="49" t="n"/>
      <c r="C500" s="49" t="n"/>
      <c r="D500" s="49" t="n"/>
      <c r="E500" s="49" t="n"/>
      <c r="F500" s="50" t="n"/>
      <c r="G500" s="49" t="n"/>
      <c r="H500" s="49" t="n"/>
      <c r="I500" s="49" t="n"/>
      <c r="J500" s="49" t="n"/>
      <c r="K500" s="49" t="n"/>
      <c r="L500" s="49" t="n"/>
      <c r="M500" s="49" t="n"/>
      <c r="N500" s="49" t="n"/>
      <c r="O500" s="49" t="n"/>
    </row>
    <row r="501">
      <c r="B501" s="49" t="n"/>
      <c r="C501" s="49" t="n"/>
      <c r="D501" s="49" t="n"/>
      <c r="E501" s="49" t="n"/>
      <c r="F501" s="50" t="n"/>
      <c r="G501" s="49" t="n"/>
      <c r="H501" s="49" t="n"/>
      <c r="I501" s="49" t="n"/>
      <c r="J501" s="49" t="n"/>
      <c r="K501" s="49" t="n"/>
      <c r="L501" s="49" t="n"/>
      <c r="M501" s="49" t="n"/>
      <c r="N501" s="49" t="n"/>
      <c r="O501" s="49" t="n"/>
    </row>
    <row r="502">
      <c r="B502" s="49" t="n"/>
      <c r="C502" s="49" t="n"/>
      <c r="D502" s="49" t="n"/>
      <c r="E502" s="49" t="n"/>
      <c r="F502" s="50" t="n"/>
      <c r="G502" s="49" t="n"/>
      <c r="H502" s="49" t="n"/>
      <c r="I502" s="49" t="n"/>
      <c r="J502" s="49" t="n"/>
      <c r="K502" s="49" t="n"/>
      <c r="L502" s="49" t="n"/>
      <c r="M502" s="49" t="n"/>
      <c r="N502" s="49" t="n"/>
      <c r="O502" s="49" t="n"/>
    </row>
    <row r="503">
      <c r="B503" s="49" t="n"/>
      <c r="C503" s="49" t="n"/>
      <c r="D503" s="49" t="n"/>
      <c r="E503" s="49" t="n"/>
      <c r="F503" s="50" t="n"/>
      <c r="G503" s="49" t="n"/>
      <c r="H503" s="49" t="n"/>
      <c r="I503" s="49" t="n"/>
      <c r="J503" s="49" t="n"/>
      <c r="K503" s="49" t="n"/>
      <c r="L503" s="49" t="n"/>
      <c r="M503" s="49" t="n"/>
      <c r="N503" s="49" t="n"/>
      <c r="O503" s="49" t="n"/>
    </row>
    <row r="504">
      <c r="B504" s="49" t="n"/>
      <c r="C504" s="49" t="n"/>
      <c r="D504" s="49" t="n"/>
      <c r="E504" s="49" t="n"/>
      <c r="F504" s="50" t="n"/>
      <c r="G504" s="49" t="n"/>
      <c r="H504" s="49" t="n"/>
      <c r="I504" s="49" t="n"/>
      <c r="J504" s="49" t="n"/>
      <c r="K504" s="49" t="n"/>
      <c r="L504" s="49" t="n"/>
      <c r="M504" s="49" t="n"/>
      <c r="N504" s="49" t="n"/>
      <c r="O504" s="49" t="n"/>
    </row>
    <row r="505">
      <c r="B505" s="49" t="n"/>
      <c r="C505" s="49" t="n"/>
      <c r="D505" s="49" t="n"/>
      <c r="E505" s="49" t="n"/>
      <c r="F505" s="50" t="n"/>
      <c r="G505" s="49" t="n"/>
      <c r="H505" s="49" t="n"/>
      <c r="I505" s="49" t="n"/>
      <c r="J505" s="49" t="n"/>
      <c r="K505" s="49" t="n"/>
      <c r="L505" s="49" t="n"/>
      <c r="M505" s="49" t="n"/>
      <c r="N505" s="49" t="n"/>
      <c r="O505" s="49" t="n"/>
    </row>
    <row r="506">
      <c r="B506" s="49" t="n"/>
      <c r="C506" s="49" t="n"/>
      <c r="D506" s="49" t="n"/>
      <c r="E506" s="49" t="n"/>
      <c r="F506" s="50" t="n"/>
      <c r="G506" s="49" t="n"/>
      <c r="H506" s="49" t="n"/>
      <c r="I506" s="49" t="n"/>
      <c r="J506" s="49" t="n"/>
      <c r="K506" s="49" t="n"/>
      <c r="L506" s="49" t="n"/>
      <c r="M506" s="49" t="n"/>
      <c r="N506" s="49" t="n"/>
      <c r="O506" s="49" t="n"/>
    </row>
    <row r="507">
      <c r="B507" s="49" t="n"/>
      <c r="C507" s="49" t="n"/>
      <c r="D507" s="49" t="n"/>
      <c r="E507" s="49" t="n"/>
      <c r="F507" s="50" t="n"/>
      <c r="G507" s="49" t="n"/>
      <c r="H507" s="49" t="n"/>
      <c r="I507" s="49" t="n"/>
      <c r="J507" s="49" t="n"/>
      <c r="K507" s="49" t="n"/>
      <c r="L507" s="49" t="n"/>
      <c r="M507" s="49" t="n"/>
      <c r="N507" s="49" t="n"/>
      <c r="O507" s="49" t="n"/>
    </row>
    <row r="508">
      <c r="B508" s="49" t="n"/>
      <c r="C508" s="49" t="n"/>
      <c r="D508" s="49" t="n"/>
      <c r="E508" s="49" t="n"/>
      <c r="F508" s="50" t="n"/>
      <c r="G508" s="49" t="n"/>
      <c r="H508" s="49" t="n"/>
      <c r="I508" s="49" t="n"/>
      <c r="J508" s="49" t="n"/>
      <c r="K508" s="49" t="n"/>
      <c r="L508" s="49" t="n"/>
      <c r="M508" s="49" t="n"/>
      <c r="N508" s="49" t="n"/>
      <c r="O508" s="49" t="n"/>
    </row>
    <row r="509">
      <c r="B509" s="49" t="n"/>
      <c r="C509" s="49" t="n"/>
      <c r="D509" s="49" t="n"/>
      <c r="E509" s="49" t="n"/>
      <c r="F509" s="50" t="n"/>
      <c r="G509" s="49" t="n"/>
      <c r="H509" s="49" t="n"/>
      <c r="I509" s="49" t="n"/>
      <c r="J509" s="49" t="n"/>
      <c r="K509" s="49" t="n"/>
      <c r="L509" s="49" t="n"/>
      <c r="M509" s="49" t="n"/>
      <c r="N509" s="49" t="n"/>
      <c r="O509" s="49" t="n"/>
    </row>
    <row r="510">
      <c r="B510" s="49" t="n"/>
      <c r="C510" s="49" t="n"/>
      <c r="D510" s="49" t="n"/>
      <c r="E510" s="49" t="n"/>
      <c r="F510" s="50" t="n"/>
      <c r="G510" s="49" t="n"/>
      <c r="H510" s="49" t="n"/>
      <c r="I510" s="49" t="n"/>
      <c r="J510" s="49" t="n"/>
      <c r="K510" s="49" t="n"/>
      <c r="L510" s="49" t="n"/>
      <c r="M510" s="49" t="n"/>
      <c r="N510" s="49" t="n"/>
      <c r="O510" s="49" t="n"/>
    </row>
    <row r="511">
      <c r="B511" s="49" t="n"/>
      <c r="C511" s="49" t="n"/>
      <c r="D511" s="49" t="n"/>
      <c r="E511" s="49" t="n"/>
      <c r="F511" s="50" t="n"/>
      <c r="G511" s="49" t="n"/>
      <c r="H511" s="49" t="n"/>
      <c r="I511" s="49" t="n"/>
      <c r="J511" s="49" t="n"/>
      <c r="K511" s="49" t="n"/>
      <c r="L511" s="49" t="n"/>
      <c r="M511" s="49" t="n"/>
      <c r="N511" s="49" t="n"/>
      <c r="O511" s="49" t="n"/>
    </row>
    <row r="512">
      <c r="B512" s="49" t="n"/>
      <c r="C512" s="49" t="n"/>
      <c r="D512" s="49" t="n"/>
      <c r="E512" s="49" t="n"/>
      <c r="F512" s="50" t="n"/>
      <c r="G512" s="49" t="n"/>
      <c r="H512" s="49" t="n"/>
      <c r="I512" s="49" t="n"/>
      <c r="J512" s="49" t="n"/>
      <c r="K512" s="49" t="n"/>
      <c r="L512" s="49" t="n"/>
      <c r="M512" s="49" t="n"/>
      <c r="N512" s="49" t="n"/>
      <c r="O512" s="49" t="n"/>
    </row>
    <row r="513">
      <c r="B513" s="49" t="n"/>
      <c r="C513" s="49" t="n"/>
      <c r="D513" s="49" t="n"/>
      <c r="E513" s="49" t="n"/>
      <c r="F513" s="50" t="n"/>
      <c r="G513" s="49" t="n"/>
      <c r="H513" s="49" t="n"/>
      <c r="I513" s="49" t="n"/>
      <c r="J513" s="49" t="n"/>
      <c r="K513" s="49" t="n"/>
      <c r="L513" s="49" t="n"/>
      <c r="M513" s="49" t="n"/>
      <c r="N513" s="49" t="n"/>
      <c r="O513" s="49" t="n"/>
    </row>
    <row r="514">
      <c r="B514" s="49" t="n"/>
      <c r="C514" s="49" t="n"/>
      <c r="D514" s="49" t="n"/>
      <c r="E514" s="49" t="n"/>
      <c r="F514" s="50" t="n"/>
      <c r="G514" s="49" t="n"/>
      <c r="H514" s="49" t="n"/>
      <c r="I514" s="49" t="n"/>
      <c r="J514" s="49" t="n"/>
      <c r="K514" s="49" t="n"/>
      <c r="L514" s="49" t="n"/>
      <c r="M514" s="49" t="n"/>
      <c r="N514" s="49" t="n"/>
      <c r="O514" s="49" t="n"/>
    </row>
    <row r="515">
      <c r="B515" s="49" t="n"/>
      <c r="C515" s="49" t="n"/>
      <c r="D515" s="49" t="n"/>
      <c r="E515" s="49" t="n"/>
      <c r="F515" s="50" t="n"/>
      <c r="G515" s="49" t="n"/>
      <c r="H515" s="49" t="n"/>
      <c r="I515" s="49" t="n"/>
      <c r="J515" s="49" t="n"/>
      <c r="K515" s="49" t="n"/>
      <c r="L515" s="49" t="n"/>
      <c r="M515" s="49" t="n"/>
      <c r="N515" s="49" t="n"/>
      <c r="O515" s="49" t="n"/>
    </row>
    <row r="516">
      <c r="B516" s="49" t="n"/>
      <c r="C516" s="49" t="n"/>
      <c r="D516" s="49" t="n"/>
      <c r="E516" s="49" t="n"/>
      <c r="F516" s="50" t="n"/>
      <c r="G516" s="49" t="n"/>
      <c r="H516" s="49" t="n"/>
      <c r="I516" s="49" t="n"/>
      <c r="J516" s="49" t="n"/>
      <c r="K516" s="49" t="n"/>
      <c r="L516" s="49" t="n"/>
      <c r="M516" s="49" t="n"/>
      <c r="N516" s="49" t="n"/>
      <c r="O516" s="49" t="n"/>
    </row>
    <row r="517">
      <c r="B517" s="49" t="n"/>
      <c r="C517" s="49" t="n"/>
      <c r="D517" s="49" t="n"/>
      <c r="E517" s="49" t="n"/>
      <c r="F517" s="50" t="n"/>
      <c r="G517" s="49" t="n"/>
      <c r="H517" s="49" t="n"/>
      <c r="I517" s="49" t="n"/>
      <c r="J517" s="49" t="n"/>
      <c r="K517" s="49" t="n"/>
      <c r="L517" s="49" t="n"/>
      <c r="M517" s="49" t="n"/>
      <c r="N517" s="49" t="n"/>
      <c r="O517" s="49" t="n"/>
    </row>
    <row r="518">
      <c r="B518" s="49" t="n"/>
      <c r="C518" s="49" t="n"/>
      <c r="D518" s="49" t="n"/>
      <c r="E518" s="49" t="n"/>
      <c r="F518" s="50" t="n"/>
      <c r="G518" s="49" t="n"/>
      <c r="H518" s="49" t="n"/>
      <c r="I518" s="49" t="n"/>
      <c r="J518" s="49" t="n"/>
      <c r="K518" s="49" t="n"/>
      <c r="L518" s="49" t="n"/>
      <c r="M518" s="49" t="n"/>
      <c r="N518" s="49" t="n"/>
      <c r="O518" s="49" t="n"/>
    </row>
  </sheetData>
  <mergeCells count="8">
    <mergeCell ref="B9:O9"/>
    <mergeCell ref="B8:O8"/>
    <mergeCell ref="B4:O4"/>
    <mergeCell ref="B11:C11"/>
    <mergeCell ref="B6:O6"/>
    <mergeCell ref="B7:O7"/>
    <mergeCell ref="B3:O3"/>
    <mergeCell ref="B5:O5"/>
  </mergeCells>
  <conditionalFormatting sqref="E10">
    <cfRule type="cellIs" priority="1" operator="greaterThan" dxfId="5">
      <formula>0</formula>
    </cfRule>
  </conditionalFormatting>
  <conditionalFormatting sqref="B18:B518">
    <cfRule type="expression" priority="2" dxfId="6">
      <formula>AND(LEN($B18&amp;$C18&amp;$D18&amp;$E18&amp;$F18&amp;$G18&amp;$H18&amp;$I18&amp;$J18&amp;$K18&amp;$L18&amp;$M18&amp;$N18&amp;$O18)&gt;0,B18="")</formula>
    </cfRule>
  </conditionalFormatting>
  <conditionalFormatting sqref="C18:C518">
    <cfRule type="expression" priority="3" dxfId="6">
      <formula>AND(LEN($B18&amp;$C18&amp;$D18&amp;$E18&amp;$F18&amp;$G18&amp;$H18&amp;$I18&amp;$J18&amp;$K18&amp;$L18&amp;$M18&amp;$N18&amp;$O18)&gt;0,C18="")</formula>
    </cfRule>
  </conditionalFormatting>
  <conditionalFormatting sqref="F18:F518">
    <cfRule type="expression" priority="4" dxfId="6">
      <formula>AND(LEN($B18&amp;$C18&amp;$D18&amp;$E18&amp;$F18&amp;$G18&amp;$H18&amp;$I18&amp;$J18&amp;$K18&amp;$L18&amp;$M18&amp;$N18&amp;$O18)&gt;0,F18="")</formula>
    </cfRule>
  </conditionalFormatting>
  <conditionalFormatting sqref="G18:G518">
    <cfRule type="expression" priority="5" dxfId="6">
      <formula>AND(LEN($B18&amp;$C18&amp;$D18&amp;$E18&amp;$F18&amp;$G18&amp;$H18&amp;$I18&amp;$J18&amp;$K18&amp;$L18&amp;$M18&amp;$N18&amp;$O18)&gt;0,G18="")</formula>
    </cfRule>
  </conditionalFormatting>
  <conditionalFormatting sqref="H18:H518">
    <cfRule type="expression" priority="6" dxfId="6">
      <formula>AND(LEN($B18&amp;$C18&amp;$D18&amp;$E18&amp;$F18&amp;$G18&amp;$H18&amp;$I18&amp;$J18&amp;$K18&amp;$L18&amp;$M18&amp;$N18&amp;$O18)&gt;0,H18="")</formula>
    </cfRule>
  </conditionalFormatting>
  <dataValidations count="15">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8:B518" showDropDown="0" showInputMessage="1" showErrorMessage="0" allowBlank="1" promptTitle="Branch code" prompt="Yes. Code of the branch; unique"/>
    <dataValidation sqref="C18:C518" showDropDown="0" showInputMessage="1" showErrorMessage="0" allowBlank="1" promptTitle="Branch name" prompt="Yes. Name shown on screens and documents"/>
    <dataValidation sqref="D18:D518" showDropDown="0" showInputMessage="1" showErrorMessage="0" allowBlank="1" promptTitle="Region" prompt="No. Region of the branch"/>
    <dataValidation sqref="E18:E518" showDropDown="0" showInputMessage="1" showErrorMessage="0" allowBlank="1" promptTitle="Address" prompt="No. Address printed on documents"/>
    <dataValidation sqref="F18:F518" showDropDown="0" showInputMessage="1" showErrorMessage="1" allowBlank="1" errorTitle="Opening date" error="Enter a date, for example 15-Jan-2028." promptTitle="Opening date" prompt="Yes. Date the branch opened Allowed: A date, for example 15-Jan-2028" type="date" operator="greaterThan">
      <formula1>DATE(1900,1,1)</formula1>
    </dataValidation>
    <dataValidation sqref="G18:G518" showDropDown="0" showInputMessage="1" showErrorMessage="1" allowBlank="1" errorTitle="Head office" error="Choose a value of the list Yes or no (sheet Reference lists)." promptTitle="Head office" prompt="Yes. Y for one branch only Allowed: Y or N" type="list" errorStyle="stop">
      <formula1>=LIST_YES_NO</formula1>
    </dataValidation>
    <dataValidation sqref="H18:H518" showDropDown="0" showInputMessage="1" showErrorMessage="1" allowBlank="1" errorTitle="Foreign currency authorised" error="Choose a value of the list Yes or no (sheet Reference lists)." promptTitle="Foreign currency authorised" prompt="Yes. May receive and pay in foreign currency Allowed: Y or N" type="list" errorStyle="stop">
      <formula1>=LIST_YES_NO</formula1>
    </dataValidation>
    <dataValidation sqref="I18:I518" showDropDown="0" showInputMessage="1" showErrorMessage="0" allowBlank="1" promptTitle="Contact phone" prompt="No. Branch telephone"/>
    <dataValidation sqref="J18:J518" showDropDown="0" showInputMessage="1" showErrorMessage="0" allowBlank="1" promptTitle="Contact e-mail" prompt="No. Branch mailbox"/>
    <dataValidation sqref="K18:K518" showDropDown="0" showInputMessage="1" showErrorMessage="0" allowBlank="1" promptTitle="Branch manager" prompt="No. Head of the branch"/>
    <dataValidation sqref="L18:L518" showDropDown="0" showInputMessage="1" showErrorMessage="0" allowBlank="1" promptTitle="Weekly rest days" prompt="No. Days the branch is closed each week"/>
    <dataValidation sqref="M18:M518" showDropDown="0" showInputMessage="1" showErrorMessage="0" allowBlank="1" promptTitle="Legacy branch codes" prompt="No. Legacy branch codes for the code map BRANCH"/>
    <dataValidation sqref="N18:N518" showDropDown="0" showInputMessage="1" showErrorMessage="0" allowBlank="1" promptTitle="BIR branch code" prompt="No. Branch code of the BIR registration"/>
    <dataValidation sqref="O18:O518" showDropDown="0" showInputMessage="1" showErrorMessage="0" allowBlank="1" promptTitle="RDO code" prompt="No. Revenue District Office of the branch"/>
  </dataValidations>
  <hyperlinks>
    <hyperlink ref="A2" location="'Start here'!A1"/>
    <hyperlink ref="O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2.27272727272727" customWidth="1" min="3" max="3"/>
    <col width="24" customWidth="1" min="4" max="4"/>
    <col width="12" customWidth="1" min="5" max="5"/>
    <col width="12" customWidth="1" min="6" max="6"/>
    <col width="12" customWidth="1" min="7" max="7"/>
  </cols>
  <sheetData>
    <row r="1" ht="26" customHeight="1">
      <c r="A1" s="25" t="inlineStr">
        <is>
          <t>D0-04 Cost centres and business lines</t>
        </is>
      </c>
      <c r="G1" s="26" t="inlineStr">
        <is>
          <t>Step 2 of 52</t>
        </is>
      </c>
    </row>
    <row r="2">
      <c r="A2" s="27" t="inlineStr">
        <is>
          <t>← Back to Start here</t>
        </is>
      </c>
      <c r="B2" s="28" t="inlineStr">
        <is>
          <t>Step 2 of 52. Fill in one row per record below the column headers; the guide above each column says what to enter.</t>
        </is>
      </c>
      <c r="G2" s="29" t="inlineStr">
        <is>
          <t>Ask a question →</t>
        </is>
      </c>
    </row>
    <row r="3" outlineLevel="1" ht="15.5" customHeight="1">
      <c r="A3" s="30" t="inlineStr">
        <is>
          <t>Purpose</t>
        </is>
      </c>
      <c r="B3" s="31" t="inlineStr">
        <is>
          <t>The values of the dimensions of journal lines</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28" customHeight="1">
      <c r="A6" s="30" t="inlineStr">
        <is>
          <t>How it is loaded</t>
        </is>
      </c>
      <c r="B6" s="31" t="inlineStr">
        <is>
          <t>Upload on the configuration screen Setup &amp; Administration › Setup › Dimensions, approved by a second user</t>
        </is>
      </c>
    </row>
    <row r="7" outlineLevel="1" ht="28" customHeight="1">
      <c r="A7" s="30" t="inlineStr">
        <is>
          <t>Source</t>
        </is>
      </c>
      <c r="B7" s="31" t="inlineStr">
        <is>
          <t>Upload template of the configuration screen (the same columns, headers, mandatory flags and allowed values)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SUMPRODUCT(((ROW($B$17:$B$517)&gt;17)+($B$17&lt;&gt;"COST_CENTER")&gt;0)*(LEN($B$17:$B$517&amp;$C$17:$C$517&amp;$D$17:$D$517&amp;$E$17:$E$517)&gt;0))</f>
        <v/>
      </c>
      <c r="D9" s="35" t="inlineStr">
        <is>
          <t>Mandatory cells missing</t>
        </is>
      </c>
      <c r="E9" s="36">
        <f>SUMPRODUCT(((ROW($B$17:$B$517)&gt;17)+($B$17&lt;&gt;"COST_CENTER")&gt;0)*(LEN($B$17:$B$517&amp;$C$17:$C$517&amp;$D$17:$D$517&amp;$E$17:$E$517)&gt;0)*(($B$17:$B$517="")+($C$17:$C$517="")+($D$17:$D$517="")+($E$17:$E$517="")))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2" t="inlineStr">
        <is>
          <t>Yes</t>
        </is>
      </c>
    </row>
    <row r="13" ht="30" customHeight="1">
      <c r="A13" s="41" t="inlineStr">
        <is>
          <t>Format</t>
        </is>
      </c>
      <c r="B13" s="43" t="inlineStr">
        <is>
          <t>Code from the drop-down</t>
        </is>
      </c>
      <c r="C13" s="43" t="inlineStr">
        <is>
          <t>Up to 20 capitals or digits</t>
        </is>
      </c>
      <c r="D13" s="43" t="inlineStr">
        <is>
          <t>Text</t>
        </is>
      </c>
      <c r="E13" s="43" t="inlineStr">
        <is>
          <t>Y or N</t>
        </is>
      </c>
    </row>
    <row r="14" ht="56" customHeight="1">
      <c r="A14" s="41" t="inlineStr">
        <is>
          <t>Allowed values</t>
        </is>
      </c>
      <c r="B14" s="51" t="inlineStr">
        <is>
          <t>COST_CENTER, BUSINESS_LINE, DEPARTMENT (list Dimension (D0-04))</t>
        </is>
      </c>
      <c r="C14" s="43" t="inlineStr">
        <is>
          <t>Free entry</t>
        </is>
      </c>
      <c r="D14" s="43" t="inlineStr">
        <is>
          <t>Free entry</t>
        </is>
      </c>
      <c r="E14" s="43" t="inlineStr">
        <is>
          <t>Y or N</t>
        </is>
      </c>
    </row>
    <row r="15" ht="43" customHeight="1">
      <c r="A15" s="41" t="inlineStr">
        <is>
          <t>What to enter</t>
        </is>
      </c>
      <c r="B15" s="43" t="inlineStr">
        <is>
          <t>Dimension of the value</t>
        </is>
      </c>
      <c r="C15" s="43" t="inlineStr">
        <is>
          <t>Code of the value</t>
        </is>
      </c>
      <c r="D15" s="43" t="inlineStr">
        <is>
          <t>Name shown on screens and reports</t>
        </is>
      </c>
      <c r="E15" s="43" t="inlineStr">
        <is>
          <t>N keeps the value for history only</t>
        </is>
      </c>
    </row>
    <row r="16" ht="30" customHeight="1">
      <c r="A16" s="44" t="inlineStr">
        <is>
          <t>Row</t>
        </is>
      </c>
      <c r="B16" s="45" t="inlineStr">
        <is>
          <t>Dimension *</t>
        </is>
      </c>
      <c r="C16" s="45" t="inlineStr">
        <is>
          <t>Code *</t>
        </is>
      </c>
      <c r="D16" s="45" t="inlineStr">
        <is>
          <t>Name *</t>
        </is>
      </c>
      <c r="E16" s="45" t="inlineStr">
        <is>
          <t>Active *</t>
        </is>
      </c>
    </row>
    <row r="17" ht="18" customHeight="1">
      <c r="A17" s="46" t="inlineStr">
        <is>
          <t>Example – overwrite or delete</t>
        </is>
      </c>
      <c r="B17" s="47" t="inlineStr">
        <is>
          <t>COST_CENTER</t>
        </is>
      </c>
      <c r="C17" s="47" t="inlineStr">
        <is>
          <t>FIN</t>
        </is>
      </c>
      <c r="D17" s="47" t="inlineStr">
        <is>
          <t>Finance and Accounting</t>
        </is>
      </c>
      <c r="E17" s="47" t="inlineStr">
        <is>
          <t>Y</t>
        </is>
      </c>
    </row>
    <row r="18">
      <c r="B18" s="49" t="n"/>
      <c r="C18" s="49" t="n"/>
      <c r="D18" s="49" t="n"/>
      <c r="E18" s="49" t="n"/>
    </row>
    <row r="19">
      <c r="B19" s="49" t="n"/>
      <c r="C19" s="49" t="n"/>
      <c r="D19" s="49" t="n"/>
      <c r="E19" s="49" t="n"/>
    </row>
    <row r="20">
      <c r="B20" s="49" t="n"/>
      <c r="C20" s="49" t="n"/>
      <c r="D20" s="49" t="n"/>
      <c r="E20" s="49" t="n"/>
    </row>
    <row r="21">
      <c r="B21" s="49" t="n"/>
      <c r="C21" s="49" t="n"/>
      <c r="D21" s="49" t="n"/>
      <c r="E21" s="49" t="n"/>
    </row>
    <row r="22">
      <c r="B22" s="49" t="n"/>
      <c r="C22" s="49" t="n"/>
      <c r="D22" s="49" t="n"/>
      <c r="E22" s="49" t="n"/>
    </row>
    <row r="23">
      <c r="B23" s="49" t="n"/>
      <c r="C23" s="49" t="n"/>
      <c r="D23" s="49" t="n"/>
      <c r="E23" s="49" t="n"/>
    </row>
    <row r="24">
      <c r="B24" s="49" t="n"/>
      <c r="C24" s="49" t="n"/>
      <c r="D24" s="49" t="n"/>
      <c r="E24" s="49" t="n"/>
    </row>
    <row r="25">
      <c r="B25" s="49" t="n"/>
      <c r="C25" s="49" t="n"/>
      <c r="D25" s="49" t="n"/>
      <c r="E25" s="49" t="n"/>
    </row>
    <row r="26">
      <c r="B26" s="49" t="n"/>
      <c r="C26" s="49" t="n"/>
      <c r="D26" s="49" t="n"/>
      <c r="E26" s="49" t="n"/>
    </row>
    <row r="27">
      <c r="B27" s="49" t="n"/>
      <c r="C27" s="49" t="n"/>
      <c r="D27" s="49" t="n"/>
      <c r="E27" s="49" t="n"/>
    </row>
    <row r="28">
      <c r="B28" s="49" t="n"/>
      <c r="C28" s="49" t="n"/>
      <c r="D28" s="49" t="n"/>
      <c r="E28" s="49" t="n"/>
    </row>
    <row r="29">
      <c r="B29" s="49" t="n"/>
      <c r="C29" s="49" t="n"/>
      <c r="D29" s="49" t="n"/>
      <c r="E29" s="49" t="n"/>
    </row>
    <row r="30">
      <c r="B30" s="49" t="n"/>
      <c r="C30" s="49" t="n"/>
      <c r="D30" s="49" t="n"/>
      <c r="E30" s="49" t="n"/>
    </row>
    <row r="31">
      <c r="B31" s="49" t="n"/>
      <c r="C31" s="49" t="n"/>
      <c r="D31" s="49" t="n"/>
      <c r="E31" s="49" t="n"/>
    </row>
    <row r="32">
      <c r="B32" s="49" t="n"/>
      <c r="C32" s="49" t="n"/>
      <c r="D32" s="49" t="n"/>
      <c r="E32" s="49" t="n"/>
    </row>
    <row r="33">
      <c r="B33" s="49" t="n"/>
      <c r="C33" s="49" t="n"/>
      <c r="D33" s="49" t="n"/>
      <c r="E33" s="49" t="n"/>
    </row>
    <row r="34">
      <c r="B34" s="49" t="n"/>
      <c r="C34" s="49" t="n"/>
      <c r="D34" s="49" t="n"/>
      <c r="E34" s="49" t="n"/>
    </row>
    <row r="35">
      <c r="B35" s="49" t="n"/>
      <c r="C35" s="49" t="n"/>
      <c r="D35" s="49" t="n"/>
      <c r="E35" s="49" t="n"/>
    </row>
    <row r="36">
      <c r="B36" s="49" t="n"/>
      <c r="C36" s="49" t="n"/>
      <c r="D36" s="49" t="n"/>
      <c r="E36" s="49" t="n"/>
    </row>
    <row r="37">
      <c r="B37" s="49" t="n"/>
      <c r="C37" s="49" t="n"/>
      <c r="D37" s="49" t="n"/>
      <c r="E37" s="49" t="n"/>
    </row>
    <row r="38">
      <c r="B38" s="49" t="n"/>
      <c r="C38" s="49" t="n"/>
      <c r="D38" s="49" t="n"/>
      <c r="E38" s="49" t="n"/>
    </row>
    <row r="39">
      <c r="B39" s="49" t="n"/>
      <c r="C39" s="49" t="n"/>
      <c r="D39" s="49" t="n"/>
      <c r="E39" s="49" t="n"/>
    </row>
    <row r="40">
      <c r="B40" s="49" t="n"/>
      <c r="C40" s="49" t="n"/>
      <c r="D40" s="49" t="n"/>
      <c r="E40" s="49" t="n"/>
    </row>
    <row r="41">
      <c r="B41" s="49" t="n"/>
      <c r="C41" s="49" t="n"/>
      <c r="D41" s="49" t="n"/>
      <c r="E41" s="49" t="n"/>
    </row>
    <row r="42">
      <c r="B42" s="49" t="n"/>
      <c r="C42" s="49" t="n"/>
      <c r="D42" s="49" t="n"/>
      <c r="E42" s="49" t="n"/>
    </row>
    <row r="43">
      <c r="B43" s="49" t="n"/>
      <c r="C43" s="49" t="n"/>
      <c r="D43" s="49" t="n"/>
      <c r="E43" s="49" t="n"/>
    </row>
    <row r="44">
      <c r="B44" s="49" t="n"/>
      <c r="C44" s="49" t="n"/>
      <c r="D44" s="49" t="n"/>
      <c r="E44" s="49" t="n"/>
    </row>
    <row r="45">
      <c r="B45" s="49" t="n"/>
      <c r="C45" s="49" t="n"/>
      <c r="D45" s="49" t="n"/>
      <c r="E45" s="49" t="n"/>
    </row>
    <row r="46">
      <c r="B46" s="49" t="n"/>
      <c r="C46" s="49" t="n"/>
      <c r="D46" s="49" t="n"/>
      <c r="E46" s="49" t="n"/>
    </row>
    <row r="47">
      <c r="B47" s="49" t="n"/>
      <c r="C47" s="49" t="n"/>
      <c r="D47" s="49" t="n"/>
      <c r="E47" s="49" t="n"/>
    </row>
    <row r="48">
      <c r="B48" s="49" t="n"/>
      <c r="C48" s="49" t="n"/>
      <c r="D48" s="49" t="n"/>
      <c r="E48" s="49" t="n"/>
    </row>
    <row r="49">
      <c r="B49" s="49" t="n"/>
      <c r="C49" s="49" t="n"/>
      <c r="D49" s="49" t="n"/>
      <c r="E49" s="49" t="n"/>
    </row>
    <row r="50">
      <c r="B50" s="49" t="n"/>
      <c r="C50" s="49" t="n"/>
      <c r="D50" s="49" t="n"/>
      <c r="E50" s="49" t="n"/>
    </row>
    <row r="51">
      <c r="B51" s="49" t="n"/>
      <c r="C51" s="49" t="n"/>
      <c r="D51" s="49" t="n"/>
      <c r="E51" s="49" t="n"/>
    </row>
    <row r="52">
      <c r="B52" s="49" t="n"/>
      <c r="C52" s="49" t="n"/>
      <c r="D52" s="49" t="n"/>
      <c r="E52" s="49" t="n"/>
    </row>
    <row r="53">
      <c r="B53" s="49" t="n"/>
      <c r="C53" s="49" t="n"/>
      <c r="D53" s="49" t="n"/>
      <c r="E53" s="49" t="n"/>
    </row>
    <row r="54">
      <c r="B54" s="49" t="n"/>
      <c r="C54" s="49" t="n"/>
      <c r="D54" s="49" t="n"/>
      <c r="E54" s="49" t="n"/>
    </row>
    <row r="55">
      <c r="B55" s="49" t="n"/>
      <c r="C55" s="49" t="n"/>
      <c r="D55" s="49" t="n"/>
      <c r="E55" s="49" t="n"/>
    </row>
    <row r="56">
      <c r="B56" s="49" t="n"/>
      <c r="C56" s="49" t="n"/>
      <c r="D56" s="49" t="n"/>
      <c r="E56" s="49" t="n"/>
    </row>
    <row r="57">
      <c r="B57" s="49" t="n"/>
      <c r="C57" s="49" t="n"/>
      <c r="D57" s="49" t="n"/>
      <c r="E57" s="49" t="n"/>
    </row>
    <row r="58">
      <c r="B58" s="49" t="n"/>
      <c r="C58" s="49" t="n"/>
      <c r="D58" s="49" t="n"/>
      <c r="E58" s="49" t="n"/>
    </row>
    <row r="59">
      <c r="B59" s="49" t="n"/>
      <c r="C59" s="49" t="n"/>
      <c r="D59" s="49" t="n"/>
      <c r="E59" s="49" t="n"/>
    </row>
    <row r="60">
      <c r="B60" s="49" t="n"/>
      <c r="C60" s="49" t="n"/>
      <c r="D60" s="49" t="n"/>
      <c r="E60" s="49" t="n"/>
    </row>
    <row r="61">
      <c r="B61" s="49" t="n"/>
      <c r="C61" s="49" t="n"/>
      <c r="D61" s="49" t="n"/>
      <c r="E61" s="49" t="n"/>
    </row>
    <row r="62">
      <c r="B62" s="49" t="n"/>
      <c r="C62" s="49" t="n"/>
      <c r="D62" s="49" t="n"/>
      <c r="E62" s="49" t="n"/>
    </row>
    <row r="63">
      <c r="B63" s="49" t="n"/>
      <c r="C63" s="49" t="n"/>
      <c r="D63" s="49" t="n"/>
      <c r="E63" s="49" t="n"/>
    </row>
    <row r="64">
      <c r="B64" s="49" t="n"/>
      <c r="C64" s="49" t="n"/>
      <c r="D64" s="49" t="n"/>
      <c r="E64" s="49" t="n"/>
    </row>
    <row r="65">
      <c r="B65" s="49" t="n"/>
      <c r="C65" s="49" t="n"/>
      <c r="D65" s="49" t="n"/>
      <c r="E65" s="49" t="n"/>
    </row>
    <row r="66">
      <c r="B66" s="49" t="n"/>
      <c r="C66" s="49" t="n"/>
      <c r="D66" s="49" t="n"/>
      <c r="E66" s="49" t="n"/>
    </row>
    <row r="67">
      <c r="B67" s="49" t="n"/>
      <c r="C67" s="49" t="n"/>
      <c r="D67" s="49" t="n"/>
      <c r="E67" s="49" t="n"/>
    </row>
    <row r="68">
      <c r="B68" s="49" t="n"/>
      <c r="C68" s="49" t="n"/>
      <c r="D68" s="49" t="n"/>
      <c r="E68" s="49" t="n"/>
    </row>
    <row r="69">
      <c r="B69" s="49" t="n"/>
      <c r="C69" s="49" t="n"/>
      <c r="D69" s="49" t="n"/>
      <c r="E69" s="49" t="n"/>
    </row>
    <row r="70">
      <c r="B70" s="49" t="n"/>
      <c r="C70" s="49" t="n"/>
      <c r="D70" s="49" t="n"/>
      <c r="E70" s="49" t="n"/>
    </row>
    <row r="71">
      <c r="B71" s="49" t="n"/>
      <c r="C71" s="49" t="n"/>
      <c r="D71" s="49" t="n"/>
      <c r="E71" s="49" t="n"/>
    </row>
    <row r="72">
      <c r="B72" s="49" t="n"/>
      <c r="C72" s="49" t="n"/>
      <c r="D72" s="49" t="n"/>
      <c r="E72" s="49" t="n"/>
    </row>
    <row r="73">
      <c r="B73" s="49" t="n"/>
      <c r="C73" s="49" t="n"/>
      <c r="D73" s="49" t="n"/>
      <c r="E73" s="49" t="n"/>
    </row>
    <row r="74">
      <c r="B74" s="49" t="n"/>
      <c r="C74" s="49" t="n"/>
      <c r="D74" s="49" t="n"/>
      <c r="E74" s="49" t="n"/>
    </row>
    <row r="75">
      <c r="B75" s="49" t="n"/>
      <c r="C75" s="49" t="n"/>
      <c r="D75" s="49" t="n"/>
      <c r="E75" s="49" t="n"/>
    </row>
    <row r="76">
      <c r="B76" s="49" t="n"/>
      <c r="C76" s="49" t="n"/>
      <c r="D76" s="49" t="n"/>
      <c r="E76" s="49" t="n"/>
    </row>
    <row r="77">
      <c r="B77" s="49" t="n"/>
      <c r="C77" s="49" t="n"/>
      <c r="D77" s="49" t="n"/>
      <c r="E77" s="49" t="n"/>
    </row>
    <row r="78">
      <c r="B78" s="49" t="n"/>
      <c r="C78" s="49" t="n"/>
      <c r="D78" s="49" t="n"/>
      <c r="E78" s="49" t="n"/>
    </row>
    <row r="79">
      <c r="B79" s="49" t="n"/>
      <c r="C79" s="49" t="n"/>
      <c r="D79" s="49" t="n"/>
      <c r="E79" s="49" t="n"/>
    </row>
    <row r="80">
      <c r="B80" s="49" t="n"/>
      <c r="C80" s="49" t="n"/>
      <c r="D80" s="49" t="n"/>
      <c r="E80" s="49" t="n"/>
    </row>
    <row r="81">
      <c r="B81" s="49" t="n"/>
      <c r="C81" s="49" t="n"/>
      <c r="D81" s="49" t="n"/>
      <c r="E81" s="49" t="n"/>
    </row>
    <row r="82">
      <c r="B82" s="49" t="n"/>
      <c r="C82" s="49" t="n"/>
      <c r="D82" s="49" t="n"/>
      <c r="E82" s="49" t="n"/>
    </row>
    <row r="83">
      <c r="B83" s="49" t="n"/>
      <c r="C83" s="49" t="n"/>
      <c r="D83" s="49" t="n"/>
      <c r="E83" s="49" t="n"/>
    </row>
    <row r="84">
      <c r="B84" s="49" t="n"/>
      <c r="C84" s="49" t="n"/>
      <c r="D84" s="49" t="n"/>
      <c r="E84" s="49" t="n"/>
    </row>
    <row r="85">
      <c r="B85" s="49" t="n"/>
      <c r="C85" s="49" t="n"/>
      <c r="D85" s="49" t="n"/>
      <c r="E85" s="49" t="n"/>
    </row>
    <row r="86">
      <c r="B86" s="49" t="n"/>
      <c r="C86" s="49" t="n"/>
      <c r="D86" s="49" t="n"/>
      <c r="E86" s="49" t="n"/>
    </row>
    <row r="87">
      <c r="B87" s="49" t="n"/>
      <c r="C87" s="49" t="n"/>
      <c r="D87" s="49" t="n"/>
      <c r="E87" s="49" t="n"/>
    </row>
    <row r="88">
      <c r="B88" s="49" t="n"/>
      <c r="C88" s="49" t="n"/>
      <c r="D88" s="49" t="n"/>
      <c r="E88" s="49" t="n"/>
    </row>
    <row r="89">
      <c r="B89" s="49" t="n"/>
      <c r="C89" s="49" t="n"/>
      <c r="D89" s="49" t="n"/>
      <c r="E89" s="49" t="n"/>
    </row>
    <row r="90">
      <c r="B90" s="49" t="n"/>
      <c r="C90" s="49" t="n"/>
      <c r="D90" s="49" t="n"/>
      <c r="E90" s="49" t="n"/>
    </row>
    <row r="91">
      <c r="B91" s="49" t="n"/>
      <c r="C91" s="49" t="n"/>
      <c r="D91" s="49" t="n"/>
      <c r="E91" s="49" t="n"/>
    </row>
    <row r="92">
      <c r="B92" s="49" t="n"/>
      <c r="C92" s="49" t="n"/>
      <c r="D92" s="49" t="n"/>
      <c r="E92" s="49" t="n"/>
    </row>
    <row r="93">
      <c r="B93" s="49" t="n"/>
      <c r="C93" s="49" t="n"/>
      <c r="D93" s="49" t="n"/>
      <c r="E93" s="49" t="n"/>
    </row>
    <row r="94">
      <c r="B94" s="49" t="n"/>
      <c r="C94" s="49" t="n"/>
      <c r="D94" s="49" t="n"/>
      <c r="E94" s="49" t="n"/>
    </row>
    <row r="95">
      <c r="B95" s="49" t="n"/>
      <c r="C95" s="49" t="n"/>
      <c r="D95" s="49" t="n"/>
      <c r="E95" s="49" t="n"/>
    </row>
    <row r="96">
      <c r="B96" s="49" t="n"/>
      <c r="C96" s="49" t="n"/>
      <c r="D96" s="49" t="n"/>
      <c r="E96" s="49" t="n"/>
    </row>
    <row r="97">
      <c r="B97" s="49" t="n"/>
      <c r="C97" s="49" t="n"/>
      <c r="D97" s="49" t="n"/>
      <c r="E97" s="49" t="n"/>
    </row>
    <row r="98">
      <c r="B98" s="49" t="n"/>
      <c r="C98" s="49" t="n"/>
      <c r="D98" s="49" t="n"/>
      <c r="E98" s="49" t="n"/>
    </row>
    <row r="99">
      <c r="B99" s="49" t="n"/>
      <c r="C99" s="49" t="n"/>
      <c r="D99" s="49" t="n"/>
      <c r="E99" s="49" t="n"/>
    </row>
    <row r="100">
      <c r="B100" s="49" t="n"/>
      <c r="C100" s="49" t="n"/>
      <c r="D100" s="49" t="n"/>
      <c r="E100" s="49" t="n"/>
    </row>
    <row r="101">
      <c r="B101" s="49" t="n"/>
      <c r="C101" s="49" t="n"/>
      <c r="D101" s="49" t="n"/>
      <c r="E101" s="49" t="n"/>
    </row>
    <row r="102">
      <c r="B102" s="49" t="n"/>
      <c r="C102" s="49" t="n"/>
      <c r="D102" s="49" t="n"/>
      <c r="E102" s="49" t="n"/>
    </row>
    <row r="103">
      <c r="B103" s="49" t="n"/>
      <c r="C103" s="49" t="n"/>
      <c r="D103" s="49" t="n"/>
      <c r="E103" s="49" t="n"/>
    </row>
    <row r="104">
      <c r="B104" s="49" t="n"/>
      <c r="C104" s="49" t="n"/>
      <c r="D104" s="49" t="n"/>
      <c r="E104" s="49" t="n"/>
    </row>
    <row r="105">
      <c r="B105" s="49" t="n"/>
      <c r="C105" s="49" t="n"/>
      <c r="D105" s="49" t="n"/>
      <c r="E105" s="49" t="n"/>
    </row>
    <row r="106">
      <c r="B106" s="49" t="n"/>
      <c r="C106" s="49" t="n"/>
      <c r="D106" s="49" t="n"/>
      <c r="E106" s="49" t="n"/>
    </row>
    <row r="107">
      <c r="B107" s="49" t="n"/>
      <c r="C107" s="49" t="n"/>
      <c r="D107" s="49" t="n"/>
      <c r="E107" s="49" t="n"/>
    </row>
    <row r="108">
      <c r="B108" s="49" t="n"/>
      <c r="C108" s="49" t="n"/>
      <c r="D108" s="49" t="n"/>
      <c r="E108" s="49" t="n"/>
    </row>
    <row r="109">
      <c r="B109" s="49" t="n"/>
      <c r="C109" s="49" t="n"/>
      <c r="D109" s="49" t="n"/>
      <c r="E109" s="49" t="n"/>
    </row>
    <row r="110">
      <c r="B110" s="49" t="n"/>
      <c r="C110" s="49" t="n"/>
      <c r="D110" s="49" t="n"/>
      <c r="E110" s="49" t="n"/>
    </row>
    <row r="111">
      <c r="B111" s="49" t="n"/>
      <c r="C111" s="49" t="n"/>
      <c r="D111" s="49" t="n"/>
      <c r="E111" s="49" t="n"/>
    </row>
    <row r="112">
      <c r="B112" s="49" t="n"/>
      <c r="C112" s="49" t="n"/>
      <c r="D112" s="49" t="n"/>
      <c r="E112" s="49" t="n"/>
    </row>
    <row r="113">
      <c r="B113" s="49" t="n"/>
      <c r="C113" s="49" t="n"/>
      <c r="D113" s="49" t="n"/>
      <c r="E113" s="49" t="n"/>
    </row>
    <row r="114">
      <c r="B114" s="49" t="n"/>
      <c r="C114" s="49" t="n"/>
      <c r="D114" s="49" t="n"/>
      <c r="E114" s="49" t="n"/>
    </row>
    <row r="115">
      <c r="B115" s="49" t="n"/>
      <c r="C115" s="49" t="n"/>
      <c r="D115" s="49" t="n"/>
      <c r="E115" s="49" t="n"/>
    </row>
    <row r="116">
      <c r="B116" s="49" t="n"/>
      <c r="C116" s="49" t="n"/>
      <c r="D116" s="49" t="n"/>
      <c r="E116" s="49" t="n"/>
    </row>
    <row r="117">
      <c r="B117" s="49" t="n"/>
      <c r="C117" s="49" t="n"/>
      <c r="D117" s="49" t="n"/>
      <c r="E117" s="49" t="n"/>
    </row>
    <row r="118">
      <c r="B118" s="49" t="n"/>
      <c r="C118" s="49" t="n"/>
      <c r="D118" s="49" t="n"/>
      <c r="E118" s="49" t="n"/>
    </row>
    <row r="119">
      <c r="B119" s="49" t="n"/>
      <c r="C119" s="49" t="n"/>
      <c r="D119" s="49" t="n"/>
      <c r="E119" s="49" t="n"/>
    </row>
    <row r="120">
      <c r="B120" s="49" t="n"/>
      <c r="C120" s="49" t="n"/>
      <c r="D120" s="49" t="n"/>
      <c r="E120" s="49" t="n"/>
    </row>
    <row r="121">
      <c r="B121" s="49" t="n"/>
      <c r="C121" s="49" t="n"/>
      <c r="D121" s="49" t="n"/>
      <c r="E121" s="49" t="n"/>
    </row>
    <row r="122">
      <c r="B122" s="49" t="n"/>
      <c r="C122" s="49" t="n"/>
      <c r="D122" s="49" t="n"/>
      <c r="E122" s="49" t="n"/>
    </row>
    <row r="123">
      <c r="B123" s="49" t="n"/>
      <c r="C123" s="49" t="n"/>
      <c r="D123" s="49" t="n"/>
      <c r="E123" s="49" t="n"/>
    </row>
    <row r="124">
      <c r="B124" s="49" t="n"/>
      <c r="C124" s="49" t="n"/>
      <c r="D124" s="49" t="n"/>
      <c r="E124" s="49" t="n"/>
    </row>
    <row r="125">
      <c r="B125" s="49" t="n"/>
      <c r="C125" s="49" t="n"/>
      <c r="D125" s="49" t="n"/>
      <c r="E125" s="49" t="n"/>
    </row>
    <row r="126">
      <c r="B126" s="49" t="n"/>
      <c r="C126" s="49" t="n"/>
      <c r="D126" s="49" t="n"/>
      <c r="E126" s="49" t="n"/>
    </row>
    <row r="127">
      <c r="B127" s="49" t="n"/>
      <c r="C127" s="49" t="n"/>
      <c r="D127" s="49" t="n"/>
      <c r="E127" s="49" t="n"/>
    </row>
    <row r="128">
      <c r="B128" s="49" t="n"/>
      <c r="C128" s="49" t="n"/>
      <c r="D128" s="49" t="n"/>
      <c r="E128" s="49" t="n"/>
    </row>
    <row r="129">
      <c r="B129" s="49" t="n"/>
      <c r="C129" s="49" t="n"/>
      <c r="D129" s="49" t="n"/>
      <c r="E129" s="49" t="n"/>
    </row>
    <row r="130">
      <c r="B130" s="49" t="n"/>
      <c r="C130" s="49" t="n"/>
      <c r="D130" s="49" t="n"/>
      <c r="E130" s="49" t="n"/>
    </row>
    <row r="131">
      <c r="B131" s="49" t="n"/>
      <c r="C131" s="49" t="n"/>
      <c r="D131" s="49" t="n"/>
      <c r="E131" s="49" t="n"/>
    </row>
    <row r="132">
      <c r="B132" s="49" t="n"/>
      <c r="C132" s="49" t="n"/>
      <c r="D132" s="49" t="n"/>
      <c r="E132" s="49" t="n"/>
    </row>
    <row r="133">
      <c r="B133" s="49" t="n"/>
      <c r="C133" s="49" t="n"/>
      <c r="D133" s="49" t="n"/>
      <c r="E133" s="49" t="n"/>
    </row>
    <row r="134">
      <c r="B134" s="49" t="n"/>
      <c r="C134" s="49" t="n"/>
      <c r="D134" s="49" t="n"/>
      <c r="E134" s="49" t="n"/>
    </row>
    <row r="135">
      <c r="B135" s="49" t="n"/>
      <c r="C135" s="49" t="n"/>
      <c r="D135" s="49" t="n"/>
      <c r="E135" s="49" t="n"/>
    </row>
    <row r="136">
      <c r="B136" s="49" t="n"/>
      <c r="C136" s="49" t="n"/>
      <c r="D136" s="49" t="n"/>
      <c r="E136" s="49" t="n"/>
    </row>
    <row r="137">
      <c r="B137" s="49" t="n"/>
      <c r="C137" s="49" t="n"/>
      <c r="D137" s="49" t="n"/>
      <c r="E137" s="49" t="n"/>
    </row>
    <row r="138">
      <c r="B138" s="49" t="n"/>
      <c r="C138" s="49" t="n"/>
      <c r="D138" s="49" t="n"/>
      <c r="E138" s="49" t="n"/>
    </row>
    <row r="139">
      <c r="B139" s="49" t="n"/>
      <c r="C139" s="49" t="n"/>
      <c r="D139" s="49" t="n"/>
      <c r="E139" s="49" t="n"/>
    </row>
    <row r="140">
      <c r="B140" s="49" t="n"/>
      <c r="C140" s="49" t="n"/>
      <c r="D140" s="49" t="n"/>
      <c r="E140" s="49" t="n"/>
    </row>
    <row r="141">
      <c r="B141" s="49" t="n"/>
      <c r="C141" s="49" t="n"/>
      <c r="D141" s="49" t="n"/>
      <c r="E141" s="49" t="n"/>
    </row>
    <row r="142">
      <c r="B142" s="49" t="n"/>
      <c r="C142" s="49" t="n"/>
      <c r="D142" s="49" t="n"/>
      <c r="E142" s="49" t="n"/>
    </row>
    <row r="143">
      <c r="B143" s="49" t="n"/>
      <c r="C143" s="49" t="n"/>
      <c r="D143" s="49" t="n"/>
      <c r="E143" s="49" t="n"/>
    </row>
    <row r="144">
      <c r="B144" s="49" t="n"/>
      <c r="C144" s="49" t="n"/>
      <c r="D144" s="49" t="n"/>
      <c r="E144" s="49" t="n"/>
    </row>
    <row r="145">
      <c r="B145" s="49" t="n"/>
      <c r="C145" s="49" t="n"/>
      <c r="D145" s="49" t="n"/>
      <c r="E145" s="49" t="n"/>
    </row>
    <row r="146">
      <c r="B146" s="49" t="n"/>
      <c r="C146" s="49" t="n"/>
      <c r="D146" s="49" t="n"/>
      <c r="E146" s="49" t="n"/>
    </row>
    <row r="147">
      <c r="B147" s="49" t="n"/>
      <c r="C147" s="49" t="n"/>
      <c r="D147" s="49" t="n"/>
      <c r="E147" s="49" t="n"/>
    </row>
    <row r="148">
      <c r="B148" s="49" t="n"/>
      <c r="C148" s="49" t="n"/>
      <c r="D148" s="49" t="n"/>
      <c r="E148" s="49" t="n"/>
    </row>
    <row r="149">
      <c r="B149" s="49" t="n"/>
      <c r="C149" s="49" t="n"/>
      <c r="D149" s="49" t="n"/>
      <c r="E149" s="49" t="n"/>
    </row>
    <row r="150">
      <c r="B150" s="49" t="n"/>
      <c r="C150" s="49" t="n"/>
      <c r="D150" s="49" t="n"/>
      <c r="E150" s="49" t="n"/>
    </row>
    <row r="151">
      <c r="B151" s="49" t="n"/>
      <c r="C151" s="49" t="n"/>
      <c r="D151" s="49" t="n"/>
      <c r="E151" s="49" t="n"/>
    </row>
    <row r="152">
      <c r="B152" s="49" t="n"/>
      <c r="C152" s="49" t="n"/>
      <c r="D152" s="49" t="n"/>
      <c r="E152" s="49" t="n"/>
    </row>
    <row r="153">
      <c r="B153" s="49" t="n"/>
      <c r="C153" s="49" t="n"/>
      <c r="D153" s="49" t="n"/>
      <c r="E153" s="49" t="n"/>
    </row>
    <row r="154">
      <c r="B154" s="49" t="n"/>
      <c r="C154" s="49" t="n"/>
      <c r="D154" s="49" t="n"/>
      <c r="E154" s="49" t="n"/>
    </row>
    <row r="155">
      <c r="B155" s="49" t="n"/>
      <c r="C155" s="49" t="n"/>
      <c r="D155" s="49" t="n"/>
      <c r="E155" s="49" t="n"/>
    </row>
    <row r="156">
      <c r="B156" s="49" t="n"/>
      <c r="C156" s="49" t="n"/>
      <c r="D156" s="49" t="n"/>
      <c r="E156" s="49" t="n"/>
    </row>
    <row r="157">
      <c r="B157" s="49" t="n"/>
      <c r="C157" s="49" t="n"/>
      <c r="D157" s="49" t="n"/>
      <c r="E157" s="49" t="n"/>
    </row>
    <row r="158">
      <c r="B158" s="49" t="n"/>
      <c r="C158" s="49" t="n"/>
      <c r="D158" s="49" t="n"/>
      <c r="E158" s="49" t="n"/>
    </row>
    <row r="159">
      <c r="B159" s="49" t="n"/>
      <c r="C159" s="49" t="n"/>
      <c r="D159" s="49" t="n"/>
      <c r="E159" s="49" t="n"/>
    </row>
    <row r="160">
      <c r="B160" s="49" t="n"/>
      <c r="C160" s="49" t="n"/>
      <c r="D160" s="49" t="n"/>
      <c r="E160" s="49" t="n"/>
    </row>
    <row r="161">
      <c r="B161" s="49" t="n"/>
      <c r="C161" s="49" t="n"/>
      <c r="D161" s="49" t="n"/>
      <c r="E161" s="49" t="n"/>
    </row>
    <row r="162">
      <c r="B162" s="49" t="n"/>
      <c r="C162" s="49" t="n"/>
      <c r="D162" s="49" t="n"/>
      <c r="E162" s="49" t="n"/>
    </row>
    <row r="163">
      <c r="B163" s="49" t="n"/>
      <c r="C163" s="49" t="n"/>
      <c r="D163" s="49" t="n"/>
      <c r="E163" s="49" t="n"/>
    </row>
    <row r="164">
      <c r="B164" s="49" t="n"/>
      <c r="C164" s="49" t="n"/>
      <c r="D164" s="49" t="n"/>
      <c r="E164" s="49" t="n"/>
    </row>
    <row r="165">
      <c r="B165" s="49" t="n"/>
      <c r="C165" s="49" t="n"/>
      <c r="D165" s="49" t="n"/>
      <c r="E165" s="49" t="n"/>
    </row>
    <row r="166">
      <c r="B166" s="49" t="n"/>
      <c r="C166" s="49" t="n"/>
      <c r="D166" s="49" t="n"/>
      <c r="E166" s="49" t="n"/>
    </row>
    <row r="167">
      <c r="B167" s="49" t="n"/>
      <c r="C167" s="49" t="n"/>
      <c r="D167" s="49" t="n"/>
      <c r="E167" s="49" t="n"/>
    </row>
    <row r="168">
      <c r="B168" s="49" t="n"/>
      <c r="C168" s="49" t="n"/>
      <c r="D168" s="49" t="n"/>
      <c r="E168" s="49" t="n"/>
    </row>
    <row r="169">
      <c r="B169" s="49" t="n"/>
      <c r="C169" s="49" t="n"/>
      <c r="D169" s="49" t="n"/>
      <c r="E169" s="49" t="n"/>
    </row>
    <row r="170">
      <c r="B170" s="49" t="n"/>
      <c r="C170" s="49" t="n"/>
      <c r="D170" s="49" t="n"/>
      <c r="E170" s="49" t="n"/>
    </row>
    <row r="171">
      <c r="B171" s="49" t="n"/>
      <c r="C171" s="49" t="n"/>
      <c r="D171" s="49" t="n"/>
      <c r="E171" s="49" t="n"/>
    </row>
    <row r="172">
      <c r="B172" s="49" t="n"/>
      <c r="C172" s="49" t="n"/>
      <c r="D172" s="49" t="n"/>
      <c r="E172" s="49" t="n"/>
    </row>
    <row r="173">
      <c r="B173" s="49" t="n"/>
      <c r="C173" s="49" t="n"/>
      <c r="D173" s="49" t="n"/>
      <c r="E173" s="49" t="n"/>
    </row>
    <row r="174">
      <c r="B174" s="49" t="n"/>
      <c r="C174" s="49" t="n"/>
      <c r="D174" s="49" t="n"/>
      <c r="E174" s="49" t="n"/>
    </row>
    <row r="175">
      <c r="B175" s="49" t="n"/>
      <c r="C175" s="49" t="n"/>
      <c r="D175" s="49" t="n"/>
      <c r="E175" s="49" t="n"/>
    </row>
    <row r="176">
      <c r="B176" s="49" t="n"/>
      <c r="C176" s="49" t="n"/>
      <c r="D176" s="49" t="n"/>
      <c r="E176" s="49" t="n"/>
    </row>
    <row r="177">
      <c r="B177" s="49" t="n"/>
      <c r="C177" s="49" t="n"/>
      <c r="D177" s="49" t="n"/>
      <c r="E177" s="49" t="n"/>
    </row>
    <row r="178">
      <c r="B178" s="49" t="n"/>
      <c r="C178" s="49" t="n"/>
      <c r="D178" s="49" t="n"/>
      <c r="E178" s="49" t="n"/>
    </row>
    <row r="179">
      <c r="B179" s="49" t="n"/>
      <c r="C179" s="49" t="n"/>
      <c r="D179" s="49" t="n"/>
      <c r="E179" s="49" t="n"/>
    </row>
    <row r="180">
      <c r="B180" s="49" t="n"/>
      <c r="C180" s="49" t="n"/>
      <c r="D180" s="49" t="n"/>
      <c r="E180" s="49" t="n"/>
    </row>
    <row r="181">
      <c r="B181" s="49" t="n"/>
      <c r="C181" s="49" t="n"/>
      <c r="D181" s="49" t="n"/>
      <c r="E181" s="49" t="n"/>
    </row>
    <row r="182">
      <c r="B182" s="49" t="n"/>
      <c r="C182" s="49" t="n"/>
      <c r="D182" s="49" t="n"/>
      <c r="E182" s="49" t="n"/>
    </row>
    <row r="183">
      <c r="B183" s="49" t="n"/>
      <c r="C183" s="49" t="n"/>
      <c r="D183" s="49" t="n"/>
      <c r="E183" s="49" t="n"/>
    </row>
    <row r="184">
      <c r="B184" s="49" t="n"/>
      <c r="C184" s="49" t="n"/>
      <c r="D184" s="49" t="n"/>
      <c r="E184" s="49" t="n"/>
    </row>
    <row r="185">
      <c r="B185" s="49" t="n"/>
      <c r="C185" s="49" t="n"/>
      <c r="D185" s="49" t="n"/>
      <c r="E185" s="49" t="n"/>
    </row>
    <row r="186">
      <c r="B186" s="49" t="n"/>
      <c r="C186" s="49" t="n"/>
      <c r="D186" s="49" t="n"/>
      <c r="E186" s="49" t="n"/>
    </row>
    <row r="187">
      <c r="B187" s="49" t="n"/>
      <c r="C187" s="49" t="n"/>
      <c r="D187" s="49" t="n"/>
      <c r="E187" s="49" t="n"/>
    </row>
    <row r="188">
      <c r="B188" s="49" t="n"/>
      <c r="C188" s="49" t="n"/>
      <c r="D188" s="49" t="n"/>
      <c r="E188" s="49" t="n"/>
    </row>
    <row r="189">
      <c r="B189" s="49" t="n"/>
      <c r="C189" s="49" t="n"/>
      <c r="D189" s="49" t="n"/>
      <c r="E189" s="49" t="n"/>
    </row>
    <row r="190">
      <c r="B190" s="49" t="n"/>
      <c r="C190" s="49" t="n"/>
      <c r="D190" s="49" t="n"/>
      <c r="E190" s="49" t="n"/>
    </row>
    <row r="191">
      <c r="B191" s="49" t="n"/>
      <c r="C191" s="49" t="n"/>
      <c r="D191" s="49" t="n"/>
      <c r="E191" s="49" t="n"/>
    </row>
    <row r="192">
      <c r="B192" s="49" t="n"/>
      <c r="C192" s="49" t="n"/>
      <c r="D192" s="49" t="n"/>
      <c r="E192" s="49" t="n"/>
    </row>
    <row r="193">
      <c r="B193" s="49" t="n"/>
      <c r="C193" s="49" t="n"/>
      <c r="D193" s="49" t="n"/>
      <c r="E193" s="49" t="n"/>
    </row>
    <row r="194">
      <c r="B194" s="49" t="n"/>
      <c r="C194" s="49" t="n"/>
      <c r="D194" s="49" t="n"/>
      <c r="E194" s="49" t="n"/>
    </row>
    <row r="195">
      <c r="B195" s="49" t="n"/>
      <c r="C195" s="49" t="n"/>
      <c r="D195" s="49" t="n"/>
      <c r="E195" s="49" t="n"/>
    </row>
    <row r="196">
      <c r="B196" s="49" t="n"/>
      <c r="C196" s="49" t="n"/>
      <c r="D196" s="49" t="n"/>
      <c r="E196" s="49" t="n"/>
    </row>
    <row r="197">
      <c r="B197" s="49" t="n"/>
      <c r="C197" s="49" t="n"/>
      <c r="D197" s="49" t="n"/>
      <c r="E197" s="49" t="n"/>
    </row>
    <row r="198">
      <c r="B198" s="49" t="n"/>
      <c r="C198" s="49" t="n"/>
      <c r="D198" s="49" t="n"/>
      <c r="E198" s="49" t="n"/>
    </row>
    <row r="199">
      <c r="B199" s="49" t="n"/>
      <c r="C199" s="49" t="n"/>
      <c r="D199" s="49" t="n"/>
      <c r="E199" s="49" t="n"/>
    </row>
    <row r="200">
      <c r="B200" s="49" t="n"/>
      <c r="C200" s="49" t="n"/>
      <c r="D200" s="49" t="n"/>
      <c r="E200" s="49" t="n"/>
    </row>
    <row r="201">
      <c r="B201" s="49" t="n"/>
      <c r="C201" s="49" t="n"/>
      <c r="D201" s="49" t="n"/>
      <c r="E201" s="49" t="n"/>
    </row>
    <row r="202">
      <c r="B202" s="49" t="n"/>
      <c r="C202" s="49" t="n"/>
      <c r="D202" s="49" t="n"/>
      <c r="E202" s="49" t="n"/>
    </row>
    <row r="203">
      <c r="B203" s="49" t="n"/>
      <c r="C203" s="49" t="n"/>
      <c r="D203" s="49" t="n"/>
      <c r="E203" s="49" t="n"/>
    </row>
    <row r="204">
      <c r="B204" s="49" t="n"/>
      <c r="C204" s="49" t="n"/>
      <c r="D204" s="49" t="n"/>
      <c r="E204" s="49" t="n"/>
    </row>
    <row r="205">
      <c r="B205" s="49" t="n"/>
      <c r="C205" s="49" t="n"/>
      <c r="D205" s="49" t="n"/>
      <c r="E205" s="49" t="n"/>
    </row>
    <row r="206">
      <c r="B206" s="49" t="n"/>
      <c r="C206" s="49" t="n"/>
      <c r="D206" s="49" t="n"/>
      <c r="E206" s="49" t="n"/>
    </row>
    <row r="207">
      <c r="B207" s="49" t="n"/>
      <c r="C207" s="49" t="n"/>
      <c r="D207" s="49" t="n"/>
      <c r="E207" s="49" t="n"/>
    </row>
    <row r="208">
      <c r="B208" s="49" t="n"/>
      <c r="C208" s="49" t="n"/>
      <c r="D208" s="49" t="n"/>
      <c r="E208" s="49" t="n"/>
    </row>
    <row r="209">
      <c r="B209" s="49" t="n"/>
      <c r="C209" s="49" t="n"/>
      <c r="D209" s="49" t="n"/>
      <c r="E209" s="49" t="n"/>
    </row>
    <row r="210">
      <c r="B210" s="49" t="n"/>
      <c r="C210" s="49" t="n"/>
      <c r="D210" s="49" t="n"/>
      <c r="E210" s="49" t="n"/>
    </row>
    <row r="211">
      <c r="B211" s="49" t="n"/>
      <c r="C211" s="49" t="n"/>
      <c r="D211" s="49" t="n"/>
      <c r="E211" s="49" t="n"/>
    </row>
    <row r="212">
      <c r="B212" s="49" t="n"/>
      <c r="C212" s="49" t="n"/>
      <c r="D212" s="49" t="n"/>
      <c r="E212" s="49" t="n"/>
    </row>
    <row r="213">
      <c r="B213" s="49" t="n"/>
      <c r="C213" s="49" t="n"/>
      <c r="D213" s="49" t="n"/>
      <c r="E213" s="49" t="n"/>
    </row>
    <row r="214">
      <c r="B214" s="49" t="n"/>
      <c r="C214" s="49" t="n"/>
      <c r="D214" s="49" t="n"/>
      <c r="E214" s="49" t="n"/>
    </row>
    <row r="215">
      <c r="B215" s="49" t="n"/>
      <c r="C215" s="49" t="n"/>
      <c r="D215" s="49" t="n"/>
      <c r="E215" s="49" t="n"/>
    </row>
    <row r="216">
      <c r="B216" s="49" t="n"/>
      <c r="C216" s="49" t="n"/>
      <c r="D216" s="49" t="n"/>
      <c r="E216" s="49" t="n"/>
    </row>
    <row r="217">
      <c r="B217" s="49" t="n"/>
      <c r="C217" s="49" t="n"/>
      <c r="D217" s="49" t="n"/>
      <c r="E217" s="49" t="n"/>
    </row>
    <row r="218">
      <c r="B218" s="49" t="n"/>
      <c r="C218" s="49" t="n"/>
      <c r="D218" s="49" t="n"/>
      <c r="E218" s="49" t="n"/>
    </row>
    <row r="219">
      <c r="B219" s="49" t="n"/>
      <c r="C219" s="49" t="n"/>
      <c r="D219" s="49" t="n"/>
      <c r="E219" s="49" t="n"/>
    </row>
    <row r="220">
      <c r="B220" s="49" t="n"/>
      <c r="C220" s="49" t="n"/>
      <c r="D220" s="49" t="n"/>
      <c r="E220" s="49" t="n"/>
    </row>
    <row r="221">
      <c r="B221" s="49" t="n"/>
      <c r="C221" s="49" t="n"/>
      <c r="D221" s="49" t="n"/>
      <c r="E221" s="49" t="n"/>
    </row>
    <row r="222">
      <c r="B222" s="49" t="n"/>
      <c r="C222" s="49" t="n"/>
      <c r="D222" s="49" t="n"/>
      <c r="E222" s="49" t="n"/>
    </row>
    <row r="223">
      <c r="B223" s="49" t="n"/>
      <c r="C223" s="49" t="n"/>
      <c r="D223" s="49" t="n"/>
      <c r="E223" s="49" t="n"/>
    </row>
    <row r="224">
      <c r="B224" s="49" t="n"/>
      <c r="C224" s="49" t="n"/>
      <c r="D224" s="49" t="n"/>
      <c r="E224" s="49" t="n"/>
    </row>
    <row r="225">
      <c r="B225" s="49" t="n"/>
      <c r="C225" s="49" t="n"/>
      <c r="D225" s="49" t="n"/>
      <c r="E225" s="49" t="n"/>
    </row>
    <row r="226">
      <c r="B226" s="49" t="n"/>
      <c r="C226" s="49" t="n"/>
      <c r="D226" s="49" t="n"/>
      <c r="E226" s="49" t="n"/>
    </row>
    <row r="227">
      <c r="B227" s="49" t="n"/>
      <c r="C227" s="49" t="n"/>
      <c r="D227" s="49" t="n"/>
      <c r="E227" s="49" t="n"/>
    </row>
    <row r="228">
      <c r="B228" s="49" t="n"/>
      <c r="C228" s="49" t="n"/>
      <c r="D228" s="49" t="n"/>
      <c r="E228" s="49" t="n"/>
    </row>
    <row r="229">
      <c r="B229" s="49" t="n"/>
      <c r="C229" s="49" t="n"/>
      <c r="D229" s="49" t="n"/>
      <c r="E229" s="49" t="n"/>
    </row>
    <row r="230">
      <c r="B230" s="49" t="n"/>
      <c r="C230" s="49" t="n"/>
      <c r="D230" s="49" t="n"/>
      <c r="E230" s="49" t="n"/>
    </row>
    <row r="231">
      <c r="B231" s="49" t="n"/>
      <c r="C231" s="49" t="n"/>
      <c r="D231" s="49" t="n"/>
      <c r="E231" s="49" t="n"/>
    </row>
    <row r="232">
      <c r="B232" s="49" t="n"/>
      <c r="C232" s="49" t="n"/>
      <c r="D232" s="49" t="n"/>
      <c r="E232" s="49" t="n"/>
    </row>
    <row r="233">
      <c r="B233" s="49" t="n"/>
      <c r="C233" s="49" t="n"/>
      <c r="D233" s="49" t="n"/>
      <c r="E233" s="49" t="n"/>
    </row>
    <row r="234">
      <c r="B234" s="49" t="n"/>
      <c r="C234" s="49" t="n"/>
      <c r="D234" s="49" t="n"/>
      <c r="E234" s="49" t="n"/>
    </row>
    <row r="235">
      <c r="B235" s="49" t="n"/>
      <c r="C235" s="49" t="n"/>
      <c r="D235" s="49" t="n"/>
      <c r="E235" s="49" t="n"/>
    </row>
    <row r="236">
      <c r="B236" s="49" t="n"/>
      <c r="C236" s="49" t="n"/>
      <c r="D236" s="49" t="n"/>
      <c r="E236" s="49" t="n"/>
    </row>
    <row r="237">
      <c r="B237" s="49" t="n"/>
      <c r="C237" s="49" t="n"/>
      <c r="D237" s="49" t="n"/>
      <c r="E237" s="49" t="n"/>
    </row>
    <row r="238">
      <c r="B238" s="49" t="n"/>
      <c r="C238" s="49" t="n"/>
      <c r="D238" s="49" t="n"/>
      <c r="E238" s="49" t="n"/>
    </row>
    <row r="239">
      <c r="B239" s="49" t="n"/>
      <c r="C239" s="49" t="n"/>
      <c r="D239" s="49" t="n"/>
      <c r="E239" s="49" t="n"/>
    </row>
    <row r="240">
      <c r="B240" s="49" t="n"/>
      <c r="C240" s="49" t="n"/>
      <c r="D240" s="49" t="n"/>
      <c r="E240" s="49" t="n"/>
    </row>
    <row r="241">
      <c r="B241" s="49" t="n"/>
      <c r="C241" s="49" t="n"/>
      <c r="D241" s="49" t="n"/>
      <c r="E241" s="49" t="n"/>
    </row>
    <row r="242">
      <c r="B242" s="49" t="n"/>
      <c r="C242" s="49" t="n"/>
      <c r="D242" s="49" t="n"/>
      <c r="E242" s="49" t="n"/>
    </row>
    <row r="243">
      <c r="B243" s="49" t="n"/>
      <c r="C243" s="49" t="n"/>
      <c r="D243" s="49" t="n"/>
      <c r="E243" s="49" t="n"/>
    </row>
    <row r="244">
      <c r="B244" s="49" t="n"/>
      <c r="C244" s="49" t="n"/>
      <c r="D244" s="49" t="n"/>
      <c r="E244" s="49" t="n"/>
    </row>
    <row r="245">
      <c r="B245" s="49" t="n"/>
      <c r="C245" s="49" t="n"/>
      <c r="D245" s="49" t="n"/>
      <c r="E245" s="49" t="n"/>
    </row>
    <row r="246">
      <c r="B246" s="49" t="n"/>
      <c r="C246" s="49" t="n"/>
      <c r="D246" s="49" t="n"/>
      <c r="E246" s="49" t="n"/>
    </row>
    <row r="247">
      <c r="B247" s="49" t="n"/>
      <c r="C247" s="49" t="n"/>
      <c r="D247" s="49" t="n"/>
      <c r="E247" s="49" t="n"/>
    </row>
    <row r="248">
      <c r="B248" s="49" t="n"/>
      <c r="C248" s="49" t="n"/>
      <c r="D248" s="49" t="n"/>
      <c r="E248" s="49" t="n"/>
    </row>
    <row r="249">
      <c r="B249" s="49" t="n"/>
      <c r="C249" s="49" t="n"/>
      <c r="D249" s="49" t="n"/>
      <c r="E249" s="49" t="n"/>
    </row>
    <row r="250">
      <c r="B250" s="49" t="n"/>
      <c r="C250" s="49" t="n"/>
      <c r="D250" s="49" t="n"/>
      <c r="E250" s="49" t="n"/>
    </row>
    <row r="251">
      <c r="B251" s="49" t="n"/>
      <c r="C251" s="49" t="n"/>
      <c r="D251" s="49" t="n"/>
      <c r="E251" s="49" t="n"/>
    </row>
    <row r="252">
      <c r="B252" s="49" t="n"/>
      <c r="C252" s="49" t="n"/>
      <c r="D252" s="49" t="n"/>
      <c r="E252" s="49" t="n"/>
    </row>
    <row r="253">
      <c r="B253" s="49" t="n"/>
      <c r="C253" s="49" t="n"/>
      <c r="D253" s="49" t="n"/>
      <c r="E253" s="49" t="n"/>
    </row>
    <row r="254">
      <c r="B254" s="49" t="n"/>
      <c r="C254" s="49" t="n"/>
      <c r="D254" s="49" t="n"/>
      <c r="E254" s="49" t="n"/>
    </row>
    <row r="255">
      <c r="B255" s="49" t="n"/>
      <c r="C255" s="49" t="n"/>
      <c r="D255" s="49" t="n"/>
      <c r="E255" s="49" t="n"/>
    </row>
    <row r="256">
      <c r="B256" s="49" t="n"/>
      <c r="C256" s="49" t="n"/>
      <c r="D256" s="49" t="n"/>
      <c r="E256" s="49" t="n"/>
    </row>
    <row r="257">
      <c r="B257" s="49" t="n"/>
      <c r="C257" s="49" t="n"/>
      <c r="D257" s="49" t="n"/>
      <c r="E257" s="49" t="n"/>
    </row>
    <row r="258">
      <c r="B258" s="49" t="n"/>
      <c r="C258" s="49" t="n"/>
      <c r="D258" s="49" t="n"/>
      <c r="E258" s="49" t="n"/>
    </row>
    <row r="259">
      <c r="B259" s="49" t="n"/>
      <c r="C259" s="49" t="n"/>
      <c r="D259" s="49" t="n"/>
      <c r="E259" s="49" t="n"/>
    </row>
    <row r="260">
      <c r="B260" s="49" t="n"/>
      <c r="C260" s="49" t="n"/>
      <c r="D260" s="49" t="n"/>
      <c r="E260" s="49" t="n"/>
    </row>
    <row r="261">
      <c r="B261" s="49" t="n"/>
      <c r="C261" s="49" t="n"/>
      <c r="D261" s="49" t="n"/>
      <c r="E261" s="49" t="n"/>
    </row>
    <row r="262">
      <c r="B262" s="49" t="n"/>
      <c r="C262" s="49" t="n"/>
      <c r="D262" s="49" t="n"/>
      <c r="E262" s="49" t="n"/>
    </row>
    <row r="263">
      <c r="B263" s="49" t="n"/>
      <c r="C263" s="49" t="n"/>
      <c r="D263" s="49" t="n"/>
      <c r="E263" s="49" t="n"/>
    </row>
    <row r="264">
      <c r="B264" s="49" t="n"/>
      <c r="C264" s="49" t="n"/>
      <c r="D264" s="49" t="n"/>
      <c r="E264" s="49" t="n"/>
    </row>
    <row r="265">
      <c r="B265" s="49" t="n"/>
      <c r="C265" s="49" t="n"/>
      <c r="D265" s="49" t="n"/>
      <c r="E265" s="49" t="n"/>
    </row>
    <row r="266">
      <c r="B266" s="49" t="n"/>
      <c r="C266" s="49" t="n"/>
      <c r="D266" s="49" t="n"/>
      <c r="E266" s="49" t="n"/>
    </row>
    <row r="267">
      <c r="B267" s="49" t="n"/>
      <c r="C267" s="49" t="n"/>
      <c r="D267" s="49" t="n"/>
      <c r="E267" s="49" t="n"/>
    </row>
    <row r="268">
      <c r="B268" s="49" t="n"/>
      <c r="C268" s="49" t="n"/>
      <c r="D268" s="49" t="n"/>
      <c r="E268" s="49" t="n"/>
    </row>
    <row r="269">
      <c r="B269" s="49" t="n"/>
      <c r="C269" s="49" t="n"/>
      <c r="D269" s="49" t="n"/>
      <c r="E269" s="49" t="n"/>
    </row>
    <row r="270">
      <c r="B270" s="49" t="n"/>
      <c r="C270" s="49" t="n"/>
      <c r="D270" s="49" t="n"/>
      <c r="E270" s="49" t="n"/>
    </row>
    <row r="271">
      <c r="B271" s="49" t="n"/>
      <c r="C271" s="49" t="n"/>
      <c r="D271" s="49" t="n"/>
      <c r="E271" s="49" t="n"/>
    </row>
    <row r="272">
      <c r="B272" s="49" t="n"/>
      <c r="C272" s="49" t="n"/>
      <c r="D272" s="49" t="n"/>
      <c r="E272" s="49" t="n"/>
    </row>
    <row r="273">
      <c r="B273" s="49" t="n"/>
      <c r="C273" s="49" t="n"/>
      <c r="D273" s="49" t="n"/>
      <c r="E273" s="49" t="n"/>
    </row>
    <row r="274">
      <c r="B274" s="49" t="n"/>
      <c r="C274" s="49" t="n"/>
      <c r="D274" s="49" t="n"/>
      <c r="E274" s="49" t="n"/>
    </row>
    <row r="275">
      <c r="B275" s="49" t="n"/>
      <c r="C275" s="49" t="n"/>
      <c r="D275" s="49" t="n"/>
      <c r="E275" s="49" t="n"/>
    </row>
    <row r="276">
      <c r="B276" s="49" t="n"/>
      <c r="C276" s="49" t="n"/>
      <c r="D276" s="49" t="n"/>
      <c r="E276" s="49" t="n"/>
    </row>
    <row r="277">
      <c r="B277" s="49" t="n"/>
      <c r="C277" s="49" t="n"/>
      <c r="D277" s="49" t="n"/>
      <c r="E277" s="49" t="n"/>
    </row>
    <row r="278">
      <c r="B278" s="49" t="n"/>
      <c r="C278" s="49" t="n"/>
      <c r="D278" s="49" t="n"/>
      <c r="E278" s="49" t="n"/>
    </row>
    <row r="279">
      <c r="B279" s="49" t="n"/>
      <c r="C279" s="49" t="n"/>
      <c r="D279" s="49" t="n"/>
      <c r="E279" s="49" t="n"/>
    </row>
    <row r="280">
      <c r="B280" s="49" t="n"/>
      <c r="C280" s="49" t="n"/>
      <c r="D280" s="49" t="n"/>
      <c r="E280" s="49" t="n"/>
    </row>
    <row r="281">
      <c r="B281" s="49" t="n"/>
      <c r="C281" s="49" t="n"/>
      <c r="D281" s="49" t="n"/>
      <c r="E281" s="49" t="n"/>
    </row>
    <row r="282">
      <c r="B282" s="49" t="n"/>
      <c r="C282" s="49" t="n"/>
      <c r="D282" s="49" t="n"/>
      <c r="E282" s="49" t="n"/>
    </row>
    <row r="283">
      <c r="B283" s="49" t="n"/>
      <c r="C283" s="49" t="n"/>
      <c r="D283" s="49" t="n"/>
      <c r="E283" s="49" t="n"/>
    </row>
    <row r="284">
      <c r="B284" s="49" t="n"/>
      <c r="C284" s="49" t="n"/>
      <c r="D284" s="49" t="n"/>
      <c r="E284" s="49" t="n"/>
    </row>
    <row r="285">
      <c r="B285" s="49" t="n"/>
      <c r="C285" s="49" t="n"/>
      <c r="D285" s="49" t="n"/>
      <c r="E285" s="49" t="n"/>
    </row>
    <row r="286">
      <c r="B286" s="49" t="n"/>
      <c r="C286" s="49" t="n"/>
      <c r="D286" s="49" t="n"/>
      <c r="E286" s="49" t="n"/>
    </row>
    <row r="287">
      <c r="B287" s="49" t="n"/>
      <c r="C287" s="49" t="n"/>
      <c r="D287" s="49" t="n"/>
      <c r="E287" s="49" t="n"/>
    </row>
    <row r="288">
      <c r="B288" s="49" t="n"/>
      <c r="C288" s="49" t="n"/>
      <c r="D288" s="49" t="n"/>
      <c r="E288" s="49" t="n"/>
    </row>
    <row r="289">
      <c r="B289" s="49" t="n"/>
      <c r="C289" s="49" t="n"/>
      <c r="D289" s="49" t="n"/>
      <c r="E289" s="49" t="n"/>
    </row>
    <row r="290">
      <c r="B290" s="49" t="n"/>
      <c r="C290" s="49" t="n"/>
      <c r="D290" s="49" t="n"/>
      <c r="E290" s="49" t="n"/>
    </row>
    <row r="291">
      <c r="B291" s="49" t="n"/>
      <c r="C291" s="49" t="n"/>
      <c r="D291" s="49" t="n"/>
      <c r="E291" s="49" t="n"/>
    </row>
    <row r="292">
      <c r="B292" s="49" t="n"/>
      <c r="C292" s="49" t="n"/>
      <c r="D292" s="49" t="n"/>
      <c r="E292" s="49" t="n"/>
    </row>
    <row r="293">
      <c r="B293" s="49" t="n"/>
      <c r="C293" s="49" t="n"/>
      <c r="D293" s="49" t="n"/>
      <c r="E293" s="49" t="n"/>
    </row>
    <row r="294">
      <c r="B294" s="49" t="n"/>
      <c r="C294" s="49" t="n"/>
      <c r="D294" s="49" t="n"/>
      <c r="E294" s="49" t="n"/>
    </row>
    <row r="295">
      <c r="B295" s="49" t="n"/>
      <c r="C295" s="49" t="n"/>
      <c r="D295" s="49" t="n"/>
      <c r="E295" s="49" t="n"/>
    </row>
    <row r="296">
      <c r="B296" s="49" t="n"/>
      <c r="C296" s="49" t="n"/>
      <c r="D296" s="49" t="n"/>
      <c r="E296" s="49" t="n"/>
    </row>
    <row r="297">
      <c r="B297" s="49" t="n"/>
      <c r="C297" s="49" t="n"/>
      <c r="D297" s="49" t="n"/>
      <c r="E297" s="49" t="n"/>
    </row>
    <row r="298">
      <c r="B298" s="49" t="n"/>
      <c r="C298" s="49" t="n"/>
      <c r="D298" s="49" t="n"/>
      <c r="E298" s="49" t="n"/>
    </row>
    <row r="299">
      <c r="B299" s="49" t="n"/>
      <c r="C299" s="49" t="n"/>
      <c r="D299" s="49" t="n"/>
      <c r="E299" s="49" t="n"/>
    </row>
    <row r="300">
      <c r="B300" s="49" t="n"/>
      <c r="C300" s="49" t="n"/>
      <c r="D300" s="49" t="n"/>
      <c r="E300" s="49" t="n"/>
    </row>
    <row r="301">
      <c r="B301" s="49" t="n"/>
      <c r="C301" s="49" t="n"/>
      <c r="D301" s="49" t="n"/>
      <c r="E301" s="49" t="n"/>
    </row>
    <row r="302">
      <c r="B302" s="49" t="n"/>
      <c r="C302" s="49" t="n"/>
      <c r="D302" s="49" t="n"/>
      <c r="E302" s="49" t="n"/>
    </row>
    <row r="303">
      <c r="B303" s="49" t="n"/>
      <c r="C303" s="49" t="n"/>
      <c r="D303" s="49" t="n"/>
      <c r="E303" s="49" t="n"/>
    </row>
    <row r="304">
      <c r="B304" s="49" t="n"/>
      <c r="C304" s="49" t="n"/>
      <c r="D304" s="49" t="n"/>
      <c r="E304" s="49" t="n"/>
    </row>
    <row r="305">
      <c r="B305" s="49" t="n"/>
      <c r="C305" s="49" t="n"/>
      <c r="D305" s="49" t="n"/>
      <c r="E305" s="49" t="n"/>
    </row>
    <row r="306">
      <c r="B306" s="49" t="n"/>
      <c r="C306" s="49" t="n"/>
      <c r="D306" s="49" t="n"/>
      <c r="E306" s="49" t="n"/>
    </row>
    <row r="307">
      <c r="B307" s="49" t="n"/>
      <c r="C307" s="49" t="n"/>
      <c r="D307" s="49" t="n"/>
      <c r="E307" s="49" t="n"/>
    </row>
    <row r="308">
      <c r="B308" s="49" t="n"/>
      <c r="C308" s="49" t="n"/>
      <c r="D308" s="49" t="n"/>
      <c r="E308" s="49" t="n"/>
    </row>
    <row r="309">
      <c r="B309" s="49" t="n"/>
      <c r="C309" s="49" t="n"/>
      <c r="D309" s="49" t="n"/>
      <c r="E309" s="49" t="n"/>
    </row>
    <row r="310">
      <c r="B310" s="49" t="n"/>
      <c r="C310" s="49" t="n"/>
      <c r="D310" s="49" t="n"/>
      <c r="E310" s="49" t="n"/>
    </row>
    <row r="311">
      <c r="B311" s="49" t="n"/>
      <c r="C311" s="49" t="n"/>
      <c r="D311" s="49" t="n"/>
      <c r="E311" s="49" t="n"/>
    </row>
    <row r="312">
      <c r="B312" s="49" t="n"/>
      <c r="C312" s="49" t="n"/>
      <c r="D312" s="49" t="n"/>
      <c r="E312" s="49" t="n"/>
    </row>
    <row r="313">
      <c r="B313" s="49" t="n"/>
      <c r="C313" s="49" t="n"/>
      <c r="D313" s="49" t="n"/>
      <c r="E313" s="49" t="n"/>
    </row>
    <row r="314">
      <c r="B314" s="49" t="n"/>
      <c r="C314" s="49" t="n"/>
      <c r="D314" s="49" t="n"/>
      <c r="E314" s="49" t="n"/>
    </row>
    <row r="315">
      <c r="B315" s="49" t="n"/>
      <c r="C315" s="49" t="n"/>
      <c r="D315" s="49" t="n"/>
      <c r="E315" s="49" t="n"/>
    </row>
    <row r="316">
      <c r="B316" s="49" t="n"/>
      <c r="C316" s="49" t="n"/>
      <c r="D316" s="49" t="n"/>
      <c r="E316" s="49" t="n"/>
    </row>
    <row r="317">
      <c r="B317" s="49" t="n"/>
      <c r="C317" s="49" t="n"/>
      <c r="D317" s="49" t="n"/>
      <c r="E317" s="49" t="n"/>
    </row>
    <row r="318">
      <c r="B318" s="49" t="n"/>
      <c r="C318" s="49" t="n"/>
      <c r="D318" s="49" t="n"/>
      <c r="E318" s="49" t="n"/>
    </row>
    <row r="319">
      <c r="B319" s="49" t="n"/>
      <c r="C319" s="49" t="n"/>
      <c r="D319" s="49" t="n"/>
      <c r="E319" s="49" t="n"/>
    </row>
    <row r="320">
      <c r="B320" s="49" t="n"/>
      <c r="C320" s="49" t="n"/>
      <c r="D320" s="49" t="n"/>
      <c r="E320" s="49" t="n"/>
    </row>
    <row r="321">
      <c r="B321" s="49" t="n"/>
      <c r="C321" s="49" t="n"/>
      <c r="D321" s="49" t="n"/>
      <c r="E321" s="49" t="n"/>
    </row>
    <row r="322">
      <c r="B322" s="49" t="n"/>
      <c r="C322" s="49" t="n"/>
      <c r="D322" s="49" t="n"/>
      <c r="E322" s="49" t="n"/>
    </row>
    <row r="323">
      <c r="B323" s="49" t="n"/>
      <c r="C323" s="49" t="n"/>
      <c r="D323" s="49" t="n"/>
      <c r="E323" s="49" t="n"/>
    </row>
    <row r="324">
      <c r="B324" s="49" t="n"/>
      <c r="C324" s="49" t="n"/>
      <c r="D324" s="49" t="n"/>
      <c r="E324" s="49" t="n"/>
    </row>
    <row r="325">
      <c r="B325" s="49" t="n"/>
      <c r="C325" s="49" t="n"/>
      <c r="D325" s="49" t="n"/>
      <c r="E325" s="49" t="n"/>
    </row>
    <row r="326">
      <c r="B326" s="49" t="n"/>
      <c r="C326" s="49" t="n"/>
      <c r="D326" s="49" t="n"/>
      <c r="E326" s="49" t="n"/>
    </row>
    <row r="327">
      <c r="B327" s="49" t="n"/>
      <c r="C327" s="49" t="n"/>
      <c r="D327" s="49" t="n"/>
      <c r="E327" s="49" t="n"/>
    </row>
    <row r="328">
      <c r="B328" s="49" t="n"/>
      <c r="C328" s="49" t="n"/>
      <c r="D328" s="49" t="n"/>
      <c r="E328" s="49" t="n"/>
    </row>
    <row r="329">
      <c r="B329" s="49" t="n"/>
      <c r="C329" s="49" t="n"/>
      <c r="D329" s="49" t="n"/>
      <c r="E329" s="49" t="n"/>
    </row>
    <row r="330">
      <c r="B330" s="49" t="n"/>
      <c r="C330" s="49" t="n"/>
      <c r="D330" s="49" t="n"/>
      <c r="E330" s="49" t="n"/>
    </row>
    <row r="331">
      <c r="B331" s="49" t="n"/>
      <c r="C331" s="49" t="n"/>
      <c r="D331" s="49" t="n"/>
      <c r="E331" s="49" t="n"/>
    </row>
    <row r="332">
      <c r="B332" s="49" t="n"/>
      <c r="C332" s="49" t="n"/>
      <c r="D332" s="49" t="n"/>
      <c r="E332" s="49" t="n"/>
    </row>
    <row r="333">
      <c r="B333" s="49" t="n"/>
      <c r="C333" s="49" t="n"/>
      <c r="D333" s="49" t="n"/>
      <c r="E333" s="49" t="n"/>
    </row>
    <row r="334">
      <c r="B334" s="49" t="n"/>
      <c r="C334" s="49" t="n"/>
      <c r="D334" s="49" t="n"/>
      <c r="E334" s="49" t="n"/>
    </row>
    <row r="335">
      <c r="B335" s="49" t="n"/>
      <c r="C335" s="49" t="n"/>
      <c r="D335" s="49" t="n"/>
      <c r="E335" s="49" t="n"/>
    </row>
    <row r="336">
      <c r="B336" s="49" t="n"/>
      <c r="C336" s="49" t="n"/>
      <c r="D336" s="49" t="n"/>
      <c r="E336" s="49" t="n"/>
    </row>
    <row r="337">
      <c r="B337" s="49" t="n"/>
      <c r="C337" s="49" t="n"/>
      <c r="D337" s="49" t="n"/>
      <c r="E337" s="49" t="n"/>
    </row>
    <row r="338">
      <c r="B338" s="49" t="n"/>
      <c r="C338" s="49" t="n"/>
      <c r="D338" s="49" t="n"/>
      <c r="E338" s="49" t="n"/>
    </row>
    <row r="339">
      <c r="B339" s="49" t="n"/>
      <c r="C339" s="49" t="n"/>
      <c r="D339" s="49" t="n"/>
      <c r="E339" s="49" t="n"/>
    </row>
    <row r="340">
      <c r="B340" s="49" t="n"/>
      <c r="C340" s="49" t="n"/>
      <c r="D340" s="49" t="n"/>
      <c r="E340" s="49" t="n"/>
    </row>
    <row r="341">
      <c r="B341" s="49" t="n"/>
      <c r="C341" s="49" t="n"/>
      <c r="D341" s="49" t="n"/>
      <c r="E341" s="49" t="n"/>
    </row>
    <row r="342">
      <c r="B342" s="49" t="n"/>
      <c r="C342" s="49" t="n"/>
      <c r="D342" s="49" t="n"/>
      <c r="E342" s="49" t="n"/>
    </row>
    <row r="343">
      <c r="B343" s="49" t="n"/>
      <c r="C343" s="49" t="n"/>
      <c r="D343" s="49" t="n"/>
      <c r="E343" s="49" t="n"/>
    </row>
    <row r="344">
      <c r="B344" s="49" t="n"/>
      <c r="C344" s="49" t="n"/>
      <c r="D344" s="49" t="n"/>
      <c r="E344" s="49" t="n"/>
    </row>
    <row r="345">
      <c r="B345" s="49" t="n"/>
      <c r="C345" s="49" t="n"/>
      <c r="D345" s="49" t="n"/>
      <c r="E345" s="49" t="n"/>
    </row>
    <row r="346">
      <c r="B346" s="49" t="n"/>
      <c r="C346" s="49" t="n"/>
      <c r="D346" s="49" t="n"/>
      <c r="E346" s="49" t="n"/>
    </row>
    <row r="347">
      <c r="B347" s="49" t="n"/>
      <c r="C347" s="49" t="n"/>
      <c r="D347" s="49" t="n"/>
      <c r="E347" s="49" t="n"/>
    </row>
    <row r="348">
      <c r="B348" s="49" t="n"/>
      <c r="C348" s="49" t="n"/>
      <c r="D348" s="49" t="n"/>
      <c r="E348" s="49" t="n"/>
    </row>
    <row r="349">
      <c r="B349" s="49" t="n"/>
      <c r="C349" s="49" t="n"/>
      <c r="D349" s="49" t="n"/>
      <c r="E349" s="49" t="n"/>
    </row>
    <row r="350">
      <c r="B350" s="49" t="n"/>
      <c r="C350" s="49" t="n"/>
      <c r="D350" s="49" t="n"/>
      <c r="E350" s="49" t="n"/>
    </row>
    <row r="351">
      <c r="B351" s="49" t="n"/>
      <c r="C351" s="49" t="n"/>
      <c r="D351" s="49" t="n"/>
      <c r="E351" s="49" t="n"/>
    </row>
    <row r="352">
      <c r="B352" s="49" t="n"/>
      <c r="C352" s="49" t="n"/>
      <c r="D352" s="49" t="n"/>
      <c r="E352" s="49" t="n"/>
    </row>
    <row r="353">
      <c r="B353" s="49" t="n"/>
      <c r="C353" s="49" t="n"/>
      <c r="D353" s="49" t="n"/>
      <c r="E353" s="49" t="n"/>
    </row>
    <row r="354">
      <c r="B354" s="49" t="n"/>
      <c r="C354" s="49" t="n"/>
      <c r="D354" s="49" t="n"/>
      <c r="E354" s="49" t="n"/>
    </row>
    <row r="355">
      <c r="B355" s="49" t="n"/>
      <c r="C355" s="49" t="n"/>
      <c r="D355" s="49" t="n"/>
      <c r="E355" s="49" t="n"/>
    </row>
    <row r="356">
      <c r="B356" s="49" t="n"/>
      <c r="C356" s="49" t="n"/>
      <c r="D356" s="49" t="n"/>
      <c r="E356" s="49" t="n"/>
    </row>
    <row r="357">
      <c r="B357" s="49" t="n"/>
      <c r="C357" s="49" t="n"/>
      <c r="D357" s="49" t="n"/>
      <c r="E357" s="49" t="n"/>
    </row>
    <row r="358">
      <c r="B358" s="49" t="n"/>
      <c r="C358" s="49" t="n"/>
      <c r="D358" s="49" t="n"/>
      <c r="E358" s="49" t="n"/>
    </row>
    <row r="359">
      <c r="B359" s="49" t="n"/>
      <c r="C359" s="49" t="n"/>
      <c r="D359" s="49" t="n"/>
      <c r="E359" s="49" t="n"/>
    </row>
    <row r="360">
      <c r="B360" s="49" t="n"/>
      <c r="C360" s="49" t="n"/>
      <c r="D360" s="49" t="n"/>
      <c r="E360" s="49" t="n"/>
    </row>
    <row r="361">
      <c r="B361" s="49" t="n"/>
      <c r="C361" s="49" t="n"/>
      <c r="D361" s="49" t="n"/>
      <c r="E361" s="49" t="n"/>
    </row>
    <row r="362">
      <c r="B362" s="49" t="n"/>
      <c r="C362" s="49" t="n"/>
      <c r="D362" s="49" t="n"/>
      <c r="E362" s="49" t="n"/>
    </row>
    <row r="363">
      <c r="B363" s="49" t="n"/>
      <c r="C363" s="49" t="n"/>
      <c r="D363" s="49" t="n"/>
      <c r="E363" s="49" t="n"/>
    </row>
    <row r="364">
      <c r="B364" s="49" t="n"/>
      <c r="C364" s="49" t="n"/>
      <c r="D364" s="49" t="n"/>
      <c r="E364" s="49" t="n"/>
    </row>
    <row r="365">
      <c r="B365" s="49" t="n"/>
      <c r="C365" s="49" t="n"/>
      <c r="D365" s="49" t="n"/>
      <c r="E365" s="49" t="n"/>
    </row>
    <row r="366">
      <c r="B366" s="49" t="n"/>
      <c r="C366" s="49" t="n"/>
      <c r="D366" s="49" t="n"/>
      <c r="E366" s="49" t="n"/>
    </row>
    <row r="367">
      <c r="B367" s="49" t="n"/>
      <c r="C367" s="49" t="n"/>
      <c r="D367" s="49" t="n"/>
      <c r="E367" s="49" t="n"/>
    </row>
    <row r="368">
      <c r="B368" s="49" t="n"/>
      <c r="C368" s="49" t="n"/>
      <c r="D368" s="49" t="n"/>
      <c r="E368" s="49" t="n"/>
    </row>
    <row r="369">
      <c r="B369" s="49" t="n"/>
      <c r="C369" s="49" t="n"/>
      <c r="D369" s="49" t="n"/>
      <c r="E369" s="49" t="n"/>
    </row>
    <row r="370">
      <c r="B370" s="49" t="n"/>
      <c r="C370" s="49" t="n"/>
      <c r="D370" s="49" t="n"/>
      <c r="E370" s="49" t="n"/>
    </row>
    <row r="371">
      <c r="B371" s="49" t="n"/>
      <c r="C371" s="49" t="n"/>
      <c r="D371" s="49" t="n"/>
      <c r="E371" s="49" t="n"/>
    </row>
    <row r="372">
      <c r="B372" s="49" t="n"/>
      <c r="C372" s="49" t="n"/>
      <c r="D372" s="49" t="n"/>
      <c r="E372" s="49" t="n"/>
    </row>
    <row r="373">
      <c r="B373" s="49" t="n"/>
      <c r="C373" s="49" t="n"/>
      <c r="D373" s="49" t="n"/>
      <c r="E373" s="49" t="n"/>
    </row>
    <row r="374">
      <c r="B374" s="49" t="n"/>
      <c r="C374" s="49" t="n"/>
      <c r="D374" s="49" t="n"/>
      <c r="E374" s="49" t="n"/>
    </row>
    <row r="375">
      <c r="B375" s="49" t="n"/>
      <c r="C375" s="49" t="n"/>
      <c r="D375" s="49" t="n"/>
      <c r="E375" s="49" t="n"/>
    </row>
    <row r="376">
      <c r="B376" s="49" t="n"/>
      <c r="C376" s="49" t="n"/>
      <c r="D376" s="49" t="n"/>
      <c r="E376" s="49" t="n"/>
    </row>
    <row r="377">
      <c r="B377" s="49" t="n"/>
      <c r="C377" s="49" t="n"/>
      <c r="D377" s="49" t="n"/>
      <c r="E377" s="49" t="n"/>
    </row>
    <row r="378">
      <c r="B378" s="49" t="n"/>
      <c r="C378" s="49" t="n"/>
      <c r="D378" s="49" t="n"/>
      <c r="E378" s="49" t="n"/>
    </row>
    <row r="379">
      <c r="B379" s="49" t="n"/>
      <c r="C379" s="49" t="n"/>
      <c r="D379" s="49" t="n"/>
      <c r="E379" s="49" t="n"/>
    </row>
    <row r="380">
      <c r="B380" s="49" t="n"/>
      <c r="C380" s="49" t="n"/>
      <c r="D380" s="49" t="n"/>
      <c r="E380" s="49" t="n"/>
    </row>
    <row r="381">
      <c r="B381" s="49" t="n"/>
      <c r="C381" s="49" t="n"/>
      <c r="D381" s="49" t="n"/>
      <c r="E381" s="49" t="n"/>
    </row>
    <row r="382">
      <c r="B382" s="49" t="n"/>
      <c r="C382" s="49" t="n"/>
      <c r="D382" s="49" t="n"/>
      <c r="E382" s="49" t="n"/>
    </row>
    <row r="383">
      <c r="B383" s="49" t="n"/>
      <c r="C383" s="49" t="n"/>
      <c r="D383" s="49" t="n"/>
      <c r="E383" s="49" t="n"/>
    </row>
    <row r="384">
      <c r="B384" s="49" t="n"/>
      <c r="C384" s="49" t="n"/>
      <c r="D384" s="49" t="n"/>
      <c r="E384" s="49" t="n"/>
    </row>
    <row r="385">
      <c r="B385" s="49" t="n"/>
      <c r="C385" s="49" t="n"/>
      <c r="D385" s="49" t="n"/>
      <c r="E385" s="49" t="n"/>
    </row>
    <row r="386">
      <c r="B386" s="49" t="n"/>
      <c r="C386" s="49" t="n"/>
      <c r="D386" s="49" t="n"/>
      <c r="E386" s="49" t="n"/>
    </row>
    <row r="387">
      <c r="B387" s="49" t="n"/>
      <c r="C387" s="49" t="n"/>
      <c r="D387" s="49" t="n"/>
      <c r="E387" s="49" t="n"/>
    </row>
    <row r="388">
      <c r="B388" s="49" t="n"/>
      <c r="C388" s="49" t="n"/>
      <c r="D388" s="49" t="n"/>
      <c r="E388" s="49" t="n"/>
    </row>
    <row r="389">
      <c r="B389" s="49" t="n"/>
      <c r="C389" s="49" t="n"/>
      <c r="D389" s="49" t="n"/>
      <c r="E389" s="49" t="n"/>
    </row>
    <row r="390">
      <c r="B390" s="49" t="n"/>
      <c r="C390" s="49" t="n"/>
      <c r="D390" s="49" t="n"/>
      <c r="E390" s="49" t="n"/>
    </row>
    <row r="391">
      <c r="B391" s="49" t="n"/>
      <c r="C391" s="49" t="n"/>
      <c r="D391" s="49" t="n"/>
      <c r="E391" s="49" t="n"/>
    </row>
    <row r="392">
      <c r="B392" s="49" t="n"/>
      <c r="C392" s="49" t="n"/>
      <c r="D392" s="49" t="n"/>
      <c r="E392" s="49" t="n"/>
    </row>
    <row r="393">
      <c r="B393" s="49" t="n"/>
      <c r="C393" s="49" t="n"/>
      <c r="D393" s="49" t="n"/>
      <c r="E393" s="49" t="n"/>
    </row>
    <row r="394">
      <c r="B394" s="49" t="n"/>
      <c r="C394" s="49" t="n"/>
      <c r="D394" s="49" t="n"/>
      <c r="E394" s="49" t="n"/>
    </row>
    <row r="395">
      <c r="B395" s="49" t="n"/>
      <c r="C395" s="49" t="n"/>
      <c r="D395" s="49" t="n"/>
      <c r="E395" s="49" t="n"/>
    </row>
    <row r="396">
      <c r="B396" s="49" t="n"/>
      <c r="C396" s="49" t="n"/>
      <c r="D396" s="49" t="n"/>
      <c r="E396" s="49" t="n"/>
    </row>
    <row r="397">
      <c r="B397" s="49" t="n"/>
      <c r="C397" s="49" t="n"/>
      <c r="D397" s="49" t="n"/>
      <c r="E397" s="49" t="n"/>
    </row>
    <row r="398">
      <c r="B398" s="49" t="n"/>
      <c r="C398" s="49" t="n"/>
      <c r="D398" s="49" t="n"/>
      <c r="E398" s="49" t="n"/>
    </row>
    <row r="399">
      <c r="B399" s="49" t="n"/>
      <c r="C399" s="49" t="n"/>
      <c r="D399" s="49" t="n"/>
      <c r="E399" s="49" t="n"/>
    </row>
    <row r="400">
      <c r="B400" s="49" t="n"/>
      <c r="C400" s="49" t="n"/>
      <c r="D400" s="49" t="n"/>
      <c r="E400" s="49" t="n"/>
    </row>
    <row r="401">
      <c r="B401" s="49" t="n"/>
      <c r="C401" s="49" t="n"/>
      <c r="D401" s="49" t="n"/>
      <c r="E401" s="49" t="n"/>
    </row>
    <row r="402">
      <c r="B402" s="49" t="n"/>
      <c r="C402" s="49" t="n"/>
      <c r="D402" s="49" t="n"/>
      <c r="E402" s="49" t="n"/>
    </row>
    <row r="403">
      <c r="B403" s="49" t="n"/>
      <c r="C403" s="49" t="n"/>
      <c r="D403" s="49" t="n"/>
      <c r="E403" s="49" t="n"/>
    </row>
    <row r="404">
      <c r="B404" s="49" t="n"/>
      <c r="C404" s="49" t="n"/>
      <c r="D404" s="49" t="n"/>
      <c r="E404" s="49" t="n"/>
    </row>
    <row r="405">
      <c r="B405" s="49" t="n"/>
      <c r="C405" s="49" t="n"/>
      <c r="D405" s="49" t="n"/>
      <c r="E405" s="49" t="n"/>
    </row>
    <row r="406">
      <c r="B406" s="49" t="n"/>
      <c r="C406" s="49" t="n"/>
      <c r="D406" s="49" t="n"/>
      <c r="E406" s="49" t="n"/>
    </row>
    <row r="407">
      <c r="B407" s="49" t="n"/>
      <c r="C407" s="49" t="n"/>
      <c r="D407" s="49" t="n"/>
      <c r="E407" s="49" t="n"/>
    </row>
    <row r="408">
      <c r="B408" s="49" t="n"/>
      <c r="C408" s="49" t="n"/>
      <c r="D408" s="49" t="n"/>
      <c r="E408" s="49" t="n"/>
    </row>
    <row r="409">
      <c r="B409" s="49" t="n"/>
      <c r="C409" s="49" t="n"/>
      <c r="D409" s="49" t="n"/>
      <c r="E409" s="49" t="n"/>
    </row>
    <row r="410">
      <c r="B410" s="49" t="n"/>
      <c r="C410" s="49" t="n"/>
      <c r="D410" s="49" t="n"/>
      <c r="E410" s="49" t="n"/>
    </row>
    <row r="411">
      <c r="B411" s="49" t="n"/>
      <c r="C411" s="49" t="n"/>
      <c r="D411" s="49" t="n"/>
      <c r="E411" s="49" t="n"/>
    </row>
    <row r="412">
      <c r="B412" s="49" t="n"/>
      <c r="C412" s="49" t="n"/>
      <c r="D412" s="49" t="n"/>
      <c r="E412" s="49" t="n"/>
    </row>
    <row r="413">
      <c r="B413" s="49" t="n"/>
      <c r="C413" s="49" t="n"/>
      <c r="D413" s="49" t="n"/>
      <c r="E413" s="49" t="n"/>
    </row>
    <row r="414">
      <c r="B414" s="49" t="n"/>
      <c r="C414" s="49" t="n"/>
      <c r="D414" s="49" t="n"/>
      <c r="E414" s="49" t="n"/>
    </row>
    <row r="415">
      <c r="B415" s="49" t="n"/>
      <c r="C415" s="49" t="n"/>
      <c r="D415" s="49" t="n"/>
      <c r="E415" s="49" t="n"/>
    </row>
    <row r="416">
      <c r="B416" s="49" t="n"/>
      <c r="C416" s="49" t="n"/>
      <c r="D416" s="49" t="n"/>
      <c r="E416" s="49" t="n"/>
    </row>
    <row r="417">
      <c r="B417" s="49" t="n"/>
      <c r="C417" s="49" t="n"/>
      <c r="D417" s="49" t="n"/>
      <c r="E417" s="49" t="n"/>
    </row>
    <row r="418">
      <c r="B418" s="49" t="n"/>
      <c r="C418" s="49" t="n"/>
      <c r="D418" s="49" t="n"/>
      <c r="E418" s="49" t="n"/>
    </row>
    <row r="419">
      <c r="B419" s="49" t="n"/>
      <c r="C419" s="49" t="n"/>
      <c r="D419" s="49" t="n"/>
      <c r="E419" s="49" t="n"/>
    </row>
    <row r="420">
      <c r="B420" s="49" t="n"/>
      <c r="C420" s="49" t="n"/>
      <c r="D420" s="49" t="n"/>
      <c r="E420" s="49" t="n"/>
    </row>
    <row r="421">
      <c r="B421" s="49" t="n"/>
      <c r="C421" s="49" t="n"/>
      <c r="D421" s="49" t="n"/>
      <c r="E421" s="49" t="n"/>
    </row>
    <row r="422">
      <c r="B422" s="49" t="n"/>
      <c r="C422" s="49" t="n"/>
      <c r="D422" s="49" t="n"/>
      <c r="E422" s="49" t="n"/>
    </row>
    <row r="423">
      <c r="B423" s="49" t="n"/>
      <c r="C423" s="49" t="n"/>
      <c r="D423" s="49" t="n"/>
      <c r="E423" s="49" t="n"/>
    </row>
    <row r="424">
      <c r="B424" s="49" t="n"/>
      <c r="C424" s="49" t="n"/>
      <c r="D424" s="49" t="n"/>
      <c r="E424" s="49" t="n"/>
    </row>
    <row r="425">
      <c r="B425" s="49" t="n"/>
      <c r="C425" s="49" t="n"/>
      <c r="D425" s="49" t="n"/>
      <c r="E425" s="49" t="n"/>
    </row>
    <row r="426">
      <c r="B426" s="49" t="n"/>
      <c r="C426" s="49" t="n"/>
      <c r="D426" s="49" t="n"/>
      <c r="E426" s="49" t="n"/>
    </row>
    <row r="427">
      <c r="B427" s="49" t="n"/>
      <c r="C427" s="49" t="n"/>
      <c r="D427" s="49" t="n"/>
      <c r="E427" s="49" t="n"/>
    </row>
    <row r="428">
      <c r="B428" s="49" t="n"/>
      <c r="C428" s="49" t="n"/>
      <c r="D428" s="49" t="n"/>
      <c r="E428" s="49" t="n"/>
    </row>
    <row r="429">
      <c r="B429" s="49" t="n"/>
      <c r="C429" s="49" t="n"/>
      <c r="D429" s="49" t="n"/>
      <c r="E429" s="49" t="n"/>
    </row>
    <row r="430">
      <c r="B430" s="49" t="n"/>
      <c r="C430" s="49" t="n"/>
      <c r="D430" s="49" t="n"/>
      <c r="E430" s="49" t="n"/>
    </row>
    <row r="431">
      <c r="B431" s="49" t="n"/>
      <c r="C431" s="49" t="n"/>
      <c r="D431" s="49" t="n"/>
      <c r="E431" s="49" t="n"/>
    </row>
    <row r="432">
      <c r="B432" s="49" t="n"/>
      <c r="C432" s="49" t="n"/>
      <c r="D432" s="49" t="n"/>
      <c r="E432" s="49" t="n"/>
    </row>
    <row r="433">
      <c r="B433" s="49" t="n"/>
      <c r="C433" s="49" t="n"/>
      <c r="D433" s="49" t="n"/>
      <c r="E433" s="49" t="n"/>
    </row>
    <row r="434">
      <c r="B434" s="49" t="n"/>
      <c r="C434" s="49" t="n"/>
      <c r="D434" s="49" t="n"/>
      <c r="E434" s="49" t="n"/>
    </row>
    <row r="435">
      <c r="B435" s="49" t="n"/>
      <c r="C435" s="49" t="n"/>
      <c r="D435" s="49" t="n"/>
      <c r="E435" s="49" t="n"/>
    </row>
    <row r="436">
      <c r="B436" s="49" t="n"/>
      <c r="C436" s="49" t="n"/>
      <c r="D436" s="49" t="n"/>
      <c r="E436" s="49" t="n"/>
    </row>
    <row r="437">
      <c r="B437" s="49" t="n"/>
      <c r="C437" s="49" t="n"/>
      <c r="D437" s="49" t="n"/>
      <c r="E437" s="49" t="n"/>
    </row>
    <row r="438">
      <c r="B438" s="49" t="n"/>
      <c r="C438" s="49" t="n"/>
      <c r="D438" s="49" t="n"/>
      <c r="E438" s="49" t="n"/>
    </row>
    <row r="439">
      <c r="B439" s="49" t="n"/>
      <c r="C439" s="49" t="n"/>
      <c r="D439" s="49" t="n"/>
      <c r="E439" s="49" t="n"/>
    </row>
    <row r="440">
      <c r="B440" s="49" t="n"/>
      <c r="C440" s="49" t="n"/>
      <c r="D440" s="49" t="n"/>
      <c r="E440" s="49" t="n"/>
    </row>
    <row r="441">
      <c r="B441" s="49" t="n"/>
      <c r="C441" s="49" t="n"/>
      <c r="D441" s="49" t="n"/>
      <c r="E441" s="49" t="n"/>
    </row>
    <row r="442">
      <c r="B442" s="49" t="n"/>
      <c r="C442" s="49" t="n"/>
      <c r="D442" s="49" t="n"/>
      <c r="E442" s="49" t="n"/>
    </row>
    <row r="443">
      <c r="B443" s="49" t="n"/>
      <c r="C443" s="49" t="n"/>
      <c r="D443" s="49" t="n"/>
      <c r="E443" s="49" t="n"/>
    </row>
    <row r="444">
      <c r="B444" s="49" t="n"/>
      <c r="C444" s="49" t="n"/>
      <c r="D444" s="49" t="n"/>
      <c r="E444" s="49" t="n"/>
    </row>
    <row r="445">
      <c r="B445" s="49" t="n"/>
      <c r="C445" s="49" t="n"/>
      <c r="D445" s="49" t="n"/>
      <c r="E445" s="49" t="n"/>
    </row>
    <row r="446">
      <c r="B446" s="49" t="n"/>
      <c r="C446" s="49" t="n"/>
      <c r="D446" s="49" t="n"/>
      <c r="E446" s="49" t="n"/>
    </row>
    <row r="447">
      <c r="B447" s="49" t="n"/>
      <c r="C447" s="49" t="n"/>
      <c r="D447" s="49" t="n"/>
      <c r="E447" s="49" t="n"/>
    </row>
    <row r="448">
      <c r="B448" s="49" t="n"/>
      <c r="C448" s="49" t="n"/>
      <c r="D448" s="49" t="n"/>
      <c r="E448" s="49" t="n"/>
    </row>
    <row r="449">
      <c r="B449" s="49" t="n"/>
      <c r="C449" s="49" t="n"/>
      <c r="D449" s="49" t="n"/>
      <c r="E449" s="49" t="n"/>
    </row>
    <row r="450">
      <c r="B450" s="49" t="n"/>
      <c r="C450" s="49" t="n"/>
      <c r="D450" s="49" t="n"/>
      <c r="E450" s="49" t="n"/>
    </row>
    <row r="451">
      <c r="B451" s="49" t="n"/>
      <c r="C451" s="49" t="n"/>
      <c r="D451" s="49" t="n"/>
      <c r="E451" s="49" t="n"/>
    </row>
    <row r="452">
      <c r="B452" s="49" t="n"/>
      <c r="C452" s="49" t="n"/>
      <c r="D452" s="49" t="n"/>
      <c r="E452" s="49" t="n"/>
    </row>
    <row r="453">
      <c r="B453" s="49" t="n"/>
      <c r="C453" s="49" t="n"/>
      <c r="D453" s="49" t="n"/>
      <c r="E453" s="49" t="n"/>
    </row>
    <row r="454">
      <c r="B454" s="49" t="n"/>
      <c r="C454" s="49" t="n"/>
      <c r="D454" s="49" t="n"/>
      <c r="E454" s="49" t="n"/>
    </row>
    <row r="455">
      <c r="B455" s="49" t="n"/>
      <c r="C455" s="49" t="n"/>
      <c r="D455" s="49" t="n"/>
      <c r="E455" s="49" t="n"/>
    </row>
    <row r="456">
      <c r="B456" s="49" t="n"/>
      <c r="C456" s="49" t="n"/>
      <c r="D456" s="49" t="n"/>
      <c r="E456" s="49" t="n"/>
    </row>
    <row r="457">
      <c r="B457" s="49" t="n"/>
      <c r="C457" s="49" t="n"/>
      <c r="D457" s="49" t="n"/>
      <c r="E457" s="49" t="n"/>
    </row>
    <row r="458">
      <c r="B458" s="49" t="n"/>
      <c r="C458" s="49" t="n"/>
      <c r="D458" s="49" t="n"/>
      <c r="E458" s="49" t="n"/>
    </row>
    <row r="459">
      <c r="B459" s="49" t="n"/>
      <c r="C459" s="49" t="n"/>
      <c r="D459" s="49" t="n"/>
      <c r="E459" s="49" t="n"/>
    </row>
    <row r="460">
      <c r="B460" s="49" t="n"/>
      <c r="C460" s="49" t="n"/>
      <c r="D460" s="49" t="n"/>
      <c r="E460" s="49" t="n"/>
    </row>
    <row r="461">
      <c r="B461" s="49" t="n"/>
      <c r="C461" s="49" t="n"/>
      <c r="D461" s="49" t="n"/>
      <c r="E461" s="49" t="n"/>
    </row>
    <row r="462">
      <c r="B462" s="49" t="n"/>
      <c r="C462" s="49" t="n"/>
      <c r="D462" s="49" t="n"/>
      <c r="E462" s="49" t="n"/>
    </row>
    <row r="463">
      <c r="B463" s="49" t="n"/>
      <c r="C463" s="49" t="n"/>
      <c r="D463" s="49" t="n"/>
      <c r="E463" s="49" t="n"/>
    </row>
    <row r="464">
      <c r="B464" s="49" t="n"/>
      <c r="C464" s="49" t="n"/>
      <c r="D464" s="49" t="n"/>
      <c r="E464" s="49" t="n"/>
    </row>
    <row r="465">
      <c r="B465" s="49" t="n"/>
      <c r="C465" s="49" t="n"/>
      <c r="D465" s="49" t="n"/>
      <c r="E465" s="49" t="n"/>
    </row>
    <row r="466">
      <c r="B466" s="49" t="n"/>
      <c r="C466" s="49" t="n"/>
      <c r="D466" s="49" t="n"/>
      <c r="E466" s="49" t="n"/>
    </row>
    <row r="467">
      <c r="B467" s="49" t="n"/>
      <c r="C467" s="49" t="n"/>
      <c r="D467" s="49" t="n"/>
      <c r="E467" s="49" t="n"/>
    </row>
    <row r="468">
      <c r="B468" s="49" t="n"/>
      <c r="C468" s="49" t="n"/>
      <c r="D468" s="49" t="n"/>
      <c r="E468" s="49" t="n"/>
    </row>
    <row r="469">
      <c r="B469" s="49" t="n"/>
      <c r="C469" s="49" t="n"/>
      <c r="D469" s="49" t="n"/>
      <c r="E469" s="49" t="n"/>
    </row>
    <row r="470">
      <c r="B470" s="49" t="n"/>
      <c r="C470" s="49" t="n"/>
      <c r="D470" s="49" t="n"/>
      <c r="E470" s="49" t="n"/>
    </row>
    <row r="471">
      <c r="B471" s="49" t="n"/>
      <c r="C471" s="49" t="n"/>
      <c r="D471" s="49" t="n"/>
      <c r="E471" s="49" t="n"/>
    </row>
    <row r="472">
      <c r="B472" s="49" t="n"/>
      <c r="C472" s="49" t="n"/>
      <c r="D472" s="49" t="n"/>
      <c r="E472" s="49" t="n"/>
    </row>
    <row r="473">
      <c r="B473" s="49" t="n"/>
      <c r="C473" s="49" t="n"/>
      <c r="D473" s="49" t="n"/>
      <c r="E473" s="49" t="n"/>
    </row>
    <row r="474">
      <c r="B474" s="49" t="n"/>
      <c r="C474" s="49" t="n"/>
      <c r="D474" s="49" t="n"/>
      <c r="E474" s="49" t="n"/>
    </row>
    <row r="475">
      <c r="B475" s="49" t="n"/>
      <c r="C475" s="49" t="n"/>
      <c r="D475" s="49" t="n"/>
      <c r="E475" s="49" t="n"/>
    </row>
    <row r="476">
      <c r="B476" s="49" t="n"/>
      <c r="C476" s="49" t="n"/>
      <c r="D476" s="49" t="n"/>
      <c r="E476" s="49" t="n"/>
    </row>
    <row r="477">
      <c r="B477" s="49" t="n"/>
      <c r="C477" s="49" t="n"/>
      <c r="D477" s="49" t="n"/>
      <c r="E477" s="49" t="n"/>
    </row>
    <row r="478">
      <c r="B478" s="49" t="n"/>
      <c r="C478" s="49" t="n"/>
      <c r="D478" s="49" t="n"/>
      <c r="E478" s="49" t="n"/>
    </row>
    <row r="479">
      <c r="B479" s="49" t="n"/>
      <c r="C479" s="49" t="n"/>
      <c r="D479" s="49" t="n"/>
      <c r="E479" s="49" t="n"/>
    </row>
    <row r="480">
      <c r="B480" s="49" t="n"/>
      <c r="C480" s="49" t="n"/>
      <c r="D480" s="49" t="n"/>
      <c r="E480" s="49" t="n"/>
    </row>
    <row r="481">
      <c r="B481" s="49" t="n"/>
      <c r="C481" s="49" t="n"/>
      <c r="D481" s="49" t="n"/>
      <c r="E481" s="49" t="n"/>
    </row>
    <row r="482">
      <c r="B482" s="49" t="n"/>
      <c r="C482" s="49" t="n"/>
      <c r="D482" s="49" t="n"/>
      <c r="E482" s="49" t="n"/>
    </row>
    <row r="483">
      <c r="B483" s="49" t="n"/>
      <c r="C483" s="49" t="n"/>
      <c r="D483" s="49" t="n"/>
      <c r="E483" s="49" t="n"/>
    </row>
    <row r="484">
      <c r="B484" s="49" t="n"/>
      <c r="C484" s="49" t="n"/>
      <c r="D484" s="49" t="n"/>
      <c r="E484" s="49" t="n"/>
    </row>
    <row r="485">
      <c r="B485" s="49" t="n"/>
      <c r="C485" s="49" t="n"/>
      <c r="D485" s="49" t="n"/>
      <c r="E485" s="49" t="n"/>
    </row>
    <row r="486">
      <c r="B486" s="49" t="n"/>
      <c r="C486" s="49" t="n"/>
      <c r="D486" s="49" t="n"/>
      <c r="E486" s="49" t="n"/>
    </row>
    <row r="487">
      <c r="B487" s="49" t="n"/>
      <c r="C487" s="49" t="n"/>
      <c r="D487" s="49" t="n"/>
      <c r="E487" s="49" t="n"/>
    </row>
    <row r="488">
      <c r="B488" s="49" t="n"/>
      <c r="C488" s="49" t="n"/>
      <c r="D488" s="49" t="n"/>
      <c r="E488" s="49" t="n"/>
    </row>
    <row r="489">
      <c r="B489" s="49" t="n"/>
      <c r="C489" s="49" t="n"/>
      <c r="D489" s="49" t="n"/>
      <c r="E489" s="49" t="n"/>
    </row>
    <row r="490">
      <c r="B490" s="49" t="n"/>
      <c r="C490" s="49" t="n"/>
      <c r="D490" s="49" t="n"/>
      <c r="E490" s="49" t="n"/>
    </row>
    <row r="491">
      <c r="B491" s="49" t="n"/>
      <c r="C491" s="49" t="n"/>
      <c r="D491" s="49" t="n"/>
      <c r="E491" s="49" t="n"/>
    </row>
    <row r="492">
      <c r="B492" s="49" t="n"/>
      <c r="C492" s="49" t="n"/>
      <c r="D492" s="49" t="n"/>
      <c r="E492" s="49" t="n"/>
    </row>
    <row r="493">
      <c r="B493" s="49" t="n"/>
      <c r="C493" s="49" t="n"/>
      <c r="D493" s="49" t="n"/>
      <c r="E493" s="49" t="n"/>
    </row>
    <row r="494">
      <c r="B494" s="49" t="n"/>
      <c r="C494" s="49" t="n"/>
      <c r="D494" s="49" t="n"/>
      <c r="E494" s="49" t="n"/>
    </row>
    <row r="495">
      <c r="B495" s="49" t="n"/>
      <c r="C495" s="49" t="n"/>
      <c r="D495" s="49" t="n"/>
      <c r="E495" s="49" t="n"/>
    </row>
    <row r="496">
      <c r="B496" s="49" t="n"/>
      <c r="C496" s="49" t="n"/>
      <c r="D496" s="49" t="n"/>
      <c r="E496" s="49" t="n"/>
    </row>
    <row r="497">
      <c r="B497" s="49" t="n"/>
      <c r="C497" s="49" t="n"/>
      <c r="D497" s="49" t="n"/>
      <c r="E497" s="49" t="n"/>
    </row>
    <row r="498">
      <c r="B498" s="49" t="n"/>
      <c r="C498" s="49" t="n"/>
      <c r="D498" s="49" t="n"/>
      <c r="E498" s="49" t="n"/>
    </row>
    <row r="499">
      <c r="B499" s="49" t="n"/>
      <c r="C499" s="49" t="n"/>
      <c r="D499" s="49" t="n"/>
      <c r="E499" s="49" t="n"/>
    </row>
    <row r="500">
      <c r="B500" s="49" t="n"/>
      <c r="C500" s="49" t="n"/>
      <c r="D500" s="49" t="n"/>
      <c r="E500" s="49" t="n"/>
    </row>
    <row r="501">
      <c r="B501" s="49" t="n"/>
      <c r="C501" s="49" t="n"/>
      <c r="D501" s="49" t="n"/>
      <c r="E501" s="49" t="n"/>
    </row>
    <row r="502">
      <c r="B502" s="49" t="n"/>
      <c r="C502" s="49" t="n"/>
      <c r="D502" s="49" t="n"/>
      <c r="E502" s="49" t="n"/>
    </row>
    <row r="503">
      <c r="B503" s="49" t="n"/>
      <c r="C503" s="49" t="n"/>
      <c r="D503" s="49" t="n"/>
      <c r="E503" s="49" t="n"/>
    </row>
    <row r="504">
      <c r="B504" s="49" t="n"/>
      <c r="C504" s="49" t="n"/>
      <c r="D504" s="49" t="n"/>
      <c r="E504" s="49" t="n"/>
    </row>
    <row r="505">
      <c r="B505" s="49" t="n"/>
      <c r="C505" s="49" t="n"/>
      <c r="D505" s="49" t="n"/>
      <c r="E505" s="49" t="n"/>
    </row>
    <row r="506">
      <c r="B506" s="49" t="n"/>
      <c r="C506" s="49" t="n"/>
      <c r="D506" s="49" t="n"/>
      <c r="E506" s="49" t="n"/>
    </row>
    <row r="507">
      <c r="B507" s="49" t="n"/>
      <c r="C507" s="49" t="n"/>
      <c r="D507" s="49" t="n"/>
      <c r="E507" s="49" t="n"/>
    </row>
    <row r="508">
      <c r="B508" s="49" t="n"/>
      <c r="C508" s="49" t="n"/>
      <c r="D508" s="49" t="n"/>
      <c r="E508" s="49" t="n"/>
    </row>
    <row r="509">
      <c r="B509" s="49" t="n"/>
      <c r="C509" s="49" t="n"/>
      <c r="D509" s="49" t="n"/>
      <c r="E509" s="49" t="n"/>
    </row>
    <row r="510">
      <c r="B510" s="49" t="n"/>
      <c r="C510" s="49" t="n"/>
      <c r="D510" s="49" t="n"/>
      <c r="E510" s="49" t="n"/>
    </row>
    <row r="511">
      <c r="B511" s="49" t="n"/>
      <c r="C511" s="49" t="n"/>
      <c r="D511" s="49" t="n"/>
      <c r="E511" s="49" t="n"/>
    </row>
    <row r="512">
      <c r="B512" s="49" t="n"/>
      <c r="C512" s="49" t="n"/>
      <c r="D512" s="49" t="n"/>
      <c r="E512" s="49" t="n"/>
    </row>
    <row r="513">
      <c r="B513" s="49" t="n"/>
      <c r="C513" s="49" t="n"/>
      <c r="D513" s="49" t="n"/>
      <c r="E513" s="49" t="n"/>
    </row>
    <row r="514">
      <c r="B514" s="49" t="n"/>
      <c r="C514" s="49" t="n"/>
      <c r="D514" s="49" t="n"/>
      <c r="E514" s="49" t="n"/>
    </row>
    <row r="515">
      <c r="B515" s="49" t="n"/>
      <c r="C515" s="49" t="n"/>
      <c r="D515" s="49" t="n"/>
      <c r="E515" s="49" t="n"/>
    </row>
    <row r="516">
      <c r="B516" s="49" t="n"/>
      <c r="C516" s="49" t="n"/>
      <c r="D516" s="49" t="n"/>
      <c r="E516" s="49" t="n"/>
    </row>
    <row r="517">
      <c r="B517" s="49" t="n"/>
      <c r="C517" s="49" t="n"/>
      <c r="D517" s="49" t="n"/>
      <c r="E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AND(LEN($B17&amp;$C17&amp;$D17&amp;$E17)&gt;0,B17="")</formula>
    </cfRule>
  </conditionalFormatting>
  <conditionalFormatting sqref="C17:C517">
    <cfRule type="expression" priority="3" dxfId="6">
      <formula>AND(LEN($B17&amp;$C17&amp;$D17&amp;$E17)&gt;0,C17="")</formula>
    </cfRule>
  </conditionalFormatting>
  <conditionalFormatting sqref="D17:D517">
    <cfRule type="expression" priority="4" dxfId="6">
      <formula>AND(LEN($B17&amp;$C17&amp;$D17&amp;$E17)&gt;0,D17="")</formula>
    </cfRule>
  </conditionalFormatting>
  <conditionalFormatting sqref="E17:E517">
    <cfRule type="expression" priority="5" dxfId="6">
      <formula>AND(LEN($B17&amp;$C17&amp;$D17&amp;$E17)&gt;0,E17="")</formula>
    </cfRule>
  </conditionalFormatting>
  <dataValidations count="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Dimension" error="Choose a value of the list Dimension (D0-04) (sheet Reference lists)." promptTitle="Dimension" prompt="Yes. Dimension of the value Allowed: COST_CENTER, BUSINESS_LINE, DEPARTMENT (list Dimension (D0-04))" type="list" errorStyle="stop">
      <formula1>=LIST_D0_04_DIMENSION</formula1>
    </dataValidation>
    <dataValidation sqref="C17:C517" showDropDown="0" showInputMessage="1" showErrorMessage="0" allowBlank="1" promptTitle="Code" prompt="Yes. Code of the value"/>
    <dataValidation sqref="D17:D517" showDropDown="0" showInputMessage="1" showErrorMessage="0" allowBlank="1" promptTitle="Name" prompt="Yes. Name shown on screens and reports"/>
    <dataValidation sqref="E17:E517" showDropDown="0" showInputMessage="1" showErrorMessage="1" allowBlank="1" errorTitle="Active" error="Choose a value of the list Yes or no (sheet Reference lists)." promptTitle="Active" prompt="Yes. N keeps the value for history only Allowed: Y or N" type="list" errorStyle="stop">
      <formula1>=LIST_YES_NO</formula1>
    </dataValidation>
  </dataValidations>
  <hyperlinks>
    <hyperlink ref="A2" location="'Start here'!A1"/>
    <hyperlink ref="G2" location="'Questions and comments'!A1"/>
    <hyperlink ref="B14" location="'Reference lists'!A27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8" customWidth="1" min="3" max="3"/>
    <col width="18" customWidth="1" min="4" max="4"/>
    <col width="18" customWidth="1" min="5" max="5"/>
    <col width="18" customWidth="1" min="6" max="6"/>
    <col width="19" customWidth="1" min="7" max="7"/>
    <col width="14" customWidth="1" min="8" max="8"/>
    <col width="23.63636363636363" customWidth="1" min="9" max="9"/>
  </cols>
  <sheetData>
    <row r="1" ht="26" customHeight="1">
      <c r="A1" s="25" t="inlineStr">
        <is>
          <t>D0-07 Account categories and numbering</t>
        </is>
      </c>
      <c r="I1" s="26" t="inlineStr">
        <is>
          <t>Step 3 of 52</t>
        </is>
      </c>
    </row>
    <row r="2">
      <c r="A2" s="27" t="inlineStr">
        <is>
          <t>← Back to Start here</t>
        </is>
      </c>
      <c r="B2" s="28" t="inlineStr">
        <is>
          <t>Step 3 of 52. Fill in one row per record below the column headers; the guide above each column says what to enter.</t>
        </is>
      </c>
      <c r="I2" s="29" t="inlineStr">
        <is>
          <t>Ask a question →</t>
        </is>
      </c>
    </row>
    <row r="3" outlineLevel="1" ht="15.5" customHeight="1">
      <c r="A3" s="30" t="inlineStr">
        <is>
          <t>Purpose</t>
        </is>
      </c>
      <c r="B3" s="31" t="inlineStr">
        <is>
          <t>The GL categories and the numbering scheme under each parent account</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Upload on the configuration screen Finance › General Ledger › Chart Upload, approved by a second user</t>
        </is>
      </c>
    </row>
    <row r="7" outlineLevel="1" ht="15.5" customHeight="1">
      <c r="A7" s="30" t="inlineStr">
        <is>
          <t>Source</t>
        </is>
      </c>
      <c r="B7" s="31" t="inlineStr">
        <is>
          <t>Upload template of the configuration screen (the same columns, headers, mandatory flags and allowed values)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SUMPRODUCT(((ROW($B$17:$B$517)&gt;17)+($B$17&lt;&gt;"CATEGORY")&gt;0)*(LEN($B$17:$B$517&amp;$C$17:$C$517&amp;$D$17:$D$517&amp;$E$17:$E$517&amp;$F$17:$F$517&amp;$G$17:$G$517&amp;$H$17:$H$517&amp;$I$17:$I$517)&gt;0))</f>
        <v/>
      </c>
      <c r="D9" s="35" t="inlineStr">
        <is>
          <t>Mandatory cells missing</t>
        </is>
      </c>
      <c r="E9" s="36">
        <f>SUMPRODUCT(((ROW($B$17:$B$517)&gt;17)+($B$17&lt;&gt;"CATEGORY")&gt;0)*(LEN($B$17:$B$517&amp;$C$17:$C$517&amp;$D$17:$D$517&amp;$E$17:$E$517&amp;$F$17:$F$517&amp;$G$17:$G$517&amp;$H$17:$H$517&amp;$I$17:$I$517)&gt;0)*(($B$17:$B$517="")))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Mandatory</t>
        </is>
      </c>
      <c r="B12" s="42" t="inlineStr">
        <is>
          <t>Yes</t>
        </is>
      </c>
      <c r="C12" s="43" t="inlineStr">
        <is>
          <t>Conditional: CATEGORY</t>
        </is>
      </c>
      <c r="D12" s="43" t="inlineStr">
        <is>
          <t>Conditional: CATEGORY</t>
        </is>
      </c>
      <c r="E12" s="43" t="inlineStr">
        <is>
          <t>Conditional: CATEGORY</t>
        </is>
      </c>
      <c r="F12" s="43" t="inlineStr">
        <is>
          <t>Conditional: CATEGORY</t>
        </is>
      </c>
      <c r="G12" s="43" t="inlineStr">
        <is>
          <t>Conditional: NUMBERING</t>
        </is>
      </c>
      <c r="H12" s="43" t="inlineStr">
        <is>
          <t>Conditional: NUMBERING</t>
        </is>
      </c>
      <c r="I12" s="43" t="inlineStr">
        <is>
          <t>Conditional: NUMBERING</t>
        </is>
      </c>
    </row>
    <row r="13" ht="30" customHeight="1">
      <c r="A13" s="41" t="inlineStr">
        <is>
          <t>Format</t>
        </is>
      </c>
      <c r="B13" s="43" t="inlineStr">
        <is>
          <t>Code from the drop-down</t>
        </is>
      </c>
      <c r="C13" s="43" t="inlineStr">
        <is>
          <t>Text</t>
        </is>
      </c>
      <c r="D13" s="43" t="inlineStr">
        <is>
          <t>Text</t>
        </is>
      </c>
      <c r="E13" s="43" t="inlineStr">
        <is>
          <t>Code from the drop-down</t>
        </is>
      </c>
      <c r="F13" s="43" t="inlineStr">
        <is>
          <t>Y or N</t>
        </is>
      </c>
      <c r="G13" s="43" t="inlineStr">
        <is>
          <t>Text</t>
        </is>
      </c>
      <c r="H13" s="43" t="inlineStr">
        <is>
          <t>Code from the drop-down</t>
        </is>
      </c>
      <c r="I13" s="43" t="inlineStr">
        <is>
          <t>Number without thousands separators, e.g. 1500000.50</t>
        </is>
      </c>
    </row>
    <row r="14" ht="56" customHeight="1">
      <c r="A14" s="41" t="inlineStr">
        <is>
          <t>Allowed values</t>
        </is>
      </c>
      <c r="B14" s="51" t="inlineStr">
        <is>
          <t>CATEGORY, NUMBERING (list Row (D0-07))</t>
        </is>
      </c>
      <c r="C14" s="43" t="inlineStr">
        <is>
          <t>Free entry</t>
        </is>
      </c>
      <c r="D14" s="43" t="inlineStr">
        <is>
          <t>Free entry</t>
        </is>
      </c>
      <c r="E14" s="51" t="inlineStr">
        <is>
          <t>ASSET, LIABILITY, EQUITY, INCOME, EXPENSE, MEMORANDUM (list Account class (D0-07))</t>
        </is>
      </c>
      <c r="F14" s="43" t="inlineStr">
        <is>
          <t>Y or N</t>
        </is>
      </c>
      <c r="G14" s="43" t="inlineStr">
        <is>
          <t>Code of an existing account of the chart of accounts</t>
        </is>
      </c>
      <c r="H14" s="51" t="inlineStr">
        <is>
          <t>., - (list Separator (D0-07))</t>
        </is>
      </c>
      <c r="I14" s="43" t="inlineStr">
        <is>
          <t>A whole number from 1 to 6</t>
        </is>
      </c>
    </row>
    <row r="15" ht="43" customHeight="1">
      <c r="A15" s="41" t="inlineStr">
        <is>
          <t>What to enter</t>
        </is>
      </c>
      <c r="B15" s="43" t="inlineStr">
        <is>
          <t>What the row defines</t>
        </is>
      </c>
      <c r="C15" s="43" t="inlineStr">
        <is>
          <t>GL category</t>
        </is>
      </c>
      <c r="D15" s="43" t="inlineStr">
        <is>
          <t>Name of the category</t>
        </is>
      </c>
      <c r="E15" s="43" t="inlineStr">
        <is>
          <t>Class of the accounts of the category</t>
        </is>
      </c>
      <c r="F15" s="43" t="inlineStr">
        <is>
          <t>Y for the accounts of bank accounts</t>
        </is>
      </c>
      <c r="G15" s="43" t="inlineStr">
        <is>
          <t>Parent whose children are numbered</t>
        </is>
      </c>
      <c r="H15" s="43" t="inlineStr">
        <is>
          <t>Between the parent code and the running number</t>
        </is>
      </c>
      <c r="I15" s="43" t="inlineStr">
        <is>
          <t>Digits of the running number</t>
        </is>
      </c>
    </row>
    <row r="16" ht="30" customHeight="1">
      <c r="A16" s="44" t="inlineStr">
        <is>
          <t>Row</t>
        </is>
      </c>
      <c r="B16" s="45" t="inlineStr">
        <is>
          <t>Row *</t>
        </is>
      </c>
      <c r="C16" s="45" t="inlineStr">
        <is>
          <t>Category code</t>
        </is>
      </c>
      <c r="D16" s="45" t="inlineStr">
        <is>
          <t>Category name</t>
        </is>
      </c>
      <c r="E16" s="45" t="inlineStr">
        <is>
          <t>Account class</t>
        </is>
      </c>
      <c r="F16" s="45" t="inlineStr">
        <is>
          <t>Bank category</t>
        </is>
      </c>
      <c r="G16" s="45" t="inlineStr">
        <is>
          <t>Parent account</t>
        </is>
      </c>
      <c r="H16" s="45" t="inlineStr">
        <is>
          <t>Separator</t>
        </is>
      </c>
      <c r="I16" s="45" t="inlineStr">
        <is>
          <t>Width</t>
        </is>
      </c>
    </row>
    <row r="17" ht="18" customHeight="1">
      <c r="A17" s="46" t="inlineStr">
        <is>
          <t>Example – overwrite or delete</t>
        </is>
      </c>
      <c r="B17" s="47" t="inlineStr">
        <is>
          <t>CATEGORY</t>
        </is>
      </c>
      <c r="C17" s="47" t="inlineStr">
        <is>
          <t>CASH_IN_BANK</t>
        </is>
      </c>
      <c r="D17" s="47" t="inlineStr">
        <is>
          <t>Cash in bank</t>
        </is>
      </c>
      <c r="E17" s="47" t="inlineStr">
        <is>
          <t>ASSET</t>
        </is>
      </c>
      <c r="F17" s="47" t="inlineStr">
        <is>
          <t>Y</t>
        </is>
      </c>
      <c r="G17" s="47" t="inlineStr">
        <is>
          <t>1110</t>
        </is>
      </c>
      <c r="H17" s="47" t="inlineStr">
        <is>
          <t>.</t>
        </is>
      </c>
      <c r="I17" s="52" t="n">
        <v>2</v>
      </c>
    </row>
    <row r="18">
      <c r="B18" s="49" t="n"/>
      <c r="C18" s="49" t="n"/>
      <c r="D18" s="49" t="n"/>
      <c r="E18" s="49" t="n"/>
      <c r="F18" s="49" t="n"/>
      <c r="G18" s="49" t="n"/>
      <c r="H18" s="49" t="n"/>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ow" error="Choose a value of the list Row (D0-07) (sheet Reference lists)." promptTitle="Row" prompt="Yes. What the row defines Allowed: CATEGORY, NUMBERING (list Row (D0-07))" type="list" errorStyle="stop">
      <formula1>=LIST_D0_07_ROW</formula1>
    </dataValidation>
    <dataValidation sqref="C17:C517" showDropDown="0" showInputMessage="1" showErrorMessage="0" allowBlank="1" promptTitle="Category code" prompt="Conditional: CATEGORY. GL category"/>
    <dataValidation sqref="D17:D517" showDropDown="0" showInputMessage="1" showErrorMessage="0" allowBlank="1" promptTitle="Category name" prompt="Conditional: CATEGORY. Name of the category"/>
    <dataValidation sqref="E17:E517" showDropDown="0" showInputMessage="1" showErrorMessage="1" allowBlank="1" errorTitle="Account class" error="Choose a value of the list Account class (D0-07) (sheet Reference lists)." promptTitle="Account class" prompt="Conditional: CATEGORY. Class of the accounts of the category Allowed: ASSET, LIABILITY, EQUITY, INCOME, EXPENSE, MEMORANDUM (list Account class (D0-07))" type="list" errorStyle="stop">
      <formula1>=LIST_D0_07_ACCOUNT_CLASS</formula1>
    </dataValidation>
    <dataValidation sqref="F17:F517" showDropDown="0" showInputMessage="1" showErrorMessage="1" allowBlank="1" errorTitle="Bank category" error="Choose a value of the list Yes or no (sheet Reference lists)." promptTitle="Bank category" prompt="Conditional: CATEGORY. Y for the accounts of bank accounts Allowed: Y or N" type="list" errorStyle="stop">
      <formula1>=LIST_YES_NO</formula1>
    </dataValidation>
    <dataValidation sqref="G17:G517" showDropDown="0" showInputMessage="1" showErrorMessage="0" allowBlank="1" promptTitle="Parent account" prompt="Conditional: NUMBERING. Parent whose children are numbered Allowed: Code of an existing account of the chart of accounts"/>
    <dataValidation sqref="H17:H517" showDropDown="0" showInputMessage="1" showErrorMessage="1" allowBlank="1" errorTitle="Separator" error="Choose a value of the list Separator (D0-07) (sheet Reference lists)." promptTitle="Separator" prompt="Conditional: NUMBERING. Between the parent code and the running number Allowed: ., - (list Separator (D0-07))" type="list" errorStyle="stop">
      <formula1>=LIST_D0_07_SEPARATOR</formula1>
    </dataValidation>
    <dataValidation sqref="I17:I517" showDropDown="0" showInputMessage="1" showErrorMessage="1" allowBlank="1" errorTitle="Width" error="Enter a whole number from 1 to 6." promptTitle="Width" prompt="Conditional: NUMBERING. Digits of the running number Allowed: A whole number from 1 to 6" type="whole" operator="between">
      <formula1>1</formula1>
      <formula2>6</formula2>
    </dataValidation>
  </dataValidations>
  <hyperlinks>
    <hyperlink ref="A2" location="'Start here'!A1"/>
    <hyperlink ref="I2" location="'Questions and comments'!A1"/>
    <hyperlink ref="B14" location="'Reference lists'!A328"/>
    <hyperlink ref="E14" location="'Reference lists'!A330"/>
    <hyperlink ref="H14" location="'Reference lists'!A33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00004EA8"/>
    <outlinePr summaryBelow="0" summaryRight="1"/>
    <pageSetUpPr fitToPage="1"/>
  </sheetPr>
  <dimension ref="A1:G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8" customWidth="1" min="2" max="2"/>
    <col width="12" customWidth="1" min="3" max="3"/>
    <col width="12" customWidth="1" min="4" max="4"/>
    <col width="19" customWidth="1" min="5" max="5"/>
    <col width="12" customWidth="1" min="6" max="6"/>
    <col width="12" customWidth="1" min="7" max="7"/>
  </cols>
  <sheetData>
    <row r="1" ht="26" customHeight="1">
      <c r="A1" s="25" t="inlineStr">
        <is>
          <t>MD-02 Currencies</t>
        </is>
      </c>
      <c r="G1" s="26" t="inlineStr">
        <is>
          <t>Step 4 of 52</t>
        </is>
      </c>
    </row>
    <row r="2">
      <c r="A2" s="27" t="inlineStr">
        <is>
          <t>← Back to Start here</t>
        </is>
      </c>
      <c r="B2" s="28" t="inlineStr">
        <is>
          <t>Step 4 of 52. Fill in one row per record below the column headers; the guide above each column says what to enter.</t>
        </is>
      </c>
      <c r="G2" s="29" t="inlineStr">
        <is>
          <t>Ask a question →</t>
        </is>
      </c>
    </row>
    <row r="3" outlineLevel="1" ht="28" customHeight="1">
      <c r="A3" s="30" t="inlineStr">
        <is>
          <t>Purpose</t>
        </is>
      </c>
      <c r="B3" s="31" t="inlineStr">
        <is>
          <t>One row per currency BIBS accepts on transactions and bank accounts: the base currency PHP and each foreign currency BDOI deals in.</t>
        </is>
      </c>
    </row>
    <row r="4" outlineLevel="1" ht="15.5" customHeight="1">
      <c r="A4" s="30" t="inlineStr">
        <is>
          <t>Provided by</t>
        </is>
      </c>
      <c r="B4" s="31" t="inlineStr">
        <is>
          <t>Head, Comptrollership (Treasury)</t>
        </is>
      </c>
    </row>
    <row r="5" outlineLevel="1" ht="15.5" customHeight="1">
      <c r="A5" s="30" t="inlineStr">
        <is>
          <t>Due</t>
        </is>
      </c>
      <c r="B5" s="32" t="inlineStr">
        <is>
          <t>4-Jan-2027 – Platform set-up for Drop 1 SIT</t>
        </is>
      </c>
    </row>
    <row r="6" outlineLevel="1" ht="15.5" customHeight="1">
      <c r="A6" s="30" t="inlineStr">
        <is>
          <t>How it is loaded</t>
        </is>
      </c>
      <c r="B6" s="31" t="inlineStr">
        <is>
          <t>Configuration screen: Setup &amp; Administration › Setup › Currencies &amp; Rates, authorised by a second user</t>
        </is>
      </c>
    </row>
    <row r="7" outlineLevel="1" ht="15.5" customHeight="1">
      <c r="A7" s="30" t="inlineStr">
        <is>
          <t>Source</t>
        </is>
      </c>
      <c r="B7" s="31" t="inlineStr">
        <is>
          <t>BDOI currency list</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SUMPRODUCT(((ROW($B$17:$B$317)&gt;17)+($B$17&lt;&gt;"USD")&gt;0)*(LEN($B$17:$B$317&amp;$C$17:$C$317&amp;$D$17:$D$317&amp;$E$17:$E$317&amp;$F$17:$F$317)&gt;0))</f>
        <v/>
      </c>
      <c r="D9" s="35" t="inlineStr">
        <is>
          <t>Mandatory cells missing</t>
        </is>
      </c>
      <c r="E9" s="36">
        <f>SUMPRODUCT(((ROW($B$17:$B$317)&gt;17)+($B$17&lt;&gt;"USD")&gt;0)*(LEN($B$17:$B$317&amp;$C$17:$C$317&amp;$D$17:$D$317&amp;$E$17:$E$317&amp;$F$17:$F$317)&gt;0)*(($B$17:$B$317="")+($C$17:$C$317="")+($E$17:$E$317="")+($F$17:$F$317="")))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3" t="inlineStr">
        <is>
          <t>No</t>
        </is>
      </c>
      <c r="E12" s="42" t="inlineStr">
        <is>
          <t>Yes</t>
        </is>
      </c>
      <c r="F12" s="42" t="inlineStr">
        <is>
          <t>Yes</t>
        </is>
      </c>
    </row>
    <row r="13" ht="30" customHeight="1">
      <c r="A13" s="41" t="inlineStr">
        <is>
          <t>Format</t>
        </is>
      </c>
      <c r="B13" s="43" t="inlineStr">
        <is>
          <t>ISO 4217, 3 capitals</t>
        </is>
      </c>
      <c r="C13" s="43" t="inlineStr">
        <is>
          <t>Text, up to 60</t>
        </is>
      </c>
      <c r="D13" s="43" t="inlineStr">
        <is>
          <t>Up to 5 characters</t>
        </is>
      </c>
      <c r="E13" s="43" t="inlineStr">
        <is>
          <t>Whole number 0 to 4</t>
        </is>
      </c>
      <c r="F13" s="43" t="inlineStr">
        <is>
          <t>Y or N</t>
        </is>
      </c>
    </row>
    <row r="14" ht="43" customHeight="1">
      <c r="A14" s="41" t="inlineStr">
        <is>
          <t>Allowed values</t>
        </is>
      </c>
      <c r="B14" s="43" t="inlineStr">
        <is>
          <t>Free entry, up to 3 characters</t>
        </is>
      </c>
      <c r="C14" s="43" t="inlineStr">
        <is>
          <t>Free entry, up to 60 characters</t>
        </is>
      </c>
      <c r="D14" s="43" t="inlineStr">
        <is>
          <t>Free entry, up to 5 characters</t>
        </is>
      </c>
      <c r="E14" s="43" t="inlineStr">
        <is>
          <t>A whole number from 0 to 4</t>
        </is>
      </c>
      <c r="F14" s="43" t="inlineStr">
        <is>
          <t>Y or N</t>
        </is>
      </c>
    </row>
    <row r="15" ht="43" customHeight="1">
      <c r="A15" s="41" t="inlineStr">
        <is>
          <t>What to enter</t>
        </is>
      </c>
      <c r="B15" s="43" t="inlineStr">
        <is>
          <t>Code of the currency</t>
        </is>
      </c>
      <c r="C15" s="43" t="inlineStr">
        <is>
          <t>Name of the currency</t>
        </is>
      </c>
      <c r="D15" s="43" t="inlineStr">
        <is>
          <t>Symbol printed on documents</t>
        </is>
      </c>
      <c r="E15" s="43" t="inlineStr">
        <is>
          <t>Decimals of the amounts in the currency</t>
        </is>
      </c>
      <c r="F15" s="43" t="inlineStr">
        <is>
          <t>Y when the currency may be used</t>
        </is>
      </c>
    </row>
    <row r="16" ht="30" customHeight="1">
      <c r="A16" s="44" t="inlineStr">
        <is>
          <t>Row</t>
        </is>
      </c>
      <c r="B16" s="45" t="inlineStr">
        <is>
          <t>Currency code *</t>
        </is>
      </c>
      <c r="C16" s="45" t="inlineStr">
        <is>
          <t>Name *</t>
        </is>
      </c>
      <c r="D16" s="45" t="inlineStr">
        <is>
          <t>Symbol</t>
        </is>
      </c>
      <c r="E16" s="45" t="inlineStr">
        <is>
          <t>Decimal places *</t>
        </is>
      </c>
      <c r="F16" s="45" t="inlineStr">
        <is>
          <t>Active *</t>
        </is>
      </c>
    </row>
    <row r="17" ht="18" customHeight="1">
      <c r="A17" s="46" t="inlineStr">
        <is>
          <t>Example – overwrite or delete</t>
        </is>
      </c>
      <c r="B17" s="47" t="inlineStr">
        <is>
          <t>USD</t>
        </is>
      </c>
      <c r="C17" s="47" t="inlineStr">
        <is>
          <t>US dollar</t>
        </is>
      </c>
      <c r="D17" s="47" t="inlineStr">
        <is>
          <t>$</t>
        </is>
      </c>
      <c r="E17" s="52" t="n">
        <v>2</v>
      </c>
      <c r="F17" s="47" t="inlineStr">
        <is>
          <t>Y</t>
        </is>
      </c>
    </row>
    <row r="18">
      <c r="B18" s="49" t="n"/>
      <c r="C18" s="49" t="n"/>
      <c r="D18" s="49" t="n"/>
      <c r="F18" s="49" t="n"/>
    </row>
    <row r="19">
      <c r="B19" s="49" t="n"/>
      <c r="C19" s="49" t="n"/>
      <c r="D19" s="49" t="n"/>
      <c r="F19" s="49" t="n"/>
    </row>
    <row r="20">
      <c r="B20" s="49" t="n"/>
      <c r="C20" s="49" t="n"/>
      <c r="D20" s="49" t="n"/>
      <c r="F20" s="49" t="n"/>
    </row>
    <row r="21">
      <c r="B21" s="49" t="n"/>
      <c r="C21" s="49" t="n"/>
      <c r="D21" s="49" t="n"/>
      <c r="F21" s="49" t="n"/>
    </row>
    <row r="22">
      <c r="B22" s="49" t="n"/>
      <c r="C22" s="49" t="n"/>
      <c r="D22" s="49" t="n"/>
      <c r="F22" s="49" t="n"/>
    </row>
    <row r="23">
      <c r="B23" s="49" t="n"/>
      <c r="C23" s="49" t="n"/>
      <c r="D23" s="49" t="n"/>
      <c r="F23" s="49" t="n"/>
    </row>
    <row r="24">
      <c r="B24" s="49" t="n"/>
      <c r="C24" s="49" t="n"/>
      <c r="D24" s="49" t="n"/>
      <c r="F24" s="49" t="n"/>
    </row>
    <row r="25">
      <c r="B25" s="49" t="n"/>
      <c r="C25" s="49" t="n"/>
      <c r="D25" s="49" t="n"/>
      <c r="F25" s="49" t="n"/>
    </row>
    <row r="26">
      <c r="B26" s="49" t="n"/>
      <c r="C26" s="49" t="n"/>
      <c r="D26" s="49" t="n"/>
      <c r="F26" s="49" t="n"/>
    </row>
    <row r="27">
      <c r="B27" s="49" t="n"/>
      <c r="C27" s="49" t="n"/>
      <c r="D27" s="49" t="n"/>
      <c r="F27" s="49" t="n"/>
    </row>
    <row r="28">
      <c r="B28" s="49" t="n"/>
      <c r="C28" s="49" t="n"/>
      <c r="D28" s="49" t="n"/>
      <c r="F28" s="49" t="n"/>
    </row>
    <row r="29">
      <c r="B29" s="49" t="n"/>
      <c r="C29" s="49" t="n"/>
      <c r="D29" s="49" t="n"/>
      <c r="F29" s="49" t="n"/>
    </row>
    <row r="30">
      <c r="B30" s="49" t="n"/>
      <c r="C30" s="49" t="n"/>
      <c r="D30" s="49" t="n"/>
      <c r="F30" s="49" t="n"/>
    </row>
    <row r="31">
      <c r="B31" s="49" t="n"/>
      <c r="C31" s="49" t="n"/>
      <c r="D31" s="49" t="n"/>
      <c r="F31" s="49" t="n"/>
    </row>
    <row r="32">
      <c r="B32" s="49" t="n"/>
      <c r="C32" s="49" t="n"/>
      <c r="D32" s="49" t="n"/>
      <c r="F32" s="49" t="n"/>
    </row>
    <row r="33">
      <c r="B33" s="49" t="n"/>
      <c r="C33" s="49" t="n"/>
      <c r="D33" s="49" t="n"/>
      <c r="F33" s="49" t="n"/>
    </row>
    <row r="34">
      <c r="B34" s="49" t="n"/>
      <c r="C34" s="49" t="n"/>
      <c r="D34" s="49" t="n"/>
      <c r="F34" s="49" t="n"/>
    </row>
    <row r="35">
      <c r="B35" s="49" t="n"/>
      <c r="C35" s="49" t="n"/>
      <c r="D35" s="49" t="n"/>
      <c r="F35" s="49" t="n"/>
    </row>
    <row r="36">
      <c r="B36" s="49" t="n"/>
      <c r="C36" s="49" t="n"/>
      <c r="D36" s="49" t="n"/>
      <c r="F36" s="49" t="n"/>
    </row>
    <row r="37">
      <c r="B37" s="49" t="n"/>
      <c r="C37" s="49" t="n"/>
      <c r="D37" s="49" t="n"/>
      <c r="F37" s="49" t="n"/>
    </row>
    <row r="38">
      <c r="B38" s="49" t="n"/>
      <c r="C38" s="49" t="n"/>
      <c r="D38" s="49" t="n"/>
      <c r="F38" s="49" t="n"/>
    </row>
    <row r="39">
      <c r="B39" s="49" t="n"/>
      <c r="C39" s="49" t="n"/>
      <c r="D39" s="49" t="n"/>
      <c r="F39" s="49" t="n"/>
    </row>
    <row r="40">
      <c r="B40" s="49" t="n"/>
      <c r="C40" s="49" t="n"/>
      <c r="D40" s="49" t="n"/>
      <c r="F40" s="49" t="n"/>
    </row>
    <row r="41">
      <c r="B41" s="49" t="n"/>
      <c r="C41" s="49" t="n"/>
      <c r="D41" s="49" t="n"/>
      <c r="F41" s="49" t="n"/>
    </row>
    <row r="42">
      <c r="B42" s="49" t="n"/>
      <c r="C42" s="49" t="n"/>
      <c r="D42" s="49" t="n"/>
      <c r="F42" s="49" t="n"/>
    </row>
    <row r="43">
      <c r="B43" s="49" t="n"/>
      <c r="C43" s="49" t="n"/>
      <c r="D43" s="49" t="n"/>
      <c r="F43" s="49" t="n"/>
    </row>
    <row r="44">
      <c r="B44" s="49" t="n"/>
      <c r="C44" s="49" t="n"/>
      <c r="D44" s="49" t="n"/>
      <c r="F44" s="49" t="n"/>
    </row>
    <row r="45">
      <c r="B45" s="49" t="n"/>
      <c r="C45" s="49" t="n"/>
      <c r="D45" s="49" t="n"/>
      <c r="F45" s="49" t="n"/>
    </row>
    <row r="46">
      <c r="B46" s="49" t="n"/>
      <c r="C46" s="49" t="n"/>
      <c r="D46" s="49" t="n"/>
      <c r="F46" s="49" t="n"/>
    </row>
    <row r="47">
      <c r="B47" s="49" t="n"/>
      <c r="C47" s="49" t="n"/>
      <c r="D47" s="49" t="n"/>
      <c r="F47" s="49" t="n"/>
    </row>
    <row r="48">
      <c r="B48" s="49" t="n"/>
      <c r="C48" s="49" t="n"/>
      <c r="D48" s="49" t="n"/>
      <c r="F48" s="49" t="n"/>
    </row>
    <row r="49">
      <c r="B49" s="49" t="n"/>
      <c r="C49" s="49" t="n"/>
      <c r="D49" s="49" t="n"/>
      <c r="F49" s="49" t="n"/>
    </row>
    <row r="50">
      <c r="B50" s="49" t="n"/>
      <c r="C50" s="49" t="n"/>
      <c r="D50" s="49" t="n"/>
      <c r="F50" s="49" t="n"/>
    </row>
    <row r="51">
      <c r="B51" s="49" t="n"/>
      <c r="C51" s="49" t="n"/>
      <c r="D51" s="49" t="n"/>
      <c r="F51" s="49" t="n"/>
    </row>
    <row r="52">
      <c r="B52" s="49" t="n"/>
      <c r="C52" s="49" t="n"/>
      <c r="D52" s="49" t="n"/>
      <c r="F52" s="49" t="n"/>
    </row>
    <row r="53">
      <c r="B53" s="49" t="n"/>
      <c r="C53" s="49" t="n"/>
      <c r="D53" s="49" t="n"/>
      <c r="F53" s="49" t="n"/>
    </row>
    <row r="54">
      <c r="B54" s="49" t="n"/>
      <c r="C54" s="49" t="n"/>
      <c r="D54" s="49" t="n"/>
      <c r="F54" s="49" t="n"/>
    </row>
    <row r="55">
      <c r="B55" s="49" t="n"/>
      <c r="C55" s="49" t="n"/>
      <c r="D55" s="49" t="n"/>
      <c r="F55" s="49" t="n"/>
    </row>
    <row r="56">
      <c r="B56" s="49" t="n"/>
      <c r="C56" s="49" t="n"/>
      <c r="D56" s="49" t="n"/>
      <c r="F56" s="49" t="n"/>
    </row>
    <row r="57">
      <c r="B57" s="49" t="n"/>
      <c r="C57" s="49" t="n"/>
      <c r="D57" s="49" t="n"/>
      <c r="F57" s="49" t="n"/>
    </row>
    <row r="58">
      <c r="B58" s="49" t="n"/>
      <c r="C58" s="49" t="n"/>
      <c r="D58" s="49" t="n"/>
      <c r="F58" s="49" t="n"/>
    </row>
    <row r="59">
      <c r="B59" s="49" t="n"/>
      <c r="C59" s="49" t="n"/>
      <c r="D59" s="49" t="n"/>
      <c r="F59" s="49" t="n"/>
    </row>
    <row r="60">
      <c r="B60" s="49" t="n"/>
      <c r="C60" s="49" t="n"/>
      <c r="D60" s="49" t="n"/>
      <c r="F60" s="49" t="n"/>
    </row>
    <row r="61">
      <c r="B61" s="49" t="n"/>
      <c r="C61" s="49" t="n"/>
      <c r="D61" s="49" t="n"/>
      <c r="F61" s="49" t="n"/>
    </row>
    <row r="62">
      <c r="B62" s="49" t="n"/>
      <c r="C62" s="49" t="n"/>
      <c r="D62" s="49" t="n"/>
      <c r="F62" s="49" t="n"/>
    </row>
    <row r="63">
      <c r="B63" s="49" t="n"/>
      <c r="C63" s="49" t="n"/>
      <c r="D63" s="49" t="n"/>
      <c r="F63" s="49" t="n"/>
    </row>
    <row r="64">
      <c r="B64" s="49" t="n"/>
      <c r="C64" s="49" t="n"/>
      <c r="D64" s="49" t="n"/>
      <c r="F64" s="49" t="n"/>
    </row>
    <row r="65">
      <c r="B65" s="49" t="n"/>
      <c r="C65" s="49" t="n"/>
      <c r="D65" s="49" t="n"/>
      <c r="F65" s="49" t="n"/>
    </row>
    <row r="66">
      <c r="B66" s="49" t="n"/>
      <c r="C66" s="49" t="n"/>
      <c r="D66" s="49" t="n"/>
      <c r="F66" s="49" t="n"/>
    </row>
    <row r="67">
      <c r="B67" s="49" t="n"/>
      <c r="C67" s="49" t="n"/>
      <c r="D67" s="49" t="n"/>
      <c r="F67" s="49" t="n"/>
    </row>
    <row r="68">
      <c r="B68" s="49" t="n"/>
      <c r="C68" s="49" t="n"/>
      <c r="D68" s="49" t="n"/>
      <c r="F68" s="49" t="n"/>
    </row>
    <row r="69">
      <c r="B69" s="49" t="n"/>
      <c r="C69" s="49" t="n"/>
      <c r="D69" s="49" t="n"/>
      <c r="F69" s="49" t="n"/>
    </row>
    <row r="70">
      <c r="B70" s="49" t="n"/>
      <c r="C70" s="49" t="n"/>
      <c r="D70" s="49" t="n"/>
      <c r="F70" s="49" t="n"/>
    </row>
    <row r="71">
      <c r="B71" s="49" t="n"/>
      <c r="C71" s="49" t="n"/>
      <c r="D71" s="49" t="n"/>
      <c r="F71" s="49" t="n"/>
    </row>
    <row r="72">
      <c r="B72" s="49" t="n"/>
      <c r="C72" s="49" t="n"/>
      <c r="D72" s="49" t="n"/>
      <c r="F72" s="49" t="n"/>
    </row>
    <row r="73">
      <c r="B73" s="49" t="n"/>
      <c r="C73" s="49" t="n"/>
      <c r="D73" s="49" t="n"/>
      <c r="F73" s="49" t="n"/>
    </row>
    <row r="74">
      <c r="B74" s="49" t="n"/>
      <c r="C74" s="49" t="n"/>
      <c r="D74" s="49" t="n"/>
      <c r="F74" s="49" t="n"/>
    </row>
    <row r="75">
      <c r="B75" s="49" t="n"/>
      <c r="C75" s="49" t="n"/>
      <c r="D75" s="49" t="n"/>
      <c r="F75" s="49" t="n"/>
    </row>
    <row r="76">
      <c r="B76" s="49" t="n"/>
      <c r="C76" s="49" t="n"/>
      <c r="D76" s="49" t="n"/>
      <c r="F76" s="49" t="n"/>
    </row>
    <row r="77">
      <c r="B77" s="49" t="n"/>
      <c r="C77" s="49" t="n"/>
      <c r="D77" s="49" t="n"/>
      <c r="F77" s="49" t="n"/>
    </row>
    <row r="78">
      <c r="B78" s="49" t="n"/>
      <c r="C78" s="49" t="n"/>
      <c r="D78" s="49" t="n"/>
      <c r="F78" s="49" t="n"/>
    </row>
    <row r="79">
      <c r="B79" s="49" t="n"/>
      <c r="C79" s="49" t="n"/>
      <c r="D79" s="49" t="n"/>
      <c r="F79" s="49" t="n"/>
    </row>
    <row r="80">
      <c r="B80" s="49" t="n"/>
      <c r="C80" s="49" t="n"/>
      <c r="D80" s="49" t="n"/>
      <c r="F80" s="49" t="n"/>
    </row>
    <row r="81">
      <c r="B81" s="49" t="n"/>
      <c r="C81" s="49" t="n"/>
      <c r="D81" s="49" t="n"/>
      <c r="F81" s="49" t="n"/>
    </row>
    <row r="82">
      <c r="B82" s="49" t="n"/>
      <c r="C82" s="49" t="n"/>
      <c r="D82" s="49" t="n"/>
      <c r="F82" s="49" t="n"/>
    </row>
    <row r="83">
      <c r="B83" s="49" t="n"/>
      <c r="C83" s="49" t="n"/>
      <c r="D83" s="49" t="n"/>
      <c r="F83" s="49" t="n"/>
    </row>
    <row r="84">
      <c r="B84" s="49" t="n"/>
      <c r="C84" s="49" t="n"/>
      <c r="D84" s="49" t="n"/>
      <c r="F84" s="49" t="n"/>
    </row>
    <row r="85">
      <c r="B85" s="49" t="n"/>
      <c r="C85" s="49" t="n"/>
      <c r="D85" s="49" t="n"/>
      <c r="F85" s="49" t="n"/>
    </row>
    <row r="86">
      <c r="B86" s="49" t="n"/>
      <c r="C86" s="49" t="n"/>
      <c r="D86" s="49" t="n"/>
      <c r="F86" s="49" t="n"/>
    </row>
    <row r="87">
      <c r="B87" s="49" t="n"/>
      <c r="C87" s="49" t="n"/>
      <c r="D87" s="49" t="n"/>
      <c r="F87" s="49" t="n"/>
    </row>
    <row r="88">
      <c r="B88" s="49" t="n"/>
      <c r="C88" s="49" t="n"/>
      <c r="D88" s="49" t="n"/>
      <c r="F88" s="49" t="n"/>
    </row>
    <row r="89">
      <c r="B89" s="49" t="n"/>
      <c r="C89" s="49" t="n"/>
      <c r="D89" s="49" t="n"/>
      <c r="F89" s="49" t="n"/>
    </row>
    <row r="90">
      <c r="B90" s="49" t="n"/>
      <c r="C90" s="49" t="n"/>
      <c r="D90" s="49" t="n"/>
      <c r="F90" s="49" t="n"/>
    </row>
    <row r="91">
      <c r="B91" s="49" t="n"/>
      <c r="C91" s="49" t="n"/>
      <c r="D91" s="49" t="n"/>
      <c r="F91" s="49" t="n"/>
    </row>
    <row r="92">
      <c r="B92" s="49" t="n"/>
      <c r="C92" s="49" t="n"/>
      <c r="D92" s="49" t="n"/>
      <c r="F92" s="49" t="n"/>
    </row>
    <row r="93">
      <c r="B93" s="49" t="n"/>
      <c r="C93" s="49" t="n"/>
      <c r="D93" s="49" t="n"/>
      <c r="F93" s="49" t="n"/>
    </row>
    <row r="94">
      <c r="B94" s="49" t="n"/>
      <c r="C94" s="49" t="n"/>
      <c r="D94" s="49" t="n"/>
      <c r="F94" s="49" t="n"/>
    </row>
    <row r="95">
      <c r="B95" s="49" t="n"/>
      <c r="C95" s="49" t="n"/>
      <c r="D95" s="49" t="n"/>
      <c r="F95" s="49" t="n"/>
    </row>
    <row r="96">
      <c r="B96" s="49" t="n"/>
      <c r="C96" s="49" t="n"/>
      <c r="D96" s="49" t="n"/>
      <c r="F96" s="49" t="n"/>
    </row>
    <row r="97">
      <c r="B97" s="49" t="n"/>
      <c r="C97" s="49" t="n"/>
      <c r="D97" s="49" t="n"/>
      <c r="F97" s="49" t="n"/>
    </row>
    <row r="98">
      <c r="B98" s="49" t="n"/>
      <c r="C98" s="49" t="n"/>
      <c r="D98" s="49" t="n"/>
      <c r="F98" s="49" t="n"/>
    </row>
    <row r="99">
      <c r="B99" s="49" t="n"/>
      <c r="C99" s="49" t="n"/>
      <c r="D99" s="49" t="n"/>
      <c r="F99" s="49" t="n"/>
    </row>
    <row r="100">
      <c r="B100" s="49" t="n"/>
      <c r="C100" s="49" t="n"/>
      <c r="D100" s="49" t="n"/>
      <c r="F100" s="49" t="n"/>
    </row>
    <row r="101">
      <c r="B101" s="49" t="n"/>
      <c r="C101" s="49" t="n"/>
      <c r="D101" s="49" t="n"/>
      <c r="F101" s="49" t="n"/>
    </row>
    <row r="102">
      <c r="B102" s="49" t="n"/>
      <c r="C102" s="49" t="n"/>
      <c r="D102" s="49" t="n"/>
      <c r="F102" s="49" t="n"/>
    </row>
    <row r="103">
      <c r="B103" s="49" t="n"/>
      <c r="C103" s="49" t="n"/>
      <c r="D103" s="49" t="n"/>
      <c r="F103" s="49" t="n"/>
    </row>
    <row r="104">
      <c r="B104" s="49" t="n"/>
      <c r="C104" s="49" t="n"/>
      <c r="D104" s="49" t="n"/>
      <c r="F104" s="49" t="n"/>
    </row>
    <row r="105">
      <c r="B105" s="49" t="n"/>
      <c r="C105" s="49" t="n"/>
      <c r="D105" s="49" t="n"/>
      <c r="F105" s="49" t="n"/>
    </row>
    <row r="106">
      <c r="B106" s="49" t="n"/>
      <c r="C106" s="49" t="n"/>
      <c r="D106" s="49" t="n"/>
      <c r="F106" s="49" t="n"/>
    </row>
    <row r="107">
      <c r="B107" s="49" t="n"/>
      <c r="C107" s="49" t="n"/>
      <c r="D107" s="49" t="n"/>
      <c r="F107" s="49" t="n"/>
    </row>
    <row r="108">
      <c r="B108" s="49" t="n"/>
      <c r="C108" s="49" t="n"/>
      <c r="D108" s="49" t="n"/>
      <c r="F108" s="49" t="n"/>
    </row>
    <row r="109">
      <c r="B109" s="49" t="n"/>
      <c r="C109" s="49" t="n"/>
      <c r="D109" s="49" t="n"/>
      <c r="F109" s="49" t="n"/>
    </row>
    <row r="110">
      <c r="B110" s="49" t="n"/>
      <c r="C110" s="49" t="n"/>
      <c r="D110" s="49" t="n"/>
      <c r="F110" s="49" t="n"/>
    </row>
    <row r="111">
      <c r="B111" s="49" t="n"/>
      <c r="C111" s="49" t="n"/>
      <c r="D111" s="49" t="n"/>
      <c r="F111" s="49" t="n"/>
    </row>
    <row r="112">
      <c r="B112" s="49" t="n"/>
      <c r="C112" s="49" t="n"/>
      <c r="D112" s="49" t="n"/>
      <c r="F112" s="49" t="n"/>
    </row>
    <row r="113">
      <c r="B113" s="49" t="n"/>
      <c r="C113" s="49" t="n"/>
      <c r="D113" s="49" t="n"/>
      <c r="F113" s="49" t="n"/>
    </row>
    <row r="114">
      <c r="B114" s="49" t="n"/>
      <c r="C114" s="49" t="n"/>
      <c r="D114" s="49" t="n"/>
      <c r="F114" s="49" t="n"/>
    </row>
    <row r="115">
      <c r="B115" s="49" t="n"/>
      <c r="C115" s="49" t="n"/>
      <c r="D115" s="49" t="n"/>
      <c r="F115" s="49" t="n"/>
    </row>
    <row r="116">
      <c r="B116" s="49" t="n"/>
      <c r="C116" s="49" t="n"/>
      <c r="D116" s="49" t="n"/>
      <c r="F116" s="49" t="n"/>
    </row>
    <row r="117">
      <c r="B117" s="49" t="n"/>
      <c r="C117" s="49" t="n"/>
      <c r="D117" s="49" t="n"/>
      <c r="F117" s="49" t="n"/>
    </row>
    <row r="118">
      <c r="B118" s="49" t="n"/>
      <c r="C118" s="49" t="n"/>
      <c r="D118" s="49" t="n"/>
      <c r="F118" s="49" t="n"/>
    </row>
    <row r="119">
      <c r="B119" s="49" t="n"/>
      <c r="C119" s="49" t="n"/>
      <c r="D119" s="49" t="n"/>
      <c r="F119" s="49" t="n"/>
    </row>
    <row r="120">
      <c r="B120" s="49" t="n"/>
      <c r="C120" s="49" t="n"/>
      <c r="D120" s="49" t="n"/>
      <c r="F120" s="49" t="n"/>
    </row>
    <row r="121">
      <c r="B121" s="49" t="n"/>
      <c r="C121" s="49" t="n"/>
      <c r="D121" s="49" t="n"/>
      <c r="F121" s="49" t="n"/>
    </row>
    <row r="122">
      <c r="B122" s="49" t="n"/>
      <c r="C122" s="49" t="n"/>
      <c r="D122" s="49" t="n"/>
      <c r="F122" s="49" t="n"/>
    </row>
    <row r="123">
      <c r="B123" s="49" t="n"/>
      <c r="C123" s="49" t="n"/>
      <c r="D123" s="49" t="n"/>
      <c r="F123" s="49" t="n"/>
    </row>
    <row r="124">
      <c r="B124" s="49" t="n"/>
      <c r="C124" s="49" t="n"/>
      <c r="D124" s="49" t="n"/>
      <c r="F124" s="49" t="n"/>
    </row>
    <row r="125">
      <c r="B125" s="49" t="n"/>
      <c r="C125" s="49" t="n"/>
      <c r="D125" s="49" t="n"/>
      <c r="F125" s="49" t="n"/>
    </row>
    <row r="126">
      <c r="B126" s="49" t="n"/>
      <c r="C126" s="49" t="n"/>
      <c r="D126" s="49" t="n"/>
      <c r="F126" s="49" t="n"/>
    </row>
    <row r="127">
      <c r="B127" s="49" t="n"/>
      <c r="C127" s="49" t="n"/>
      <c r="D127" s="49" t="n"/>
      <c r="F127" s="49" t="n"/>
    </row>
    <row r="128">
      <c r="B128" s="49" t="n"/>
      <c r="C128" s="49" t="n"/>
      <c r="D128" s="49" t="n"/>
      <c r="F128" s="49" t="n"/>
    </row>
    <row r="129">
      <c r="B129" s="49" t="n"/>
      <c r="C129" s="49" t="n"/>
      <c r="D129" s="49" t="n"/>
      <c r="F129" s="49" t="n"/>
    </row>
    <row r="130">
      <c r="B130" s="49" t="n"/>
      <c r="C130" s="49" t="n"/>
      <c r="D130" s="49" t="n"/>
      <c r="F130" s="49" t="n"/>
    </row>
    <row r="131">
      <c r="B131" s="49" t="n"/>
      <c r="C131" s="49" t="n"/>
      <c r="D131" s="49" t="n"/>
      <c r="F131" s="49" t="n"/>
    </row>
    <row r="132">
      <c r="B132" s="49" t="n"/>
      <c r="C132" s="49" t="n"/>
      <c r="D132" s="49" t="n"/>
      <c r="F132" s="49" t="n"/>
    </row>
    <row r="133">
      <c r="B133" s="49" t="n"/>
      <c r="C133" s="49" t="n"/>
      <c r="D133" s="49" t="n"/>
      <c r="F133" s="49" t="n"/>
    </row>
    <row r="134">
      <c r="B134" s="49" t="n"/>
      <c r="C134" s="49" t="n"/>
      <c r="D134" s="49" t="n"/>
      <c r="F134" s="49" t="n"/>
    </row>
    <row r="135">
      <c r="B135" s="49" t="n"/>
      <c r="C135" s="49" t="n"/>
      <c r="D135" s="49" t="n"/>
      <c r="F135" s="49" t="n"/>
    </row>
    <row r="136">
      <c r="B136" s="49" t="n"/>
      <c r="C136" s="49" t="n"/>
      <c r="D136" s="49" t="n"/>
      <c r="F136" s="49" t="n"/>
    </row>
    <row r="137">
      <c r="B137" s="49" t="n"/>
      <c r="C137" s="49" t="n"/>
      <c r="D137" s="49" t="n"/>
      <c r="F137" s="49" t="n"/>
    </row>
    <row r="138">
      <c r="B138" s="49" t="n"/>
      <c r="C138" s="49" t="n"/>
      <c r="D138" s="49" t="n"/>
      <c r="F138" s="49" t="n"/>
    </row>
    <row r="139">
      <c r="B139" s="49" t="n"/>
      <c r="C139" s="49" t="n"/>
      <c r="D139" s="49" t="n"/>
      <c r="F139" s="49" t="n"/>
    </row>
    <row r="140">
      <c r="B140" s="49" t="n"/>
      <c r="C140" s="49" t="n"/>
      <c r="D140" s="49" t="n"/>
      <c r="F140" s="49" t="n"/>
    </row>
    <row r="141">
      <c r="B141" s="49" t="n"/>
      <c r="C141" s="49" t="n"/>
      <c r="D141" s="49" t="n"/>
      <c r="F141" s="49" t="n"/>
    </row>
    <row r="142">
      <c r="B142" s="49" t="n"/>
      <c r="C142" s="49" t="n"/>
      <c r="D142" s="49" t="n"/>
      <c r="F142" s="49" t="n"/>
    </row>
    <row r="143">
      <c r="B143" s="49" t="n"/>
      <c r="C143" s="49" t="n"/>
      <c r="D143" s="49" t="n"/>
      <c r="F143" s="49" t="n"/>
    </row>
    <row r="144">
      <c r="B144" s="49" t="n"/>
      <c r="C144" s="49" t="n"/>
      <c r="D144" s="49" t="n"/>
      <c r="F144" s="49" t="n"/>
    </row>
    <row r="145">
      <c r="B145" s="49" t="n"/>
      <c r="C145" s="49" t="n"/>
      <c r="D145" s="49" t="n"/>
      <c r="F145" s="49" t="n"/>
    </row>
    <row r="146">
      <c r="B146" s="49" t="n"/>
      <c r="C146" s="49" t="n"/>
      <c r="D146" s="49" t="n"/>
      <c r="F146" s="49" t="n"/>
    </row>
    <row r="147">
      <c r="B147" s="49" t="n"/>
      <c r="C147" s="49" t="n"/>
      <c r="D147" s="49" t="n"/>
      <c r="F147" s="49" t="n"/>
    </row>
    <row r="148">
      <c r="B148" s="49" t="n"/>
      <c r="C148" s="49" t="n"/>
      <c r="D148" s="49" t="n"/>
      <c r="F148" s="49" t="n"/>
    </row>
    <row r="149">
      <c r="B149" s="49" t="n"/>
      <c r="C149" s="49" t="n"/>
      <c r="D149" s="49" t="n"/>
      <c r="F149" s="49" t="n"/>
    </row>
    <row r="150">
      <c r="B150" s="49" t="n"/>
      <c r="C150" s="49" t="n"/>
      <c r="D150" s="49" t="n"/>
      <c r="F150" s="49" t="n"/>
    </row>
    <row r="151">
      <c r="B151" s="49" t="n"/>
      <c r="C151" s="49" t="n"/>
      <c r="D151" s="49" t="n"/>
      <c r="F151" s="49" t="n"/>
    </row>
    <row r="152">
      <c r="B152" s="49" t="n"/>
      <c r="C152" s="49" t="n"/>
      <c r="D152" s="49" t="n"/>
      <c r="F152" s="49" t="n"/>
    </row>
    <row r="153">
      <c r="B153" s="49" t="n"/>
      <c r="C153" s="49" t="n"/>
      <c r="D153" s="49" t="n"/>
      <c r="F153" s="49" t="n"/>
    </row>
    <row r="154">
      <c r="B154" s="49" t="n"/>
      <c r="C154" s="49" t="n"/>
      <c r="D154" s="49" t="n"/>
      <c r="F154" s="49" t="n"/>
    </row>
    <row r="155">
      <c r="B155" s="49" t="n"/>
      <c r="C155" s="49" t="n"/>
      <c r="D155" s="49" t="n"/>
      <c r="F155" s="49" t="n"/>
    </row>
    <row r="156">
      <c r="B156" s="49" t="n"/>
      <c r="C156" s="49" t="n"/>
      <c r="D156" s="49" t="n"/>
      <c r="F156" s="49" t="n"/>
    </row>
    <row r="157">
      <c r="B157" s="49" t="n"/>
      <c r="C157" s="49" t="n"/>
      <c r="D157" s="49" t="n"/>
      <c r="F157" s="49" t="n"/>
    </row>
    <row r="158">
      <c r="B158" s="49" t="n"/>
      <c r="C158" s="49" t="n"/>
      <c r="D158" s="49" t="n"/>
      <c r="F158" s="49" t="n"/>
    </row>
    <row r="159">
      <c r="B159" s="49" t="n"/>
      <c r="C159" s="49" t="n"/>
      <c r="D159" s="49" t="n"/>
      <c r="F159" s="49" t="n"/>
    </row>
    <row r="160">
      <c r="B160" s="49" t="n"/>
      <c r="C160" s="49" t="n"/>
      <c r="D160" s="49" t="n"/>
      <c r="F160" s="49" t="n"/>
    </row>
    <row r="161">
      <c r="B161" s="49" t="n"/>
      <c r="C161" s="49" t="n"/>
      <c r="D161" s="49" t="n"/>
      <c r="F161" s="49" t="n"/>
    </row>
    <row r="162">
      <c r="B162" s="49" t="n"/>
      <c r="C162" s="49" t="n"/>
      <c r="D162" s="49" t="n"/>
      <c r="F162" s="49" t="n"/>
    </row>
    <row r="163">
      <c r="B163" s="49" t="n"/>
      <c r="C163" s="49" t="n"/>
      <c r="D163" s="49" t="n"/>
      <c r="F163" s="49" t="n"/>
    </row>
    <row r="164">
      <c r="B164" s="49" t="n"/>
      <c r="C164" s="49" t="n"/>
      <c r="D164" s="49" t="n"/>
      <c r="F164" s="49" t="n"/>
    </row>
    <row r="165">
      <c r="B165" s="49" t="n"/>
      <c r="C165" s="49" t="n"/>
      <c r="D165" s="49" t="n"/>
      <c r="F165" s="49" t="n"/>
    </row>
    <row r="166">
      <c r="B166" s="49" t="n"/>
      <c r="C166" s="49" t="n"/>
      <c r="D166" s="49" t="n"/>
      <c r="F166" s="49" t="n"/>
    </row>
    <row r="167">
      <c r="B167" s="49" t="n"/>
      <c r="C167" s="49" t="n"/>
      <c r="D167" s="49" t="n"/>
      <c r="F167" s="49" t="n"/>
    </row>
    <row r="168">
      <c r="B168" s="49" t="n"/>
      <c r="C168" s="49" t="n"/>
      <c r="D168" s="49" t="n"/>
      <c r="F168" s="49" t="n"/>
    </row>
    <row r="169">
      <c r="B169" s="49" t="n"/>
      <c r="C169" s="49" t="n"/>
      <c r="D169" s="49" t="n"/>
      <c r="F169" s="49" t="n"/>
    </row>
    <row r="170">
      <c r="B170" s="49" t="n"/>
      <c r="C170" s="49" t="n"/>
      <c r="D170" s="49" t="n"/>
      <c r="F170" s="49" t="n"/>
    </row>
    <row r="171">
      <c r="B171" s="49" t="n"/>
      <c r="C171" s="49" t="n"/>
      <c r="D171" s="49" t="n"/>
      <c r="F171" s="49" t="n"/>
    </row>
    <row r="172">
      <c r="B172" s="49" t="n"/>
      <c r="C172" s="49" t="n"/>
      <c r="D172" s="49" t="n"/>
      <c r="F172" s="49" t="n"/>
    </row>
    <row r="173">
      <c r="B173" s="49" t="n"/>
      <c r="C173" s="49" t="n"/>
      <c r="D173" s="49" t="n"/>
      <c r="F173" s="49" t="n"/>
    </row>
    <row r="174">
      <c r="B174" s="49" t="n"/>
      <c r="C174" s="49" t="n"/>
      <c r="D174" s="49" t="n"/>
      <c r="F174" s="49" t="n"/>
    </row>
    <row r="175">
      <c r="B175" s="49" t="n"/>
      <c r="C175" s="49" t="n"/>
      <c r="D175" s="49" t="n"/>
      <c r="F175" s="49" t="n"/>
    </row>
    <row r="176">
      <c r="B176" s="49" t="n"/>
      <c r="C176" s="49" t="n"/>
      <c r="D176" s="49" t="n"/>
      <c r="F176" s="49" t="n"/>
    </row>
    <row r="177">
      <c r="B177" s="49" t="n"/>
      <c r="C177" s="49" t="n"/>
      <c r="D177" s="49" t="n"/>
      <c r="F177" s="49" t="n"/>
    </row>
    <row r="178">
      <c r="B178" s="49" t="n"/>
      <c r="C178" s="49" t="n"/>
      <c r="D178" s="49" t="n"/>
      <c r="F178" s="49" t="n"/>
    </row>
    <row r="179">
      <c r="B179" s="49" t="n"/>
      <c r="C179" s="49" t="n"/>
      <c r="D179" s="49" t="n"/>
      <c r="F179" s="49" t="n"/>
    </row>
    <row r="180">
      <c r="B180" s="49" t="n"/>
      <c r="C180" s="49" t="n"/>
      <c r="D180" s="49" t="n"/>
      <c r="F180" s="49" t="n"/>
    </row>
    <row r="181">
      <c r="B181" s="49" t="n"/>
      <c r="C181" s="49" t="n"/>
      <c r="D181" s="49" t="n"/>
      <c r="F181" s="49" t="n"/>
    </row>
    <row r="182">
      <c r="B182" s="49" t="n"/>
      <c r="C182" s="49" t="n"/>
      <c r="D182" s="49" t="n"/>
      <c r="F182" s="49" t="n"/>
    </row>
    <row r="183">
      <c r="B183" s="49" t="n"/>
      <c r="C183" s="49" t="n"/>
      <c r="D183" s="49" t="n"/>
      <c r="F183" s="49" t="n"/>
    </row>
    <row r="184">
      <c r="B184" s="49" t="n"/>
      <c r="C184" s="49" t="n"/>
      <c r="D184" s="49" t="n"/>
      <c r="F184" s="49" t="n"/>
    </row>
    <row r="185">
      <c r="B185" s="49" t="n"/>
      <c r="C185" s="49" t="n"/>
      <c r="D185" s="49" t="n"/>
      <c r="F185" s="49" t="n"/>
    </row>
    <row r="186">
      <c r="B186" s="49" t="n"/>
      <c r="C186" s="49" t="n"/>
      <c r="D186" s="49" t="n"/>
      <c r="F186" s="49" t="n"/>
    </row>
    <row r="187">
      <c r="B187" s="49" t="n"/>
      <c r="C187" s="49" t="n"/>
      <c r="D187" s="49" t="n"/>
      <c r="F187" s="49" t="n"/>
    </row>
    <row r="188">
      <c r="B188" s="49" t="n"/>
      <c r="C188" s="49" t="n"/>
      <c r="D188" s="49" t="n"/>
      <c r="F188" s="49" t="n"/>
    </row>
    <row r="189">
      <c r="B189" s="49" t="n"/>
      <c r="C189" s="49" t="n"/>
      <c r="D189" s="49" t="n"/>
      <c r="F189" s="49" t="n"/>
    </row>
    <row r="190">
      <c r="B190" s="49" t="n"/>
      <c r="C190" s="49" t="n"/>
      <c r="D190" s="49" t="n"/>
      <c r="F190" s="49" t="n"/>
    </row>
    <row r="191">
      <c r="B191" s="49" t="n"/>
      <c r="C191" s="49" t="n"/>
      <c r="D191" s="49" t="n"/>
      <c r="F191" s="49" t="n"/>
    </row>
    <row r="192">
      <c r="B192" s="49" t="n"/>
      <c r="C192" s="49" t="n"/>
      <c r="D192" s="49" t="n"/>
      <c r="F192" s="49" t="n"/>
    </row>
    <row r="193">
      <c r="B193" s="49" t="n"/>
      <c r="C193" s="49" t="n"/>
      <c r="D193" s="49" t="n"/>
      <c r="F193" s="49" t="n"/>
    </row>
    <row r="194">
      <c r="B194" s="49" t="n"/>
      <c r="C194" s="49" t="n"/>
      <c r="D194" s="49" t="n"/>
      <c r="F194" s="49" t="n"/>
    </row>
    <row r="195">
      <c r="B195" s="49" t="n"/>
      <c r="C195" s="49" t="n"/>
      <c r="D195" s="49" t="n"/>
      <c r="F195" s="49" t="n"/>
    </row>
    <row r="196">
      <c r="B196" s="49" t="n"/>
      <c r="C196" s="49" t="n"/>
      <c r="D196" s="49" t="n"/>
      <c r="F196" s="49" t="n"/>
    </row>
    <row r="197">
      <c r="B197" s="49" t="n"/>
      <c r="C197" s="49" t="n"/>
      <c r="D197" s="49" t="n"/>
      <c r="F197" s="49" t="n"/>
    </row>
    <row r="198">
      <c r="B198" s="49" t="n"/>
      <c r="C198" s="49" t="n"/>
      <c r="D198" s="49" t="n"/>
      <c r="F198" s="49" t="n"/>
    </row>
    <row r="199">
      <c r="B199" s="49" t="n"/>
      <c r="C199" s="49" t="n"/>
      <c r="D199" s="49" t="n"/>
      <c r="F199" s="49" t="n"/>
    </row>
    <row r="200">
      <c r="B200" s="49" t="n"/>
      <c r="C200" s="49" t="n"/>
      <c r="D200" s="49" t="n"/>
      <c r="F200" s="49" t="n"/>
    </row>
    <row r="201">
      <c r="B201" s="49" t="n"/>
      <c r="C201" s="49" t="n"/>
      <c r="D201" s="49" t="n"/>
      <c r="F201" s="49" t="n"/>
    </row>
    <row r="202">
      <c r="B202" s="49" t="n"/>
      <c r="C202" s="49" t="n"/>
      <c r="D202" s="49" t="n"/>
      <c r="F202" s="49" t="n"/>
    </row>
    <row r="203">
      <c r="B203" s="49" t="n"/>
      <c r="C203" s="49" t="n"/>
      <c r="D203" s="49" t="n"/>
      <c r="F203" s="49" t="n"/>
    </row>
    <row r="204">
      <c r="B204" s="49" t="n"/>
      <c r="C204" s="49" t="n"/>
      <c r="D204" s="49" t="n"/>
      <c r="F204" s="49" t="n"/>
    </row>
    <row r="205">
      <c r="B205" s="49" t="n"/>
      <c r="C205" s="49" t="n"/>
      <c r="D205" s="49" t="n"/>
      <c r="F205" s="49" t="n"/>
    </row>
    <row r="206">
      <c r="B206" s="49" t="n"/>
      <c r="C206" s="49" t="n"/>
      <c r="D206" s="49" t="n"/>
      <c r="F206" s="49" t="n"/>
    </row>
    <row r="207">
      <c r="B207" s="49" t="n"/>
      <c r="C207" s="49" t="n"/>
      <c r="D207" s="49" t="n"/>
      <c r="F207" s="49" t="n"/>
    </row>
    <row r="208">
      <c r="B208" s="49" t="n"/>
      <c r="C208" s="49" t="n"/>
      <c r="D208" s="49" t="n"/>
      <c r="F208" s="49" t="n"/>
    </row>
    <row r="209">
      <c r="B209" s="49" t="n"/>
      <c r="C209" s="49" t="n"/>
      <c r="D209" s="49" t="n"/>
      <c r="F209" s="49" t="n"/>
    </row>
    <row r="210">
      <c r="B210" s="49" t="n"/>
      <c r="C210" s="49" t="n"/>
      <c r="D210" s="49" t="n"/>
      <c r="F210" s="49" t="n"/>
    </row>
    <row r="211">
      <c r="B211" s="49" t="n"/>
      <c r="C211" s="49" t="n"/>
      <c r="D211" s="49" t="n"/>
      <c r="F211" s="49" t="n"/>
    </row>
    <row r="212">
      <c r="B212" s="49" t="n"/>
      <c r="C212" s="49" t="n"/>
      <c r="D212" s="49" t="n"/>
      <c r="F212" s="49" t="n"/>
    </row>
    <row r="213">
      <c r="B213" s="49" t="n"/>
      <c r="C213" s="49" t="n"/>
      <c r="D213" s="49" t="n"/>
      <c r="F213" s="49" t="n"/>
    </row>
    <row r="214">
      <c r="B214" s="49" t="n"/>
      <c r="C214" s="49" t="n"/>
      <c r="D214" s="49" t="n"/>
      <c r="F214" s="49" t="n"/>
    </row>
    <row r="215">
      <c r="B215" s="49" t="n"/>
      <c r="C215" s="49" t="n"/>
      <c r="D215" s="49" t="n"/>
      <c r="F215" s="49" t="n"/>
    </row>
    <row r="216">
      <c r="B216" s="49" t="n"/>
      <c r="C216" s="49" t="n"/>
      <c r="D216" s="49" t="n"/>
      <c r="F216" s="49" t="n"/>
    </row>
    <row r="217">
      <c r="B217" s="49" t="n"/>
      <c r="C217" s="49" t="n"/>
      <c r="D217" s="49" t="n"/>
      <c r="F217" s="49" t="n"/>
    </row>
    <row r="218">
      <c r="B218" s="49" t="n"/>
      <c r="C218" s="49" t="n"/>
      <c r="D218" s="49" t="n"/>
      <c r="F218" s="49" t="n"/>
    </row>
    <row r="219">
      <c r="B219" s="49" t="n"/>
      <c r="C219" s="49" t="n"/>
      <c r="D219" s="49" t="n"/>
      <c r="F219" s="49" t="n"/>
    </row>
    <row r="220">
      <c r="B220" s="49" t="n"/>
      <c r="C220" s="49" t="n"/>
      <c r="D220" s="49" t="n"/>
      <c r="F220" s="49" t="n"/>
    </row>
    <row r="221">
      <c r="B221" s="49" t="n"/>
      <c r="C221" s="49" t="n"/>
      <c r="D221" s="49" t="n"/>
      <c r="F221" s="49" t="n"/>
    </row>
    <row r="222">
      <c r="B222" s="49" t="n"/>
      <c r="C222" s="49" t="n"/>
      <c r="D222" s="49" t="n"/>
      <c r="F222" s="49" t="n"/>
    </row>
    <row r="223">
      <c r="B223" s="49" t="n"/>
      <c r="C223" s="49" t="n"/>
      <c r="D223" s="49" t="n"/>
      <c r="F223" s="49" t="n"/>
    </row>
    <row r="224">
      <c r="B224" s="49" t="n"/>
      <c r="C224" s="49" t="n"/>
      <c r="D224" s="49" t="n"/>
      <c r="F224" s="49" t="n"/>
    </row>
    <row r="225">
      <c r="B225" s="49" t="n"/>
      <c r="C225" s="49" t="n"/>
      <c r="D225" s="49" t="n"/>
      <c r="F225" s="49" t="n"/>
    </row>
    <row r="226">
      <c r="B226" s="49" t="n"/>
      <c r="C226" s="49" t="n"/>
      <c r="D226" s="49" t="n"/>
      <c r="F226" s="49" t="n"/>
    </row>
    <row r="227">
      <c r="B227" s="49" t="n"/>
      <c r="C227" s="49" t="n"/>
      <c r="D227" s="49" t="n"/>
      <c r="F227" s="49" t="n"/>
    </row>
    <row r="228">
      <c r="B228" s="49" t="n"/>
      <c r="C228" s="49" t="n"/>
      <c r="D228" s="49" t="n"/>
      <c r="F228" s="49" t="n"/>
    </row>
    <row r="229">
      <c r="B229" s="49" t="n"/>
      <c r="C229" s="49" t="n"/>
      <c r="D229" s="49" t="n"/>
      <c r="F229" s="49" t="n"/>
    </row>
    <row r="230">
      <c r="B230" s="49" t="n"/>
      <c r="C230" s="49" t="n"/>
      <c r="D230" s="49" t="n"/>
      <c r="F230" s="49" t="n"/>
    </row>
    <row r="231">
      <c r="B231" s="49" t="n"/>
      <c r="C231" s="49" t="n"/>
      <c r="D231" s="49" t="n"/>
      <c r="F231" s="49" t="n"/>
    </row>
    <row r="232">
      <c r="B232" s="49" t="n"/>
      <c r="C232" s="49" t="n"/>
      <c r="D232" s="49" t="n"/>
      <c r="F232" s="49" t="n"/>
    </row>
    <row r="233">
      <c r="B233" s="49" t="n"/>
      <c r="C233" s="49" t="n"/>
      <c r="D233" s="49" t="n"/>
      <c r="F233" s="49" t="n"/>
    </row>
    <row r="234">
      <c r="B234" s="49" t="n"/>
      <c r="C234" s="49" t="n"/>
      <c r="D234" s="49" t="n"/>
      <c r="F234" s="49" t="n"/>
    </row>
    <row r="235">
      <c r="B235" s="49" t="n"/>
      <c r="C235" s="49" t="n"/>
      <c r="D235" s="49" t="n"/>
      <c r="F235" s="49" t="n"/>
    </row>
    <row r="236">
      <c r="B236" s="49" t="n"/>
      <c r="C236" s="49" t="n"/>
      <c r="D236" s="49" t="n"/>
      <c r="F236" s="49" t="n"/>
    </row>
    <row r="237">
      <c r="B237" s="49" t="n"/>
      <c r="C237" s="49" t="n"/>
      <c r="D237" s="49" t="n"/>
      <c r="F237" s="49" t="n"/>
    </row>
    <row r="238">
      <c r="B238" s="49" t="n"/>
      <c r="C238" s="49" t="n"/>
      <c r="D238" s="49" t="n"/>
      <c r="F238" s="49" t="n"/>
    </row>
    <row r="239">
      <c r="B239" s="49" t="n"/>
      <c r="C239" s="49" t="n"/>
      <c r="D239" s="49" t="n"/>
      <c r="F239" s="49" t="n"/>
    </row>
    <row r="240">
      <c r="B240" s="49" t="n"/>
      <c r="C240" s="49" t="n"/>
      <c r="D240" s="49" t="n"/>
      <c r="F240" s="49" t="n"/>
    </row>
    <row r="241">
      <c r="B241" s="49" t="n"/>
      <c r="C241" s="49" t="n"/>
      <c r="D241" s="49" t="n"/>
      <c r="F241" s="49" t="n"/>
    </row>
    <row r="242">
      <c r="B242" s="49" t="n"/>
      <c r="C242" s="49" t="n"/>
      <c r="D242" s="49" t="n"/>
      <c r="F242" s="49" t="n"/>
    </row>
    <row r="243">
      <c r="B243" s="49" t="n"/>
      <c r="C243" s="49" t="n"/>
      <c r="D243" s="49" t="n"/>
      <c r="F243" s="49" t="n"/>
    </row>
    <row r="244">
      <c r="B244" s="49" t="n"/>
      <c r="C244" s="49" t="n"/>
      <c r="D244" s="49" t="n"/>
      <c r="F244" s="49" t="n"/>
    </row>
    <row r="245">
      <c r="B245" s="49" t="n"/>
      <c r="C245" s="49" t="n"/>
      <c r="D245" s="49" t="n"/>
      <c r="F245" s="49" t="n"/>
    </row>
    <row r="246">
      <c r="B246" s="49" t="n"/>
      <c r="C246" s="49" t="n"/>
      <c r="D246" s="49" t="n"/>
      <c r="F246" s="49" t="n"/>
    </row>
    <row r="247">
      <c r="B247" s="49" t="n"/>
      <c r="C247" s="49" t="n"/>
      <c r="D247" s="49" t="n"/>
      <c r="F247" s="49" t="n"/>
    </row>
    <row r="248">
      <c r="B248" s="49" t="n"/>
      <c r="C248" s="49" t="n"/>
      <c r="D248" s="49" t="n"/>
      <c r="F248" s="49" t="n"/>
    </row>
    <row r="249">
      <c r="B249" s="49" t="n"/>
      <c r="C249" s="49" t="n"/>
      <c r="D249" s="49" t="n"/>
      <c r="F249" s="49" t="n"/>
    </row>
    <row r="250">
      <c r="B250" s="49" t="n"/>
      <c r="C250" s="49" t="n"/>
      <c r="D250" s="49" t="n"/>
      <c r="F250" s="49" t="n"/>
    </row>
    <row r="251">
      <c r="B251" s="49" t="n"/>
      <c r="C251" s="49" t="n"/>
      <c r="D251" s="49" t="n"/>
      <c r="F251" s="49" t="n"/>
    </row>
    <row r="252">
      <c r="B252" s="49" t="n"/>
      <c r="C252" s="49" t="n"/>
      <c r="D252" s="49" t="n"/>
      <c r="F252" s="49" t="n"/>
    </row>
    <row r="253">
      <c r="B253" s="49" t="n"/>
      <c r="C253" s="49" t="n"/>
      <c r="D253" s="49" t="n"/>
      <c r="F253" s="49" t="n"/>
    </row>
    <row r="254">
      <c r="B254" s="49" t="n"/>
      <c r="C254" s="49" t="n"/>
      <c r="D254" s="49" t="n"/>
      <c r="F254" s="49" t="n"/>
    </row>
    <row r="255">
      <c r="B255" s="49" t="n"/>
      <c r="C255" s="49" t="n"/>
      <c r="D255" s="49" t="n"/>
      <c r="F255" s="49" t="n"/>
    </row>
    <row r="256">
      <c r="B256" s="49" t="n"/>
      <c r="C256" s="49" t="n"/>
      <c r="D256" s="49" t="n"/>
      <c r="F256" s="49" t="n"/>
    </row>
    <row r="257">
      <c r="B257" s="49" t="n"/>
      <c r="C257" s="49" t="n"/>
      <c r="D257" s="49" t="n"/>
      <c r="F257" s="49" t="n"/>
    </row>
    <row r="258">
      <c r="B258" s="49" t="n"/>
      <c r="C258" s="49" t="n"/>
      <c r="D258" s="49" t="n"/>
      <c r="F258" s="49" t="n"/>
    </row>
    <row r="259">
      <c r="B259" s="49" t="n"/>
      <c r="C259" s="49" t="n"/>
      <c r="D259" s="49" t="n"/>
      <c r="F259" s="49" t="n"/>
    </row>
    <row r="260">
      <c r="B260" s="49" t="n"/>
      <c r="C260" s="49" t="n"/>
      <c r="D260" s="49" t="n"/>
      <c r="F260" s="49" t="n"/>
    </row>
    <row r="261">
      <c r="B261" s="49" t="n"/>
      <c r="C261" s="49" t="n"/>
      <c r="D261" s="49" t="n"/>
      <c r="F261" s="49" t="n"/>
    </row>
    <row r="262">
      <c r="B262" s="49" t="n"/>
      <c r="C262" s="49" t="n"/>
      <c r="D262" s="49" t="n"/>
      <c r="F262" s="49" t="n"/>
    </row>
    <row r="263">
      <c r="B263" s="49" t="n"/>
      <c r="C263" s="49" t="n"/>
      <c r="D263" s="49" t="n"/>
      <c r="F263" s="49" t="n"/>
    </row>
    <row r="264">
      <c r="B264" s="49" t="n"/>
      <c r="C264" s="49" t="n"/>
      <c r="D264" s="49" t="n"/>
      <c r="F264" s="49" t="n"/>
    </row>
    <row r="265">
      <c r="B265" s="49" t="n"/>
      <c r="C265" s="49" t="n"/>
      <c r="D265" s="49" t="n"/>
      <c r="F265" s="49" t="n"/>
    </row>
    <row r="266">
      <c r="B266" s="49" t="n"/>
      <c r="C266" s="49" t="n"/>
      <c r="D266" s="49" t="n"/>
      <c r="F266" s="49" t="n"/>
    </row>
    <row r="267">
      <c r="B267" s="49" t="n"/>
      <c r="C267" s="49" t="n"/>
      <c r="D267" s="49" t="n"/>
      <c r="F267" s="49" t="n"/>
    </row>
    <row r="268">
      <c r="B268" s="49" t="n"/>
      <c r="C268" s="49" t="n"/>
      <c r="D268" s="49" t="n"/>
      <c r="F268" s="49" t="n"/>
    </row>
    <row r="269">
      <c r="B269" s="49" t="n"/>
      <c r="C269" s="49" t="n"/>
      <c r="D269" s="49" t="n"/>
      <c r="F269" s="49" t="n"/>
    </row>
    <row r="270">
      <c r="B270" s="49" t="n"/>
      <c r="C270" s="49" t="n"/>
      <c r="D270" s="49" t="n"/>
      <c r="F270" s="49" t="n"/>
    </row>
    <row r="271">
      <c r="B271" s="49" t="n"/>
      <c r="C271" s="49" t="n"/>
      <c r="D271" s="49" t="n"/>
      <c r="F271" s="49" t="n"/>
    </row>
    <row r="272">
      <c r="B272" s="49" t="n"/>
      <c r="C272" s="49" t="n"/>
      <c r="D272" s="49" t="n"/>
      <c r="F272" s="49" t="n"/>
    </row>
    <row r="273">
      <c r="B273" s="49" t="n"/>
      <c r="C273" s="49" t="n"/>
      <c r="D273" s="49" t="n"/>
      <c r="F273" s="49" t="n"/>
    </row>
    <row r="274">
      <c r="B274" s="49" t="n"/>
      <c r="C274" s="49" t="n"/>
      <c r="D274" s="49" t="n"/>
      <c r="F274" s="49" t="n"/>
    </row>
    <row r="275">
      <c r="B275" s="49" t="n"/>
      <c r="C275" s="49" t="n"/>
      <c r="D275" s="49" t="n"/>
      <c r="F275" s="49" t="n"/>
    </row>
    <row r="276">
      <c r="B276" s="49" t="n"/>
      <c r="C276" s="49" t="n"/>
      <c r="D276" s="49" t="n"/>
      <c r="F276" s="49" t="n"/>
    </row>
    <row r="277">
      <c r="B277" s="49" t="n"/>
      <c r="C277" s="49" t="n"/>
      <c r="D277" s="49" t="n"/>
      <c r="F277" s="49" t="n"/>
    </row>
    <row r="278">
      <c r="B278" s="49" t="n"/>
      <c r="C278" s="49" t="n"/>
      <c r="D278" s="49" t="n"/>
      <c r="F278" s="49" t="n"/>
    </row>
    <row r="279">
      <c r="B279" s="49" t="n"/>
      <c r="C279" s="49" t="n"/>
      <c r="D279" s="49" t="n"/>
      <c r="F279" s="49" t="n"/>
    </row>
    <row r="280">
      <c r="B280" s="49" t="n"/>
      <c r="C280" s="49" t="n"/>
      <c r="D280" s="49" t="n"/>
      <c r="F280" s="49" t="n"/>
    </row>
    <row r="281">
      <c r="B281" s="49" t="n"/>
      <c r="C281" s="49" t="n"/>
      <c r="D281" s="49" t="n"/>
      <c r="F281" s="49" t="n"/>
    </row>
    <row r="282">
      <c r="B282" s="49" t="n"/>
      <c r="C282" s="49" t="n"/>
      <c r="D282" s="49" t="n"/>
      <c r="F282" s="49" t="n"/>
    </row>
    <row r="283">
      <c r="B283" s="49" t="n"/>
      <c r="C283" s="49" t="n"/>
      <c r="D283" s="49" t="n"/>
      <c r="F283" s="49" t="n"/>
    </row>
    <row r="284">
      <c r="B284" s="49" t="n"/>
      <c r="C284" s="49" t="n"/>
      <c r="D284" s="49" t="n"/>
      <c r="F284" s="49" t="n"/>
    </row>
    <row r="285">
      <c r="B285" s="49" t="n"/>
      <c r="C285" s="49" t="n"/>
      <c r="D285" s="49" t="n"/>
      <c r="F285" s="49" t="n"/>
    </row>
    <row r="286">
      <c r="B286" s="49" t="n"/>
      <c r="C286" s="49" t="n"/>
      <c r="D286" s="49" t="n"/>
      <c r="F286" s="49" t="n"/>
    </row>
    <row r="287">
      <c r="B287" s="49" t="n"/>
      <c r="C287" s="49" t="n"/>
      <c r="D287" s="49" t="n"/>
      <c r="F287" s="49" t="n"/>
    </row>
    <row r="288">
      <c r="B288" s="49" t="n"/>
      <c r="C288" s="49" t="n"/>
      <c r="D288" s="49" t="n"/>
      <c r="F288" s="49" t="n"/>
    </row>
    <row r="289">
      <c r="B289" s="49" t="n"/>
      <c r="C289" s="49" t="n"/>
      <c r="D289" s="49" t="n"/>
      <c r="F289" s="49" t="n"/>
    </row>
    <row r="290">
      <c r="B290" s="49" t="n"/>
      <c r="C290" s="49" t="n"/>
      <c r="D290" s="49" t="n"/>
      <c r="F290" s="49" t="n"/>
    </row>
    <row r="291">
      <c r="B291" s="49" t="n"/>
      <c r="C291" s="49" t="n"/>
      <c r="D291" s="49" t="n"/>
      <c r="F291" s="49" t="n"/>
    </row>
    <row r="292">
      <c r="B292" s="49" t="n"/>
      <c r="C292" s="49" t="n"/>
      <c r="D292" s="49" t="n"/>
      <c r="F292" s="49" t="n"/>
    </row>
    <row r="293">
      <c r="B293" s="49" t="n"/>
      <c r="C293" s="49" t="n"/>
      <c r="D293" s="49" t="n"/>
      <c r="F293" s="49" t="n"/>
    </row>
    <row r="294">
      <c r="B294" s="49" t="n"/>
      <c r="C294" s="49" t="n"/>
      <c r="D294" s="49" t="n"/>
      <c r="F294" s="49" t="n"/>
    </row>
    <row r="295">
      <c r="B295" s="49" t="n"/>
      <c r="C295" s="49" t="n"/>
      <c r="D295" s="49" t="n"/>
      <c r="F295" s="49" t="n"/>
    </row>
    <row r="296">
      <c r="B296" s="49" t="n"/>
      <c r="C296" s="49" t="n"/>
      <c r="D296" s="49" t="n"/>
      <c r="F296" s="49" t="n"/>
    </row>
    <row r="297">
      <c r="B297" s="49" t="n"/>
      <c r="C297" s="49" t="n"/>
      <c r="D297" s="49" t="n"/>
      <c r="F297" s="49" t="n"/>
    </row>
    <row r="298">
      <c r="B298" s="49" t="n"/>
      <c r="C298" s="49" t="n"/>
      <c r="D298" s="49" t="n"/>
      <c r="F298" s="49" t="n"/>
    </row>
    <row r="299">
      <c r="B299" s="49" t="n"/>
      <c r="C299" s="49" t="n"/>
      <c r="D299" s="49" t="n"/>
      <c r="F299" s="49" t="n"/>
    </row>
    <row r="300">
      <c r="B300" s="49" t="n"/>
      <c r="C300" s="49" t="n"/>
      <c r="D300" s="49" t="n"/>
      <c r="F300" s="49" t="n"/>
    </row>
    <row r="301">
      <c r="B301" s="49" t="n"/>
      <c r="C301" s="49" t="n"/>
      <c r="D301" s="49" t="n"/>
      <c r="F301" s="49" t="n"/>
    </row>
    <row r="302">
      <c r="B302" s="49" t="n"/>
      <c r="C302" s="49" t="n"/>
      <c r="D302" s="49" t="n"/>
      <c r="F302" s="49" t="n"/>
    </row>
    <row r="303">
      <c r="B303" s="49" t="n"/>
      <c r="C303" s="49" t="n"/>
      <c r="D303" s="49" t="n"/>
      <c r="F303" s="49" t="n"/>
    </row>
    <row r="304">
      <c r="B304" s="49" t="n"/>
      <c r="C304" s="49" t="n"/>
      <c r="D304" s="49" t="n"/>
      <c r="F304" s="49" t="n"/>
    </row>
    <row r="305">
      <c r="B305" s="49" t="n"/>
      <c r="C305" s="49" t="n"/>
      <c r="D305" s="49" t="n"/>
      <c r="F305" s="49" t="n"/>
    </row>
    <row r="306">
      <c r="B306" s="49" t="n"/>
      <c r="C306" s="49" t="n"/>
      <c r="D306" s="49" t="n"/>
      <c r="F306" s="49" t="n"/>
    </row>
    <row r="307">
      <c r="B307" s="49" t="n"/>
      <c r="C307" s="49" t="n"/>
      <c r="D307" s="49" t="n"/>
      <c r="F307" s="49" t="n"/>
    </row>
    <row r="308">
      <c r="B308" s="49" t="n"/>
      <c r="C308" s="49" t="n"/>
      <c r="D308" s="49" t="n"/>
      <c r="F308" s="49" t="n"/>
    </row>
    <row r="309">
      <c r="B309" s="49" t="n"/>
      <c r="C309" s="49" t="n"/>
      <c r="D309" s="49" t="n"/>
      <c r="F309" s="49" t="n"/>
    </row>
    <row r="310">
      <c r="B310" s="49" t="n"/>
      <c r="C310" s="49" t="n"/>
      <c r="D310" s="49" t="n"/>
      <c r="F310" s="49" t="n"/>
    </row>
    <row r="311">
      <c r="B311" s="49" t="n"/>
      <c r="C311" s="49" t="n"/>
      <c r="D311" s="49" t="n"/>
      <c r="F311" s="49" t="n"/>
    </row>
    <row r="312">
      <c r="B312" s="49" t="n"/>
      <c r="C312" s="49" t="n"/>
      <c r="D312" s="49" t="n"/>
      <c r="F312" s="49" t="n"/>
    </row>
    <row r="313">
      <c r="B313" s="49" t="n"/>
      <c r="C313" s="49" t="n"/>
      <c r="D313" s="49" t="n"/>
      <c r="F313" s="49" t="n"/>
    </row>
    <row r="314">
      <c r="B314" s="49" t="n"/>
      <c r="C314" s="49" t="n"/>
      <c r="D314" s="49" t="n"/>
      <c r="F314" s="49" t="n"/>
    </row>
    <row r="315">
      <c r="B315" s="49" t="n"/>
      <c r="C315" s="49" t="n"/>
      <c r="D315" s="49" t="n"/>
      <c r="F315" s="49" t="n"/>
    </row>
    <row r="316">
      <c r="B316" s="49" t="n"/>
      <c r="C316" s="49" t="n"/>
      <c r="D316" s="49" t="n"/>
      <c r="F316" s="49" t="n"/>
    </row>
    <row r="317">
      <c r="B317" s="49" t="n"/>
      <c r="C317" s="49" t="n"/>
      <c r="D317" s="49" t="n"/>
      <c r="F3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317">
    <cfRule type="expression" priority="2" dxfId="6">
      <formula>AND(LEN($B17&amp;$C17&amp;$D17&amp;$E17&amp;$F17)&gt;0,B17="")</formula>
    </cfRule>
  </conditionalFormatting>
  <conditionalFormatting sqref="C17:C317">
    <cfRule type="expression" priority="3" dxfId="6">
      <formula>AND(LEN($B17&amp;$C17&amp;$D17&amp;$E17&amp;$F17)&gt;0,C17="")</formula>
    </cfRule>
  </conditionalFormatting>
  <conditionalFormatting sqref="E17:E317">
    <cfRule type="expression" priority="4" dxfId="6">
      <formula>AND(LEN($B17&amp;$C17&amp;$D17&amp;$E17&amp;$F17)&gt;0,E17="")</formula>
    </cfRule>
  </conditionalFormatting>
  <conditionalFormatting sqref="F17:F3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1" allowBlank="1" errorTitle="Currency code" error="At most 3 characters." promptTitle="Currency code" prompt="Yes. Code of the currency Allowed: Free entry, up to 3 characters" type="textLength" operator="lessThanOrEqual">
      <formula1>3</formula1>
    </dataValidation>
    <dataValidation sqref="C17:C317" showDropDown="0" showInputMessage="1" showErrorMessage="1" allowBlank="1" errorTitle="Name" error="At most 60 characters." promptTitle="Name" prompt="Yes. Name of the currency Allowed: Free entry, up to 60 characters" type="textLength" operator="lessThanOrEqual">
      <formula1>60</formula1>
    </dataValidation>
    <dataValidation sqref="D17:D317" showDropDown="0" showInputMessage="1" showErrorMessage="1" allowBlank="1" errorTitle="Symbol" error="At most 5 characters." promptTitle="Symbol" prompt="No. Symbol printed on documents Allowed: Free entry, up to 5 characters" type="textLength" operator="lessThanOrEqual">
      <formula1>5</formula1>
    </dataValidation>
    <dataValidation sqref="E17:E317" showDropDown="0" showInputMessage="1" showErrorMessage="1" allowBlank="1" errorTitle="Decimal places" error="Enter a whole number from 0 to 4." promptTitle="Decimal places" prompt="Yes. Decimals of the amounts in the currency Allowed: A whole number from 0 to 4" type="whole" operator="between">
      <formula1>0</formula1>
      <formula2>4</formula2>
    </dataValidation>
    <dataValidation sqref="F17:F317" showDropDown="0" showInputMessage="1" showErrorMessage="1" allowBlank="1" errorTitle="Active" error="Choose a value of the list Yes or no (sheet Reference lists)." promptTitle="Active" prompt="Yes. Y when the currency may be used Allowed: Y or N" type="list" errorStyle="stop">
      <formula1>=LIST_YES_NO</formula1>
    </dataValidation>
  </dataValidations>
  <hyperlinks>
    <hyperlink ref="A2" location="'Start here'!A1"/>
    <hyperlink ref="G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7" customWidth="1" min="3" max="3"/>
    <col width="19" customWidth="1" min="4" max="4"/>
    <col width="19" customWidth="1" min="5" max="5"/>
    <col width="19" customWidth="1" min="6" max="6"/>
    <col width="12" customWidth="1" min="7" max="7"/>
  </cols>
  <sheetData>
    <row r="1" ht="26" customHeight="1">
      <c r="A1" s="25" t="inlineStr">
        <is>
          <t>PM-09 Lists of values and parameters</t>
        </is>
      </c>
      <c r="G1" s="26" t="inlineStr">
        <is>
          <t>Step 5 of 52</t>
        </is>
      </c>
    </row>
    <row r="2">
      <c r="A2" s="27" t="inlineStr">
        <is>
          <t>← Back to Start here</t>
        </is>
      </c>
      <c r="B2" s="28" t="inlineStr">
        <is>
          <t>Step 5 of 52. Fill in one row per record below the column headers; the guide above each column says what to enter.</t>
        </is>
      </c>
      <c r="G2" s="29" t="inlineStr">
        <is>
          <t>Ask a question →</t>
        </is>
      </c>
    </row>
    <row r="3" outlineLevel="1" ht="40.5" customHeight="1">
      <c r="A3" s="30" t="inlineStr">
        <is>
          <t>Purpose</t>
        </is>
      </c>
      <c r="B3" s="31" t="inlineStr">
        <is>
          <t>The values of the Product Maintenance lists (request reasons, response outcomes, advisory groups, not-proceeded reasons, incentive types, coverage kinds, clause kinds, document types, market segments) and the parameters (numbering, reply days, expiry notice, advisory groups, service levels)</t>
        </is>
      </c>
    </row>
    <row r="4" outlineLevel="1" ht="15.5" customHeight="1">
      <c r="A4" s="30" t="inlineStr">
        <is>
          <t>Provided by</t>
        </is>
      </c>
      <c r="B4" s="31" t="inlineStr">
        <is>
          <t>Product Owner, MBS; System Administrator (entry)</t>
        </is>
      </c>
    </row>
    <row r="5" outlineLevel="1" ht="15.5" customHeight="1">
      <c r="A5" s="30" t="inlineStr">
        <is>
          <t>Due</t>
        </is>
      </c>
      <c r="B5" s="32" t="inlineStr">
        <is>
          <t>16-Jul-2027 – Values for UAT</t>
        </is>
      </c>
    </row>
    <row r="6" outlineLevel="1" ht="28" customHeight="1">
      <c r="A6" s="30" t="inlineStr">
        <is>
          <t>How it is loaded</t>
        </is>
      </c>
      <c r="B6" s="31" t="inlineStr">
        <is>
          <t>Upload on the configuration screen Setup &amp; Administration › Broking Setup › Lists of Values or Setup &amp; Administration › Administration › System Parameters, approved by a second user</t>
        </is>
      </c>
    </row>
    <row r="7" outlineLevel="1" ht="15.5" customHeight="1">
      <c r="A7" s="30" t="inlineStr">
        <is>
          <t>Source</t>
        </is>
      </c>
      <c r="B7" s="31" t="inlineStr">
        <is>
          <t>Upload template of the configuration screen (the same columns, headers, mandatory flags and allowed values)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SUMPRODUCT(((ROW($B$17:$B$517)&gt;17)+($B$17&lt;&gt;"PKG_REQUEST_REASON")&gt;0)*(LEN($B$17:$B$517&amp;$C$17:$C$517&amp;$D$17:$D$517&amp;$E$17:$E$517&amp;$F$17:$F$517)&gt;0))</f>
        <v/>
      </c>
      <c r="D9" s="35" t="inlineStr">
        <is>
          <t>Mandatory cells missing</t>
        </is>
      </c>
      <c r="E9" s="36">
        <f>SUMPRODUCT(((ROW($B$17:$B$517)&gt;17)+($B$17&lt;&gt;"PKG_REQUEST_REASON")&gt;0)*(LEN($B$17:$B$517&amp;$C$17:$C$517&amp;$D$17:$D$517&amp;$E$17:$E$517&amp;$F$17:$F$517)&gt;0)*(($B$17:$B$517="")+($D$17:$D$517="")))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3" t="inlineStr">
        <is>
          <t>Conditional: list</t>
        </is>
      </c>
      <c r="D12" s="42" t="inlineStr">
        <is>
          <t>Yes</t>
        </is>
      </c>
      <c r="E12" s="43" t="inlineStr">
        <is>
          <t>Conditional: list</t>
        </is>
      </c>
      <c r="F12" s="43" t="inlineStr">
        <is>
          <t>Conditional: list</t>
        </is>
      </c>
    </row>
    <row r="13" ht="17" customHeight="1">
      <c r="A13" s="41" t="inlineStr">
        <is>
          <t>Format</t>
        </is>
      </c>
      <c r="B13" s="43" t="inlineStr">
        <is>
          <t>Code from the drop-down</t>
        </is>
      </c>
      <c r="C13" s="43" t="inlineStr">
        <is>
          <t>Up to 40 capitals</t>
        </is>
      </c>
      <c r="D13" s="43" t="inlineStr">
        <is>
          <t>Text</t>
        </is>
      </c>
      <c r="E13" s="43" t="inlineStr">
        <is>
          <t>Text</t>
        </is>
      </c>
      <c r="F13" s="43" t="inlineStr">
        <is>
          <t>dd-MMM-yyyy</t>
        </is>
      </c>
    </row>
    <row r="14" ht="43" customHeight="1">
      <c r="A14" s="41" t="inlineStr">
        <is>
          <t>Allowed values</t>
        </is>
      </c>
      <c r="B14" s="51" t="inlineStr">
        <is>
          <t>List List or parameter (PM-09): 23 values, see Reference lists</t>
        </is>
      </c>
      <c r="C14" s="43" t="inlineStr">
        <is>
          <t>Free entry</t>
        </is>
      </c>
      <c r="D14" s="43" t="inlineStr">
        <is>
          <t>Free entry</t>
        </is>
      </c>
      <c r="E14" s="43" t="inlineStr">
        <is>
          <t>Free entry</t>
        </is>
      </c>
      <c r="F14" s="43" t="inlineStr">
        <is>
          <t>Free entry</t>
        </is>
      </c>
    </row>
    <row r="15" ht="43" customHeight="1">
      <c r="A15" s="41" t="inlineStr">
        <is>
          <t>What to enter</t>
        </is>
      </c>
      <c r="B15" s="43" t="inlineStr">
        <is>
          <t>List or parameter</t>
        </is>
      </c>
      <c r="C15" s="43" t="inlineStr">
        <is>
          <t>Code of the value of a list</t>
        </is>
      </c>
      <c r="D15" s="43" t="inlineStr">
        <is>
          <t>Label of the value, or value of the parameter</t>
        </is>
      </c>
      <c r="E15" s="43" t="inlineStr">
        <is>
          <t>Order; active Y or N</t>
        </is>
      </c>
      <c r="F15" s="43" t="inlineStr">
        <is>
          <t>First day of use of the value</t>
        </is>
      </c>
    </row>
    <row r="16" ht="30" customHeight="1">
      <c r="A16" s="44" t="inlineStr">
        <is>
          <t>Row</t>
        </is>
      </c>
      <c r="B16" s="45" t="inlineStr">
        <is>
          <t>List or parameter *</t>
        </is>
      </c>
      <c r="C16" s="45" t="inlineStr">
        <is>
          <t>Value code</t>
        </is>
      </c>
      <c r="D16" s="45" t="inlineStr">
        <is>
          <t>Label or value *</t>
        </is>
      </c>
      <c r="E16" s="45" t="inlineStr">
        <is>
          <t>Order / Active</t>
        </is>
      </c>
      <c r="F16" s="45" t="inlineStr">
        <is>
          <t>Effective from</t>
        </is>
      </c>
    </row>
    <row r="17" ht="18" customHeight="1">
      <c r="A17" s="46" t="inlineStr">
        <is>
          <t>Example – overwrite or delete</t>
        </is>
      </c>
      <c r="B17" s="47" t="inlineStr">
        <is>
          <t>PKG_REQUEST_REASON</t>
        </is>
      </c>
      <c r="C17" s="47" t="inlineStr">
        <is>
          <t>LOSS_EXPERIENCE</t>
        </is>
      </c>
      <c r="D17" s="47" t="inlineStr">
        <is>
          <t>Loss experience</t>
        </is>
      </c>
      <c r="E17" s="47" t="inlineStr">
        <is>
          <t>50; Y</t>
        </is>
      </c>
      <c r="F17" s="47" t="n"/>
    </row>
    <row r="18">
      <c r="B18" s="49" t="n"/>
      <c r="C18" s="49" t="n"/>
      <c r="D18" s="49" t="n"/>
      <c r="E18" s="49" t="n"/>
      <c r="F18" s="49" t="n"/>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row r="219">
      <c r="B219" s="49" t="n"/>
      <c r="C219" s="49" t="n"/>
      <c r="D219" s="49" t="n"/>
      <c r="E219" s="49" t="n"/>
      <c r="F219" s="49" t="n"/>
    </row>
    <row r="220">
      <c r="B220" s="49" t="n"/>
      <c r="C220" s="49" t="n"/>
      <c r="D220" s="49" t="n"/>
      <c r="E220" s="49" t="n"/>
      <c r="F220" s="49" t="n"/>
    </row>
    <row r="221">
      <c r="B221" s="49" t="n"/>
      <c r="C221" s="49" t="n"/>
      <c r="D221" s="49" t="n"/>
      <c r="E221" s="49" t="n"/>
      <c r="F221" s="49" t="n"/>
    </row>
    <row r="222">
      <c r="B222" s="49" t="n"/>
      <c r="C222" s="49" t="n"/>
      <c r="D222" s="49" t="n"/>
      <c r="E222" s="49" t="n"/>
      <c r="F222" s="49" t="n"/>
    </row>
    <row r="223">
      <c r="B223" s="49" t="n"/>
      <c r="C223" s="49" t="n"/>
      <c r="D223" s="49" t="n"/>
      <c r="E223" s="49" t="n"/>
      <c r="F223" s="49" t="n"/>
    </row>
    <row r="224">
      <c r="B224" s="49" t="n"/>
      <c r="C224" s="49" t="n"/>
      <c r="D224" s="49" t="n"/>
      <c r="E224" s="49" t="n"/>
      <c r="F224" s="49" t="n"/>
    </row>
    <row r="225">
      <c r="B225" s="49" t="n"/>
      <c r="C225" s="49" t="n"/>
      <c r="D225" s="49" t="n"/>
      <c r="E225" s="49" t="n"/>
      <c r="F225" s="49" t="n"/>
    </row>
    <row r="226">
      <c r="B226" s="49" t="n"/>
      <c r="C226" s="49" t="n"/>
      <c r="D226" s="49" t="n"/>
      <c r="E226" s="49" t="n"/>
      <c r="F226" s="49" t="n"/>
    </row>
    <row r="227">
      <c r="B227" s="49" t="n"/>
      <c r="C227" s="49" t="n"/>
      <c r="D227" s="49" t="n"/>
      <c r="E227" s="49" t="n"/>
      <c r="F227" s="49" t="n"/>
    </row>
    <row r="228">
      <c r="B228" s="49" t="n"/>
      <c r="C228" s="49" t="n"/>
      <c r="D228" s="49" t="n"/>
      <c r="E228" s="49" t="n"/>
      <c r="F228" s="49" t="n"/>
    </row>
    <row r="229">
      <c r="B229" s="49" t="n"/>
      <c r="C229" s="49" t="n"/>
      <c r="D229" s="49" t="n"/>
      <c r="E229" s="49" t="n"/>
      <c r="F229" s="49" t="n"/>
    </row>
    <row r="230">
      <c r="B230" s="49" t="n"/>
      <c r="C230" s="49" t="n"/>
      <c r="D230" s="49" t="n"/>
      <c r="E230" s="49" t="n"/>
      <c r="F230" s="49" t="n"/>
    </row>
    <row r="231">
      <c r="B231" s="49" t="n"/>
      <c r="C231" s="49" t="n"/>
      <c r="D231" s="49" t="n"/>
      <c r="E231" s="49" t="n"/>
      <c r="F231" s="49" t="n"/>
    </row>
    <row r="232">
      <c r="B232" s="49" t="n"/>
      <c r="C232" s="49" t="n"/>
      <c r="D232" s="49" t="n"/>
      <c r="E232" s="49" t="n"/>
      <c r="F232" s="49" t="n"/>
    </row>
    <row r="233">
      <c r="B233" s="49" t="n"/>
      <c r="C233" s="49" t="n"/>
      <c r="D233" s="49" t="n"/>
      <c r="E233" s="49" t="n"/>
      <c r="F233" s="49" t="n"/>
    </row>
    <row r="234">
      <c r="B234" s="49" t="n"/>
      <c r="C234" s="49" t="n"/>
      <c r="D234" s="49" t="n"/>
      <c r="E234" s="49" t="n"/>
      <c r="F234" s="49" t="n"/>
    </row>
    <row r="235">
      <c r="B235" s="49" t="n"/>
      <c r="C235" s="49" t="n"/>
      <c r="D235" s="49" t="n"/>
      <c r="E235" s="49" t="n"/>
      <c r="F235" s="49" t="n"/>
    </row>
    <row r="236">
      <c r="B236" s="49" t="n"/>
      <c r="C236" s="49" t="n"/>
      <c r="D236" s="49" t="n"/>
      <c r="E236" s="49" t="n"/>
      <c r="F236" s="49" t="n"/>
    </row>
    <row r="237">
      <c r="B237" s="49" t="n"/>
      <c r="C237" s="49" t="n"/>
      <c r="D237" s="49" t="n"/>
      <c r="E237" s="49" t="n"/>
      <c r="F237" s="49" t="n"/>
    </row>
    <row r="238">
      <c r="B238" s="49" t="n"/>
      <c r="C238" s="49" t="n"/>
      <c r="D238" s="49" t="n"/>
      <c r="E238" s="49" t="n"/>
      <c r="F238" s="49" t="n"/>
    </row>
    <row r="239">
      <c r="B239" s="49" t="n"/>
      <c r="C239" s="49" t="n"/>
      <c r="D239" s="49" t="n"/>
      <c r="E239" s="49" t="n"/>
      <c r="F239" s="49" t="n"/>
    </row>
    <row r="240">
      <c r="B240" s="49" t="n"/>
      <c r="C240" s="49" t="n"/>
      <c r="D240" s="49" t="n"/>
      <c r="E240" s="49" t="n"/>
      <c r="F240" s="49" t="n"/>
    </row>
    <row r="241">
      <c r="B241" s="49" t="n"/>
      <c r="C241" s="49" t="n"/>
      <c r="D241" s="49" t="n"/>
      <c r="E241" s="49" t="n"/>
      <c r="F241" s="49" t="n"/>
    </row>
    <row r="242">
      <c r="B242" s="49" t="n"/>
      <c r="C242" s="49" t="n"/>
      <c r="D242" s="49" t="n"/>
      <c r="E242" s="49" t="n"/>
      <c r="F242" s="49" t="n"/>
    </row>
    <row r="243">
      <c r="B243" s="49" t="n"/>
      <c r="C243" s="49" t="n"/>
      <c r="D243" s="49" t="n"/>
      <c r="E243" s="49" t="n"/>
      <c r="F243" s="49" t="n"/>
    </row>
    <row r="244">
      <c r="B244" s="49" t="n"/>
      <c r="C244" s="49" t="n"/>
      <c r="D244" s="49" t="n"/>
      <c r="E244" s="49" t="n"/>
      <c r="F244" s="49" t="n"/>
    </row>
    <row r="245">
      <c r="B245" s="49" t="n"/>
      <c r="C245" s="49" t="n"/>
      <c r="D245" s="49" t="n"/>
      <c r="E245" s="49" t="n"/>
      <c r="F245" s="49" t="n"/>
    </row>
    <row r="246">
      <c r="B246" s="49" t="n"/>
      <c r="C246" s="49" t="n"/>
      <c r="D246" s="49" t="n"/>
      <c r="E246" s="49" t="n"/>
      <c r="F246" s="49" t="n"/>
    </row>
    <row r="247">
      <c r="B247" s="49" t="n"/>
      <c r="C247" s="49" t="n"/>
      <c r="D247" s="49" t="n"/>
      <c r="E247" s="49" t="n"/>
      <c r="F247" s="49" t="n"/>
    </row>
    <row r="248">
      <c r="B248" s="49" t="n"/>
      <c r="C248" s="49" t="n"/>
      <c r="D248" s="49" t="n"/>
      <c r="E248" s="49" t="n"/>
      <c r="F248" s="49" t="n"/>
    </row>
    <row r="249">
      <c r="B249" s="49" t="n"/>
      <c r="C249" s="49" t="n"/>
      <c r="D249" s="49" t="n"/>
      <c r="E249" s="49" t="n"/>
      <c r="F249" s="49" t="n"/>
    </row>
    <row r="250">
      <c r="B250" s="49" t="n"/>
      <c r="C250" s="49" t="n"/>
      <c r="D250" s="49" t="n"/>
      <c r="E250" s="49" t="n"/>
      <c r="F250" s="49" t="n"/>
    </row>
    <row r="251">
      <c r="B251" s="49" t="n"/>
      <c r="C251" s="49" t="n"/>
      <c r="D251" s="49" t="n"/>
      <c r="E251" s="49" t="n"/>
      <c r="F251" s="49" t="n"/>
    </row>
    <row r="252">
      <c r="B252" s="49" t="n"/>
      <c r="C252" s="49" t="n"/>
      <c r="D252" s="49" t="n"/>
      <c r="E252" s="49" t="n"/>
      <c r="F252" s="49" t="n"/>
    </row>
    <row r="253">
      <c r="B253" s="49" t="n"/>
      <c r="C253" s="49" t="n"/>
      <c r="D253" s="49" t="n"/>
      <c r="E253" s="49" t="n"/>
      <c r="F253" s="49" t="n"/>
    </row>
    <row r="254">
      <c r="B254" s="49" t="n"/>
      <c r="C254" s="49" t="n"/>
      <c r="D254" s="49" t="n"/>
      <c r="E254" s="49" t="n"/>
      <c r="F254" s="49" t="n"/>
    </row>
    <row r="255">
      <c r="B255" s="49" t="n"/>
      <c r="C255" s="49" t="n"/>
      <c r="D255" s="49" t="n"/>
      <c r="E255" s="49" t="n"/>
      <c r="F255" s="49" t="n"/>
    </row>
    <row r="256">
      <c r="B256" s="49" t="n"/>
      <c r="C256" s="49" t="n"/>
      <c r="D256" s="49" t="n"/>
      <c r="E256" s="49" t="n"/>
      <c r="F256" s="49" t="n"/>
    </row>
    <row r="257">
      <c r="B257" s="49" t="n"/>
      <c r="C257" s="49" t="n"/>
      <c r="D257" s="49" t="n"/>
      <c r="E257" s="49" t="n"/>
      <c r="F257" s="49" t="n"/>
    </row>
    <row r="258">
      <c r="B258" s="49" t="n"/>
      <c r="C258" s="49" t="n"/>
      <c r="D258" s="49" t="n"/>
      <c r="E258" s="49" t="n"/>
      <c r="F258" s="49" t="n"/>
    </row>
    <row r="259">
      <c r="B259" s="49" t="n"/>
      <c r="C259" s="49" t="n"/>
      <c r="D259" s="49" t="n"/>
      <c r="E259" s="49" t="n"/>
      <c r="F259" s="49" t="n"/>
    </row>
    <row r="260">
      <c r="B260" s="49" t="n"/>
      <c r="C260" s="49" t="n"/>
      <c r="D260" s="49" t="n"/>
      <c r="E260" s="49" t="n"/>
      <c r="F260" s="49" t="n"/>
    </row>
    <row r="261">
      <c r="B261" s="49" t="n"/>
      <c r="C261" s="49" t="n"/>
      <c r="D261" s="49" t="n"/>
      <c r="E261" s="49" t="n"/>
      <c r="F261" s="49" t="n"/>
    </row>
    <row r="262">
      <c r="B262" s="49" t="n"/>
      <c r="C262" s="49" t="n"/>
      <c r="D262" s="49" t="n"/>
      <c r="E262" s="49" t="n"/>
      <c r="F262" s="49" t="n"/>
    </row>
    <row r="263">
      <c r="B263" s="49" t="n"/>
      <c r="C263" s="49" t="n"/>
      <c r="D263" s="49" t="n"/>
      <c r="E263" s="49" t="n"/>
      <c r="F263" s="49" t="n"/>
    </row>
    <row r="264">
      <c r="B264" s="49" t="n"/>
      <c r="C264" s="49" t="n"/>
      <c r="D264" s="49" t="n"/>
      <c r="E264" s="49" t="n"/>
      <c r="F264" s="49" t="n"/>
    </row>
    <row r="265">
      <c r="B265" s="49" t="n"/>
      <c r="C265" s="49" t="n"/>
      <c r="D265" s="49" t="n"/>
      <c r="E265" s="49" t="n"/>
      <c r="F265" s="49" t="n"/>
    </row>
    <row r="266">
      <c r="B266" s="49" t="n"/>
      <c r="C266" s="49" t="n"/>
      <c r="D266" s="49" t="n"/>
      <c r="E266" s="49" t="n"/>
      <c r="F266" s="49" t="n"/>
    </row>
    <row r="267">
      <c r="B267" s="49" t="n"/>
      <c r="C267" s="49" t="n"/>
      <c r="D267" s="49" t="n"/>
      <c r="E267" s="49" t="n"/>
      <c r="F267" s="49" t="n"/>
    </row>
    <row r="268">
      <c r="B268" s="49" t="n"/>
      <c r="C268" s="49" t="n"/>
      <c r="D268" s="49" t="n"/>
      <c r="E268" s="49" t="n"/>
      <c r="F268" s="49" t="n"/>
    </row>
    <row r="269">
      <c r="B269" s="49" t="n"/>
      <c r="C269" s="49" t="n"/>
      <c r="D269" s="49" t="n"/>
      <c r="E269" s="49" t="n"/>
      <c r="F269" s="49" t="n"/>
    </row>
    <row r="270">
      <c r="B270" s="49" t="n"/>
      <c r="C270" s="49" t="n"/>
      <c r="D270" s="49" t="n"/>
      <c r="E270" s="49" t="n"/>
      <c r="F270" s="49" t="n"/>
    </row>
    <row r="271">
      <c r="B271" s="49" t="n"/>
      <c r="C271" s="49" t="n"/>
      <c r="D271" s="49" t="n"/>
      <c r="E271" s="49" t="n"/>
      <c r="F271" s="49" t="n"/>
    </row>
    <row r="272">
      <c r="B272" s="49" t="n"/>
      <c r="C272" s="49" t="n"/>
      <c r="D272" s="49" t="n"/>
      <c r="E272" s="49" t="n"/>
      <c r="F272" s="49" t="n"/>
    </row>
    <row r="273">
      <c r="B273" s="49" t="n"/>
      <c r="C273" s="49" t="n"/>
      <c r="D273" s="49" t="n"/>
      <c r="E273" s="49" t="n"/>
      <c r="F273" s="49" t="n"/>
    </row>
    <row r="274">
      <c r="B274" s="49" t="n"/>
      <c r="C274" s="49" t="n"/>
      <c r="D274" s="49" t="n"/>
      <c r="E274" s="49" t="n"/>
      <c r="F274" s="49" t="n"/>
    </row>
    <row r="275">
      <c r="B275" s="49" t="n"/>
      <c r="C275" s="49" t="n"/>
      <c r="D275" s="49" t="n"/>
      <c r="E275" s="49" t="n"/>
      <c r="F275" s="49" t="n"/>
    </row>
    <row r="276">
      <c r="B276" s="49" t="n"/>
      <c r="C276" s="49" t="n"/>
      <c r="D276" s="49" t="n"/>
      <c r="E276" s="49" t="n"/>
      <c r="F276" s="49" t="n"/>
    </row>
    <row r="277">
      <c r="B277" s="49" t="n"/>
      <c r="C277" s="49" t="n"/>
      <c r="D277" s="49" t="n"/>
      <c r="E277" s="49" t="n"/>
      <c r="F277" s="49" t="n"/>
    </row>
    <row r="278">
      <c r="B278" s="49" t="n"/>
      <c r="C278" s="49" t="n"/>
      <c r="D278" s="49" t="n"/>
      <c r="E278" s="49" t="n"/>
      <c r="F278" s="49" t="n"/>
    </row>
    <row r="279">
      <c r="B279" s="49" t="n"/>
      <c r="C279" s="49" t="n"/>
      <c r="D279" s="49" t="n"/>
      <c r="E279" s="49" t="n"/>
      <c r="F279" s="49" t="n"/>
    </row>
    <row r="280">
      <c r="B280" s="49" t="n"/>
      <c r="C280" s="49" t="n"/>
      <c r="D280" s="49" t="n"/>
      <c r="E280" s="49" t="n"/>
      <c r="F280" s="49" t="n"/>
    </row>
    <row r="281">
      <c r="B281" s="49" t="n"/>
      <c r="C281" s="49" t="n"/>
      <c r="D281" s="49" t="n"/>
      <c r="E281" s="49" t="n"/>
      <c r="F281" s="49" t="n"/>
    </row>
    <row r="282">
      <c r="B282" s="49" t="n"/>
      <c r="C282" s="49" t="n"/>
      <c r="D282" s="49" t="n"/>
      <c r="E282" s="49" t="n"/>
      <c r="F282" s="49" t="n"/>
    </row>
    <row r="283">
      <c r="B283" s="49" t="n"/>
      <c r="C283" s="49" t="n"/>
      <c r="D283" s="49" t="n"/>
      <c r="E283" s="49" t="n"/>
      <c r="F283" s="49" t="n"/>
    </row>
    <row r="284">
      <c r="B284" s="49" t="n"/>
      <c r="C284" s="49" t="n"/>
      <c r="D284" s="49" t="n"/>
      <c r="E284" s="49" t="n"/>
      <c r="F284" s="49" t="n"/>
    </row>
    <row r="285">
      <c r="B285" s="49" t="n"/>
      <c r="C285" s="49" t="n"/>
      <c r="D285" s="49" t="n"/>
      <c r="E285" s="49" t="n"/>
      <c r="F285" s="49" t="n"/>
    </row>
    <row r="286">
      <c r="B286" s="49" t="n"/>
      <c r="C286" s="49" t="n"/>
      <c r="D286" s="49" t="n"/>
      <c r="E286" s="49" t="n"/>
      <c r="F286" s="49" t="n"/>
    </row>
    <row r="287">
      <c r="B287" s="49" t="n"/>
      <c r="C287" s="49" t="n"/>
      <c r="D287" s="49" t="n"/>
      <c r="E287" s="49" t="n"/>
      <c r="F287" s="49" t="n"/>
    </row>
    <row r="288">
      <c r="B288" s="49" t="n"/>
      <c r="C288" s="49" t="n"/>
      <c r="D288" s="49" t="n"/>
      <c r="E288" s="49" t="n"/>
      <c r="F288" s="49" t="n"/>
    </row>
    <row r="289">
      <c r="B289" s="49" t="n"/>
      <c r="C289" s="49" t="n"/>
      <c r="D289" s="49" t="n"/>
      <c r="E289" s="49" t="n"/>
      <c r="F289" s="49" t="n"/>
    </row>
    <row r="290">
      <c r="B290" s="49" t="n"/>
      <c r="C290" s="49" t="n"/>
      <c r="D290" s="49" t="n"/>
      <c r="E290" s="49" t="n"/>
      <c r="F290" s="49" t="n"/>
    </row>
    <row r="291">
      <c r="B291" s="49" t="n"/>
      <c r="C291" s="49" t="n"/>
      <c r="D291" s="49" t="n"/>
      <c r="E291" s="49" t="n"/>
      <c r="F291" s="49" t="n"/>
    </row>
    <row r="292">
      <c r="B292" s="49" t="n"/>
      <c r="C292" s="49" t="n"/>
      <c r="D292" s="49" t="n"/>
      <c r="E292" s="49" t="n"/>
      <c r="F292" s="49" t="n"/>
    </row>
    <row r="293">
      <c r="B293" s="49" t="n"/>
      <c r="C293" s="49" t="n"/>
      <c r="D293" s="49" t="n"/>
      <c r="E293" s="49" t="n"/>
      <c r="F293" s="49" t="n"/>
    </row>
    <row r="294">
      <c r="B294" s="49" t="n"/>
      <c r="C294" s="49" t="n"/>
      <c r="D294" s="49" t="n"/>
      <c r="E294" s="49" t="n"/>
      <c r="F294" s="49" t="n"/>
    </row>
    <row r="295">
      <c r="B295" s="49" t="n"/>
      <c r="C295" s="49" t="n"/>
      <c r="D295" s="49" t="n"/>
      <c r="E295" s="49" t="n"/>
      <c r="F295" s="49" t="n"/>
    </row>
    <row r="296">
      <c r="B296" s="49" t="n"/>
      <c r="C296" s="49" t="n"/>
      <c r="D296" s="49" t="n"/>
      <c r="E296" s="49" t="n"/>
      <c r="F296" s="49" t="n"/>
    </row>
    <row r="297">
      <c r="B297" s="49" t="n"/>
      <c r="C297" s="49" t="n"/>
      <c r="D297" s="49" t="n"/>
      <c r="E297" s="49" t="n"/>
      <c r="F297" s="49" t="n"/>
    </row>
    <row r="298">
      <c r="B298" s="49" t="n"/>
      <c r="C298" s="49" t="n"/>
      <c r="D298" s="49" t="n"/>
      <c r="E298" s="49" t="n"/>
      <c r="F298" s="49" t="n"/>
    </row>
    <row r="299">
      <c r="B299" s="49" t="n"/>
      <c r="C299" s="49" t="n"/>
      <c r="D299" s="49" t="n"/>
      <c r="E299" s="49" t="n"/>
      <c r="F299" s="49" t="n"/>
    </row>
    <row r="300">
      <c r="B300" s="49" t="n"/>
      <c r="C300" s="49" t="n"/>
      <c r="D300" s="49" t="n"/>
      <c r="E300" s="49" t="n"/>
      <c r="F300" s="49" t="n"/>
    </row>
    <row r="301">
      <c r="B301" s="49" t="n"/>
      <c r="C301" s="49" t="n"/>
      <c r="D301" s="49" t="n"/>
      <c r="E301" s="49" t="n"/>
      <c r="F301" s="49" t="n"/>
    </row>
    <row r="302">
      <c r="B302" s="49" t="n"/>
      <c r="C302" s="49" t="n"/>
      <c r="D302" s="49" t="n"/>
      <c r="E302" s="49" t="n"/>
      <c r="F302" s="49" t="n"/>
    </row>
    <row r="303">
      <c r="B303" s="49" t="n"/>
      <c r="C303" s="49" t="n"/>
      <c r="D303" s="49" t="n"/>
      <c r="E303" s="49" t="n"/>
      <c r="F303" s="49" t="n"/>
    </row>
    <row r="304">
      <c r="B304" s="49" t="n"/>
      <c r="C304" s="49" t="n"/>
      <c r="D304" s="49" t="n"/>
      <c r="E304" s="49" t="n"/>
      <c r="F304" s="49" t="n"/>
    </row>
    <row r="305">
      <c r="B305" s="49" t="n"/>
      <c r="C305" s="49" t="n"/>
      <c r="D305" s="49" t="n"/>
      <c r="E305" s="49" t="n"/>
      <c r="F305" s="49" t="n"/>
    </row>
    <row r="306">
      <c r="B306" s="49" t="n"/>
      <c r="C306" s="49" t="n"/>
      <c r="D306" s="49" t="n"/>
      <c r="E306" s="49" t="n"/>
      <c r="F306" s="49" t="n"/>
    </row>
    <row r="307">
      <c r="B307" s="49" t="n"/>
      <c r="C307" s="49" t="n"/>
      <c r="D307" s="49" t="n"/>
      <c r="E307" s="49" t="n"/>
      <c r="F307" s="49" t="n"/>
    </row>
    <row r="308">
      <c r="B308" s="49" t="n"/>
      <c r="C308" s="49" t="n"/>
      <c r="D308" s="49" t="n"/>
      <c r="E308" s="49" t="n"/>
      <c r="F308" s="49" t="n"/>
    </row>
    <row r="309">
      <c r="B309" s="49" t="n"/>
      <c r="C309" s="49" t="n"/>
      <c r="D309" s="49" t="n"/>
      <c r="E309" s="49" t="n"/>
      <c r="F309" s="49" t="n"/>
    </row>
    <row r="310">
      <c r="B310" s="49" t="n"/>
      <c r="C310" s="49" t="n"/>
      <c r="D310" s="49" t="n"/>
      <c r="E310" s="49" t="n"/>
      <c r="F310" s="49" t="n"/>
    </row>
    <row r="311">
      <c r="B311" s="49" t="n"/>
      <c r="C311" s="49" t="n"/>
      <c r="D311" s="49" t="n"/>
      <c r="E311" s="49" t="n"/>
      <c r="F311" s="49" t="n"/>
    </row>
    <row r="312">
      <c r="B312" s="49" t="n"/>
      <c r="C312" s="49" t="n"/>
      <c r="D312" s="49" t="n"/>
      <c r="E312" s="49" t="n"/>
      <c r="F312" s="49" t="n"/>
    </row>
    <row r="313">
      <c r="B313" s="49" t="n"/>
      <c r="C313" s="49" t="n"/>
      <c r="D313" s="49" t="n"/>
      <c r="E313" s="49" t="n"/>
      <c r="F313" s="49" t="n"/>
    </row>
    <row r="314">
      <c r="B314" s="49" t="n"/>
      <c r="C314" s="49" t="n"/>
      <c r="D314" s="49" t="n"/>
      <c r="E314" s="49" t="n"/>
      <c r="F314" s="49" t="n"/>
    </row>
    <row r="315">
      <c r="B315" s="49" t="n"/>
      <c r="C315" s="49" t="n"/>
      <c r="D315" s="49" t="n"/>
      <c r="E315" s="49" t="n"/>
      <c r="F315" s="49" t="n"/>
    </row>
    <row r="316">
      <c r="B316" s="49" t="n"/>
      <c r="C316" s="49" t="n"/>
      <c r="D316" s="49" t="n"/>
      <c r="E316" s="49" t="n"/>
      <c r="F316" s="49" t="n"/>
    </row>
    <row r="317">
      <c r="B317" s="49" t="n"/>
      <c r="C317" s="49" t="n"/>
      <c r="D317" s="49" t="n"/>
      <c r="E317" s="49" t="n"/>
      <c r="F317" s="49" t="n"/>
    </row>
    <row r="318">
      <c r="B318" s="49" t="n"/>
      <c r="C318" s="49" t="n"/>
      <c r="D318" s="49" t="n"/>
      <c r="E318" s="49" t="n"/>
      <c r="F318" s="49" t="n"/>
    </row>
    <row r="319">
      <c r="B319" s="49" t="n"/>
      <c r="C319" s="49" t="n"/>
      <c r="D319" s="49" t="n"/>
      <c r="E319" s="49" t="n"/>
      <c r="F319" s="49" t="n"/>
    </row>
    <row r="320">
      <c r="B320" s="49" t="n"/>
      <c r="C320" s="49" t="n"/>
      <c r="D320" s="49" t="n"/>
      <c r="E320" s="49" t="n"/>
      <c r="F320" s="49" t="n"/>
    </row>
    <row r="321">
      <c r="B321" s="49" t="n"/>
      <c r="C321" s="49" t="n"/>
      <c r="D321" s="49" t="n"/>
      <c r="E321" s="49" t="n"/>
      <c r="F321" s="49" t="n"/>
    </row>
    <row r="322">
      <c r="B322" s="49" t="n"/>
      <c r="C322" s="49" t="n"/>
      <c r="D322" s="49" t="n"/>
      <c r="E322" s="49" t="n"/>
      <c r="F322" s="49" t="n"/>
    </row>
    <row r="323">
      <c r="B323" s="49" t="n"/>
      <c r="C323" s="49" t="n"/>
      <c r="D323" s="49" t="n"/>
      <c r="E323" s="49" t="n"/>
      <c r="F323" s="49" t="n"/>
    </row>
    <row r="324">
      <c r="B324" s="49" t="n"/>
      <c r="C324" s="49" t="n"/>
      <c r="D324" s="49" t="n"/>
      <c r="E324" s="49" t="n"/>
      <c r="F324" s="49" t="n"/>
    </row>
    <row r="325">
      <c r="B325" s="49" t="n"/>
      <c r="C325" s="49" t="n"/>
      <c r="D325" s="49" t="n"/>
      <c r="E325" s="49" t="n"/>
      <c r="F325" s="49" t="n"/>
    </row>
    <row r="326">
      <c r="B326" s="49" t="n"/>
      <c r="C326" s="49" t="n"/>
      <c r="D326" s="49" t="n"/>
      <c r="E326" s="49" t="n"/>
      <c r="F326" s="49" t="n"/>
    </row>
    <row r="327">
      <c r="B327" s="49" t="n"/>
      <c r="C327" s="49" t="n"/>
      <c r="D327" s="49" t="n"/>
      <c r="E327" s="49" t="n"/>
      <c r="F327" s="49" t="n"/>
    </row>
    <row r="328">
      <c r="B328" s="49" t="n"/>
      <c r="C328" s="49" t="n"/>
      <c r="D328" s="49" t="n"/>
      <c r="E328" s="49" t="n"/>
      <c r="F328" s="49" t="n"/>
    </row>
    <row r="329">
      <c r="B329" s="49" t="n"/>
      <c r="C329" s="49" t="n"/>
      <c r="D329" s="49" t="n"/>
      <c r="E329" s="49" t="n"/>
      <c r="F329" s="49" t="n"/>
    </row>
    <row r="330">
      <c r="B330" s="49" t="n"/>
      <c r="C330" s="49" t="n"/>
      <c r="D330" s="49" t="n"/>
      <c r="E330" s="49" t="n"/>
      <c r="F330" s="49" t="n"/>
    </row>
    <row r="331">
      <c r="B331" s="49" t="n"/>
      <c r="C331" s="49" t="n"/>
      <c r="D331" s="49" t="n"/>
      <c r="E331" s="49" t="n"/>
      <c r="F331" s="49" t="n"/>
    </row>
    <row r="332">
      <c r="B332" s="49" t="n"/>
      <c r="C332" s="49" t="n"/>
      <c r="D332" s="49" t="n"/>
      <c r="E332" s="49" t="n"/>
      <c r="F332" s="49" t="n"/>
    </row>
    <row r="333">
      <c r="B333" s="49" t="n"/>
      <c r="C333" s="49" t="n"/>
      <c r="D333" s="49" t="n"/>
      <c r="E333" s="49" t="n"/>
      <c r="F333" s="49" t="n"/>
    </row>
    <row r="334">
      <c r="B334" s="49" t="n"/>
      <c r="C334" s="49" t="n"/>
      <c r="D334" s="49" t="n"/>
      <c r="E334" s="49" t="n"/>
      <c r="F334" s="49" t="n"/>
    </row>
    <row r="335">
      <c r="B335" s="49" t="n"/>
      <c r="C335" s="49" t="n"/>
      <c r="D335" s="49" t="n"/>
      <c r="E335" s="49" t="n"/>
      <c r="F335" s="49" t="n"/>
    </row>
    <row r="336">
      <c r="B336" s="49" t="n"/>
      <c r="C336" s="49" t="n"/>
      <c r="D336" s="49" t="n"/>
      <c r="E336" s="49" t="n"/>
      <c r="F336" s="49" t="n"/>
    </row>
    <row r="337">
      <c r="B337" s="49" t="n"/>
      <c r="C337" s="49" t="n"/>
      <c r="D337" s="49" t="n"/>
      <c r="E337" s="49" t="n"/>
      <c r="F337" s="49" t="n"/>
    </row>
    <row r="338">
      <c r="B338" s="49" t="n"/>
      <c r="C338" s="49" t="n"/>
      <c r="D338" s="49" t="n"/>
      <c r="E338" s="49" t="n"/>
      <c r="F338" s="49" t="n"/>
    </row>
    <row r="339">
      <c r="B339" s="49" t="n"/>
      <c r="C339" s="49" t="n"/>
      <c r="D339" s="49" t="n"/>
      <c r="E339" s="49" t="n"/>
      <c r="F339" s="49" t="n"/>
    </row>
    <row r="340">
      <c r="B340" s="49" t="n"/>
      <c r="C340" s="49" t="n"/>
      <c r="D340" s="49" t="n"/>
      <c r="E340" s="49" t="n"/>
      <c r="F340" s="49" t="n"/>
    </row>
    <row r="341">
      <c r="B341" s="49" t="n"/>
      <c r="C341" s="49" t="n"/>
      <c r="D341" s="49" t="n"/>
      <c r="E341" s="49" t="n"/>
      <c r="F341" s="49" t="n"/>
    </row>
    <row r="342">
      <c r="B342" s="49" t="n"/>
      <c r="C342" s="49" t="n"/>
      <c r="D342" s="49" t="n"/>
      <c r="E342" s="49" t="n"/>
      <c r="F342" s="49" t="n"/>
    </row>
    <row r="343">
      <c r="B343" s="49" t="n"/>
      <c r="C343" s="49" t="n"/>
      <c r="D343" s="49" t="n"/>
      <c r="E343" s="49" t="n"/>
      <c r="F343" s="49" t="n"/>
    </row>
    <row r="344">
      <c r="B344" s="49" t="n"/>
      <c r="C344" s="49" t="n"/>
      <c r="D344" s="49" t="n"/>
      <c r="E344" s="49" t="n"/>
      <c r="F344" s="49" t="n"/>
    </row>
    <row r="345">
      <c r="B345" s="49" t="n"/>
      <c r="C345" s="49" t="n"/>
      <c r="D345" s="49" t="n"/>
      <c r="E345" s="49" t="n"/>
      <c r="F345" s="49" t="n"/>
    </row>
    <row r="346">
      <c r="B346" s="49" t="n"/>
      <c r="C346" s="49" t="n"/>
      <c r="D346" s="49" t="n"/>
      <c r="E346" s="49" t="n"/>
      <c r="F346" s="49" t="n"/>
    </row>
    <row r="347">
      <c r="B347" s="49" t="n"/>
      <c r="C347" s="49" t="n"/>
      <c r="D347" s="49" t="n"/>
      <c r="E347" s="49" t="n"/>
      <c r="F347" s="49" t="n"/>
    </row>
    <row r="348">
      <c r="B348" s="49" t="n"/>
      <c r="C348" s="49" t="n"/>
      <c r="D348" s="49" t="n"/>
      <c r="E348" s="49" t="n"/>
      <c r="F348" s="49" t="n"/>
    </row>
    <row r="349">
      <c r="B349" s="49" t="n"/>
      <c r="C349" s="49" t="n"/>
      <c r="D349" s="49" t="n"/>
      <c r="E349" s="49" t="n"/>
      <c r="F349" s="49" t="n"/>
    </row>
    <row r="350">
      <c r="B350" s="49" t="n"/>
      <c r="C350" s="49" t="n"/>
      <c r="D350" s="49" t="n"/>
      <c r="E350" s="49" t="n"/>
      <c r="F350" s="49" t="n"/>
    </row>
    <row r="351">
      <c r="B351" s="49" t="n"/>
      <c r="C351" s="49" t="n"/>
      <c r="D351" s="49" t="n"/>
      <c r="E351" s="49" t="n"/>
      <c r="F351" s="49" t="n"/>
    </row>
    <row r="352">
      <c r="B352" s="49" t="n"/>
      <c r="C352" s="49" t="n"/>
      <c r="D352" s="49" t="n"/>
      <c r="E352" s="49" t="n"/>
      <c r="F352" s="49" t="n"/>
    </row>
    <row r="353">
      <c r="B353" s="49" t="n"/>
      <c r="C353" s="49" t="n"/>
      <c r="D353" s="49" t="n"/>
      <c r="E353" s="49" t="n"/>
      <c r="F353" s="49" t="n"/>
    </row>
    <row r="354">
      <c r="B354" s="49" t="n"/>
      <c r="C354" s="49" t="n"/>
      <c r="D354" s="49" t="n"/>
      <c r="E354" s="49" t="n"/>
      <c r="F354" s="49" t="n"/>
    </row>
    <row r="355">
      <c r="B355" s="49" t="n"/>
      <c r="C355" s="49" t="n"/>
      <c r="D355" s="49" t="n"/>
      <c r="E355" s="49" t="n"/>
      <c r="F355" s="49" t="n"/>
    </row>
    <row r="356">
      <c r="B356" s="49" t="n"/>
      <c r="C356" s="49" t="n"/>
      <c r="D356" s="49" t="n"/>
      <c r="E356" s="49" t="n"/>
      <c r="F356" s="49" t="n"/>
    </row>
    <row r="357">
      <c r="B357" s="49" t="n"/>
      <c r="C357" s="49" t="n"/>
      <c r="D357" s="49" t="n"/>
      <c r="E357" s="49" t="n"/>
      <c r="F357" s="49" t="n"/>
    </row>
    <row r="358">
      <c r="B358" s="49" t="n"/>
      <c r="C358" s="49" t="n"/>
      <c r="D358" s="49" t="n"/>
      <c r="E358" s="49" t="n"/>
      <c r="F358" s="49" t="n"/>
    </row>
    <row r="359">
      <c r="B359" s="49" t="n"/>
      <c r="C359" s="49" t="n"/>
      <c r="D359" s="49" t="n"/>
      <c r="E359" s="49" t="n"/>
      <c r="F359" s="49" t="n"/>
    </row>
    <row r="360">
      <c r="B360" s="49" t="n"/>
      <c r="C360" s="49" t="n"/>
      <c r="D360" s="49" t="n"/>
      <c r="E360" s="49" t="n"/>
      <c r="F360" s="49" t="n"/>
    </row>
    <row r="361">
      <c r="B361" s="49" t="n"/>
      <c r="C361" s="49" t="n"/>
      <c r="D361" s="49" t="n"/>
      <c r="E361" s="49" t="n"/>
      <c r="F361" s="49" t="n"/>
    </row>
    <row r="362">
      <c r="B362" s="49" t="n"/>
      <c r="C362" s="49" t="n"/>
      <c r="D362" s="49" t="n"/>
      <c r="E362" s="49" t="n"/>
      <c r="F362" s="49" t="n"/>
    </row>
    <row r="363">
      <c r="B363" s="49" t="n"/>
      <c r="C363" s="49" t="n"/>
      <c r="D363" s="49" t="n"/>
      <c r="E363" s="49" t="n"/>
      <c r="F363" s="49" t="n"/>
    </row>
    <row r="364">
      <c r="B364" s="49" t="n"/>
      <c r="C364" s="49" t="n"/>
      <c r="D364" s="49" t="n"/>
      <c r="E364" s="49" t="n"/>
      <c r="F364" s="49" t="n"/>
    </row>
    <row r="365">
      <c r="B365" s="49" t="n"/>
      <c r="C365" s="49" t="n"/>
      <c r="D365" s="49" t="n"/>
      <c r="E365" s="49" t="n"/>
      <c r="F365" s="49" t="n"/>
    </row>
    <row r="366">
      <c r="B366" s="49" t="n"/>
      <c r="C366" s="49" t="n"/>
      <c r="D366" s="49" t="n"/>
      <c r="E366" s="49" t="n"/>
      <c r="F366" s="49" t="n"/>
    </row>
    <row r="367">
      <c r="B367" s="49" t="n"/>
      <c r="C367" s="49" t="n"/>
      <c r="D367" s="49" t="n"/>
      <c r="E367" s="49" t="n"/>
      <c r="F367" s="49" t="n"/>
    </row>
    <row r="368">
      <c r="B368" s="49" t="n"/>
      <c r="C368" s="49" t="n"/>
      <c r="D368" s="49" t="n"/>
      <c r="E368" s="49" t="n"/>
      <c r="F368" s="49" t="n"/>
    </row>
    <row r="369">
      <c r="B369" s="49" t="n"/>
      <c r="C369" s="49" t="n"/>
      <c r="D369" s="49" t="n"/>
      <c r="E369" s="49" t="n"/>
      <c r="F369" s="49" t="n"/>
    </row>
    <row r="370">
      <c r="B370" s="49" t="n"/>
      <c r="C370" s="49" t="n"/>
      <c r="D370" s="49" t="n"/>
      <c r="E370" s="49" t="n"/>
      <c r="F370" s="49" t="n"/>
    </row>
    <row r="371">
      <c r="B371" s="49" t="n"/>
      <c r="C371" s="49" t="n"/>
      <c r="D371" s="49" t="n"/>
      <c r="E371" s="49" t="n"/>
      <c r="F371" s="49" t="n"/>
    </row>
    <row r="372">
      <c r="B372" s="49" t="n"/>
      <c r="C372" s="49" t="n"/>
      <c r="D372" s="49" t="n"/>
      <c r="E372" s="49" t="n"/>
      <c r="F372" s="49" t="n"/>
    </row>
    <row r="373">
      <c r="B373" s="49" t="n"/>
      <c r="C373" s="49" t="n"/>
      <c r="D373" s="49" t="n"/>
      <c r="E373" s="49" t="n"/>
      <c r="F373" s="49" t="n"/>
    </row>
    <row r="374">
      <c r="B374" s="49" t="n"/>
      <c r="C374" s="49" t="n"/>
      <c r="D374" s="49" t="n"/>
      <c r="E374" s="49" t="n"/>
      <c r="F374" s="49" t="n"/>
    </row>
    <row r="375">
      <c r="B375" s="49" t="n"/>
      <c r="C375" s="49" t="n"/>
      <c r="D375" s="49" t="n"/>
      <c r="E375" s="49" t="n"/>
      <c r="F375" s="49" t="n"/>
    </row>
    <row r="376">
      <c r="B376" s="49" t="n"/>
      <c r="C376" s="49" t="n"/>
      <c r="D376" s="49" t="n"/>
      <c r="E376" s="49" t="n"/>
      <c r="F376" s="49" t="n"/>
    </row>
    <row r="377">
      <c r="B377" s="49" t="n"/>
      <c r="C377" s="49" t="n"/>
      <c r="D377" s="49" t="n"/>
      <c r="E377" s="49" t="n"/>
      <c r="F377" s="49" t="n"/>
    </row>
    <row r="378">
      <c r="B378" s="49" t="n"/>
      <c r="C378" s="49" t="n"/>
      <c r="D378" s="49" t="n"/>
      <c r="E378" s="49" t="n"/>
      <c r="F378" s="49" t="n"/>
    </row>
    <row r="379">
      <c r="B379" s="49" t="n"/>
      <c r="C379" s="49" t="n"/>
      <c r="D379" s="49" t="n"/>
      <c r="E379" s="49" t="n"/>
      <c r="F379" s="49" t="n"/>
    </row>
    <row r="380">
      <c r="B380" s="49" t="n"/>
      <c r="C380" s="49" t="n"/>
      <c r="D380" s="49" t="n"/>
      <c r="E380" s="49" t="n"/>
      <c r="F380" s="49" t="n"/>
    </row>
    <row r="381">
      <c r="B381" s="49" t="n"/>
      <c r="C381" s="49" t="n"/>
      <c r="D381" s="49" t="n"/>
      <c r="E381" s="49" t="n"/>
      <c r="F381" s="49" t="n"/>
    </row>
    <row r="382">
      <c r="B382" s="49" t="n"/>
      <c r="C382" s="49" t="n"/>
      <c r="D382" s="49" t="n"/>
      <c r="E382" s="49" t="n"/>
      <c r="F382" s="49" t="n"/>
    </row>
    <row r="383">
      <c r="B383" s="49" t="n"/>
      <c r="C383" s="49" t="n"/>
      <c r="D383" s="49" t="n"/>
      <c r="E383" s="49" t="n"/>
      <c r="F383" s="49" t="n"/>
    </row>
    <row r="384">
      <c r="B384" s="49" t="n"/>
      <c r="C384" s="49" t="n"/>
      <c r="D384" s="49" t="n"/>
      <c r="E384" s="49" t="n"/>
      <c r="F384" s="49" t="n"/>
    </row>
    <row r="385">
      <c r="B385" s="49" t="n"/>
      <c r="C385" s="49" t="n"/>
      <c r="D385" s="49" t="n"/>
      <c r="E385" s="49" t="n"/>
      <c r="F385" s="49" t="n"/>
    </row>
    <row r="386">
      <c r="B386" s="49" t="n"/>
      <c r="C386" s="49" t="n"/>
      <c r="D386" s="49" t="n"/>
      <c r="E386" s="49" t="n"/>
      <c r="F386" s="49" t="n"/>
    </row>
    <row r="387">
      <c r="B387" s="49" t="n"/>
      <c r="C387" s="49" t="n"/>
      <c r="D387" s="49" t="n"/>
      <c r="E387" s="49" t="n"/>
      <c r="F387" s="49" t="n"/>
    </row>
    <row r="388">
      <c r="B388" s="49" t="n"/>
      <c r="C388" s="49" t="n"/>
      <c r="D388" s="49" t="n"/>
      <c r="E388" s="49" t="n"/>
      <c r="F388" s="49" t="n"/>
    </row>
    <row r="389">
      <c r="B389" s="49" t="n"/>
      <c r="C389" s="49" t="n"/>
      <c r="D389" s="49" t="n"/>
      <c r="E389" s="49" t="n"/>
      <c r="F389" s="49" t="n"/>
    </row>
    <row r="390">
      <c r="B390" s="49" t="n"/>
      <c r="C390" s="49" t="n"/>
      <c r="D390" s="49" t="n"/>
      <c r="E390" s="49" t="n"/>
      <c r="F390" s="49" t="n"/>
    </row>
    <row r="391">
      <c r="B391" s="49" t="n"/>
      <c r="C391" s="49" t="n"/>
      <c r="D391" s="49" t="n"/>
      <c r="E391" s="49" t="n"/>
      <c r="F391" s="49" t="n"/>
    </row>
    <row r="392">
      <c r="B392" s="49" t="n"/>
      <c r="C392" s="49" t="n"/>
      <c r="D392" s="49" t="n"/>
      <c r="E392" s="49" t="n"/>
      <c r="F392" s="49" t="n"/>
    </row>
    <row r="393">
      <c r="B393" s="49" t="n"/>
      <c r="C393" s="49" t="n"/>
      <c r="D393" s="49" t="n"/>
      <c r="E393" s="49" t="n"/>
      <c r="F393" s="49" t="n"/>
    </row>
    <row r="394">
      <c r="B394" s="49" t="n"/>
      <c r="C394" s="49" t="n"/>
      <c r="D394" s="49" t="n"/>
      <c r="E394" s="49" t="n"/>
      <c r="F394" s="49" t="n"/>
    </row>
    <row r="395">
      <c r="B395" s="49" t="n"/>
      <c r="C395" s="49" t="n"/>
      <c r="D395" s="49" t="n"/>
      <c r="E395" s="49" t="n"/>
      <c r="F395" s="49" t="n"/>
    </row>
    <row r="396">
      <c r="B396" s="49" t="n"/>
      <c r="C396" s="49" t="n"/>
      <c r="D396" s="49" t="n"/>
      <c r="E396" s="49" t="n"/>
      <c r="F396" s="49" t="n"/>
    </row>
    <row r="397">
      <c r="B397" s="49" t="n"/>
      <c r="C397" s="49" t="n"/>
      <c r="D397" s="49" t="n"/>
      <c r="E397" s="49" t="n"/>
      <c r="F397" s="49" t="n"/>
    </row>
    <row r="398">
      <c r="B398" s="49" t="n"/>
      <c r="C398" s="49" t="n"/>
      <c r="D398" s="49" t="n"/>
      <c r="E398" s="49" t="n"/>
      <c r="F398" s="49" t="n"/>
    </row>
    <row r="399">
      <c r="B399" s="49" t="n"/>
      <c r="C399" s="49" t="n"/>
      <c r="D399" s="49" t="n"/>
      <c r="E399" s="49" t="n"/>
      <c r="F399" s="49" t="n"/>
    </row>
    <row r="400">
      <c r="B400" s="49" t="n"/>
      <c r="C400" s="49" t="n"/>
      <c r="D400" s="49" t="n"/>
      <c r="E400" s="49" t="n"/>
      <c r="F400" s="49" t="n"/>
    </row>
    <row r="401">
      <c r="B401" s="49" t="n"/>
      <c r="C401" s="49" t="n"/>
      <c r="D401" s="49" t="n"/>
      <c r="E401" s="49" t="n"/>
      <c r="F401" s="49" t="n"/>
    </row>
    <row r="402">
      <c r="B402" s="49" t="n"/>
      <c r="C402" s="49" t="n"/>
      <c r="D402" s="49" t="n"/>
      <c r="E402" s="49" t="n"/>
      <c r="F402" s="49" t="n"/>
    </row>
    <row r="403">
      <c r="B403" s="49" t="n"/>
      <c r="C403" s="49" t="n"/>
      <c r="D403" s="49" t="n"/>
      <c r="E403" s="49" t="n"/>
      <c r="F403" s="49" t="n"/>
    </row>
    <row r="404">
      <c r="B404" s="49" t="n"/>
      <c r="C404" s="49" t="n"/>
      <c r="D404" s="49" t="n"/>
      <c r="E404" s="49" t="n"/>
      <c r="F404" s="49" t="n"/>
    </row>
    <row r="405">
      <c r="B405" s="49" t="n"/>
      <c r="C405" s="49" t="n"/>
      <c r="D405" s="49" t="n"/>
      <c r="E405" s="49" t="n"/>
      <c r="F405" s="49" t="n"/>
    </row>
    <row r="406">
      <c r="B406" s="49" t="n"/>
      <c r="C406" s="49" t="n"/>
      <c r="D406" s="49" t="n"/>
      <c r="E406" s="49" t="n"/>
      <c r="F406" s="49" t="n"/>
    </row>
    <row r="407">
      <c r="B407" s="49" t="n"/>
      <c r="C407" s="49" t="n"/>
      <c r="D407" s="49" t="n"/>
      <c r="E407" s="49" t="n"/>
      <c r="F407" s="49" t="n"/>
    </row>
    <row r="408">
      <c r="B408" s="49" t="n"/>
      <c r="C408" s="49" t="n"/>
      <c r="D408" s="49" t="n"/>
      <c r="E408" s="49" t="n"/>
      <c r="F408" s="49" t="n"/>
    </row>
    <row r="409">
      <c r="B409" s="49" t="n"/>
      <c r="C409" s="49" t="n"/>
      <c r="D409" s="49" t="n"/>
      <c r="E409" s="49" t="n"/>
      <c r="F409" s="49" t="n"/>
    </row>
    <row r="410">
      <c r="B410" s="49" t="n"/>
      <c r="C410" s="49" t="n"/>
      <c r="D410" s="49" t="n"/>
      <c r="E410" s="49" t="n"/>
      <c r="F410" s="49" t="n"/>
    </row>
    <row r="411">
      <c r="B411" s="49" t="n"/>
      <c r="C411" s="49" t="n"/>
      <c r="D411" s="49" t="n"/>
      <c r="E411" s="49" t="n"/>
      <c r="F411" s="49" t="n"/>
    </row>
    <row r="412">
      <c r="B412" s="49" t="n"/>
      <c r="C412" s="49" t="n"/>
      <c r="D412" s="49" t="n"/>
      <c r="E412" s="49" t="n"/>
      <c r="F412" s="49" t="n"/>
    </row>
    <row r="413">
      <c r="B413" s="49" t="n"/>
      <c r="C413" s="49" t="n"/>
      <c r="D413" s="49" t="n"/>
      <c r="E413" s="49" t="n"/>
      <c r="F413" s="49" t="n"/>
    </row>
    <row r="414">
      <c r="B414" s="49" t="n"/>
      <c r="C414" s="49" t="n"/>
      <c r="D414" s="49" t="n"/>
      <c r="E414" s="49" t="n"/>
      <c r="F414" s="49" t="n"/>
    </row>
    <row r="415">
      <c r="B415" s="49" t="n"/>
      <c r="C415" s="49" t="n"/>
      <c r="D415" s="49" t="n"/>
      <c r="E415" s="49" t="n"/>
      <c r="F415" s="49" t="n"/>
    </row>
    <row r="416">
      <c r="B416" s="49" t="n"/>
      <c r="C416" s="49" t="n"/>
      <c r="D416" s="49" t="n"/>
      <c r="E416" s="49" t="n"/>
      <c r="F416" s="49" t="n"/>
    </row>
    <row r="417">
      <c r="B417" s="49" t="n"/>
      <c r="C417" s="49" t="n"/>
      <c r="D417" s="49" t="n"/>
      <c r="E417" s="49" t="n"/>
      <c r="F417" s="49" t="n"/>
    </row>
    <row r="418">
      <c r="B418" s="49" t="n"/>
      <c r="C418" s="49" t="n"/>
      <c r="D418" s="49" t="n"/>
      <c r="E418" s="49" t="n"/>
      <c r="F418" s="49" t="n"/>
    </row>
    <row r="419">
      <c r="B419" s="49" t="n"/>
      <c r="C419" s="49" t="n"/>
      <c r="D419" s="49" t="n"/>
      <c r="E419" s="49" t="n"/>
      <c r="F419" s="49" t="n"/>
    </row>
    <row r="420">
      <c r="B420" s="49" t="n"/>
      <c r="C420" s="49" t="n"/>
      <c r="D420" s="49" t="n"/>
      <c r="E420" s="49" t="n"/>
      <c r="F420" s="49" t="n"/>
    </row>
    <row r="421">
      <c r="B421" s="49" t="n"/>
      <c r="C421" s="49" t="n"/>
      <c r="D421" s="49" t="n"/>
      <c r="E421" s="49" t="n"/>
      <c r="F421" s="49" t="n"/>
    </row>
    <row r="422">
      <c r="B422" s="49" t="n"/>
      <c r="C422" s="49" t="n"/>
      <c r="D422" s="49" t="n"/>
      <c r="E422" s="49" t="n"/>
      <c r="F422" s="49" t="n"/>
    </row>
    <row r="423">
      <c r="B423" s="49" t="n"/>
      <c r="C423" s="49" t="n"/>
      <c r="D423" s="49" t="n"/>
      <c r="E423" s="49" t="n"/>
      <c r="F423" s="49" t="n"/>
    </row>
    <row r="424">
      <c r="B424" s="49" t="n"/>
      <c r="C424" s="49" t="n"/>
      <c r="D424" s="49" t="n"/>
      <c r="E424" s="49" t="n"/>
      <c r="F424" s="49" t="n"/>
    </row>
    <row r="425">
      <c r="B425" s="49" t="n"/>
      <c r="C425" s="49" t="n"/>
      <c r="D425" s="49" t="n"/>
      <c r="E425" s="49" t="n"/>
      <c r="F425" s="49" t="n"/>
    </row>
    <row r="426">
      <c r="B426" s="49" t="n"/>
      <c r="C426" s="49" t="n"/>
      <c r="D426" s="49" t="n"/>
      <c r="E426" s="49" t="n"/>
      <c r="F426" s="49" t="n"/>
    </row>
    <row r="427">
      <c r="B427" s="49" t="n"/>
      <c r="C427" s="49" t="n"/>
      <c r="D427" s="49" t="n"/>
      <c r="E427" s="49" t="n"/>
      <c r="F427" s="49" t="n"/>
    </row>
    <row r="428">
      <c r="B428" s="49" t="n"/>
      <c r="C428" s="49" t="n"/>
      <c r="D428" s="49" t="n"/>
      <c r="E428" s="49" t="n"/>
      <c r="F428" s="49" t="n"/>
    </row>
    <row r="429">
      <c r="B429" s="49" t="n"/>
      <c r="C429" s="49" t="n"/>
      <c r="D429" s="49" t="n"/>
      <c r="E429" s="49" t="n"/>
      <c r="F429" s="49" t="n"/>
    </row>
    <row r="430">
      <c r="B430" s="49" t="n"/>
      <c r="C430" s="49" t="n"/>
      <c r="D430" s="49" t="n"/>
      <c r="E430" s="49" t="n"/>
      <c r="F430" s="49" t="n"/>
    </row>
    <row r="431">
      <c r="B431" s="49" t="n"/>
      <c r="C431" s="49" t="n"/>
      <c r="D431" s="49" t="n"/>
      <c r="E431" s="49" t="n"/>
      <c r="F431" s="49" t="n"/>
    </row>
    <row r="432">
      <c r="B432" s="49" t="n"/>
      <c r="C432" s="49" t="n"/>
      <c r="D432" s="49" t="n"/>
      <c r="E432" s="49" t="n"/>
      <c r="F432" s="49" t="n"/>
    </row>
    <row r="433">
      <c r="B433" s="49" t="n"/>
      <c r="C433" s="49" t="n"/>
      <c r="D433" s="49" t="n"/>
      <c r="E433" s="49" t="n"/>
      <c r="F433" s="49" t="n"/>
    </row>
    <row r="434">
      <c r="B434" s="49" t="n"/>
      <c r="C434" s="49" t="n"/>
      <c r="D434" s="49" t="n"/>
      <c r="E434" s="49" t="n"/>
      <c r="F434" s="49" t="n"/>
    </row>
    <row r="435">
      <c r="B435" s="49" t="n"/>
      <c r="C435" s="49" t="n"/>
      <c r="D435" s="49" t="n"/>
      <c r="E435" s="49" t="n"/>
      <c r="F435" s="49" t="n"/>
    </row>
    <row r="436">
      <c r="B436" s="49" t="n"/>
      <c r="C436" s="49" t="n"/>
      <c r="D436" s="49" t="n"/>
      <c r="E436" s="49" t="n"/>
      <c r="F436" s="49" t="n"/>
    </row>
    <row r="437">
      <c r="B437" s="49" t="n"/>
      <c r="C437" s="49" t="n"/>
      <c r="D437" s="49" t="n"/>
      <c r="E437" s="49" t="n"/>
      <c r="F437" s="49" t="n"/>
    </row>
    <row r="438">
      <c r="B438" s="49" t="n"/>
      <c r="C438" s="49" t="n"/>
      <c r="D438" s="49" t="n"/>
      <c r="E438" s="49" t="n"/>
      <c r="F438" s="49" t="n"/>
    </row>
    <row r="439">
      <c r="B439" s="49" t="n"/>
      <c r="C439" s="49" t="n"/>
      <c r="D439" s="49" t="n"/>
      <c r="E439" s="49" t="n"/>
      <c r="F439" s="49" t="n"/>
    </row>
    <row r="440">
      <c r="B440" s="49" t="n"/>
      <c r="C440" s="49" t="n"/>
      <c r="D440" s="49" t="n"/>
      <c r="E440" s="49" t="n"/>
      <c r="F440" s="49" t="n"/>
    </row>
    <row r="441">
      <c r="B441" s="49" t="n"/>
      <c r="C441" s="49" t="n"/>
      <c r="D441" s="49" t="n"/>
      <c r="E441" s="49" t="n"/>
      <c r="F441" s="49" t="n"/>
    </row>
    <row r="442">
      <c r="B442" s="49" t="n"/>
      <c r="C442" s="49" t="n"/>
      <c r="D442" s="49" t="n"/>
      <c r="E442" s="49" t="n"/>
      <c r="F442" s="49" t="n"/>
    </row>
    <row r="443">
      <c r="B443" s="49" t="n"/>
      <c r="C443" s="49" t="n"/>
      <c r="D443" s="49" t="n"/>
      <c r="E443" s="49" t="n"/>
      <c r="F443" s="49" t="n"/>
    </row>
    <row r="444">
      <c r="B444" s="49" t="n"/>
      <c r="C444" s="49" t="n"/>
      <c r="D444" s="49" t="n"/>
      <c r="E444" s="49" t="n"/>
      <c r="F444" s="49" t="n"/>
    </row>
    <row r="445">
      <c r="B445" s="49" t="n"/>
      <c r="C445" s="49" t="n"/>
      <c r="D445" s="49" t="n"/>
      <c r="E445" s="49" t="n"/>
      <c r="F445" s="49" t="n"/>
    </row>
    <row r="446">
      <c r="B446" s="49" t="n"/>
      <c r="C446" s="49" t="n"/>
      <c r="D446" s="49" t="n"/>
      <c r="E446" s="49" t="n"/>
      <c r="F446" s="49" t="n"/>
    </row>
    <row r="447">
      <c r="B447" s="49" t="n"/>
      <c r="C447" s="49" t="n"/>
      <c r="D447" s="49" t="n"/>
      <c r="E447" s="49" t="n"/>
      <c r="F447" s="49" t="n"/>
    </row>
    <row r="448">
      <c r="B448" s="49" t="n"/>
      <c r="C448" s="49" t="n"/>
      <c r="D448" s="49" t="n"/>
      <c r="E448" s="49" t="n"/>
      <c r="F448" s="49" t="n"/>
    </row>
    <row r="449">
      <c r="B449" s="49" t="n"/>
      <c r="C449" s="49" t="n"/>
      <c r="D449" s="49" t="n"/>
      <c r="E449" s="49" t="n"/>
      <c r="F449" s="49" t="n"/>
    </row>
    <row r="450">
      <c r="B450" s="49" t="n"/>
      <c r="C450" s="49" t="n"/>
      <c r="D450" s="49" t="n"/>
      <c r="E450" s="49" t="n"/>
      <c r="F450" s="49" t="n"/>
    </row>
    <row r="451">
      <c r="B451" s="49" t="n"/>
      <c r="C451" s="49" t="n"/>
      <c r="D451" s="49" t="n"/>
      <c r="E451" s="49" t="n"/>
      <c r="F451" s="49" t="n"/>
    </row>
    <row r="452">
      <c r="B452" s="49" t="n"/>
      <c r="C452" s="49" t="n"/>
      <c r="D452" s="49" t="n"/>
      <c r="E452" s="49" t="n"/>
      <c r="F452" s="49" t="n"/>
    </row>
    <row r="453">
      <c r="B453" s="49" t="n"/>
      <c r="C453" s="49" t="n"/>
      <c r="D453" s="49" t="n"/>
      <c r="E453" s="49" t="n"/>
      <c r="F453" s="49" t="n"/>
    </row>
    <row r="454">
      <c r="B454" s="49" t="n"/>
      <c r="C454" s="49" t="n"/>
      <c r="D454" s="49" t="n"/>
      <c r="E454" s="49" t="n"/>
      <c r="F454" s="49" t="n"/>
    </row>
    <row r="455">
      <c r="B455" s="49" t="n"/>
      <c r="C455" s="49" t="n"/>
      <c r="D455" s="49" t="n"/>
      <c r="E455" s="49" t="n"/>
      <c r="F455" s="49" t="n"/>
    </row>
    <row r="456">
      <c r="B456" s="49" t="n"/>
      <c r="C456" s="49" t="n"/>
      <c r="D456" s="49" t="n"/>
      <c r="E456" s="49" t="n"/>
      <c r="F456" s="49" t="n"/>
    </row>
    <row r="457">
      <c r="B457" s="49" t="n"/>
      <c r="C457" s="49" t="n"/>
      <c r="D457" s="49" t="n"/>
      <c r="E457" s="49" t="n"/>
      <c r="F457" s="49" t="n"/>
    </row>
    <row r="458">
      <c r="B458" s="49" t="n"/>
      <c r="C458" s="49" t="n"/>
      <c r="D458" s="49" t="n"/>
      <c r="E458" s="49" t="n"/>
      <c r="F458" s="49" t="n"/>
    </row>
    <row r="459">
      <c r="B459" s="49" t="n"/>
      <c r="C459" s="49" t="n"/>
      <c r="D459" s="49" t="n"/>
      <c r="E459" s="49" t="n"/>
      <c r="F459" s="49" t="n"/>
    </row>
    <row r="460">
      <c r="B460" s="49" t="n"/>
      <c r="C460" s="49" t="n"/>
      <c r="D460" s="49" t="n"/>
      <c r="E460" s="49" t="n"/>
      <c r="F460" s="49" t="n"/>
    </row>
    <row r="461">
      <c r="B461" s="49" t="n"/>
      <c r="C461" s="49" t="n"/>
      <c r="D461" s="49" t="n"/>
      <c r="E461" s="49" t="n"/>
      <c r="F461" s="49" t="n"/>
    </row>
    <row r="462">
      <c r="B462" s="49" t="n"/>
      <c r="C462" s="49" t="n"/>
      <c r="D462" s="49" t="n"/>
      <c r="E462" s="49" t="n"/>
      <c r="F462" s="49" t="n"/>
    </row>
    <row r="463">
      <c r="B463" s="49" t="n"/>
      <c r="C463" s="49" t="n"/>
      <c r="D463" s="49" t="n"/>
      <c r="E463" s="49" t="n"/>
      <c r="F463" s="49" t="n"/>
    </row>
    <row r="464">
      <c r="B464" s="49" t="n"/>
      <c r="C464" s="49" t="n"/>
      <c r="D464" s="49" t="n"/>
      <c r="E464" s="49" t="n"/>
      <c r="F464" s="49" t="n"/>
    </row>
    <row r="465">
      <c r="B465" s="49" t="n"/>
      <c r="C465" s="49" t="n"/>
      <c r="D465" s="49" t="n"/>
      <c r="E465" s="49" t="n"/>
      <c r="F465" s="49" t="n"/>
    </row>
    <row r="466">
      <c r="B466" s="49" t="n"/>
      <c r="C466" s="49" t="n"/>
      <c r="D466" s="49" t="n"/>
      <c r="E466" s="49" t="n"/>
      <c r="F466" s="49" t="n"/>
    </row>
    <row r="467">
      <c r="B467" s="49" t="n"/>
      <c r="C467" s="49" t="n"/>
      <c r="D467" s="49" t="n"/>
      <c r="E467" s="49" t="n"/>
      <c r="F467" s="49" t="n"/>
    </row>
    <row r="468">
      <c r="B468" s="49" t="n"/>
      <c r="C468" s="49" t="n"/>
      <c r="D468" s="49" t="n"/>
      <c r="E468" s="49" t="n"/>
      <c r="F468" s="49" t="n"/>
    </row>
    <row r="469">
      <c r="B469" s="49" t="n"/>
      <c r="C469" s="49" t="n"/>
      <c r="D469" s="49" t="n"/>
      <c r="E469" s="49" t="n"/>
      <c r="F469" s="49" t="n"/>
    </row>
    <row r="470">
      <c r="B470" s="49" t="n"/>
      <c r="C470" s="49" t="n"/>
      <c r="D470" s="49" t="n"/>
      <c r="E470" s="49" t="n"/>
      <c r="F470" s="49" t="n"/>
    </row>
    <row r="471">
      <c r="B471" s="49" t="n"/>
      <c r="C471" s="49" t="n"/>
      <c r="D471" s="49" t="n"/>
      <c r="E471" s="49" t="n"/>
      <c r="F471" s="49" t="n"/>
    </row>
    <row r="472">
      <c r="B472" s="49" t="n"/>
      <c r="C472" s="49" t="n"/>
      <c r="D472" s="49" t="n"/>
      <c r="E472" s="49" t="n"/>
      <c r="F472" s="49" t="n"/>
    </row>
    <row r="473">
      <c r="B473" s="49" t="n"/>
      <c r="C473" s="49" t="n"/>
      <c r="D473" s="49" t="n"/>
      <c r="E473" s="49" t="n"/>
      <c r="F473" s="49" t="n"/>
    </row>
    <row r="474">
      <c r="B474" s="49" t="n"/>
      <c r="C474" s="49" t="n"/>
      <c r="D474" s="49" t="n"/>
      <c r="E474" s="49" t="n"/>
      <c r="F474" s="49" t="n"/>
    </row>
    <row r="475">
      <c r="B475" s="49" t="n"/>
      <c r="C475" s="49" t="n"/>
      <c r="D475" s="49" t="n"/>
      <c r="E475" s="49" t="n"/>
      <c r="F475" s="49" t="n"/>
    </row>
    <row r="476">
      <c r="B476" s="49" t="n"/>
      <c r="C476" s="49" t="n"/>
      <c r="D476" s="49" t="n"/>
      <c r="E476" s="49" t="n"/>
      <c r="F476" s="49" t="n"/>
    </row>
    <row r="477">
      <c r="B477" s="49" t="n"/>
      <c r="C477" s="49" t="n"/>
      <c r="D477" s="49" t="n"/>
      <c r="E477" s="49" t="n"/>
      <c r="F477" s="49" t="n"/>
    </row>
    <row r="478">
      <c r="B478" s="49" t="n"/>
      <c r="C478" s="49" t="n"/>
      <c r="D478" s="49" t="n"/>
      <c r="E478" s="49" t="n"/>
      <c r="F478" s="49" t="n"/>
    </row>
    <row r="479">
      <c r="B479" s="49" t="n"/>
      <c r="C479" s="49" t="n"/>
      <c r="D479" s="49" t="n"/>
      <c r="E479" s="49" t="n"/>
      <c r="F479" s="49" t="n"/>
    </row>
    <row r="480">
      <c r="B480" s="49" t="n"/>
      <c r="C480" s="49" t="n"/>
      <c r="D480" s="49" t="n"/>
      <c r="E480" s="49" t="n"/>
      <c r="F480" s="49" t="n"/>
    </row>
    <row r="481">
      <c r="B481" s="49" t="n"/>
      <c r="C481" s="49" t="n"/>
      <c r="D481" s="49" t="n"/>
      <c r="E481" s="49" t="n"/>
      <c r="F481" s="49" t="n"/>
    </row>
    <row r="482">
      <c r="B482" s="49" t="n"/>
      <c r="C482" s="49" t="n"/>
      <c r="D482" s="49" t="n"/>
      <c r="E482" s="49" t="n"/>
      <c r="F482" s="49" t="n"/>
    </row>
    <row r="483">
      <c r="B483" s="49" t="n"/>
      <c r="C483" s="49" t="n"/>
      <c r="D483" s="49" t="n"/>
      <c r="E483" s="49" t="n"/>
      <c r="F483" s="49" t="n"/>
    </row>
    <row r="484">
      <c r="B484" s="49" t="n"/>
      <c r="C484" s="49" t="n"/>
      <c r="D484" s="49" t="n"/>
      <c r="E484" s="49" t="n"/>
      <c r="F484" s="49" t="n"/>
    </row>
    <row r="485">
      <c r="B485" s="49" t="n"/>
      <c r="C485" s="49" t="n"/>
      <c r="D485" s="49" t="n"/>
      <c r="E485" s="49" t="n"/>
      <c r="F485" s="49" t="n"/>
    </row>
    <row r="486">
      <c r="B486" s="49" t="n"/>
      <c r="C486" s="49" t="n"/>
      <c r="D486" s="49" t="n"/>
      <c r="E486" s="49" t="n"/>
      <c r="F486" s="49" t="n"/>
    </row>
    <row r="487">
      <c r="B487" s="49" t="n"/>
      <c r="C487" s="49" t="n"/>
      <c r="D487" s="49" t="n"/>
      <c r="E487" s="49" t="n"/>
      <c r="F487" s="49" t="n"/>
    </row>
    <row r="488">
      <c r="B488" s="49" t="n"/>
      <c r="C488" s="49" t="n"/>
      <c r="D488" s="49" t="n"/>
      <c r="E488" s="49" t="n"/>
      <c r="F488" s="49" t="n"/>
    </row>
    <row r="489">
      <c r="B489" s="49" t="n"/>
      <c r="C489" s="49" t="n"/>
      <c r="D489" s="49" t="n"/>
      <c r="E489" s="49" t="n"/>
      <c r="F489" s="49" t="n"/>
    </row>
    <row r="490">
      <c r="B490" s="49" t="n"/>
      <c r="C490" s="49" t="n"/>
      <c r="D490" s="49" t="n"/>
      <c r="E490" s="49" t="n"/>
      <c r="F490" s="49" t="n"/>
    </row>
    <row r="491">
      <c r="B491" s="49" t="n"/>
      <c r="C491" s="49" t="n"/>
      <c r="D491" s="49" t="n"/>
      <c r="E491" s="49" t="n"/>
      <c r="F491" s="49" t="n"/>
    </row>
    <row r="492">
      <c r="B492" s="49" t="n"/>
      <c r="C492" s="49" t="n"/>
      <c r="D492" s="49" t="n"/>
      <c r="E492" s="49" t="n"/>
      <c r="F492" s="49" t="n"/>
    </row>
    <row r="493">
      <c r="B493" s="49" t="n"/>
      <c r="C493" s="49" t="n"/>
      <c r="D493" s="49" t="n"/>
      <c r="E493" s="49" t="n"/>
      <c r="F493" s="49" t="n"/>
    </row>
    <row r="494">
      <c r="B494" s="49" t="n"/>
      <c r="C494" s="49" t="n"/>
      <c r="D494" s="49" t="n"/>
      <c r="E494" s="49" t="n"/>
      <c r="F494" s="49" t="n"/>
    </row>
    <row r="495">
      <c r="B495" s="49" t="n"/>
      <c r="C495" s="49" t="n"/>
      <c r="D495" s="49" t="n"/>
      <c r="E495" s="49" t="n"/>
      <c r="F495" s="49" t="n"/>
    </row>
    <row r="496">
      <c r="B496" s="49" t="n"/>
      <c r="C496" s="49" t="n"/>
      <c r="D496" s="49" t="n"/>
      <c r="E496" s="49" t="n"/>
      <c r="F496" s="49" t="n"/>
    </row>
    <row r="497">
      <c r="B497" s="49" t="n"/>
      <c r="C497" s="49" t="n"/>
      <c r="D497" s="49" t="n"/>
      <c r="E497" s="49" t="n"/>
      <c r="F497" s="49" t="n"/>
    </row>
    <row r="498">
      <c r="B498" s="49" t="n"/>
      <c r="C498" s="49" t="n"/>
      <c r="D498" s="49" t="n"/>
      <c r="E498" s="49" t="n"/>
      <c r="F498" s="49" t="n"/>
    </row>
    <row r="499">
      <c r="B499" s="49" t="n"/>
      <c r="C499" s="49" t="n"/>
      <c r="D499" s="49" t="n"/>
      <c r="E499" s="49" t="n"/>
      <c r="F499" s="49" t="n"/>
    </row>
    <row r="500">
      <c r="B500" s="49" t="n"/>
      <c r="C500" s="49" t="n"/>
      <c r="D500" s="49" t="n"/>
      <c r="E500" s="49" t="n"/>
      <c r="F500" s="49" t="n"/>
    </row>
    <row r="501">
      <c r="B501" s="49" t="n"/>
      <c r="C501" s="49" t="n"/>
      <c r="D501" s="49" t="n"/>
      <c r="E501" s="49" t="n"/>
      <c r="F501" s="49" t="n"/>
    </row>
    <row r="502">
      <c r="B502" s="49" t="n"/>
      <c r="C502" s="49" t="n"/>
      <c r="D502" s="49" t="n"/>
      <c r="E502" s="49" t="n"/>
      <c r="F502" s="49" t="n"/>
    </row>
    <row r="503">
      <c r="B503" s="49" t="n"/>
      <c r="C503" s="49" t="n"/>
      <c r="D503" s="49" t="n"/>
      <c r="E503" s="49" t="n"/>
      <c r="F503" s="49" t="n"/>
    </row>
    <row r="504">
      <c r="B504" s="49" t="n"/>
      <c r="C504" s="49" t="n"/>
      <c r="D504" s="49" t="n"/>
      <c r="E504" s="49" t="n"/>
      <c r="F504" s="49" t="n"/>
    </row>
    <row r="505">
      <c r="B505" s="49" t="n"/>
      <c r="C505" s="49" t="n"/>
      <c r="D505" s="49" t="n"/>
      <c r="E505" s="49" t="n"/>
      <c r="F505" s="49" t="n"/>
    </row>
    <row r="506">
      <c r="B506" s="49" t="n"/>
      <c r="C506" s="49" t="n"/>
      <c r="D506" s="49" t="n"/>
      <c r="E506" s="49" t="n"/>
      <c r="F506" s="49" t="n"/>
    </row>
    <row r="507">
      <c r="B507" s="49" t="n"/>
      <c r="C507" s="49" t="n"/>
      <c r="D507" s="49" t="n"/>
      <c r="E507" s="49" t="n"/>
      <c r="F507" s="49" t="n"/>
    </row>
    <row r="508">
      <c r="B508" s="49" t="n"/>
      <c r="C508" s="49" t="n"/>
      <c r="D508" s="49" t="n"/>
      <c r="E508" s="49" t="n"/>
      <c r="F508" s="49" t="n"/>
    </row>
    <row r="509">
      <c r="B509" s="49" t="n"/>
      <c r="C509" s="49" t="n"/>
      <c r="D509" s="49" t="n"/>
      <c r="E509" s="49" t="n"/>
      <c r="F509" s="49" t="n"/>
    </row>
    <row r="510">
      <c r="B510" s="49" t="n"/>
      <c r="C510" s="49" t="n"/>
      <c r="D510" s="49" t="n"/>
      <c r="E510" s="49" t="n"/>
      <c r="F510" s="49" t="n"/>
    </row>
    <row r="511">
      <c r="B511" s="49" t="n"/>
      <c r="C511" s="49" t="n"/>
      <c r="D511" s="49" t="n"/>
      <c r="E511" s="49" t="n"/>
      <c r="F511" s="49" t="n"/>
    </row>
    <row r="512">
      <c r="B512" s="49" t="n"/>
      <c r="C512" s="49" t="n"/>
      <c r="D512" s="49" t="n"/>
      <c r="E512" s="49" t="n"/>
      <c r="F512" s="49" t="n"/>
    </row>
    <row r="513">
      <c r="B513" s="49" t="n"/>
      <c r="C513" s="49" t="n"/>
      <c r="D513" s="49" t="n"/>
      <c r="E513" s="49" t="n"/>
      <c r="F513" s="49" t="n"/>
    </row>
    <row r="514">
      <c r="B514" s="49" t="n"/>
      <c r="C514" s="49" t="n"/>
      <c r="D514" s="49" t="n"/>
      <c r="E514" s="49" t="n"/>
      <c r="F514" s="49" t="n"/>
    </row>
    <row r="515">
      <c r="B515" s="49" t="n"/>
      <c r="C515" s="49" t="n"/>
      <c r="D515" s="49" t="n"/>
      <c r="E515" s="49" t="n"/>
      <c r="F515" s="49" t="n"/>
    </row>
    <row r="516">
      <c r="B516" s="49" t="n"/>
      <c r="C516" s="49" t="n"/>
      <c r="D516" s="49" t="n"/>
      <c r="E516" s="49" t="n"/>
      <c r="F516" s="49" t="n"/>
    </row>
    <row r="517">
      <c r="B517" s="49" t="n"/>
      <c r="C517" s="49" t="n"/>
      <c r="D517" s="49" t="n"/>
      <c r="E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D17:D517">
    <cfRule type="expression" priority="3" dxfId="6">
      <formula>AND(LEN($B17&amp;$C17&amp;$D17&amp;$E17&amp;$F17)&gt;0,D17="")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or parameter" error="Choose a value of the list List or parameter (PM-09) (sheet Reference lists)." promptTitle="List or parameter" prompt="Yes. List or parameter Allowed: List List or parameter (PM-09): 23 values, see Reference lists" type="list" errorStyle="stop">
      <formula1>=LIST_PM_09_LIST_OR_PARAMETER</formula1>
    </dataValidation>
    <dataValidation sqref="C17:C517" showDropDown="0" showInputMessage="1" showErrorMessage="0" allowBlank="1" promptTitle="Value code" prompt="Conditional: list. Code of the value of a list"/>
    <dataValidation sqref="D17:D517" showDropDown="0" showInputMessage="1" showErrorMessage="0" allowBlank="1" promptTitle="Label or value" prompt="Yes. Label of the value, or value of the parameter"/>
    <dataValidation sqref="E17:E517" showDropDown="0" showInputMessage="1" showErrorMessage="0" allowBlank="1" promptTitle="Order / Active" prompt="Conditional: list. Order; active Y or N"/>
    <dataValidation sqref="F17:F517" showDropDown="0" showInputMessage="1" showErrorMessage="0" allowBlank="1" promptTitle="Effective from" prompt="Conditional: list. First day of use of the value"/>
  </dataValidations>
  <hyperlinks>
    <hyperlink ref="A2" location="'Start here'!A1"/>
    <hyperlink ref="G2" location="'Questions and comments'!A1"/>
    <hyperlink ref="B14" location="'Reference lists'!A40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24" customWidth="1" min="4" max="4"/>
    <col width="16" customWidth="1" min="5" max="5"/>
    <col width="16" customWidth="1" min="6" max="6"/>
    <col width="19" customWidth="1" min="7" max="7"/>
    <col width="17" customWidth="1" min="8" max="8"/>
    <col width="15" customWidth="1" min="9" max="9"/>
  </cols>
  <sheetData>
    <row r="1" ht="26" customHeight="1">
      <c r="A1" s="25" t="inlineStr">
        <is>
          <t>R01 Lists of values and MIS values</t>
        </is>
      </c>
      <c r="I1" s="26" t="inlineStr">
        <is>
          <t>Step 6 of 52</t>
        </is>
      </c>
    </row>
    <row r="2">
      <c r="A2" s="27" t="inlineStr">
        <is>
          <t>← Back to Start here</t>
        </is>
      </c>
      <c r="B2" s="28" t="inlineStr">
        <is>
          <t>Step 6 of 52.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Lists of values and MIS values as extracted from QPS, EBIX. Key list_type, code. Sent as the file R01_template.csv (CSV, header row as below) with its control file (row count, count of distinct keys).</t>
        </is>
      </c>
    </row>
    <row r="4" outlineLevel="1" ht="15.5" customHeight="1">
      <c r="A4" s="30" t="inlineStr">
        <is>
          <t>Provided by</t>
        </is>
      </c>
      <c r="B4" s="31" t="inlineStr">
        <is>
          <t>MBS data steward (to name); approved by Product Owner, Marketing Business System (MBS);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R01_template.csv (the header row as below) and its control file are received on Data Migration › Data Migration › Extracts and loaded by a batch of object R01; lands in: Lists of Values (maker-checker); MIS field catalogue</t>
        </is>
      </c>
    </row>
    <row r="7" outlineLevel="1" ht="15.5" customHeight="1">
      <c r="A7" s="30" t="inlineStr">
        <is>
          <t>Source</t>
        </is>
      </c>
      <c r="B7" s="31" t="inlineStr">
        <is>
          <t>QPS, EBIX</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SUMPRODUCT(((ROW($B$18:$B$218)&gt;18)+($B$18&lt;&gt;"MARKET_SEGMENT")&gt;0)*(LEN($B$18:$B$218&amp;$C$18:$C$218&amp;$D$18:$D$218&amp;$E$18:$E$218&amp;$F$18:$F$218&amp;$G$18:$G$218&amp;$H$18:$H$218&amp;$I$18:$I$218)&gt;0))</f>
        <v/>
      </c>
      <c r="D9" s="35" t="inlineStr">
        <is>
          <t>Mandatory cells missing</t>
        </is>
      </c>
      <c r="E9" s="36">
        <f>SUMPRODUCT(((ROW($B$18:$B$218)&gt;18)+($B$18&lt;&gt;"MARKET_SEGMENT")&gt;0)*(LEN($B$18:$B$218&amp;$C$18:$C$218&amp;$D$18:$D$218&amp;$E$18:$E$218&amp;$F$18:$F$218&amp;$G$18:$G$218&amp;$H$18:$H$218&amp;$I$18:$I$218)&gt;0)*(($B$18:$B$218="")+($C$18:$C$218="")+($D$18:$D$218="")+($F$18:$F$218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Check when loaded</t>
        </is>
      </c>
      <c r="B12" s="43" t="inlineStr">
        <is>
          <t>Known list name</t>
        </is>
      </c>
      <c r="C12" s="43" t="inlineStr">
        <is>
          <t>Unique per list_type</t>
        </is>
      </c>
      <c r="D12" s="43" t="inlineStr">
        <is>
          <t>Not blank</t>
        </is>
      </c>
      <c r="E12" s="43" t="inlineStr">
        <is>
          <t>Parent exists in the file</t>
        </is>
      </c>
      <c r="F12" s="43" t="inlineStr">
        <is>
          <t>Y or N</t>
        </is>
      </c>
      <c r="G12" s="43" t="inlineStr">
        <is>
          <t>Valid date</t>
        </is>
      </c>
      <c r="H12" s="43" t="inlineStr">
        <is>
          <t>Not before effective_from</t>
        </is>
      </c>
      <c r="I12" s="43" t="inlineStr">
        <is>
          <t>0 or more</t>
        </is>
      </c>
    </row>
    <row r="13" ht="17" customHeight="1">
      <c r="A13" s="41" t="inlineStr">
        <is>
          <t>Mandatory</t>
        </is>
      </c>
      <c r="B13" s="42" t="inlineStr">
        <is>
          <t>Yes</t>
        </is>
      </c>
      <c r="C13" s="42" t="inlineStr">
        <is>
          <t>Yes</t>
        </is>
      </c>
      <c r="D13" s="42" t="inlineStr">
        <is>
          <t>Yes</t>
        </is>
      </c>
      <c r="E13" s="43" t="inlineStr">
        <is>
          <t>No</t>
        </is>
      </c>
      <c r="F13" s="42" t="inlineStr">
        <is>
          <t>Yes</t>
        </is>
      </c>
      <c r="G13" s="43" t="inlineStr">
        <is>
          <t>No</t>
        </is>
      </c>
      <c r="H13" s="43" t="inlineStr">
        <is>
          <t>No</t>
        </is>
      </c>
      <c r="I13" s="43" t="inlineStr">
        <is>
          <t>No</t>
        </is>
      </c>
    </row>
    <row r="14" ht="30" customHeight="1">
      <c r="A14" s="41" t="inlineStr">
        <is>
          <t>Format</t>
        </is>
      </c>
      <c r="B14" s="43" t="inlineStr">
        <is>
          <t>Code, up to 40; Upper case</t>
        </is>
      </c>
      <c r="C14" s="43" t="inlineStr">
        <is>
          <t>Code, up to 40; As stored in legacy</t>
        </is>
      </c>
      <c r="D14" s="43" t="inlineStr">
        <is>
          <t>Text, up to 200; Free text</t>
        </is>
      </c>
      <c r="E14" s="43" t="inlineStr">
        <is>
          <t>Code, up to 40</t>
        </is>
      </c>
      <c r="F14" s="43" t="inlineStr">
        <is>
          <t>Flag, up to 1; Y or N</t>
        </is>
      </c>
      <c r="G14" s="43" t="inlineStr">
        <is>
          <t>Date, up to 10; yyyy-MM-dd</t>
        </is>
      </c>
      <c r="H14" s="43" t="inlineStr">
        <is>
          <t>Date, up to 10; yyyy-MM-dd</t>
        </is>
      </c>
      <c r="I14" s="43" t="inlineStr">
        <is>
          <t>Integer, up to 9; Digits</t>
        </is>
      </c>
    </row>
    <row r="15" ht="56" customHeight="1">
      <c r="A15" s="41" t="inlineStr">
        <is>
          <t>Allowed values</t>
        </is>
      </c>
      <c r="B15" s="43" t="inlineStr">
        <is>
          <t>Legacy list names; one code map set LOV:&lt;list&gt; or MIS:&lt;field&gt; per list</t>
        </is>
      </c>
      <c r="C15" s="43" t="inlineStr">
        <is>
          <t>Free entry, up to 40 characters</t>
        </is>
      </c>
      <c r="D15" s="43" t="inlineStr">
        <is>
          <t>Free entry, up to 200 characters</t>
        </is>
      </c>
      <c r="E15" s="43" t="inlineStr">
        <is>
          <t>Codes of the same file</t>
        </is>
      </c>
      <c r="F15" s="43" t="inlineStr">
        <is>
          <t>Y or N</t>
        </is>
      </c>
      <c r="G15" s="43" t="inlineStr">
        <is>
          <t>Free entry</t>
        </is>
      </c>
      <c r="H15" s="43" t="inlineStr">
        <is>
          <t>Free entry</t>
        </is>
      </c>
      <c r="I15" s="43" t="inlineStr">
        <is>
          <t>A whole number</t>
        </is>
      </c>
    </row>
    <row r="16" ht="121" customHeight="1">
      <c r="A16" s="41" t="inlineStr">
        <is>
          <t>What to enter</t>
        </is>
      </c>
      <c r="B16" s="43" t="inlineStr">
        <is>
          <t>Legacy name of the list (for example MARKET_SEGMENT, BUSINESS_ORIGIN, CUSTOMER_SEGMENT, REGION, AREA, DEPARTMENT, ACCOUNT_TYPE, ID_TYPE, NATIONALITY)</t>
        </is>
      </c>
      <c r="C16" s="43" t="inlineStr">
        <is>
          <t>Legacy value code</t>
        </is>
      </c>
      <c r="D16" s="43" t="inlineStr">
        <is>
          <t>Legacy value description</t>
        </is>
      </c>
      <c r="E16" s="43" t="inlineStr">
        <is>
          <t>Code of the parent value for hierarchical lists (area under region)</t>
        </is>
      </c>
      <c r="F16" s="43" t="inlineStr">
        <is>
          <t>Value in use in legacy</t>
        </is>
      </c>
      <c r="G16" s="43" t="inlineStr">
        <is>
          <t>First day the value is valid</t>
        </is>
      </c>
      <c r="H16" s="43" t="inlineStr">
        <is>
          <t>Last day the value is valid</t>
        </is>
      </c>
      <c r="I16" s="43" t="inlineStr">
        <is>
          <t>Number of legacy records that use the value (helps the mapping)</t>
        </is>
      </c>
    </row>
    <row r="17" ht="30" customHeight="1">
      <c r="A17" s="44" t="inlineStr">
        <is>
          <t>Row</t>
        </is>
      </c>
      <c r="B17" s="45" t="inlineStr">
        <is>
          <t>list_type *</t>
        </is>
      </c>
      <c r="C17" s="45" t="inlineStr">
        <is>
          <t>code *</t>
        </is>
      </c>
      <c r="D17" s="45" t="inlineStr">
        <is>
          <t>description *</t>
        </is>
      </c>
      <c r="E17" s="45" t="inlineStr">
        <is>
          <t>parent_code</t>
        </is>
      </c>
      <c r="F17" s="45" t="inlineStr">
        <is>
          <t>active_flag *</t>
        </is>
      </c>
      <c r="G17" s="45" t="inlineStr">
        <is>
          <t>effective_from</t>
        </is>
      </c>
      <c r="H17" s="45" t="inlineStr">
        <is>
          <t>effective_to</t>
        </is>
      </c>
      <c r="I17" s="45" t="inlineStr">
        <is>
          <t>used_count</t>
        </is>
      </c>
    </row>
    <row r="18" ht="18" customHeight="1">
      <c r="A18" s="46" t="inlineStr">
        <is>
          <t>Example – overwrite or delete</t>
        </is>
      </c>
      <c r="B18" s="47" t="inlineStr">
        <is>
          <t>MARKET_SEGMENT</t>
        </is>
      </c>
      <c r="C18" s="47" t="inlineStr">
        <is>
          <t>CBG</t>
        </is>
      </c>
      <c r="D18" s="47" t="inlineStr">
        <is>
          <t>Consumer Banking Group</t>
        </is>
      </c>
      <c r="E18" s="47" t="inlineStr">
        <is>
          <t>NCR</t>
        </is>
      </c>
      <c r="F18" s="47" t="inlineStr">
        <is>
          <t>Y</t>
        </is>
      </c>
      <c r="G18" s="47" t="inlineStr">
        <is>
          <t>2020-01-01</t>
        </is>
      </c>
      <c r="H18" s="47" t="n"/>
      <c r="I18" s="52" t="n">
        <v>1520</v>
      </c>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F18:F218">
    <cfRule type="expression" priority="5" dxfId="6">
      <formula>AND(LEN($B18&amp;$C18&amp;$D18&amp;$E18&amp;$F18&amp;$G18&amp;$H18&amp;$I18)&gt;0,F18="")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ist_type" error="At most 40 characters." promptTitle="list_type" prompt="Yes. Legacy name of the list (for example MARKET_SEGMENT, BUSINESS_ORIGIN, CUSTOMER_SEGMENT, REGION, AREA, DEPARTMENT, ACCOUNT_TYPE, ID_TYPE, NATIONALITY) Allowed: Legacy list names; one code map set LOV:&lt;list&gt; or MIS:&lt;field&gt; per list" type="textLength" operator="lessThanOrEqual">
      <formula1>40</formula1>
    </dataValidation>
    <dataValidation sqref="C18:C218" showDropDown="0" showInputMessage="1" showErrorMessage="1" allowBlank="1" errorTitle="code" error="At most 40 characters." promptTitle="code" prompt="Yes. Legacy value code Allowed: Free entry, up to 40 characters" type="textLength" operator="lessThanOrEqual">
      <formula1>40</formula1>
    </dataValidation>
    <dataValidation sqref="D18:D218" showDropDown="0" showInputMessage="1" showErrorMessage="1" allowBlank="1" errorTitle="description" error="At most 200 characters." promptTitle="description" prompt="Yes. Legacy value description Allowed: Free entry, up to 200 characters" type="textLength" operator="lessThanOrEqual">
      <formula1>200</formula1>
    </dataValidation>
    <dataValidation sqref="E18:E218" showDropDown="0" showInputMessage="1" showErrorMessage="1" allowBlank="1" errorTitle="parent_code" error="At most 40 characters." promptTitle="parent_code" prompt="No. Code of the parent value for hierarchical lists (area under region) Allowed: Codes of the same file" type="textLength" operator="lessThanOrEqual">
      <formula1>40</formula1>
    </dataValidation>
    <dataValidation sqref="F18:F218" showDropDown="0" showInputMessage="1" showErrorMessage="1" allowBlank="1" errorTitle="active_flag" error="Choose a value of the list Yes or no (sheet Reference lists)." promptTitle="active_flag" prompt="Yes. Value in use in legacy Allowed: Y or N" type="list" errorStyle="stop">
      <formula1>=LIST_YES_NO</formula1>
    </dataValidation>
    <dataValidation sqref="G18:G218" showDropDown="0" showInputMessage="1" showErrorMessage="0" allowBlank="1" promptTitle="effective_from" prompt="No. First day the value is valid"/>
    <dataValidation sqref="H18:H218" showDropDown="0" showInputMessage="1" showErrorMessage="0" allowBlank="1" promptTitle="effective_to" prompt="No. Last day the value is valid"/>
    <dataValidation sqref="I18:I218" showDropDown="0" showInputMessage="1" showErrorMessage="1" allowBlank="1" errorTitle="used_count" error="Enter a whole number." promptTitle="used_count" prompt="No. Number of legacy records that use the value (helps the mapping) Allowed: A whole number" type="whole" operator="greaterThanOrEqual">
      <formula1>-1E+15</formula1>
    </dataValidation>
  </dataValidations>
  <hyperlinks>
    <hyperlink ref="A2" location="'Start here'!A1"/>
    <hyperlink ref="I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tabColor rgb="00004EA8"/>
    <outlinePr summaryBelow="0" summaryRight="1"/>
    <pageSetUpPr fitToPage="1"/>
  </sheetPr>
  <dimension ref="A1:K220"/>
  <sheetViews>
    <sheetView showGridLines="0" tabSelected="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29" customWidth="1" min="3" max="3"/>
    <col width="15" customWidth="1" min="4" max="4"/>
    <col width="17" customWidth="1" min="5" max="5"/>
    <col width="33" customWidth="1" min="6" max="6"/>
    <col width="21" customWidth="1" min="7" max="7"/>
    <col width="21" customWidth="1" min="8" max="8"/>
    <col width="27" customWidth="1" min="9" max="9"/>
    <col width="24" customWidth="1" min="10" max="10"/>
    <col width="15.90909090909091" customWidth="1" min="11" max="11"/>
  </cols>
  <sheetData>
    <row r="1" ht="26" customHeight="1">
      <c r="A1" s="25" t="inlineStr">
        <is>
          <t>R04 Insurers</t>
        </is>
      </c>
      <c r="K1" s="26" t="inlineStr">
        <is>
          <t>Step 7 of 52</t>
        </is>
      </c>
    </row>
    <row r="2">
      <c r="A2" s="27" t="inlineStr">
        <is>
          <t>← Back to Start here</t>
        </is>
      </c>
      <c r="B2" s="28" t="inlineStr">
        <is>
          <t>Step 7 of 52. Fill in one row per record below the column headers; the guide above each column says what to enter.</t>
        </is>
      </c>
      <c r="K2" s="29" t="inlineStr">
        <is>
          <t>Ask a question →</t>
        </is>
      </c>
    </row>
    <row r="3" outlineLevel="1" ht="15.5" customHeight="1">
      <c r="A3" s="30" t="inlineStr">
        <is>
          <t>Purpose</t>
        </is>
      </c>
      <c r="B3" s="31" t="inlineStr">
        <is>
          <t>One row per record of Insurers and insurer branches as extracted from QPS, EBIX. Key insurer_code. Sent as the file R04_template.csv (CSV, header row as below) with its control file (row count, count of distinct keys).</t>
        </is>
      </c>
    </row>
    <row r="4" outlineLevel="1" ht="15.5" customHeight="1">
      <c r="A4" s="30" t="inlineStr">
        <is>
          <t>Provided by</t>
        </is>
      </c>
      <c r="B4" s="31" t="inlineStr">
        <is>
          <t>Operations data steward (to name); approved by Head, Operations; extracted by BDOI IT</t>
        </is>
      </c>
    </row>
    <row r="5" outlineLevel="1" ht="15.5" customHeight="1">
      <c r="A5" s="30" t="inlineStr">
        <is>
          <t>Due</t>
        </is>
      </c>
      <c r="B5" s="32" t="inlineStr">
        <is>
          <t>M3 (29 Jan 2027)</t>
        </is>
      </c>
    </row>
    <row r="6" outlineLevel="1" ht="15.5" customHeight="1">
      <c r="A6" s="30" t="inlineStr">
        <is>
          <t>How it is loaded</t>
        </is>
      </c>
      <c r="B6" s="31" t="inlineStr">
        <is>
          <t>Migration Console: the file R04_template.csv (the header row as below) and its control file are received on Data Migration › Data Migration › Extracts and loaded by a batch of object R04; lands in: Insurers and insurer branches (insurer and party records)</t>
        </is>
      </c>
    </row>
    <row r="7" outlineLevel="1" ht="15.5" customHeight="1">
      <c r="A7" s="30" t="inlineStr">
        <is>
          <t>Source</t>
        </is>
      </c>
      <c r="B7" s="31" t="inlineStr">
        <is>
          <t>QPS, EBIX</t>
        </is>
      </c>
    </row>
    <row r="8" outlineLevel="1">
      <c r="A8" s="30" t="inlineStr">
        <is>
          <t>Depends on</t>
        </is>
      </c>
      <c r="B8" s="33" t="inlineStr">
        <is>
          <t>Nothing: this template can be filled in first</t>
        </is>
      </c>
    </row>
    <row r="9" outlineLevel="1" ht="15.5" customHeight="1">
      <c r="A9" s="30" t="inlineStr">
        <is>
          <t>Tax profile</t>
        </is>
      </c>
      <c r="B9" s="31" t="inlineStr">
        <is>
          <t>The insurer's registered TIN, VAT treatment and the ATC it withholds on BDOI's commission are kept in the party tax profile (template TX-01)</t>
        </is>
      </c>
    </row>
    <row r="10" outlineLevel="1" ht="15.5" customHeight="1">
      <c r="A10" s="30" t="inlineStr">
        <is>
          <t>Tax status</t>
        </is>
      </c>
      <c r="B10" s="31" t="inlineStr">
        <is>
          <t>VAT-registered (VAT on premium) or not VAT-registered (premium tax) is not a column of this layout: it is entered on the insurer screen (Client &amp; Policy › Product Maintenance › Insurers, field Tax status); blank keeps the tax of the product line</t>
        </is>
      </c>
    </row>
    <row r="11" ht="26" customHeight="1">
      <c r="A11" s="34" t="inlineStr">
        <is>
          <t>Progress</t>
        </is>
      </c>
      <c r="B11" s="35" t="inlineStr">
        <is>
          <t>Rows entered</t>
        </is>
      </c>
      <c r="C11" s="36">
        <f>SUMPRODUCT(((ROW($B$20:$B$220)&gt;20)+($B$20&lt;&gt;"MAL")&gt;0)*(LEN($B$20:$B$220&amp;$C$20:$C$220&amp;$D$20:$D$220&amp;$E$20:$E$220&amp;$F$20:$F$220&amp;$G$20:$G$220&amp;$H$20:$H$220&amp;$I$20:$I$220&amp;$J$20:$J$220&amp;$K$20:$K$220)&gt;0))</f>
        <v/>
      </c>
      <c r="D11" s="35" t="inlineStr">
        <is>
          <t>Mandatory cells missing</t>
        </is>
      </c>
      <c r="E11" s="36">
        <f>SUMPRODUCT(((ROW($B$20:$B$220)&gt;20)+($B$20&lt;&gt;"MAL")&gt;0)*(LEN($B$20:$B$220&amp;$C$20:$C$220&amp;$D$20:$D$220&amp;$E$20:$E$220&amp;$F$20:$F$220&amp;$G$20:$G$220&amp;$H$20:$H$220&amp;$I$20:$I$220&amp;$J$20:$J$220&amp;$K$20:$K$220)&gt;0)*(($B$20:$B$220="")+($C$20:$C$220="")+($K$20:$K$220="")))</f>
        <v/>
      </c>
    </row>
    <row r="12" ht="26" customHeight="1">
      <c r="A12" s="37" t="inlineStr">
        <is>
          <t>Confirmed by (BDOI owner)</t>
        </is>
      </c>
      <c r="B12" s="38" t="n"/>
      <c r="C12" s="38" t="n"/>
      <c r="D12" s="35" t="inlineStr">
        <is>
          <t>Date</t>
        </is>
      </c>
      <c r="E12" s="39" t="n"/>
    </row>
    <row r="13" ht="6" customHeight="1">
      <c r="A13" s="40" t="n"/>
      <c r="B13" s="40" t="n"/>
      <c r="C13" s="40" t="n"/>
      <c r="D13" s="40" t="n"/>
      <c r="E13" s="40" t="n"/>
      <c r="F13" s="40" t="n"/>
      <c r="G13" s="40" t="n"/>
      <c r="H13" s="40" t="n"/>
      <c r="I13" s="40" t="n"/>
      <c r="J13" s="40" t="n"/>
      <c r="K13" s="40" t="n"/>
    </row>
    <row r="14" ht="17" customHeight="1">
      <c r="A14" s="41" t="inlineStr">
        <is>
          <t>Check when loaded</t>
        </is>
      </c>
      <c r="B14" s="43" t="inlineStr">
        <is>
          <t>Unique</t>
        </is>
      </c>
      <c r="C14" s="43" t="inlineStr">
        <is>
          <t>Not blank</t>
        </is>
      </c>
      <c r="D14" s="43" t="inlineStr">
        <is>
          <t>-</t>
        </is>
      </c>
      <c r="E14" s="43" t="inlineStr">
        <is>
          <t>9 to 12 digits</t>
        </is>
      </c>
      <c r="F14" s="43" t="inlineStr">
        <is>
          <t>-</t>
        </is>
      </c>
      <c r="G14" s="43" t="inlineStr">
        <is>
          <t>-</t>
        </is>
      </c>
      <c r="H14" s="43" t="inlineStr">
        <is>
          <t>Valid date</t>
        </is>
      </c>
      <c r="I14" s="43" t="inlineStr">
        <is>
          <t>Valid e-mail addresses</t>
        </is>
      </c>
      <c r="J14" s="43" t="inlineStr">
        <is>
          <t>0 to 365</t>
        </is>
      </c>
      <c r="K14" s="43" t="inlineStr">
        <is>
          <t>Mapped</t>
        </is>
      </c>
    </row>
    <row r="15" ht="17" customHeight="1">
      <c r="A15" s="41" t="inlineStr">
        <is>
          <t>Mandatory</t>
        </is>
      </c>
      <c r="B15" s="42" t="inlineStr">
        <is>
          <t>Yes</t>
        </is>
      </c>
      <c r="C15" s="42" t="inlineStr">
        <is>
          <t>Yes</t>
        </is>
      </c>
      <c r="D15" s="43" t="inlineStr">
        <is>
          <t>No</t>
        </is>
      </c>
      <c r="E15" s="43" t="inlineStr">
        <is>
          <t>No</t>
        </is>
      </c>
      <c r="F15" s="43" t="inlineStr">
        <is>
          <t>No</t>
        </is>
      </c>
      <c r="G15" s="43" t="inlineStr">
        <is>
          <t>No</t>
        </is>
      </c>
      <c r="H15" s="43" t="inlineStr">
        <is>
          <t>No</t>
        </is>
      </c>
      <c r="I15" s="43" t="inlineStr">
        <is>
          <t>No</t>
        </is>
      </c>
      <c r="J15" s="43" t="inlineStr">
        <is>
          <t>No</t>
        </is>
      </c>
      <c r="K15" s="42" t="inlineStr">
        <is>
          <t>Yes</t>
        </is>
      </c>
    </row>
    <row r="16" ht="30" customHeight="1">
      <c r="A16" s="41" t="inlineStr">
        <is>
          <t>Format</t>
        </is>
      </c>
      <c r="B16" s="43" t="inlineStr">
        <is>
          <t>Code, up to 30; As stored in legacy</t>
        </is>
      </c>
      <c r="C16" s="43" t="inlineStr">
        <is>
          <t>Text, up to 200; Free text</t>
        </is>
      </c>
      <c r="D16" s="43" t="inlineStr">
        <is>
          <t>Text, up to 40; Free text</t>
        </is>
      </c>
      <c r="E16" s="43" t="inlineStr">
        <is>
          <t>Text, up to 20; 000-000-000-000</t>
        </is>
      </c>
      <c r="F16" s="43" t="inlineStr">
        <is>
          <t>Text, up to 300; Free text</t>
        </is>
      </c>
      <c r="G16" s="43" t="inlineStr">
        <is>
          <t>Text, up to 40; Free text</t>
        </is>
      </c>
      <c r="H16" s="43" t="inlineStr">
        <is>
          <t>Date, up to 10; yyyy-MM-dd</t>
        </is>
      </c>
      <c r="I16" s="43" t="inlineStr">
        <is>
          <t>Text, up to 500; name@domain;name@domain</t>
        </is>
      </c>
      <c r="J16" s="43" t="inlineStr">
        <is>
          <t>Integer, up to 3; Digits</t>
        </is>
      </c>
      <c r="K16" s="43" t="inlineStr">
        <is>
          <t>Code, up to 20; As stored in legacy</t>
        </is>
      </c>
    </row>
    <row r="17" ht="121" customHeight="1">
      <c r="A17" s="41" t="inlineStr">
        <is>
          <t>Allowed values</t>
        </is>
      </c>
      <c r="B17" s="43" t="inlineStr">
        <is>
          <t>Free entry, up to 30 characters</t>
        </is>
      </c>
      <c r="C17" s="43" t="inlineStr">
        <is>
          <t>Free entry, up to 200 characters</t>
        </is>
      </c>
      <c r="D17" s="43" t="inlineStr">
        <is>
          <t>Free entry, up to 40 characters</t>
        </is>
      </c>
      <c r="E17" s="43" t="inlineStr">
        <is>
          <t>Free entry, up to 20 characters</t>
        </is>
      </c>
      <c r="F17" s="43" t="inlineStr">
        <is>
          <t>Free entry, up to 300 characters</t>
        </is>
      </c>
      <c r="G17" s="43" t="inlineStr">
        <is>
          <t>Free entry, up to 40 characters</t>
        </is>
      </c>
      <c r="H17" s="43" t="inlineStr">
        <is>
          <t>Free entry</t>
        </is>
      </c>
      <c r="I17" s="43" t="inlineStr">
        <is>
          <t>Free entry, up to 500 characters</t>
        </is>
      </c>
      <c r="J17" s="43" t="inlineStr">
        <is>
          <t>A whole number</t>
        </is>
      </c>
      <c r="K17" s="43" t="inlineStr">
        <is>
          <t>The legacy code; mapped by the code map STATUS:INSURER (Code Maps screen of the Data Migration Console; maps prepared in the Migration Workbook of BRD-13)</t>
        </is>
      </c>
    </row>
    <row r="18" ht="30" customHeight="1">
      <c r="A18" s="41" t="inlineStr">
        <is>
          <t>What to enter</t>
        </is>
      </c>
      <c r="B18" s="43" t="inlineStr">
        <is>
          <t>Legacy insurer code</t>
        </is>
      </c>
      <c r="C18" s="43" t="inlineStr">
        <is>
          <t>Registered name</t>
        </is>
      </c>
      <c r="D18" s="43" t="inlineStr">
        <is>
          <t>Short name</t>
        </is>
      </c>
      <c r="E18" s="43" t="inlineStr">
        <is>
          <t>Tax identification number</t>
        </is>
      </c>
      <c r="F18" s="43" t="inlineStr">
        <is>
          <t>Registered address</t>
        </is>
      </c>
      <c r="G18" s="43" t="inlineStr">
        <is>
          <t>Insurance Commission accreditation number</t>
        </is>
      </c>
      <c r="H18" s="43" t="inlineStr">
        <is>
          <t>End of accreditation</t>
        </is>
      </c>
      <c r="I18" s="43" t="inlineStr">
        <is>
          <t>E-mail address(es) for placement, separated by semicolons</t>
        </is>
      </c>
      <c r="J18" s="43" t="inlineStr">
        <is>
          <t>Credit term in days</t>
        </is>
      </c>
      <c r="K18" s="43" t="inlineStr">
        <is>
          <t>Insurer status in legacy</t>
        </is>
      </c>
    </row>
    <row r="19" ht="30" customHeight="1">
      <c r="A19" s="44" t="inlineStr">
        <is>
          <t>Row</t>
        </is>
      </c>
      <c r="B19" s="45" t="inlineStr">
        <is>
          <t>insurer_code *</t>
        </is>
      </c>
      <c r="C19" s="45" t="inlineStr">
        <is>
          <t>insurer_name *</t>
        </is>
      </c>
      <c r="D19" s="45" t="inlineStr">
        <is>
          <t>short_name</t>
        </is>
      </c>
      <c r="E19" s="45" t="inlineStr">
        <is>
          <t>tin</t>
        </is>
      </c>
      <c r="F19" s="45" t="inlineStr">
        <is>
          <t>address</t>
        </is>
      </c>
      <c r="G19" s="45" t="inlineStr">
        <is>
          <t>accreditation_no</t>
        </is>
      </c>
      <c r="H19" s="45" t="inlineStr">
        <is>
          <t>accredited_until</t>
        </is>
      </c>
      <c r="I19" s="45" t="inlineStr">
        <is>
          <t>placement_email</t>
        </is>
      </c>
      <c r="J19" s="45" t="inlineStr">
        <is>
          <t>default_credit_days</t>
        </is>
      </c>
      <c r="K19" s="45" t="inlineStr">
        <is>
          <t>status *</t>
        </is>
      </c>
    </row>
    <row r="20" ht="18" customHeight="1">
      <c r="A20" s="46" t="inlineStr">
        <is>
          <t>Example – overwrite or delete</t>
        </is>
      </c>
      <c r="B20" s="47" t="inlineStr">
        <is>
          <t>MAL</t>
        </is>
      </c>
      <c r="C20" s="47" t="inlineStr">
        <is>
          <t>Malayan Insurance Co., Inc.</t>
        </is>
      </c>
      <c r="D20" s="47" t="inlineStr">
        <is>
          <t>Malayan</t>
        </is>
      </c>
      <c r="E20" s="47" t="inlineStr">
        <is>
          <t>000-123-456-000</t>
        </is>
      </c>
      <c r="F20" s="47" t="inlineStr">
        <is>
          <t>500 Quintin Paredes St., Manila</t>
        </is>
      </c>
      <c r="G20" s="47" t="inlineStr">
        <is>
          <t>IC-2025-0123</t>
        </is>
      </c>
      <c r="H20" s="47" t="inlineStr">
        <is>
          <t>2028-06-30</t>
        </is>
      </c>
      <c r="I20" s="47" t="inlineStr">
        <is>
          <t>placement@insurer.example</t>
        </is>
      </c>
      <c r="J20" s="52" t="n">
        <v>60</v>
      </c>
      <c r="K20" s="47" t="inlineStr">
        <is>
          <t>ACTIVE</t>
        </is>
      </c>
    </row>
    <row r="21">
      <c r="B21" s="49" t="n"/>
      <c r="C21" s="49" t="n"/>
      <c r="D21" s="49" t="n"/>
      <c r="E21" s="49" t="n"/>
      <c r="F21" s="49" t="n"/>
      <c r="G21" s="49" t="n"/>
      <c r="H21" s="49" t="n"/>
      <c r="I21" s="49" t="n"/>
      <c r="K21" s="49" t="n"/>
    </row>
    <row r="22">
      <c r="B22" s="49" t="n"/>
      <c r="C22" s="49" t="n"/>
      <c r="D22" s="49" t="n"/>
      <c r="E22" s="49" t="n"/>
      <c r="F22" s="49" t="n"/>
      <c r="G22" s="49" t="n"/>
      <c r="H22" s="49" t="n"/>
      <c r="I22" s="49" t="n"/>
      <c r="K22" s="49" t="n"/>
    </row>
    <row r="23">
      <c r="B23" s="49" t="n"/>
      <c r="C23" s="49" t="n"/>
      <c r="D23" s="49" t="n"/>
      <c r="E23" s="49" t="n"/>
      <c r="F23" s="49" t="n"/>
      <c r="G23" s="49" t="n"/>
      <c r="H23" s="49" t="n"/>
      <c r="I23" s="49" t="n"/>
      <c r="K23" s="49" t="n"/>
    </row>
    <row r="24">
      <c r="B24" s="49" t="n"/>
      <c r="C24" s="49" t="n"/>
      <c r="D24" s="49" t="n"/>
      <c r="E24" s="49" t="n"/>
      <c r="F24" s="49" t="n"/>
      <c r="G24" s="49" t="n"/>
      <c r="H24" s="49" t="n"/>
      <c r="I24" s="49" t="n"/>
      <c r="K24" s="49" t="n"/>
    </row>
    <row r="25">
      <c r="B25" s="49" t="n"/>
      <c r="C25" s="49" t="n"/>
      <c r="D25" s="49" t="n"/>
      <c r="E25" s="49" t="n"/>
      <c r="F25" s="49" t="n"/>
      <c r="G25" s="49" t="n"/>
      <c r="H25" s="49" t="n"/>
      <c r="I25" s="49" t="n"/>
      <c r="K25" s="49" t="n"/>
    </row>
    <row r="26">
      <c r="B26" s="49" t="n"/>
      <c r="C26" s="49" t="n"/>
      <c r="D26" s="49" t="n"/>
      <c r="E26" s="49" t="n"/>
      <c r="F26" s="49" t="n"/>
      <c r="G26" s="49" t="n"/>
      <c r="H26" s="49" t="n"/>
      <c r="I26" s="49" t="n"/>
      <c r="K26" s="49" t="n"/>
    </row>
    <row r="27">
      <c r="B27" s="49" t="n"/>
      <c r="C27" s="49" t="n"/>
      <c r="D27" s="49" t="n"/>
      <c r="E27" s="49" t="n"/>
      <c r="F27" s="49" t="n"/>
      <c r="G27" s="49" t="n"/>
      <c r="H27" s="49" t="n"/>
      <c r="I27" s="49" t="n"/>
      <c r="K27" s="49" t="n"/>
    </row>
    <row r="28">
      <c r="B28" s="49" t="n"/>
      <c r="C28" s="49" t="n"/>
      <c r="D28" s="49" t="n"/>
      <c r="E28" s="49" t="n"/>
      <c r="F28" s="49" t="n"/>
      <c r="G28" s="49" t="n"/>
      <c r="H28" s="49" t="n"/>
      <c r="I28" s="49" t="n"/>
      <c r="K28" s="49" t="n"/>
    </row>
    <row r="29">
      <c r="B29" s="49" t="n"/>
      <c r="C29" s="49" t="n"/>
      <c r="D29" s="49" t="n"/>
      <c r="E29" s="49" t="n"/>
      <c r="F29" s="49" t="n"/>
      <c r="G29" s="49" t="n"/>
      <c r="H29" s="49" t="n"/>
      <c r="I29" s="49" t="n"/>
      <c r="K29" s="49" t="n"/>
    </row>
    <row r="30">
      <c r="B30" s="49" t="n"/>
      <c r="C30" s="49" t="n"/>
      <c r="D30" s="49" t="n"/>
      <c r="E30" s="49" t="n"/>
      <c r="F30" s="49" t="n"/>
      <c r="G30" s="49" t="n"/>
      <c r="H30" s="49" t="n"/>
      <c r="I30" s="49" t="n"/>
      <c r="K30" s="49" t="n"/>
    </row>
    <row r="31">
      <c r="B31" s="49" t="n"/>
      <c r="C31" s="49" t="n"/>
      <c r="D31" s="49" t="n"/>
      <c r="E31" s="49" t="n"/>
      <c r="F31" s="49" t="n"/>
      <c r="G31" s="49" t="n"/>
      <c r="H31" s="49" t="n"/>
      <c r="I31" s="49" t="n"/>
      <c r="K31" s="49" t="n"/>
    </row>
    <row r="32">
      <c r="B32" s="49" t="n"/>
      <c r="C32" s="49" t="n"/>
      <c r="D32" s="49" t="n"/>
      <c r="E32" s="49" t="n"/>
      <c r="F32" s="49" t="n"/>
      <c r="G32" s="49" t="n"/>
      <c r="H32" s="49" t="n"/>
      <c r="I32" s="49" t="n"/>
      <c r="K32" s="49" t="n"/>
    </row>
    <row r="33">
      <c r="B33" s="49" t="n"/>
      <c r="C33" s="49" t="n"/>
      <c r="D33" s="49" t="n"/>
      <c r="E33" s="49" t="n"/>
      <c r="F33" s="49" t="n"/>
      <c r="G33" s="49" t="n"/>
      <c r="H33" s="49" t="n"/>
      <c r="I33" s="49" t="n"/>
      <c r="K33" s="49" t="n"/>
    </row>
    <row r="34">
      <c r="B34" s="49" t="n"/>
      <c r="C34" s="49" t="n"/>
      <c r="D34" s="49" t="n"/>
      <c r="E34" s="49" t="n"/>
      <c r="F34" s="49" t="n"/>
      <c r="G34" s="49" t="n"/>
      <c r="H34" s="49" t="n"/>
      <c r="I34" s="49" t="n"/>
      <c r="K34" s="49" t="n"/>
    </row>
    <row r="35">
      <c r="B35" s="49" t="n"/>
      <c r="C35" s="49" t="n"/>
      <c r="D35" s="49" t="n"/>
      <c r="E35" s="49" t="n"/>
      <c r="F35" s="49" t="n"/>
      <c r="G35" s="49" t="n"/>
      <c r="H35" s="49" t="n"/>
      <c r="I35" s="49" t="n"/>
      <c r="K35" s="49" t="n"/>
    </row>
    <row r="36">
      <c r="B36" s="49" t="n"/>
      <c r="C36" s="49" t="n"/>
      <c r="D36" s="49" t="n"/>
      <c r="E36" s="49" t="n"/>
      <c r="F36" s="49" t="n"/>
      <c r="G36" s="49" t="n"/>
      <c r="H36" s="49" t="n"/>
      <c r="I36" s="49" t="n"/>
      <c r="K36" s="49" t="n"/>
    </row>
    <row r="37">
      <c r="B37" s="49" t="n"/>
      <c r="C37" s="49" t="n"/>
      <c r="D37" s="49" t="n"/>
      <c r="E37" s="49" t="n"/>
      <c r="F37" s="49" t="n"/>
      <c r="G37" s="49" t="n"/>
      <c r="H37" s="49" t="n"/>
      <c r="I37" s="49" t="n"/>
      <c r="K37" s="49" t="n"/>
    </row>
    <row r="38">
      <c r="B38" s="49" t="n"/>
      <c r="C38" s="49" t="n"/>
      <c r="D38" s="49" t="n"/>
      <c r="E38" s="49" t="n"/>
      <c r="F38" s="49" t="n"/>
      <c r="G38" s="49" t="n"/>
      <c r="H38" s="49" t="n"/>
      <c r="I38" s="49" t="n"/>
      <c r="K38" s="49" t="n"/>
    </row>
    <row r="39">
      <c r="B39" s="49" t="n"/>
      <c r="C39" s="49" t="n"/>
      <c r="D39" s="49" t="n"/>
      <c r="E39" s="49" t="n"/>
      <c r="F39" s="49" t="n"/>
      <c r="G39" s="49" t="n"/>
      <c r="H39" s="49" t="n"/>
      <c r="I39" s="49" t="n"/>
      <c r="K39" s="49" t="n"/>
    </row>
    <row r="40">
      <c r="B40" s="49" t="n"/>
      <c r="C40" s="49" t="n"/>
      <c r="D40" s="49" t="n"/>
      <c r="E40" s="49" t="n"/>
      <c r="F40" s="49" t="n"/>
      <c r="G40" s="49" t="n"/>
      <c r="H40" s="49" t="n"/>
      <c r="I40" s="49" t="n"/>
      <c r="K40" s="49" t="n"/>
    </row>
    <row r="41">
      <c r="B41" s="49" t="n"/>
      <c r="C41" s="49" t="n"/>
      <c r="D41" s="49" t="n"/>
      <c r="E41" s="49" t="n"/>
      <c r="F41" s="49" t="n"/>
      <c r="G41" s="49" t="n"/>
      <c r="H41" s="49" t="n"/>
      <c r="I41" s="49" t="n"/>
      <c r="K41" s="49" t="n"/>
    </row>
    <row r="42">
      <c r="B42" s="49" t="n"/>
      <c r="C42" s="49" t="n"/>
      <c r="D42" s="49" t="n"/>
      <c r="E42" s="49" t="n"/>
      <c r="F42" s="49" t="n"/>
      <c r="G42" s="49" t="n"/>
      <c r="H42" s="49" t="n"/>
      <c r="I42" s="49" t="n"/>
      <c r="K42" s="49" t="n"/>
    </row>
    <row r="43">
      <c r="B43" s="49" t="n"/>
      <c r="C43" s="49" t="n"/>
      <c r="D43" s="49" t="n"/>
      <c r="E43" s="49" t="n"/>
      <c r="F43" s="49" t="n"/>
      <c r="G43" s="49" t="n"/>
      <c r="H43" s="49" t="n"/>
      <c r="I43" s="49" t="n"/>
      <c r="K43" s="49" t="n"/>
    </row>
    <row r="44">
      <c r="B44" s="49" t="n"/>
      <c r="C44" s="49" t="n"/>
      <c r="D44" s="49" t="n"/>
      <c r="E44" s="49" t="n"/>
      <c r="F44" s="49" t="n"/>
      <c r="G44" s="49" t="n"/>
      <c r="H44" s="49" t="n"/>
      <c r="I44" s="49" t="n"/>
      <c r="K44" s="49" t="n"/>
    </row>
    <row r="45">
      <c r="B45" s="49" t="n"/>
      <c r="C45" s="49" t="n"/>
      <c r="D45" s="49" t="n"/>
      <c r="E45" s="49" t="n"/>
      <c r="F45" s="49" t="n"/>
      <c r="G45" s="49" t="n"/>
      <c r="H45" s="49" t="n"/>
      <c r="I45" s="49" t="n"/>
      <c r="K45" s="49" t="n"/>
    </row>
    <row r="46">
      <c r="B46" s="49" t="n"/>
      <c r="C46" s="49" t="n"/>
      <c r="D46" s="49" t="n"/>
      <c r="E46" s="49" t="n"/>
      <c r="F46" s="49" t="n"/>
      <c r="G46" s="49" t="n"/>
      <c r="H46" s="49" t="n"/>
      <c r="I46" s="49" t="n"/>
      <c r="K46" s="49" t="n"/>
    </row>
    <row r="47">
      <c r="B47" s="49" t="n"/>
      <c r="C47" s="49" t="n"/>
      <c r="D47" s="49" t="n"/>
      <c r="E47" s="49" t="n"/>
      <c r="F47" s="49" t="n"/>
      <c r="G47" s="49" t="n"/>
      <c r="H47" s="49" t="n"/>
      <c r="I47" s="49" t="n"/>
      <c r="K47" s="49" t="n"/>
    </row>
    <row r="48">
      <c r="B48" s="49" t="n"/>
      <c r="C48" s="49" t="n"/>
      <c r="D48" s="49" t="n"/>
      <c r="E48" s="49" t="n"/>
      <c r="F48" s="49" t="n"/>
      <c r="G48" s="49" t="n"/>
      <c r="H48" s="49" t="n"/>
      <c r="I48" s="49" t="n"/>
      <c r="K48" s="49" t="n"/>
    </row>
    <row r="49">
      <c r="B49" s="49" t="n"/>
      <c r="C49" s="49" t="n"/>
      <c r="D49" s="49" t="n"/>
      <c r="E49" s="49" t="n"/>
      <c r="F49" s="49" t="n"/>
      <c r="G49" s="49" t="n"/>
      <c r="H49" s="49" t="n"/>
      <c r="I49" s="49" t="n"/>
      <c r="K49" s="49" t="n"/>
    </row>
    <row r="50">
      <c r="B50" s="49" t="n"/>
      <c r="C50" s="49" t="n"/>
      <c r="D50" s="49" t="n"/>
      <c r="E50" s="49" t="n"/>
      <c r="F50" s="49" t="n"/>
      <c r="G50" s="49" t="n"/>
      <c r="H50" s="49" t="n"/>
      <c r="I50" s="49" t="n"/>
      <c r="K50" s="49" t="n"/>
    </row>
    <row r="51">
      <c r="B51" s="49" t="n"/>
      <c r="C51" s="49" t="n"/>
      <c r="D51" s="49" t="n"/>
      <c r="E51" s="49" t="n"/>
      <c r="F51" s="49" t="n"/>
      <c r="G51" s="49" t="n"/>
      <c r="H51" s="49" t="n"/>
      <c r="I51" s="49" t="n"/>
      <c r="K51" s="49" t="n"/>
    </row>
    <row r="52">
      <c r="B52" s="49" t="n"/>
      <c r="C52" s="49" t="n"/>
      <c r="D52" s="49" t="n"/>
      <c r="E52" s="49" t="n"/>
      <c r="F52" s="49" t="n"/>
      <c r="G52" s="49" t="n"/>
      <c r="H52" s="49" t="n"/>
      <c r="I52" s="49" t="n"/>
      <c r="K52" s="49" t="n"/>
    </row>
    <row r="53">
      <c r="B53" s="49" t="n"/>
      <c r="C53" s="49" t="n"/>
      <c r="D53" s="49" t="n"/>
      <c r="E53" s="49" t="n"/>
      <c r="F53" s="49" t="n"/>
      <c r="G53" s="49" t="n"/>
      <c r="H53" s="49" t="n"/>
      <c r="I53" s="49" t="n"/>
      <c r="K53" s="49" t="n"/>
    </row>
    <row r="54">
      <c r="B54" s="49" t="n"/>
      <c r="C54" s="49" t="n"/>
      <c r="D54" s="49" t="n"/>
      <c r="E54" s="49" t="n"/>
      <c r="F54" s="49" t="n"/>
      <c r="G54" s="49" t="n"/>
      <c r="H54" s="49" t="n"/>
      <c r="I54" s="49" t="n"/>
      <c r="K54" s="49" t="n"/>
    </row>
    <row r="55">
      <c r="B55" s="49" t="n"/>
      <c r="C55" s="49" t="n"/>
      <c r="D55" s="49" t="n"/>
      <c r="E55" s="49" t="n"/>
      <c r="F55" s="49" t="n"/>
      <c r="G55" s="49" t="n"/>
      <c r="H55" s="49" t="n"/>
      <c r="I55" s="49" t="n"/>
      <c r="K55" s="49" t="n"/>
    </row>
    <row r="56">
      <c r="B56" s="49" t="n"/>
      <c r="C56" s="49" t="n"/>
      <c r="D56" s="49" t="n"/>
      <c r="E56" s="49" t="n"/>
      <c r="F56" s="49" t="n"/>
      <c r="G56" s="49" t="n"/>
      <c r="H56" s="49" t="n"/>
      <c r="I56" s="49" t="n"/>
      <c r="K56" s="49" t="n"/>
    </row>
    <row r="57">
      <c r="B57" s="49" t="n"/>
      <c r="C57" s="49" t="n"/>
      <c r="D57" s="49" t="n"/>
      <c r="E57" s="49" t="n"/>
      <c r="F57" s="49" t="n"/>
      <c r="G57" s="49" t="n"/>
      <c r="H57" s="49" t="n"/>
      <c r="I57" s="49" t="n"/>
      <c r="K57" s="49" t="n"/>
    </row>
    <row r="58">
      <c r="B58" s="49" t="n"/>
      <c r="C58" s="49" t="n"/>
      <c r="D58" s="49" t="n"/>
      <c r="E58" s="49" t="n"/>
      <c r="F58" s="49" t="n"/>
      <c r="G58" s="49" t="n"/>
      <c r="H58" s="49" t="n"/>
      <c r="I58" s="49" t="n"/>
      <c r="K58" s="49" t="n"/>
    </row>
    <row r="59">
      <c r="B59" s="49" t="n"/>
      <c r="C59" s="49" t="n"/>
      <c r="D59" s="49" t="n"/>
      <c r="E59" s="49" t="n"/>
      <c r="F59" s="49" t="n"/>
      <c r="G59" s="49" t="n"/>
      <c r="H59" s="49" t="n"/>
      <c r="I59" s="49" t="n"/>
      <c r="K59" s="49" t="n"/>
    </row>
    <row r="60">
      <c r="B60" s="49" t="n"/>
      <c r="C60" s="49" t="n"/>
      <c r="D60" s="49" t="n"/>
      <c r="E60" s="49" t="n"/>
      <c r="F60" s="49" t="n"/>
      <c r="G60" s="49" t="n"/>
      <c r="H60" s="49" t="n"/>
      <c r="I60" s="49" t="n"/>
      <c r="K60" s="49" t="n"/>
    </row>
    <row r="61">
      <c r="B61" s="49" t="n"/>
      <c r="C61" s="49" t="n"/>
      <c r="D61" s="49" t="n"/>
      <c r="E61" s="49" t="n"/>
      <c r="F61" s="49" t="n"/>
      <c r="G61" s="49" t="n"/>
      <c r="H61" s="49" t="n"/>
      <c r="I61" s="49" t="n"/>
      <c r="K61" s="49" t="n"/>
    </row>
    <row r="62">
      <c r="B62" s="49" t="n"/>
      <c r="C62" s="49" t="n"/>
      <c r="D62" s="49" t="n"/>
      <c r="E62" s="49" t="n"/>
      <c r="F62" s="49" t="n"/>
      <c r="G62" s="49" t="n"/>
      <c r="H62" s="49" t="n"/>
      <c r="I62" s="49" t="n"/>
      <c r="K62" s="49" t="n"/>
    </row>
    <row r="63">
      <c r="B63" s="49" t="n"/>
      <c r="C63" s="49" t="n"/>
      <c r="D63" s="49" t="n"/>
      <c r="E63" s="49" t="n"/>
      <c r="F63" s="49" t="n"/>
      <c r="G63" s="49" t="n"/>
      <c r="H63" s="49" t="n"/>
      <c r="I63" s="49" t="n"/>
      <c r="K63" s="49" t="n"/>
    </row>
    <row r="64">
      <c r="B64" s="49" t="n"/>
      <c r="C64" s="49" t="n"/>
      <c r="D64" s="49" t="n"/>
      <c r="E64" s="49" t="n"/>
      <c r="F64" s="49" t="n"/>
      <c r="G64" s="49" t="n"/>
      <c r="H64" s="49" t="n"/>
      <c r="I64" s="49" t="n"/>
      <c r="K64" s="49" t="n"/>
    </row>
    <row r="65">
      <c r="B65" s="49" t="n"/>
      <c r="C65" s="49" t="n"/>
      <c r="D65" s="49" t="n"/>
      <c r="E65" s="49" t="n"/>
      <c r="F65" s="49" t="n"/>
      <c r="G65" s="49" t="n"/>
      <c r="H65" s="49" t="n"/>
      <c r="I65" s="49" t="n"/>
      <c r="K65" s="49" t="n"/>
    </row>
    <row r="66">
      <c r="B66" s="49" t="n"/>
      <c r="C66" s="49" t="n"/>
      <c r="D66" s="49" t="n"/>
      <c r="E66" s="49" t="n"/>
      <c r="F66" s="49" t="n"/>
      <c r="G66" s="49" t="n"/>
      <c r="H66" s="49" t="n"/>
      <c r="I66" s="49" t="n"/>
      <c r="K66" s="49" t="n"/>
    </row>
    <row r="67">
      <c r="B67" s="49" t="n"/>
      <c r="C67" s="49" t="n"/>
      <c r="D67" s="49" t="n"/>
      <c r="E67" s="49" t="n"/>
      <c r="F67" s="49" t="n"/>
      <c r="G67" s="49" t="n"/>
      <c r="H67" s="49" t="n"/>
      <c r="I67" s="49" t="n"/>
      <c r="K67" s="49" t="n"/>
    </row>
    <row r="68">
      <c r="B68" s="49" t="n"/>
      <c r="C68" s="49" t="n"/>
      <c r="D68" s="49" t="n"/>
      <c r="E68" s="49" t="n"/>
      <c r="F68" s="49" t="n"/>
      <c r="G68" s="49" t="n"/>
      <c r="H68" s="49" t="n"/>
      <c r="I68" s="49" t="n"/>
      <c r="K68" s="49" t="n"/>
    </row>
    <row r="69">
      <c r="B69" s="49" t="n"/>
      <c r="C69" s="49" t="n"/>
      <c r="D69" s="49" t="n"/>
      <c r="E69" s="49" t="n"/>
      <c r="F69" s="49" t="n"/>
      <c r="G69" s="49" t="n"/>
      <c r="H69" s="49" t="n"/>
      <c r="I69" s="49" t="n"/>
      <c r="K69" s="49" t="n"/>
    </row>
    <row r="70">
      <c r="B70" s="49" t="n"/>
      <c r="C70" s="49" t="n"/>
      <c r="D70" s="49" t="n"/>
      <c r="E70" s="49" t="n"/>
      <c r="F70" s="49" t="n"/>
      <c r="G70" s="49" t="n"/>
      <c r="H70" s="49" t="n"/>
      <c r="I70" s="49" t="n"/>
      <c r="K70" s="49" t="n"/>
    </row>
    <row r="71">
      <c r="B71" s="49" t="n"/>
      <c r="C71" s="49" t="n"/>
      <c r="D71" s="49" t="n"/>
      <c r="E71" s="49" t="n"/>
      <c r="F71" s="49" t="n"/>
      <c r="G71" s="49" t="n"/>
      <c r="H71" s="49" t="n"/>
      <c r="I71" s="49" t="n"/>
      <c r="K71" s="49" t="n"/>
    </row>
    <row r="72">
      <c r="B72" s="49" t="n"/>
      <c r="C72" s="49" t="n"/>
      <c r="D72" s="49" t="n"/>
      <c r="E72" s="49" t="n"/>
      <c r="F72" s="49" t="n"/>
      <c r="G72" s="49" t="n"/>
      <c r="H72" s="49" t="n"/>
      <c r="I72" s="49" t="n"/>
      <c r="K72" s="49" t="n"/>
    </row>
    <row r="73">
      <c r="B73" s="49" t="n"/>
      <c r="C73" s="49" t="n"/>
      <c r="D73" s="49" t="n"/>
      <c r="E73" s="49" t="n"/>
      <c r="F73" s="49" t="n"/>
      <c r="G73" s="49" t="n"/>
      <c r="H73" s="49" t="n"/>
      <c r="I73" s="49" t="n"/>
      <c r="K73" s="49" t="n"/>
    </row>
    <row r="74">
      <c r="B74" s="49" t="n"/>
      <c r="C74" s="49" t="n"/>
      <c r="D74" s="49" t="n"/>
      <c r="E74" s="49" t="n"/>
      <c r="F74" s="49" t="n"/>
      <c r="G74" s="49" t="n"/>
      <c r="H74" s="49" t="n"/>
      <c r="I74" s="49" t="n"/>
      <c r="K74" s="49" t="n"/>
    </row>
    <row r="75">
      <c r="B75" s="49" t="n"/>
      <c r="C75" s="49" t="n"/>
      <c r="D75" s="49" t="n"/>
      <c r="E75" s="49" t="n"/>
      <c r="F75" s="49" t="n"/>
      <c r="G75" s="49" t="n"/>
      <c r="H75" s="49" t="n"/>
      <c r="I75" s="49" t="n"/>
      <c r="K75" s="49" t="n"/>
    </row>
    <row r="76">
      <c r="B76" s="49" t="n"/>
      <c r="C76" s="49" t="n"/>
      <c r="D76" s="49" t="n"/>
      <c r="E76" s="49" t="n"/>
      <c r="F76" s="49" t="n"/>
      <c r="G76" s="49" t="n"/>
      <c r="H76" s="49" t="n"/>
      <c r="I76" s="49" t="n"/>
      <c r="K76" s="49" t="n"/>
    </row>
    <row r="77">
      <c r="B77" s="49" t="n"/>
      <c r="C77" s="49" t="n"/>
      <c r="D77" s="49" t="n"/>
      <c r="E77" s="49" t="n"/>
      <c r="F77" s="49" t="n"/>
      <c r="G77" s="49" t="n"/>
      <c r="H77" s="49" t="n"/>
      <c r="I77" s="49" t="n"/>
      <c r="K77" s="49" t="n"/>
    </row>
    <row r="78">
      <c r="B78" s="49" t="n"/>
      <c r="C78" s="49" t="n"/>
      <c r="D78" s="49" t="n"/>
      <c r="E78" s="49" t="n"/>
      <c r="F78" s="49" t="n"/>
      <c r="G78" s="49" t="n"/>
      <c r="H78" s="49" t="n"/>
      <c r="I78" s="49" t="n"/>
      <c r="K78" s="49" t="n"/>
    </row>
    <row r="79">
      <c r="B79" s="49" t="n"/>
      <c r="C79" s="49" t="n"/>
      <c r="D79" s="49" t="n"/>
      <c r="E79" s="49" t="n"/>
      <c r="F79" s="49" t="n"/>
      <c r="G79" s="49" t="n"/>
      <c r="H79" s="49" t="n"/>
      <c r="I79" s="49" t="n"/>
      <c r="K79" s="49" t="n"/>
    </row>
    <row r="80">
      <c r="B80" s="49" t="n"/>
      <c r="C80" s="49" t="n"/>
      <c r="D80" s="49" t="n"/>
      <c r="E80" s="49" t="n"/>
      <c r="F80" s="49" t="n"/>
      <c r="G80" s="49" t="n"/>
      <c r="H80" s="49" t="n"/>
      <c r="I80" s="49" t="n"/>
      <c r="K80" s="49" t="n"/>
    </row>
    <row r="81">
      <c r="B81" s="49" t="n"/>
      <c r="C81" s="49" t="n"/>
      <c r="D81" s="49" t="n"/>
      <c r="E81" s="49" t="n"/>
      <c r="F81" s="49" t="n"/>
      <c r="G81" s="49" t="n"/>
      <c r="H81" s="49" t="n"/>
      <c r="I81" s="49" t="n"/>
      <c r="K81" s="49" t="n"/>
    </row>
    <row r="82">
      <c r="B82" s="49" t="n"/>
      <c r="C82" s="49" t="n"/>
      <c r="D82" s="49" t="n"/>
      <c r="E82" s="49" t="n"/>
      <c r="F82" s="49" t="n"/>
      <c r="G82" s="49" t="n"/>
      <c r="H82" s="49" t="n"/>
      <c r="I82" s="49" t="n"/>
      <c r="K82" s="49" t="n"/>
    </row>
    <row r="83">
      <c r="B83" s="49" t="n"/>
      <c r="C83" s="49" t="n"/>
      <c r="D83" s="49" t="n"/>
      <c r="E83" s="49" t="n"/>
      <c r="F83" s="49" t="n"/>
      <c r="G83" s="49" t="n"/>
      <c r="H83" s="49" t="n"/>
      <c r="I83" s="49" t="n"/>
      <c r="K83" s="49" t="n"/>
    </row>
    <row r="84">
      <c r="B84" s="49" t="n"/>
      <c r="C84" s="49" t="n"/>
      <c r="D84" s="49" t="n"/>
      <c r="E84" s="49" t="n"/>
      <c r="F84" s="49" t="n"/>
      <c r="G84" s="49" t="n"/>
      <c r="H84" s="49" t="n"/>
      <c r="I84" s="49" t="n"/>
      <c r="K84" s="49" t="n"/>
    </row>
    <row r="85">
      <c r="B85" s="49" t="n"/>
      <c r="C85" s="49" t="n"/>
      <c r="D85" s="49" t="n"/>
      <c r="E85" s="49" t="n"/>
      <c r="F85" s="49" t="n"/>
      <c r="G85" s="49" t="n"/>
      <c r="H85" s="49" t="n"/>
      <c r="I85" s="49" t="n"/>
      <c r="K85" s="49" t="n"/>
    </row>
    <row r="86">
      <c r="B86" s="49" t="n"/>
      <c r="C86" s="49" t="n"/>
      <c r="D86" s="49" t="n"/>
      <c r="E86" s="49" t="n"/>
      <c r="F86" s="49" t="n"/>
      <c r="G86" s="49" t="n"/>
      <c r="H86" s="49" t="n"/>
      <c r="I86" s="49" t="n"/>
      <c r="K86" s="49" t="n"/>
    </row>
    <row r="87">
      <c r="B87" s="49" t="n"/>
      <c r="C87" s="49" t="n"/>
      <c r="D87" s="49" t="n"/>
      <c r="E87" s="49" t="n"/>
      <c r="F87" s="49" t="n"/>
      <c r="G87" s="49" t="n"/>
      <c r="H87" s="49" t="n"/>
      <c r="I87" s="49" t="n"/>
      <c r="K87" s="49" t="n"/>
    </row>
    <row r="88">
      <c r="B88" s="49" t="n"/>
      <c r="C88" s="49" t="n"/>
      <c r="D88" s="49" t="n"/>
      <c r="E88" s="49" t="n"/>
      <c r="F88" s="49" t="n"/>
      <c r="G88" s="49" t="n"/>
      <c r="H88" s="49" t="n"/>
      <c r="I88" s="49" t="n"/>
      <c r="K88" s="49" t="n"/>
    </row>
    <row r="89">
      <c r="B89" s="49" t="n"/>
      <c r="C89" s="49" t="n"/>
      <c r="D89" s="49" t="n"/>
      <c r="E89" s="49" t="n"/>
      <c r="F89" s="49" t="n"/>
      <c r="G89" s="49" t="n"/>
      <c r="H89" s="49" t="n"/>
      <c r="I89" s="49" t="n"/>
      <c r="K89" s="49" t="n"/>
    </row>
    <row r="90">
      <c r="B90" s="49" t="n"/>
      <c r="C90" s="49" t="n"/>
      <c r="D90" s="49" t="n"/>
      <c r="E90" s="49" t="n"/>
      <c r="F90" s="49" t="n"/>
      <c r="G90" s="49" t="n"/>
      <c r="H90" s="49" t="n"/>
      <c r="I90" s="49" t="n"/>
      <c r="K90" s="49" t="n"/>
    </row>
    <row r="91">
      <c r="B91" s="49" t="n"/>
      <c r="C91" s="49" t="n"/>
      <c r="D91" s="49" t="n"/>
      <c r="E91" s="49" t="n"/>
      <c r="F91" s="49" t="n"/>
      <c r="G91" s="49" t="n"/>
      <c r="H91" s="49" t="n"/>
      <c r="I91" s="49" t="n"/>
      <c r="K91" s="49" t="n"/>
    </row>
    <row r="92">
      <c r="B92" s="49" t="n"/>
      <c r="C92" s="49" t="n"/>
      <c r="D92" s="49" t="n"/>
      <c r="E92" s="49" t="n"/>
      <c r="F92" s="49" t="n"/>
      <c r="G92" s="49" t="n"/>
      <c r="H92" s="49" t="n"/>
      <c r="I92" s="49" t="n"/>
      <c r="K92" s="49" t="n"/>
    </row>
    <row r="93">
      <c r="B93" s="49" t="n"/>
      <c r="C93" s="49" t="n"/>
      <c r="D93" s="49" t="n"/>
      <c r="E93" s="49" t="n"/>
      <c r="F93" s="49" t="n"/>
      <c r="G93" s="49" t="n"/>
      <c r="H93" s="49" t="n"/>
      <c r="I93" s="49" t="n"/>
      <c r="K93" s="49" t="n"/>
    </row>
    <row r="94">
      <c r="B94" s="49" t="n"/>
      <c r="C94" s="49" t="n"/>
      <c r="D94" s="49" t="n"/>
      <c r="E94" s="49" t="n"/>
      <c r="F94" s="49" t="n"/>
      <c r="G94" s="49" t="n"/>
      <c r="H94" s="49" t="n"/>
      <c r="I94" s="49" t="n"/>
      <c r="K94" s="49" t="n"/>
    </row>
    <row r="95">
      <c r="B95" s="49" t="n"/>
      <c r="C95" s="49" t="n"/>
      <c r="D95" s="49" t="n"/>
      <c r="E95" s="49" t="n"/>
      <c r="F95" s="49" t="n"/>
      <c r="G95" s="49" t="n"/>
      <c r="H95" s="49" t="n"/>
      <c r="I95" s="49" t="n"/>
      <c r="K95" s="49" t="n"/>
    </row>
    <row r="96">
      <c r="B96" s="49" t="n"/>
      <c r="C96" s="49" t="n"/>
      <c r="D96" s="49" t="n"/>
      <c r="E96" s="49" t="n"/>
      <c r="F96" s="49" t="n"/>
      <c r="G96" s="49" t="n"/>
      <c r="H96" s="49" t="n"/>
      <c r="I96" s="49" t="n"/>
      <c r="K96" s="49" t="n"/>
    </row>
    <row r="97">
      <c r="B97" s="49" t="n"/>
      <c r="C97" s="49" t="n"/>
      <c r="D97" s="49" t="n"/>
      <c r="E97" s="49" t="n"/>
      <c r="F97" s="49" t="n"/>
      <c r="G97" s="49" t="n"/>
      <c r="H97" s="49" t="n"/>
      <c r="I97" s="49" t="n"/>
      <c r="K97" s="49" t="n"/>
    </row>
    <row r="98">
      <c r="B98" s="49" t="n"/>
      <c r="C98" s="49" t="n"/>
      <c r="D98" s="49" t="n"/>
      <c r="E98" s="49" t="n"/>
      <c r="F98" s="49" t="n"/>
      <c r="G98" s="49" t="n"/>
      <c r="H98" s="49" t="n"/>
      <c r="I98" s="49" t="n"/>
      <c r="K98" s="49" t="n"/>
    </row>
    <row r="99">
      <c r="B99" s="49" t="n"/>
      <c r="C99" s="49" t="n"/>
      <c r="D99" s="49" t="n"/>
      <c r="E99" s="49" t="n"/>
      <c r="F99" s="49" t="n"/>
      <c r="G99" s="49" t="n"/>
      <c r="H99" s="49" t="n"/>
      <c r="I99" s="49" t="n"/>
      <c r="K99" s="49" t="n"/>
    </row>
    <row r="100">
      <c r="B100" s="49" t="n"/>
      <c r="C100" s="49" t="n"/>
      <c r="D100" s="49" t="n"/>
      <c r="E100" s="49" t="n"/>
      <c r="F100" s="49" t="n"/>
      <c r="G100" s="49" t="n"/>
      <c r="H100" s="49" t="n"/>
      <c r="I100" s="49" t="n"/>
      <c r="K100" s="49" t="n"/>
    </row>
    <row r="101">
      <c r="B101" s="49" t="n"/>
      <c r="C101" s="49" t="n"/>
      <c r="D101" s="49" t="n"/>
      <c r="E101" s="49" t="n"/>
      <c r="F101" s="49" t="n"/>
      <c r="G101" s="49" t="n"/>
      <c r="H101" s="49" t="n"/>
      <c r="I101" s="49" t="n"/>
      <c r="K101" s="49" t="n"/>
    </row>
    <row r="102">
      <c r="B102" s="49" t="n"/>
      <c r="C102" s="49" t="n"/>
      <c r="D102" s="49" t="n"/>
      <c r="E102" s="49" t="n"/>
      <c r="F102" s="49" t="n"/>
      <c r="G102" s="49" t="n"/>
      <c r="H102" s="49" t="n"/>
      <c r="I102" s="49" t="n"/>
      <c r="K102" s="49" t="n"/>
    </row>
    <row r="103">
      <c r="B103" s="49" t="n"/>
      <c r="C103" s="49" t="n"/>
      <c r="D103" s="49" t="n"/>
      <c r="E103" s="49" t="n"/>
      <c r="F103" s="49" t="n"/>
      <c r="G103" s="49" t="n"/>
      <c r="H103" s="49" t="n"/>
      <c r="I103" s="49" t="n"/>
      <c r="K103" s="49" t="n"/>
    </row>
    <row r="104">
      <c r="B104" s="49" t="n"/>
      <c r="C104" s="49" t="n"/>
      <c r="D104" s="49" t="n"/>
      <c r="E104" s="49" t="n"/>
      <c r="F104" s="49" t="n"/>
      <c r="G104" s="49" t="n"/>
      <c r="H104" s="49" t="n"/>
      <c r="I104" s="49" t="n"/>
      <c r="K104" s="49" t="n"/>
    </row>
    <row r="105">
      <c r="B105" s="49" t="n"/>
      <c r="C105" s="49" t="n"/>
      <c r="D105" s="49" t="n"/>
      <c r="E105" s="49" t="n"/>
      <c r="F105" s="49" t="n"/>
      <c r="G105" s="49" t="n"/>
      <c r="H105" s="49" t="n"/>
      <c r="I105" s="49" t="n"/>
      <c r="K105" s="49" t="n"/>
    </row>
    <row r="106">
      <c r="B106" s="49" t="n"/>
      <c r="C106" s="49" t="n"/>
      <c r="D106" s="49" t="n"/>
      <c r="E106" s="49" t="n"/>
      <c r="F106" s="49" t="n"/>
      <c r="G106" s="49" t="n"/>
      <c r="H106" s="49" t="n"/>
      <c r="I106" s="49" t="n"/>
      <c r="K106" s="49" t="n"/>
    </row>
    <row r="107">
      <c r="B107" s="49" t="n"/>
      <c r="C107" s="49" t="n"/>
      <c r="D107" s="49" t="n"/>
      <c r="E107" s="49" t="n"/>
      <c r="F107" s="49" t="n"/>
      <c r="G107" s="49" t="n"/>
      <c r="H107" s="49" t="n"/>
      <c r="I107" s="49" t="n"/>
      <c r="K107" s="49" t="n"/>
    </row>
    <row r="108">
      <c r="B108" s="49" t="n"/>
      <c r="C108" s="49" t="n"/>
      <c r="D108" s="49" t="n"/>
      <c r="E108" s="49" t="n"/>
      <c r="F108" s="49" t="n"/>
      <c r="G108" s="49" t="n"/>
      <c r="H108" s="49" t="n"/>
      <c r="I108" s="49" t="n"/>
      <c r="K108" s="49" t="n"/>
    </row>
    <row r="109">
      <c r="B109" s="49" t="n"/>
      <c r="C109" s="49" t="n"/>
      <c r="D109" s="49" t="n"/>
      <c r="E109" s="49" t="n"/>
      <c r="F109" s="49" t="n"/>
      <c r="G109" s="49" t="n"/>
      <c r="H109" s="49" t="n"/>
      <c r="I109" s="49" t="n"/>
      <c r="K109" s="49" t="n"/>
    </row>
    <row r="110">
      <c r="B110" s="49" t="n"/>
      <c r="C110" s="49" t="n"/>
      <c r="D110" s="49" t="n"/>
      <c r="E110" s="49" t="n"/>
      <c r="F110" s="49" t="n"/>
      <c r="G110" s="49" t="n"/>
      <c r="H110" s="49" t="n"/>
      <c r="I110" s="49" t="n"/>
      <c r="K110" s="49" t="n"/>
    </row>
    <row r="111">
      <c r="B111" s="49" t="n"/>
      <c r="C111" s="49" t="n"/>
      <c r="D111" s="49" t="n"/>
      <c r="E111" s="49" t="n"/>
      <c r="F111" s="49" t="n"/>
      <c r="G111" s="49" t="n"/>
      <c r="H111" s="49" t="n"/>
      <c r="I111" s="49" t="n"/>
      <c r="K111" s="49" t="n"/>
    </row>
    <row r="112">
      <c r="B112" s="49" t="n"/>
      <c r="C112" s="49" t="n"/>
      <c r="D112" s="49" t="n"/>
      <c r="E112" s="49" t="n"/>
      <c r="F112" s="49" t="n"/>
      <c r="G112" s="49" t="n"/>
      <c r="H112" s="49" t="n"/>
      <c r="I112" s="49" t="n"/>
      <c r="K112" s="49" t="n"/>
    </row>
    <row r="113">
      <c r="B113" s="49" t="n"/>
      <c r="C113" s="49" t="n"/>
      <c r="D113" s="49" t="n"/>
      <c r="E113" s="49" t="n"/>
      <c r="F113" s="49" t="n"/>
      <c r="G113" s="49" t="n"/>
      <c r="H113" s="49" t="n"/>
      <c r="I113" s="49" t="n"/>
      <c r="K113" s="49" t="n"/>
    </row>
    <row r="114">
      <c r="B114" s="49" t="n"/>
      <c r="C114" s="49" t="n"/>
      <c r="D114" s="49" t="n"/>
      <c r="E114" s="49" t="n"/>
      <c r="F114" s="49" t="n"/>
      <c r="G114" s="49" t="n"/>
      <c r="H114" s="49" t="n"/>
      <c r="I114" s="49" t="n"/>
      <c r="K114" s="49" t="n"/>
    </row>
    <row r="115">
      <c r="B115" s="49" t="n"/>
      <c r="C115" s="49" t="n"/>
      <c r="D115" s="49" t="n"/>
      <c r="E115" s="49" t="n"/>
      <c r="F115" s="49" t="n"/>
      <c r="G115" s="49" t="n"/>
      <c r="H115" s="49" t="n"/>
      <c r="I115" s="49" t="n"/>
      <c r="K115" s="49" t="n"/>
    </row>
    <row r="116">
      <c r="B116" s="49" t="n"/>
      <c r="C116" s="49" t="n"/>
      <c r="D116" s="49" t="n"/>
      <c r="E116" s="49" t="n"/>
      <c r="F116" s="49" t="n"/>
      <c r="G116" s="49" t="n"/>
      <c r="H116" s="49" t="n"/>
      <c r="I116" s="49" t="n"/>
      <c r="K116" s="49" t="n"/>
    </row>
    <row r="117">
      <c r="B117" s="49" t="n"/>
      <c r="C117" s="49" t="n"/>
      <c r="D117" s="49" t="n"/>
      <c r="E117" s="49" t="n"/>
      <c r="F117" s="49" t="n"/>
      <c r="G117" s="49" t="n"/>
      <c r="H117" s="49" t="n"/>
      <c r="I117" s="49" t="n"/>
      <c r="K117" s="49" t="n"/>
    </row>
    <row r="118">
      <c r="B118" s="49" t="n"/>
      <c r="C118" s="49" t="n"/>
      <c r="D118" s="49" t="n"/>
      <c r="E118" s="49" t="n"/>
      <c r="F118" s="49" t="n"/>
      <c r="G118" s="49" t="n"/>
      <c r="H118" s="49" t="n"/>
      <c r="I118" s="49" t="n"/>
      <c r="K118" s="49" t="n"/>
    </row>
    <row r="119">
      <c r="B119" s="49" t="n"/>
      <c r="C119" s="49" t="n"/>
      <c r="D119" s="49" t="n"/>
      <c r="E119" s="49" t="n"/>
      <c r="F119" s="49" t="n"/>
      <c r="G119" s="49" t="n"/>
      <c r="H119" s="49" t="n"/>
      <c r="I119" s="49" t="n"/>
      <c r="K119" s="49" t="n"/>
    </row>
    <row r="120">
      <c r="B120" s="49" t="n"/>
      <c r="C120" s="49" t="n"/>
      <c r="D120" s="49" t="n"/>
      <c r="E120" s="49" t="n"/>
      <c r="F120" s="49" t="n"/>
      <c r="G120" s="49" t="n"/>
      <c r="H120" s="49" t="n"/>
      <c r="I120" s="49" t="n"/>
      <c r="K120" s="49" t="n"/>
    </row>
    <row r="121">
      <c r="B121" s="49" t="n"/>
      <c r="C121" s="49" t="n"/>
      <c r="D121" s="49" t="n"/>
      <c r="E121" s="49" t="n"/>
      <c r="F121" s="49" t="n"/>
      <c r="G121" s="49" t="n"/>
      <c r="H121" s="49" t="n"/>
      <c r="I121" s="49" t="n"/>
      <c r="K121" s="49" t="n"/>
    </row>
    <row r="122">
      <c r="B122" s="49" t="n"/>
      <c r="C122" s="49" t="n"/>
      <c r="D122" s="49" t="n"/>
      <c r="E122" s="49" t="n"/>
      <c r="F122" s="49" t="n"/>
      <c r="G122" s="49" t="n"/>
      <c r="H122" s="49" t="n"/>
      <c r="I122" s="49" t="n"/>
      <c r="K122" s="49" t="n"/>
    </row>
    <row r="123">
      <c r="B123" s="49" t="n"/>
      <c r="C123" s="49" t="n"/>
      <c r="D123" s="49" t="n"/>
      <c r="E123" s="49" t="n"/>
      <c r="F123" s="49" t="n"/>
      <c r="G123" s="49" t="n"/>
      <c r="H123" s="49" t="n"/>
      <c r="I123" s="49" t="n"/>
      <c r="K123" s="49" t="n"/>
    </row>
    <row r="124">
      <c r="B124" s="49" t="n"/>
      <c r="C124" s="49" t="n"/>
      <c r="D124" s="49" t="n"/>
      <c r="E124" s="49" t="n"/>
      <c r="F124" s="49" t="n"/>
      <c r="G124" s="49" t="n"/>
      <c r="H124" s="49" t="n"/>
      <c r="I124" s="49" t="n"/>
      <c r="K124" s="49" t="n"/>
    </row>
    <row r="125">
      <c r="B125" s="49" t="n"/>
      <c r="C125" s="49" t="n"/>
      <c r="D125" s="49" t="n"/>
      <c r="E125" s="49" t="n"/>
      <c r="F125" s="49" t="n"/>
      <c r="G125" s="49" t="n"/>
      <c r="H125" s="49" t="n"/>
      <c r="I125" s="49" t="n"/>
      <c r="K125" s="49" t="n"/>
    </row>
    <row r="126">
      <c r="B126" s="49" t="n"/>
      <c r="C126" s="49" t="n"/>
      <c r="D126" s="49" t="n"/>
      <c r="E126" s="49" t="n"/>
      <c r="F126" s="49" t="n"/>
      <c r="G126" s="49" t="n"/>
      <c r="H126" s="49" t="n"/>
      <c r="I126" s="49" t="n"/>
      <c r="K126" s="49" t="n"/>
    </row>
    <row r="127">
      <c r="B127" s="49" t="n"/>
      <c r="C127" s="49" t="n"/>
      <c r="D127" s="49" t="n"/>
      <c r="E127" s="49" t="n"/>
      <c r="F127" s="49" t="n"/>
      <c r="G127" s="49" t="n"/>
      <c r="H127" s="49" t="n"/>
      <c r="I127" s="49" t="n"/>
      <c r="K127" s="49" t="n"/>
    </row>
    <row r="128">
      <c r="B128" s="49" t="n"/>
      <c r="C128" s="49" t="n"/>
      <c r="D128" s="49" t="n"/>
      <c r="E128" s="49" t="n"/>
      <c r="F128" s="49" t="n"/>
      <c r="G128" s="49" t="n"/>
      <c r="H128" s="49" t="n"/>
      <c r="I128" s="49" t="n"/>
      <c r="K128" s="49" t="n"/>
    </row>
    <row r="129">
      <c r="B129" s="49" t="n"/>
      <c r="C129" s="49" t="n"/>
      <c r="D129" s="49" t="n"/>
      <c r="E129" s="49" t="n"/>
      <c r="F129" s="49" t="n"/>
      <c r="G129" s="49" t="n"/>
      <c r="H129" s="49" t="n"/>
      <c r="I129" s="49" t="n"/>
      <c r="K129" s="49" t="n"/>
    </row>
    <row r="130">
      <c r="B130" s="49" t="n"/>
      <c r="C130" s="49" t="n"/>
      <c r="D130" s="49" t="n"/>
      <c r="E130" s="49" t="n"/>
      <c r="F130" s="49" t="n"/>
      <c r="G130" s="49" t="n"/>
      <c r="H130" s="49" t="n"/>
      <c r="I130" s="49" t="n"/>
      <c r="K130" s="49" t="n"/>
    </row>
    <row r="131">
      <c r="B131" s="49" t="n"/>
      <c r="C131" s="49" t="n"/>
      <c r="D131" s="49" t="n"/>
      <c r="E131" s="49" t="n"/>
      <c r="F131" s="49" t="n"/>
      <c r="G131" s="49" t="n"/>
      <c r="H131" s="49" t="n"/>
      <c r="I131" s="49" t="n"/>
      <c r="K131" s="49" t="n"/>
    </row>
    <row r="132">
      <c r="B132" s="49" t="n"/>
      <c r="C132" s="49" t="n"/>
      <c r="D132" s="49" t="n"/>
      <c r="E132" s="49" t="n"/>
      <c r="F132" s="49" t="n"/>
      <c r="G132" s="49" t="n"/>
      <c r="H132" s="49" t="n"/>
      <c r="I132" s="49" t="n"/>
      <c r="K132" s="49" t="n"/>
    </row>
    <row r="133">
      <c r="B133" s="49" t="n"/>
      <c r="C133" s="49" t="n"/>
      <c r="D133" s="49" t="n"/>
      <c r="E133" s="49" t="n"/>
      <c r="F133" s="49" t="n"/>
      <c r="G133" s="49" t="n"/>
      <c r="H133" s="49" t="n"/>
      <c r="I133" s="49" t="n"/>
      <c r="K133" s="49" t="n"/>
    </row>
    <row r="134">
      <c r="B134" s="49" t="n"/>
      <c r="C134" s="49" t="n"/>
      <c r="D134" s="49" t="n"/>
      <c r="E134" s="49" t="n"/>
      <c r="F134" s="49" t="n"/>
      <c r="G134" s="49" t="n"/>
      <c r="H134" s="49" t="n"/>
      <c r="I134" s="49" t="n"/>
      <c r="K134" s="49" t="n"/>
    </row>
    <row r="135">
      <c r="B135" s="49" t="n"/>
      <c r="C135" s="49" t="n"/>
      <c r="D135" s="49" t="n"/>
      <c r="E135" s="49" t="n"/>
      <c r="F135" s="49" t="n"/>
      <c r="G135" s="49" t="n"/>
      <c r="H135" s="49" t="n"/>
      <c r="I135" s="49" t="n"/>
      <c r="K135" s="49" t="n"/>
    </row>
    <row r="136">
      <c r="B136" s="49" t="n"/>
      <c r="C136" s="49" t="n"/>
      <c r="D136" s="49" t="n"/>
      <c r="E136" s="49" t="n"/>
      <c r="F136" s="49" t="n"/>
      <c r="G136" s="49" t="n"/>
      <c r="H136" s="49" t="n"/>
      <c r="I136" s="49" t="n"/>
      <c r="K136" s="49" t="n"/>
    </row>
    <row r="137">
      <c r="B137" s="49" t="n"/>
      <c r="C137" s="49" t="n"/>
      <c r="D137" s="49" t="n"/>
      <c r="E137" s="49" t="n"/>
      <c r="F137" s="49" t="n"/>
      <c r="G137" s="49" t="n"/>
      <c r="H137" s="49" t="n"/>
      <c r="I137" s="49" t="n"/>
      <c r="K137" s="49" t="n"/>
    </row>
    <row r="138">
      <c r="B138" s="49" t="n"/>
      <c r="C138" s="49" t="n"/>
      <c r="D138" s="49" t="n"/>
      <c r="E138" s="49" t="n"/>
      <c r="F138" s="49" t="n"/>
      <c r="G138" s="49" t="n"/>
      <c r="H138" s="49" t="n"/>
      <c r="I138" s="49" t="n"/>
      <c r="K138" s="49" t="n"/>
    </row>
    <row r="139">
      <c r="B139" s="49" t="n"/>
      <c r="C139" s="49" t="n"/>
      <c r="D139" s="49" t="n"/>
      <c r="E139" s="49" t="n"/>
      <c r="F139" s="49" t="n"/>
      <c r="G139" s="49" t="n"/>
      <c r="H139" s="49" t="n"/>
      <c r="I139" s="49" t="n"/>
      <c r="K139" s="49" t="n"/>
    </row>
    <row r="140">
      <c r="B140" s="49" t="n"/>
      <c r="C140" s="49" t="n"/>
      <c r="D140" s="49" t="n"/>
      <c r="E140" s="49" t="n"/>
      <c r="F140" s="49" t="n"/>
      <c r="G140" s="49" t="n"/>
      <c r="H140" s="49" t="n"/>
      <c r="I140" s="49" t="n"/>
      <c r="K140" s="49" t="n"/>
    </row>
    <row r="141">
      <c r="B141" s="49" t="n"/>
      <c r="C141" s="49" t="n"/>
      <c r="D141" s="49" t="n"/>
      <c r="E141" s="49" t="n"/>
      <c r="F141" s="49" t="n"/>
      <c r="G141" s="49" t="n"/>
      <c r="H141" s="49" t="n"/>
      <c r="I141" s="49" t="n"/>
      <c r="K141" s="49" t="n"/>
    </row>
    <row r="142">
      <c r="B142" s="49" t="n"/>
      <c r="C142" s="49" t="n"/>
      <c r="D142" s="49" t="n"/>
      <c r="E142" s="49" t="n"/>
      <c r="F142" s="49" t="n"/>
      <c r="G142" s="49" t="n"/>
      <c r="H142" s="49" t="n"/>
      <c r="I142" s="49" t="n"/>
      <c r="K142" s="49" t="n"/>
    </row>
    <row r="143">
      <c r="B143" s="49" t="n"/>
      <c r="C143" s="49" t="n"/>
      <c r="D143" s="49" t="n"/>
      <c r="E143" s="49" t="n"/>
      <c r="F143" s="49" t="n"/>
      <c r="G143" s="49" t="n"/>
      <c r="H143" s="49" t="n"/>
      <c r="I143" s="49" t="n"/>
      <c r="K143" s="49" t="n"/>
    </row>
    <row r="144">
      <c r="B144" s="49" t="n"/>
      <c r="C144" s="49" t="n"/>
      <c r="D144" s="49" t="n"/>
      <c r="E144" s="49" t="n"/>
      <c r="F144" s="49" t="n"/>
      <c r="G144" s="49" t="n"/>
      <c r="H144" s="49" t="n"/>
      <c r="I144" s="49" t="n"/>
      <c r="K144" s="49" t="n"/>
    </row>
    <row r="145">
      <c r="B145" s="49" t="n"/>
      <c r="C145" s="49" t="n"/>
      <c r="D145" s="49" t="n"/>
      <c r="E145" s="49" t="n"/>
      <c r="F145" s="49" t="n"/>
      <c r="G145" s="49" t="n"/>
      <c r="H145" s="49" t="n"/>
      <c r="I145" s="49" t="n"/>
      <c r="K145" s="49" t="n"/>
    </row>
    <row r="146">
      <c r="B146" s="49" t="n"/>
      <c r="C146" s="49" t="n"/>
      <c r="D146" s="49" t="n"/>
      <c r="E146" s="49" t="n"/>
      <c r="F146" s="49" t="n"/>
      <c r="G146" s="49" t="n"/>
      <c r="H146" s="49" t="n"/>
      <c r="I146" s="49" t="n"/>
      <c r="K146" s="49" t="n"/>
    </row>
    <row r="147">
      <c r="B147" s="49" t="n"/>
      <c r="C147" s="49" t="n"/>
      <c r="D147" s="49" t="n"/>
      <c r="E147" s="49" t="n"/>
      <c r="F147" s="49" t="n"/>
      <c r="G147" s="49" t="n"/>
      <c r="H147" s="49" t="n"/>
      <c r="I147" s="49" t="n"/>
      <c r="K147" s="49" t="n"/>
    </row>
    <row r="148">
      <c r="B148" s="49" t="n"/>
      <c r="C148" s="49" t="n"/>
      <c r="D148" s="49" t="n"/>
      <c r="E148" s="49" t="n"/>
      <c r="F148" s="49" t="n"/>
      <c r="G148" s="49" t="n"/>
      <c r="H148" s="49" t="n"/>
      <c r="I148" s="49" t="n"/>
      <c r="K148" s="49" t="n"/>
    </row>
    <row r="149">
      <c r="B149" s="49" t="n"/>
      <c r="C149" s="49" t="n"/>
      <c r="D149" s="49" t="n"/>
      <c r="E149" s="49" t="n"/>
      <c r="F149" s="49" t="n"/>
      <c r="G149" s="49" t="n"/>
      <c r="H149" s="49" t="n"/>
      <c r="I149" s="49" t="n"/>
      <c r="K149" s="49" t="n"/>
    </row>
    <row r="150">
      <c r="B150" s="49" t="n"/>
      <c r="C150" s="49" t="n"/>
      <c r="D150" s="49" t="n"/>
      <c r="E150" s="49" t="n"/>
      <c r="F150" s="49" t="n"/>
      <c r="G150" s="49" t="n"/>
      <c r="H150" s="49" t="n"/>
      <c r="I150" s="49" t="n"/>
      <c r="K150" s="49" t="n"/>
    </row>
    <row r="151">
      <c r="B151" s="49" t="n"/>
      <c r="C151" s="49" t="n"/>
      <c r="D151" s="49" t="n"/>
      <c r="E151" s="49" t="n"/>
      <c r="F151" s="49" t="n"/>
      <c r="G151" s="49" t="n"/>
      <c r="H151" s="49" t="n"/>
      <c r="I151" s="49" t="n"/>
      <c r="K151" s="49" t="n"/>
    </row>
    <row r="152">
      <c r="B152" s="49" t="n"/>
      <c r="C152" s="49" t="n"/>
      <c r="D152" s="49" t="n"/>
      <c r="E152" s="49" t="n"/>
      <c r="F152" s="49" t="n"/>
      <c r="G152" s="49" t="n"/>
      <c r="H152" s="49" t="n"/>
      <c r="I152" s="49" t="n"/>
      <c r="K152" s="49" t="n"/>
    </row>
    <row r="153">
      <c r="B153" s="49" t="n"/>
      <c r="C153" s="49" t="n"/>
      <c r="D153" s="49" t="n"/>
      <c r="E153" s="49" t="n"/>
      <c r="F153" s="49" t="n"/>
      <c r="G153" s="49" t="n"/>
      <c r="H153" s="49" t="n"/>
      <c r="I153" s="49" t="n"/>
      <c r="K153" s="49" t="n"/>
    </row>
    <row r="154">
      <c r="B154" s="49" t="n"/>
      <c r="C154" s="49" t="n"/>
      <c r="D154" s="49" t="n"/>
      <c r="E154" s="49" t="n"/>
      <c r="F154" s="49" t="n"/>
      <c r="G154" s="49" t="n"/>
      <c r="H154" s="49" t="n"/>
      <c r="I154" s="49" t="n"/>
      <c r="K154" s="49" t="n"/>
    </row>
    <row r="155">
      <c r="B155" s="49" t="n"/>
      <c r="C155" s="49" t="n"/>
      <c r="D155" s="49" t="n"/>
      <c r="E155" s="49" t="n"/>
      <c r="F155" s="49" t="n"/>
      <c r="G155" s="49" t="n"/>
      <c r="H155" s="49" t="n"/>
      <c r="I155" s="49" t="n"/>
      <c r="K155" s="49" t="n"/>
    </row>
    <row r="156">
      <c r="B156" s="49" t="n"/>
      <c r="C156" s="49" t="n"/>
      <c r="D156" s="49" t="n"/>
      <c r="E156" s="49" t="n"/>
      <c r="F156" s="49" t="n"/>
      <c r="G156" s="49" t="n"/>
      <c r="H156" s="49" t="n"/>
      <c r="I156" s="49" t="n"/>
      <c r="K156" s="49" t="n"/>
    </row>
    <row r="157">
      <c r="B157" s="49" t="n"/>
      <c r="C157" s="49" t="n"/>
      <c r="D157" s="49" t="n"/>
      <c r="E157" s="49" t="n"/>
      <c r="F157" s="49" t="n"/>
      <c r="G157" s="49" t="n"/>
      <c r="H157" s="49" t="n"/>
      <c r="I157" s="49" t="n"/>
      <c r="K157" s="49" t="n"/>
    </row>
    <row r="158">
      <c r="B158" s="49" t="n"/>
      <c r="C158" s="49" t="n"/>
      <c r="D158" s="49" t="n"/>
      <c r="E158" s="49" t="n"/>
      <c r="F158" s="49" t="n"/>
      <c r="G158" s="49" t="n"/>
      <c r="H158" s="49" t="n"/>
      <c r="I158" s="49" t="n"/>
      <c r="K158" s="49" t="n"/>
    </row>
    <row r="159">
      <c r="B159" s="49" t="n"/>
      <c r="C159" s="49" t="n"/>
      <c r="D159" s="49" t="n"/>
      <c r="E159" s="49" t="n"/>
      <c r="F159" s="49" t="n"/>
      <c r="G159" s="49" t="n"/>
      <c r="H159" s="49" t="n"/>
      <c r="I159" s="49" t="n"/>
      <c r="K159" s="49" t="n"/>
    </row>
    <row r="160">
      <c r="B160" s="49" t="n"/>
      <c r="C160" s="49" t="n"/>
      <c r="D160" s="49" t="n"/>
      <c r="E160" s="49" t="n"/>
      <c r="F160" s="49" t="n"/>
      <c r="G160" s="49" t="n"/>
      <c r="H160" s="49" t="n"/>
      <c r="I160" s="49" t="n"/>
      <c r="K160" s="49" t="n"/>
    </row>
    <row r="161">
      <c r="B161" s="49" t="n"/>
      <c r="C161" s="49" t="n"/>
      <c r="D161" s="49" t="n"/>
      <c r="E161" s="49" t="n"/>
      <c r="F161" s="49" t="n"/>
      <c r="G161" s="49" t="n"/>
      <c r="H161" s="49" t="n"/>
      <c r="I161" s="49" t="n"/>
      <c r="K161" s="49" t="n"/>
    </row>
    <row r="162">
      <c r="B162" s="49" t="n"/>
      <c r="C162" s="49" t="n"/>
      <c r="D162" s="49" t="n"/>
      <c r="E162" s="49" t="n"/>
      <c r="F162" s="49" t="n"/>
      <c r="G162" s="49" t="n"/>
      <c r="H162" s="49" t="n"/>
      <c r="I162" s="49" t="n"/>
      <c r="K162" s="49" t="n"/>
    </row>
    <row r="163">
      <c r="B163" s="49" t="n"/>
      <c r="C163" s="49" t="n"/>
      <c r="D163" s="49" t="n"/>
      <c r="E163" s="49" t="n"/>
      <c r="F163" s="49" t="n"/>
      <c r="G163" s="49" t="n"/>
      <c r="H163" s="49" t="n"/>
      <c r="I163" s="49" t="n"/>
      <c r="K163" s="49" t="n"/>
    </row>
    <row r="164">
      <c r="B164" s="49" t="n"/>
      <c r="C164" s="49" t="n"/>
      <c r="D164" s="49" t="n"/>
      <c r="E164" s="49" t="n"/>
      <c r="F164" s="49" t="n"/>
      <c r="G164" s="49" t="n"/>
      <c r="H164" s="49" t="n"/>
      <c r="I164" s="49" t="n"/>
      <c r="K164" s="49" t="n"/>
    </row>
    <row r="165">
      <c r="B165" s="49" t="n"/>
      <c r="C165" s="49" t="n"/>
      <c r="D165" s="49" t="n"/>
      <c r="E165" s="49" t="n"/>
      <c r="F165" s="49" t="n"/>
      <c r="G165" s="49" t="n"/>
      <c r="H165" s="49" t="n"/>
      <c r="I165" s="49" t="n"/>
      <c r="K165" s="49" t="n"/>
    </row>
    <row r="166">
      <c r="B166" s="49" t="n"/>
      <c r="C166" s="49" t="n"/>
      <c r="D166" s="49" t="n"/>
      <c r="E166" s="49" t="n"/>
      <c r="F166" s="49" t="n"/>
      <c r="G166" s="49" t="n"/>
      <c r="H166" s="49" t="n"/>
      <c r="I166" s="49" t="n"/>
      <c r="K166" s="49" t="n"/>
    </row>
    <row r="167">
      <c r="B167" s="49" t="n"/>
      <c r="C167" s="49" t="n"/>
      <c r="D167" s="49" t="n"/>
      <c r="E167" s="49" t="n"/>
      <c r="F167" s="49" t="n"/>
      <c r="G167" s="49" t="n"/>
      <c r="H167" s="49" t="n"/>
      <c r="I167" s="49" t="n"/>
      <c r="K167" s="49" t="n"/>
    </row>
    <row r="168">
      <c r="B168" s="49" t="n"/>
      <c r="C168" s="49" t="n"/>
      <c r="D168" s="49" t="n"/>
      <c r="E168" s="49" t="n"/>
      <c r="F168" s="49" t="n"/>
      <c r="G168" s="49" t="n"/>
      <c r="H168" s="49" t="n"/>
      <c r="I168" s="49" t="n"/>
      <c r="K168" s="49" t="n"/>
    </row>
    <row r="169">
      <c r="B169" s="49" t="n"/>
      <c r="C169" s="49" t="n"/>
      <c r="D169" s="49" t="n"/>
      <c r="E169" s="49" t="n"/>
      <c r="F169" s="49" t="n"/>
      <c r="G169" s="49" t="n"/>
      <c r="H169" s="49" t="n"/>
      <c r="I169" s="49" t="n"/>
      <c r="K169" s="49" t="n"/>
    </row>
    <row r="170">
      <c r="B170" s="49" t="n"/>
      <c r="C170" s="49" t="n"/>
      <c r="D170" s="49" t="n"/>
      <c r="E170" s="49" t="n"/>
      <c r="F170" s="49" t="n"/>
      <c r="G170" s="49" t="n"/>
      <c r="H170" s="49" t="n"/>
      <c r="I170" s="49" t="n"/>
      <c r="K170" s="49" t="n"/>
    </row>
    <row r="171">
      <c r="B171" s="49" t="n"/>
      <c r="C171" s="49" t="n"/>
      <c r="D171" s="49" t="n"/>
      <c r="E171" s="49" t="n"/>
      <c r="F171" s="49" t="n"/>
      <c r="G171" s="49" t="n"/>
      <c r="H171" s="49" t="n"/>
      <c r="I171" s="49" t="n"/>
      <c r="K171" s="49" t="n"/>
    </row>
    <row r="172">
      <c r="B172" s="49" t="n"/>
      <c r="C172" s="49" t="n"/>
      <c r="D172" s="49" t="n"/>
      <c r="E172" s="49" t="n"/>
      <c r="F172" s="49" t="n"/>
      <c r="G172" s="49" t="n"/>
      <c r="H172" s="49" t="n"/>
      <c r="I172" s="49" t="n"/>
      <c r="K172" s="49" t="n"/>
    </row>
    <row r="173">
      <c r="B173" s="49" t="n"/>
      <c r="C173" s="49" t="n"/>
      <c r="D173" s="49" t="n"/>
      <c r="E173" s="49" t="n"/>
      <c r="F173" s="49" t="n"/>
      <c r="G173" s="49" t="n"/>
      <c r="H173" s="49" t="n"/>
      <c r="I173" s="49" t="n"/>
      <c r="K173" s="49" t="n"/>
    </row>
    <row r="174">
      <c r="B174" s="49" t="n"/>
      <c r="C174" s="49" t="n"/>
      <c r="D174" s="49" t="n"/>
      <c r="E174" s="49" t="n"/>
      <c r="F174" s="49" t="n"/>
      <c r="G174" s="49" t="n"/>
      <c r="H174" s="49" t="n"/>
      <c r="I174" s="49" t="n"/>
      <c r="K174" s="49" t="n"/>
    </row>
    <row r="175">
      <c r="B175" s="49" t="n"/>
      <c r="C175" s="49" t="n"/>
      <c r="D175" s="49" t="n"/>
      <c r="E175" s="49" t="n"/>
      <c r="F175" s="49" t="n"/>
      <c r="G175" s="49" t="n"/>
      <c r="H175" s="49" t="n"/>
      <c r="I175" s="49" t="n"/>
      <c r="K175" s="49" t="n"/>
    </row>
    <row r="176">
      <c r="B176" s="49" t="n"/>
      <c r="C176" s="49" t="n"/>
      <c r="D176" s="49" t="n"/>
      <c r="E176" s="49" t="n"/>
      <c r="F176" s="49" t="n"/>
      <c r="G176" s="49" t="n"/>
      <c r="H176" s="49" t="n"/>
      <c r="I176" s="49" t="n"/>
      <c r="K176" s="49" t="n"/>
    </row>
    <row r="177">
      <c r="B177" s="49" t="n"/>
      <c r="C177" s="49" t="n"/>
      <c r="D177" s="49" t="n"/>
      <c r="E177" s="49" t="n"/>
      <c r="F177" s="49" t="n"/>
      <c r="G177" s="49" t="n"/>
      <c r="H177" s="49" t="n"/>
      <c r="I177" s="49" t="n"/>
      <c r="K177" s="49" t="n"/>
    </row>
    <row r="178">
      <c r="B178" s="49" t="n"/>
      <c r="C178" s="49" t="n"/>
      <c r="D178" s="49" t="n"/>
      <c r="E178" s="49" t="n"/>
      <c r="F178" s="49" t="n"/>
      <c r="G178" s="49" t="n"/>
      <c r="H178" s="49" t="n"/>
      <c r="I178" s="49" t="n"/>
      <c r="K178" s="49" t="n"/>
    </row>
    <row r="179">
      <c r="B179" s="49" t="n"/>
      <c r="C179" s="49" t="n"/>
      <c r="D179" s="49" t="n"/>
      <c r="E179" s="49" t="n"/>
      <c r="F179" s="49" t="n"/>
      <c r="G179" s="49" t="n"/>
      <c r="H179" s="49" t="n"/>
      <c r="I179" s="49" t="n"/>
      <c r="K179" s="49" t="n"/>
    </row>
    <row r="180">
      <c r="B180" s="49" t="n"/>
      <c r="C180" s="49" t="n"/>
      <c r="D180" s="49" t="n"/>
      <c r="E180" s="49" t="n"/>
      <c r="F180" s="49" t="n"/>
      <c r="G180" s="49" t="n"/>
      <c r="H180" s="49" t="n"/>
      <c r="I180" s="49" t="n"/>
      <c r="K180" s="49" t="n"/>
    </row>
    <row r="181">
      <c r="B181" s="49" t="n"/>
      <c r="C181" s="49" t="n"/>
      <c r="D181" s="49" t="n"/>
      <c r="E181" s="49" t="n"/>
      <c r="F181" s="49" t="n"/>
      <c r="G181" s="49" t="n"/>
      <c r="H181" s="49" t="n"/>
      <c r="I181" s="49" t="n"/>
      <c r="K181" s="49" t="n"/>
    </row>
    <row r="182">
      <c r="B182" s="49" t="n"/>
      <c r="C182" s="49" t="n"/>
      <c r="D182" s="49" t="n"/>
      <c r="E182" s="49" t="n"/>
      <c r="F182" s="49" t="n"/>
      <c r="G182" s="49" t="n"/>
      <c r="H182" s="49" t="n"/>
      <c r="I182" s="49" t="n"/>
      <c r="K182" s="49" t="n"/>
    </row>
    <row r="183">
      <c r="B183" s="49" t="n"/>
      <c r="C183" s="49" t="n"/>
      <c r="D183" s="49" t="n"/>
      <c r="E183" s="49" t="n"/>
      <c r="F183" s="49" t="n"/>
      <c r="G183" s="49" t="n"/>
      <c r="H183" s="49" t="n"/>
      <c r="I183" s="49" t="n"/>
      <c r="K183" s="49" t="n"/>
    </row>
    <row r="184">
      <c r="B184" s="49" t="n"/>
      <c r="C184" s="49" t="n"/>
      <c r="D184" s="49" t="n"/>
      <c r="E184" s="49" t="n"/>
      <c r="F184" s="49" t="n"/>
      <c r="G184" s="49" t="n"/>
      <c r="H184" s="49" t="n"/>
      <c r="I184" s="49" t="n"/>
      <c r="K184" s="49" t="n"/>
    </row>
    <row r="185">
      <c r="B185" s="49" t="n"/>
      <c r="C185" s="49" t="n"/>
      <c r="D185" s="49" t="n"/>
      <c r="E185" s="49" t="n"/>
      <c r="F185" s="49" t="n"/>
      <c r="G185" s="49" t="n"/>
      <c r="H185" s="49" t="n"/>
      <c r="I185" s="49" t="n"/>
      <c r="K185" s="49" t="n"/>
    </row>
    <row r="186">
      <c r="B186" s="49" t="n"/>
      <c r="C186" s="49" t="n"/>
      <c r="D186" s="49" t="n"/>
      <c r="E186" s="49" t="n"/>
      <c r="F186" s="49" t="n"/>
      <c r="G186" s="49" t="n"/>
      <c r="H186" s="49" t="n"/>
      <c r="I186" s="49" t="n"/>
      <c r="K186" s="49" t="n"/>
    </row>
    <row r="187">
      <c r="B187" s="49" t="n"/>
      <c r="C187" s="49" t="n"/>
      <c r="D187" s="49" t="n"/>
      <c r="E187" s="49" t="n"/>
      <c r="F187" s="49" t="n"/>
      <c r="G187" s="49" t="n"/>
      <c r="H187" s="49" t="n"/>
      <c r="I187" s="49" t="n"/>
      <c r="K187" s="49" t="n"/>
    </row>
    <row r="188">
      <c r="B188" s="49" t="n"/>
      <c r="C188" s="49" t="n"/>
      <c r="D188" s="49" t="n"/>
      <c r="E188" s="49" t="n"/>
      <c r="F188" s="49" t="n"/>
      <c r="G188" s="49" t="n"/>
      <c r="H188" s="49" t="n"/>
      <c r="I188" s="49" t="n"/>
      <c r="K188" s="49" t="n"/>
    </row>
    <row r="189">
      <c r="B189" s="49" t="n"/>
      <c r="C189" s="49" t="n"/>
      <c r="D189" s="49" t="n"/>
      <c r="E189" s="49" t="n"/>
      <c r="F189" s="49" t="n"/>
      <c r="G189" s="49" t="n"/>
      <c r="H189" s="49" t="n"/>
      <c r="I189" s="49" t="n"/>
      <c r="K189" s="49" t="n"/>
    </row>
    <row r="190">
      <c r="B190" s="49" t="n"/>
      <c r="C190" s="49" t="n"/>
      <c r="D190" s="49" t="n"/>
      <c r="E190" s="49" t="n"/>
      <c r="F190" s="49" t="n"/>
      <c r="G190" s="49" t="n"/>
      <c r="H190" s="49" t="n"/>
      <c r="I190" s="49" t="n"/>
      <c r="K190" s="49" t="n"/>
    </row>
    <row r="191">
      <c r="B191" s="49" t="n"/>
      <c r="C191" s="49" t="n"/>
      <c r="D191" s="49" t="n"/>
      <c r="E191" s="49" t="n"/>
      <c r="F191" s="49" t="n"/>
      <c r="G191" s="49" t="n"/>
      <c r="H191" s="49" t="n"/>
      <c r="I191" s="49" t="n"/>
      <c r="K191" s="49" t="n"/>
    </row>
    <row r="192">
      <c r="B192" s="49" t="n"/>
      <c r="C192" s="49" t="n"/>
      <c r="D192" s="49" t="n"/>
      <c r="E192" s="49" t="n"/>
      <c r="F192" s="49" t="n"/>
      <c r="G192" s="49" t="n"/>
      <c r="H192" s="49" t="n"/>
      <c r="I192" s="49" t="n"/>
      <c r="K192" s="49" t="n"/>
    </row>
    <row r="193">
      <c r="B193" s="49" t="n"/>
      <c r="C193" s="49" t="n"/>
      <c r="D193" s="49" t="n"/>
      <c r="E193" s="49" t="n"/>
      <c r="F193" s="49" t="n"/>
      <c r="G193" s="49" t="n"/>
      <c r="H193" s="49" t="n"/>
      <c r="I193" s="49" t="n"/>
      <c r="K193" s="49" t="n"/>
    </row>
    <row r="194">
      <c r="B194" s="49" t="n"/>
      <c r="C194" s="49" t="n"/>
      <c r="D194" s="49" t="n"/>
      <c r="E194" s="49" t="n"/>
      <c r="F194" s="49" t="n"/>
      <c r="G194" s="49" t="n"/>
      <c r="H194" s="49" t="n"/>
      <c r="I194" s="49" t="n"/>
      <c r="K194" s="49" t="n"/>
    </row>
    <row r="195">
      <c r="B195" s="49" t="n"/>
      <c r="C195" s="49" t="n"/>
      <c r="D195" s="49" t="n"/>
      <c r="E195" s="49" t="n"/>
      <c r="F195" s="49" t="n"/>
      <c r="G195" s="49" t="n"/>
      <c r="H195" s="49" t="n"/>
      <c r="I195" s="49" t="n"/>
      <c r="K195" s="49" t="n"/>
    </row>
    <row r="196">
      <c r="B196" s="49" t="n"/>
      <c r="C196" s="49" t="n"/>
      <c r="D196" s="49" t="n"/>
      <c r="E196" s="49" t="n"/>
      <c r="F196" s="49" t="n"/>
      <c r="G196" s="49" t="n"/>
      <c r="H196" s="49" t="n"/>
      <c r="I196" s="49" t="n"/>
      <c r="K196" s="49" t="n"/>
    </row>
    <row r="197">
      <c r="B197" s="49" t="n"/>
      <c r="C197" s="49" t="n"/>
      <c r="D197" s="49" t="n"/>
      <c r="E197" s="49" t="n"/>
      <c r="F197" s="49" t="n"/>
      <c r="G197" s="49" t="n"/>
      <c r="H197" s="49" t="n"/>
      <c r="I197" s="49" t="n"/>
      <c r="K197" s="49" t="n"/>
    </row>
    <row r="198">
      <c r="B198" s="49" t="n"/>
      <c r="C198" s="49" t="n"/>
      <c r="D198" s="49" t="n"/>
      <c r="E198" s="49" t="n"/>
      <c r="F198" s="49" t="n"/>
      <c r="G198" s="49" t="n"/>
      <c r="H198" s="49" t="n"/>
      <c r="I198" s="49" t="n"/>
      <c r="K198" s="49" t="n"/>
    </row>
    <row r="199">
      <c r="B199" s="49" t="n"/>
      <c r="C199" s="49" t="n"/>
      <c r="D199" s="49" t="n"/>
      <c r="E199" s="49" t="n"/>
      <c r="F199" s="49" t="n"/>
      <c r="G199" s="49" t="n"/>
      <c r="H199" s="49" t="n"/>
      <c r="I199" s="49" t="n"/>
      <c r="K199" s="49" t="n"/>
    </row>
    <row r="200">
      <c r="B200" s="49" t="n"/>
      <c r="C200" s="49" t="n"/>
      <c r="D200" s="49" t="n"/>
      <c r="E200" s="49" t="n"/>
      <c r="F200" s="49" t="n"/>
      <c r="G200" s="49" t="n"/>
      <c r="H200" s="49" t="n"/>
      <c r="I200" s="49" t="n"/>
      <c r="K200" s="49" t="n"/>
    </row>
    <row r="201">
      <c r="B201" s="49" t="n"/>
      <c r="C201" s="49" t="n"/>
      <c r="D201" s="49" t="n"/>
      <c r="E201" s="49" t="n"/>
      <c r="F201" s="49" t="n"/>
      <c r="G201" s="49" t="n"/>
      <c r="H201" s="49" t="n"/>
      <c r="I201" s="49" t="n"/>
      <c r="K201" s="49" t="n"/>
    </row>
    <row r="202">
      <c r="B202" s="49" t="n"/>
      <c r="C202" s="49" t="n"/>
      <c r="D202" s="49" t="n"/>
      <c r="E202" s="49" t="n"/>
      <c r="F202" s="49" t="n"/>
      <c r="G202" s="49" t="n"/>
      <c r="H202" s="49" t="n"/>
      <c r="I202" s="49" t="n"/>
      <c r="K202" s="49" t="n"/>
    </row>
    <row r="203">
      <c r="B203" s="49" t="n"/>
      <c r="C203" s="49" t="n"/>
      <c r="D203" s="49" t="n"/>
      <c r="E203" s="49" t="n"/>
      <c r="F203" s="49" t="n"/>
      <c r="G203" s="49" t="n"/>
      <c r="H203" s="49" t="n"/>
      <c r="I203" s="49" t="n"/>
      <c r="K203" s="49" t="n"/>
    </row>
    <row r="204">
      <c r="B204" s="49" t="n"/>
      <c r="C204" s="49" t="n"/>
      <c r="D204" s="49" t="n"/>
      <c r="E204" s="49" t="n"/>
      <c r="F204" s="49" t="n"/>
      <c r="G204" s="49" t="n"/>
      <c r="H204" s="49" t="n"/>
      <c r="I204" s="49" t="n"/>
      <c r="K204" s="49" t="n"/>
    </row>
    <row r="205">
      <c r="B205" s="49" t="n"/>
      <c r="C205" s="49" t="n"/>
      <c r="D205" s="49" t="n"/>
      <c r="E205" s="49" t="n"/>
      <c r="F205" s="49" t="n"/>
      <c r="G205" s="49" t="n"/>
      <c r="H205" s="49" t="n"/>
      <c r="I205" s="49" t="n"/>
      <c r="K205" s="49" t="n"/>
    </row>
    <row r="206">
      <c r="B206" s="49" t="n"/>
      <c r="C206" s="49" t="n"/>
      <c r="D206" s="49" t="n"/>
      <c r="E206" s="49" t="n"/>
      <c r="F206" s="49" t="n"/>
      <c r="G206" s="49" t="n"/>
      <c r="H206" s="49" t="n"/>
      <c r="I206" s="49" t="n"/>
      <c r="K206" s="49" t="n"/>
    </row>
    <row r="207">
      <c r="B207" s="49" t="n"/>
      <c r="C207" s="49" t="n"/>
      <c r="D207" s="49" t="n"/>
      <c r="E207" s="49" t="n"/>
      <c r="F207" s="49" t="n"/>
      <c r="G207" s="49" t="n"/>
      <c r="H207" s="49" t="n"/>
      <c r="I207" s="49" t="n"/>
      <c r="K207" s="49" t="n"/>
    </row>
    <row r="208">
      <c r="B208" s="49" t="n"/>
      <c r="C208" s="49" t="n"/>
      <c r="D208" s="49" t="n"/>
      <c r="E208" s="49" t="n"/>
      <c r="F208" s="49" t="n"/>
      <c r="G208" s="49" t="n"/>
      <c r="H208" s="49" t="n"/>
      <c r="I208" s="49" t="n"/>
      <c r="K208" s="49" t="n"/>
    </row>
    <row r="209">
      <c r="B209" s="49" t="n"/>
      <c r="C209" s="49" t="n"/>
      <c r="D209" s="49" t="n"/>
      <c r="E209" s="49" t="n"/>
      <c r="F209" s="49" t="n"/>
      <c r="G209" s="49" t="n"/>
      <c r="H209" s="49" t="n"/>
      <c r="I209" s="49" t="n"/>
      <c r="K209" s="49" t="n"/>
    </row>
    <row r="210">
      <c r="B210" s="49" t="n"/>
      <c r="C210" s="49" t="n"/>
      <c r="D210" s="49" t="n"/>
      <c r="E210" s="49" t="n"/>
      <c r="F210" s="49" t="n"/>
      <c r="G210" s="49" t="n"/>
      <c r="H210" s="49" t="n"/>
      <c r="I210" s="49" t="n"/>
      <c r="K210" s="49" t="n"/>
    </row>
    <row r="211">
      <c r="B211" s="49" t="n"/>
      <c r="C211" s="49" t="n"/>
      <c r="D211" s="49" t="n"/>
      <c r="E211" s="49" t="n"/>
      <c r="F211" s="49" t="n"/>
      <c r="G211" s="49" t="n"/>
      <c r="H211" s="49" t="n"/>
      <c r="I211" s="49" t="n"/>
      <c r="K211" s="49" t="n"/>
    </row>
    <row r="212">
      <c r="B212" s="49" t="n"/>
      <c r="C212" s="49" t="n"/>
      <c r="D212" s="49" t="n"/>
      <c r="E212" s="49" t="n"/>
      <c r="F212" s="49" t="n"/>
      <c r="G212" s="49" t="n"/>
      <c r="H212" s="49" t="n"/>
      <c r="I212" s="49" t="n"/>
      <c r="K212" s="49" t="n"/>
    </row>
    <row r="213">
      <c r="B213" s="49" t="n"/>
      <c r="C213" s="49" t="n"/>
      <c r="D213" s="49" t="n"/>
      <c r="E213" s="49" t="n"/>
      <c r="F213" s="49" t="n"/>
      <c r="G213" s="49" t="n"/>
      <c r="H213" s="49" t="n"/>
      <c r="I213" s="49" t="n"/>
      <c r="K213" s="49" t="n"/>
    </row>
    <row r="214">
      <c r="B214" s="49" t="n"/>
      <c r="C214" s="49" t="n"/>
      <c r="D214" s="49" t="n"/>
      <c r="E214" s="49" t="n"/>
      <c r="F214" s="49" t="n"/>
      <c r="G214" s="49" t="n"/>
      <c r="H214" s="49" t="n"/>
      <c r="I214" s="49" t="n"/>
      <c r="K214" s="49" t="n"/>
    </row>
    <row r="215">
      <c r="B215" s="49" t="n"/>
      <c r="C215" s="49" t="n"/>
      <c r="D215" s="49" t="n"/>
      <c r="E215" s="49" t="n"/>
      <c r="F215" s="49" t="n"/>
      <c r="G215" s="49" t="n"/>
      <c r="H215" s="49" t="n"/>
      <c r="I215" s="49" t="n"/>
      <c r="K215" s="49" t="n"/>
    </row>
    <row r="216">
      <c r="B216" s="49" t="n"/>
      <c r="C216" s="49" t="n"/>
      <c r="D216" s="49" t="n"/>
      <c r="E216" s="49" t="n"/>
      <c r="F216" s="49" t="n"/>
      <c r="G216" s="49" t="n"/>
      <c r="H216" s="49" t="n"/>
      <c r="I216" s="49" t="n"/>
      <c r="K216" s="49" t="n"/>
    </row>
    <row r="217">
      <c r="B217" s="49" t="n"/>
      <c r="C217" s="49" t="n"/>
      <c r="D217" s="49" t="n"/>
      <c r="E217" s="49" t="n"/>
      <c r="F217" s="49" t="n"/>
      <c r="G217" s="49" t="n"/>
      <c r="H217" s="49" t="n"/>
      <c r="I217" s="49" t="n"/>
      <c r="K217" s="49" t="n"/>
    </row>
    <row r="218">
      <c r="B218" s="49" t="n"/>
      <c r="C218" s="49" t="n"/>
      <c r="D218" s="49" t="n"/>
      <c r="E218" s="49" t="n"/>
      <c r="F218" s="49" t="n"/>
      <c r="G218" s="49" t="n"/>
      <c r="H218" s="49" t="n"/>
      <c r="I218" s="49" t="n"/>
      <c r="K218" s="49" t="n"/>
    </row>
    <row r="219">
      <c r="B219" s="49" t="n"/>
      <c r="C219" s="49" t="n"/>
      <c r="D219" s="49" t="n"/>
      <c r="E219" s="49" t="n"/>
      <c r="F219" s="49" t="n"/>
      <c r="G219" s="49" t="n"/>
      <c r="H219" s="49" t="n"/>
      <c r="I219" s="49" t="n"/>
      <c r="K219" s="49" t="n"/>
    </row>
    <row r="220">
      <c r="B220" s="49" t="n"/>
      <c r="C220" s="49" t="n"/>
      <c r="D220" s="49" t="n"/>
      <c r="E220" s="49" t="n"/>
      <c r="F220" s="49" t="n"/>
      <c r="G220" s="49" t="n"/>
      <c r="H220" s="49" t="n"/>
      <c r="I220" s="49" t="n"/>
      <c r="K220" s="49" t="n"/>
    </row>
  </sheetData>
  <mergeCells count="9">
    <mergeCell ref="B8:K8"/>
    <mergeCell ref="B4:K4"/>
    <mergeCell ref="B9:K9"/>
    <mergeCell ref="B7:K7"/>
    <mergeCell ref="B6:K6"/>
    <mergeCell ref="B10:K10"/>
    <mergeCell ref="B3:K3"/>
    <mergeCell ref="B5:K5"/>
    <mergeCell ref="B12:C12"/>
  </mergeCells>
  <conditionalFormatting sqref="E11">
    <cfRule type="cellIs" priority="1" operator="greaterThan" dxfId="5">
      <formula>0</formula>
    </cfRule>
  </conditionalFormatting>
  <conditionalFormatting sqref="B20:B220">
    <cfRule type="expression" priority="2" dxfId="6">
      <formula>AND(LEN($B20&amp;$C20&amp;$D20&amp;$E20&amp;$F20&amp;$G20&amp;$H20&amp;$I20&amp;$J20&amp;$K20)&gt;0,B20="")</formula>
    </cfRule>
  </conditionalFormatting>
  <conditionalFormatting sqref="C20:C220">
    <cfRule type="expression" priority="3" dxfId="6">
      <formula>AND(LEN($B20&amp;$C20&amp;$D20&amp;$E20&amp;$F20&amp;$G20&amp;$H20&amp;$I20&amp;$J20&amp;$K20)&gt;0,C20="")</formula>
    </cfRule>
  </conditionalFormatting>
  <conditionalFormatting sqref="K20:K220">
    <cfRule type="expression" priority="4" dxfId="6">
      <formula>AND(LEN($B20&amp;$C20&amp;$D20&amp;$E20&amp;$F20&amp;$G20&amp;$H20&amp;$I20&amp;$J20&amp;$K20)&gt;0,K20="")</formula>
    </cfRule>
  </conditionalFormatting>
  <dataValidations count="11">
    <dataValidation sqref="E12" showDropDown="0" showInputMessage="1" showErrorMessage="1" allowBlank="1" errorTitle="Date" error="Enter a date (dd-mmm-yyyy)." promptTitle="Date" prompt="Date the owner confirmed the content" type="date" operator="greaterThan">
      <formula1>DATE(2026,1,1)</formula1>
    </dataValidation>
    <dataValidation sqref="B20:B220" showDropDown="0" showInputMessage="1" showErrorMessage="1" allowBlank="1" errorTitle="insurer_code" error="At most 30 characters." promptTitle="insurer_code" prompt="Yes. Legacy insurer code Allowed: Free entry, up to 30 characters" type="textLength" operator="lessThanOrEqual">
      <formula1>30</formula1>
    </dataValidation>
    <dataValidation sqref="C20:C220" showDropDown="0" showInputMessage="1" showErrorMessage="1" allowBlank="1" errorTitle="insurer_name" error="At most 200 characters." promptTitle="insurer_name" prompt="Yes. Registered name Allowed: Free entry, up to 200 characters" type="textLength" operator="lessThanOrEqual">
      <formula1>200</formula1>
    </dataValidation>
    <dataValidation sqref="D20:D220" showDropDown="0" showInputMessage="1" showErrorMessage="1" allowBlank="1" errorTitle="short_name" error="At most 40 characters." promptTitle="short_name" prompt="No. Short name Allowed: Free entry, up to 40 characters" type="textLength" operator="lessThanOrEqual">
      <formula1>40</formula1>
    </dataValidation>
    <dataValidation sqref="E20:E220"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F20:F220" showDropDown="0" showInputMessage="1" showErrorMessage="1" allowBlank="1" errorTitle="address" error="At most 300 characters." promptTitle="address" prompt="No. Registered address Allowed: Free entry, up to 300 characters" type="textLength" operator="lessThanOrEqual">
      <formula1>300</formula1>
    </dataValidation>
    <dataValidation sqref="G20:G220" showDropDown="0" showInputMessage="1" showErrorMessage="1" allowBlank="1" errorTitle="accreditation_no" error="At most 40 characters." promptTitle="accreditation_no" prompt="No. Insurance Commission accreditation number Allowed: Free entry, up to 40 characters" type="textLength" operator="lessThanOrEqual">
      <formula1>40</formula1>
    </dataValidation>
    <dataValidation sqref="H20:H220" showDropDown="0" showInputMessage="1" showErrorMessage="0" allowBlank="1" promptTitle="accredited_until" prompt="No. End of accreditation"/>
    <dataValidation sqref="I20:I220" showDropDown="0" showInputMessage="1" showErrorMessage="1" allowBlank="1" errorTitle="placement_email" error="At most 500 characters." promptTitle="placement_email" prompt="No. E-mail address(es) for placement, separated by semicolons Allowed: Free entry, up to 500 characters" type="textLength" operator="lessThanOrEqual">
      <formula1>500</formula1>
    </dataValidation>
    <dataValidation sqref="J20:J220" showDropDown="0" showInputMessage="1" showErrorMessage="1" allowBlank="1" errorTitle="default_credit_days" error="Enter a whole number." promptTitle="default_credit_days" prompt="No. Credit term in days Allowed: A whole number" type="whole" operator="greaterThanOrEqual">
      <formula1>-1E+15</formula1>
    </dataValidation>
    <dataValidation sqref="K20:K220" showDropDown="0" showInputMessage="1" showErrorMessage="1" allowBlank="1" errorTitle="status" error="At most 20 characters." promptTitle="status" prompt="Yes. Insurer status in legacy Allowed: The legacy code; mapped by the code map STATUS:INSURER (Code Maps screen of the Data Migration Console; maps prepared in the Migration Workbook of BRD-13)" type="textLength" operator="lessThanOrEqual">
      <formula1>20</formula1>
    </dataValidation>
  </dataValidations>
  <hyperlinks>
    <hyperlink ref="A2" location="'Start here'!A1"/>
    <hyperlink ref="K2" location="'Questions and comment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7" customWidth="1" min="3" max="3"/>
    <col width="28" customWidth="1" min="4" max="4"/>
    <col width="20" customWidth="1" min="5" max="5"/>
    <col width="16" customWidth="1" min="6" max="6"/>
    <col width="17" customWidth="1" min="7" max="7"/>
    <col width="24" customWidth="1" min="8" max="8"/>
    <col width="26" customWidth="1" min="9" max="9"/>
  </cols>
  <sheetData>
    <row r="1" ht="26" customHeight="1">
      <c r="A1" s="25" t="inlineStr">
        <is>
          <t>UA-02 Role-to-permission matrix</t>
        </is>
      </c>
      <c r="I1" s="26" t="inlineStr">
        <is>
          <t>Step 8 of 52</t>
        </is>
      </c>
    </row>
    <row r="2">
      <c r="A2" s="27" t="inlineStr">
        <is>
          <t>← Back to Start here</t>
        </is>
      </c>
      <c r="B2" s="28" t="inlineStr">
        <is>
          <t>Step 8 of 52. Fill in one row per record below the column headers; the guide above each column says what to enter.</t>
        </is>
      </c>
      <c r="I2" s="29" t="inlineStr">
        <is>
          <t>Ask a question →</t>
        </is>
      </c>
    </row>
    <row r="3" outlineLevel="1" ht="15.5" customHeight="1">
      <c r="A3" s="30" t="inlineStr">
        <is>
          <t>Purpose</t>
        </is>
      </c>
      <c r="B3" s="31" t="inlineStr">
        <is>
          <t>The group profiles BDOI keeps, their privilege level and the permissions of each, starting from the User Access Matrix as delivered</t>
        </is>
      </c>
    </row>
    <row r="4" outlineLevel="1" ht="15.5" customHeight="1">
      <c r="A4" s="30" t="inlineStr">
        <is>
          <t>Provided by</t>
        </is>
      </c>
      <c r="B4" s="31" t="inlineStr">
        <is>
          <t>Business Administration with the unit heads; reviewed and signed by BDOI Information Security</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Upload on the configuration screen Setup &amp; Administration › Administration › Roles &amp; Permissions, approved by a second user</t>
        </is>
      </c>
    </row>
    <row r="7" outlineLevel="1" ht="15.5" customHeight="1">
      <c r="A7" s="30" t="inlineStr">
        <is>
          <t>Source</t>
        </is>
      </c>
      <c r="B7" s="31" t="inlineStr">
        <is>
          <t>Upload template of the configuration screen (the same columns, headers, mandatory flags and allowed values)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SUMPRODUCT(((ROW($B$17:$B$517)&gt;17)+($B$17&lt;&gt;"MKT_AO")&gt;0)*(LEN($B$17:$B$517&amp;$C$17:$C$517&amp;$D$17:$D$517&amp;$E$17:$E$517&amp;$F$17:$F$517&amp;$G$17:$G$517&amp;$H$17:$H$517&amp;$I$17:$I$517)&gt;0))</f>
        <v/>
      </c>
      <c r="D9" s="35" t="inlineStr">
        <is>
          <t>Mandatory cells missing</t>
        </is>
      </c>
      <c r="E9" s="36">
        <f>SUMPRODUCT(((ROW($B$17:$B$517)&gt;17)+($B$17&lt;&gt;"MKT_AO")&gt;0)*(LEN($B$17:$B$517&amp;$C$17:$C$517&amp;$D$17:$D$517&amp;$E$17:$E$517&amp;$F$17:$F$517&amp;$G$17:$G$517&amp;$H$17:$H$517&amp;$I$17:$I$517)&gt;0)*(($B$17:$B$517="")+($C$17:$C$517="")+($E$17:$E$517="")+($F$17:$F$517="")+($H$17:$H$517="")+($I$17:$I$517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17" customHeight="1">
      <c r="A12" s="41" t="inlineStr">
        <is>
          <t>Mandatory</t>
        </is>
      </c>
      <c r="B12" s="42" t="inlineStr">
        <is>
          <t>Yes</t>
        </is>
      </c>
      <c r="C12" s="42" t="inlineStr">
        <is>
          <t>Yes</t>
        </is>
      </c>
      <c r="D12" s="43" t="inlineStr">
        <is>
          <t>No</t>
        </is>
      </c>
      <c r="E12" s="42" t="inlineStr">
        <is>
          <t>Yes</t>
        </is>
      </c>
      <c r="F12" s="42" t="inlineStr">
        <is>
          <t>Yes</t>
        </is>
      </c>
      <c r="G12" s="43" t="inlineStr">
        <is>
          <t>No</t>
        </is>
      </c>
      <c r="H12" s="42" t="inlineStr">
        <is>
          <t>Yes</t>
        </is>
      </c>
      <c r="I12" s="42" t="inlineStr">
        <is>
          <t>Yes</t>
        </is>
      </c>
    </row>
    <row r="13" ht="30" customHeight="1">
      <c r="A13" s="41" t="inlineStr">
        <is>
          <t>Format</t>
        </is>
      </c>
      <c r="B13" s="43" t="inlineStr">
        <is>
          <t>Up to 40 capital letters, digits or _</t>
        </is>
      </c>
      <c r="C13" s="43" t="inlineStr">
        <is>
          <t>Text</t>
        </is>
      </c>
      <c r="D13" s="43" t="inlineStr">
        <is>
          <t>Text</t>
        </is>
      </c>
      <c r="E13" s="43" t="inlineStr">
        <is>
          <t>Code from the drop-down</t>
        </is>
      </c>
      <c r="F13" s="43" t="inlineStr">
        <is>
          <t>Text</t>
        </is>
      </c>
      <c r="G13" s="43" t="inlineStr">
        <is>
          <t>Text</t>
        </is>
      </c>
      <c r="H13" s="43" t="inlineStr">
        <is>
          <t>Code from the drop-down</t>
        </is>
      </c>
      <c r="I13" s="43" t="inlineStr">
        <is>
          <t>Text</t>
        </is>
      </c>
    </row>
    <row r="14" ht="43" customHeight="1">
      <c r="A14" s="41" t="inlineStr">
        <is>
          <t>Allowed values</t>
        </is>
      </c>
      <c r="B14" s="43" t="inlineStr">
        <is>
          <t>Free entry</t>
        </is>
      </c>
      <c r="C14" s="43" t="inlineStr">
        <is>
          <t>Free entry</t>
        </is>
      </c>
      <c r="D14" s="43" t="inlineStr">
        <is>
          <t>Free entry</t>
        </is>
      </c>
      <c r="E14" s="51" t="inlineStr">
        <is>
          <t>Low, Standard, High, Admin (list Privilege level (UA-02))</t>
        </is>
      </c>
      <c r="F14" s="43" t="inlineStr">
        <is>
          <t>Permission code of the User Access Matrix</t>
        </is>
      </c>
      <c r="G14" s="43" t="inlineStr">
        <is>
          <t>Free entry</t>
        </is>
      </c>
      <c r="H14" s="51" t="inlineStr">
        <is>
          <t>KEEP, ADD, REMOVE (list Keep / Add / Remove (UA-02))</t>
        </is>
      </c>
      <c r="I14" s="43" t="inlineStr">
        <is>
          <t>Free entry</t>
        </is>
      </c>
    </row>
    <row r="15" ht="43" customHeight="1">
      <c r="A15" s="41" t="inlineStr">
        <is>
          <t>What to enter</t>
        </is>
      </c>
      <c r="B15" s="43" t="inlineStr">
        <is>
          <t>Code of the profile; an existing code changes the profile</t>
        </is>
      </c>
      <c r="C15" s="43" t="inlineStr">
        <is>
          <t>Name shown on screens</t>
        </is>
      </c>
      <c r="D15" s="43" t="inlineStr">
        <is>
          <t>What the profile is for</t>
        </is>
      </c>
      <c r="E15" s="43" t="inlineStr">
        <is>
          <t>Low, Standard, High or Admin</t>
        </is>
      </c>
      <c r="F15" s="43" t="inlineStr">
        <is>
          <t>One row per permission of the profile</t>
        </is>
      </c>
      <c r="G15" s="43" t="inlineStr">
        <is>
          <t>As shown by the matrix, for the review</t>
        </is>
      </c>
      <c r="H15" s="43" t="inlineStr">
        <is>
          <t>Change against the matrix as delivered</t>
        </is>
      </c>
      <c r="I15" s="43" t="inlineStr">
        <is>
          <t>Unit head who confirms the row</t>
        </is>
      </c>
    </row>
    <row r="16" ht="30" customHeight="1">
      <c r="A16" s="44" t="inlineStr">
        <is>
          <t>Row</t>
        </is>
      </c>
      <c r="B16" s="45" t="inlineStr">
        <is>
          <t>Group profile code *</t>
        </is>
      </c>
      <c r="C16" s="45" t="inlineStr">
        <is>
          <t>Name *</t>
        </is>
      </c>
      <c r="D16" s="45" t="inlineStr">
        <is>
          <t>Description</t>
        </is>
      </c>
      <c r="E16" s="45" t="inlineStr">
        <is>
          <t>Privilege level *</t>
        </is>
      </c>
      <c r="F16" s="45" t="inlineStr">
        <is>
          <t>Permission *</t>
        </is>
      </c>
      <c r="G16" s="45" t="inlineStr">
        <is>
          <t>Action class</t>
        </is>
      </c>
      <c r="H16" s="45" t="inlineStr">
        <is>
          <t>Keep / Add / Remove *</t>
        </is>
      </c>
      <c r="I16" s="45" t="inlineStr">
        <is>
          <t>Approved by unit head *</t>
        </is>
      </c>
    </row>
    <row r="17" ht="18" customHeight="1">
      <c r="A17" s="46" t="inlineStr">
        <is>
          <t>Example – overwrite or delete</t>
        </is>
      </c>
      <c r="B17" s="47" t="inlineStr">
        <is>
          <t>MKT_AO</t>
        </is>
      </c>
      <c r="C17" s="47" t="inlineStr">
        <is>
          <t>Marketing Account Officer</t>
        </is>
      </c>
      <c r="D17" s="47" t="inlineStr">
        <is>
          <t>Marketing account officers</t>
        </is>
      </c>
      <c r="E17" s="47" t="inlineStr">
        <is>
          <t>Standard</t>
        </is>
      </c>
      <c r="F17" s="47" t="inlineStr">
        <is>
          <t>QUOTE_MAINTAIN</t>
        </is>
      </c>
      <c r="G17" s="47" t="inlineStr">
        <is>
          <t>Create, Amend</t>
        </is>
      </c>
      <c r="H17" s="47" t="inlineStr">
        <is>
          <t>KEEP</t>
        </is>
      </c>
      <c r="I17" s="47" t="inlineStr">
        <is>
          <t>Carla Reyes</t>
        </is>
      </c>
    </row>
    <row r="18">
      <c r="B18" s="49" t="n"/>
      <c r="C18" s="49" t="n"/>
      <c r="D18" s="49" t="n"/>
      <c r="E18" s="49" t="n"/>
      <c r="F18" s="49" t="n"/>
      <c r="G18" s="49" t="n"/>
      <c r="H18" s="49" t="n"/>
      <c r="I18" s="49" t="n"/>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row r="219">
      <c r="B219" s="49" t="n"/>
      <c r="C219" s="49" t="n"/>
      <c r="D219" s="49" t="n"/>
      <c r="E219" s="49" t="n"/>
      <c r="F219" s="49" t="n"/>
      <c r="G219" s="49" t="n"/>
      <c r="H219" s="49" t="n"/>
      <c r="I219" s="49" t="n"/>
    </row>
    <row r="220">
      <c r="B220" s="49" t="n"/>
      <c r="C220" s="49" t="n"/>
      <c r="D220" s="49" t="n"/>
      <c r="E220" s="49" t="n"/>
      <c r="F220" s="49" t="n"/>
      <c r="G220" s="49" t="n"/>
      <c r="H220" s="49" t="n"/>
      <c r="I220" s="49" t="n"/>
    </row>
    <row r="221">
      <c r="B221" s="49" t="n"/>
      <c r="C221" s="49" t="n"/>
      <c r="D221" s="49" t="n"/>
      <c r="E221" s="49" t="n"/>
      <c r="F221" s="49" t="n"/>
      <c r="G221" s="49" t="n"/>
      <c r="H221" s="49" t="n"/>
      <c r="I221" s="49" t="n"/>
    </row>
    <row r="222">
      <c r="B222" s="49" t="n"/>
      <c r="C222" s="49" t="n"/>
      <c r="D222" s="49" t="n"/>
      <c r="E222" s="49" t="n"/>
      <c r="F222" s="49" t="n"/>
      <c r="G222" s="49" t="n"/>
      <c r="H222" s="49" t="n"/>
      <c r="I222" s="49" t="n"/>
    </row>
    <row r="223">
      <c r="B223" s="49" t="n"/>
      <c r="C223" s="49" t="n"/>
      <c r="D223" s="49" t="n"/>
      <c r="E223" s="49" t="n"/>
      <c r="F223" s="49" t="n"/>
      <c r="G223" s="49" t="n"/>
      <c r="H223" s="49" t="n"/>
      <c r="I223" s="49" t="n"/>
    </row>
    <row r="224">
      <c r="B224" s="49" t="n"/>
      <c r="C224" s="49" t="n"/>
      <c r="D224" s="49" t="n"/>
      <c r="E224" s="49" t="n"/>
      <c r="F224" s="49" t="n"/>
      <c r="G224" s="49" t="n"/>
      <c r="H224" s="49" t="n"/>
      <c r="I224" s="49" t="n"/>
    </row>
    <row r="225">
      <c r="B225" s="49" t="n"/>
      <c r="C225" s="49" t="n"/>
      <c r="D225" s="49" t="n"/>
      <c r="E225" s="49" t="n"/>
      <c r="F225" s="49" t="n"/>
      <c r="G225" s="49" t="n"/>
      <c r="H225" s="49" t="n"/>
      <c r="I225" s="49" t="n"/>
    </row>
    <row r="226">
      <c r="B226" s="49" t="n"/>
      <c r="C226" s="49" t="n"/>
      <c r="D226" s="49" t="n"/>
      <c r="E226" s="49" t="n"/>
      <c r="F226" s="49" t="n"/>
      <c r="G226" s="49" t="n"/>
      <c r="H226" s="49" t="n"/>
      <c r="I226" s="49" t="n"/>
    </row>
    <row r="227">
      <c r="B227" s="49" t="n"/>
      <c r="C227" s="49" t="n"/>
      <c r="D227" s="49" t="n"/>
      <c r="E227" s="49" t="n"/>
      <c r="F227" s="49" t="n"/>
      <c r="G227" s="49" t="n"/>
      <c r="H227" s="49" t="n"/>
      <c r="I227" s="49" t="n"/>
    </row>
    <row r="228">
      <c r="B228" s="49" t="n"/>
      <c r="C228" s="49" t="n"/>
      <c r="D228" s="49" t="n"/>
      <c r="E228" s="49" t="n"/>
      <c r="F228" s="49" t="n"/>
      <c r="G228" s="49" t="n"/>
      <c r="H228" s="49" t="n"/>
      <c r="I228" s="49" t="n"/>
    </row>
    <row r="229">
      <c r="B229" s="49" t="n"/>
      <c r="C229" s="49" t="n"/>
      <c r="D229" s="49" t="n"/>
      <c r="E229" s="49" t="n"/>
      <c r="F229" s="49" t="n"/>
      <c r="G229" s="49" t="n"/>
      <c r="H229" s="49" t="n"/>
      <c r="I229" s="49" t="n"/>
    </row>
    <row r="230">
      <c r="B230" s="49" t="n"/>
      <c r="C230" s="49" t="n"/>
      <c r="D230" s="49" t="n"/>
      <c r="E230" s="49" t="n"/>
      <c r="F230" s="49" t="n"/>
      <c r="G230" s="49" t="n"/>
      <c r="H230" s="49" t="n"/>
      <c r="I230" s="49" t="n"/>
    </row>
    <row r="231">
      <c r="B231" s="49" t="n"/>
      <c r="C231" s="49" t="n"/>
      <c r="D231" s="49" t="n"/>
      <c r="E231" s="49" t="n"/>
      <c r="F231" s="49" t="n"/>
      <c r="G231" s="49" t="n"/>
      <c r="H231" s="49" t="n"/>
      <c r="I231" s="49" t="n"/>
    </row>
    <row r="232">
      <c r="B232" s="49" t="n"/>
      <c r="C232" s="49" t="n"/>
      <c r="D232" s="49" t="n"/>
      <c r="E232" s="49" t="n"/>
      <c r="F232" s="49" t="n"/>
      <c r="G232" s="49" t="n"/>
      <c r="H232" s="49" t="n"/>
      <c r="I232" s="49" t="n"/>
    </row>
    <row r="233">
      <c r="B233" s="49" t="n"/>
      <c r="C233" s="49" t="n"/>
      <c r="D233" s="49" t="n"/>
      <c r="E233" s="49" t="n"/>
      <c r="F233" s="49" t="n"/>
      <c r="G233" s="49" t="n"/>
      <c r="H233" s="49" t="n"/>
      <c r="I233" s="49" t="n"/>
    </row>
    <row r="234">
      <c r="B234" s="49" t="n"/>
      <c r="C234" s="49" t="n"/>
      <c r="D234" s="49" t="n"/>
      <c r="E234" s="49" t="n"/>
      <c r="F234" s="49" t="n"/>
      <c r="G234" s="49" t="n"/>
      <c r="H234" s="49" t="n"/>
      <c r="I234" s="49" t="n"/>
    </row>
    <row r="235">
      <c r="B235" s="49" t="n"/>
      <c r="C235" s="49" t="n"/>
      <c r="D235" s="49" t="n"/>
      <c r="E235" s="49" t="n"/>
      <c r="F235" s="49" t="n"/>
      <c r="G235" s="49" t="n"/>
      <c r="H235" s="49" t="n"/>
      <c r="I235" s="49" t="n"/>
    </row>
    <row r="236">
      <c r="B236" s="49" t="n"/>
      <c r="C236" s="49" t="n"/>
      <c r="D236" s="49" t="n"/>
      <c r="E236" s="49" t="n"/>
      <c r="F236" s="49" t="n"/>
      <c r="G236" s="49" t="n"/>
      <c r="H236" s="49" t="n"/>
      <c r="I236" s="49" t="n"/>
    </row>
    <row r="237">
      <c r="B237" s="49" t="n"/>
      <c r="C237" s="49" t="n"/>
      <c r="D237" s="49" t="n"/>
      <c r="E237" s="49" t="n"/>
      <c r="F237" s="49" t="n"/>
      <c r="G237" s="49" t="n"/>
      <c r="H237" s="49" t="n"/>
      <c r="I237" s="49" t="n"/>
    </row>
    <row r="238">
      <c r="B238" s="49" t="n"/>
      <c r="C238" s="49" t="n"/>
      <c r="D238" s="49" t="n"/>
      <c r="E238" s="49" t="n"/>
      <c r="F238" s="49" t="n"/>
      <c r="G238" s="49" t="n"/>
      <c r="H238" s="49" t="n"/>
      <c r="I238" s="49" t="n"/>
    </row>
    <row r="239">
      <c r="B239" s="49" t="n"/>
      <c r="C239" s="49" t="n"/>
      <c r="D239" s="49" t="n"/>
      <c r="E239" s="49" t="n"/>
      <c r="F239" s="49" t="n"/>
      <c r="G239" s="49" t="n"/>
      <c r="H239" s="49" t="n"/>
      <c r="I239" s="49" t="n"/>
    </row>
    <row r="240">
      <c r="B240" s="49" t="n"/>
      <c r="C240" s="49" t="n"/>
      <c r="D240" s="49" t="n"/>
      <c r="E240" s="49" t="n"/>
      <c r="F240" s="49" t="n"/>
      <c r="G240" s="49" t="n"/>
      <c r="H240" s="49" t="n"/>
      <c r="I240" s="49" t="n"/>
    </row>
    <row r="241">
      <c r="B241" s="49" t="n"/>
      <c r="C241" s="49" t="n"/>
      <c r="D241" s="49" t="n"/>
      <c r="E241" s="49" t="n"/>
      <c r="F241" s="49" t="n"/>
      <c r="G241" s="49" t="n"/>
      <c r="H241" s="49" t="n"/>
      <c r="I241" s="49" t="n"/>
    </row>
    <row r="242">
      <c r="B242" s="49" t="n"/>
      <c r="C242" s="49" t="n"/>
      <c r="D242" s="49" t="n"/>
      <c r="E242" s="49" t="n"/>
      <c r="F242" s="49" t="n"/>
      <c r="G242" s="49" t="n"/>
      <c r="H242" s="49" t="n"/>
      <c r="I242" s="49" t="n"/>
    </row>
    <row r="243">
      <c r="B243" s="49" t="n"/>
      <c r="C243" s="49" t="n"/>
      <c r="D243" s="49" t="n"/>
      <c r="E243" s="49" t="n"/>
      <c r="F243" s="49" t="n"/>
      <c r="G243" s="49" t="n"/>
      <c r="H243" s="49" t="n"/>
      <c r="I243" s="49" t="n"/>
    </row>
    <row r="244">
      <c r="B244" s="49" t="n"/>
      <c r="C244" s="49" t="n"/>
      <c r="D244" s="49" t="n"/>
      <c r="E244" s="49" t="n"/>
      <c r="F244" s="49" t="n"/>
      <c r="G244" s="49" t="n"/>
      <c r="H244" s="49" t="n"/>
      <c r="I244" s="49" t="n"/>
    </row>
    <row r="245">
      <c r="B245" s="49" t="n"/>
      <c r="C245" s="49" t="n"/>
      <c r="D245" s="49" t="n"/>
      <c r="E245" s="49" t="n"/>
      <c r="F245" s="49" t="n"/>
      <c r="G245" s="49" t="n"/>
      <c r="H245" s="49" t="n"/>
      <c r="I245" s="49" t="n"/>
    </row>
    <row r="246">
      <c r="B246" s="49" t="n"/>
      <c r="C246" s="49" t="n"/>
      <c r="D246" s="49" t="n"/>
      <c r="E246" s="49" t="n"/>
      <c r="F246" s="49" t="n"/>
      <c r="G246" s="49" t="n"/>
      <c r="H246" s="49" t="n"/>
      <c r="I246" s="49" t="n"/>
    </row>
    <row r="247">
      <c r="B247" s="49" t="n"/>
      <c r="C247" s="49" t="n"/>
      <c r="D247" s="49" t="n"/>
      <c r="E247" s="49" t="n"/>
      <c r="F247" s="49" t="n"/>
      <c r="G247" s="49" t="n"/>
      <c r="H247" s="49" t="n"/>
      <c r="I247" s="49" t="n"/>
    </row>
    <row r="248">
      <c r="B248" s="49" t="n"/>
      <c r="C248" s="49" t="n"/>
      <c r="D248" s="49" t="n"/>
      <c r="E248" s="49" t="n"/>
      <c r="F248" s="49" t="n"/>
      <c r="G248" s="49" t="n"/>
      <c r="H248" s="49" t="n"/>
      <c r="I248" s="49" t="n"/>
    </row>
    <row r="249">
      <c r="B249" s="49" t="n"/>
      <c r="C249" s="49" t="n"/>
      <c r="D249" s="49" t="n"/>
      <c r="E249" s="49" t="n"/>
      <c r="F249" s="49" t="n"/>
      <c r="G249" s="49" t="n"/>
      <c r="H249" s="49" t="n"/>
      <c r="I249" s="49" t="n"/>
    </row>
    <row r="250">
      <c r="B250" s="49" t="n"/>
      <c r="C250" s="49" t="n"/>
      <c r="D250" s="49" t="n"/>
      <c r="E250" s="49" t="n"/>
      <c r="F250" s="49" t="n"/>
      <c r="G250" s="49" t="n"/>
      <c r="H250" s="49" t="n"/>
      <c r="I250" s="49" t="n"/>
    </row>
    <row r="251">
      <c r="B251" s="49" t="n"/>
      <c r="C251" s="49" t="n"/>
      <c r="D251" s="49" t="n"/>
      <c r="E251" s="49" t="n"/>
      <c r="F251" s="49" t="n"/>
      <c r="G251" s="49" t="n"/>
      <c r="H251" s="49" t="n"/>
      <c r="I251" s="49" t="n"/>
    </row>
    <row r="252">
      <c r="B252" s="49" t="n"/>
      <c r="C252" s="49" t="n"/>
      <c r="D252" s="49" t="n"/>
      <c r="E252" s="49" t="n"/>
      <c r="F252" s="49" t="n"/>
      <c r="G252" s="49" t="n"/>
      <c r="H252" s="49" t="n"/>
      <c r="I252" s="49" t="n"/>
    </row>
    <row r="253">
      <c r="B253" s="49" t="n"/>
      <c r="C253" s="49" t="n"/>
      <c r="D253" s="49" t="n"/>
      <c r="E253" s="49" t="n"/>
      <c r="F253" s="49" t="n"/>
      <c r="G253" s="49" t="n"/>
      <c r="H253" s="49" t="n"/>
      <c r="I253" s="49" t="n"/>
    </row>
    <row r="254">
      <c r="B254" s="49" t="n"/>
      <c r="C254" s="49" t="n"/>
      <c r="D254" s="49" t="n"/>
      <c r="E254" s="49" t="n"/>
      <c r="F254" s="49" t="n"/>
      <c r="G254" s="49" t="n"/>
      <c r="H254" s="49" t="n"/>
      <c r="I254" s="49" t="n"/>
    </row>
    <row r="255">
      <c r="B255" s="49" t="n"/>
      <c r="C255" s="49" t="n"/>
      <c r="D255" s="49" t="n"/>
      <c r="E255" s="49" t="n"/>
      <c r="F255" s="49" t="n"/>
      <c r="G255" s="49" t="n"/>
      <c r="H255" s="49" t="n"/>
      <c r="I255" s="49" t="n"/>
    </row>
    <row r="256">
      <c r="B256" s="49" t="n"/>
      <c r="C256" s="49" t="n"/>
      <c r="D256" s="49" t="n"/>
      <c r="E256" s="49" t="n"/>
      <c r="F256" s="49" t="n"/>
      <c r="G256" s="49" t="n"/>
      <c r="H256" s="49" t="n"/>
      <c r="I256" s="49" t="n"/>
    </row>
    <row r="257">
      <c r="B257" s="49" t="n"/>
      <c r="C257" s="49" t="n"/>
      <c r="D257" s="49" t="n"/>
      <c r="E257" s="49" t="n"/>
      <c r="F257" s="49" t="n"/>
      <c r="G257" s="49" t="n"/>
      <c r="H257" s="49" t="n"/>
      <c r="I257" s="49" t="n"/>
    </row>
    <row r="258">
      <c r="B258" s="49" t="n"/>
      <c r="C258" s="49" t="n"/>
      <c r="D258" s="49" t="n"/>
      <c r="E258" s="49" t="n"/>
      <c r="F258" s="49" t="n"/>
      <c r="G258" s="49" t="n"/>
      <c r="H258" s="49" t="n"/>
      <c r="I258" s="49" t="n"/>
    </row>
    <row r="259">
      <c r="B259" s="49" t="n"/>
      <c r="C259" s="49" t="n"/>
      <c r="D259" s="49" t="n"/>
      <c r="E259" s="49" t="n"/>
      <c r="F259" s="49" t="n"/>
      <c r="G259" s="49" t="n"/>
      <c r="H259" s="49" t="n"/>
      <c r="I259" s="49" t="n"/>
    </row>
    <row r="260">
      <c r="B260" s="49" t="n"/>
      <c r="C260" s="49" t="n"/>
      <c r="D260" s="49" t="n"/>
      <c r="E260" s="49" t="n"/>
      <c r="F260" s="49" t="n"/>
      <c r="G260" s="49" t="n"/>
      <c r="H260" s="49" t="n"/>
      <c r="I260" s="49" t="n"/>
    </row>
    <row r="261">
      <c r="B261" s="49" t="n"/>
      <c r="C261" s="49" t="n"/>
      <c r="D261" s="49" t="n"/>
      <c r="E261" s="49" t="n"/>
      <c r="F261" s="49" t="n"/>
      <c r="G261" s="49" t="n"/>
      <c r="H261" s="49" t="n"/>
      <c r="I261" s="49" t="n"/>
    </row>
    <row r="262">
      <c r="B262" s="49" t="n"/>
      <c r="C262" s="49" t="n"/>
      <c r="D262" s="49" t="n"/>
      <c r="E262" s="49" t="n"/>
      <c r="F262" s="49" t="n"/>
      <c r="G262" s="49" t="n"/>
      <c r="H262" s="49" t="n"/>
      <c r="I262" s="49" t="n"/>
    </row>
    <row r="263">
      <c r="B263" s="49" t="n"/>
      <c r="C263" s="49" t="n"/>
      <c r="D263" s="49" t="n"/>
      <c r="E263" s="49" t="n"/>
      <c r="F263" s="49" t="n"/>
      <c r="G263" s="49" t="n"/>
      <c r="H263" s="49" t="n"/>
      <c r="I263" s="49" t="n"/>
    </row>
    <row r="264">
      <c r="B264" s="49" t="n"/>
      <c r="C264" s="49" t="n"/>
      <c r="D264" s="49" t="n"/>
      <c r="E264" s="49" t="n"/>
      <c r="F264" s="49" t="n"/>
      <c r="G264" s="49" t="n"/>
      <c r="H264" s="49" t="n"/>
      <c r="I264" s="49" t="n"/>
    </row>
    <row r="265">
      <c r="B265" s="49" t="n"/>
      <c r="C265" s="49" t="n"/>
      <c r="D265" s="49" t="n"/>
      <c r="E265" s="49" t="n"/>
      <c r="F265" s="49" t="n"/>
      <c r="G265" s="49" t="n"/>
      <c r="H265" s="49" t="n"/>
      <c r="I265" s="49" t="n"/>
    </row>
    <row r="266">
      <c r="B266" s="49" t="n"/>
      <c r="C266" s="49" t="n"/>
      <c r="D266" s="49" t="n"/>
      <c r="E266" s="49" t="n"/>
      <c r="F266" s="49" t="n"/>
      <c r="G266" s="49" t="n"/>
      <c r="H266" s="49" t="n"/>
      <c r="I266" s="49" t="n"/>
    </row>
    <row r="267">
      <c r="B267" s="49" t="n"/>
      <c r="C267" s="49" t="n"/>
      <c r="D267" s="49" t="n"/>
      <c r="E267" s="49" t="n"/>
      <c r="F267" s="49" t="n"/>
      <c r="G267" s="49" t="n"/>
      <c r="H267" s="49" t="n"/>
      <c r="I267" s="49" t="n"/>
    </row>
    <row r="268">
      <c r="B268" s="49" t="n"/>
      <c r="C268" s="49" t="n"/>
      <c r="D268" s="49" t="n"/>
      <c r="E268" s="49" t="n"/>
      <c r="F268" s="49" t="n"/>
      <c r="G268" s="49" t="n"/>
      <c r="H268" s="49" t="n"/>
      <c r="I268" s="49" t="n"/>
    </row>
    <row r="269">
      <c r="B269" s="49" t="n"/>
      <c r="C269" s="49" t="n"/>
      <c r="D269" s="49" t="n"/>
      <c r="E269" s="49" t="n"/>
      <c r="F269" s="49" t="n"/>
      <c r="G269" s="49" t="n"/>
      <c r="H269" s="49" t="n"/>
      <c r="I269" s="49" t="n"/>
    </row>
    <row r="270">
      <c r="B270" s="49" t="n"/>
      <c r="C270" s="49" t="n"/>
      <c r="D270" s="49" t="n"/>
      <c r="E270" s="49" t="n"/>
      <c r="F270" s="49" t="n"/>
      <c r="G270" s="49" t="n"/>
      <c r="H270" s="49" t="n"/>
      <c r="I270" s="49" t="n"/>
    </row>
    <row r="271">
      <c r="B271" s="49" t="n"/>
      <c r="C271" s="49" t="n"/>
      <c r="D271" s="49" t="n"/>
      <c r="E271" s="49" t="n"/>
      <c r="F271" s="49" t="n"/>
      <c r="G271" s="49" t="n"/>
      <c r="H271" s="49" t="n"/>
      <c r="I271" s="49" t="n"/>
    </row>
    <row r="272">
      <c r="B272" s="49" t="n"/>
      <c r="C272" s="49" t="n"/>
      <c r="D272" s="49" t="n"/>
      <c r="E272" s="49" t="n"/>
      <c r="F272" s="49" t="n"/>
      <c r="G272" s="49" t="n"/>
      <c r="H272" s="49" t="n"/>
      <c r="I272" s="49" t="n"/>
    </row>
    <row r="273">
      <c r="B273" s="49" t="n"/>
      <c r="C273" s="49" t="n"/>
      <c r="D273" s="49" t="n"/>
      <c r="E273" s="49" t="n"/>
      <c r="F273" s="49" t="n"/>
      <c r="G273" s="49" t="n"/>
      <c r="H273" s="49" t="n"/>
      <c r="I273" s="49" t="n"/>
    </row>
    <row r="274">
      <c r="B274" s="49" t="n"/>
      <c r="C274" s="49" t="n"/>
      <c r="D274" s="49" t="n"/>
      <c r="E274" s="49" t="n"/>
      <c r="F274" s="49" t="n"/>
      <c r="G274" s="49" t="n"/>
      <c r="H274" s="49" t="n"/>
      <c r="I274" s="49" t="n"/>
    </row>
    <row r="275">
      <c r="B275" s="49" t="n"/>
      <c r="C275" s="49" t="n"/>
      <c r="D275" s="49" t="n"/>
      <c r="E275" s="49" t="n"/>
      <c r="F275" s="49" t="n"/>
      <c r="G275" s="49" t="n"/>
      <c r="H275" s="49" t="n"/>
      <c r="I275" s="49" t="n"/>
    </row>
    <row r="276">
      <c r="B276" s="49" t="n"/>
      <c r="C276" s="49" t="n"/>
      <c r="D276" s="49" t="n"/>
      <c r="E276" s="49" t="n"/>
      <c r="F276" s="49" t="n"/>
      <c r="G276" s="49" t="n"/>
      <c r="H276" s="49" t="n"/>
      <c r="I276" s="49" t="n"/>
    </row>
    <row r="277">
      <c r="B277" s="49" t="n"/>
      <c r="C277" s="49" t="n"/>
      <c r="D277" s="49" t="n"/>
      <c r="E277" s="49" t="n"/>
      <c r="F277" s="49" t="n"/>
      <c r="G277" s="49" t="n"/>
      <c r="H277" s="49" t="n"/>
      <c r="I277" s="49" t="n"/>
    </row>
    <row r="278">
      <c r="B278" s="49" t="n"/>
      <c r="C278" s="49" t="n"/>
      <c r="D278" s="49" t="n"/>
      <c r="E278" s="49" t="n"/>
      <c r="F278" s="49" t="n"/>
      <c r="G278" s="49" t="n"/>
      <c r="H278" s="49" t="n"/>
      <c r="I278" s="49" t="n"/>
    </row>
    <row r="279">
      <c r="B279" s="49" t="n"/>
      <c r="C279" s="49" t="n"/>
      <c r="D279" s="49" t="n"/>
      <c r="E279" s="49" t="n"/>
      <c r="F279" s="49" t="n"/>
      <c r="G279" s="49" t="n"/>
      <c r="H279" s="49" t="n"/>
      <c r="I279" s="49" t="n"/>
    </row>
    <row r="280">
      <c r="B280" s="49" t="n"/>
      <c r="C280" s="49" t="n"/>
      <c r="D280" s="49" t="n"/>
      <c r="E280" s="49" t="n"/>
      <c r="F280" s="49" t="n"/>
      <c r="G280" s="49" t="n"/>
      <c r="H280" s="49" t="n"/>
      <c r="I280" s="49" t="n"/>
    </row>
    <row r="281">
      <c r="B281" s="49" t="n"/>
      <c r="C281" s="49" t="n"/>
      <c r="D281" s="49" t="n"/>
      <c r="E281" s="49" t="n"/>
      <c r="F281" s="49" t="n"/>
      <c r="G281" s="49" t="n"/>
      <c r="H281" s="49" t="n"/>
      <c r="I281" s="49" t="n"/>
    </row>
    <row r="282">
      <c r="B282" s="49" t="n"/>
      <c r="C282" s="49" t="n"/>
      <c r="D282" s="49" t="n"/>
      <c r="E282" s="49" t="n"/>
      <c r="F282" s="49" t="n"/>
      <c r="G282" s="49" t="n"/>
      <c r="H282" s="49" t="n"/>
      <c r="I282" s="49" t="n"/>
    </row>
    <row r="283">
      <c r="B283" s="49" t="n"/>
      <c r="C283" s="49" t="n"/>
      <c r="D283" s="49" t="n"/>
      <c r="E283" s="49" t="n"/>
      <c r="F283" s="49" t="n"/>
      <c r="G283" s="49" t="n"/>
      <c r="H283" s="49" t="n"/>
      <c r="I283" s="49" t="n"/>
    </row>
    <row r="284">
      <c r="B284" s="49" t="n"/>
      <c r="C284" s="49" t="n"/>
      <c r="D284" s="49" t="n"/>
      <c r="E284" s="49" t="n"/>
      <c r="F284" s="49" t="n"/>
      <c r="G284" s="49" t="n"/>
      <c r="H284" s="49" t="n"/>
      <c r="I284" s="49" t="n"/>
    </row>
    <row r="285">
      <c r="B285" s="49" t="n"/>
      <c r="C285" s="49" t="n"/>
      <c r="D285" s="49" t="n"/>
      <c r="E285" s="49" t="n"/>
      <c r="F285" s="49" t="n"/>
      <c r="G285" s="49" t="n"/>
      <c r="H285" s="49" t="n"/>
      <c r="I285" s="49" t="n"/>
    </row>
    <row r="286">
      <c r="B286" s="49" t="n"/>
      <c r="C286" s="49" t="n"/>
      <c r="D286" s="49" t="n"/>
      <c r="E286" s="49" t="n"/>
      <c r="F286" s="49" t="n"/>
      <c r="G286" s="49" t="n"/>
      <c r="H286" s="49" t="n"/>
      <c r="I286" s="49" t="n"/>
    </row>
    <row r="287">
      <c r="B287" s="49" t="n"/>
      <c r="C287" s="49" t="n"/>
      <c r="D287" s="49" t="n"/>
      <c r="E287" s="49" t="n"/>
      <c r="F287" s="49" t="n"/>
      <c r="G287" s="49" t="n"/>
      <c r="H287" s="49" t="n"/>
      <c r="I287" s="49" t="n"/>
    </row>
    <row r="288">
      <c r="B288" s="49" t="n"/>
      <c r="C288" s="49" t="n"/>
      <c r="D288" s="49" t="n"/>
      <c r="E288" s="49" t="n"/>
      <c r="F288" s="49" t="n"/>
      <c r="G288" s="49" t="n"/>
      <c r="H288" s="49" t="n"/>
      <c r="I288" s="49" t="n"/>
    </row>
    <row r="289">
      <c r="B289" s="49" t="n"/>
      <c r="C289" s="49" t="n"/>
      <c r="D289" s="49" t="n"/>
      <c r="E289" s="49" t="n"/>
      <c r="F289" s="49" t="n"/>
      <c r="G289" s="49" t="n"/>
      <c r="H289" s="49" t="n"/>
      <c r="I289" s="49" t="n"/>
    </row>
    <row r="290">
      <c r="B290" s="49" t="n"/>
      <c r="C290" s="49" t="n"/>
      <c r="D290" s="49" t="n"/>
      <c r="E290" s="49" t="n"/>
      <c r="F290" s="49" t="n"/>
      <c r="G290" s="49" t="n"/>
      <c r="H290" s="49" t="n"/>
      <c r="I290" s="49" t="n"/>
    </row>
    <row r="291">
      <c r="B291" s="49" t="n"/>
      <c r="C291" s="49" t="n"/>
      <c r="D291" s="49" t="n"/>
      <c r="E291" s="49" t="n"/>
      <c r="F291" s="49" t="n"/>
      <c r="G291" s="49" t="n"/>
      <c r="H291" s="49" t="n"/>
      <c r="I291" s="49" t="n"/>
    </row>
    <row r="292">
      <c r="B292" s="49" t="n"/>
      <c r="C292" s="49" t="n"/>
      <c r="D292" s="49" t="n"/>
      <c r="E292" s="49" t="n"/>
      <c r="F292" s="49" t="n"/>
      <c r="G292" s="49" t="n"/>
      <c r="H292" s="49" t="n"/>
      <c r="I292" s="49" t="n"/>
    </row>
    <row r="293">
      <c r="B293" s="49" t="n"/>
      <c r="C293" s="49" t="n"/>
      <c r="D293" s="49" t="n"/>
      <c r="E293" s="49" t="n"/>
      <c r="F293" s="49" t="n"/>
      <c r="G293" s="49" t="n"/>
      <c r="H293" s="49" t="n"/>
      <c r="I293" s="49" t="n"/>
    </row>
    <row r="294">
      <c r="B294" s="49" t="n"/>
      <c r="C294" s="49" t="n"/>
      <c r="D294" s="49" t="n"/>
      <c r="E294" s="49" t="n"/>
      <c r="F294" s="49" t="n"/>
      <c r="G294" s="49" t="n"/>
      <c r="H294" s="49" t="n"/>
      <c r="I294" s="49" t="n"/>
    </row>
    <row r="295">
      <c r="B295" s="49" t="n"/>
      <c r="C295" s="49" t="n"/>
      <c r="D295" s="49" t="n"/>
      <c r="E295" s="49" t="n"/>
      <c r="F295" s="49" t="n"/>
      <c r="G295" s="49" t="n"/>
      <c r="H295" s="49" t="n"/>
      <c r="I295" s="49" t="n"/>
    </row>
    <row r="296">
      <c r="B296" s="49" t="n"/>
      <c r="C296" s="49" t="n"/>
      <c r="D296" s="49" t="n"/>
      <c r="E296" s="49" t="n"/>
      <c r="F296" s="49" t="n"/>
      <c r="G296" s="49" t="n"/>
      <c r="H296" s="49" t="n"/>
      <c r="I296" s="49" t="n"/>
    </row>
    <row r="297">
      <c r="B297" s="49" t="n"/>
      <c r="C297" s="49" t="n"/>
      <c r="D297" s="49" t="n"/>
      <c r="E297" s="49" t="n"/>
      <c r="F297" s="49" t="n"/>
      <c r="G297" s="49" t="n"/>
      <c r="H297" s="49" t="n"/>
      <c r="I297" s="49" t="n"/>
    </row>
    <row r="298">
      <c r="B298" s="49" t="n"/>
      <c r="C298" s="49" t="n"/>
      <c r="D298" s="49" t="n"/>
      <c r="E298" s="49" t="n"/>
      <c r="F298" s="49" t="n"/>
      <c r="G298" s="49" t="n"/>
      <c r="H298" s="49" t="n"/>
      <c r="I298" s="49" t="n"/>
    </row>
    <row r="299">
      <c r="B299" s="49" t="n"/>
      <c r="C299" s="49" t="n"/>
      <c r="D299" s="49" t="n"/>
      <c r="E299" s="49" t="n"/>
      <c r="F299" s="49" t="n"/>
      <c r="G299" s="49" t="n"/>
      <c r="H299" s="49" t="n"/>
      <c r="I299" s="49" t="n"/>
    </row>
    <row r="300">
      <c r="B300" s="49" t="n"/>
      <c r="C300" s="49" t="n"/>
      <c r="D300" s="49" t="n"/>
      <c r="E300" s="49" t="n"/>
      <c r="F300" s="49" t="n"/>
      <c r="G300" s="49" t="n"/>
      <c r="H300" s="49" t="n"/>
      <c r="I300" s="49" t="n"/>
    </row>
    <row r="301">
      <c r="B301" s="49" t="n"/>
      <c r="C301" s="49" t="n"/>
      <c r="D301" s="49" t="n"/>
      <c r="E301" s="49" t="n"/>
      <c r="F301" s="49" t="n"/>
      <c r="G301" s="49" t="n"/>
      <c r="H301" s="49" t="n"/>
      <c r="I301" s="49" t="n"/>
    </row>
    <row r="302">
      <c r="B302" s="49" t="n"/>
      <c r="C302" s="49" t="n"/>
      <c r="D302" s="49" t="n"/>
      <c r="E302" s="49" t="n"/>
      <c r="F302" s="49" t="n"/>
      <c r="G302" s="49" t="n"/>
      <c r="H302" s="49" t="n"/>
      <c r="I302" s="49" t="n"/>
    </row>
    <row r="303">
      <c r="B303" s="49" t="n"/>
      <c r="C303" s="49" t="n"/>
      <c r="D303" s="49" t="n"/>
      <c r="E303" s="49" t="n"/>
      <c r="F303" s="49" t="n"/>
      <c r="G303" s="49" t="n"/>
      <c r="H303" s="49" t="n"/>
      <c r="I303" s="49" t="n"/>
    </row>
    <row r="304">
      <c r="B304" s="49" t="n"/>
      <c r="C304" s="49" t="n"/>
      <c r="D304" s="49" t="n"/>
      <c r="E304" s="49" t="n"/>
      <c r="F304" s="49" t="n"/>
      <c r="G304" s="49" t="n"/>
      <c r="H304" s="49" t="n"/>
      <c r="I304" s="49" t="n"/>
    </row>
    <row r="305">
      <c r="B305" s="49" t="n"/>
      <c r="C305" s="49" t="n"/>
      <c r="D305" s="49" t="n"/>
      <c r="E305" s="49" t="n"/>
      <c r="F305" s="49" t="n"/>
      <c r="G305" s="49" t="n"/>
      <c r="H305" s="49" t="n"/>
      <c r="I305" s="49" t="n"/>
    </row>
    <row r="306">
      <c r="B306" s="49" t="n"/>
      <c r="C306" s="49" t="n"/>
      <c r="D306" s="49" t="n"/>
      <c r="E306" s="49" t="n"/>
      <c r="F306" s="49" t="n"/>
      <c r="G306" s="49" t="n"/>
      <c r="H306" s="49" t="n"/>
      <c r="I306" s="49" t="n"/>
    </row>
    <row r="307">
      <c r="B307" s="49" t="n"/>
      <c r="C307" s="49" t="n"/>
      <c r="D307" s="49" t="n"/>
      <c r="E307" s="49" t="n"/>
      <c r="F307" s="49" t="n"/>
      <c r="G307" s="49" t="n"/>
      <c r="H307" s="49" t="n"/>
      <c r="I307" s="49" t="n"/>
    </row>
    <row r="308">
      <c r="B308" s="49" t="n"/>
      <c r="C308" s="49" t="n"/>
      <c r="D308" s="49" t="n"/>
      <c r="E308" s="49" t="n"/>
      <c r="F308" s="49" t="n"/>
      <c r="G308" s="49" t="n"/>
      <c r="H308" s="49" t="n"/>
      <c r="I308" s="49" t="n"/>
    </row>
    <row r="309">
      <c r="B309" s="49" t="n"/>
      <c r="C309" s="49" t="n"/>
      <c r="D309" s="49" t="n"/>
      <c r="E309" s="49" t="n"/>
      <c r="F309" s="49" t="n"/>
      <c r="G309" s="49" t="n"/>
      <c r="H309" s="49" t="n"/>
      <c r="I309" s="49" t="n"/>
    </row>
    <row r="310">
      <c r="B310" s="49" t="n"/>
      <c r="C310" s="49" t="n"/>
      <c r="D310" s="49" t="n"/>
      <c r="E310" s="49" t="n"/>
      <c r="F310" s="49" t="n"/>
      <c r="G310" s="49" t="n"/>
      <c r="H310" s="49" t="n"/>
      <c r="I310" s="49" t="n"/>
    </row>
    <row r="311">
      <c r="B311" s="49" t="n"/>
      <c r="C311" s="49" t="n"/>
      <c r="D311" s="49" t="n"/>
      <c r="E311" s="49" t="n"/>
      <c r="F311" s="49" t="n"/>
      <c r="G311" s="49" t="n"/>
      <c r="H311" s="49" t="n"/>
      <c r="I311" s="49" t="n"/>
    </row>
    <row r="312">
      <c r="B312" s="49" t="n"/>
      <c r="C312" s="49" t="n"/>
      <c r="D312" s="49" t="n"/>
      <c r="E312" s="49" t="n"/>
      <c r="F312" s="49" t="n"/>
      <c r="G312" s="49" t="n"/>
      <c r="H312" s="49" t="n"/>
      <c r="I312" s="49" t="n"/>
    </row>
    <row r="313">
      <c r="B313" s="49" t="n"/>
      <c r="C313" s="49" t="n"/>
      <c r="D313" s="49" t="n"/>
      <c r="E313" s="49" t="n"/>
      <c r="F313" s="49" t="n"/>
      <c r="G313" s="49" t="n"/>
      <c r="H313" s="49" t="n"/>
      <c r="I313" s="49" t="n"/>
    </row>
    <row r="314">
      <c r="B314" s="49" t="n"/>
      <c r="C314" s="49" t="n"/>
      <c r="D314" s="49" t="n"/>
      <c r="E314" s="49" t="n"/>
      <c r="F314" s="49" t="n"/>
      <c r="G314" s="49" t="n"/>
      <c r="H314" s="49" t="n"/>
      <c r="I314" s="49" t="n"/>
    </row>
    <row r="315">
      <c r="B315" s="49" t="n"/>
      <c r="C315" s="49" t="n"/>
      <c r="D315" s="49" t="n"/>
      <c r="E315" s="49" t="n"/>
      <c r="F315" s="49" t="n"/>
      <c r="G315" s="49" t="n"/>
      <c r="H315" s="49" t="n"/>
      <c r="I315" s="49" t="n"/>
    </row>
    <row r="316">
      <c r="B316" s="49" t="n"/>
      <c r="C316" s="49" t="n"/>
      <c r="D316" s="49" t="n"/>
      <c r="E316" s="49" t="n"/>
      <c r="F316" s="49" t="n"/>
      <c r="G316" s="49" t="n"/>
      <c r="H316" s="49" t="n"/>
      <c r="I316" s="49" t="n"/>
    </row>
    <row r="317">
      <c r="B317" s="49" t="n"/>
      <c r="C317" s="49" t="n"/>
      <c r="D317" s="49" t="n"/>
      <c r="E317" s="49" t="n"/>
      <c r="F317" s="49" t="n"/>
      <c r="G317" s="49" t="n"/>
      <c r="H317" s="49" t="n"/>
      <c r="I317" s="49" t="n"/>
    </row>
    <row r="318">
      <c r="B318" s="49" t="n"/>
      <c r="C318" s="49" t="n"/>
      <c r="D318" s="49" t="n"/>
      <c r="E318" s="49" t="n"/>
      <c r="F318" s="49" t="n"/>
      <c r="G318" s="49" t="n"/>
      <c r="H318" s="49" t="n"/>
      <c r="I318" s="49" t="n"/>
    </row>
    <row r="319">
      <c r="B319" s="49" t="n"/>
      <c r="C319" s="49" t="n"/>
      <c r="D319" s="49" t="n"/>
      <c r="E319" s="49" t="n"/>
      <c r="F319" s="49" t="n"/>
      <c r="G319" s="49" t="n"/>
      <c r="H319" s="49" t="n"/>
      <c r="I319" s="49" t="n"/>
    </row>
    <row r="320">
      <c r="B320" s="49" t="n"/>
      <c r="C320" s="49" t="n"/>
      <c r="D320" s="49" t="n"/>
      <c r="E320" s="49" t="n"/>
      <c r="F320" s="49" t="n"/>
      <c r="G320" s="49" t="n"/>
      <c r="H320" s="49" t="n"/>
      <c r="I320" s="49" t="n"/>
    </row>
    <row r="321">
      <c r="B321" s="49" t="n"/>
      <c r="C321" s="49" t="n"/>
      <c r="D321" s="49" t="n"/>
      <c r="E321" s="49" t="n"/>
      <c r="F321" s="49" t="n"/>
      <c r="G321" s="49" t="n"/>
      <c r="H321" s="49" t="n"/>
      <c r="I321" s="49" t="n"/>
    </row>
    <row r="322">
      <c r="B322" s="49" t="n"/>
      <c r="C322" s="49" t="n"/>
      <c r="D322" s="49" t="n"/>
      <c r="E322" s="49" t="n"/>
      <c r="F322" s="49" t="n"/>
      <c r="G322" s="49" t="n"/>
      <c r="H322" s="49" t="n"/>
      <c r="I322" s="49" t="n"/>
    </row>
    <row r="323">
      <c r="B323" s="49" t="n"/>
      <c r="C323" s="49" t="n"/>
      <c r="D323" s="49" t="n"/>
      <c r="E323" s="49" t="n"/>
      <c r="F323" s="49" t="n"/>
      <c r="G323" s="49" t="n"/>
      <c r="H323" s="49" t="n"/>
      <c r="I323" s="49" t="n"/>
    </row>
    <row r="324">
      <c r="B324" s="49" t="n"/>
      <c r="C324" s="49" t="n"/>
      <c r="D324" s="49" t="n"/>
      <c r="E324" s="49" t="n"/>
      <c r="F324" s="49" t="n"/>
      <c r="G324" s="49" t="n"/>
      <c r="H324" s="49" t="n"/>
      <c r="I324" s="49" t="n"/>
    </row>
    <row r="325">
      <c r="B325" s="49" t="n"/>
      <c r="C325" s="49" t="n"/>
      <c r="D325" s="49" t="n"/>
      <c r="E325" s="49" t="n"/>
      <c r="F325" s="49" t="n"/>
      <c r="G325" s="49" t="n"/>
      <c r="H325" s="49" t="n"/>
      <c r="I325" s="49" t="n"/>
    </row>
    <row r="326">
      <c r="B326" s="49" t="n"/>
      <c r="C326" s="49" t="n"/>
      <c r="D326" s="49" t="n"/>
      <c r="E326" s="49" t="n"/>
      <c r="F326" s="49" t="n"/>
      <c r="G326" s="49" t="n"/>
      <c r="H326" s="49" t="n"/>
      <c r="I326" s="49" t="n"/>
    </row>
    <row r="327">
      <c r="B327" s="49" t="n"/>
      <c r="C327" s="49" t="n"/>
      <c r="D327" s="49" t="n"/>
      <c r="E327" s="49" t="n"/>
      <c r="F327" s="49" t="n"/>
      <c r="G327" s="49" t="n"/>
      <c r="H327" s="49" t="n"/>
      <c r="I327" s="49" t="n"/>
    </row>
    <row r="328">
      <c r="B328" s="49" t="n"/>
      <c r="C328" s="49" t="n"/>
      <c r="D328" s="49" t="n"/>
      <c r="E328" s="49" t="n"/>
      <c r="F328" s="49" t="n"/>
      <c r="G328" s="49" t="n"/>
      <c r="H328" s="49" t="n"/>
      <c r="I328" s="49" t="n"/>
    </row>
    <row r="329">
      <c r="B329" s="49" t="n"/>
      <c r="C329" s="49" t="n"/>
      <c r="D329" s="49" t="n"/>
      <c r="E329" s="49" t="n"/>
      <c r="F329" s="49" t="n"/>
      <c r="G329" s="49" t="n"/>
      <c r="H329" s="49" t="n"/>
      <c r="I329" s="49" t="n"/>
    </row>
    <row r="330">
      <c r="B330" s="49" t="n"/>
      <c r="C330" s="49" t="n"/>
      <c r="D330" s="49" t="n"/>
      <c r="E330" s="49" t="n"/>
      <c r="F330" s="49" t="n"/>
      <c r="G330" s="49" t="n"/>
      <c r="H330" s="49" t="n"/>
      <c r="I330" s="49" t="n"/>
    </row>
    <row r="331">
      <c r="B331" s="49" t="n"/>
      <c r="C331" s="49" t="n"/>
      <c r="D331" s="49" t="n"/>
      <c r="E331" s="49" t="n"/>
      <c r="F331" s="49" t="n"/>
      <c r="G331" s="49" t="n"/>
      <c r="H331" s="49" t="n"/>
      <c r="I331" s="49" t="n"/>
    </row>
    <row r="332">
      <c r="B332" s="49" t="n"/>
      <c r="C332" s="49" t="n"/>
      <c r="D332" s="49" t="n"/>
      <c r="E332" s="49" t="n"/>
      <c r="F332" s="49" t="n"/>
      <c r="G332" s="49" t="n"/>
      <c r="H332" s="49" t="n"/>
      <c r="I332" s="49" t="n"/>
    </row>
    <row r="333">
      <c r="B333" s="49" t="n"/>
      <c r="C333" s="49" t="n"/>
      <c r="D333" s="49" t="n"/>
      <c r="E333" s="49" t="n"/>
      <c r="F333" s="49" t="n"/>
      <c r="G333" s="49" t="n"/>
      <c r="H333" s="49" t="n"/>
      <c r="I333" s="49" t="n"/>
    </row>
    <row r="334">
      <c r="B334" s="49" t="n"/>
      <c r="C334" s="49" t="n"/>
      <c r="D334" s="49" t="n"/>
      <c r="E334" s="49" t="n"/>
      <c r="F334" s="49" t="n"/>
      <c r="G334" s="49" t="n"/>
      <c r="H334" s="49" t="n"/>
      <c r="I334" s="49" t="n"/>
    </row>
    <row r="335">
      <c r="B335" s="49" t="n"/>
      <c r="C335" s="49" t="n"/>
      <c r="D335" s="49" t="n"/>
      <c r="E335" s="49" t="n"/>
      <c r="F335" s="49" t="n"/>
      <c r="G335" s="49" t="n"/>
      <c r="H335" s="49" t="n"/>
      <c r="I335" s="49" t="n"/>
    </row>
    <row r="336">
      <c r="B336" s="49" t="n"/>
      <c r="C336" s="49" t="n"/>
      <c r="D336" s="49" t="n"/>
      <c r="E336" s="49" t="n"/>
      <c r="F336" s="49" t="n"/>
      <c r="G336" s="49" t="n"/>
      <c r="H336" s="49" t="n"/>
      <c r="I336" s="49" t="n"/>
    </row>
    <row r="337">
      <c r="B337" s="49" t="n"/>
      <c r="C337" s="49" t="n"/>
      <c r="D337" s="49" t="n"/>
      <c r="E337" s="49" t="n"/>
      <c r="F337" s="49" t="n"/>
      <c r="G337" s="49" t="n"/>
      <c r="H337" s="49" t="n"/>
      <c r="I337" s="49" t="n"/>
    </row>
    <row r="338">
      <c r="B338" s="49" t="n"/>
      <c r="C338" s="49" t="n"/>
      <c r="D338" s="49" t="n"/>
      <c r="E338" s="49" t="n"/>
      <c r="F338" s="49" t="n"/>
      <c r="G338" s="49" t="n"/>
      <c r="H338" s="49" t="n"/>
      <c r="I338" s="49" t="n"/>
    </row>
    <row r="339">
      <c r="B339" s="49" t="n"/>
      <c r="C339" s="49" t="n"/>
      <c r="D339" s="49" t="n"/>
      <c r="E339" s="49" t="n"/>
      <c r="F339" s="49" t="n"/>
      <c r="G339" s="49" t="n"/>
      <c r="H339" s="49" t="n"/>
      <c r="I339" s="49" t="n"/>
    </row>
    <row r="340">
      <c r="B340" s="49" t="n"/>
      <c r="C340" s="49" t="n"/>
      <c r="D340" s="49" t="n"/>
      <c r="E340" s="49" t="n"/>
      <c r="F340" s="49" t="n"/>
      <c r="G340" s="49" t="n"/>
      <c r="H340" s="49" t="n"/>
      <c r="I340" s="49" t="n"/>
    </row>
    <row r="341">
      <c r="B341" s="49" t="n"/>
      <c r="C341" s="49" t="n"/>
      <c r="D341" s="49" t="n"/>
      <c r="E341" s="49" t="n"/>
      <c r="F341" s="49" t="n"/>
      <c r="G341" s="49" t="n"/>
      <c r="H341" s="49" t="n"/>
      <c r="I341" s="49" t="n"/>
    </row>
    <row r="342">
      <c r="B342" s="49" t="n"/>
      <c r="C342" s="49" t="n"/>
      <c r="D342" s="49" t="n"/>
      <c r="E342" s="49" t="n"/>
      <c r="F342" s="49" t="n"/>
      <c r="G342" s="49" t="n"/>
      <c r="H342" s="49" t="n"/>
      <c r="I342" s="49" t="n"/>
    </row>
    <row r="343">
      <c r="B343" s="49" t="n"/>
      <c r="C343" s="49" t="n"/>
      <c r="D343" s="49" t="n"/>
      <c r="E343" s="49" t="n"/>
      <c r="F343" s="49" t="n"/>
      <c r="G343" s="49" t="n"/>
      <c r="H343" s="49" t="n"/>
      <c r="I343" s="49" t="n"/>
    </row>
    <row r="344">
      <c r="B344" s="49" t="n"/>
      <c r="C344" s="49" t="n"/>
      <c r="D344" s="49" t="n"/>
      <c r="E344" s="49" t="n"/>
      <c r="F344" s="49" t="n"/>
      <c r="G344" s="49" t="n"/>
      <c r="H344" s="49" t="n"/>
      <c r="I344" s="49" t="n"/>
    </row>
    <row r="345">
      <c r="B345" s="49" t="n"/>
      <c r="C345" s="49" t="n"/>
      <c r="D345" s="49" t="n"/>
      <c r="E345" s="49" t="n"/>
      <c r="F345" s="49" t="n"/>
      <c r="G345" s="49" t="n"/>
      <c r="H345" s="49" t="n"/>
      <c r="I345" s="49" t="n"/>
    </row>
    <row r="346">
      <c r="B346" s="49" t="n"/>
      <c r="C346" s="49" t="n"/>
      <c r="D346" s="49" t="n"/>
      <c r="E346" s="49" t="n"/>
      <c r="F346" s="49" t="n"/>
      <c r="G346" s="49" t="n"/>
      <c r="H346" s="49" t="n"/>
      <c r="I346" s="49" t="n"/>
    </row>
    <row r="347">
      <c r="B347" s="49" t="n"/>
      <c r="C347" s="49" t="n"/>
      <c r="D347" s="49" t="n"/>
      <c r="E347" s="49" t="n"/>
      <c r="F347" s="49" t="n"/>
      <c r="G347" s="49" t="n"/>
      <c r="H347" s="49" t="n"/>
      <c r="I347" s="49" t="n"/>
    </row>
    <row r="348">
      <c r="B348" s="49" t="n"/>
      <c r="C348" s="49" t="n"/>
      <c r="D348" s="49" t="n"/>
      <c r="E348" s="49" t="n"/>
      <c r="F348" s="49" t="n"/>
      <c r="G348" s="49" t="n"/>
      <c r="H348" s="49" t="n"/>
      <c r="I348" s="49" t="n"/>
    </row>
    <row r="349">
      <c r="B349" s="49" t="n"/>
      <c r="C349" s="49" t="n"/>
      <c r="D349" s="49" t="n"/>
      <c r="E349" s="49" t="n"/>
      <c r="F349" s="49" t="n"/>
      <c r="G349" s="49" t="n"/>
      <c r="H349" s="49" t="n"/>
      <c r="I349" s="49" t="n"/>
    </row>
    <row r="350">
      <c r="B350" s="49" t="n"/>
      <c r="C350" s="49" t="n"/>
      <c r="D350" s="49" t="n"/>
      <c r="E350" s="49" t="n"/>
      <c r="F350" s="49" t="n"/>
      <c r="G350" s="49" t="n"/>
      <c r="H350" s="49" t="n"/>
      <c r="I350" s="49" t="n"/>
    </row>
    <row r="351">
      <c r="B351" s="49" t="n"/>
      <c r="C351" s="49" t="n"/>
      <c r="D351" s="49" t="n"/>
      <c r="E351" s="49" t="n"/>
      <c r="F351" s="49" t="n"/>
      <c r="G351" s="49" t="n"/>
      <c r="H351" s="49" t="n"/>
      <c r="I351" s="49" t="n"/>
    </row>
    <row r="352">
      <c r="B352" s="49" t="n"/>
      <c r="C352" s="49" t="n"/>
      <c r="D352" s="49" t="n"/>
      <c r="E352" s="49" t="n"/>
      <c r="F352" s="49" t="n"/>
      <c r="G352" s="49" t="n"/>
      <c r="H352" s="49" t="n"/>
      <c r="I352" s="49" t="n"/>
    </row>
    <row r="353">
      <c r="B353" s="49" t="n"/>
      <c r="C353" s="49" t="n"/>
      <c r="D353" s="49" t="n"/>
      <c r="E353" s="49" t="n"/>
      <c r="F353" s="49" t="n"/>
      <c r="G353" s="49" t="n"/>
      <c r="H353" s="49" t="n"/>
      <c r="I353" s="49" t="n"/>
    </row>
    <row r="354">
      <c r="B354" s="49" t="n"/>
      <c r="C354" s="49" t="n"/>
      <c r="D354" s="49" t="n"/>
      <c r="E354" s="49" t="n"/>
      <c r="F354" s="49" t="n"/>
      <c r="G354" s="49" t="n"/>
      <c r="H354" s="49" t="n"/>
      <c r="I354" s="49" t="n"/>
    </row>
    <row r="355">
      <c r="B355" s="49" t="n"/>
      <c r="C355" s="49" t="n"/>
      <c r="D355" s="49" t="n"/>
      <c r="E355" s="49" t="n"/>
      <c r="F355" s="49" t="n"/>
      <c r="G355" s="49" t="n"/>
      <c r="H355" s="49" t="n"/>
      <c r="I355" s="49" t="n"/>
    </row>
    <row r="356">
      <c r="B356" s="49" t="n"/>
      <c r="C356" s="49" t="n"/>
      <c r="D356" s="49" t="n"/>
      <c r="E356" s="49" t="n"/>
      <c r="F356" s="49" t="n"/>
      <c r="G356" s="49" t="n"/>
      <c r="H356" s="49" t="n"/>
      <c r="I356" s="49" t="n"/>
    </row>
    <row r="357">
      <c r="B357" s="49" t="n"/>
      <c r="C357" s="49" t="n"/>
      <c r="D357" s="49" t="n"/>
      <c r="E357" s="49" t="n"/>
      <c r="F357" s="49" t="n"/>
      <c r="G357" s="49" t="n"/>
      <c r="H357" s="49" t="n"/>
      <c r="I357" s="49" t="n"/>
    </row>
    <row r="358">
      <c r="B358" s="49" t="n"/>
      <c r="C358" s="49" t="n"/>
      <c r="D358" s="49" t="n"/>
      <c r="E358" s="49" t="n"/>
      <c r="F358" s="49" t="n"/>
      <c r="G358" s="49" t="n"/>
      <c r="H358" s="49" t="n"/>
      <c r="I358" s="49" t="n"/>
    </row>
    <row r="359">
      <c r="B359" s="49" t="n"/>
      <c r="C359" s="49" t="n"/>
      <c r="D359" s="49" t="n"/>
      <c r="E359" s="49" t="n"/>
      <c r="F359" s="49" t="n"/>
      <c r="G359" s="49" t="n"/>
      <c r="H359" s="49" t="n"/>
      <c r="I359" s="49" t="n"/>
    </row>
    <row r="360">
      <c r="B360" s="49" t="n"/>
      <c r="C360" s="49" t="n"/>
      <c r="D360" s="49" t="n"/>
      <c r="E360" s="49" t="n"/>
      <c r="F360" s="49" t="n"/>
      <c r="G360" s="49" t="n"/>
      <c r="H360" s="49" t="n"/>
      <c r="I360" s="49" t="n"/>
    </row>
    <row r="361">
      <c r="B361" s="49" t="n"/>
      <c r="C361" s="49" t="n"/>
      <c r="D361" s="49" t="n"/>
      <c r="E361" s="49" t="n"/>
      <c r="F361" s="49" t="n"/>
      <c r="G361" s="49" t="n"/>
      <c r="H361" s="49" t="n"/>
      <c r="I361" s="49" t="n"/>
    </row>
    <row r="362">
      <c r="B362" s="49" t="n"/>
      <c r="C362" s="49" t="n"/>
      <c r="D362" s="49" t="n"/>
      <c r="E362" s="49" t="n"/>
      <c r="F362" s="49" t="n"/>
      <c r="G362" s="49" t="n"/>
      <c r="H362" s="49" t="n"/>
      <c r="I362" s="49" t="n"/>
    </row>
    <row r="363">
      <c r="B363" s="49" t="n"/>
      <c r="C363" s="49" t="n"/>
      <c r="D363" s="49" t="n"/>
      <c r="E363" s="49" t="n"/>
      <c r="F363" s="49" t="n"/>
      <c r="G363" s="49" t="n"/>
      <c r="H363" s="49" t="n"/>
      <c r="I363" s="49" t="n"/>
    </row>
    <row r="364">
      <c r="B364" s="49" t="n"/>
      <c r="C364" s="49" t="n"/>
      <c r="D364" s="49" t="n"/>
      <c r="E364" s="49" t="n"/>
      <c r="F364" s="49" t="n"/>
      <c r="G364" s="49" t="n"/>
      <c r="H364" s="49" t="n"/>
      <c r="I364" s="49" t="n"/>
    </row>
    <row r="365">
      <c r="B365" s="49" t="n"/>
      <c r="C365" s="49" t="n"/>
      <c r="D365" s="49" t="n"/>
      <c r="E365" s="49" t="n"/>
      <c r="F365" s="49" t="n"/>
      <c r="G365" s="49" t="n"/>
      <c r="H365" s="49" t="n"/>
      <c r="I365" s="49" t="n"/>
    </row>
    <row r="366">
      <c r="B366" s="49" t="n"/>
      <c r="C366" s="49" t="n"/>
      <c r="D366" s="49" t="n"/>
      <c r="E366" s="49" t="n"/>
      <c r="F366" s="49" t="n"/>
      <c r="G366" s="49" t="n"/>
      <c r="H366" s="49" t="n"/>
      <c r="I366" s="49" t="n"/>
    </row>
    <row r="367">
      <c r="B367" s="49" t="n"/>
      <c r="C367" s="49" t="n"/>
      <c r="D367" s="49" t="n"/>
      <c r="E367" s="49" t="n"/>
      <c r="F367" s="49" t="n"/>
      <c r="G367" s="49" t="n"/>
      <c r="H367" s="49" t="n"/>
      <c r="I367" s="49" t="n"/>
    </row>
    <row r="368">
      <c r="B368" s="49" t="n"/>
      <c r="C368" s="49" t="n"/>
      <c r="D368" s="49" t="n"/>
      <c r="E368" s="49" t="n"/>
      <c r="F368" s="49" t="n"/>
      <c r="G368" s="49" t="n"/>
      <c r="H368" s="49" t="n"/>
      <c r="I368" s="49" t="n"/>
    </row>
    <row r="369">
      <c r="B369" s="49" t="n"/>
      <c r="C369" s="49" t="n"/>
      <c r="D369" s="49" t="n"/>
      <c r="E369" s="49" t="n"/>
      <c r="F369" s="49" t="n"/>
      <c r="G369" s="49" t="n"/>
      <c r="H369" s="49" t="n"/>
      <c r="I369" s="49" t="n"/>
    </row>
    <row r="370">
      <c r="B370" s="49" t="n"/>
      <c r="C370" s="49" t="n"/>
      <c r="D370" s="49" t="n"/>
      <c r="E370" s="49" t="n"/>
      <c r="F370" s="49" t="n"/>
      <c r="G370" s="49" t="n"/>
      <c r="H370" s="49" t="n"/>
      <c r="I370" s="49" t="n"/>
    </row>
    <row r="371">
      <c r="B371" s="49" t="n"/>
      <c r="C371" s="49" t="n"/>
      <c r="D371" s="49" t="n"/>
      <c r="E371" s="49" t="n"/>
      <c r="F371" s="49" t="n"/>
      <c r="G371" s="49" t="n"/>
      <c r="H371" s="49" t="n"/>
      <c r="I371" s="49" t="n"/>
    </row>
    <row r="372">
      <c r="B372" s="49" t="n"/>
      <c r="C372" s="49" t="n"/>
      <c r="D372" s="49" t="n"/>
      <c r="E372" s="49" t="n"/>
      <c r="F372" s="49" t="n"/>
      <c r="G372" s="49" t="n"/>
      <c r="H372" s="49" t="n"/>
      <c r="I372" s="49" t="n"/>
    </row>
    <row r="373">
      <c r="B373" s="49" t="n"/>
      <c r="C373" s="49" t="n"/>
      <c r="D373" s="49" t="n"/>
      <c r="E373" s="49" t="n"/>
      <c r="F373" s="49" t="n"/>
      <c r="G373" s="49" t="n"/>
      <c r="H373" s="49" t="n"/>
      <c r="I373" s="49" t="n"/>
    </row>
    <row r="374">
      <c r="B374" s="49" t="n"/>
      <c r="C374" s="49" t="n"/>
      <c r="D374" s="49" t="n"/>
      <c r="E374" s="49" t="n"/>
      <c r="F374" s="49" t="n"/>
      <c r="G374" s="49" t="n"/>
      <c r="H374" s="49" t="n"/>
      <c r="I374" s="49" t="n"/>
    </row>
    <row r="375">
      <c r="B375" s="49" t="n"/>
      <c r="C375" s="49" t="n"/>
      <c r="D375" s="49" t="n"/>
      <c r="E375" s="49" t="n"/>
      <c r="F375" s="49" t="n"/>
      <c r="G375" s="49" t="n"/>
      <c r="H375" s="49" t="n"/>
      <c r="I375" s="49" t="n"/>
    </row>
    <row r="376">
      <c r="B376" s="49" t="n"/>
      <c r="C376" s="49" t="n"/>
      <c r="D376" s="49" t="n"/>
      <c r="E376" s="49" t="n"/>
      <c r="F376" s="49" t="n"/>
      <c r="G376" s="49" t="n"/>
      <c r="H376" s="49" t="n"/>
      <c r="I376" s="49" t="n"/>
    </row>
    <row r="377">
      <c r="B377" s="49" t="n"/>
      <c r="C377" s="49" t="n"/>
      <c r="D377" s="49" t="n"/>
      <c r="E377" s="49" t="n"/>
      <c r="F377" s="49" t="n"/>
      <c r="G377" s="49" t="n"/>
      <c r="H377" s="49" t="n"/>
      <c r="I377" s="49" t="n"/>
    </row>
    <row r="378">
      <c r="B378" s="49" t="n"/>
      <c r="C378" s="49" t="n"/>
      <c r="D378" s="49" t="n"/>
      <c r="E378" s="49" t="n"/>
      <c r="F378" s="49" t="n"/>
      <c r="G378" s="49" t="n"/>
      <c r="H378" s="49" t="n"/>
      <c r="I378" s="49" t="n"/>
    </row>
    <row r="379">
      <c r="B379" s="49" t="n"/>
      <c r="C379" s="49" t="n"/>
      <c r="D379" s="49" t="n"/>
      <c r="E379" s="49" t="n"/>
      <c r="F379" s="49" t="n"/>
      <c r="G379" s="49" t="n"/>
      <c r="H379" s="49" t="n"/>
      <c r="I379" s="49" t="n"/>
    </row>
    <row r="380">
      <c r="B380" s="49" t="n"/>
      <c r="C380" s="49" t="n"/>
      <c r="D380" s="49" t="n"/>
      <c r="E380" s="49" t="n"/>
      <c r="F380" s="49" t="n"/>
      <c r="G380" s="49" t="n"/>
      <c r="H380" s="49" t="n"/>
      <c r="I380" s="49" t="n"/>
    </row>
    <row r="381">
      <c r="B381" s="49" t="n"/>
      <c r="C381" s="49" t="n"/>
      <c r="D381" s="49" t="n"/>
      <c r="E381" s="49" t="n"/>
      <c r="F381" s="49" t="n"/>
      <c r="G381" s="49" t="n"/>
      <c r="H381" s="49" t="n"/>
      <c r="I381" s="49" t="n"/>
    </row>
    <row r="382">
      <c r="B382" s="49" t="n"/>
      <c r="C382" s="49" t="n"/>
      <c r="D382" s="49" t="n"/>
      <c r="E382" s="49" t="n"/>
      <c r="F382" s="49" t="n"/>
      <c r="G382" s="49" t="n"/>
      <c r="H382" s="49" t="n"/>
      <c r="I382" s="49" t="n"/>
    </row>
    <row r="383">
      <c r="B383" s="49" t="n"/>
      <c r="C383" s="49" t="n"/>
      <c r="D383" s="49" t="n"/>
      <c r="E383" s="49" t="n"/>
      <c r="F383" s="49" t="n"/>
      <c r="G383" s="49" t="n"/>
      <c r="H383" s="49" t="n"/>
      <c r="I383" s="49" t="n"/>
    </row>
    <row r="384">
      <c r="B384" s="49" t="n"/>
      <c r="C384" s="49" t="n"/>
      <c r="D384" s="49" t="n"/>
      <c r="E384" s="49" t="n"/>
      <c r="F384" s="49" t="n"/>
      <c r="G384" s="49" t="n"/>
      <c r="H384" s="49" t="n"/>
      <c r="I384" s="49" t="n"/>
    </row>
    <row r="385">
      <c r="B385" s="49" t="n"/>
      <c r="C385" s="49" t="n"/>
      <c r="D385" s="49" t="n"/>
      <c r="E385" s="49" t="n"/>
      <c r="F385" s="49" t="n"/>
      <c r="G385" s="49" t="n"/>
      <c r="H385" s="49" t="n"/>
      <c r="I385" s="49" t="n"/>
    </row>
    <row r="386">
      <c r="B386" s="49" t="n"/>
      <c r="C386" s="49" t="n"/>
      <c r="D386" s="49" t="n"/>
      <c r="E386" s="49" t="n"/>
      <c r="F386" s="49" t="n"/>
      <c r="G386" s="49" t="n"/>
      <c r="H386" s="49" t="n"/>
      <c r="I386" s="49" t="n"/>
    </row>
    <row r="387">
      <c r="B387" s="49" t="n"/>
      <c r="C387" s="49" t="n"/>
      <c r="D387" s="49" t="n"/>
      <c r="E387" s="49" t="n"/>
      <c r="F387" s="49" t="n"/>
      <c r="G387" s="49" t="n"/>
      <c r="H387" s="49" t="n"/>
      <c r="I387" s="49" t="n"/>
    </row>
    <row r="388">
      <c r="B388" s="49" t="n"/>
      <c r="C388" s="49" t="n"/>
      <c r="D388" s="49" t="n"/>
      <c r="E388" s="49" t="n"/>
      <c r="F388" s="49" t="n"/>
      <c r="G388" s="49" t="n"/>
      <c r="H388" s="49" t="n"/>
      <c r="I388" s="49" t="n"/>
    </row>
    <row r="389">
      <c r="B389" s="49" t="n"/>
      <c r="C389" s="49" t="n"/>
      <c r="D389" s="49" t="n"/>
      <c r="E389" s="49" t="n"/>
      <c r="F389" s="49" t="n"/>
      <c r="G389" s="49" t="n"/>
      <c r="H389" s="49" t="n"/>
      <c r="I389" s="49" t="n"/>
    </row>
    <row r="390">
      <c r="B390" s="49" t="n"/>
      <c r="C390" s="49" t="n"/>
      <c r="D390" s="49" t="n"/>
      <c r="E390" s="49" t="n"/>
      <c r="F390" s="49" t="n"/>
      <c r="G390" s="49" t="n"/>
      <c r="H390" s="49" t="n"/>
      <c r="I390" s="49" t="n"/>
    </row>
    <row r="391">
      <c r="B391" s="49" t="n"/>
      <c r="C391" s="49" t="n"/>
      <c r="D391" s="49" t="n"/>
      <c r="E391" s="49" t="n"/>
      <c r="F391" s="49" t="n"/>
      <c r="G391" s="49" t="n"/>
      <c r="H391" s="49" t="n"/>
      <c r="I391" s="49" t="n"/>
    </row>
    <row r="392">
      <c r="B392" s="49" t="n"/>
      <c r="C392" s="49" t="n"/>
      <c r="D392" s="49" t="n"/>
      <c r="E392" s="49" t="n"/>
      <c r="F392" s="49" t="n"/>
      <c r="G392" s="49" t="n"/>
      <c r="H392" s="49" t="n"/>
      <c r="I392" s="49" t="n"/>
    </row>
    <row r="393">
      <c r="B393" s="49" t="n"/>
      <c r="C393" s="49" t="n"/>
      <c r="D393" s="49" t="n"/>
      <c r="E393" s="49" t="n"/>
      <c r="F393" s="49" t="n"/>
      <c r="G393" s="49" t="n"/>
      <c r="H393" s="49" t="n"/>
      <c r="I393" s="49" t="n"/>
    </row>
    <row r="394">
      <c r="B394" s="49" t="n"/>
      <c r="C394" s="49" t="n"/>
      <c r="D394" s="49" t="n"/>
      <c r="E394" s="49" t="n"/>
      <c r="F394" s="49" t="n"/>
      <c r="G394" s="49" t="n"/>
      <c r="H394" s="49" t="n"/>
      <c r="I394" s="49" t="n"/>
    </row>
    <row r="395">
      <c r="B395" s="49" t="n"/>
      <c r="C395" s="49" t="n"/>
      <c r="D395" s="49" t="n"/>
      <c r="E395" s="49" t="n"/>
      <c r="F395" s="49" t="n"/>
      <c r="G395" s="49" t="n"/>
      <c r="H395" s="49" t="n"/>
      <c r="I395" s="49" t="n"/>
    </row>
    <row r="396">
      <c r="B396" s="49" t="n"/>
      <c r="C396" s="49" t="n"/>
      <c r="D396" s="49" t="n"/>
      <c r="E396" s="49" t="n"/>
      <c r="F396" s="49" t="n"/>
      <c r="G396" s="49" t="n"/>
      <c r="H396" s="49" t="n"/>
      <c r="I396" s="49" t="n"/>
    </row>
    <row r="397">
      <c r="B397" s="49" t="n"/>
      <c r="C397" s="49" t="n"/>
      <c r="D397" s="49" t="n"/>
      <c r="E397" s="49" t="n"/>
      <c r="F397" s="49" t="n"/>
      <c r="G397" s="49" t="n"/>
      <c r="H397" s="49" t="n"/>
      <c r="I397" s="49" t="n"/>
    </row>
    <row r="398">
      <c r="B398" s="49" t="n"/>
      <c r="C398" s="49" t="n"/>
      <c r="D398" s="49" t="n"/>
      <c r="E398" s="49" t="n"/>
      <c r="F398" s="49" t="n"/>
      <c r="G398" s="49" t="n"/>
      <c r="H398" s="49" t="n"/>
      <c r="I398" s="49" t="n"/>
    </row>
    <row r="399">
      <c r="B399" s="49" t="n"/>
      <c r="C399" s="49" t="n"/>
      <c r="D399" s="49" t="n"/>
      <c r="E399" s="49" t="n"/>
      <c r="F399" s="49" t="n"/>
      <c r="G399" s="49" t="n"/>
      <c r="H399" s="49" t="n"/>
      <c r="I399" s="49" t="n"/>
    </row>
    <row r="400">
      <c r="B400" s="49" t="n"/>
      <c r="C400" s="49" t="n"/>
      <c r="D400" s="49" t="n"/>
      <c r="E400" s="49" t="n"/>
      <c r="F400" s="49" t="n"/>
      <c r="G400" s="49" t="n"/>
      <c r="H400" s="49" t="n"/>
      <c r="I400" s="49" t="n"/>
    </row>
    <row r="401">
      <c r="B401" s="49" t="n"/>
      <c r="C401" s="49" t="n"/>
      <c r="D401" s="49" t="n"/>
      <c r="E401" s="49" t="n"/>
      <c r="F401" s="49" t="n"/>
      <c r="G401" s="49" t="n"/>
      <c r="H401" s="49" t="n"/>
      <c r="I401" s="49" t="n"/>
    </row>
    <row r="402">
      <c r="B402" s="49" t="n"/>
      <c r="C402" s="49" t="n"/>
      <c r="D402" s="49" t="n"/>
      <c r="E402" s="49" t="n"/>
      <c r="F402" s="49" t="n"/>
      <c r="G402" s="49" t="n"/>
      <c r="H402" s="49" t="n"/>
      <c r="I402" s="49" t="n"/>
    </row>
    <row r="403">
      <c r="B403" s="49" t="n"/>
      <c r="C403" s="49" t="n"/>
      <c r="D403" s="49" t="n"/>
      <c r="E403" s="49" t="n"/>
      <c r="F403" s="49" t="n"/>
      <c r="G403" s="49" t="n"/>
      <c r="H403" s="49" t="n"/>
      <c r="I403" s="49" t="n"/>
    </row>
    <row r="404">
      <c r="B404" s="49" t="n"/>
      <c r="C404" s="49" t="n"/>
      <c r="D404" s="49" t="n"/>
      <c r="E404" s="49" t="n"/>
      <c r="F404" s="49" t="n"/>
      <c r="G404" s="49" t="n"/>
      <c r="H404" s="49" t="n"/>
      <c r="I404" s="49" t="n"/>
    </row>
    <row r="405">
      <c r="B405" s="49" t="n"/>
      <c r="C405" s="49" t="n"/>
      <c r="D405" s="49" t="n"/>
      <c r="E405" s="49" t="n"/>
      <c r="F405" s="49" t="n"/>
      <c r="G405" s="49" t="n"/>
      <c r="H405" s="49" t="n"/>
      <c r="I405" s="49" t="n"/>
    </row>
    <row r="406">
      <c r="B406" s="49" t="n"/>
      <c r="C406" s="49" t="n"/>
      <c r="D406" s="49" t="n"/>
      <c r="E406" s="49" t="n"/>
      <c r="F406" s="49" t="n"/>
      <c r="G406" s="49" t="n"/>
      <c r="H406" s="49" t="n"/>
      <c r="I406" s="49" t="n"/>
    </row>
    <row r="407">
      <c r="B407" s="49" t="n"/>
      <c r="C407" s="49" t="n"/>
      <c r="D407" s="49" t="n"/>
      <c r="E407" s="49" t="n"/>
      <c r="F407" s="49" t="n"/>
      <c r="G407" s="49" t="n"/>
      <c r="H407" s="49" t="n"/>
      <c r="I407" s="49" t="n"/>
    </row>
    <row r="408">
      <c r="B408" s="49" t="n"/>
      <c r="C408" s="49" t="n"/>
      <c r="D408" s="49" t="n"/>
      <c r="E408" s="49" t="n"/>
      <c r="F408" s="49" t="n"/>
      <c r="G408" s="49" t="n"/>
      <c r="H408" s="49" t="n"/>
      <c r="I408" s="49" t="n"/>
    </row>
    <row r="409">
      <c r="B409" s="49" t="n"/>
      <c r="C409" s="49" t="n"/>
      <c r="D409" s="49" t="n"/>
      <c r="E409" s="49" t="n"/>
      <c r="F409" s="49" t="n"/>
      <c r="G409" s="49" t="n"/>
      <c r="H409" s="49" t="n"/>
      <c r="I409" s="49" t="n"/>
    </row>
    <row r="410">
      <c r="B410" s="49" t="n"/>
      <c r="C410" s="49" t="n"/>
      <c r="D410" s="49" t="n"/>
      <c r="E410" s="49" t="n"/>
      <c r="F410" s="49" t="n"/>
      <c r="G410" s="49" t="n"/>
      <c r="H410" s="49" t="n"/>
      <c r="I410" s="49" t="n"/>
    </row>
    <row r="411">
      <c r="B411" s="49" t="n"/>
      <c r="C411" s="49" t="n"/>
      <c r="D411" s="49" t="n"/>
      <c r="E411" s="49" t="n"/>
      <c r="F411" s="49" t="n"/>
      <c r="G411" s="49" t="n"/>
      <c r="H411" s="49" t="n"/>
      <c r="I411" s="49" t="n"/>
    </row>
    <row r="412">
      <c r="B412" s="49" t="n"/>
      <c r="C412" s="49" t="n"/>
      <c r="D412" s="49" t="n"/>
      <c r="E412" s="49" t="n"/>
      <c r="F412" s="49" t="n"/>
      <c r="G412" s="49" t="n"/>
      <c r="H412" s="49" t="n"/>
      <c r="I412" s="49" t="n"/>
    </row>
    <row r="413">
      <c r="B413" s="49" t="n"/>
      <c r="C413" s="49" t="n"/>
      <c r="D413" s="49" t="n"/>
      <c r="E413" s="49" t="n"/>
      <c r="F413" s="49" t="n"/>
      <c r="G413" s="49" t="n"/>
      <c r="H413" s="49" t="n"/>
      <c r="I413" s="49" t="n"/>
    </row>
    <row r="414">
      <c r="B414" s="49" t="n"/>
      <c r="C414" s="49" t="n"/>
      <c r="D414" s="49" t="n"/>
      <c r="E414" s="49" t="n"/>
      <c r="F414" s="49" t="n"/>
      <c r="G414" s="49" t="n"/>
      <c r="H414" s="49" t="n"/>
      <c r="I414" s="49" t="n"/>
    </row>
    <row r="415">
      <c r="B415" s="49" t="n"/>
      <c r="C415" s="49" t="n"/>
      <c r="D415" s="49" t="n"/>
      <c r="E415" s="49" t="n"/>
      <c r="F415" s="49" t="n"/>
      <c r="G415" s="49" t="n"/>
      <c r="H415" s="49" t="n"/>
      <c r="I415" s="49" t="n"/>
    </row>
    <row r="416">
      <c r="B416" s="49" t="n"/>
      <c r="C416" s="49" t="n"/>
      <c r="D416" s="49" t="n"/>
      <c r="E416" s="49" t="n"/>
      <c r="F416" s="49" t="n"/>
      <c r="G416" s="49" t="n"/>
      <c r="H416" s="49" t="n"/>
      <c r="I416" s="49" t="n"/>
    </row>
    <row r="417">
      <c r="B417" s="49" t="n"/>
      <c r="C417" s="49" t="n"/>
      <c r="D417" s="49" t="n"/>
      <c r="E417" s="49" t="n"/>
      <c r="F417" s="49" t="n"/>
      <c r="G417" s="49" t="n"/>
      <c r="H417" s="49" t="n"/>
      <c r="I417" s="49" t="n"/>
    </row>
    <row r="418">
      <c r="B418" s="49" t="n"/>
      <c r="C418" s="49" t="n"/>
      <c r="D418" s="49" t="n"/>
      <c r="E418" s="49" t="n"/>
      <c r="F418" s="49" t="n"/>
      <c r="G418" s="49" t="n"/>
      <c r="H418" s="49" t="n"/>
      <c r="I418" s="49" t="n"/>
    </row>
    <row r="419">
      <c r="B419" s="49" t="n"/>
      <c r="C419" s="49" t="n"/>
      <c r="D419" s="49" t="n"/>
      <c r="E419" s="49" t="n"/>
      <c r="F419" s="49" t="n"/>
      <c r="G419" s="49" t="n"/>
      <c r="H419" s="49" t="n"/>
      <c r="I419" s="49" t="n"/>
    </row>
    <row r="420">
      <c r="B420" s="49" t="n"/>
      <c r="C420" s="49" t="n"/>
      <c r="D420" s="49" t="n"/>
      <c r="E420" s="49" t="n"/>
      <c r="F420" s="49" t="n"/>
      <c r="G420" s="49" t="n"/>
      <c r="H420" s="49" t="n"/>
      <c r="I420" s="49" t="n"/>
    </row>
    <row r="421">
      <c r="B421" s="49" t="n"/>
      <c r="C421" s="49" t="n"/>
      <c r="D421" s="49" t="n"/>
      <c r="E421" s="49" t="n"/>
      <c r="F421" s="49" t="n"/>
      <c r="G421" s="49" t="n"/>
      <c r="H421" s="49" t="n"/>
      <c r="I421" s="49" t="n"/>
    </row>
    <row r="422">
      <c r="B422" s="49" t="n"/>
      <c r="C422" s="49" t="n"/>
      <c r="D422" s="49" t="n"/>
      <c r="E422" s="49" t="n"/>
      <c r="F422" s="49" t="n"/>
      <c r="G422" s="49" t="n"/>
      <c r="H422" s="49" t="n"/>
      <c r="I422" s="49" t="n"/>
    </row>
    <row r="423">
      <c r="B423" s="49" t="n"/>
      <c r="C423" s="49" t="n"/>
      <c r="D423" s="49" t="n"/>
      <c r="E423" s="49" t="n"/>
      <c r="F423" s="49" t="n"/>
      <c r="G423" s="49" t="n"/>
      <c r="H423" s="49" t="n"/>
      <c r="I423" s="49" t="n"/>
    </row>
    <row r="424">
      <c r="B424" s="49" t="n"/>
      <c r="C424" s="49" t="n"/>
      <c r="D424" s="49" t="n"/>
      <c r="E424" s="49" t="n"/>
      <c r="F424" s="49" t="n"/>
      <c r="G424" s="49" t="n"/>
      <c r="H424" s="49" t="n"/>
      <c r="I424" s="49" t="n"/>
    </row>
    <row r="425">
      <c r="B425" s="49" t="n"/>
      <c r="C425" s="49" t="n"/>
      <c r="D425" s="49" t="n"/>
      <c r="E425" s="49" t="n"/>
      <c r="F425" s="49" t="n"/>
      <c r="G425" s="49" t="n"/>
      <c r="H425" s="49" t="n"/>
      <c r="I425" s="49" t="n"/>
    </row>
    <row r="426">
      <c r="B426" s="49" t="n"/>
      <c r="C426" s="49" t="n"/>
      <c r="D426" s="49" t="n"/>
      <c r="E426" s="49" t="n"/>
      <c r="F426" s="49" t="n"/>
      <c r="G426" s="49" t="n"/>
      <c r="H426" s="49" t="n"/>
      <c r="I426" s="49" t="n"/>
    </row>
    <row r="427">
      <c r="B427" s="49" t="n"/>
      <c r="C427" s="49" t="n"/>
      <c r="D427" s="49" t="n"/>
      <c r="E427" s="49" t="n"/>
      <c r="F427" s="49" t="n"/>
      <c r="G427" s="49" t="n"/>
      <c r="H427" s="49" t="n"/>
      <c r="I427" s="49" t="n"/>
    </row>
    <row r="428">
      <c r="B428" s="49" t="n"/>
      <c r="C428" s="49" t="n"/>
      <c r="D428" s="49" t="n"/>
      <c r="E428" s="49" t="n"/>
      <c r="F428" s="49" t="n"/>
      <c r="G428" s="49" t="n"/>
      <c r="H428" s="49" t="n"/>
      <c r="I428" s="49" t="n"/>
    </row>
    <row r="429">
      <c r="B429" s="49" t="n"/>
      <c r="C429" s="49" t="n"/>
      <c r="D429" s="49" t="n"/>
      <c r="E429" s="49" t="n"/>
      <c r="F429" s="49" t="n"/>
      <c r="G429" s="49" t="n"/>
      <c r="H429" s="49" t="n"/>
      <c r="I429" s="49" t="n"/>
    </row>
    <row r="430">
      <c r="B430" s="49" t="n"/>
      <c r="C430" s="49" t="n"/>
      <c r="D430" s="49" t="n"/>
      <c r="E430" s="49" t="n"/>
      <c r="F430" s="49" t="n"/>
      <c r="G430" s="49" t="n"/>
      <c r="H430" s="49" t="n"/>
      <c r="I430" s="49" t="n"/>
    </row>
    <row r="431">
      <c r="B431" s="49" t="n"/>
      <c r="C431" s="49" t="n"/>
      <c r="D431" s="49" t="n"/>
      <c r="E431" s="49" t="n"/>
      <c r="F431" s="49" t="n"/>
      <c r="G431" s="49" t="n"/>
      <c r="H431" s="49" t="n"/>
      <c r="I431" s="49" t="n"/>
    </row>
    <row r="432">
      <c r="B432" s="49" t="n"/>
      <c r="C432" s="49" t="n"/>
      <c r="D432" s="49" t="n"/>
      <c r="E432" s="49" t="n"/>
      <c r="F432" s="49" t="n"/>
      <c r="G432" s="49" t="n"/>
      <c r="H432" s="49" t="n"/>
      <c r="I432" s="49" t="n"/>
    </row>
    <row r="433">
      <c r="B433" s="49" t="n"/>
      <c r="C433" s="49" t="n"/>
      <c r="D433" s="49" t="n"/>
      <c r="E433" s="49" t="n"/>
      <c r="F433" s="49" t="n"/>
      <c r="G433" s="49" t="n"/>
      <c r="H433" s="49" t="n"/>
      <c r="I433" s="49" t="n"/>
    </row>
    <row r="434">
      <c r="B434" s="49" t="n"/>
      <c r="C434" s="49" t="n"/>
      <c r="D434" s="49" t="n"/>
      <c r="E434" s="49" t="n"/>
      <c r="F434" s="49" t="n"/>
      <c r="G434" s="49" t="n"/>
      <c r="H434" s="49" t="n"/>
      <c r="I434" s="49" t="n"/>
    </row>
    <row r="435">
      <c r="B435" s="49" t="n"/>
      <c r="C435" s="49" t="n"/>
      <c r="D435" s="49" t="n"/>
      <c r="E435" s="49" t="n"/>
      <c r="F435" s="49" t="n"/>
      <c r="G435" s="49" t="n"/>
      <c r="H435" s="49" t="n"/>
      <c r="I435" s="49" t="n"/>
    </row>
    <row r="436">
      <c r="B436" s="49" t="n"/>
      <c r="C436" s="49" t="n"/>
      <c r="D436" s="49" t="n"/>
      <c r="E436" s="49" t="n"/>
      <c r="F436" s="49" t="n"/>
      <c r="G436" s="49" t="n"/>
      <c r="H436" s="49" t="n"/>
      <c r="I436" s="49" t="n"/>
    </row>
    <row r="437">
      <c r="B437" s="49" t="n"/>
      <c r="C437" s="49" t="n"/>
      <c r="D437" s="49" t="n"/>
      <c r="E437" s="49" t="n"/>
      <c r="F437" s="49" t="n"/>
      <c r="G437" s="49" t="n"/>
      <c r="H437" s="49" t="n"/>
      <c r="I437" s="49" t="n"/>
    </row>
    <row r="438">
      <c r="B438" s="49" t="n"/>
      <c r="C438" s="49" t="n"/>
      <c r="D438" s="49" t="n"/>
      <c r="E438" s="49" t="n"/>
      <c r="F438" s="49" t="n"/>
      <c r="G438" s="49" t="n"/>
      <c r="H438" s="49" t="n"/>
      <c r="I438" s="49" t="n"/>
    </row>
    <row r="439">
      <c r="B439" s="49" t="n"/>
      <c r="C439" s="49" t="n"/>
      <c r="D439" s="49" t="n"/>
      <c r="E439" s="49" t="n"/>
      <c r="F439" s="49" t="n"/>
      <c r="G439" s="49" t="n"/>
      <c r="H439" s="49" t="n"/>
      <c r="I439" s="49" t="n"/>
    </row>
    <row r="440">
      <c r="B440" s="49" t="n"/>
      <c r="C440" s="49" t="n"/>
      <c r="D440" s="49" t="n"/>
      <c r="E440" s="49" t="n"/>
      <c r="F440" s="49" t="n"/>
      <c r="G440" s="49" t="n"/>
      <c r="H440" s="49" t="n"/>
      <c r="I440" s="49" t="n"/>
    </row>
    <row r="441">
      <c r="B441" s="49" t="n"/>
      <c r="C441" s="49" t="n"/>
      <c r="D441" s="49" t="n"/>
      <c r="E441" s="49" t="n"/>
      <c r="F441" s="49" t="n"/>
      <c r="G441" s="49" t="n"/>
      <c r="H441" s="49" t="n"/>
      <c r="I441" s="49" t="n"/>
    </row>
    <row r="442">
      <c r="B442" s="49" t="n"/>
      <c r="C442" s="49" t="n"/>
      <c r="D442" s="49" t="n"/>
      <c r="E442" s="49" t="n"/>
      <c r="F442" s="49" t="n"/>
      <c r="G442" s="49" t="n"/>
      <c r="H442" s="49" t="n"/>
      <c r="I442" s="49" t="n"/>
    </row>
    <row r="443">
      <c r="B443" s="49" t="n"/>
      <c r="C443" s="49" t="n"/>
      <c r="D443" s="49" t="n"/>
      <c r="E443" s="49" t="n"/>
      <c r="F443" s="49" t="n"/>
      <c r="G443" s="49" t="n"/>
      <c r="H443" s="49" t="n"/>
      <c r="I443" s="49" t="n"/>
    </row>
    <row r="444">
      <c r="B444" s="49" t="n"/>
      <c r="C444" s="49" t="n"/>
      <c r="D444" s="49" t="n"/>
      <c r="E444" s="49" t="n"/>
      <c r="F444" s="49" t="n"/>
      <c r="G444" s="49" t="n"/>
      <c r="H444" s="49" t="n"/>
      <c r="I444" s="49" t="n"/>
    </row>
    <row r="445">
      <c r="B445" s="49" t="n"/>
      <c r="C445" s="49" t="n"/>
      <c r="D445" s="49" t="n"/>
      <c r="E445" s="49" t="n"/>
      <c r="F445" s="49" t="n"/>
      <c r="G445" s="49" t="n"/>
      <c r="H445" s="49" t="n"/>
      <c r="I445" s="49" t="n"/>
    </row>
    <row r="446">
      <c r="B446" s="49" t="n"/>
      <c r="C446" s="49" t="n"/>
      <c r="D446" s="49" t="n"/>
      <c r="E446" s="49" t="n"/>
      <c r="F446" s="49" t="n"/>
      <c r="G446" s="49" t="n"/>
      <c r="H446" s="49" t="n"/>
      <c r="I446" s="49" t="n"/>
    </row>
    <row r="447">
      <c r="B447" s="49" t="n"/>
      <c r="C447" s="49" t="n"/>
      <c r="D447" s="49" t="n"/>
      <c r="E447" s="49" t="n"/>
      <c r="F447" s="49" t="n"/>
      <c r="G447" s="49" t="n"/>
      <c r="H447" s="49" t="n"/>
      <c r="I447" s="49" t="n"/>
    </row>
    <row r="448">
      <c r="B448" s="49" t="n"/>
      <c r="C448" s="49" t="n"/>
      <c r="D448" s="49" t="n"/>
      <c r="E448" s="49" t="n"/>
      <c r="F448" s="49" t="n"/>
      <c r="G448" s="49" t="n"/>
      <c r="H448" s="49" t="n"/>
      <c r="I448" s="49" t="n"/>
    </row>
    <row r="449">
      <c r="B449" s="49" t="n"/>
      <c r="C449" s="49" t="n"/>
      <c r="D449" s="49" t="n"/>
      <c r="E449" s="49" t="n"/>
      <c r="F449" s="49" t="n"/>
      <c r="G449" s="49" t="n"/>
      <c r="H449" s="49" t="n"/>
      <c r="I449" s="49" t="n"/>
    </row>
    <row r="450">
      <c r="B450" s="49" t="n"/>
      <c r="C450" s="49" t="n"/>
      <c r="D450" s="49" t="n"/>
      <c r="E450" s="49" t="n"/>
      <c r="F450" s="49" t="n"/>
      <c r="G450" s="49" t="n"/>
      <c r="H450" s="49" t="n"/>
      <c r="I450" s="49" t="n"/>
    </row>
    <row r="451">
      <c r="B451" s="49" t="n"/>
      <c r="C451" s="49" t="n"/>
      <c r="D451" s="49" t="n"/>
      <c r="E451" s="49" t="n"/>
      <c r="F451" s="49" t="n"/>
      <c r="G451" s="49" t="n"/>
      <c r="H451" s="49" t="n"/>
      <c r="I451" s="49" t="n"/>
    </row>
    <row r="452">
      <c r="B452" s="49" t="n"/>
      <c r="C452" s="49" t="n"/>
      <c r="D452" s="49" t="n"/>
      <c r="E452" s="49" t="n"/>
      <c r="F452" s="49" t="n"/>
      <c r="G452" s="49" t="n"/>
      <c r="H452" s="49" t="n"/>
      <c r="I452" s="49" t="n"/>
    </row>
    <row r="453">
      <c r="B453" s="49" t="n"/>
      <c r="C453" s="49" t="n"/>
      <c r="D453" s="49" t="n"/>
      <c r="E453" s="49" t="n"/>
      <c r="F453" s="49" t="n"/>
      <c r="G453" s="49" t="n"/>
      <c r="H453" s="49" t="n"/>
      <c r="I453" s="49" t="n"/>
    </row>
    <row r="454">
      <c r="B454" s="49" t="n"/>
      <c r="C454" s="49" t="n"/>
      <c r="D454" s="49" t="n"/>
      <c r="E454" s="49" t="n"/>
      <c r="F454" s="49" t="n"/>
      <c r="G454" s="49" t="n"/>
      <c r="H454" s="49" t="n"/>
      <c r="I454" s="49" t="n"/>
    </row>
    <row r="455">
      <c r="B455" s="49" t="n"/>
      <c r="C455" s="49" t="n"/>
      <c r="D455" s="49" t="n"/>
      <c r="E455" s="49" t="n"/>
      <c r="F455" s="49" t="n"/>
      <c r="G455" s="49" t="n"/>
      <c r="H455" s="49" t="n"/>
      <c r="I455" s="49" t="n"/>
    </row>
    <row r="456">
      <c r="B456" s="49" t="n"/>
      <c r="C456" s="49" t="n"/>
      <c r="D456" s="49" t="n"/>
      <c r="E456" s="49" t="n"/>
      <c r="F456" s="49" t="n"/>
      <c r="G456" s="49" t="n"/>
      <c r="H456" s="49" t="n"/>
      <c r="I456" s="49" t="n"/>
    </row>
    <row r="457">
      <c r="B457" s="49" t="n"/>
      <c r="C457" s="49" t="n"/>
      <c r="D457" s="49" t="n"/>
      <c r="E457" s="49" t="n"/>
      <c r="F457" s="49" t="n"/>
      <c r="G457" s="49" t="n"/>
      <c r="H457" s="49" t="n"/>
      <c r="I457" s="49" t="n"/>
    </row>
    <row r="458">
      <c r="B458" s="49" t="n"/>
      <c r="C458" s="49" t="n"/>
      <c r="D458" s="49" t="n"/>
      <c r="E458" s="49" t="n"/>
      <c r="F458" s="49" t="n"/>
      <c r="G458" s="49" t="n"/>
      <c r="H458" s="49" t="n"/>
      <c r="I458" s="49" t="n"/>
    </row>
    <row r="459">
      <c r="B459" s="49" t="n"/>
      <c r="C459" s="49" t="n"/>
      <c r="D459" s="49" t="n"/>
      <c r="E459" s="49" t="n"/>
      <c r="F459" s="49" t="n"/>
      <c r="G459" s="49" t="n"/>
      <c r="H459" s="49" t="n"/>
      <c r="I459" s="49" t="n"/>
    </row>
    <row r="460">
      <c r="B460" s="49" t="n"/>
      <c r="C460" s="49" t="n"/>
      <c r="D460" s="49" t="n"/>
      <c r="E460" s="49" t="n"/>
      <c r="F460" s="49" t="n"/>
      <c r="G460" s="49" t="n"/>
      <c r="H460" s="49" t="n"/>
      <c r="I460" s="49" t="n"/>
    </row>
    <row r="461">
      <c r="B461" s="49" t="n"/>
      <c r="C461" s="49" t="n"/>
      <c r="D461" s="49" t="n"/>
      <c r="E461" s="49" t="n"/>
      <c r="F461" s="49" t="n"/>
      <c r="G461" s="49" t="n"/>
      <c r="H461" s="49" t="n"/>
      <c r="I461" s="49" t="n"/>
    </row>
    <row r="462">
      <c r="B462" s="49" t="n"/>
      <c r="C462" s="49" t="n"/>
      <c r="D462" s="49" t="n"/>
      <c r="E462" s="49" t="n"/>
      <c r="F462" s="49" t="n"/>
      <c r="G462" s="49" t="n"/>
      <c r="H462" s="49" t="n"/>
      <c r="I462" s="49" t="n"/>
    </row>
    <row r="463">
      <c r="B463" s="49" t="n"/>
      <c r="C463" s="49" t="n"/>
      <c r="D463" s="49" t="n"/>
      <c r="E463" s="49" t="n"/>
      <c r="F463" s="49" t="n"/>
      <c r="G463" s="49" t="n"/>
      <c r="H463" s="49" t="n"/>
      <c r="I463" s="49" t="n"/>
    </row>
    <row r="464">
      <c r="B464" s="49" t="n"/>
      <c r="C464" s="49" t="n"/>
      <c r="D464" s="49" t="n"/>
      <c r="E464" s="49" t="n"/>
      <c r="F464" s="49" t="n"/>
      <c r="G464" s="49" t="n"/>
      <c r="H464" s="49" t="n"/>
      <c r="I464" s="49" t="n"/>
    </row>
    <row r="465">
      <c r="B465" s="49" t="n"/>
      <c r="C465" s="49" t="n"/>
      <c r="D465" s="49" t="n"/>
      <c r="E465" s="49" t="n"/>
      <c r="F465" s="49" t="n"/>
      <c r="G465" s="49" t="n"/>
      <c r="H465" s="49" t="n"/>
      <c r="I465" s="49" t="n"/>
    </row>
    <row r="466">
      <c r="B466" s="49" t="n"/>
      <c r="C466" s="49" t="n"/>
      <c r="D466" s="49" t="n"/>
      <c r="E466" s="49" t="n"/>
      <c r="F466" s="49" t="n"/>
      <c r="G466" s="49" t="n"/>
      <c r="H466" s="49" t="n"/>
      <c r="I466" s="49" t="n"/>
    </row>
    <row r="467">
      <c r="B467" s="49" t="n"/>
      <c r="C467" s="49" t="n"/>
      <c r="D467" s="49" t="n"/>
      <c r="E467" s="49" t="n"/>
      <c r="F467" s="49" t="n"/>
      <c r="G467" s="49" t="n"/>
      <c r="H467" s="49" t="n"/>
      <c r="I467" s="49" t="n"/>
    </row>
    <row r="468">
      <c r="B468" s="49" t="n"/>
      <c r="C468" s="49" t="n"/>
      <c r="D468" s="49" t="n"/>
      <c r="E468" s="49" t="n"/>
      <c r="F468" s="49" t="n"/>
      <c r="G468" s="49" t="n"/>
      <c r="H468" s="49" t="n"/>
      <c r="I468" s="49" t="n"/>
    </row>
    <row r="469">
      <c r="B469" s="49" t="n"/>
      <c r="C469" s="49" t="n"/>
      <c r="D469" s="49" t="n"/>
      <c r="E469" s="49" t="n"/>
      <c r="F469" s="49" t="n"/>
      <c r="G469" s="49" t="n"/>
      <c r="H469" s="49" t="n"/>
      <c r="I469" s="49" t="n"/>
    </row>
    <row r="470">
      <c r="B470" s="49" t="n"/>
      <c r="C470" s="49" t="n"/>
      <c r="D470" s="49" t="n"/>
      <c r="E470" s="49" t="n"/>
      <c r="F470" s="49" t="n"/>
      <c r="G470" s="49" t="n"/>
      <c r="H470" s="49" t="n"/>
      <c r="I470" s="49" t="n"/>
    </row>
    <row r="471">
      <c r="B471" s="49" t="n"/>
      <c r="C471" s="49" t="n"/>
      <c r="D471" s="49" t="n"/>
      <c r="E471" s="49" t="n"/>
      <c r="F471" s="49" t="n"/>
      <c r="G471" s="49" t="n"/>
      <c r="H471" s="49" t="n"/>
      <c r="I471" s="49" t="n"/>
    </row>
    <row r="472">
      <c r="B472" s="49" t="n"/>
      <c r="C472" s="49" t="n"/>
      <c r="D472" s="49" t="n"/>
      <c r="E472" s="49" t="n"/>
      <c r="F472" s="49" t="n"/>
      <c r="G472" s="49" t="n"/>
      <c r="H472" s="49" t="n"/>
      <c r="I472" s="49" t="n"/>
    </row>
    <row r="473">
      <c r="B473" s="49" t="n"/>
      <c r="C473" s="49" t="n"/>
      <c r="D473" s="49" t="n"/>
      <c r="E473" s="49" t="n"/>
      <c r="F473" s="49" t="n"/>
      <c r="G473" s="49" t="n"/>
      <c r="H473" s="49" t="n"/>
      <c r="I473" s="49" t="n"/>
    </row>
    <row r="474">
      <c r="B474" s="49" t="n"/>
      <c r="C474" s="49" t="n"/>
      <c r="D474" s="49" t="n"/>
      <c r="E474" s="49" t="n"/>
      <c r="F474" s="49" t="n"/>
      <c r="G474" s="49" t="n"/>
      <c r="H474" s="49" t="n"/>
      <c r="I474" s="49" t="n"/>
    </row>
    <row r="475">
      <c r="B475" s="49" t="n"/>
      <c r="C475" s="49" t="n"/>
      <c r="D475" s="49" t="n"/>
      <c r="E475" s="49" t="n"/>
      <c r="F475" s="49" t="n"/>
      <c r="G475" s="49" t="n"/>
      <c r="H475" s="49" t="n"/>
      <c r="I475" s="49" t="n"/>
    </row>
    <row r="476">
      <c r="B476" s="49" t="n"/>
      <c r="C476" s="49" t="n"/>
      <c r="D476" s="49" t="n"/>
      <c r="E476" s="49" t="n"/>
      <c r="F476" s="49" t="n"/>
      <c r="G476" s="49" t="n"/>
      <c r="H476" s="49" t="n"/>
      <c r="I476" s="49" t="n"/>
    </row>
    <row r="477">
      <c r="B477" s="49" t="n"/>
      <c r="C477" s="49" t="n"/>
      <c r="D477" s="49" t="n"/>
      <c r="E477" s="49" t="n"/>
      <c r="F477" s="49" t="n"/>
      <c r="G477" s="49" t="n"/>
      <c r="H477" s="49" t="n"/>
      <c r="I477" s="49" t="n"/>
    </row>
    <row r="478">
      <c r="B478" s="49" t="n"/>
      <c r="C478" s="49" t="n"/>
      <c r="D478" s="49" t="n"/>
      <c r="E478" s="49" t="n"/>
      <c r="F478" s="49" t="n"/>
      <c r="G478" s="49" t="n"/>
      <c r="H478" s="49" t="n"/>
      <c r="I478" s="49" t="n"/>
    </row>
    <row r="479">
      <c r="B479" s="49" t="n"/>
      <c r="C479" s="49" t="n"/>
      <c r="D479" s="49" t="n"/>
      <c r="E479" s="49" t="n"/>
      <c r="F479" s="49" t="n"/>
      <c r="G479" s="49" t="n"/>
      <c r="H479" s="49" t="n"/>
      <c r="I479" s="49" t="n"/>
    </row>
    <row r="480">
      <c r="B480" s="49" t="n"/>
      <c r="C480" s="49" t="n"/>
      <c r="D480" s="49" t="n"/>
      <c r="E480" s="49" t="n"/>
      <c r="F480" s="49" t="n"/>
      <c r="G480" s="49" t="n"/>
      <c r="H480" s="49" t="n"/>
      <c r="I480" s="49" t="n"/>
    </row>
    <row r="481">
      <c r="B481" s="49" t="n"/>
      <c r="C481" s="49" t="n"/>
      <c r="D481" s="49" t="n"/>
      <c r="E481" s="49" t="n"/>
      <c r="F481" s="49" t="n"/>
      <c r="G481" s="49" t="n"/>
      <c r="H481" s="49" t="n"/>
      <c r="I481" s="49" t="n"/>
    </row>
    <row r="482">
      <c r="B482" s="49" t="n"/>
      <c r="C482" s="49" t="n"/>
      <c r="D482" s="49" t="n"/>
      <c r="E482" s="49" t="n"/>
      <c r="F482" s="49" t="n"/>
      <c r="G482" s="49" t="n"/>
      <c r="H482" s="49" t="n"/>
      <c r="I482" s="49" t="n"/>
    </row>
    <row r="483">
      <c r="B483" s="49" t="n"/>
      <c r="C483" s="49" t="n"/>
      <c r="D483" s="49" t="n"/>
      <c r="E483" s="49" t="n"/>
      <c r="F483" s="49" t="n"/>
      <c r="G483" s="49" t="n"/>
      <c r="H483" s="49" t="n"/>
      <c r="I483" s="49" t="n"/>
    </row>
    <row r="484">
      <c r="B484" s="49" t="n"/>
      <c r="C484" s="49" t="n"/>
      <c r="D484" s="49" t="n"/>
      <c r="E484" s="49" t="n"/>
      <c r="F484" s="49" t="n"/>
      <c r="G484" s="49" t="n"/>
      <c r="H484" s="49" t="n"/>
      <c r="I484" s="49" t="n"/>
    </row>
    <row r="485">
      <c r="B485" s="49" t="n"/>
      <c r="C485" s="49" t="n"/>
      <c r="D485" s="49" t="n"/>
      <c r="E485" s="49" t="n"/>
      <c r="F485" s="49" t="n"/>
      <c r="G485" s="49" t="n"/>
      <c r="H485" s="49" t="n"/>
      <c r="I485" s="49" t="n"/>
    </row>
    <row r="486">
      <c r="B486" s="49" t="n"/>
      <c r="C486" s="49" t="n"/>
      <c r="D486" s="49" t="n"/>
      <c r="E486" s="49" t="n"/>
      <c r="F486" s="49" t="n"/>
      <c r="G486" s="49" t="n"/>
      <c r="H486" s="49" t="n"/>
      <c r="I486" s="49" t="n"/>
    </row>
    <row r="487">
      <c r="B487" s="49" t="n"/>
      <c r="C487" s="49" t="n"/>
      <c r="D487" s="49" t="n"/>
      <c r="E487" s="49" t="n"/>
      <c r="F487" s="49" t="n"/>
      <c r="G487" s="49" t="n"/>
      <c r="H487" s="49" t="n"/>
      <c r="I487" s="49" t="n"/>
    </row>
    <row r="488">
      <c r="B488" s="49" t="n"/>
      <c r="C488" s="49" t="n"/>
      <c r="D488" s="49" t="n"/>
      <c r="E488" s="49" t="n"/>
      <c r="F488" s="49" t="n"/>
      <c r="G488" s="49" t="n"/>
      <c r="H488" s="49" t="n"/>
      <c r="I488" s="49" t="n"/>
    </row>
    <row r="489">
      <c r="B489" s="49" t="n"/>
      <c r="C489" s="49" t="n"/>
      <c r="D489" s="49" t="n"/>
      <c r="E489" s="49" t="n"/>
      <c r="F489" s="49" t="n"/>
      <c r="G489" s="49" t="n"/>
      <c r="H489" s="49" t="n"/>
      <c r="I489" s="49" t="n"/>
    </row>
    <row r="490">
      <c r="B490" s="49" t="n"/>
      <c r="C490" s="49" t="n"/>
      <c r="D490" s="49" t="n"/>
      <c r="E490" s="49" t="n"/>
      <c r="F490" s="49" t="n"/>
      <c r="G490" s="49" t="n"/>
      <c r="H490" s="49" t="n"/>
      <c r="I490" s="49" t="n"/>
    </row>
    <row r="491">
      <c r="B491" s="49" t="n"/>
      <c r="C491" s="49" t="n"/>
      <c r="D491" s="49" t="n"/>
      <c r="E491" s="49" t="n"/>
      <c r="F491" s="49" t="n"/>
      <c r="G491" s="49" t="n"/>
      <c r="H491" s="49" t="n"/>
      <c r="I491" s="49" t="n"/>
    </row>
    <row r="492">
      <c r="B492" s="49" t="n"/>
      <c r="C492" s="49" t="n"/>
      <c r="D492" s="49" t="n"/>
      <c r="E492" s="49" t="n"/>
      <c r="F492" s="49" t="n"/>
      <c r="G492" s="49" t="n"/>
      <c r="H492" s="49" t="n"/>
      <c r="I492" s="49" t="n"/>
    </row>
    <row r="493">
      <c r="B493" s="49" t="n"/>
      <c r="C493" s="49" t="n"/>
      <c r="D493" s="49" t="n"/>
      <c r="E493" s="49" t="n"/>
      <c r="F493" s="49" t="n"/>
      <c r="G493" s="49" t="n"/>
      <c r="H493" s="49" t="n"/>
      <c r="I493" s="49" t="n"/>
    </row>
    <row r="494">
      <c r="B494" s="49" t="n"/>
      <c r="C494" s="49" t="n"/>
      <c r="D494" s="49" t="n"/>
      <c r="E494" s="49" t="n"/>
      <c r="F494" s="49" t="n"/>
      <c r="G494" s="49" t="n"/>
      <c r="H494" s="49" t="n"/>
      <c r="I494" s="49" t="n"/>
    </row>
    <row r="495">
      <c r="B495" s="49" t="n"/>
      <c r="C495" s="49" t="n"/>
      <c r="D495" s="49" t="n"/>
      <c r="E495" s="49" t="n"/>
      <c r="F495" s="49" t="n"/>
      <c r="G495" s="49" t="n"/>
      <c r="H495" s="49" t="n"/>
      <c r="I495" s="49" t="n"/>
    </row>
    <row r="496">
      <c r="B496" s="49" t="n"/>
      <c r="C496" s="49" t="n"/>
      <c r="D496" s="49" t="n"/>
      <c r="E496" s="49" t="n"/>
      <c r="F496" s="49" t="n"/>
      <c r="G496" s="49" t="n"/>
      <c r="H496" s="49" t="n"/>
      <c r="I496" s="49" t="n"/>
    </row>
    <row r="497">
      <c r="B497" s="49" t="n"/>
      <c r="C497" s="49" t="n"/>
      <c r="D497" s="49" t="n"/>
      <c r="E497" s="49" t="n"/>
      <c r="F497" s="49" t="n"/>
      <c r="G497" s="49" t="n"/>
      <c r="H497" s="49" t="n"/>
      <c r="I497" s="49" t="n"/>
    </row>
    <row r="498">
      <c r="B498" s="49" t="n"/>
      <c r="C498" s="49" t="n"/>
      <c r="D498" s="49" t="n"/>
      <c r="E498" s="49" t="n"/>
      <c r="F498" s="49" t="n"/>
      <c r="G498" s="49" t="n"/>
      <c r="H498" s="49" t="n"/>
      <c r="I498" s="49" t="n"/>
    </row>
    <row r="499">
      <c r="B499" s="49" t="n"/>
      <c r="C499" s="49" t="n"/>
      <c r="D499" s="49" t="n"/>
      <c r="E499" s="49" t="n"/>
      <c r="F499" s="49" t="n"/>
      <c r="G499" s="49" t="n"/>
      <c r="H499" s="49" t="n"/>
      <c r="I499" s="49" t="n"/>
    </row>
    <row r="500">
      <c r="B500" s="49" t="n"/>
      <c r="C500" s="49" t="n"/>
      <c r="D500" s="49" t="n"/>
      <c r="E500" s="49" t="n"/>
      <c r="F500" s="49" t="n"/>
      <c r="G500" s="49" t="n"/>
      <c r="H500" s="49" t="n"/>
      <c r="I500" s="49" t="n"/>
    </row>
    <row r="501">
      <c r="B501" s="49" t="n"/>
      <c r="C501" s="49" t="n"/>
      <c r="D501" s="49" t="n"/>
      <c r="E501" s="49" t="n"/>
      <c r="F501" s="49" t="n"/>
      <c r="G501" s="49" t="n"/>
      <c r="H501" s="49" t="n"/>
      <c r="I501" s="49" t="n"/>
    </row>
    <row r="502">
      <c r="B502" s="49" t="n"/>
      <c r="C502" s="49" t="n"/>
      <c r="D502" s="49" t="n"/>
      <c r="E502" s="49" t="n"/>
      <c r="F502" s="49" t="n"/>
      <c r="G502" s="49" t="n"/>
      <c r="H502" s="49" t="n"/>
      <c r="I502" s="49" t="n"/>
    </row>
    <row r="503">
      <c r="B503" s="49" t="n"/>
      <c r="C503" s="49" t="n"/>
      <c r="D503" s="49" t="n"/>
      <c r="E503" s="49" t="n"/>
      <c r="F503" s="49" t="n"/>
      <c r="G503" s="49" t="n"/>
      <c r="H503" s="49" t="n"/>
      <c r="I503" s="49" t="n"/>
    </row>
    <row r="504">
      <c r="B504" s="49" t="n"/>
      <c r="C504" s="49" t="n"/>
      <c r="D504" s="49" t="n"/>
      <c r="E504" s="49" t="n"/>
      <c r="F504" s="49" t="n"/>
      <c r="G504" s="49" t="n"/>
      <c r="H504" s="49" t="n"/>
      <c r="I504" s="49" t="n"/>
    </row>
    <row r="505">
      <c r="B505" s="49" t="n"/>
      <c r="C505" s="49" t="n"/>
      <c r="D505" s="49" t="n"/>
      <c r="E505" s="49" t="n"/>
      <c r="F505" s="49" t="n"/>
      <c r="G505" s="49" t="n"/>
      <c r="H505" s="49" t="n"/>
      <c r="I505" s="49" t="n"/>
    </row>
    <row r="506">
      <c r="B506" s="49" t="n"/>
      <c r="C506" s="49" t="n"/>
      <c r="D506" s="49" t="n"/>
      <c r="E506" s="49" t="n"/>
      <c r="F506" s="49" t="n"/>
      <c r="G506" s="49" t="n"/>
      <c r="H506" s="49" t="n"/>
      <c r="I506" s="49" t="n"/>
    </row>
    <row r="507">
      <c r="B507" s="49" t="n"/>
      <c r="C507" s="49" t="n"/>
      <c r="D507" s="49" t="n"/>
      <c r="E507" s="49" t="n"/>
      <c r="F507" s="49" t="n"/>
      <c r="G507" s="49" t="n"/>
      <c r="H507" s="49" t="n"/>
      <c r="I507" s="49" t="n"/>
    </row>
    <row r="508">
      <c r="B508" s="49" t="n"/>
      <c r="C508" s="49" t="n"/>
      <c r="D508" s="49" t="n"/>
      <c r="E508" s="49" t="n"/>
      <c r="F508" s="49" t="n"/>
      <c r="G508" s="49" t="n"/>
      <c r="H508" s="49" t="n"/>
      <c r="I508" s="49" t="n"/>
    </row>
    <row r="509">
      <c r="B509" s="49" t="n"/>
      <c r="C509" s="49" t="n"/>
      <c r="D509" s="49" t="n"/>
      <c r="E509" s="49" t="n"/>
      <c r="F509" s="49" t="n"/>
      <c r="G509" s="49" t="n"/>
      <c r="H509" s="49" t="n"/>
      <c r="I509" s="49" t="n"/>
    </row>
    <row r="510">
      <c r="B510" s="49" t="n"/>
      <c r="C510" s="49" t="n"/>
      <c r="D510" s="49" t="n"/>
      <c r="E510" s="49" t="n"/>
      <c r="F510" s="49" t="n"/>
      <c r="G510" s="49" t="n"/>
      <c r="H510" s="49" t="n"/>
      <c r="I510" s="49" t="n"/>
    </row>
    <row r="511">
      <c r="B511" s="49" t="n"/>
      <c r="C511" s="49" t="n"/>
      <c r="D511" s="49" t="n"/>
      <c r="E511" s="49" t="n"/>
      <c r="F511" s="49" t="n"/>
      <c r="G511" s="49" t="n"/>
      <c r="H511" s="49" t="n"/>
      <c r="I511" s="49" t="n"/>
    </row>
    <row r="512">
      <c r="B512" s="49" t="n"/>
      <c r="C512" s="49" t="n"/>
      <c r="D512" s="49" t="n"/>
      <c r="E512" s="49" t="n"/>
      <c r="F512" s="49" t="n"/>
      <c r="G512" s="49" t="n"/>
      <c r="H512" s="49" t="n"/>
      <c r="I512" s="49" t="n"/>
    </row>
    <row r="513">
      <c r="B513" s="49" t="n"/>
      <c r="C513" s="49" t="n"/>
      <c r="D513" s="49" t="n"/>
      <c r="E513" s="49" t="n"/>
      <c r="F513" s="49" t="n"/>
      <c r="G513" s="49" t="n"/>
      <c r="H513" s="49" t="n"/>
      <c r="I513" s="49" t="n"/>
    </row>
    <row r="514">
      <c r="B514" s="49" t="n"/>
      <c r="C514" s="49" t="n"/>
      <c r="D514" s="49" t="n"/>
      <c r="E514" s="49" t="n"/>
      <c r="F514" s="49" t="n"/>
      <c r="G514" s="49" t="n"/>
      <c r="H514" s="49" t="n"/>
      <c r="I514" s="49" t="n"/>
    </row>
    <row r="515">
      <c r="B515" s="49" t="n"/>
      <c r="C515" s="49" t="n"/>
      <c r="D515" s="49" t="n"/>
      <c r="E515" s="49" t="n"/>
      <c r="F515" s="49" t="n"/>
      <c r="G515" s="49" t="n"/>
      <c r="H515" s="49" t="n"/>
      <c r="I515" s="49" t="n"/>
    </row>
    <row r="516">
      <c r="B516" s="49" t="n"/>
      <c r="C516" s="49" t="n"/>
      <c r="D516" s="49" t="n"/>
      <c r="E516" s="49" t="n"/>
      <c r="F516" s="49" t="n"/>
      <c r="G516" s="49" t="n"/>
      <c r="H516" s="49" t="n"/>
      <c r="I516" s="49" t="n"/>
    </row>
    <row r="517">
      <c r="B517" s="49" t="n"/>
      <c r="C517" s="49" t="n"/>
      <c r="D517" s="49" t="n"/>
      <c r="E517" s="49" t="n"/>
      <c r="F517" s="49" t="n"/>
      <c r="G517" s="49" t="n"/>
      <c r="H517" s="49" t="n"/>
      <c r="I517"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conditionalFormatting sqref="C17:C517">
    <cfRule type="expression" priority="3" dxfId="6">
      <formula>AND(LEN($B17&amp;$C17&amp;$D17&amp;$E17&amp;$F17&amp;$G17&amp;$H17&amp;$I17)&gt;0,C17="")</formula>
    </cfRule>
  </conditionalFormatting>
  <conditionalFormatting sqref="E17:E517">
    <cfRule type="expression" priority="4" dxfId="6">
      <formula>AND(LEN($B17&amp;$C17&amp;$D17&amp;$E17&amp;$F17&amp;$G17&amp;$H17&amp;$I17)&gt;0,E17="")</formula>
    </cfRule>
  </conditionalFormatting>
  <conditionalFormatting sqref="F17:F517">
    <cfRule type="expression" priority="5" dxfId="6">
      <formula>AND(LEN($B17&amp;$C17&amp;$D17&amp;$E17&amp;$F17&amp;$G17&amp;$H17&amp;$I17)&gt;0,F17="")</formula>
    </cfRule>
  </conditionalFormatting>
  <conditionalFormatting sqref="H17:H517">
    <cfRule type="expression" priority="6" dxfId="6">
      <formula>AND(LEN($B17&amp;$C17&amp;$D17&amp;$E17&amp;$F17&amp;$G17&amp;$H17&amp;$I17)&gt;0,H17="")</formula>
    </cfRule>
  </conditionalFormatting>
  <conditionalFormatting sqref="I17:I517">
    <cfRule type="expression" priority="7" dxfId="6">
      <formula>AND(LEN($B17&amp;$C17&amp;$D17&amp;$E17&amp;$F17&amp;$G17&amp;$H17&amp;$I17)&gt;0,I17="")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Group profile code" prompt="Yes. Code of the profile; an existing code changes the profile"/>
    <dataValidation sqref="C17:C517" showDropDown="0" showInputMessage="1" showErrorMessage="0" allowBlank="1" promptTitle="Name" prompt="Yes. Name shown on screens"/>
    <dataValidation sqref="D17:D517" showDropDown="0" showInputMessage="1" showErrorMessage="0" allowBlank="1" promptTitle="Description" prompt="No. What the profile is for"/>
    <dataValidation sqref="E17:E517" showDropDown="0" showInputMessage="1" showErrorMessage="1" allowBlank="1" errorTitle="Privilege level" error="Choose a value of the list Privilege level (UA-02) (sheet Reference lists)." promptTitle="Privilege level" prompt="Yes. Low, Standard, High or Admin Allowed: Low, Standard, High, Admin (list Privilege level (UA-02))" type="list" errorStyle="stop">
      <formula1>=LIST_UA_02_PRIVILEGE_LEVEL</formula1>
    </dataValidation>
    <dataValidation sqref="F17:F517" showDropDown="0" showInputMessage="1" showErrorMessage="0" allowBlank="1" promptTitle="Permission" prompt="Yes. One row per permission of the profile Allowed: Permission code of the User Access Matrix"/>
    <dataValidation sqref="G17:G517" showDropDown="0" showInputMessage="1" showErrorMessage="0" allowBlank="1" promptTitle="Action class" prompt="No. As shown by the matrix, for the review"/>
    <dataValidation sqref="H17:H517" showDropDown="0" showInputMessage="1" showErrorMessage="1" allowBlank="1" errorTitle="Keep / Add / Remove" error="Choose a value of the list Keep / Add / Remove (UA-02) (sheet Reference lists)." promptTitle="Keep / Add / Remove" prompt="Yes. Change against the matrix as delivered Allowed: KEEP, ADD, REMOVE (list Keep / Add / Remove (UA-02))" type="list" errorStyle="stop">
      <formula1>=LIST_UA_02_KEEP_ADD_REMOVE</formula1>
    </dataValidation>
    <dataValidation sqref="I17:I517" showDropDown="0" showInputMessage="1" showErrorMessage="0" allowBlank="1" promptTitle="Approved by unit head" prompt="Yes. Unit head who confirms the row"/>
  </dataValidations>
  <hyperlinks>
    <hyperlink ref="A2" location="'Start here'!A1"/>
    <hyperlink ref="I2" location="'Questions and comments'!A1"/>
    <hyperlink ref="E14" location="'Reference lists'!A287"/>
    <hyperlink ref="H14" location="'Reference lists'!A29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9" customWidth="1" min="2" max="2"/>
    <col width="13.63636363636363" customWidth="1" min="3" max="3"/>
    <col width="19" customWidth="1" min="4" max="4"/>
    <col width="23.63636363636363" customWidth="1" min="5" max="5"/>
    <col width="19" customWidth="1" min="6" max="6"/>
    <col width="12" customWidth="1" min="7" max="7"/>
  </cols>
  <sheetData>
    <row r="1" ht="26" customHeight="1">
      <c r="A1" s="25" t="inlineStr">
        <is>
          <t>UA-06 Lists of values</t>
        </is>
      </c>
      <c r="G1" s="26" t="inlineStr">
        <is>
          <t>Step 9 of 52</t>
        </is>
      </c>
    </row>
    <row r="2">
      <c r="A2" s="27" t="inlineStr">
        <is>
          <t>← Back to Start here</t>
        </is>
      </c>
      <c r="B2" s="28" t="inlineStr">
        <is>
          <t>Step 9 of 52. Fill in one row per record below the column headers; the guide above each column says what to enter.</t>
        </is>
      </c>
      <c r="G2" s="29" t="inlineStr">
        <is>
          <t>Ask a question →</t>
        </is>
      </c>
    </row>
    <row r="3" outlineLevel="1" ht="28" customHeight="1">
      <c r="A3" s="30" t="inlineStr">
        <is>
          <t>Purpose</t>
        </is>
      </c>
      <c r="B3" s="31" t="inlineStr">
        <is>
          <t>The values of the lists of user access (business unit groups and user levels, empty as delivered; deactivation reasons, to confirm with BDOI; the reason No sign-in for the dormancy period is used by the dormant-user job and stays)</t>
        </is>
      </c>
    </row>
    <row r="4" outlineLevel="1" ht="15.5" customHeight="1">
      <c r="A4" s="30" t="inlineStr">
        <is>
          <t>Provided by</t>
        </is>
      </c>
      <c r="B4" s="31" t="inlineStr">
        <is>
          <t>Business Administration</t>
        </is>
      </c>
    </row>
    <row r="5" outlineLevel="1" ht="15.5" customHeight="1">
      <c r="A5" s="30" t="inlineStr">
        <is>
          <t>Due</t>
        </is>
      </c>
      <c r="B5" s="32" t="inlineStr">
        <is>
          <t>1-Nov-2027 – before the templates that use its codes</t>
        </is>
      </c>
    </row>
    <row r="6" outlineLevel="1" ht="15.5" customHeight="1">
      <c r="A6" s="30" t="inlineStr">
        <is>
          <t>How it is loaded</t>
        </is>
      </c>
      <c r="B6" s="31" t="inlineStr">
        <is>
          <t>Upload on the configuration screen Setup &amp; Administration › Broking Setup › Lists of Values, approved by a second user</t>
        </is>
      </c>
    </row>
    <row r="7" outlineLevel="1" ht="15.5" customHeight="1">
      <c r="A7" s="30" t="inlineStr">
        <is>
          <t>Source</t>
        </is>
      </c>
      <c r="B7" s="31" t="inlineStr">
        <is>
          <t>Upload template of the configuration screen (the same columns, headers, mandatory flags and allowed values)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SUMPRODUCT(((ROW($B$17:$B$517)&gt;17)+($B$17&lt;&gt;"UAM_BUSINESS_UNIT")&gt;0)*(LEN($B$17:$B$517&amp;$C$17:$C$517&amp;$D$17:$D$517&amp;$E$17:$E$517&amp;$F$17:$F$517)&gt;0))</f>
        <v/>
      </c>
      <c r="D9" s="35" t="inlineStr">
        <is>
          <t>Mandatory cells missing</t>
        </is>
      </c>
      <c r="E9" s="36">
        <f>SUMPRODUCT(((ROW($B$17:$B$517)&gt;17)+($B$17&lt;&gt;"UAM_BUSINESS_UNIT")&gt;0)*(LEN($B$17:$B$517&amp;$C$17:$C$517&amp;$D$17:$D$517&amp;$E$17:$E$517&amp;$F$17:$F$517)&gt;0)*(($B$17:$B$517="")+($C$17:$C$517="")+($D$17:$D$517="")+($F$17:$F$517="")))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row>
    <row r="13" ht="30" customHeight="1">
      <c r="A13" s="41" t="inlineStr">
        <is>
          <t>Format</t>
        </is>
      </c>
      <c r="B13" s="43" t="inlineStr">
        <is>
          <t>Code from the drop-down</t>
        </is>
      </c>
      <c r="C13" s="43" t="inlineStr">
        <is>
          <t>Up to 30 capitals, digits or _</t>
        </is>
      </c>
      <c r="D13" s="43" t="inlineStr">
        <is>
          <t>Up to 120 characters</t>
        </is>
      </c>
      <c r="E13" s="43" t="inlineStr">
        <is>
          <t>Number without thousands separators, e.g. 1500000.50</t>
        </is>
      </c>
      <c r="F13" s="43" t="inlineStr">
        <is>
          <t>Date dd-MMM-yyyy, e.g. 15-Jan-2026</t>
        </is>
      </c>
    </row>
    <row r="14" ht="56" customHeight="1">
      <c r="A14" s="41" t="inlineStr">
        <is>
          <t>Allowed values</t>
        </is>
      </c>
      <c r="B14" s="51" t="inlineStr">
        <is>
          <t>UAM_BUSINESS_UNIT, UAM_USER_LEVEL, UAM_DEACTIVATION_REASON (list List (UA-06))</t>
        </is>
      </c>
      <c r="C14" s="43" t="inlineStr">
        <is>
          <t>Free entry</t>
        </is>
      </c>
      <c r="D14" s="43" t="inlineStr">
        <is>
          <t>Free entry</t>
        </is>
      </c>
      <c r="E14" s="43" t="inlineStr">
        <is>
          <t>A number</t>
        </is>
      </c>
      <c r="F14" s="43" t="inlineStr">
        <is>
          <t>A date, for example 15-Jan-2028</t>
        </is>
      </c>
    </row>
    <row r="15" ht="30" customHeight="1">
      <c r="A15" s="41" t="inlineStr">
        <is>
          <t>What to enter</t>
        </is>
      </c>
      <c r="B15" s="43" t="inlineStr">
        <is>
          <t>The list</t>
        </is>
      </c>
      <c r="C15" s="43" t="inlineStr">
        <is>
          <t>Code of the value</t>
        </is>
      </c>
      <c r="D15" s="43" t="inlineStr">
        <is>
          <t>Label shown on screens</t>
        </is>
      </c>
      <c r="E15" s="43" t="inlineStr">
        <is>
          <t>Order in the drop-down</t>
        </is>
      </c>
      <c r="F15" s="43" t="inlineStr">
        <is>
          <t>Date the value may be used</t>
        </is>
      </c>
    </row>
    <row r="16" ht="30" customHeight="1">
      <c r="A16" s="44" t="inlineStr">
        <is>
          <t>Row</t>
        </is>
      </c>
      <c r="B16" s="45" t="inlineStr">
        <is>
          <t>List *</t>
        </is>
      </c>
      <c r="C16" s="45" t="inlineStr">
        <is>
          <t>Code *</t>
        </is>
      </c>
      <c r="D16" s="45" t="inlineStr">
        <is>
          <t>Label *</t>
        </is>
      </c>
      <c r="E16" s="45" t="inlineStr">
        <is>
          <t>Sort order</t>
        </is>
      </c>
      <c r="F16" s="45" t="inlineStr">
        <is>
          <t>Effective from *</t>
        </is>
      </c>
    </row>
    <row r="17" ht="18" customHeight="1">
      <c r="A17" s="46" t="inlineStr">
        <is>
          <t>Example – overwrite or delete</t>
        </is>
      </c>
      <c r="B17" s="47" t="inlineStr">
        <is>
          <t>UAM_BUSINESS_UNIT</t>
        </is>
      </c>
      <c r="C17" s="47" t="inlineStr">
        <is>
          <t>COMBANK_MKT</t>
        </is>
      </c>
      <c r="D17" s="47" t="inlineStr">
        <is>
          <t>Combank Marketing</t>
        </is>
      </c>
      <c r="E17" s="52" t="n">
        <v>10</v>
      </c>
      <c r="F17" s="48" t="n">
        <v>46391</v>
      </c>
    </row>
    <row r="18">
      <c r="B18" s="49" t="n"/>
      <c r="C18" s="49" t="n"/>
      <c r="D18" s="49" t="n"/>
      <c r="F18" s="50" t="n"/>
    </row>
    <row r="19">
      <c r="B19" s="49" t="n"/>
      <c r="C19" s="49" t="n"/>
      <c r="D19" s="49" t="n"/>
      <c r="F19" s="50" t="n"/>
    </row>
    <row r="20">
      <c r="B20" s="49" t="n"/>
      <c r="C20" s="49" t="n"/>
      <c r="D20" s="49" t="n"/>
      <c r="F20" s="50" t="n"/>
    </row>
    <row r="21">
      <c r="B21" s="49" t="n"/>
      <c r="C21" s="49" t="n"/>
      <c r="D21" s="49" t="n"/>
      <c r="F21" s="50" t="n"/>
    </row>
    <row r="22">
      <c r="B22" s="49" t="n"/>
      <c r="C22" s="49" t="n"/>
      <c r="D22" s="49" t="n"/>
      <c r="F22" s="50" t="n"/>
    </row>
    <row r="23">
      <c r="B23" s="49" t="n"/>
      <c r="C23" s="49" t="n"/>
      <c r="D23" s="49" t="n"/>
      <c r="F23" s="50" t="n"/>
    </row>
    <row r="24">
      <c r="B24" s="49" t="n"/>
      <c r="C24" s="49" t="n"/>
      <c r="D24" s="49" t="n"/>
      <c r="F24" s="50" t="n"/>
    </row>
    <row r="25">
      <c r="B25" s="49" t="n"/>
      <c r="C25" s="49" t="n"/>
      <c r="D25" s="49" t="n"/>
      <c r="F25" s="50" t="n"/>
    </row>
    <row r="26">
      <c r="B26" s="49" t="n"/>
      <c r="C26" s="49" t="n"/>
      <c r="D26" s="49" t="n"/>
      <c r="F26" s="50" t="n"/>
    </row>
    <row r="27">
      <c r="B27" s="49" t="n"/>
      <c r="C27" s="49" t="n"/>
      <c r="D27" s="49" t="n"/>
      <c r="F27" s="50" t="n"/>
    </row>
    <row r="28">
      <c r="B28" s="49" t="n"/>
      <c r="C28" s="49" t="n"/>
      <c r="D28" s="49" t="n"/>
      <c r="F28" s="50" t="n"/>
    </row>
    <row r="29">
      <c r="B29" s="49" t="n"/>
      <c r="C29" s="49" t="n"/>
      <c r="D29" s="49" t="n"/>
      <c r="F29" s="50" t="n"/>
    </row>
    <row r="30">
      <c r="B30" s="49" t="n"/>
      <c r="C30" s="49" t="n"/>
      <c r="D30" s="49" t="n"/>
      <c r="F30" s="50" t="n"/>
    </row>
    <row r="31">
      <c r="B31" s="49" t="n"/>
      <c r="C31" s="49" t="n"/>
      <c r="D31" s="49" t="n"/>
      <c r="F31" s="50" t="n"/>
    </row>
    <row r="32">
      <c r="B32" s="49" t="n"/>
      <c r="C32" s="49" t="n"/>
      <c r="D32" s="49" t="n"/>
      <c r="F32" s="50" t="n"/>
    </row>
    <row r="33">
      <c r="B33" s="49" t="n"/>
      <c r="C33" s="49" t="n"/>
      <c r="D33" s="49" t="n"/>
      <c r="F33" s="50" t="n"/>
    </row>
    <row r="34">
      <c r="B34" s="49" t="n"/>
      <c r="C34" s="49" t="n"/>
      <c r="D34" s="49" t="n"/>
      <c r="F34" s="50" t="n"/>
    </row>
    <row r="35">
      <c r="B35" s="49" t="n"/>
      <c r="C35" s="49" t="n"/>
      <c r="D35" s="49" t="n"/>
      <c r="F35" s="50" t="n"/>
    </row>
    <row r="36">
      <c r="B36" s="49" t="n"/>
      <c r="C36" s="49" t="n"/>
      <c r="D36" s="49" t="n"/>
      <c r="F36" s="50" t="n"/>
    </row>
    <row r="37">
      <c r="B37" s="49" t="n"/>
      <c r="C37" s="49" t="n"/>
      <c r="D37" s="49" t="n"/>
      <c r="F37" s="50" t="n"/>
    </row>
    <row r="38">
      <c r="B38" s="49" t="n"/>
      <c r="C38" s="49" t="n"/>
      <c r="D38" s="49" t="n"/>
      <c r="F38" s="50" t="n"/>
    </row>
    <row r="39">
      <c r="B39" s="49" t="n"/>
      <c r="C39" s="49" t="n"/>
      <c r="D39" s="49" t="n"/>
      <c r="F39" s="50" t="n"/>
    </row>
    <row r="40">
      <c r="B40" s="49" t="n"/>
      <c r="C40" s="49" t="n"/>
      <c r="D40" s="49" t="n"/>
      <c r="F40" s="50" t="n"/>
    </row>
    <row r="41">
      <c r="B41" s="49" t="n"/>
      <c r="C41" s="49" t="n"/>
      <c r="D41" s="49" t="n"/>
      <c r="F41" s="50" t="n"/>
    </row>
    <row r="42">
      <c r="B42" s="49" t="n"/>
      <c r="C42" s="49" t="n"/>
      <c r="D42" s="49" t="n"/>
      <c r="F42" s="50" t="n"/>
    </row>
    <row r="43">
      <c r="B43" s="49" t="n"/>
      <c r="C43" s="49" t="n"/>
      <c r="D43" s="49" t="n"/>
      <c r="F43" s="50" t="n"/>
    </row>
    <row r="44">
      <c r="B44" s="49" t="n"/>
      <c r="C44" s="49" t="n"/>
      <c r="D44" s="49" t="n"/>
      <c r="F44" s="50" t="n"/>
    </row>
    <row r="45">
      <c r="B45" s="49" t="n"/>
      <c r="C45" s="49" t="n"/>
      <c r="D45" s="49" t="n"/>
      <c r="F45" s="50" t="n"/>
    </row>
    <row r="46">
      <c r="B46" s="49" t="n"/>
      <c r="C46" s="49" t="n"/>
      <c r="D46" s="49" t="n"/>
      <c r="F46" s="50" t="n"/>
    </row>
    <row r="47">
      <c r="B47" s="49" t="n"/>
      <c r="C47" s="49" t="n"/>
      <c r="D47" s="49" t="n"/>
      <c r="F47" s="50" t="n"/>
    </row>
    <row r="48">
      <c r="B48" s="49" t="n"/>
      <c r="C48" s="49" t="n"/>
      <c r="D48" s="49" t="n"/>
      <c r="F48" s="50" t="n"/>
    </row>
    <row r="49">
      <c r="B49" s="49" t="n"/>
      <c r="C49" s="49" t="n"/>
      <c r="D49" s="49" t="n"/>
      <c r="F49" s="50" t="n"/>
    </row>
    <row r="50">
      <c r="B50" s="49" t="n"/>
      <c r="C50" s="49" t="n"/>
      <c r="D50" s="49" t="n"/>
      <c r="F50" s="50" t="n"/>
    </row>
    <row r="51">
      <c r="B51" s="49" t="n"/>
      <c r="C51" s="49" t="n"/>
      <c r="D51" s="49" t="n"/>
      <c r="F51" s="50" t="n"/>
    </row>
    <row r="52">
      <c r="B52" s="49" t="n"/>
      <c r="C52" s="49" t="n"/>
      <c r="D52" s="49" t="n"/>
      <c r="F52" s="50" t="n"/>
    </row>
    <row r="53">
      <c r="B53" s="49" t="n"/>
      <c r="C53" s="49" t="n"/>
      <c r="D53" s="49" t="n"/>
      <c r="F53" s="50" t="n"/>
    </row>
    <row r="54">
      <c r="B54" s="49" t="n"/>
      <c r="C54" s="49" t="n"/>
      <c r="D54" s="49" t="n"/>
      <c r="F54" s="50" t="n"/>
    </row>
    <row r="55">
      <c r="B55" s="49" t="n"/>
      <c r="C55" s="49" t="n"/>
      <c r="D55" s="49" t="n"/>
      <c r="F55" s="50" t="n"/>
    </row>
    <row r="56">
      <c r="B56" s="49" t="n"/>
      <c r="C56" s="49" t="n"/>
      <c r="D56" s="49" t="n"/>
      <c r="F56" s="50" t="n"/>
    </row>
    <row r="57">
      <c r="B57" s="49" t="n"/>
      <c r="C57" s="49" t="n"/>
      <c r="D57" s="49" t="n"/>
      <c r="F57" s="50" t="n"/>
    </row>
    <row r="58">
      <c r="B58" s="49" t="n"/>
      <c r="C58" s="49" t="n"/>
      <c r="D58" s="49" t="n"/>
      <c r="F58" s="50" t="n"/>
    </row>
    <row r="59">
      <c r="B59" s="49" t="n"/>
      <c r="C59" s="49" t="n"/>
      <c r="D59" s="49" t="n"/>
      <c r="F59" s="50" t="n"/>
    </row>
    <row r="60">
      <c r="B60" s="49" t="n"/>
      <c r="C60" s="49" t="n"/>
      <c r="D60" s="49" t="n"/>
      <c r="F60" s="50" t="n"/>
    </row>
    <row r="61">
      <c r="B61" s="49" t="n"/>
      <c r="C61" s="49" t="n"/>
      <c r="D61" s="49" t="n"/>
      <c r="F61" s="50" t="n"/>
    </row>
    <row r="62">
      <c r="B62" s="49" t="n"/>
      <c r="C62" s="49" t="n"/>
      <c r="D62" s="49" t="n"/>
      <c r="F62" s="50" t="n"/>
    </row>
    <row r="63">
      <c r="B63" s="49" t="n"/>
      <c r="C63" s="49" t="n"/>
      <c r="D63" s="49" t="n"/>
      <c r="F63" s="50" t="n"/>
    </row>
    <row r="64">
      <c r="B64" s="49" t="n"/>
      <c r="C64" s="49" t="n"/>
      <c r="D64" s="49" t="n"/>
      <c r="F64" s="50" t="n"/>
    </row>
    <row r="65">
      <c r="B65" s="49" t="n"/>
      <c r="C65" s="49" t="n"/>
      <c r="D65" s="49" t="n"/>
      <c r="F65" s="50" t="n"/>
    </row>
    <row r="66">
      <c r="B66" s="49" t="n"/>
      <c r="C66" s="49" t="n"/>
      <c r="D66" s="49" t="n"/>
      <c r="F66" s="50" t="n"/>
    </row>
    <row r="67">
      <c r="B67" s="49" t="n"/>
      <c r="C67" s="49" t="n"/>
      <c r="D67" s="49" t="n"/>
      <c r="F67" s="50" t="n"/>
    </row>
    <row r="68">
      <c r="B68" s="49" t="n"/>
      <c r="C68" s="49" t="n"/>
      <c r="D68" s="49" t="n"/>
      <c r="F68" s="50" t="n"/>
    </row>
    <row r="69">
      <c r="B69" s="49" t="n"/>
      <c r="C69" s="49" t="n"/>
      <c r="D69" s="49" t="n"/>
      <c r="F69" s="50" t="n"/>
    </row>
    <row r="70">
      <c r="B70" s="49" t="n"/>
      <c r="C70" s="49" t="n"/>
      <c r="D70" s="49" t="n"/>
      <c r="F70" s="50" t="n"/>
    </row>
    <row r="71">
      <c r="B71" s="49" t="n"/>
      <c r="C71" s="49" t="n"/>
      <c r="D71" s="49" t="n"/>
      <c r="F71" s="50" t="n"/>
    </row>
    <row r="72">
      <c r="B72" s="49" t="n"/>
      <c r="C72" s="49" t="n"/>
      <c r="D72" s="49" t="n"/>
      <c r="F72" s="50" t="n"/>
    </row>
    <row r="73">
      <c r="B73" s="49" t="n"/>
      <c r="C73" s="49" t="n"/>
      <c r="D73" s="49" t="n"/>
      <c r="F73" s="50" t="n"/>
    </row>
    <row r="74">
      <c r="B74" s="49" t="n"/>
      <c r="C74" s="49" t="n"/>
      <c r="D74" s="49" t="n"/>
      <c r="F74" s="50" t="n"/>
    </row>
    <row r="75">
      <c r="B75" s="49" t="n"/>
      <c r="C75" s="49" t="n"/>
      <c r="D75" s="49" t="n"/>
      <c r="F75" s="50" t="n"/>
    </row>
    <row r="76">
      <c r="B76" s="49" t="n"/>
      <c r="C76" s="49" t="n"/>
      <c r="D76" s="49" t="n"/>
      <c r="F76" s="50" t="n"/>
    </row>
    <row r="77">
      <c r="B77" s="49" t="n"/>
      <c r="C77" s="49" t="n"/>
      <c r="D77" s="49" t="n"/>
      <c r="F77" s="50" t="n"/>
    </row>
    <row r="78">
      <c r="B78" s="49" t="n"/>
      <c r="C78" s="49" t="n"/>
      <c r="D78" s="49" t="n"/>
      <c r="F78" s="50" t="n"/>
    </row>
    <row r="79">
      <c r="B79" s="49" t="n"/>
      <c r="C79" s="49" t="n"/>
      <c r="D79" s="49" t="n"/>
      <c r="F79" s="50" t="n"/>
    </row>
    <row r="80">
      <c r="B80" s="49" t="n"/>
      <c r="C80" s="49" t="n"/>
      <c r="D80" s="49" t="n"/>
      <c r="F80" s="50" t="n"/>
    </row>
    <row r="81">
      <c r="B81" s="49" t="n"/>
      <c r="C81" s="49" t="n"/>
      <c r="D81" s="49" t="n"/>
      <c r="F81" s="50" t="n"/>
    </row>
    <row r="82">
      <c r="B82" s="49" t="n"/>
      <c r="C82" s="49" t="n"/>
      <c r="D82" s="49" t="n"/>
      <c r="F82" s="50" t="n"/>
    </row>
    <row r="83">
      <c r="B83" s="49" t="n"/>
      <c r="C83" s="49" t="n"/>
      <c r="D83" s="49" t="n"/>
      <c r="F83" s="50" t="n"/>
    </row>
    <row r="84">
      <c r="B84" s="49" t="n"/>
      <c r="C84" s="49" t="n"/>
      <c r="D84" s="49" t="n"/>
      <c r="F84" s="50" t="n"/>
    </row>
    <row r="85">
      <c r="B85" s="49" t="n"/>
      <c r="C85" s="49" t="n"/>
      <c r="D85" s="49" t="n"/>
      <c r="F85" s="50" t="n"/>
    </row>
    <row r="86">
      <c r="B86" s="49" t="n"/>
      <c r="C86" s="49" t="n"/>
      <c r="D86" s="49" t="n"/>
      <c r="F86" s="50" t="n"/>
    </row>
    <row r="87">
      <c r="B87" s="49" t="n"/>
      <c r="C87" s="49" t="n"/>
      <c r="D87" s="49" t="n"/>
      <c r="F87" s="50" t="n"/>
    </row>
    <row r="88">
      <c r="B88" s="49" t="n"/>
      <c r="C88" s="49" t="n"/>
      <c r="D88" s="49" t="n"/>
      <c r="F88" s="50" t="n"/>
    </row>
    <row r="89">
      <c r="B89" s="49" t="n"/>
      <c r="C89" s="49" t="n"/>
      <c r="D89" s="49" t="n"/>
      <c r="F89" s="50" t="n"/>
    </row>
    <row r="90">
      <c r="B90" s="49" t="n"/>
      <c r="C90" s="49" t="n"/>
      <c r="D90" s="49" t="n"/>
      <c r="F90" s="50" t="n"/>
    </row>
    <row r="91">
      <c r="B91" s="49" t="n"/>
      <c r="C91" s="49" t="n"/>
      <c r="D91" s="49" t="n"/>
      <c r="F91" s="50" t="n"/>
    </row>
    <row r="92">
      <c r="B92" s="49" t="n"/>
      <c r="C92" s="49" t="n"/>
      <c r="D92" s="49" t="n"/>
      <c r="F92" s="50" t="n"/>
    </row>
    <row r="93">
      <c r="B93" s="49" t="n"/>
      <c r="C93" s="49" t="n"/>
      <c r="D93" s="49" t="n"/>
      <c r="F93" s="50" t="n"/>
    </row>
    <row r="94">
      <c r="B94" s="49" t="n"/>
      <c r="C94" s="49" t="n"/>
      <c r="D94" s="49" t="n"/>
      <c r="F94" s="50" t="n"/>
    </row>
    <row r="95">
      <c r="B95" s="49" t="n"/>
      <c r="C95" s="49" t="n"/>
      <c r="D95" s="49" t="n"/>
      <c r="F95" s="50" t="n"/>
    </row>
    <row r="96">
      <c r="B96" s="49" t="n"/>
      <c r="C96" s="49" t="n"/>
      <c r="D96" s="49" t="n"/>
      <c r="F96" s="50" t="n"/>
    </row>
    <row r="97">
      <c r="B97" s="49" t="n"/>
      <c r="C97" s="49" t="n"/>
      <c r="D97" s="49" t="n"/>
      <c r="F97" s="50" t="n"/>
    </row>
    <row r="98">
      <c r="B98" s="49" t="n"/>
      <c r="C98" s="49" t="n"/>
      <c r="D98" s="49" t="n"/>
      <c r="F98" s="50" t="n"/>
    </row>
    <row r="99">
      <c r="B99" s="49" t="n"/>
      <c r="C99" s="49" t="n"/>
      <c r="D99" s="49" t="n"/>
      <c r="F99" s="50" t="n"/>
    </row>
    <row r="100">
      <c r="B100" s="49" t="n"/>
      <c r="C100" s="49" t="n"/>
      <c r="D100" s="49" t="n"/>
      <c r="F100" s="50" t="n"/>
    </row>
    <row r="101">
      <c r="B101" s="49" t="n"/>
      <c r="C101" s="49" t="n"/>
      <c r="D101" s="49" t="n"/>
      <c r="F101" s="50" t="n"/>
    </row>
    <row r="102">
      <c r="B102" s="49" t="n"/>
      <c r="C102" s="49" t="n"/>
      <c r="D102" s="49" t="n"/>
      <c r="F102" s="50" t="n"/>
    </row>
    <row r="103">
      <c r="B103" s="49" t="n"/>
      <c r="C103" s="49" t="n"/>
      <c r="D103" s="49" t="n"/>
      <c r="F103" s="50" t="n"/>
    </row>
    <row r="104">
      <c r="B104" s="49" t="n"/>
      <c r="C104" s="49" t="n"/>
      <c r="D104" s="49" t="n"/>
      <c r="F104" s="50" t="n"/>
    </row>
    <row r="105">
      <c r="B105" s="49" t="n"/>
      <c r="C105" s="49" t="n"/>
      <c r="D105" s="49" t="n"/>
      <c r="F105" s="50" t="n"/>
    </row>
    <row r="106">
      <c r="B106" s="49" t="n"/>
      <c r="C106" s="49" t="n"/>
      <c r="D106" s="49" t="n"/>
      <c r="F106" s="50" t="n"/>
    </row>
    <row r="107">
      <c r="B107" s="49" t="n"/>
      <c r="C107" s="49" t="n"/>
      <c r="D107" s="49" t="n"/>
      <c r="F107" s="50" t="n"/>
    </row>
    <row r="108">
      <c r="B108" s="49" t="n"/>
      <c r="C108" s="49" t="n"/>
      <c r="D108" s="49" t="n"/>
      <c r="F108" s="50" t="n"/>
    </row>
    <row r="109">
      <c r="B109" s="49" t="n"/>
      <c r="C109" s="49" t="n"/>
      <c r="D109" s="49" t="n"/>
      <c r="F109" s="50" t="n"/>
    </row>
    <row r="110">
      <c r="B110" s="49" t="n"/>
      <c r="C110" s="49" t="n"/>
      <c r="D110" s="49" t="n"/>
      <c r="F110" s="50" t="n"/>
    </row>
    <row r="111">
      <c r="B111" s="49" t="n"/>
      <c r="C111" s="49" t="n"/>
      <c r="D111" s="49" t="n"/>
      <c r="F111" s="50" t="n"/>
    </row>
    <row r="112">
      <c r="B112" s="49" t="n"/>
      <c r="C112" s="49" t="n"/>
      <c r="D112" s="49" t="n"/>
      <c r="F112" s="50" t="n"/>
    </row>
    <row r="113">
      <c r="B113" s="49" t="n"/>
      <c r="C113" s="49" t="n"/>
      <c r="D113" s="49" t="n"/>
      <c r="F113" s="50" t="n"/>
    </row>
    <row r="114">
      <c r="B114" s="49" t="n"/>
      <c r="C114" s="49" t="n"/>
      <c r="D114" s="49" t="n"/>
      <c r="F114" s="50" t="n"/>
    </row>
    <row r="115">
      <c r="B115" s="49" t="n"/>
      <c r="C115" s="49" t="n"/>
      <c r="D115" s="49" t="n"/>
      <c r="F115" s="50" t="n"/>
    </row>
    <row r="116">
      <c r="B116" s="49" t="n"/>
      <c r="C116" s="49" t="n"/>
      <c r="D116" s="49" t="n"/>
      <c r="F116" s="50" t="n"/>
    </row>
    <row r="117">
      <c r="B117" s="49" t="n"/>
      <c r="C117" s="49" t="n"/>
      <c r="D117" s="49" t="n"/>
      <c r="F117" s="50" t="n"/>
    </row>
    <row r="118">
      <c r="B118" s="49" t="n"/>
      <c r="C118" s="49" t="n"/>
      <c r="D118" s="49" t="n"/>
      <c r="F118" s="50" t="n"/>
    </row>
    <row r="119">
      <c r="B119" s="49" t="n"/>
      <c r="C119" s="49" t="n"/>
      <c r="D119" s="49" t="n"/>
      <c r="F119" s="50" t="n"/>
    </row>
    <row r="120">
      <c r="B120" s="49" t="n"/>
      <c r="C120" s="49" t="n"/>
      <c r="D120" s="49" t="n"/>
      <c r="F120" s="50" t="n"/>
    </row>
    <row r="121">
      <c r="B121" s="49" t="n"/>
      <c r="C121" s="49" t="n"/>
      <c r="D121" s="49" t="n"/>
      <c r="F121" s="50" t="n"/>
    </row>
    <row r="122">
      <c r="B122" s="49" t="n"/>
      <c r="C122" s="49" t="n"/>
      <c r="D122" s="49" t="n"/>
      <c r="F122" s="50" t="n"/>
    </row>
    <row r="123">
      <c r="B123" s="49" t="n"/>
      <c r="C123" s="49" t="n"/>
      <c r="D123" s="49" t="n"/>
      <c r="F123" s="50" t="n"/>
    </row>
    <row r="124">
      <c r="B124" s="49" t="n"/>
      <c r="C124" s="49" t="n"/>
      <c r="D124" s="49" t="n"/>
      <c r="F124" s="50" t="n"/>
    </row>
    <row r="125">
      <c r="B125" s="49" t="n"/>
      <c r="C125" s="49" t="n"/>
      <c r="D125" s="49" t="n"/>
      <c r="F125" s="50" t="n"/>
    </row>
    <row r="126">
      <c r="B126" s="49" t="n"/>
      <c r="C126" s="49" t="n"/>
      <c r="D126" s="49" t="n"/>
      <c r="F126" s="50" t="n"/>
    </row>
    <row r="127">
      <c r="B127" s="49" t="n"/>
      <c r="C127" s="49" t="n"/>
      <c r="D127" s="49" t="n"/>
      <c r="F127" s="50" t="n"/>
    </row>
    <row r="128">
      <c r="B128" s="49" t="n"/>
      <c r="C128" s="49" t="n"/>
      <c r="D128" s="49" t="n"/>
      <c r="F128" s="50" t="n"/>
    </row>
    <row r="129">
      <c r="B129" s="49" t="n"/>
      <c r="C129" s="49" t="n"/>
      <c r="D129" s="49" t="n"/>
      <c r="F129" s="50" t="n"/>
    </row>
    <row r="130">
      <c r="B130" s="49" t="n"/>
      <c r="C130" s="49" t="n"/>
      <c r="D130" s="49" t="n"/>
      <c r="F130" s="50" t="n"/>
    </row>
    <row r="131">
      <c r="B131" s="49" t="n"/>
      <c r="C131" s="49" t="n"/>
      <c r="D131" s="49" t="n"/>
      <c r="F131" s="50" t="n"/>
    </row>
    <row r="132">
      <c r="B132" s="49" t="n"/>
      <c r="C132" s="49" t="n"/>
      <c r="D132" s="49" t="n"/>
      <c r="F132" s="50" t="n"/>
    </row>
    <row r="133">
      <c r="B133" s="49" t="n"/>
      <c r="C133" s="49" t="n"/>
      <c r="D133" s="49" t="n"/>
      <c r="F133" s="50" t="n"/>
    </row>
    <row r="134">
      <c r="B134" s="49" t="n"/>
      <c r="C134" s="49" t="n"/>
      <c r="D134" s="49" t="n"/>
      <c r="F134" s="50" t="n"/>
    </row>
    <row r="135">
      <c r="B135" s="49" t="n"/>
      <c r="C135" s="49" t="n"/>
      <c r="D135" s="49" t="n"/>
      <c r="F135" s="50" t="n"/>
    </row>
    <row r="136">
      <c r="B136" s="49" t="n"/>
      <c r="C136" s="49" t="n"/>
      <c r="D136" s="49" t="n"/>
      <c r="F136" s="50" t="n"/>
    </row>
    <row r="137">
      <c r="B137" s="49" t="n"/>
      <c r="C137" s="49" t="n"/>
      <c r="D137" s="49" t="n"/>
      <c r="F137" s="50" t="n"/>
    </row>
    <row r="138">
      <c r="B138" s="49" t="n"/>
      <c r="C138" s="49" t="n"/>
      <c r="D138" s="49" t="n"/>
      <c r="F138" s="50" t="n"/>
    </row>
    <row r="139">
      <c r="B139" s="49" t="n"/>
      <c r="C139" s="49" t="n"/>
      <c r="D139" s="49" t="n"/>
      <c r="F139" s="50" t="n"/>
    </row>
    <row r="140">
      <c r="B140" s="49" t="n"/>
      <c r="C140" s="49" t="n"/>
      <c r="D140" s="49" t="n"/>
      <c r="F140" s="50" t="n"/>
    </row>
    <row r="141">
      <c r="B141" s="49" t="n"/>
      <c r="C141" s="49" t="n"/>
      <c r="D141" s="49" t="n"/>
      <c r="F141" s="50" t="n"/>
    </row>
    <row r="142">
      <c r="B142" s="49" t="n"/>
      <c r="C142" s="49" t="n"/>
      <c r="D142" s="49" t="n"/>
      <c r="F142" s="50" t="n"/>
    </row>
    <row r="143">
      <c r="B143" s="49" t="n"/>
      <c r="C143" s="49" t="n"/>
      <c r="D143" s="49" t="n"/>
      <c r="F143" s="50" t="n"/>
    </row>
    <row r="144">
      <c r="B144" s="49" t="n"/>
      <c r="C144" s="49" t="n"/>
      <c r="D144" s="49" t="n"/>
      <c r="F144" s="50" t="n"/>
    </row>
    <row r="145">
      <c r="B145" s="49" t="n"/>
      <c r="C145" s="49" t="n"/>
      <c r="D145" s="49" t="n"/>
      <c r="F145" s="50" t="n"/>
    </row>
    <row r="146">
      <c r="B146" s="49" t="n"/>
      <c r="C146" s="49" t="n"/>
      <c r="D146" s="49" t="n"/>
      <c r="F146" s="50" t="n"/>
    </row>
    <row r="147">
      <c r="B147" s="49" t="n"/>
      <c r="C147" s="49" t="n"/>
      <c r="D147" s="49" t="n"/>
      <c r="F147" s="50" t="n"/>
    </row>
    <row r="148">
      <c r="B148" s="49" t="n"/>
      <c r="C148" s="49" t="n"/>
      <c r="D148" s="49" t="n"/>
      <c r="F148" s="50" t="n"/>
    </row>
    <row r="149">
      <c r="B149" s="49" t="n"/>
      <c r="C149" s="49" t="n"/>
      <c r="D149" s="49" t="n"/>
      <c r="F149" s="50" t="n"/>
    </row>
    <row r="150">
      <c r="B150" s="49" t="n"/>
      <c r="C150" s="49" t="n"/>
      <c r="D150" s="49" t="n"/>
      <c r="F150" s="50" t="n"/>
    </row>
    <row r="151">
      <c r="B151" s="49" t="n"/>
      <c r="C151" s="49" t="n"/>
      <c r="D151" s="49" t="n"/>
      <c r="F151" s="50" t="n"/>
    </row>
    <row r="152">
      <c r="B152" s="49" t="n"/>
      <c r="C152" s="49" t="n"/>
      <c r="D152" s="49" t="n"/>
      <c r="F152" s="50" t="n"/>
    </row>
    <row r="153">
      <c r="B153" s="49" t="n"/>
      <c r="C153" s="49" t="n"/>
      <c r="D153" s="49" t="n"/>
      <c r="F153" s="50" t="n"/>
    </row>
    <row r="154">
      <c r="B154" s="49" t="n"/>
      <c r="C154" s="49" t="n"/>
      <c r="D154" s="49" t="n"/>
      <c r="F154" s="50" t="n"/>
    </row>
    <row r="155">
      <c r="B155" s="49" t="n"/>
      <c r="C155" s="49" t="n"/>
      <c r="D155" s="49" t="n"/>
      <c r="F155" s="50" t="n"/>
    </row>
    <row r="156">
      <c r="B156" s="49" t="n"/>
      <c r="C156" s="49" t="n"/>
      <c r="D156" s="49" t="n"/>
      <c r="F156" s="50" t="n"/>
    </row>
    <row r="157">
      <c r="B157" s="49" t="n"/>
      <c r="C157" s="49" t="n"/>
      <c r="D157" s="49" t="n"/>
      <c r="F157" s="50" t="n"/>
    </row>
    <row r="158">
      <c r="B158" s="49" t="n"/>
      <c r="C158" s="49" t="n"/>
      <c r="D158" s="49" t="n"/>
      <c r="F158" s="50" t="n"/>
    </row>
    <row r="159">
      <c r="B159" s="49" t="n"/>
      <c r="C159" s="49" t="n"/>
      <c r="D159" s="49" t="n"/>
      <c r="F159" s="50" t="n"/>
    </row>
    <row r="160">
      <c r="B160" s="49" t="n"/>
      <c r="C160" s="49" t="n"/>
      <c r="D160" s="49" t="n"/>
      <c r="F160" s="50" t="n"/>
    </row>
    <row r="161">
      <c r="B161" s="49" t="n"/>
      <c r="C161" s="49" t="n"/>
      <c r="D161" s="49" t="n"/>
      <c r="F161" s="50" t="n"/>
    </row>
    <row r="162">
      <c r="B162" s="49" t="n"/>
      <c r="C162" s="49" t="n"/>
      <c r="D162" s="49" t="n"/>
      <c r="F162" s="50" t="n"/>
    </row>
    <row r="163">
      <c r="B163" s="49" t="n"/>
      <c r="C163" s="49" t="n"/>
      <c r="D163" s="49" t="n"/>
      <c r="F163" s="50" t="n"/>
    </row>
    <row r="164">
      <c r="B164" s="49" t="n"/>
      <c r="C164" s="49" t="n"/>
      <c r="D164" s="49" t="n"/>
      <c r="F164" s="50" t="n"/>
    </row>
    <row r="165">
      <c r="B165" s="49" t="n"/>
      <c r="C165" s="49" t="n"/>
      <c r="D165" s="49" t="n"/>
      <c r="F165" s="50" t="n"/>
    </row>
    <row r="166">
      <c r="B166" s="49" t="n"/>
      <c r="C166" s="49" t="n"/>
      <c r="D166" s="49" t="n"/>
      <c r="F166" s="50" t="n"/>
    </row>
    <row r="167">
      <c r="B167" s="49" t="n"/>
      <c r="C167" s="49" t="n"/>
      <c r="D167" s="49" t="n"/>
      <c r="F167" s="50" t="n"/>
    </row>
    <row r="168">
      <c r="B168" s="49" t="n"/>
      <c r="C168" s="49" t="n"/>
      <c r="D168" s="49" t="n"/>
      <c r="F168" s="50" t="n"/>
    </row>
    <row r="169">
      <c r="B169" s="49" t="n"/>
      <c r="C169" s="49" t="n"/>
      <c r="D169" s="49" t="n"/>
      <c r="F169" s="50" t="n"/>
    </row>
    <row r="170">
      <c r="B170" s="49" t="n"/>
      <c r="C170" s="49" t="n"/>
      <c r="D170" s="49" t="n"/>
      <c r="F170" s="50" t="n"/>
    </row>
    <row r="171">
      <c r="B171" s="49" t="n"/>
      <c r="C171" s="49" t="n"/>
      <c r="D171" s="49" t="n"/>
      <c r="F171" s="50" t="n"/>
    </row>
    <row r="172">
      <c r="B172" s="49" t="n"/>
      <c r="C172" s="49" t="n"/>
      <c r="D172" s="49" t="n"/>
      <c r="F172" s="50" t="n"/>
    </row>
    <row r="173">
      <c r="B173" s="49" t="n"/>
      <c r="C173" s="49" t="n"/>
      <c r="D173" s="49" t="n"/>
      <c r="F173" s="50" t="n"/>
    </row>
    <row r="174">
      <c r="B174" s="49" t="n"/>
      <c r="C174" s="49" t="n"/>
      <c r="D174" s="49" t="n"/>
      <c r="F174" s="50" t="n"/>
    </row>
    <row r="175">
      <c r="B175" s="49" t="n"/>
      <c r="C175" s="49" t="n"/>
      <c r="D175" s="49" t="n"/>
      <c r="F175" s="50" t="n"/>
    </row>
    <row r="176">
      <c r="B176" s="49" t="n"/>
      <c r="C176" s="49" t="n"/>
      <c r="D176" s="49" t="n"/>
      <c r="F176" s="50" t="n"/>
    </row>
    <row r="177">
      <c r="B177" s="49" t="n"/>
      <c r="C177" s="49" t="n"/>
      <c r="D177" s="49" t="n"/>
      <c r="F177" s="50" t="n"/>
    </row>
    <row r="178">
      <c r="B178" s="49" t="n"/>
      <c r="C178" s="49" t="n"/>
      <c r="D178" s="49" t="n"/>
      <c r="F178" s="50" t="n"/>
    </row>
    <row r="179">
      <c r="B179" s="49" t="n"/>
      <c r="C179" s="49" t="n"/>
      <c r="D179" s="49" t="n"/>
      <c r="F179" s="50" t="n"/>
    </row>
    <row r="180">
      <c r="B180" s="49" t="n"/>
      <c r="C180" s="49" t="n"/>
      <c r="D180" s="49" t="n"/>
      <c r="F180" s="50" t="n"/>
    </row>
    <row r="181">
      <c r="B181" s="49" t="n"/>
      <c r="C181" s="49" t="n"/>
      <c r="D181" s="49" t="n"/>
      <c r="F181" s="50" t="n"/>
    </row>
    <row r="182">
      <c r="B182" s="49" t="n"/>
      <c r="C182" s="49" t="n"/>
      <c r="D182" s="49" t="n"/>
      <c r="F182" s="50" t="n"/>
    </row>
    <row r="183">
      <c r="B183" s="49" t="n"/>
      <c r="C183" s="49" t="n"/>
      <c r="D183" s="49" t="n"/>
      <c r="F183" s="50" t="n"/>
    </row>
    <row r="184">
      <c r="B184" s="49" t="n"/>
      <c r="C184" s="49" t="n"/>
      <c r="D184" s="49" t="n"/>
      <c r="F184" s="50" t="n"/>
    </row>
    <row r="185">
      <c r="B185" s="49" t="n"/>
      <c r="C185" s="49" t="n"/>
      <c r="D185" s="49" t="n"/>
      <c r="F185" s="50" t="n"/>
    </row>
    <row r="186">
      <c r="B186" s="49" t="n"/>
      <c r="C186" s="49" t="n"/>
      <c r="D186" s="49" t="n"/>
      <c r="F186" s="50" t="n"/>
    </row>
    <row r="187">
      <c r="B187" s="49" t="n"/>
      <c r="C187" s="49" t="n"/>
      <c r="D187" s="49" t="n"/>
      <c r="F187" s="50" t="n"/>
    </row>
    <row r="188">
      <c r="B188" s="49" t="n"/>
      <c r="C188" s="49" t="n"/>
      <c r="D188" s="49" t="n"/>
      <c r="F188" s="50" t="n"/>
    </row>
    <row r="189">
      <c r="B189" s="49" t="n"/>
      <c r="C189" s="49" t="n"/>
      <c r="D189" s="49" t="n"/>
      <c r="F189" s="50" t="n"/>
    </row>
    <row r="190">
      <c r="B190" s="49" t="n"/>
      <c r="C190" s="49" t="n"/>
      <c r="D190" s="49" t="n"/>
      <c r="F190" s="50" t="n"/>
    </row>
    <row r="191">
      <c r="B191" s="49" t="n"/>
      <c r="C191" s="49" t="n"/>
      <c r="D191" s="49" t="n"/>
      <c r="F191" s="50" t="n"/>
    </row>
    <row r="192">
      <c r="B192" s="49" t="n"/>
      <c r="C192" s="49" t="n"/>
      <c r="D192" s="49" t="n"/>
      <c r="F192" s="50" t="n"/>
    </row>
    <row r="193">
      <c r="B193" s="49" t="n"/>
      <c r="C193" s="49" t="n"/>
      <c r="D193" s="49" t="n"/>
      <c r="F193" s="50" t="n"/>
    </row>
    <row r="194">
      <c r="B194" s="49" t="n"/>
      <c r="C194" s="49" t="n"/>
      <c r="D194" s="49" t="n"/>
      <c r="F194" s="50" t="n"/>
    </row>
    <row r="195">
      <c r="B195" s="49" t="n"/>
      <c r="C195" s="49" t="n"/>
      <c r="D195" s="49" t="n"/>
      <c r="F195" s="50" t="n"/>
    </row>
    <row r="196">
      <c r="B196" s="49" t="n"/>
      <c r="C196" s="49" t="n"/>
      <c r="D196" s="49" t="n"/>
      <c r="F196" s="50" t="n"/>
    </row>
    <row r="197">
      <c r="B197" s="49" t="n"/>
      <c r="C197" s="49" t="n"/>
      <c r="D197" s="49" t="n"/>
      <c r="F197" s="50" t="n"/>
    </row>
    <row r="198">
      <c r="B198" s="49" t="n"/>
      <c r="C198" s="49" t="n"/>
      <c r="D198" s="49" t="n"/>
      <c r="F198" s="50" t="n"/>
    </row>
    <row r="199">
      <c r="B199" s="49" t="n"/>
      <c r="C199" s="49" t="n"/>
      <c r="D199" s="49" t="n"/>
      <c r="F199" s="50" t="n"/>
    </row>
    <row r="200">
      <c r="B200" s="49" t="n"/>
      <c r="C200" s="49" t="n"/>
      <c r="D200" s="49" t="n"/>
      <c r="F200" s="50" t="n"/>
    </row>
    <row r="201">
      <c r="B201" s="49" t="n"/>
      <c r="C201" s="49" t="n"/>
      <c r="D201" s="49" t="n"/>
      <c r="F201" s="50" t="n"/>
    </row>
    <row r="202">
      <c r="B202" s="49" t="n"/>
      <c r="C202" s="49" t="n"/>
      <c r="D202" s="49" t="n"/>
      <c r="F202" s="50" t="n"/>
    </row>
    <row r="203">
      <c r="B203" s="49" t="n"/>
      <c r="C203" s="49" t="n"/>
      <c r="D203" s="49" t="n"/>
      <c r="F203" s="50" t="n"/>
    </row>
    <row r="204">
      <c r="B204" s="49" t="n"/>
      <c r="C204" s="49" t="n"/>
      <c r="D204" s="49" t="n"/>
      <c r="F204" s="50" t="n"/>
    </row>
    <row r="205">
      <c r="B205" s="49" t="n"/>
      <c r="C205" s="49" t="n"/>
      <c r="D205" s="49" t="n"/>
      <c r="F205" s="50" t="n"/>
    </row>
    <row r="206">
      <c r="B206" s="49" t="n"/>
      <c r="C206" s="49" t="n"/>
      <c r="D206" s="49" t="n"/>
      <c r="F206" s="50" t="n"/>
    </row>
    <row r="207">
      <c r="B207" s="49" t="n"/>
      <c r="C207" s="49" t="n"/>
      <c r="D207" s="49" t="n"/>
      <c r="F207" s="50" t="n"/>
    </row>
    <row r="208">
      <c r="B208" s="49" t="n"/>
      <c r="C208" s="49" t="n"/>
      <c r="D208" s="49" t="n"/>
      <c r="F208" s="50" t="n"/>
    </row>
    <row r="209">
      <c r="B209" s="49" t="n"/>
      <c r="C209" s="49" t="n"/>
      <c r="D209" s="49" t="n"/>
      <c r="F209" s="50" t="n"/>
    </row>
    <row r="210">
      <c r="B210" s="49" t="n"/>
      <c r="C210" s="49" t="n"/>
      <c r="D210" s="49" t="n"/>
      <c r="F210" s="50" t="n"/>
    </row>
    <row r="211">
      <c r="B211" s="49" t="n"/>
      <c r="C211" s="49" t="n"/>
      <c r="D211" s="49" t="n"/>
      <c r="F211" s="50" t="n"/>
    </row>
    <row r="212">
      <c r="B212" s="49" t="n"/>
      <c r="C212" s="49" t="n"/>
      <c r="D212" s="49" t="n"/>
      <c r="F212" s="50" t="n"/>
    </row>
    <row r="213">
      <c r="B213" s="49" t="n"/>
      <c r="C213" s="49" t="n"/>
      <c r="D213" s="49" t="n"/>
      <c r="F213" s="50" t="n"/>
    </row>
    <row r="214">
      <c r="B214" s="49" t="n"/>
      <c r="C214" s="49" t="n"/>
      <c r="D214" s="49" t="n"/>
      <c r="F214" s="50" t="n"/>
    </row>
    <row r="215">
      <c r="B215" s="49" t="n"/>
      <c r="C215" s="49" t="n"/>
      <c r="D215" s="49" t="n"/>
      <c r="F215" s="50" t="n"/>
    </row>
    <row r="216">
      <c r="B216" s="49" t="n"/>
      <c r="C216" s="49" t="n"/>
      <c r="D216" s="49" t="n"/>
      <c r="F216" s="50" t="n"/>
    </row>
    <row r="217">
      <c r="B217" s="49" t="n"/>
      <c r="C217" s="49" t="n"/>
      <c r="D217" s="49" t="n"/>
      <c r="F217" s="50" t="n"/>
    </row>
    <row r="218">
      <c r="B218" s="49" t="n"/>
      <c r="C218" s="49" t="n"/>
      <c r="D218" s="49" t="n"/>
      <c r="F218" s="50" t="n"/>
    </row>
    <row r="219">
      <c r="B219" s="49" t="n"/>
      <c r="C219" s="49" t="n"/>
      <c r="D219" s="49" t="n"/>
      <c r="F219" s="50" t="n"/>
    </row>
    <row r="220">
      <c r="B220" s="49" t="n"/>
      <c r="C220" s="49" t="n"/>
      <c r="D220" s="49" t="n"/>
      <c r="F220" s="50" t="n"/>
    </row>
    <row r="221">
      <c r="B221" s="49" t="n"/>
      <c r="C221" s="49" t="n"/>
      <c r="D221" s="49" t="n"/>
      <c r="F221" s="50" t="n"/>
    </row>
    <row r="222">
      <c r="B222" s="49" t="n"/>
      <c r="C222" s="49" t="n"/>
      <c r="D222" s="49" t="n"/>
      <c r="F222" s="50" t="n"/>
    </row>
    <row r="223">
      <c r="B223" s="49" t="n"/>
      <c r="C223" s="49" t="n"/>
      <c r="D223" s="49" t="n"/>
      <c r="F223" s="50" t="n"/>
    </row>
    <row r="224">
      <c r="B224" s="49" t="n"/>
      <c r="C224" s="49" t="n"/>
      <c r="D224" s="49" t="n"/>
      <c r="F224" s="50" t="n"/>
    </row>
    <row r="225">
      <c r="B225" s="49" t="n"/>
      <c r="C225" s="49" t="n"/>
      <c r="D225" s="49" t="n"/>
      <c r="F225" s="50" t="n"/>
    </row>
    <row r="226">
      <c r="B226" s="49" t="n"/>
      <c r="C226" s="49" t="n"/>
      <c r="D226" s="49" t="n"/>
      <c r="F226" s="50" t="n"/>
    </row>
    <row r="227">
      <c r="B227" s="49" t="n"/>
      <c r="C227" s="49" t="n"/>
      <c r="D227" s="49" t="n"/>
      <c r="F227" s="50" t="n"/>
    </row>
    <row r="228">
      <c r="B228" s="49" t="n"/>
      <c r="C228" s="49" t="n"/>
      <c r="D228" s="49" t="n"/>
      <c r="F228" s="50" t="n"/>
    </row>
    <row r="229">
      <c r="B229" s="49" t="n"/>
      <c r="C229" s="49" t="n"/>
      <c r="D229" s="49" t="n"/>
      <c r="F229" s="50" t="n"/>
    </row>
    <row r="230">
      <c r="B230" s="49" t="n"/>
      <c r="C230" s="49" t="n"/>
      <c r="D230" s="49" t="n"/>
      <c r="F230" s="50" t="n"/>
    </row>
    <row r="231">
      <c r="B231" s="49" t="n"/>
      <c r="C231" s="49" t="n"/>
      <c r="D231" s="49" t="n"/>
      <c r="F231" s="50" t="n"/>
    </row>
    <row r="232">
      <c r="B232" s="49" t="n"/>
      <c r="C232" s="49" t="n"/>
      <c r="D232" s="49" t="n"/>
      <c r="F232" s="50" t="n"/>
    </row>
    <row r="233">
      <c r="B233" s="49" t="n"/>
      <c r="C233" s="49" t="n"/>
      <c r="D233" s="49" t="n"/>
      <c r="F233" s="50" t="n"/>
    </row>
    <row r="234">
      <c r="B234" s="49" t="n"/>
      <c r="C234" s="49" t="n"/>
      <c r="D234" s="49" t="n"/>
      <c r="F234" s="50" t="n"/>
    </row>
    <row r="235">
      <c r="B235" s="49" t="n"/>
      <c r="C235" s="49" t="n"/>
      <c r="D235" s="49" t="n"/>
      <c r="F235" s="50" t="n"/>
    </row>
    <row r="236">
      <c r="B236" s="49" t="n"/>
      <c r="C236" s="49" t="n"/>
      <c r="D236" s="49" t="n"/>
      <c r="F236" s="50" t="n"/>
    </row>
    <row r="237">
      <c r="B237" s="49" t="n"/>
      <c r="C237" s="49" t="n"/>
      <c r="D237" s="49" t="n"/>
      <c r="F237" s="50" t="n"/>
    </row>
    <row r="238">
      <c r="B238" s="49" t="n"/>
      <c r="C238" s="49" t="n"/>
      <c r="D238" s="49" t="n"/>
      <c r="F238" s="50" t="n"/>
    </row>
    <row r="239">
      <c r="B239" s="49" t="n"/>
      <c r="C239" s="49" t="n"/>
      <c r="D239" s="49" t="n"/>
      <c r="F239" s="50" t="n"/>
    </row>
    <row r="240">
      <c r="B240" s="49" t="n"/>
      <c r="C240" s="49" t="n"/>
      <c r="D240" s="49" t="n"/>
      <c r="F240" s="50" t="n"/>
    </row>
    <row r="241">
      <c r="B241" s="49" t="n"/>
      <c r="C241" s="49" t="n"/>
      <c r="D241" s="49" t="n"/>
      <c r="F241" s="50" t="n"/>
    </row>
    <row r="242">
      <c r="B242" s="49" t="n"/>
      <c r="C242" s="49" t="n"/>
      <c r="D242" s="49" t="n"/>
      <c r="F242" s="50" t="n"/>
    </row>
    <row r="243">
      <c r="B243" s="49" t="n"/>
      <c r="C243" s="49" t="n"/>
      <c r="D243" s="49" t="n"/>
      <c r="F243" s="50" t="n"/>
    </row>
    <row r="244">
      <c r="B244" s="49" t="n"/>
      <c r="C244" s="49" t="n"/>
      <c r="D244" s="49" t="n"/>
      <c r="F244" s="50" t="n"/>
    </row>
    <row r="245">
      <c r="B245" s="49" t="n"/>
      <c r="C245" s="49" t="n"/>
      <c r="D245" s="49" t="n"/>
      <c r="F245" s="50" t="n"/>
    </row>
    <row r="246">
      <c r="B246" s="49" t="n"/>
      <c r="C246" s="49" t="n"/>
      <c r="D246" s="49" t="n"/>
      <c r="F246" s="50" t="n"/>
    </row>
    <row r="247">
      <c r="B247" s="49" t="n"/>
      <c r="C247" s="49" t="n"/>
      <c r="D247" s="49" t="n"/>
      <c r="F247" s="50" t="n"/>
    </row>
    <row r="248">
      <c r="B248" s="49" t="n"/>
      <c r="C248" s="49" t="n"/>
      <c r="D248" s="49" t="n"/>
      <c r="F248" s="50" t="n"/>
    </row>
    <row r="249">
      <c r="B249" s="49" t="n"/>
      <c r="C249" s="49" t="n"/>
      <c r="D249" s="49" t="n"/>
      <c r="F249" s="50" t="n"/>
    </row>
    <row r="250">
      <c r="B250" s="49" t="n"/>
      <c r="C250" s="49" t="n"/>
      <c r="D250" s="49" t="n"/>
      <c r="F250" s="50" t="n"/>
    </row>
    <row r="251">
      <c r="B251" s="49" t="n"/>
      <c r="C251" s="49" t="n"/>
      <c r="D251" s="49" t="n"/>
      <c r="F251" s="50" t="n"/>
    </row>
    <row r="252">
      <c r="B252" s="49" t="n"/>
      <c r="C252" s="49" t="n"/>
      <c r="D252" s="49" t="n"/>
      <c r="F252" s="50" t="n"/>
    </row>
    <row r="253">
      <c r="B253" s="49" t="n"/>
      <c r="C253" s="49" t="n"/>
      <c r="D253" s="49" t="n"/>
      <c r="F253" s="50" t="n"/>
    </row>
    <row r="254">
      <c r="B254" s="49" t="n"/>
      <c r="C254" s="49" t="n"/>
      <c r="D254" s="49" t="n"/>
      <c r="F254" s="50" t="n"/>
    </row>
    <row r="255">
      <c r="B255" s="49" t="n"/>
      <c r="C255" s="49" t="n"/>
      <c r="D255" s="49" t="n"/>
      <c r="F255" s="50" t="n"/>
    </row>
    <row r="256">
      <c r="B256" s="49" t="n"/>
      <c r="C256" s="49" t="n"/>
      <c r="D256" s="49" t="n"/>
      <c r="F256" s="50" t="n"/>
    </row>
    <row r="257">
      <c r="B257" s="49" t="n"/>
      <c r="C257" s="49" t="n"/>
      <c r="D257" s="49" t="n"/>
      <c r="F257" s="50" t="n"/>
    </row>
    <row r="258">
      <c r="B258" s="49" t="n"/>
      <c r="C258" s="49" t="n"/>
      <c r="D258" s="49" t="n"/>
      <c r="F258" s="50" t="n"/>
    </row>
    <row r="259">
      <c r="B259" s="49" t="n"/>
      <c r="C259" s="49" t="n"/>
      <c r="D259" s="49" t="n"/>
      <c r="F259" s="50" t="n"/>
    </row>
    <row r="260">
      <c r="B260" s="49" t="n"/>
      <c r="C260" s="49" t="n"/>
      <c r="D260" s="49" t="n"/>
      <c r="F260" s="50" t="n"/>
    </row>
    <row r="261">
      <c r="B261" s="49" t="n"/>
      <c r="C261" s="49" t="n"/>
      <c r="D261" s="49" t="n"/>
      <c r="F261" s="50" t="n"/>
    </row>
    <row r="262">
      <c r="B262" s="49" t="n"/>
      <c r="C262" s="49" t="n"/>
      <c r="D262" s="49" t="n"/>
      <c r="F262" s="50" t="n"/>
    </row>
    <row r="263">
      <c r="B263" s="49" t="n"/>
      <c r="C263" s="49" t="n"/>
      <c r="D263" s="49" t="n"/>
      <c r="F263" s="50" t="n"/>
    </row>
    <row r="264">
      <c r="B264" s="49" t="n"/>
      <c r="C264" s="49" t="n"/>
      <c r="D264" s="49" t="n"/>
      <c r="F264" s="50" t="n"/>
    </row>
    <row r="265">
      <c r="B265" s="49" t="n"/>
      <c r="C265" s="49" t="n"/>
      <c r="D265" s="49" t="n"/>
      <c r="F265" s="50" t="n"/>
    </row>
    <row r="266">
      <c r="B266" s="49" t="n"/>
      <c r="C266" s="49" t="n"/>
      <c r="D266" s="49" t="n"/>
      <c r="F266" s="50" t="n"/>
    </row>
    <row r="267">
      <c r="B267" s="49" t="n"/>
      <c r="C267" s="49" t="n"/>
      <c r="D267" s="49" t="n"/>
      <c r="F267" s="50" t="n"/>
    </row>
    <row r="268">
      <c r="B268" s="49" t="n"/>
      <c r="C268" s="49" t="n"/>
      <c r="D268" s="49" t="n"/>
      <c r="F268" s="50" t="n"/>
    </row>
    <row r="269">
      <c r="B269" s="49" t="n"/>
      <c r="C269" s="49" t="n"/>
      <c r="D269" s="49" t="n"/>
      <c r="F269" s="50" t="n"/>
    </row>
    <row r="270">
      <c r="B270" s="49" t="n"/>
      <c r="C270" s="49" t="n"/>
      <c r="D270" s="49" t="n"/>
      <c r="F270" s="50" t="n"/>
    </row>
    <row r="271">
      <c r="B271" s="49" t="n"/>
      <c r="C271" s="49" t="n"/>
      <c r="D271" s="49" t="n"/>
      <c r="F271" s="50" t="n"/>
    </row>
    <row r="272">
      <c r="B272" s="49" t="n"/>
      <c r="C272" s="49" t="n"/>
      <c r="D272" s="49" t="n"/>
      <c r="F272" s="50" t="n"/>
    </row>
    <row r="273">
      <c r="B273" s="49" t="n"/>
      <c r="C273" s="49" t="n"/>
      <c r="D273" s="49" t="n"/>
      <c r="F273" s="50" t="n"/>
    </row>
    <row r="274">
      <c r="B274" s="49" t="n"/>
      <c r="C274" s="49" t="n"/>
      <c r="D274" s="49" t="n"/>
      <c r="F274" s="50" t="n"/>
    </row>
    <row r="275">
      <c r="B275" s="49" t="n"/>
      <c r="C275" s="49" t="n"/>
      <c r="D275" s="49" t="n"/>
      <c r="F275" s="50" t="n"/>
    </row>
    <row r="276">
      <c r="B276" s="49" t="n"/>
      <c r="C276" s="49" t="n"/>
      <c r="D276" s="49" t="n"/>
      <c r="F276" s="50" t="n"/>
    </row>
    <row r="277">
      <c r="B277" s="49" t="n"/>
      <c r="C277" s="49" t="n"/>
      <c r="D277" s="49" t="n"/>
      <c r="F277" s="50" t="n"/>
    </row>
    <row r="278">
      <c r="B278" s="49" t="n"/>
      <c r="C278" s="49" t="n"/>
      <c r="D278" s="49" t="n"/>
      <c r="F278" s="50" t="n"/>
    </row>
    <row r="279">
      <c r="B279" s="49" t="n"/>
      <c r="C279" s="49" t="n"/>
      <c r="D279" s="49" t="n"/>
      <c r="F279" s="50" t="n"/>
    </row>
    <row r="280">
      <c r="B280" s="49" t="n"/>
      <c r="C280" s="49" t="n"/>
      <c r="D280" s="49" t="n"/>
      <c r="F280" s="50" t="n"/>
    </row>
    <row r="281">
      <c r="B281" s="49" t="n"/>
      <c r="C281" s="49" t="n"/>
      <c r="D281" s="49" t="n"/>
      <c r="F281" s="50" t="n"/>
    </row>
    <row r="282">
      <c r="B282" s="49" t="n"/>
      <c r="C282" s="49" t="n"/>
      <c r="D282" s="49" t="n"/>
      <c r="F282" s="50" t="n"/>
    </row>
    <row r="283">
      <c r="B283" s="49" t="n"/>
      <c r="C283" s="49" t="n"/>
      <c r="D283" s="49" t="n"/>
      <c r="F283" s="50" t="n"/>
    </row>
    <row r="284">
      <c r="B284" s="49" t="n"/>
      <c r="C284" s="49" t="n"/>
      <c r="D284" s="49" t="n"/>
      <c r="F284" s="50" t="n"/>
    </row>
    <row r="285">
      <c r="B285" s="49" t="n"/>
      <c r="C285" s="49" t="n"/>
      <c r="D285" s="49" t="n"/>
      <c r="F285" s="50" t="n"/>
    </row>
    <row r="286">
      <c r="B286" s="49" t="n"/>
      <c r="C286" s="49" t="n"/>
      <c r="D286" s="49" t="n"/>
      <c r="F286" s="50" t="n"/>
    </row>
    <row r="287">
      <c r="B287" s="49" t="n"/>
      <c r="C287" s="49" t="n"/>
      <c r="D287" s="49" t="n"/>
      <c r="F287" s="50" t="n"/>
    </row>
    <row r="288">
      <c r="B288" s="49" t="n"/>
      <c r="C288" s="49" t="n"/>
      <c r="D288" s="49" t="n"/>
      <c r="F288" s="50" t="n"/>
    </row>
    <row r="289">
      <c r="B289" s="49" t="n"/>
      <c r="C289" s="49" t="n"/>
      <c r="D289" s="49" t="n"/>
      <c r="F289" s="50" t="n"/>
    </row>
    <row r="290">
      <c r="B290" s="49" t="n"/>
      <c r="C290" s="49" t="n"/>
      <c r="D290" s="49" t="n"/>
      <c r="F290" s="50" t="n"/>
    </row>
    <row r="291">
      <c r="B291" s="49" t="n"/>
      <c r="C291" s="49" t="n"/>
      <c r="D291" s="49" t="n"/>
      <c r="F291" s="50" t="n"/>
    </row>
    <row r="292">
      <c r="B292" s="49" t="n"/>
      <c r="C292" s="49" t="n"/>
      <c r="D292" s="49" t="n"/>
      <c r="F292" s="50" t="n"/>
    </row>
    <row r="293">
      <c r="B293" s="49" t="n"/>
      <c r="C293" s="49" t="n"/>
      <c r="D293" s="49" t="n"/>
      <c r="F293" s="50" t="n"/>
    </row>
    <row r="294">
      <c r="B294" s="49" t="n"/>
      <c r="C294" s="49" t="n"/>
      <c r="D294" s="49" t="n"/>
      <c r="F294" s="50" t="n"/>
    </row>
    <row r="295">
      <c r="B295" s="49" t="n"/>
      <c r="C295" s="49" t="n"/>
      <c r="D295" s="49" t="n"/>
      <c r="F295" s="50" t="n"/>
    </row>
    <row r="296">
      <c r="B296" s="49" t="n"/>
      <c r="C296" s="49" t="n"/>
      <c r="D296" s="49" t="n"/>
      <c r="F296" s="50" t="n"/>
    </row>
    <row r="297">
      <c r="B297" s="49" t="n"/>
      <c r="C297" s="49" t="n"/>
      <c r="D297" s="49" t="n"/>
      <c r="F297" s="50" t="n"/>
    </row>
    <row r="298">
      <c r="B298" s="49" t="n"/>
      <c r="C298" s="49" t="n"/>
      <c r="D298" s="49" t="n"/>
      <c r="F298" s="50" t="n"/>
    </row>
    <row r="299">
      <c r="B299" s="49" t="n"/>
      <c r="C299" s="49" t="n"/>
      <c r="D299" s="49" t="n"/>
      <c r="F299" s="50" t="n"/>
    </row>
    <row r="300">
      <c r="B300" s="49" t="n"/>
      <c r="C300" s="49" t="n"/>
      <c r="D300" s="49" t="n"/>
      <c r="F300" s="50" t="n"/>
    </row>
    <row r="301">
      <c r="B301" s="49" t="n"/>
      <c r="C301" s="49" t="n"/>
      <c r="D301" s="49" t="n"/>
      <c r="F301" s="50" t="n"/>
    </row>
    <row r="302">
      <c r="B302" s="49" t="n"/>
      <c r="C302" s="49" t="n"/>
      <c r="D302" s="49" t="n"/>
      <c r="F302" s="50" t="n"/>
    </row>
    <row r="303">
      <c r="B303" s="49" t="n"/>
      <c r="C303" s="49" t="n"/>
      <c r="D303" s="49" t="n"/>
      <c r="F303" s="50" t="n"/>
    </row>
    <row r="304">
      <c r="B304" s="49" t="n"/>
      <c r="C304" s="49" t="n"/>
      <c r="D304" s="49" t="n"/>
      <c r="F304" s="50" t="n"/>
    </row>
    <row r="305">
      <c r="B305" s="49" t="n"/>
      <c r="C305" s="49" t="n"/>
      <c r="D305" s="49" t="n"/>
      <c r="F305" s="50" t="n"/>
    </row>
    <row r="306">
      <c r="B306" s="49" t="n"/>
      <c r="C306" s="49" t="n"/>
      <c r="D306" s="49" t="n"/>
      <c r="F306" s="50" t="n"/>
    </row>
    <row r="307">
      <c r="B307" s="49" t="n"/>
      <c r="C307" s="49" t="n"/>
      <c r="D307" s="49" t="n"/>
      <c r="F307" s="50" t="n"/>
    </row>
    <row r="308">
      <c r="B308" s="49" t="n"/>
      <c r="C308" s="49" t="n"/>
      <c r="D308" s="49" t="n"/>
      <c r="F308" s="50" t="n"/>
    </row>
    <row r="309">
      <c r="B309" s="49" t="n"/>
      <c r="C309" s="49" t="n"/>
      <c r="D309" s="49" t="n"/>
      <c r="F309" s="50" t="n"/>
    </row>
    <row r="310">
      <c r="B310" s="49" t="n"/>
      <c r="C310" s="49" t="n"/>
      <c r="D310" s="49" t="n"/>
      <c r="F310" s="50" t="n"/>
    </row>
    <row r="311">
      <c r="B311" s="49" t="n"/>
      <c r="C311" s="49" t="n"/>
      <c r="D311" s="49" t="n"/>
      <c r="F311" s="50" t="n"/>
    </row>
    <row r="312">
      <c r="B312" s="49" t="n"/>
      <c r="C312" s="49" t="n"/>
      <c r="D312" s="49" t="n"/>
      <c r="F312" s="50" t="n"/>
    </row>
    <row r="313">
      <c r="B313" s="49" t="n"/>
      <c r="C313" s="49" t="n"/>
      <c r="D313" s="49" t="n"/>
      <c r="F313" s="50" t="n"/>
    </row>
    <row r="314">
      <c r="B314" s="49" t="n"/>
      <c r="C314" s="49" t="n"/>
      <c r="D314" s="49" t="n"/>
      <c r="F314" s="50" t="n"/>
    </row>
    <row r="315">
      <c r="B315" s="49" t="n"/>
      <c r="C315" s="49" t="n"/>
      <c r="D315" s="49" t="n"/>
      <c r="F315" s="50" t="n"/>
    </row>
    <row r="316">
      <c r="B316" s="49" t="n"/>
      <c r="C316" s="49" t="n"/>
      <c r="D316" s="49" t="n"/>
      <c r="F316" s="50" t="n"/>
    </row>
    <row r="317">
      <c r="B317" s="49" t="n"/>
      <c r="C317" s="49" t="n"/>
      <c r="D317" s="49" t="n"/>
      <c r="F317" s="50" t="n"/>
    </row>
    <row r="318">
      <c r="B318" s="49" t="n"/>
      <c r="C318" s="49" t="n"/>
      <c r="D318" s="49" t="n"/>
      <c r="F318" s="50" t="n"/>
    </row>
    <row r="319">
      <c r="B319" s="49" t="n"/>
      <c r="C319" s="49" t="n"/>
      <c r="D319" s="49" t="n"/>
      <c r="F319" s="50" t="n"/>
    </row>
    <row r="320">
      <c r="B320" s="49" t="n"/>
      <c r="C320" s="49" t="n"/>
      <c r="D320" s="49" t="n"/>
      <c r="F320" s="50" t="n"/>
    </row>
    <row r="321">
      <c r="B321" s="49" t="n"/>
      <c r="C321" s="49" t="n"/>
      <c r="D321" s="49" t="n"/>
      <c r="F321" s="50" t="n"/>
    </row>
    <row r="322">
      <c r="B322" s="49" t="n"/>
      <c r="C322" s="49" t="n"/>
      <c r="D322" s="49" t="n"/>
      <c r="F322" s="50" t="n"/>
    </row>
    <row r="323">
      <c r="B323" s="49" t="n"/>
      <c r="C323" s="49" t="n"/>
      <c r="D323" s="49" t="n"/>
      <c r="F323" s="50" t="n"/>
    </row>
    <row r="324">
      <c r="B324" s="49" t="n"/>
      <c r="C324" s="49" t="n"/>
      <c r="D324" s="49" t="n"/>
      <c r="F324" s="50" t="n"/>
    </row>
    <row r="325">
      <c r="B325" s="49" t="n"/>
      <c r="C325" s="49" t="n"/>
      <c r="D325" s="49" t="n"/>
      <c r="F325" s="50" t="n"/>
    </row>
    <row r="326">
      <c r="B326" s="49" t="n"/>
      <c r="C326" s="49" t="n"/>
      <c r="D326" s="49" t="n"/>
      <c r="F326" s="50" t="n"/>
    </row>
    <row r="327">
      <c r="B327" s="49" t="n"/>
      <c r="C327" s="49" t="n"/>
      <c r="D327" s="49" t="n"/>
      <c r="F327" s="50" t="n"/>
    </row>
    <row r="328">
      <c r="B328" s="49" t="n"/>
      <c r="C328" s="49" t="n"/>
      <c r="D328" s="49" t="n"/>
      <c r="F328" s="50" t="n"/>
    </row>
    <row r="329">
      <c r="B329" s="49" t="n"/>
      <c r="C329" s="49" t="n"/>
      <c r="D329" s="49" t="n"/>
      <c r="F329" s="50" t="n"/>
    </row>
    <row r="330">
      <c r="B330" s="49" t="n"/>
      <c r="C330" s="49" t="n"/>
      <c r="D330" s="49" t="n"/>
      <c r="F330" s="50" t="n"/>
    </row>
    <row r="331">
      <c r="B331" s="49" t="n"/>
      <c r="C331" s="49" t="n"/>
      <c r="D331" s="49" t="n"/>
      <c r="F331" s="50" t="n"/>
    </row>
    <row r="332">
      <c r="B332" s="49" t="n"/>
      <c r="C332" s="49" t="n"/>
      <c r="D332" s="49" t="n"/>
      <c r="F332" s="50" t="n"/>
    </row>
    <row r="333">
      <c r="B333" s="49" t="n"/>
      <c r="C333" s="49" t="n"/>
      <c r="D333" s="49" t="n"/>
      <c r="F333" s="50" t="n"/>
    </row>
    <row r="334">
      <c r="B334" s="49" t="n"/>
      <c r="C334" s="49" t="n"/>
      <c r="D334" s="49" t="n"/>
      <c r="F334" s="50" t="n"/>
    </row>
    <row r="335">
      <c r="B335" s="49" t="n"/>
      <c r="C335" s="49" t="n"/>
      <c r="D335" s="49" t="n"/>
      <c r="F335" s="50" t="n"/>
    </row>
    <row r="336">
      <c r="B336" s="49" t="n"/>
      <c r="C336" s="49" t="n"/>
      <c r="D336" s="49" t="n"/>
      <c r="F336" s="50" t="n"/>
    </row>
    <row r="337">
      <c r="B337" s="49" t="n"/>
      <c r="C337" s="49" t="n"/>
      <c r="D337" s="49" t="n"/>
      <c r="F337" s="50" t="n"/>
    </row>
    <row r="338">
      <c r="B338" s="49" t="n"/>
      <c r="C338" s="49" t="n"/>
      <c r="D338" s="49" t="n"/>
      <c r="F338" s="50" t="n"/>
    </row>
    <row r="339">
      <c r="B339" s="49" t="n"/>
      <c r="C339" s="49" t="n"/>
      <c r="D339" s="49" t="n"/>
      <c r="F339" s="50" t="n"/>
    </row>
    <row r="340">
      <c r="B340" s="49" t="n"/>
      <c r="C340" s="49" t="n"/>
      <c r="D340" s="49" t="n"/>
      <c r="F340" s="50" t="n"/>
    </row>
    <row r="341">
      <c r="B341" s="49" t="n"/>
      <c r="C341" s="49" t="n"/>
      <c r="D341" s="49" t="n"/>
      <c r="F341" s="50" t="n"/>
    </row>
    <row r="342">
      <c r="B342" s="49" t="n"/>
      <c r="C342" s="49" t="n"/>
      <c r="D342" s="49" t="n"/>
      <c r="F342" s="50" t="n"/>
    </row>
    <row r="343">
      <c r="B343" s="49" t="n"/>
      <c r="C343" s="49" t="n"/>
      <c r="D343" s="49" t="n"/>
      <c r="F343" s="50" t="n"/>
    </row>
    <row r="344">
      <c r="B344" s="49" t="n"/>
      <c r="C344" s="49" t="n"/>
      <c r="D344" s="49" t="n"/>
      <c r="F344" s="50" t="n"/>
    </row>
    <row r="345">
      <c r="B345" s="49" t="n"/>
      <c r="C345" s="49" t="n"/>
      <c r="D345" s="49" t="n"/>
      <c r="F345" s="50" t="n"/>
    </row>
    <row r="346">
      <c r="B346" s="49" t="n"/>
      <c r="C346" s="49" t="n"/>
      <c r="D346" s="49" t="n"/>
      <c r="F346" s="50" t="n"/>
    </row>
    <row r="347">
      <c r="B347" s="49" t="n"/>
      <c r="C347" s="49" t="n"/>
      <c r="D347" s="49" t="n"/>
      <c r="F347" s="50" t="n"/>
    </row>
    <row r="348">
      <c r="B348" s="49" t="n"/>
      <c r="C348" s="49" t="n"/>
      <c r="D348" s="49" t="n"/>
      <c r="F348" s="50" t="n"/>
    </row>
    <row r="349">
      <c r="B349" s="49" t="n"/>
      <c r="C349" s="49" t="n"/>
      <c r="D349" s="49" t="n"/>
      <c r="F349" s="50" t="n"/>
    </row>
    <row r="350">
      <c r="B350" s="49" t="n"/>
      <c r="C350" s="49" t="n"/>
      <c r="D350" s="49" t="n"/>
      <c r="F350" s="50" t="n"/>
    </row>
    <row r="351">
      <c r="B351" s="49" t="n"/>
      <c r="C351" s="49" t="n"/>
      <c r="D351" s="49" t="n"/>
      <c r="F351" s="50" t="n"/>
    </row>
    <row r="352">
      <c r="B352" s="49" t="n"/>
      <c r="C352" s="49" t="n"/>
      <c r="D352" s="49" t="n"/>
      <c r="F352" s="50" t="n"/>
    </row>
    <row r="353">
      <c r="B353" s="49" t="n"/>
      <c r="C353" s="49" t="n"/>
      <c r="D353" s="49" t="n"/>
      <c r="F353" s="50" t="n"/>
    </row>
    <row r="354">
      <c r="B354" s="49" t="n"/>
      <c r="C354" s="49" t="n"/>
      <c r="D354" s="49" t="n"/>
      <c r="F354" s="50" t="n"/>
    </row>
    <row r="355">
      <c r="B355" s="49" t="n"/>
      <c r="C355" s="49" t="n"/>
      <c r="D355" s="49" t="n"/>
      <c r="F355" s="50" t="n"/>
    </row>
    <row r="356">
      <c r="B356" s="49" t="n"/>
      <c r="C356" s="49" t="n"/>
      <c r="D356" s="49" t="n"/>
      <c r="F356" s="50" t="n"/>
    </row>
    <row r="357">
      <c r="B357" s="49" t="n"/>
      <c r="C357" s="49" t="n"/>
      <c r="D357" s="49" t="n"/>
      <c r="F357" s="50" t="n"/>
    </row>
    <row r="358">
      <c r="B358" s="49" t="n"/>
      <c r="C358" s="49" t="n"/>
      <c r="D358" s="49" t="n"/>
      <c r="F358" s="50" t="n"/>
    </row>
    <row r="359">
      <c r="B359" s="49" t="n"/>
      <c r="C359" s="49" t="n"/>
      <c r="D359" s="49" t="n"/>
      <c r="F359" s="50" t="n"/>
    </row>
    <row r="360">
      <c r="B360" s="49" t="n"/>
      <c r="C360" s="49" t="n"/>
      <c r="D360" s="49" t="n"/>
      <c r="F360" s="50" t="n"/>
    </row>
    <row r="361">
      <c r="B361" s="49" t="n"/>
      <c r="C361" s="49" t="n"/>
      <c r="D361" s="49" t="n"/>
      <c r="F361" s="50" t="n"/>
    </row>
    <row r="362">
      <c r="B362" s="49" t="n"/>
      <c r="C362" s="49" t="n"/>
      <c r="D362" s="49" t="n"/>
      <c r="F362" s="50" t="n"/>
    </row>
    <row r="363">
      <c r="B363" s="49" t="n"/>
      <c r="C363" s="49" t="n"/>
      <c r="D363" s="49" t="n"/>
      <c r="F363" s="50" t="n"/>
    </row>
    <row r="364">
      <c r="B364" s="49" t="n"/>
      <c r="C364" s="49" t="n"/>
      <c r="D364" s="49" t="n"/>
      <c r="F364" s="50" t="n"/>
    </row>
    <row r="365">
      <c r="B365" s="49" t="n"/>
      <c r="C365" s="49" t="n"/>
      <c r="D365" s="49" t="n"/>
      <c r="F365" s="50" t="n"/>
    </row>
    <row r="366">
      <c r="B366" s="49" t="n"/>
      <c r="C366" s="49" t="n"/>
      <c r="D366" s="49" t="n"/>
      <c r="F366" s="50" t="n"/>
    </row>
    <row r="367">
      <c r="B367" s="49" t="n"/>
      <c r="C367" s="49" t="n"/>
      <c r="D367" s="49" t="n"/>
      <c r="F367" s="50" t="n"/>
    </row>
    <row r="368">
      <c r="B368" s="49" t="n"/>
      <c r="C368" s="49" t="n"/>
      <c r="D368" s="49" t="n"/>
      <c r="F368" s="50" t="n"/>
    </row>
    <row r="369">
      <c r="B369" s="49" t="n"/>
      <c r="C369" s="49" t="n"/>
      <c r="D369" s="49" t="n"/>
      <c r="F369" s="50" t="n"/>
    </row>
    <row r="370">
      <c r="B370" s="49" t="n"/>
      <c r="C370" s="49" t="n"/>
      <c r="D370" s="49" t="n"/>
      <c r="F370" s="50" t="n"/>
    </row>
    <row r="371">
      <c r="B371" s="49" t="n"/>
      <c r="C371" s="49" t="n"/>
      <c r="D371" s="49" t="n"/>
      <c r="F371" s="50" t="n"/>
    </row>
    <row r="372">
      <c r="B372" s="49" t="n"/>
      <c r="C372" s="49" t="n"/>
      <c r="D372" s="49" t="n"/>
      <c r="F372" s="50" t="n"/>
    </row>
    <row r="373">
      <c r="B373" s="49" t="n"/>
      <c r="C373" s="49" t="n"/>
      <c r="D373" s="49" t="n"/>
      <c r="F373" s="50" t="n"/>
    </row>
    <row r="374">
      <c r="B374" s="49" t="n"/>
      <c r="C374" s="49" t="n"/>
      <c r="D374" s="49" t="n"/>
      <c r="F374" s="50" t="n"/>
    </row>
    <row r="375">
      <c r="B375" s="49" t="n"/>
      <c r="C375" s="49" t="n"/>
      <c r="D375" s="49" t="n"/>
      <c r="F375" s="50" t="n"/>
    </row>
    <row r="376">
      <c r="B376" s="49" t="n"/>
      <c r="C376" s="49" t="n"/>
      <c r="D376" s="49" t="n"/>
      <c r="F376" s="50" t="n"/>
    </row>
    <row r="377">
      <c r="B377" s="49" t="n"/>
      <c r="C377" s="49" t="n"/>
      <c r="D377" s="49" t="n"/>
      <c r="F377" s="50" t="n"/>
    </row>
    <row r="378">
      <c r="B378" s="49" t="n"/>
      <c r="C378" s="49" t="n"/>
      <c r="D378" s="49" t="n"/>
      <c r="F378" s="50" t="n"/>
    </row>
    <row r="379">
      <c r="B379" s="49" t="n"/>
      <c r="C379" s="49" t="n"/>
      <c r="D379" s="49" t="n"/>
      <c r="F379" s="50" t="n"/>
    </row>
    <row r="380">
      <c r="B380" s="49" t="n"/>
      <c r="C380" s="49" t="n"/>
      <c r="D380" s="49" t="n"/>
      <c r="F380" s="50" t="n"/>
    </row>
    <row r="381">
      <c r="B381" s="49" t="n"/>
      <c r="C381" s="49" t="n"/>
      <c r="D381" s="49" t="n"/>
      <c r="F381" s="50" t="n"/>
    </row>
    <row r="382">
      <c r="B382" s="49" t="n"/>
      <c r="C382" s="49" t="n"/>
      <c r="D382" s="49" t="n"/>
      <c r="F382" s="50" t="n"/>
    </row>
    <row r="383">
      <c r="B383" s="49" t="n"/>
      <c r="C383" s="49" t="n"/>
      <c r="D383" s="49" t="n"/>
      <c r="F383" s="50" t="n"/>
    </row>
    <row r="384">
      <c r="B384" s="49" t="n"/>
      <c r="C384" s="49" t="n"/>
      <c r="D384" s="49" t="n"/>
      <c r="F384" s="50" t="n"/>
    </row>
    <row r="385">
      <c r="B385" s="49" t="n"/>
      <c r="C385" s="49" t="n"/>
      <c r="D385" s="49" t="n"/>
      <c r="F385" s="50" t="n"/>
    </row>
    <row r="386">
      <c r="B386" s="49" t="n"/>
      <c r="C386" s="49" t="n"/>
      <c r="D386" s="49" t="n"/>
      <c r="F386" s="50" t="n"/>
    </row>
    <row r="387">
      <c r="B387" s="49" t="n"/>
      <c r="C387" s="49" t="n"/>
      <c r="D387" s="49" t="n"/>
      <c r="F387" s="50" t="n"/>
    </row>
    <row r="388">
      <c r="B388" s="49" t="n"/>
      <c r="C388" s="49" t="n"/>
      <c r="D388" s="49" t="n"/>
      <c r="F388" s="50" t="n"/>
    </row>
    <row r="389">
      <c r="B389" s="49" t="n"/>
      <c r="C389" s="49" t="n"/>
      <c r="D389" s="49" t="n"/>
      <c r="F389" s="50" t="n"/>
    </row>
    <row r="390">
      <c r="B390" s="49" t="n"/>
      <c r="C390" s="49" t="n"/>
      <c r="D390" s="49" t="n"/>
      <c r="F390" s="50" t="n"/>
    </row>
    <row r="391">
      <c r="B391" s="49" t="n"/>
      <c r="C391" s="49" t="n"/>
      <c r="D391" s="49" t="n"/>
      <c r="F391" s="50" t="n"/>
    </row>
    <row r="392">
      <c r="B392" s="49" t="n"/>
      <c r="C392" s="49" t="n"/>
      <c r="D392" s="49" t="n"/>
      <c r="F392" s="50" t="n"/>
    </row>
    <row r="393">
      <c r="B393" s="49" t="n"/>
      <c r="C393" s="49" t="n"/>
      <c r="D393" s="49" t="n"/>
      <c r="F393" s="50" t="n"/>
    </row>
    <row r="394">
      <c r="B394" s="49" t="n"/>
      <c r="C394" s="49" t="n"/>
      <c r="D394" s="49" t="n"/>
      <c r="F394" s="50" t="n"/>
    </row>
    <row r="395">
      <c r="B395" s="49" t="n"/>
      <c r="C395" s="49" t="n"/>
      <c r="D395" s="49" t="n"/>
      <c r="F395" s="50" t="n"/>
    </row>
    <row r="396">
      <c r="B396" s="49" t="n"/>
      <c r="C396" s="49" t="n"/>
      <c r="D396" s="49" t="n"/>
      <c r="F396" s="50" t="n"/>
    </row>
    <row r="397">
      <c r="B397" s="49" t="n"/>
      <c r="C397" s="49" t="n"/>
      <c r="D397" s="49" t="n"/>
      <c r="F397" s="50" t="n"/>
    </row>
    <row r="398">
      <c r="B398" s="49" t="n"/>
      <c r="C398" s="49" t="n"/>
      <c r="D398" s="49" t="n"/>
      <c r="F398" s="50" t="n"/>
    </row>
    <row r="399">
      <c r="B399" s="49" t="n"/>
      <c r="C399" s="49" t="n"/>
      <c r="D399" s="49" t="n"/>
      <c r="F399" s="50" t="n"/>
    </row>
    <row r="400">
      <c r="B400" s="49" t="n"/>
      <c r="C400" s="49" t="n"/>
      <c r="D400" s="49" t="n"/>
      <c r="F400" s="50" t="n"/>
    </row>
    <row r="401">
      <c r="B401" s="49" t="n"/>
      <c r="C401" s="49" t="n"/>
      <c r="D401" s="49" t="n"/>
      <c r="F401" s="50" t="n"/>
    </row>
    <row r="402">
      <c r="B402" s="49" t="n"/>
      <c r="C402" s="49" t="n"/>
      <c r="D402" s="49" t="n"/>
      <c r="F402" s="50" t="n"/>
    </row>
    <row r="403">
      <c r="B403" s="49" t="n"/>
      <c r="C403" s="49" t="n"/>
      <c r="D403" s="49" t="n"/>
      <c r="F403" s="50" t="n"/>
    </row>
    <row r="404">
      <c r="B404" s="49" t="n"/>
      <c r="C404" s="49" t="n"/>
      <c r="D404" s="49" t="n"/>
      <c r="F404" s="50" t="n"/>
    </row>
    <row r="405">
      <c r="B405" s="49" t="n"/>
      <c r="C405" s="49" t="n"/>
      <c r="D405" s="49" t="n"/>
      <c r="F405" s="50" t="n"/>
    </row>
    <row r="406">
      <c r="B406" s="49" t="n"/>
      <c r="C406" s="49" t="n"/>
      <c r="D406" s="49" t="n"/>
      <c r="F406" s="50" t="n"/>
    </row>
    <row r="407">
      <c r="B407" s="49" t="n"/>
      <c r="C407" s="49" t="n"/>
      <c r="D407" s="49" t="n"/>
      <c r="F407" s="50" t="n"/>
    </row>
    <row r="408">
      <c r="B408" s="49" t="n"/>
      <c r="C408" s="49" t="n"/>
      <c r="D408" s="49" t="n"/>
      <c r="F408" s="50" t="n"/>
    </row>
    <row r="409">
      <c r="B409" s="49" t="n"/>
      <c r="C409" s="49" t="n"/>
      <c r="D409" s="49" t="n"/>
      <c r="F409" s="50" t="n"/>
    </row>
    <row r="410">
      <c r="B410" s="49" t="n"/>
      <c r="C410" s="49" t="n"/>
      <c r="D410" s="49" t="n"/>
      <c r="F410" s="50" t="n"/>
    </row>
    <row r="411">
      <c r="B411" s="49" t="n"/>
      <c r="C411" s="49" t="n"/>
      <c r="D411" s="49" t="n"/>
      <c r="F411" s="50" t="n"/>
    </row>
    <row r="412">
      <c r="B412" s="49" t="n"/>
      <c r="C412" s="49" t="n"/>
      <c r="D412" s="49" t="n"/>
      <c r="F412" s="50" t="n"/>
    </row>
    <row r="413">
      <c r="B413" s="49" t="n"/>
      <c r="C413" s="49" t="n"/>
      <c r="D413" s="49" t="n"/>
      <c r="F413" s="50" t="n"/>
    </row>
    <row r="414">
      <c r="B414" s="49" t="n"/>
      <c r="C414" s="49" t="n"/>
      <c r="D414" s="49" t="n"/>
      <c r="F414" s="50" t="n"/>
    </row>
    <row r="415">
      <c r="B415" s="49" t="n"/>
      <c r="C415" s="49" t="n"/>
      <c r="D415" s="49" t="n"/>
      <c r="F415" s="50" t="n"/>
    </row>
    <row r="416">
      <c r="B416" s="49" t="n"/>
      <c r="C416" s="49" t="n"/>
      <c r="D416" s="49" t="n"/>
      <c r="F416" s="50" t="n"/>
    </row>
    <row r="417">
      <c r="B417" s="49" t="n"/>
      <c r="C417" s="49" t="n"/>
      <c r="D417" s="49" t="n"/>
      <c r="F417" s="50" t="n"/>
    </row>
    <row r="418">
      <c r="B418" s="49" t="n"/>
      <c r="C418" s="49" t="n"/>
      <c r="D418" s="49" t="n"/>
      <c r="F418" s="50" t="n"/>
    </row>
    <row r="419">
      <c r="B419" s="49" t="n"/>
      <c r="C419" s="49" t="n"/>
      <c r="D419" s="49" t="n"/>
      <c r="F419" s="50" t="n"/>
    </row>
    <row r="420">
      <c r="B420" s="49" t="n"/>
      <c r="C420" s="49" t="n"/>
      <c r="D420" s="49" t="n"/>
      <c r="F420" s="50" t="n"/>
    </row>
    <row r="421">
      <c r="B421" s="49" t="n"/>
      <c r="C421" s="49" t="n"/>
      <c r="D421" s="49" t="n"/>
      <c r="F421" s="50" t="n"/>
    </row>
    <row r="422">
      <c r="B422" s="49" t="n"/>
      <c r="C422" s="49" t="n"/>
      <c r="D422" s="49" t="n"/>
      <c r="F422" s="50" t="n"/>
    </row>
    <row r="423">
      <c r="B423" s="49" t="n"/>
      <c r="C423" s="49" t="n"/>
      <c r="D423" s="49" t="n"/>
      <c r="F423" s="50" t="n"/>
    </row>
    <row r="424">
      <c r="B424" s="49" t="n"/>
      <c r="C424" s="49" t="n"/>
      <c r="D424" s="49" t="n"/>
      <c r="F424" s="50" t="n"/>
    </row>
    <row r="425">
      <c r="B425" s="49" t="n"/>
      <c r="C425" s="49" t="n"/>
      <c r="D425" s="49" t="n"/>
      <c r="F425" s="50" t="n"/>
    </row>
    <row r="426">
      <c r="B426" s="49" t="n"/>
      <c r="C426" s="49" t="n"/>
      <c r="D426" s="49" t="n"/>
      <c r="F426" s="50" t="n"/>
    </row>
    <row r="427">
      <c r="B427" s="49" t="n"/>
      <c r="C427" s="49" t="n"/>
      <c r="D427" s="49" t="n"/>
      <c r="F427" s="50" t="n"/>
    </row>
    <row r="428">
      <c r="B428" s="49" t="n"/>
      <c r="C428" s="49" t="n"/>
      <c r="D428" s="49" t="n"/>
      <c r="F428" s="50" t="n"/>
    </row>
    <row r="429">
      <c r="B429" s="49" t="n"/>
      <c r="C429" s="49" t="n"/>
      <c r="D429" s="49" t="n"/>
      <c r="F429" s="50" t="n"/>
    </row>
    <row r="430">
      <c r="B430" s="49" t="n"/>
      <c r="C430" s="49" t="n"/>
      <c r="D430" s="49" t="n"/>
      <c r="F430" s="50" t="n"/>
    </row>
    <row r="431">
      <c r="B431" s="49" t="n"/>
      <c r="C431" s="49" t="n"/>
      <c r="D431" s="49" t="n"/>
      <c r="F431" s="50" t="n"/>
    </row>
    <row r="432">
      <c r="B432" s="49" t="n"/>
      <c r="C432" s="49" t="n"/>
      <c r="D432" s="49" t="n"/>
      <c r="F432" s="50" t="n"/>
    </row>
    <row r="433">
      <c r="B433" s="49" t="n"/>
      <c r="C433" s="49" t="n"/>
      <c r="D433" s="49" t="n"/>
      <c r="F433" s="50" t="n"/>
    </row>
    <row r="434">
      <c r="B434" s="49" t="n"/>
      <c r="C434" s="49" t="n"/>
      <c r="D434" s="49" t="n"/>
      <c r="F434" s="50" t="n"/>
    </row>
    <row r="435">
      <c r="B435" s="49" t="n"/>
      <c r="C435" s="49" t="n"/>
      <c r="D435" s="49" t="n"/>
      <c r="F435" s="50" t="n"/>
    </row>
    <row r="436">
      <c r="B436" s="49" t="n"/>
      <c r="C436" s="49" t="n"/>
      <c r="D436" s="49" t="n"/>
      <c r="F436" s="50" t="n"/>
    </row>
    <row r="437">
      <c r="B437" s="49" t="n"/>
      <c r="C437" s="49" t="n"/>
      <c r="D437" s="49" t="n"/>
      <c r="F437" s="50" t="n"/>
    </row>
    <row r="438">
      <c r="B438" s="49" t="n"/>
      <c r="C438" s="49" t="n"/>
      <c r="D438" s="49" t="n"/>
      <c r="F438" s="50" t="n"/>
    </row>
    <row r="439">
      <c r="B439" s="49" t="n"/>
      <c r="C439" s="49" t="n"/>
      <c r="D439" s="49" t="n"/>
      <c r="F439" s="50" t="n"/>
    </row>
    <row r="440">
      <c r="B440" s="49" t="n"/>
      <c r="C440" s="49" t="n"/>
      <c r="D440" s="49" t="n"/>
      <c r="F440" s="50" t="n"/>
    </row>
    <row r="441">
      <c r="B441" s="49" t="n"/>
      <c r="C441" s="49" t="n"/>
      <c r="D441" s="49" t="n"/>
      <c r="F441" s="50" t="n"/>
    </row>
    <row r="442">
      <c r="B442" s="49" t="n"/>
      <c r="C442" s="49" t="n"/>
      <c r="D442" s="49" t="n"/>
      <c r="F442" s="50" t="n"/>
    </row>
    <row r="443">
      <c r="B443" s="49" t="n"/>
      <c r="C443" s="49" t="n"/>
      <c r="D443" s="49" t="n"/>
      <c r="F443" s="50" t="n"/>
    </row>
    <row r="444">
      <c r="B444" s="49" t="n"/>
      <c r="C444" s="49" t="n"/>
      <c r="D444" s="49" t="n"/>
      <c r="F444" s="50" t="n"/>
    </row>
    <row r="445">
      <c r="B445" s="49" t="n"/>
      <c r="C445" s="49" t="n"/>
      <c r="D445" s="49" t="n"/>
      <c r="F445" s="50" t="n"/>
    </row>
    <row r="446">
      <c r="B446" s="49" t="n"/>
      <c r="C446" s="49" t="n"/>
      <c r="D446" s="49" t="n"/>
      <c r="F446" s="50" t="n"/>
    </row>
    <row r="447">
      <c r="B447" s="49" t="n"/>
      <c r="C447" s="49" t="n"/>
      <c r="D447" s="49" t="n"/>
      <c r="F447" s="50" t="n"/>
    </row>
    <row r="448">
      <c r="B448" s="49" t="n"/>
      <c r="C448" s="49" t="n"/>
      <c r="D448" s="49" t="n"/>
      <c r="F448" s="50" t="n"/>
    </row>
    <row r="449">
      <c r="B449" s="49" t="n"/>
      <c r="C449" s="49" t="n"/>
      <c r="D449" s="49" t="n"/>
      <c r="F449" s="50" t="n"/>
    </row>
    <row r="450">
      <c r="B450" s="49" t="n"/>
      <c r="C450" s="49" t="n"/>
      <c r="D450" s="49" t="n"/>
      <c r="F450" s="50" t="n"/>
    </row>
    <row r="451">
      <c r="B451" s="49" t="n"/>
      <c r="C451" s="49" t="n"/>
      <c r="D451" s="49" t="n"/>
      <c r="F451" s="50" t="n"/>
    </row>
    <row r="452">
      <c r="B452" s="49" t="n"/>
      <c r="C452" s="49" t="n"/>
      <c r="D452" s="49" t="n"/>
      <c r="F452" s="50" t="n"/>
    </row>
    <row r="453">
      <c r="B453" s="49" t="n"/>
      <c r="C453" s="49" t="n"/>
      <c r="D453" s="49" t="n"/>
      <c r="F453" s="50" t="n"/>
    </row>
    <row r="454">
      <c r="B454" s="49" t="n"/>
      <c r="C454" s="49" t="n"/>
      <c r="D454" s="49" t="n"/>
      <c r="F454" s="50" t="n"/>
    </row>
    <row r="455">
      <c r="B455" s="49" t="n"/>
      <c r="C455" s="49" t="n"/>
      <c r="D455" s="49" t="n"/>
      <c r="F455" s="50" t="n"/>
    </row>
    <row r="456">
      <c r="B456" s="49" t="n"/>
      <c r="C456" s="49" t="n"/>
      <c r="D456" s="49" t="n"/>
      <c r="F456" s="50" t="n"/>
    </row>
    <row r="457">
      <c r="B457" s="49" t="n"/>
      <c r="C457" s="49" t="n"/>
      <c r="D457" s="49" t="n"/>
      <c r="F457" s="50" t="n"/>
    </row>
    <row r="458">
      <c r="B458" s="49" t="n"/>
      <c r="C458" s="49" t="n"/>
      <c r="D458" s="49" t="n"/>
      <c r="F458" s="50" t="n"/>
    </row>
    <row r="459">
      <c r="B459" s="49" t="n"/>
      <c r="C459" s="49" t="n"/>
      <c r="D459" s="49" t="n"/>
      <c r="F459" s="50" t="n"/>
    </row>
    <row r="460">
      <c r="B460" s="49" t="n"/>
      <c r="C460" s="49" t="n"/>
      <c r="D460" s="49" t="n"/>
      <c r="F460" s="50" t="n"/>
    </row>
    <row r="461">
      <c r="B461" s="49" t="n"/>
      <c r="C461" s="49" t="n"/>
      <c r="D461" s="49" t="n"/>
      <c r="F461" s="50" t="n"/>
    </row>
    <row r="462">
      <c r="B462" s="49" t="n"/>
      <c r="C462" s="49" t="n"/>
      <c r="D462" s="49" t="n"/>
      <c r="F462" s="50" t="n"/>
    </row>
    <row r="463">
      <c r="B463" s="49" t="n"/>
      <c r="C463" s="49" t="n"/>
      <c r="D463" s="49" t="n"/>
      <c r="F463" s="50" t="n"/>
    </row>
    <row r="464">
      <c r="B464" s="49" t="n"/>
      <c r="C464" s="49" t="n"/>
      <c r="D464" s="49" t="n"/>
      <c r="F464" s="50" t="n"/>
    </row>
    <row r="465">
      <c r="B465" s="49" t="n"/>
      <c r="C465" s="49" t="n"/>
      <c r="D465" s="49" t="n"/>
      <c r="F465" s="50" t="n"/>
    </row>
    <row r="466">
      <c r="B466" s="49" t="n"/>
      <c r="C466" s="49" t="n"/>
      <c r="D466" s="49" t="n"/>
      <c r="F466" s="50" t="n"/>
    </row>
    <row r="467">
      <c r="B467" s="49" t="n"/>
      <c r="C467" s="49" t="n"/>
      <c r="D467" s="49" t="n"/>
      <c r="F467" s="50" t="n"/>
    </row>
    <row r="468">
      <c r="B468" s="49" t="n"/>
      <c r="C468" s="49" t="n"/>
      <c r="D468" s="49" t="n"/>
      <c r="F468" s="50" t="n"/>
    </row>
    <row r="469">
      <c r="B469" s="49" t="n"/>
      <c r="C469" s="49" t="n"/>
      <c r="D469" s="49" t="n"/>
      <c r="F469" s="50" t="n"/>
    </row>
    <row r="470">
      <c r="B470" s="49" t="n"/>
      <c r="C470" s="49" t="n"/>
      <c r="D470" s="49" t="n"/>
      <c r="F470" s="50" t="n"/>
    </row>
    <row r="471">
      <c r="B471" s="49" t="n"/>
      <c r="C471" s="49" t="n"/>
      <c r="D471" s="49" t="n"/>
      <c r="F471" s="50" t="n"/>
    </row>
    <row r="472">
      <c r="B472" s="49" t="n"/>
      <c r="C472" s="49" t="n"/>
      <c r="D472" s="49" t="n"/>
      <c r="F472" s="50" t="n"/>
    </row>
    <row r="473">
      <c r="B473" s="49" t="n"/>
      <c r="C473" s="49" t="n"/>
      <c r="D473" s="49" t="n"/>
      <c r="F473" s="50" t="n"/>
    </row>
    <row r="474">
      <c r="B474" s="49" t="n"/>
      <c r="C474" s="49" t="n"/>
      <c r="D474" s="49" t="n"/>
      <c r="F474" s="50" t="n"/>
    </row>
    <row r="475">
      <c r="B475" s="49" t="n"/>
      <c r="C475" s="49" t="n"/>
      <c r="D475" s="49" t="n"/>
      <c r="F475" s="50" t="n"/>
    </row>
    <row r="476">
      <c r="B476" s="49" t="n"/>
      <c r="C476" s="49" t="n"/>
      <c r="D476" s="49" t="n"/>
      <c r="F476" s="50" t="n"/>
    </row>
    <row r="477">
      <c r="B477" s="49" t="n"/>
      <c r="C477" s="49" t="n"/>
      <c r="D477" s="49" t="n"/>
      <c r="F477" s="50" t="n"/>
    </row>
    <row r="478">
      <c r="B478" s="49" t="n"/>
      <c r="C478" s="49" t="n"/>
      <c r="D478" s="49" t="n"/>
      <c r="F478" s="50" t="n"/>
    </row>
    <row r="479">
      <c r="B479" s="49" t="n"/>
      <c r="C479" s="49" t="n"/>
      <c r="D479" s="49" t="n"/>
      <c r="F479" s="50" t="n"/>
    </row>
    <row r="480">
      <c r="B480" s="49" t="n"/>
      <c r="C480" s="49" t="n"/>
      <c r="D480" s="49" t="n"/>
      <c r="F480" s="50" t="n"/>
    </row>
    <row r="481">
      <c r="B481" s="49" t="n"/>
      <c r="C481" s="49" t="n"/>
      <c r="D481" s="49" t="n"/>
      <c r="F481" s="50" t="n"/>
    </row>
    <row r="482">
      <c r="B482" s="49" t="n"/>
      <c r="C482" s="49" t="n"/>
      <c r="D482" s="49" t="n"/>
      <c r="F482" s="50" t="n"/>
    </row>
    <row r="483">
      <c r="B483" s="49" t="n"/>
      <c r="C483" s="49" t="n"/>
      <c r="D483" s="49" t="n"/>
      <c r="F483" s="50" t="n"/>
    </row>
    <row r="484">
      <c r="B484" s="49" t="n"/>
      <c r="C484" s="49" t="n"/>
      <c r="D484" s="49" t="n"/>
      <c r="F484" s="50" t="n"/>
    </row>
    <row r="485">
      <c r="B485" s="49" t="n"/>
      <c r="C485" s="49" t="n"/>
      <c r="D485" s="49" t="n"/>
      <c r="F485" s="50" t="n"/>
    </row>
    <row r="486">
      <c r="B486" s="49" t="n"/>
      <c r="C486" s="49" t="n"/>
      <c r="D486" s="49" t="n"/>
      <c r="F486" s="50" t="n"/>
    </row>
    <row r="487">
      <c r="B487" s="49" t="n"/>
      <c r="C487" s="49" t="n"/>
      <c r="D487" s="49" t="n"/>
      <c r="F487" s="50" t="n"/>
    </row>
    <row r="488">
      <c r="B488" s="49" t="n"/>
      <c r="C488" s="49" t="n"/>
      <c r="D488" s="49" t="n"/>
      <c r="F488" s="50" t="n"/>
    </row>
    <row r="489">
      <c r="B489" s="49" t="n"/>
      <c r="C489" s="49" t="n"/>
      <c r="D489" s="49" t="n"/>
      <c r="F489" s="50" t="n"/>
    </row>
    <row r="490">
      <c r="B490" s="49" t="n"/>
      <c r="C490" s="49" t="n"/>
      <c r="D490" s="49" t="n"/>
      <c r="F490" s="50" t="n"/>
    </row>
    <row r="491">
      <c r="B491" s="49" t="n"/>
      <c r="C491" s="49" t="n"/>
      <c r="D491" s="49" t="n"/>
      <c r="F491" s="50" t="n"/>
    </row>
    <row r="492">
      <c r="B492" s="49" t="n"/>
      <c r="C492" s="49" t="n"/>
      <c r="D492" s="49" t="n"/>
      <c r="F492" s="50" t="n"/>
    </row>
    <row r="493">
      <c r="B493" s="49" t="n"/>
      <c r="C493" s="49" t="n"/>
      <c r="D493" s="49" t="n"/>
      <c r="F493" s="50" t="n"/>
    </row>
    <row r="494">
      <c r="B494" s="49" t="n"/>
      <c r="C494" s="49" t="n"/>
      <c r="D494" s="49" t="n"/>
      <c r="F494" s="50" t="n"/>
    </row>
    <row r="495">
      <c r="B495" s="49" t="n"/>
      <c r="C495" s="49" t="n"/>
      <c r="D495" s="49" t="n"/>
      <c r="F495" s="50" t="n"/>
    </row>
    <row r="496">
      <c r="B496" s="49" t="n"/>
      <c r="C496" s="49" t="n"/>
      <c r="D496" s="49" t="n"/>
      <c r="F496" s="50" t="n"/>
    </row>
    <row r="497">
      <c r="B497" s="49" t="n"/>
      <c r="C497" s="49" t="n"/>
      <c r="D497" s="49" t="n"/>
      <c r="F497" s="50" t="n"/>
    </row>
    <row r="498">
      <c r="B498" s="49" t="n"/>
      <c r="C498" s="49" t="n"/>
      <c r="D498" s="49" t="n"/>
      <c r="F498" s="50" t="n"/>
    </row>
    <row r="499">
      <c r="B499" s="49" t="n"/>
      <c r="C499" s="49" t="n"/>
      <c r="D499" s="49" t="n"/>
      <c r="F499" s="50" t="n"/>
    </row>
    <row r="500">
      <c r="B500" s="49" t="n"/>
      <c r="C500" s="49" t="n"/>
      <c r="D500" s="49" t="n"/>
      <c r="F500" s="50" t="n"/>
    </row>
    <row r="501">
      <c r="B501" s="49" t="n"/>
      <c r="C501" s="49" t="n"/>
      <c r="D501" s="49" t="n"/>
      <c r="F501" s="50" t="n"/>
    </row>
    <row r="502">
      <c r="B502" s="49" t="n"/>
      <c r="C502" s="49" t="n"/>
      <c r="D502" s="49" t="n"/>
      <c r="F502" s="50" t="n"/>
    </row>
    <row r="503">
      <c r="B503" s="49" t="n"/>
      <c r="C503" s="49" t="n"/>
      <c r="D503" s="49" t="n"/>
      <c r="F503" s="50" t="n"/>
    </row>
    <row r="504">
      <c r="B504" s="49" t="n"/>
      <c r="C504" s="49" t="n"/>
      <c r="D504" s="49" t="n"/>
      <c r="F504" s="50" t="n"/>
    </row>
    <row r="505">
      <c r="B505" s="49" t="n"/>
      <c r="C505" s="49" t="n"/>
      <c r="D505" s="49" t="n"/>
      <c r="F505" s="50" t="n"/>
    </row>
    <row r="506">
      <c r="B506" s="49" t="n"/>
      <c r="C506" s="49" t="n"/>
      <c r="D506" s="49" t="n"/>
      <c r="F506" s="50" t="n"/>
    </row>
    <row r="507">
      <c r="B507" s="49" t="n"/>
      <c r="C507" s="49" t="n"/>
      <c r="D507" s="49" t="n"/>
      <c r="F507" s="50" t="n"/>
    </row>
    <row r="508">
      <c r="B508" s="49" t="n"/>
      <c r="C508" s="49" t="n"/>
      <c r="D508" s="49" t="n"/>
      <c r="F508" s="50" t="n"/>
    </row>
    <row r="509">
      <c r="B509" s="49" t="n"/>
      <c r="C509" s="49" t="n"/>
      <c r="D509" s="49" t="n"/>
      <c r="F509" s="50" t="n"/>
    </row>
    <row r="510">
      <c r="B510" s="49" t="n"/>
      <c r="C510" s="49" t="n"/>
      <c r="D510" s="49" t="n"/>
      <c r="F510" s="50" t="n"/>
    </row>
    <row r="511">
      <c r="B511" s="49" t="n"/>
      <c r="C511" s="49" t="n"/>
      <c r="D511" s="49" t="n"/>
      <c r="F511" s="50" t="n"/>
    </row>
    <row r="512">
      <c r="B512" s="49" t="n"/>
      <c r="C512" s="49" t="n"/>
      <c r="D512" s="49" t="n"/>
      <c r="F512" s="50" t="n"/>
    </row>
    <row r="513">
      <c r="B513" s="49" t="n"/>
      <c r="C513" s="49" t="n"/>
      <c r="D513" s="49" t="n"/>
      <c r="F513" s="50" t="n"/>
    </row>
    <row r="514">
      <c r="B514" s="49" t="n"/>
      <c r="C514" s="49" t="n"/>
      <c r="D514" s="49" t="n"/>
      <c r="F514" s="50" t="n"/>
    </row>
    <row r="515">
      <c r="B515" s="49" t="n"/>
      <c r="C515" s="49" t="n"/>
      <c r="D515" s="49" t="n"/>
      <c r="F515" s="50" t="n"/>
    </row>
    <row r="516">
      <c r="B516" s="49" t="n"/>
      <c r="C516" s="49" t="n"/>
      <c r="D516" s="49" t="n"/>
      <c r="F516" s="50" t="n"/>
    </row>
    <row r="517">
      <c r="B517" s="49" t="n"/>
      <c r="C517" s="49" t="n"/>
      <c r="D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error="Choose a value of the list List (UA-06) (sheet Reference lists)." promptTitle="List" prompt="Yes. The list Allowed: UAM_BUSINESS_UNIT, UAM_USER_LEVEL, UAM_DEACTIVATION_REASON (list List (UA-06))" type="list" errorStyle="stop">
      <formula1>=LIST_UA_06_LIST</formula1>
    </dataValidation>
    <dataValidation sqref="C17:C517" showDropDown="0" showInputMessage="1" showErrorMessage="0" allowBlank="1" promptTitle="Code" prompt="Yes. Code of the value"/>
    <dataValidation sqref="D17:D517" showDropDown="0" showInputMessage="1" showErrorMessage="0" allowBlank="1" promptTitle="Label" prompt="Yes. Label shown on screens"/>
    <dataValidation sqref="E17:E517" showDropDown="0" showInputMessage="1" showErrorMessage="1" allowBlank="1" errorTitle="Sort order" error="Enter a number." promptTitle="Sort order" prompt="No. Order in the drop-down Allowed: A number" type="decimal" operator="greaterThanOrEqual">
      <formula1>-1E+15</formula1>
    </dataValidation>
    <dataValidation sqref="F17:F517" showDropDown="0" showInputMessage="1" showErrorMessage="1" allowBlank="1" errorTitle="Effective from" error="Enter a date, for example 15-Jan-2028." promptTitle="Effective from" prompt="Yes. Date the value may be used Allowed: A date, for example 15-Jan-2028" type="date" operator="greaterThan">
      <formula1>DATE(1900,1,1)</formula1>
    </dataValidation>
  </dataValidations>
  <hyperlinks>
    <hyperlink ref="A2" location="'Start here'!A1"/>
    <hyperlink ref="G2" location="'Questions and comments'!A1"/>
    <hyperlink ref="B14" location="'Reference lists'!A284"/>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0" customWidth="1" min="2" max="2"/>
    <col width="16" customWidth="1" min="3" max="3"/>
    <col width="16" customWidth="1" min="4" max="4"/>
    <col width="16" customWidth="1" min="5" max="5"/>
    <col width="20" customWidth="1" min="6" max="6"/>
    <col width="35" customWidth="1" min="7" max="7"/>
    <col width="15.45454545454545" customWidth="1" min="8" max="8"/>
  </cols>
  <sheetData>
    <row r="1" ht="26" customHeight="1">
      <c r="A1" s="25" t="inlineStr">
        <is>
          <t>D0-05 Employees</t>
        </is>
      </c>
      <c r="H1" s="26" t="inlineStr">
        <is>
          <t>Step 10 of 52</t>
        </is>
      </c>
    </row>
    <row r="2">
      <c r="A2" s="27" t="inlineStr">
        <is>
          <t>← Back to Start here</t>
        </is>
      </c>
      <c r="B2" s="28" t="inlineStr">
        <is>
          <t>Step 10 of 52. Fill in one row per record below the column headers; the guide above each column says what to enter.</t>
        </is>
      </c>
      <c r="H2" s="29" t="inlineStr">
        <is>
          <t>Ask a question →</t>
        </is>
      </c>
    </row>
    <row r="3" outlineLevel="1" ht="15.5" customHeight="1">
      <c r="A3" s="30" t="inlineStr">
        <is>
          <t>Purpose</t>
        </is>
      </c>
      <c r="B3" s="31" t="inlineStr">
        <is>
          <t>Employees used by the cost-centre rules, petty cash and staff advances</t>
        </is>
      </c>
    </row>
    <row r="4" outlineLevel="1" ht="15.5" customHeight="1">
      <c r="A4" s="30" t="inlineStr">
        <is>
          <t>Provided by</t>
        </is>
      </c>
      <c r="B4" s="31" t="inlineStr">
        <is>
          <t>Human Resources; Head, Comptrollership</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Setup &amp; Administration › Setup › Employees,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D0-02 Branches →</t>
        </is>
      </c>
      <c r="D8" s="53" t="inlineStr">
        <is>
          <t>D0-04 Cost centres and business lines →</t>
        </is>
      </c>
    </row>
    <row r="9" ht="26" customHeight="1">
      <c r="A9" s="34" t="inlineStr">
        <is>
          <t>Progress</t>
        </is>
      </c>
      <c r="B9" s="35" t="inlineStr">
        <is>
          <t>Rows entered</t>
        </is>
      </c>
      <c r="C9" s="36">
        <f>SUMPRODUCT(((ROW($B$17:$B$517)&gt;17)+($B$17&lt;&gt;"1203344")&gt;0)*(LEN($B$17:$B$517&amp;$C$17:$C$517&amp;$D$17:$D$517&amp;$E$17:$E$517&amp;$F$17:$F$517&amp;$G$17:$G$517&amp;$H$17:$H$517)&gt;0))</f>
        <v/>
      </c>
      <c r="D9" s="35" t="inlineStr">
        <is>
          <t>Mandatory cells missing</t>
        </is>
      </c>
      <c r="E9" s="36">
        <f>SUMPRODUCT(((ROW($B$17:$B$517)&gt;17)+($B$17&lt;&gt;"1203344")&gt;0)*(LEN($B$17:$B$517&amp;$C$17:$C$517&amp;$D$17:$D$517&amp;$E$17:$E$517&amp;$F$17:$F$517&amp;$G$17:$G$517&amp;$H$17:$H$517)&gt;0)*(($B$17:$B$517="")+($C$17:$C$517="")+($D$17:$D$517="")+($E$17:$E$517="")))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17" customHeight="1">
      <c r="A12" s="41" t="inlineStr">
        <is>
          <t>Mandatory</t>
        </is>
      </c>
      <c r="B12" s="42" t="inlineStr">
        <is>
          <t>Yes</t>
        </is>
      </c>
      <c r="C12" s="42" t="inlineStr">
        <is>
          <t>Yes</t>
        </is>
      </c>
      <c r="D12" s="42" t="inlineStr">
        <is>
          <t>Yes</t>
        </is>
      </c>
      <c r="E12" s="42" t="inlineStr">
        <is>
          <t>Yes</t>
        </is>
      </c>
      <c r="F12" s="43" t="inlineStr">
        <is>
          <t>No</t>
        </is>
      </c>
      <c r="G12" s="43" t="inlineStr">
        <is>
          <t>No</t>
        </is>
      </c>
      <c r="H12" s="43" t="inlineStr">
        <is>
          <t>No</t>
        </is>
      </c>
    </row>
    <row r="13" ht="30" customHeight="1">
      <c r="A13" s="41" t="inlineStr">
        <is>
          <t>Format</t>
        </is>
      </c>
      <c r="B13" s="43" t="inlineStr">
        <is>
          <t>HR number</t>
        </is>
      </c>
      <c r="C13" s="43" t="inlineStr">
        <is>
          <t>Text</t>
        </is>
      </c>
      <c r="D13" s="43" t="inlineStr">
        <is>
          <t>Text</t>
        </is>
      </c>
      <c r="E13" s="43" t="inlineStr">
        <is>
          <t>Text</t>
        </is>
      </c>
      <c r="F13" s="43" t="inlineStr">
        <is>
          <t>Text</t>
        </is>
      </c>
      <c r="G13" s="43" t="inlineStr">
        <is>
          <t>Text</t>
        </is>
      </c>
      <c r="H13" s="43" t="inlineStr">
        <is>
          <t>Date dd-MMM-yyyy, e.g. 15-Jan-2026</t>
        </is>
      </c>
    </row>
    <row r="14" ht="30" customHeight="1">
      <c r="A14" s="41" t="inlineStr">
        <is>
          <t>Allowed values</t>
        </is>
      </c>
      <c r="B14" s="43" t="inlineStr">
        <is>
          <t>Free entry</t>
        </is>
      </c>
      <c r="C14" s="43" t="inlineStr">
        <is>
          <t>Free entry</t>
        </is>
      </c>
      <c r="D14" s="51" t="inlineStr">
        <is>
          <t>Code of an existing branch</t>
        </is>
      </c>
      <c r="E14" s="51" t="inlineStr">
        <is>
          <t>Code of an existing cost centre</t>
        </is>
      </c>
      <c r="F14" s="43" t="inlineStr">
        <is>
          <t>Free entry</t>
        </is>
      </c>
      <c r="G14" s="43" t="inlineStr">
        <is>
          <t>Free entry</t>
        </is>
      </c>
      <c r="H14" s="43" t="inlineStr">
        <is>
          <t>A date, for example 15-Jan-2028</t>
        </is>
      </c>
    </row>
    <row r="15" ht="30" customHeight="1">
      <c r="A15" s="41" t="inlineStr">
        <is>
          <t>What to enter</t>
        </is>
      </c>
      <c r="B15" s="43" t="inlineStr">
        <is>
          <t>Employee number; unique</t>
        </is>
      </c>
      <c r="C15" s="43" t="inlineStr">
        <is>
          <t>Name of the employee</t>
        </is>
      </c>
      <c r="D15" s="43" t="inlineStr">
        <is>
          <t>Home branch</t>
        </is>
      </c>
      <c r="E15" s="43" t="inlineStr">
        <is>
          <t>Cost centre of the employee</t>
        </is>
      </c>
      <c r="F15" s="43" t="inlineStr">
        <is>
          <t>Position title</t>
        </is>
      </c>
      <c r="G15" s="43" t="inlineStr">
        <is>
          <t>For advices and statements</t>
        </is>
      </c>
      <c r="H15" s="43" t="inlineStr">
        <is>
          <t>Date of hire</t>
        </is>
      </c>
    </row>
    <row r="16" ht="30" customHeight="1">
      <c r="A16" s="44" t="inlineStr">
        <is>
          <t>Row</t>
        </is>
      </c>
      <c r="B16" s="45" t="inlineStr">
        <is>
          <t>Employee number *</t>
        </is>
      </c>
      <c r="C16" s="45" t="inlineStr">
        <is>
          <t>Full name *</t>
        </is>
      </c>
      <c r="D16" s="45" t="inlineStr">
        <is>
          <t>Branch code *</t>
        </is>
      </c>
      <c r="E16" s="45" t="inlineStr">
        <is>
          <t>Cost centre *</t>
        </is>
      </c>
      <c r="F16" s="45" t="inlineStr">
        <is>
          <t>Position</t>
        </is>
      </c>
      <c r="G16" s="45" t="inlineStr">
        <is>
          <t>E-mail</t>
        </is>
      </c>
      <c r="H16" s="45" t="inlineStr">
        <is>
          <t>Hired on</t>
        </is>
      </c>
    </row>
    <row r="17" ht="18" customHeight="1">
      <c r="A17" s="46" t="inlineStr">
        <is>
          <t>Example – overwrite or delete</t>
        </is>
      </c>
      <c r="B17" s="47" t="inlineStr">
        <is>
          <t>1203344</t>
        </is>
      </c>
      <c r="C17" s="47" t="inlineStr">
        <is>
          <t>Andrea Mercado</t>
        </is>
      </c>
      <c r="D17" s="47" t="inlineStr">
        <is>
          <t>HO</t>
        </is>
      </c>
      <c r="E17" s="47" t="inlineStr">
        <is>
          <t>FIN</t>
        </is>
      </c>
      <c r="F17" s="47" t="inlineStr">
        <is>
          <t>Accounting Officer</t>
        </is>
      </c>
      <c r="G17" s="47" t="inlineStr">
        <is>
          <t>andrea.mercado@company.example.ph</t>
        </is>
      </c>
      <c r="H17" s="48" t="n">
        <v>43527</v>
      </c>
    </row>
    <row r="18">
      <c r="B18" s="49" t="n"/>
      <c r="C18" s="49" t="n"/>
      <c r="D18" s="49" t="n"/>
      <c r="E18" s="49" t="n"/>
      <c r="F18" s="49" t="n"/>
      <c r="G18" s="49" t="n"/>
      <c r="H18" s="50" t="n"/>
    </row>
    <row r="19">
      <c r="B19" s="49" t="n"/>
      <c r="C19" s="49" t="n"/>
      <c r="D19" s="49" t="n"/>
      <c r="E19" s="49" t="n"/>
      <c r="F19" s="49" t="n"/>
      <c r="G19" s="49" t="n"/>
      <c r="H19" s="50" t="n"/>
    </row>
    <row r="20">
      <c r="B20" s="49" t="n"/>
      <c r="C20" s="49" t="n"/>
      <c r="D20" s="49" t="n"/>
      <c r="E20" s="49" t="n"/>
      <c r="F20" s="49" t="n"/>
      <c r="G20" s="49" t="n"/>
      <c r="H20" s="50" t="n"/>
    </row>
    <row r="21">
      <c r="B21" s="49" t="n"/>
      <c r="C21" s="49" t="n"/>
      <c r="D21" s="49" t="n"/>
      <c r="E21" s="49" t="n"/>
      <c r="F21" s="49" t="n"/>
      <c r="G21" s="49" t="n"/>
      <c r="H21" s="50" t="n"/>
    </row>
    <row r="22">
      <c r="B22" s="49" t="n"/>
      <c r="C22" s="49" t="n"/>
      <c r="D22" s="49" t="n"/>
      <c r="E22" s="49" t="n"/>
      <c r="F22" s="49" t="n"/>
      <c r="G22" s="49" t="n"/>
      <c r="H22" s="50" t="n"/>
    </row>
    <row r="23">
      <c r="B23" s="49" t="n"/>
      <c r="C23" s="49" t="n"/>
      <c r="D23" s="49" t="n"/>
      <c r="E23" s="49" t="n"/>
      <c r="F23" s="49" t="n"/>
      <c r="G23" s="49" t="n"/>
      <c r="H23" s="50" t="n"/>
    </row>
    <row r="24">
      <c r="B24" s="49" t="n"/>
      <c r="C24" s="49" t="n"/>
      <c r="D24" s="49" t="n"/>
      <c r="E24" s="49" t="n"/>
      <c r="F24" s="49" t="n"/>
      <c r="G24" s="49" t="n"/>
      <c r="H24" s="50" t="n"/>
    </row>
    <row r="25">
      <c r="B25" s="49" t="n"/>
      <c r="C25" s="49" t="n"/>
      <c r="D25" s="49" t="n"/>
      <c r="E25" s="49" t="n"/>
      <c r="F25" s="49" t="n"/>
      <c r="G25" s="49" t="n"/>
      <c r="H25" s="50" t="n"/>
    </row>
    <row r="26">
      <c r="B26" s="49" t="n"/>
      <c r="C26" s="49" t="n"/>
      <c r="D26" s="49" t="n"/>
      <c r="E26" s="49" t="n"/>
      <c r="F26" s="49" t="n"/>
      <c r="G26" s="49" t="n"/>
      <c r="H26" s="50" t="n"/>
    </row>
    <row r="27">
      <c r="B27" s="49" t="n"/>
      <c r="C27" s="49" t="n"/>
      <c r="D27" s="49" t="n"/>
      <c r="E27" s="49" t="n"/>
      <c r="F27" s="49" t="n"/>
      <c r="G27" s="49" t="n"/>
      <c r="H27" s="50" t="n"/>
    </row>
    <row r="28">
      <c r="B28" s="49" t="n"/>
      <c r="C28" s="49" t="n"/>
      <c r="D28" s="49" t="n"/>
      <c r="E28" s="49" t="n"/>
      <c r="F28" s="49" t="n"/>
      <c r="G28" s="49" t="n"/>
      <c r="H28" s="50" t="n"/>
    </row>
    <row r="29">
      <c r="B29" s="49" t="n"/>
      <c r="C29" s="49" t="n"/>
      <c r="D29" s="49" t="n"/>
      <c r="E29" s="49" t="n"/>
      <c r="F29" s="49" t="n"/>
      <c r="G29" s="49" t="n"/>
      <c r="H29" s="50" t="n"/>
    </row>
    <row r="30">
      <c r="B30" s="49" t="n"/>
      <c r="C30" s="49" t="n"/>
      <c r="D30" s="49" t="n"/>
      <c r="E30" s="49" t="n"/>
      <c r="F30" s="49" t="n"/>
      <c r="G30" s="49" t="n"/>
      <c r="H30" s="50" t="n"/>
    </row>
    <row r="31">
      <c r="B31" s="49" t="n"/>
      <c r="C31" s="49" t="n"/>
      <c r="D31" s="49" t="n"/>
      <c r="E31" s="49" t="n"/>
      <c r="F31" s="49" t="n"/>
      <c r="G31" s="49" t="n"/>
      <c r="H31" s="50" t="n"/>
    </row>
    <row r="32">
      <c r="B32" s="49" t="n"/>
      <c r="C32" s="49" t="n"/>
      <c r="D32" s="49" t="n"/>
      <c r="E32" s="49" t="n"/>
      <c r="F32" s="49" t="n"/>
      <c r="G32" s="49" t="n"/>
      <c r="H32" s="50" t="n"/>
    </row>
    <row r="33">
      <c r="B33" s="49" t="n"/>
      <c r="C33" s="49" t="n"/>
      <c r="D33" s="49" t="n"/>
      <c r="E33" s="49" t="n"/>
      <c r="F33" s="49" t="n"/>
      <c r="G33" s="49" t="n"/>
      <c r="H33" s="50" t="n"/>
    </row>
    <row r="34">
      <c r="B34" s="49" t="n"/>
      <c r="C34" s="49" t="n"/>
      <c r="D34" s="49" t="n"/>
      <c r="E34" s="49" t="n"/>
      <c r="F34" s="49" t="n"/>
      <c r="G34" s="49" t="n"/>
      <c r="H34" s="50" t="n"/>
    </row>
    <row r="35">
      <c r="B35" s="49" t="n"/>
      <c r="C35" s="49" t="n"/>
      <c r="D35" s="49" t="n"/>
      <c r="E35" s="49" t="n"/>
      <c r="F35" s="49" t="n"/>
      <c r="G35" s="49" t="n"/>
      <c r="H35" s="50" t="n"/>
    </row>
    <row r="36">
      <c r="B36" s="49" t="n"/>
      <c r="C36" s="49" t="n"/>
      <c r="D36" s="49" t="n"/>
      <c r="E36" s="49" t="n"/>
      <c r="F36" s="49" t="n"/>
      <c r="G36" s="49" t="n"/>
      <c r="H36" s="50" t="n"/>
    </row>
    <row r="37">
      <c r="B37" s="49" t="n"/>
      <c r="C37" s="49" t="n"/>
      <c r="D37" s="49" t="n"/>
      <c r="E37" s="49" t="n"/>
      <c r="F37" s="49" t="n"/>
      <c r="G37" s="49" t="n"/>
      <c r="H37" s="50" t="n"/>
    </row>
    <row r="38">
      <c r="B38" s="49" t="n"/>
      <c r="C38" s="49" t="n"/>
      <c r="D38" s="49" t="n"/>
      <c r="E38" s="49" t="n"/>
      <c r="F38" s="49" t="n"/>
      <c r="G38" s="49" t="n"/>
      <c r="H38" s="50" t="n"/>
    </row>
    <row r="39">
      <c r="B39" s="49" t="n"/>
      <c r="C39" s="49" t="n"/>
      <c r="D39" s="49" t="n"/>
      <c r="E39" s="49" t="n"/>
      <c r="F39" s="49" t="n"/>
      <c r="G39" s="49" t="n"/>
      <c r="H39" s="50" t="n"/>
    </row>
    <row r="40">
      <c r="B40" s="49" t="n"/>
      <c r="C40" s="49" t="n"/>
      <c r="D40" s="49" t="n"/>
      <c r="E40" s="49" t="n"/>
      <c r="F40" s="49" t="n"/>
      <c r="G40" s="49" t="n"/>
      <c r="H40" s="50" t="n"/>
    </row>
    <row r="41">
      <c r="B41" s="49" t="n"/>
      <c r="C41" s="49" t="n"/>
      <c r="D41" s="49" t="n"/>
      <c r="E41" s="49" t="n"/>
      <c r="F41" s="49" t="n"/>
      <c r="G41" s="49" t="n"/>
      <c r="H41" s="50" t="n"/>
    </row>
    <row r="42">
      <c r="B42" s="49" t="n"/>
      <c r="C42" s="49" t="n"/>
      <c r="D42" s="49" t="n"/>
      <c r="E42" s="49" t="n"/>
      <c r="F42" s="49" t="n"/>
      <c r="G42" s="49" t="n"/>
      <c r="H42" s="50" t="n"/>
    </row>
    <row r="43">
      <c r="B43" s="49" t="n"/>
      <c r="C43" s="49" t="n"/>
      <c r="D43" s="49" t="n"/>
      <c r="E43" s="49" t="n"/>
      <c r="F43" s="49" t="n"/>
      <c r="G43" s="49" t="n"/>
      <c r="H43" s="50" t="n"/>
    </row>
    <row r="44">
      <c r="B44" s="49" t="n"/>
      <c r="C44" s="49" t="n"/>
      <c r="D44" s="49" t="n"/>
      <c r="E44" s="49" t="n"/>
      <c r="F44" s="49" t="n"/>
      <c r="G44" s="49" t="n"/>
      <c r="H44" s="50" t="n"/>
    </row>
    <row r="45">
      <c r="B45" s="49" t="n"/>
      <c r="C45" s="49" t="n"/>
      <c r="D45" s="49" t="n"/>
      <c r="E45" s="49" t="n"/>
      <c r="F45" s="49" t="n"/>
      <c r="G45" s="49" t="n"/>
      <c r="H45" s="50" t="n"/>
    </row>
    <row r="46">
      <c r="B46" s="49" t="n"/>
      <c r="C46" s="49" t="n"/>
      <c r="D46" s="49" t="n"/>
      <c r="E46" s="49" t="n"/>
      <c r="F46" s="49" t="n"/>
      <c r="G46" s="49" t="n"/>
      <c r="H46" s="50" t="n"/>
    </row>
    <row r="47">
      <c r="B47" s="49" t="n"/>
      <c r="C47" s="49" t="n"/>
      <c r="D47" s="49" t="n"/>
      <c r="E47" s="49" t="n"/>
      <c r="F47" s="49" t="n"/>
      <c r="G47" s="49" t="n"/>
      <c r="H47" s="50" t="n"/>
    </row>
    <row r="48">
      <c r="B48" s="49" t="n"/>
      <c r="C48" s="49" t="n"/>
      <c r="D48" s="49" t="n"/>
      <c r="E48" s="49" t="n"/>
      <c r="F48" s="49" t="n"/>
      <c r="G48" s="49" t="n"/>
      <c r="H48" s="50" t="n"/>
    </row>
    <row r="49">
      <c r="B49" s="49" t="n"/>
      <c r="C49" s="49" t="n"/>
      <c r="D49" s="49" t="n"/>
      <c r="E49" s="49" t="n"/>
      <c r="F49" s="49" t="n"/>
      <c r="G49" s="49" t="n"/>
      <c r="H49" s="50" t="n"/>
    </row>
    <row r="50">
      <c r="B50" s="49" t="n"/>
      <c r="C50" s="49" t="n"/>
      <c r="D50" s="49" t="n"/>
      <c r="E50" s="49" t="n"/>
      <c r="F50" s="49" t="n"/>
      <c r="G50" s="49" t="n"/>
      <c r="H50" s="50" t="n"/>
    </row>
    <row r="51">
      <c r="B51" s="49" t="n"/>
      <c r="C51" s="49" t="n"/>
      <c r="D51" s="49" t="n"/>
      <c r="E51" s="49" t="n"/>
      <c r="F51" s="49" t="n"/>
      <c r="G51" s="49" t="n"/>
      <c r="H51" s="50" t="n"/>
    </row>
    <row r="52">
      <c r="B52" s="49" t="n"/>
      <c r="C52" s="49" t="n"/>
      <c r="D52" s="49" t="n"/>
      <c r="E52" s="49" t="n"/>
      <c r="F52" s="49" t="n"/>
      <c r="G52" s="49" t="n"/>
      <c r="H52" s="50" t="n"/>
    </row>
    <row r="53">
      <c r="B53" s="49" t="n"/>
      <c r="C53" s="49" t="n"/>
      <c r="D53" s="49" t="n"/>
      <c r="E53" s="49" t="n"/>
      <c r="F53" s="49" t="n"/>
      <c r="G53" s="49" t="n"/>
      <c r="H53" s="50" t="n"/>
    </row>
    <row r="54">
      <c r="B54" s="49" t="n"/>
      <c r="C54" s="49" t="n"/>
      <c r="D54" s="49" t="n"/>
      <c r="E54" s="49" t="n"/>
      <c r="F54" s="49" t="n"/>
      <c r="G54" s="49" t="n"/>
      <c r="H54" s="50" t="n"/>
    </row>
    <row r="55">
      <c r="B55" s="49" t="n"/>
      <c r="C55" s="49" t="n"/>
      <c r="D55" s="49" t="n"/>
      <c r="E55" s="49" t="n"/>
      <c r="F55" s="49" t="n"/>
      <c r="G55" s="49" t="n"/>
      <c r="H55" s="50" t="n"/>
    </row>
    <row r="56">
      <c r="B56" s="49" t="n"/>
      <c r="C56" s="49" t="n"/>
      <c r="D56" s="49" t="n"/>
      <c r="E56" s="49" t="n"/>
      <c r="F56" s="49" t="n"/>
      <c r="G56" s="49" t="n"/>
      <c r="H56" s="50" t="n"/>
    </row>
    <row r="57">
      <c r="B57" s="49" t="n"/>
      <c r="C57" s="49" t="n"/>
      <c r="D57" s="49" t="n"/>
      <c r="E57" s="49" t="n"/>
      <c r="F57" s="49" t="n"/>
      <c r="G57" s="49" t="n"/>
      <c r="H57" s="50" t="n"/>
    </row>
    <row r="58">
      <c r="B58" s="49" t="n"/>
      <c r="C58" s="49" t="n"/>
      <c r="D58" s="49" t="n"/>
      <c r="E58" s="49" t="n"/>
      <c r="F58" s="49" t="n"/>
      <c r="G58" s="49" t="n"/>
      <c r="H58" s="50" t="n"/>
    </row>
    <row r="59">
      <c r="B59" s="49" t="n"/>
      <c r="C59" s="49" t="n"/>
      <c r="D59" s="49" t="n"/>
      <c r="E59" s="49" t="n"/>
      <c r="F59" s="49" t="n"/>
      <c r="G59" s="49" t="n"/>
      <c r="H59" s="50" t="n"/>
    </row>
    <row r="60">
      <c r="B60" s="49" t="n"/>
      <c r="C60" s="49" t="n"/>
      <c r="D60" s="49" t="n"/>
      <c r="E60" s="49" t="n"/>
      <c r="F60" s="49" t="n"/>
      <c r="G60" s="49" t="n"/>
      <c r="H60" s="50" t="n"/>
    </row>
    <row r="61">
      <c r="B61" s="49" t="n"/>
      <c r="C61" s="49" t="n"/>
      <c r="D61" s="49" t="n"/>
      <c r="E61" s="49" t="n"/>
      <c r="F61" s="49" t="n"/>
      <c r="G61" s="49" t="n"/>
      <c r="H61" s="50" t="n"/>
    </row>
    <row r="62">
      <c r="B62" s="49" t="n"/>
      <c r="C62" s="49" t="n"/>
      <c r="D62" s="49" t="n"/>
      <c r="E62" s="49" t="n"/>
      <c r="F62" s="49" t="n"/>
      <c r="G62" s="49" t="n"/>
      <c r="H62" s="50" t="n"/>
    </row>
    <row r="63">
      <c r="B63" s="49" t="n"/>
      <c r="C63" s="49" t="n"/>
      <c r="D63" s="49" t="n"/>
      <c r="E63" s="49" t="n"/>
      <c r="F63" s="49" t="n"/>
      <c r="G63" s="49" t="n"/>
      <c r="H63" s="50" t="n"/>
    </row>
    <row r="64">
      <c r="B64" s="49" t="n"/>
      <c r="C64" s="49" t="n"/>
      <c r="D64" s="49" t="n"/>
      <c r="E64" s="49" t="n"/>
      <c r="F64" s="49" t="n"/>
      <c r="G64" s="49" t="n"/>
      <c r="H64" s="50" t="n"/>
    </row>
    <row r="65">
      <c r="B65" s="49" t="n"/>
      <c r="C65" s="49" t="n"/>
      <c r="D65" s="49" t="n"/>
      <c r="E65" s="49" t="n"/>
      <c r="F65" s="49" t="n"/>
      <c r="G65" s="49" t="n"/>
      <c r="H65" s="50" t="n"/>
    </row>
    <row r="66">
      <c r="B66" s="49" t="n"/>
      <c r="C66" s="49" t="n"/>
      <c r="D66" s="49" t="n"/>
      <c r="E66" s="49" t="n"/>
      <c r="F66" s="49" t="n"/>
      <c r="G66" s="49" t="n"/>
      <c r="H66" s="50" t="n"/>
    </row>
    <row r="67">
      <c r="B67" s="49" t="n"/>
      <c r="C67" s="49" t="n"/>
      <c r="D67" s="49" t="n"/>
      <c r="E67" s="49" t="n"/>
      <c r="F67" s="49" t="n"/>
      <c r="G67" s="49" t="n"/>
      <c r="H67" s="50" t="n"/>
    </row>
    <row r="68">
      <c r="B68" s="49" t="n"/>
      <c r="C68" s="49" t="n"/>
      <c r="D68" s="49" t="n"/>
      <c r="E68" s="49" t="n"/>
      <c r="F68" s="49" t="n"/>
      <c r="G68" s="49" t="n"/>
      <c r="H68" s="50" t="n"/>
    </row>
    <row r="69">
      <c r="B69" s="49" t="n"/>
      <c r="C69" s="49" t="n"/>
      <c r="D69" s="49" t="n"/>
      <c r="E69" s="49" t="n"/>
      <c r="F69" s="49" t="n"/>
      <c r="G69" s="49" t="n"/>
      <c r="H69" s="50" t="n"/>
    </row>
    <row r="70">
      <c r="B70" s="49" t="n"/>
      <c r="C70" s="49" t="n"/>
      <c r="D70" s="49" t="n"/>
      <c r="E70" s="49" t="n"/>
      <c r="F70" s="49" t="n"/>
      <c r="G70" s="49" t="n"/>
      <c r="H70" s="50" t="n"/>
    </row>
    <row r="71">
      <c r="B71" s="49" t="n"/>
      <c r="C71" s="49" t="n"/>
      <c r="D71" s="49" t="n"/>
      <c r="E71" s="49" t="n"/>
      <c r="F71" s="49" t="n"/>
      <c r="G71" s="49" t="n"/>
      <c r="H71" s="50" t="n"/>
    </row>
    <row r="72">
      <c r="B72" s="49" t="n"/>
      <c r="C72" s="49" t="n"/>
      <c r="D72" s="49" t="n"/>
      <c r="E72" s="49" t="n"/>
      <c r="F72" s="49" t="n"/>
      <c r="G72" s="49" t="n"/>
      <c r="H72" s="50" t="n"/>
    </row>
    <row r="73">
      <c r="B73" s="49" t="n"/>
      <c r="C73" s="49" t="n"/>
      <c r="D73" s="49" t="n"/>
      <c r="E73" s="49" t="n"/>
      <c r="F73" s="49" t="n"/>
      <c r="G73" s="49" t="n"/>
      <c r="H73" s="50" t="n"/>
    </row>
    <row r="74">
      <c r="B74" s="49" t="n"/>
      <c r="C74" s="49" t="n"/>
      <c r="D74" s="49" t="n"/>
      <c r="E74" s="49" t="n"/>
      <c r="F74" s="49" t="n"/>
      <c r="G74" s="49" t="n"/>
      <c r="H74" s="50" t="n"/>
    </row>
    <row r="75">
      <c r="B75" s="49" t="n"/>
      <c r="C75" s="49" t="n"/>
      <c r="D75" s="49" t="n"/>
      <c r="E75" s="49" t="n"/>
      <c r="F75" s="49" t="n"/>
      <c r="G75" s="49" t="n"/>
      <c r="H75" s="50" t="n"/>
    </row>
    <row r="76">
      <c r="B76" s="49" t="n"/>
      <c r="C76" s="49" t="n"/>
      <c r="D76" s="49" t="n"/>
      <c r="E76" s="49" t="n"/>
      <c r="F76" s="49" t="n"/>
      <c r="G76" s="49" t="n"/>
      <c r="H76" s="50" t="n"/>
    </row>
    <row r="77">
      <c r="B77" s="49" t="n"/>
      <c r="C77" s="49" t="n"/>
      <c r="D77" s="49" t="n"/>
      <c r="E77" s="49" t="n"/>
      <c r="F77" s="49" t="n"/>
      <c r="G77" s="49" t="n"/>
      <c r="H77" s="50" t="n"/>
    </row>
    <row r="78">
      <c r="B78" s="49" t="n"/>
      <c r="C78" s="49" t="n"/>
      <c r="D78" s="49" t="n"/>
      <c r="E78" s="49" t="n"/>
      <c r="F78" s="49" t="n"/>
      <c r="G78" s="49" t="n"/>
      <c r="H78" s="50" t="n"/>
    </row>
    <row r="79">
      <c r="B79" s="49" t="n"/>
      <c r="C79" s="49" t="n"/>
      <c r="D79" s="49" t="n"/>
      <c r="E79" s="49" t="n"/>
      <c r="F79" s="49" t="n"/>
      <c r="G79" s="49" t="n"/>
      <c r="H79" s="50" t="n"/>
    </row>
    <row r="80">
      <c r="B80" s="49" t="n"/>
      <c r="C80" s="49" t="n"/>
      <c r="D80" s="49" t="n"/>
      <c r="E80" s="49" t="n"/>
      <c r="F80" s="49" t="n"/>
      <c r="G80" s="49" t="n"/>
      <c r="H80" s="50" t="n"/>
    </row>
    <row r="81">
      <c r="B81" s="49" t="n"/>
      <c r="C81" s="49" t="n"/>
      <c r="D81" s="49" t="n"/>
      <c r="E81" s="49" t="n"/>
      <c r="F81" s="49" t="n"/>
      <c r="G81" s="49" t="n"/>
      <c r="H81" s="50" t="n"/>
    </row>
    <row r="82">
      <c r="B82" s="49" t="n"/>
      <c r="C82" s="49" t="n"/>
      <c r="D82" s="49" t="n"/>
      <c r="E82" s="49" t="n"/>
      <c r="F82" s="49" t="n"/>
      <c r="G82" s="49" t="n"/>
      <c r="H82" s="50" t="n"/>
    </row>
    <row r="83">
      <c r="B83" s="49" t="n"/>
      <c r="C83" s="49" t="n"/>
      <c r="D83" s="49" t="n"/>
      <c r="E83" s="49" t="n"/>
      <c r="F83" s="49" t="n"/>
      <c r="G83" s="49" t="n"/>
      <c r="H83" s="50" t="n"/>
    </row>
    <row r="84">
      <c r="B84" s="49" t="n"/>
      <c r="C84" s="49" t="n"/>
      <c r="D84" s="49" t="n"/>
      <c r="E84" s="49" t="n"/>
      <c r="F84" s="49" t="n"/>
      <c r="G84" s="49" t="n"/>
      <c r="H84" s="50" t="n"/>
    </row>
    <row r="85">
      <c r="B85" s="49" t="n"/>
      <c r="C85" s="49" t="n"/>
      <c r="D85" s="49" t="n"/>
      <c r="E85" s="49" t="n"/>
      <c r="F85" s="49" t="n"/>
      <c r="G85" s="49" t="n"/>
      <c r="H85" s="50" t="n"/>
    </row>
    <row r="86">
      <c r="B86" s="49" t="n"/>
      <c r="C86" s="49" t="n"/>
      <c r="D86" s="49" t="n"/>
      <c r="E86" s="49" t="n"/>
      <c r="F86" s="49" t="n"/>
      <c r="G86" s="49" t="n"/>
      <c r="H86" s="50" t="n"/>
    </row>
    <row r="87">
      <c r="B87" s="49" t="n"/>
      <c r="C87" s="49" t="n"/>
      <c r="D87" s="49" t="n"/>
      <c r="E87" s="49" t="n"/>
      <c r="F87" s="49" t="n"/>
      <c r="G87" s="49" t="n"/>
      <c r="H87" s="50" t="n"/>
    </row>
    <row r="88">
      <c r="B88" s="49" t="n"/>
      <c r="C88" s="49" t="n"/>
      <c r="D88" s="49" t="n"/>
      <c r="E88" s="49" t="n"/>
      <c r="F88" s="49" t="n"/>
      <c r="G88" s="49" t="n"/>
      <c r="H88" s="50" t="n"/>
    </row>
    <row r="89">
      <c r="B89" s="49" t="n"/>
      <c r="C89" s="49" t="n"/>
      <c r="D89" s="49" t="n"/>
      <c r="E89" s="49" t="n"/>
      <c r="F89" s="49" t="n"/>
      <c r="G89" s="49" t="n"/>
      <c r="H89" s="50" t="n"/>
    </row>
    <row r="90">
      <c r="B90" s="49" t="n"/>
      <c r="C90" s="49" t="n"/>
      <c r="D90" s="49" t="n"/>
      <c r="E90" s="49" t="n"/>
      <c r="F90" s="49" t="n"/>
      <c r="G90" s="49" t="n"/>
      <c r="H90" s="50" t="n"/>
    </row>
    <row r="91">
      <c r="B91" s="49" t="n"/>
      <c r="C91" s="49" t="n"/>
      <c r="D91" s="49" t="n"/>
      <c r="E91" s="49" t="n"/>
      <c r="F91" s="49" t="n"/>
      <c r="G91" s="49" t="n"/>
      <c r="H91" s="50" t="n"/>
    </row>
    <row r="92">
      <c r="B92" s="49" t="n"/>
      <c r="C92" s="49" t="n"/>
      <c r="D92" s="49" t="n"/>
      <c r="E92" s="49" t="n"/>
      <c r="F92" s="49" t="n"/>
      <c r="G92" s="49" t="n"/>
      <c r="H92" s="50" t="n"/>
    </row>
    <row r="93">
      <c r="B93" s="49" t="n"/>
      <c r="C93" s="49" t="n"/>
      <c r="D93" s="49" t="n"/>
      <c r="E93" s="49" t="n"/>
      <c r="F93" s="49" t="n"/>
      <c r="G93" s="49" t="n"/>
      <c r="H93" s="50" t="n"/>
    </row>
    <row r="94">
      <c r="B94" s="49" t="n"/>
      <c r="C94" s="49" t="n"/>
      <c r="D94" s="49" t="n"/>
      <c r="E94" s="49" t="n"/>
      <c r="F94" s="49" t="n"/>
      <c r="G94" s="49" t="n"/>
      <c r="H94" s="50" t="n"/>
    </row>
    <row r="95">
      <c r="B95" s="49" t="n"/>
      <c r="C95" s="49" t="n"/>
      <c r="D95" s="49" t="n"/>
      <c r="E95" s="49" t="n"/>
      <c r="F95" s="49" t="n"/>
      <c r="G95" s="49" t="n"/>
      <c r="H95" s="50" t="n"/>
    </row>
    <row r="96">
      <c r="B96" s="49" t="n"/>
      <c r="C96" s="49" t="n"/>
      <c r="D96" s="49" t="n"/>
      <c r="E96" s="49" t="n"/>
      <c r="F96" s="49" t="n"/>
      <c r="G96" s="49" t="n"/>
      <c r="H96" s="50" t="n"/>
    </row>
    <row r="97">
      <c r="B97" s="49" t="n"/>
      <c r="C97" s="49" t="n"/>
      <c r="D97" s="49" t="n"/>
      <c r="E97" s="49" t="n"/>
      <c r="F97" s="49" t="n"/>
      <c r="G97" s="49" t="n"/>
      <c r="H97" s="50" t="n"/>
    </row>
    <row r="98">
      <c r="B98" s="49" t="n"/>
      <c r="C98" s="49" t="n"/>
      <c r="D98" s="49" t="n"/>
      <c r="E98" s="49" t="n"/>
      <c r="F98" s="49" t="n"/>
      <c r="G98" s="49" t="n"/>
      <c r="H98" s="50" t="n"/>
    </row>
    <row r="99">
      <c r="B99" s="49" t="n"/>
      <c r="C99" s="49" t="n"/>
      <c r="D99" s="49" t="n"/>
      <c r="E99" s="49" t="n"/>
      <c r="F99" s="49" t="n"/>
      <c r="G99" s="49" t="n"/>
      <c r="H99" s="50" t="n"/>
    </row>
    <row r="100">
      <c r="B100" s="49" t="n"/>
      <c r="C100" s="49" t="n"/>
      <c r="D100" s="49" t="n"/>
      <c r="E100" s="49" t="n"/>
      <c r="F100" s="49" t="n"/>
      <c r="G100" s="49" t="n"/>
      <c r="H100" s="50" t="n"/>
    </row>
    <row r="101">
      <c r="B101" s="49" t="n"/>
      <c r="C101" s="49" t="n"/>
      <c r="D101" s="49" t="n"/>
      <c r="E101" s="49" t="n"/>
      <c r="F101" s="49" t="n"/>
      <c r="G101" s="49" t="n"/>
      <c r="H101" s="50" t="n"/>
    </row>
    <row r="102">
      <c r="B102" s="49" t="n"/>
      <c r="C102" s="49" t="n"/>
      <c r="D102" s="49" t="n"/>
      <c r="E102" s="49" t="n"/>
      <c r="F102" s="49" t="n"/>
      <c r="G102" s="49" t="n"/>
      <c r="H102" s="50" t="n"/>
    </row>
    <row r="103">
      <c r="B103" s="49" t="n"/>
      <c r="C103" s="49" t="n"/>
      <c r="D103" s="49" t="n"/>
      <c r="E103" s="49" t="n"/>
      <c r="F103" s="49" t="n"/>
      <c r="G103" s="49" t="n"/>
      <c r="H103" s="50" t="n"/>
    </row>
    <row r="104">
      <c r="B104" s="49" t="n"/>
      <c r="C104" s="49" t="n"/>
      <c r="D104" s="49" t="n"/>
      <c r="E104" s="49" t="n"/>
      <c r="F104" s="49" t="n"/>
      <c r="G104" s="49" t="n"/>
      <c r="H104" s="50" t="n"/>
    </row>
    <row r="105">
      <c r="B105" s="49" t="n"/>
      <c r="C105" s="49" t="n"/>
      <c r="D105" s="49" t="n"/>
      <c r="E105" s="49" t="n"/>
      <c r="F105" s="49" t="n"/>
      <c r="G105" s="49" t="n"/>
      <c r="H105" s="50" t="n"/>
    </row>
    <row r="106">
      <c r="B106" s="49" t="n"/>
      <c r="C106" s="49" t="n"/>
      <c r="D106" s="49" t="n"/>
      <c r="E106" s="49" t="n"/>
      <c r="F106" s="49" t="n"/>
      <c r="G106" s="49" t="n"/>
      <c r="H106" s="50" t="n"/>
    </row>
    <row r="107">
      <c r="B107" s="49" t="n"/>
      <c r="C107" s="49" t="n"/>
      <c r="D107" s="49" t="n"/>
      <c r="E107" s="49" t="n"/>
      <c r="F107" s="49" t="n"/>
      <c r="G107" s="49" t="n"/>
      <c r="H107" s="50" t="n"/>
    </row>
    <row r="108">
      <c r="B108" s="49" t="n"/>
      <c r="C108" s="49" t="n"/>
      <c r="D108" s="49" t="n"/>
      <c r="E108" s="49" t="n"/>
      <c r="F108" s="49" t="n"/>
      <c r="G108" s="49" t="n"/>
      <c r="H108" s="50" t="n"/>
    </row>
    <row r="109">
      <c r="B109" s="49" t="n"/>
      <c r="C109" s="49" t="n"/>
      <c r="D109" s="49" t="n"/>
      <c r="E109" s="49" t="n"/>
      <c r="F109" s="49" t="n"/>
      <c r="G109" s="49" t="n"/>
      <c r="H109" s="50" t="n"/>
    </row>
    <row r="110">
      <c r="B110" s="49" t="n"/>
      <c r="C110" s="49" t="n"/>
      <c r="D110" s="49" t="n"/>
      <c r="E110" s="49" t="n"/>
      <c r="F110" s="49" t="n"/>
      <c r="G110" s="49" t="n"/>
      <c r="H110" s="50" t="n"/>
    </row>
    <row r="111">
      <c r="B111" s="49" t="n"/>
      <c r="C111" s="49" t="n"/>
      <c r="D111" s="49" t="n"/>
      <c r="E111" s="49" t="n"/>
      <c r="F111" s="49" t="n"/>
      <c r="G111" s="49" t="n"/>
      <c r="H111" s="50" t="n"/>
    </row>
    <row r="112">
      <c r="B112" s="49" t="n"/>
      <c r="C112" s="49" t="n"/>
      <c r="D112" s="49" t="n"/>
      <c r="E112" s="49" t="n"/>
      <c r="F112" s="49" t="n"/>
      <c r="G112" s="49" t="n"/>
      <c r="H112" s="50" t="n"/>
    </row>
    <row r="113">
      <c r="B113" s="49" t="n"/>
      <c r="C113" s="49" t="n"/>
      <c r="D113" s="49" t="n"/>
      <c r="E113" s="49" t="n"/>
      <c r="F113" s="49" t="n"/>
      <c r="G113" s="49" t="n"/>
      <c r="H113" s="50" t="n"/>
    </row>
    <row r="114">
      <c r="B114" s="49" t="n"/>
      <c r="C114" s="49" t="n"/>
      <c r="D114" s="49" t="n"/>
      <c r="E114" s="49" t="n"/>
      <c r="F114" s="49" t="n"/>
      <c r="G114" s="49" t="n"/>
      <c r="H114" s="50" t="n"/>
    </row>
    <row r="115">
      <c r="B115" s="49" t="n"/>
      <c r="C115" s="49" t="n"/>
      <c r="D115" s="49" t="n"/>
      <c r="E115" s="49" t="n"/>
      <c r="F115" s="49" t="n"/>
      <c r="G115" s="49" t="n"/>
      <c r="H115" s="50" t="n"/>
    </row>
    <row r="116">
      <c r="B116" s="49" t="n"/>
      <c r="C116" s="49" t="n"/>
      <c r="D116" s="49" t="n"/>
      <c r="E116" s="49" t="n"/>
      <c r="F116" s="49" t="n"/>
      <c r="G116" s="49" t="n"/>
      <c r="H116" s="50" t="n"/>
    </row>
    <row r="117">
      <c r="B117" s="49" t="n"/>
      <c r="C117" s="49" t="n"/>
      <c r="D117" s="49" t="n"/>
      <c r="E117" s="49" t="n"/>
      <c r="F117" s="49" t="n"/>
      <c r="G117" s="49" t="n"/>
      <c r="H117" s="50" t="n"/>
    </row>
    <row r="118">
      <c r="B118" s="49" t="n"/>
      <c r="C118" s="49" t="n"/>
      <c r="D118" s="49" t="n"/>
      <c r="E118" s="49" t="n"/>
      <c r="F118" s="49" t="n"/>
      <c r="G118" s="49" t="n"/>
      <c r="H118" s="50" t="n"/>
    </row>
    <row r="119">
      <c r="B119" s="49" t="n"/>
      <c r="C119" s="49" t="n"/>
      <c r="D119" s="49" t="n"/>
      <c r="E119" s="49" t="n"/>
      <c r="F119" s="49" t="n"/>
      <c r="G119" s="49" t="n"/>
      <c r="H119" s="50" t="n"/>
    </row>
    <row r="120">
      <c r="B120" s="49" t="n"/>
      <c r="C120" s="49" t="n"/>
      <c r="D120" s="49" t="n"/>
      <c r="E120" s="49" t="n"/>
      <c r="F120" s="49" t="n"/>
      <c r="G120" s="49" t="n"/>
      <c r="H120" s="50" t="n"/>
    </row>
    <row r="121">
      <c r="B121" s="49" t="n"/>
      <c r="C121" s="49" t="n"/>
      <c r="D121" s="49" t="n"/>
      <c r="E121" s="49" t="n"/>
      <c r="F121" s="49" t="n"/>
      <c r="G121" s="49" t="n"/>
      <c r="H121" s="50" t="n"/>
    </row>
    <row r="122">
      <c r="B122" s="49" t="n"/>
      <c r="C122" s="49" t="n"/>
      <c r="D122" s="49" t="n"/>
      <c r="E122" s="49" t="n"/>
      <c r="F122" s="49" t="n"/>
      <c r="G122" s="49" t="n"/>
      <c r="H122" s="50" t="n"/>
    </row>
    <row r="123">
      <c r="B123" s="49" t="n"/>
      <c r="C123" s="49" t="n"/>
      <c r="D123" s="49" t="n"/>
      <c r="E123" s="49" t="n"/>
      <c r="F123" s="49" t="n"/>
      <c r="G123" s="49" t="n"/>
      <c r="H123" s="50" t="n"/>
    </row>
    <row r="124">
      <c r="B124" s="49" t="n"/>
      <c r="C124" s="49" t="n"/>
      <c r="D124" s="49" t="n"/>
      <c r="E124" s="49" t="n"/>
      <c r="F124" s="49" t="n"/>
      <c r="G124" s="49" t="n"/>
      <c r="H124" s="50" t="n"/>
    </row>
    <row r="125">
      <c r="B125" s="49" t="n"/>
      <c r="C125" s="49" t="n"/>
      <c r="D125" s="49" t="n"/>
      <c r="E125" s="49" t="n"/>
      <c r="F125" s="49" t="n"/>
      <c r="G125" s="49" t="n"/>
      <c r="H125" s="50" t="n"/>
    </row>
    <row r="126">
      <c r="B126" s="49" t="n"/>
      <c r="C126" s="49" t="n"/>
      <c r="D126" s="49" t="n"/>
      <c r="E126" s="49" t="n"/>
      <c r="F126" s="49" t="n"/>
      <c r="G126" s="49" t="n"/>
      <c r="H126" s="50" t="n"/>
    </row>
    <row r="127">
      <c r="B127" s="49" t="n"/>
      <c r="C127" s="49" t="n"/>
      <c r="D127" s="49" t="n"/>
      <c r="E127" s="49" t="n"/>
      <c r="F127" s="49" t="n"/>
      <c r="G127" s="49" t="n"/>
      <c r="H127" s="50" t="n"/>
    </row>
    <row r="128">
      <c r="B128" s="49" t="n"/>
      <c r="C128" s="49" t="n"/>
      <c r="D128" s="49" t="n"/>
      <c r="E128" s="49" t="n"/>
      <c r="F128" s="49" t="n"/>
      <c r="G128" s="49" t="n"/>
      <c r="H128" s="50" t="n"/>
    </row>
    <row r="129">
      <c r="B129" s="49" t="n"/>
      <c r="C129" s="49" t="n"/>
      <c r="D129" s="49" t="n"/>
      <c r="E129" s="49" t="n"/>
      <c r="F129" s="49" t="n"/>
      <c r="G129" s="49" t="n"/>
      <c r="H129" s="50" t="n"/>
    </row>
    <row r="130">
      <c r="B130" s="49" t="n"/>
      <c r="C130" s="49" t="n"/>
      <c r="D130" s="49" t="n"/>
      <c r="E130" s="49" t="n"/>
      <c r="F130" s="49" t="n"/>
      <c r="G130" s="49" t="n"/>
      <c r="H130" s="50" t="n"/>
    </row>
    <row r="131">
      <c r="B131" s="49" t="n"/>
      <c r="C131" s="49" t="n"/>
      <c r="D131" s="49" t="n"/>
      <c r="E131" s="49" t="n"/>
      <c r="F131" s="49" t="n"/>
      <c r="G131" s="49" t="n"/>
      <c r="H131" s="50" t="n"/>
    </row>
    <row r="132">
      <c r="B132" s="49" t="n"/>
      <c r="C132" s="49" t="n"/>
      <c r="D132" s="49" t="n"/>
      <c r="E132" s="49" t="n"/>
      <c r="F132" s="49" t="n"/>
      <c r="G132" s="49" t="n"/>
      <c r="H132" s="50" t="n"/>
    </row>
    <row r="133">
      <c r="B133" s="49" t="n"/>
      <c r="C133" s="49" t="n"/>
      <c r="D133" s="49" t="n"/>
      <c r="E133" s="49" t="n"/>
      <c r="F133" s="49" t="n"/>
      <c r="G133" s="49" t="n"/>
      <c r="H133" s="50" t="n"/>
    </row>
    <row r="134">
      <c r="B134" s="49" t="n"/>
      <c r="C134" s="49" t="n"/>
      <c r="D134" s="49" t="n"/>
      <c r="E134" s="49" t="n"/>
      <c r="F134" s="49" t="n"/>
      <c r="G134" s="49" t="n"/>
      <c r="H134" s="50" t="n"/>
    </row>
    <row r="135">
      <c r="B135" s="49" t="n"/>
      <c r="C135" s="49" t="n"/>
      <c r="D135" s="49" t="n"/>
      <c r="E135" s="49" t="n"/>
      <c r="F135" s="49" t="n"/>
      <c r="G135" s="49" t="n"/>
      <c r="H135" s="50" t="n"/>
    </row>
    <row r="136">
      <c r="B136" s="49" t="n"/>
      <c r="C136" s="49" t="n"/>
      <c r="D136" s="49" t="n"/>
      <c r="E136" s="49" t="n"/>
      <c r="F136" s="49" t="n"/>
      <c r="G136" s="49" t="n"/>
      <c r="H136" s="50" t="n"/>
    </row>
    <row r="137">
      <c r="B137" s="49" t="n"/>
      <c r="C137" s="49" t="n"/>
      <c r="D137" s="49" t="n"/>
      <c r="E137" s="49" t="n"/>
      <c r="F137" s="49" t="n"/>
      <c r="G137" s="49" t="n"/>
      <c r="H137" s="50" t="n"/>
    </row>
    <row r="138">
      <c r="B138" s="49" t="n"/>
      <c r="C138" s="49" t="n"/>
      <c r="D138" s="49" t="n"/>
      <c r="E138" s="49" t="n"/>
      <c r="F138" s="49" t="n"/>
      <c r="G138" s="49" t="n"/>
      <c r="H138" s="50" t="n"/>
    </row>
    <row r="139">
      <c r="B139" s="49" t="n"/>
      <c r="C139" s="49" t="n"/>
      <c r="D139" s="49" t="n"/>
      <c r="E139" s="49" t="n"/>
      <c r="F139" s="49" t="n"/>
      <c r="G139" s="49" t="n"/>
      <c r="H139" s="50" t="n"/>
    </row>
    <row r="140">
      <c r="B140" s="49" t="n"/>
      <c r="C140" s="49" t="n"/>
      <c r="D140" s="49" t="n"/>
      <c r="E140" s="49" t="n"/>
      <c r="F140" s="49" t="n"/>
      <c r="G140" s="49" t="n"/>
      <c r="H140" s="50" t="n"/>
    </row>
    <row r="141">
      <c r="B141" s="49" t="n"/>
      <c r="C141" s="49" t="n"/>
      <c r="D141" s="49" t="n"/>
      <c r="E141" s="49" t="n"/>
      <c r="F141" s="49" t="n"/>
      <c r="G141" s="49" t="n"/>
      <c r="H141" s="50" t="n"/>
    </row>
    <row r="142">
      <c r="B142" s="49" t="n"/>
      <c r="C142" s="49" t="n"/>
      <c r="D142" s="49" t="n"/>
      <c r="E142" s="49" t="n"/>
      <c r="F142" s="49" t="n"/>
      <c r="G142" s="49" t="n"/>
      <c r="H142" s="50" t="n"/>
    </row>
    <row r="143">
      <c r="B143" s="49" t="n"/>
      <c r="C143" s="49" t="n"/>
      <c r="D143" s="49" t="n"/>
      <c r="E143" s="49" t="n"/>
      <c r="F143" s="49" t="n"/>
      <c r="G143" s="49" t="n"/>
      <c r="H143" s="50" t="n"/>
    </row>
    <row r="144">
      <c r="B144" s="49" t="n"/>
      <c r="C144" s="49" t="n"/>
      <c r="D144" s="49" t="n"/>
      <c r="E144" s="49" t="n"/>
      <c r="F144" s="49" t="n"/>
      <c r="G144" s="49" t="n"/>
      <c r="H144" s="50" t="n"/>
    </row>
    <row r="145">
      <c r="B145" s="49" t="n"/>
      <c r="C145" s="49" t="n"/>
      <c r="D145" s="49" t="n"/>
      <c r="E145" s="49" t="n"/>
      <c r="F145" s="49" t="n"/>
      <c r="G145" s="49" t="n"/>
      <c r="H145" s="50" t="n"/>
    </row>
    <row r="146">
      <c r="B146" s="49" t="n"/>
      <c r="C146" s="49" t="n"/>
      <c r="D146" s="49" t="n"/>
      <c r="E146" s="49" t="n"/>
      <c r="F146" s="49" t="n"/>
      <c r="G146" s="49" t="n"/>
      <c r="H146" s="50" t="n"/>
    </row>
    <row r="147">
      <c r="B147" s="49" t="n"/>
      <c r="C147" s="49" t="n"/>
      <c r="D147" s="49" t="n"/>
      <c r="E147" s="49" t="n"/>
      <c r="F147" s="49" t="n"/>
      <c r="G147" s="49" t="n"/>
      <c r="H147" s="50" t="n"/>
    </row>
    <row r="148">
      <c r="B148" s="49" t="n"/>
      <c r="C148" s="49" t="n"/>
      <c r="D148" s="49" t="n"/>
      <c r="E148" s="49" t="n"/>
      <c r="F148" s="49" t="n"/>
      <c r="G148" s="49" t="n"/>
      <c r="H148" s="50" t="n"/>
    </row>
    <row r="149">
      <c r="B149" s="49" t="n"/>
      <c r="C149" s="49" t="n"/>
      <c r="D149" s="49" t="n"/>
      <c r="E149" s="49" t="n"/>
      <c r="F149" s="49" t="n"/>
      <c r="G149" s="49" t="n"/>
      <c r="H149" s="50" t="n"/>
    </row>
    <row r="150">
      <c r="B150" s="49" t="n"/>
      <c r="C150" s="49" t="n"/>
      <c r="D150" s="49" t="n"/>
      <c r="E150" s="49" t="n"/>
      <c r="F150" s="49" t="n"/>
      <c r="G150" s="49" t="n"/>
      <c r="H150" s="50" t="n"/>
    </row>
    <row r="151">
      <c r="B151" s="49" t="n"/>
      <c r="C151" s="49" t="n"/>
      <c r="D151" s="49" t="n"/>
      <c r="E151" s="49" t="n"/>
      <c r="F151" s="49" t="n"/>
      <c r="G151" s="49" t="n"/>
      <c r="H151" s="50" t="n"/>
    </row>
    <row r="152">
      <c r="B152" s="49" t="n"/>
      <c r="C152" s="49" t="n"/>
      <c r="D152" s="49" t="n"/>
      <c r="E152" s="49" t="n"/>
      <c r="F152" s="49" t="n"/>
      <c r="G152" s="49" t="n"/>
      <c r="H152" s="50" t="n"/>
    </row>
    <row r="153">
      <c r="B153" s="49" t="n"/>
      <c r="C153" s="49" t="n"/>
      <c r="D153" s="49" t="n"/>
      <c r="E153" s="49" t="n"/>
      <c r="F153" s="49" t="n"/>
      <c r="G153" s="49" t="n"/>
      <c r="H153" s="50" t="n"/>
    </row>
    <row r="154">
      <c r="B154" s="49" t="n"/>
      <c r="C154" s="49" t="n"/>
      <c r="D154" s="49" t="n"/>
      <c r="E154" s="49" t="n"/>
      <c r="F154" s="49" t="n"/>
      <c r="G154" s="49" t="n"/>
      <c r="H154" s="50" t="n"/>
    </row>
    <row r="155">
      <c r="B155" s="49" t="n"/>
      <c r="C155" s="49" t="n"/>
      <c r="D155" s="49" t="n"/>
      <c r="E155" s="49" t="n"/>
      <c r="F155" s="49" t="n"/>
      <c r="G155" s="49" t="n"/>
      <c r="H155" s="50" t="n"/>
    </row>
    <row r="156">
      <c r="B156" s="49" t="n"/>
      <c r="C156" s="49" t="n"/>
      <c r="D156" s="49" t="n"/>
      <c r="E156" s="49" t="n"/>
      <c r="F156" s="49" t="n"/>
      <c r="G156" s="49" t="n"/>
      <c r="H156" s="50" t="n"/>
    </row>
    <row r="157">
      <c r="B157" s="49" t="n"/>
      <c r="C157" s="49" t="n"/>
      <c r="D157" s="49" t="n"/>
      <c r="E157" s="49" t="n"/>
      <c r="F157" s="49" t="n"/>
      <c r="G157" s="49" t="n"/>
      <c r="H157" s="50" t="n"/>
    </row>
    <row r="158">
      <c r="B158" s="49" t="n"/>
      <c r="C158" s="49" t="n"/>
      <c r="D158" s="49" t="n"/>
      <c r="E158" s="49" t="n"/>
      <c r="F158" s="49" t="n"/>
      <c r="G158" s="49" t="n"/>
      <c r="H158" s="50" t="n"/>
    </row>
    <row r="159">
      <c r="B159" s="49" t="n"/>
      <c r="C159" s="49" t="n"/>
      <c r="D159" s="49" t="n"/>
      <c r="E159" s="49" t="n"/>
      <c r="F159" s="49" t="n"/>
      <c r="G159" s="49" t="n"/>
      <c r="H159" s="50" t="n"/>
    </row>
    <row r="160">
      <c r="B160" s="49" t="n"/>
      <c r="C160" s="49" t="n"/>
      <c r="D160" s="49" t="n"/>
      <c r="E160" s="49" t="n"/>
      <c r="F160" s="49" t="n"/>
      <c r="G160" s="49" t="n"/>
      <c r="H160" s="50" t="n"/>
    </row>
    <row r="161">
      <c r="B161" s="49" t="n"/>
      <c r="C161" s="49" t="n"/>
      <c r="D161" s="49" t="n"/>
      <c r="E161" s="49" t="n"/>
      <c r="F161" s="49" t="n"/>
      <c r="G161" s="49" t="n"/>
      <c r="H161" s="50" t="n"/>
    </row>
    <row r="162">
      <c r="B162" s="49" t="n"/>
      <c r="C162" s="49" t="n"/>
      <c r="D162" s="49" t="n"/>
      <c r="E162" s="49" t="n"/>
      <c r="F162" s="49" t="n"/>
      <c r="G162" s="49" t="n"/>
      <c r="H162" s="50" t="n"/>
    </row>
    <row r="163">
      <c r="B163" s="49" t="n"/>
      <c r="C163" s="49" t="n"/>
      <c r="D163" s="49" t="n"/>
      <c r="E163" s="49" t="n"/>
      <c r="F163" s="49" t="n"/>
      <c r="G163" s="49" t="n"/>
      <c r="H163" s="50" t="n"/>
    </row>
    <row r="164">
      <c r="B164" s="49" t="n"/>
      <c r="C164" s="49" t="n"/>
      <c r="D164" s="49" t="n"/>
      <c r="E164" s="49" t="n"/>
      <c r="F164" s="49" t="n"/>
      <c r="G164" s="49" t="n"/>
      <c r="H164" s="50" t="n"/>
    </row>
    <row r="165">
      <c r="B165" s="49" t="n"/>
      <c r="C165" s="49" t="n"/>
      <c r="D165" s="49" t="n"/>
      <c r="E165" s="49" t="n"/>
      <c r="F165" s="49" t="n"/>
      <c r="G165" s="49" t="n"/>
      <c r="H165" s="50" t="n"/>
    </row>
    <row r="166">
      <c r="B166" s="49" t="n"/>
      <c r="C166" s="49" t="n"/>
      <c r="D166" s="49" t="n"/>
      <c r="E166" s="49" t="n"/>
      <c r="F166" s="49" t="n"/>
      <c r="G166" s="49" t="n"/>
      <c r="H166" s="50" t="n"/>
    </row>
    <row r="167">
      <c r="B167" s="49" t="n"/>
      <c r="C167" s="49" t="n"/>
      <c r="D167" s="49" t="n"/>
      <c r="E167" s="49" t="n"/>
      <c r="F167" s="49" t="n"/>
      <c r="G167" s="49" t="n"/>
      <c r="H167" s="50" t="n"/>
    </row>
    <row r="168">
      <c r="B168" s="49" t="n"/>
      <c r="C168" s="49" t="n"/>
      <c r="D168" s="49" t="n"/>
      <c r="E168" s="49" t="n"/>
      <c r="F168" s="49" t="n"/>
      <c r="G168" s="49" t="n"/>
      <c r="H168" s="50" t="n"/>
    </row>
    <row r="169">
      <c r="B169" s="49" t="n"/>
      <c r="C169" s="49" t="n"/>
      <c r="D169" s="49" t="n"/>
      <c r="E169" s="49" t="n"/>
      <c r="F169" s="49" t="n"/>
      <c r="G169" s="49" t="n"/>
      <c r="H169" s="50" t="n"/>
    </row>
    <row r="170">
      <c r="B170" s="49" t="n"/>
      <c r="C170" s="49" t="n"/>
      <c r="D170" s="49" t="n"/>
      <c r="E170" s="49" t="n"/>
      <c r="F170" s="49" t="n"/>
      <c r="G170" s="49" t="n"/>
      <c r="H170" s="50" t="n"/>
    </row>
    <row r="171">
      <c r="B171" s="49" t="n"/>
      <c r="C171" s="49" t="n"/>
      <c r="D171" s="49" t="n"/>
      <c r="E171" s="49" t="n"/>
      <c r="F171" s="49" t="n"/>
      <c r="G171" s="49" t="n"/>
      <c r="H171" s="50" t="n"/>
    </row>
    <row r="172">
      <c r="B172" s="49" t="n"/>
      <c r="C172" s="49" t="n"/>
      <c r="D172" s="49" t="n"/>
      <c r="E172" s="49" t="n"/>
      <c r="F172" s="49" t="n"/>
      <c r="G172" s="49" t="n"/>
      <c r="H172" s="50" t="n"/>
    </row>
    <row r="173">
      <c r="B173" s="49" t="n"/>
      <c r="C173" s="49" t="n"/>
      <c r="D173" s="49" t="n"/>
      <c r="E173" s="49" t="n"/>
      <c r="F173" s="49" t="n"/>
      <c r="G173" s="49" t="n"/>
      <c r="H173" s="50" t="n"/>
    </row>
    <row r="174">
      <c r="B174" s="49" t="n"/>
      <c r="C174" s="49" t="n"/>
      <c r="D174" s="49" t="n"/>
      <c r="E174" s="49" t="n"/>
      <c r="F174" s="49" t="n"/>
      <c r="G174" s="49" t="n"/>
      <c r="H174" s="50" t="n"/>
    </row>
    <row r="175">
      <c r="B175" s="49" t="n"/>
      <c r="C175" s="49" t="n"/>
      <c r="D175" s="49" t="n"/>
      <c r="E175" s="49" t="n"/>
      <c r="F175" s="49" t="n"/>
      <c r="G175" s="49" t="n"/>
      <c r="H175" s="50" t="n"/>
    </row>
    <row r="176">
      <c r="B176" s="49" t="n"/>
      <c r="C176" s="49" t="n"/>
      <c r="D176" s="49" t="n"/>
      <c r="E176" s="49" t="n"/>
      <c r="F176" s="49" t="n"/>
      <c r="G176" s="49" t="n"/>
      <c r="H176" s="50" t="n"/>
    </row>
    <row r="177">
      <c r="B177" s="49" t="n"/>
      <c r="C177" s="49" t="n"/>
      <c r="D177" s="49" t="n"/>
      <c r="E177" s="49" t="n"/>
      <c r="F177" s="49" t="n"/>
      <c r="G177" s="49" t="n"/>
      <c r="H177" s="50" t="n"/>
    </row>
    <row r="178">
      <c r="B178" s="49" t="n"/>
      <c r="C178" s="49" t="n"/>
      <c r="D178" s="49" t="n"/>
      <c r="E178" s="49" t="n"/>
      <c r="F178" s="49" t="n"/>
      <c r="G178" s="49" t="n"/>
      <c r="H178" s="50" t="n"/>
    </row>
    <row r="179">
      <c r="B179" s="49" t="n"/>
      <c r="C179" s="49" t="n"/>
      <c r="D179" s="49" t="n"/>
      <c r="E179" s="49" t="n"/>
      <c r="F179" s="49" t="n"/>
      <c r="G179" s="49" t="n"/>
      <c r="H179" s="50" t="n"/>
    </row>
    <row r="180">
      <c r="B180" s="49" t="n"/>
      <c r="C180" s="49" t="n"/>
      <c r="D180" s="49" t="n"/>
      <c r="E180" s="49" t="n"/>
      <c r="F180" s="49" t="n"/>
      <c r="G180" s="49" t="n"/>
      <c r="H180" s="50" t="n"/>
    </row>
    <row r="181">
      <c r="B181" s="49" t="n"/>
      <c r="C181" s="49" t="n"/>
      <c r="D181" s="49" t="n"/>
      <c r="E181" s="49" t="n"/>
      <c r="F181" s="49" t="n"/>
      <c r="G181" s="49" t="n"/>
      <c r="H181" s="50" t="n"/>
    </row>
    <row r="182">
      <c r="B182" s="49" t="n"/>
      <c r="C182" s="49" t="n"/>
      <c r="D182" s="49" t="n"/>
      <c r="E182" s="49" t="n"/>
      <c r="F182" s="49" t="n"/>
      <c r="G182" s="49" t="n"/>
      <c r="H182" s="50" t="n"/>
    </row>
    <row r="183">
      <c r="B183" s="49" t="n"/>
      <c r="C183" s="49" t="n"/>
      <c r="D183" s="49" t="n"/>
      <c r="E183" s="49" t="n"/>
      <c r="F183" s="49" t="n"/>
      <c r="G183" s="49" t="n"/>
      <c r="H183" s="50" t="n"/>
    </row>
    <row r="184">
      <c r="B184" s="49" t="n"/>
      <c r="C184" s="49" t="n"/>
      <c r="D184" s="49" t="n"/>
      <c r="E184" s="49" t="n"/>
      <c r="F184" s="49" t="n"/>
      <c r="G184" s="49" t="n"/>
      <c r="H184" s="50" t="n"/>
    </row>
    <row r="185">
      <c r="B185" s="49" t="n"/>
      <c r="C185" s="49" t="n"/>
      <c r="D185" s="49" t="n"/>
      <c r="E185" s="49" t="n"/>
      <c r="F185" s="49" t="n"/>
      <c r="G185" s="49" t="n"/>
      <c r="H185" s="50" t="n"/>
    </row>
    <row r="186">
      <c r="B186" s="49" t="n"/>
      <c r="C186" s="49" t="n"/>
      <c r="D186" s="49" t="n"/>
      <c r="E186" s="49" t="n"/>
      <c r="F186" s="49" t="n"/>
      <c r="G186" s="49" t="n"/>
      <c r="H186" s="50" t="n"/>
    </row>
    <row r="187">
      <c r="B187" s="49" t="n"/>
      <c r="C187" s="49" t="n"/>
      <c r="D187" s="49" t="n"/>
      <c r="E187" s="49" t="n"/>
      <c r="F187" s="49" t="n"/>
      <c r="G187" s="49" t="n"/>
      <c r="H187" s="50" t="n"/>
    </row>
    <row r="188">
      <c r="B188" s="49" t="n"/>
      <c r="C188" s="49" t="n"/>
      <c r="D188" s="49" t="n"/>
      <c r="E188" s="49" t="n"/>
      <c r="F188" s="49" t="n"/>
      <c r="G188" s="49" t="n"/>
      <c r="H188" s="50" t="n"/>
    </row>
    <row r="189">
      <c r="B189" s="49" t="n"/>
      <c r="C189" s="49" t="n"/>
      <c r="D189" s="49" t="n"/>
      <c r="E189" s="49" t="n"/>
      <c r="F189" s="49" t="n"/>
      <c r="G189" s="49" t="n"/>
      <c r="H189" s="50" t="n"/>
    </row>
    <row r="190">
      <c r="B190" s="49" t="n"/>
      <c r="C190" s="49" t="n"/>
      <c r="D190" s="49" t="n"/>
      <c r="E190" s="49" t="n"/>
      <c r="F190" s="49" t="n"/>
      <c r="G190" s="49" t="n"/>
      <c r="H190" s="50" t="n"/>
    </row>
    <row r="191">
      <c r="B191" s="49" t="n"/>
      <c r="C191" s="49" t="n"/>
      <c r="D191" s="49" t="n"/>
      <c r="E191" s="49" t="n"/>
      <c r="F191" s="49" t="n"/>
      <c r="G191" s="49" t="n"/>
      <c r="H191" s="50" t="n"/>
    </row>
    <row r="192">
      <c r="B192" s="49" t="n"/>
      <c r="C192" s="49" t="n"/>
      <c r="D192" s="49" t="n"/>
      <c r="E192" s="49" t="n"/>
      <c r="F192" s="49" t="n"/>
      <c r="G192" s="49" t="n"/>
      <c r="H192" s="50" t="n"/>
    </row>
    <row r="193">
      <c r="B193" s="49" t="n"/>
      <c r="C193" s="49" t="n"/>
      <c r="D193" s="49" t="n"/>
      <c r="E193" s="49" t="n"/>
      <c r="F193" s="49" t="n"/>
      <c r="G193" s="49" t="n"/>
      <c r="H193" s="50" t="n"/>
    </row>
    <row r="194">
      <c r="B194" s="49" t="n"/>
      <c r="C194" s="49" t="n"/>
      <c r="D194" s="49" t="n"/>
      <c r="E194" s="49" t="n"/>
      <c r="F194" s="49" t="n"/>
      <c r="G194" s="49" t="n"/>
      <c r="H194" s="50" t="n"/>
    </row>
    <row r="195">
      <c r="B195" s="49" t="n"/>
      <c r="C195" s="49" t="n"/>
      <c r="D195" s="49" t="n"/>
      <c r="E195" s="49" t="n"/>
      <c r="F195" s="49" t="n"/>
      <c r="G195" s="49" t="n"/>
      <c r="H195" s="50" t="n"/>
    </row>
    <row r="196">
      <c r="B196" s="49" t="n"/>
      <c r="C196" s="49" t="n"/>
      <c r="D196" s="49" t="n"/>
      <c r="E196" s="49" t="n"/>
      <c r="F196" s="49" t="n"/>
      <c r="G196" s="49" t="n"/>
      <c r="H196" s="50" t="n"/>
    </row>
    <row r="197">
      <c r="B197" s="49" t="n"/>
      <c r="C197" s="49" t="n"/>
      <c r="D197" s="49" t="n"/>
      <c r="E197" s="49" t="n"/>
      <c r="F197" s="49" t="n"/>
      <c r="G197" s="49" t="n"/>
      <c r="H197" s="50" t="n"/>
    </row>
    <row r="198">
      <c r="B198" s="49" t="n"/>
      <c r="C198" s="49" t="n"/>
      <c r="D198" s="49" t="n"/>
      <c r="E198" s="49" t="n"/>
      <c r="F198" s="49" t="n"/>
      <c r="G198" s="49" t="n"/>
      <c r="H198" s="50" t="n"/>
    </row>
    <row r="199">
      <c r="B199" s="49" t="n"/>
      <c r="C199" s="49" t="n"/>
      <c r="D199" s="49" t="n"/>
      <c r="E199" s="49" t="n"/>
      <c r="F199" s="49" t="n"/>
      <c r="G199" s="49" t="n"/>
      <c r="H199" s="50" t="n"/>
    </row>
    <row r="200">
      <c r="B200" s="49" t="n"/>
      <c r="C200" s="49" t="n"/>
      <c r="D200" s="49" t="n"/>
      <c r="E200" s="49" t="n"/>
      <c r="F200" s="49" t="n"/>
      <c r="G200" s="49" t="n"/>
      <c r="H200" s="50" t="n"/>
    </row>
    <row r="201">
      <c r="B201" s="49" t="n"/>
      <c r="C201" s="49" t="n"/>
      <c r="D201" s="49" t="n"/>
      <c r="E201" s="49" t="n"/>
      <c r="F201" s="49" t="n"/>
      <c r="G201" s="49" t="n"/>
      <c r="H201" s="50" t="n"/>
    </row>
    <row r="202">
      <c r="B202" s="49" t="n"/>
      <c r="C202" s="49" t="n"/>
      <c r="D202" s="49" t="n"/>
      <c r="E202" s="49" t="n"/>
      <c r="F202" s="49" t="n"/>
      <c r="G202" s="49" t="n"/>
      <c r="H202" s="50" t="n"/>
    </row>
    <row r="203">
      <c r="B203" s="49" t="n"/>
      <c r="C203" s="49" t="n"/>
      <c r="D203" s="49" t="n"/>
      <c r="E203" s="49" t="n"/>
      <c r="F203" s="49" t="n"/>
      <c r="G203" s="49" t="n"/>
      <c r="H203" s="50" t="n"/>
    </row>
    <row r="204">
      <c r="B204" s="49" t="n"/>
      <c r="C204" s="49" t="n"/>
      <c r="D204" s="49" t="n"/>
      <c r="E204" s="49" t="n"/>
      <c r="F204" s="49" t="n"/>
      <c r="G204" s="49" t="n"/>
      <c r="H204" s="50" t="n"/>
    </row>
    <row r="205">
      <c r="B205" s="49" t="n"/>
      <c r="C205" s="49" t="n"/>
      <c r="D205" s="49" t="n"/>
      <c r="E205" s="49" t="n"/>
      <c r="F205" s="49" t="n"/>
      <c r="G205" s="49" t="n"/>
      <c r="H205" s="50" t="n"/>
    </row>
    <row r="206">
      <c r="B206" s="49" t="n"/>
      <c r="C206" s="49" t="n"/>
      <c r="D206" s="49" t="n"/>
      <c r="E206" s="49" t="n"/>
      <c r="F206" s="49" t="n"/>
      <c r="G206" s="49" t="n"/>
      <c r="H206" s="50" t="n"/>
    </row>
    <row r="207">
      <c r="B207" s="49" t="n"/>
      <c r="C207" s="49" t="n"/>
      <c r="D207" s="49" t="n"/>
      <c r="E207" s="49" t="n"/>
      <c r="F207" s="49" t="n"/>
      <c r="G207" s="49" t="n"/>
      <c r="H207" s="50" t="n"/>
    </row>
    <row r="208">
      <c r="B208" s="49" t="n"/>
      <c r="C208" s="49" t="n"/>
      <c r="D208" s="49" t="n"/>
      <c r="E208" s="49" t="n"/>
      <c r="F208" s="49" t="n"/>
      <c r="G208" s="49" t="n"/>
      <c r="H208" s="50" t="n"/>
    </row>
    <row r="209">
      <c r="B209" s="49" t="n"/>
      <c r="C209" s="49" t="n"/>
      <c r="D209" s="49" t="n"/>
      <c r="E209" s="49" t="n"/>
      <c r="F209" s="49" t="n"/>
      <c r="G209" s="49" t="n"/>
      <c r="H209" s="50" t="n"/>
    </row>
    <row r="210">
      <c r="B210" s="49" t="n"/>
      <c r="C210" s="49" t="n"/>
      <c r="D210" s="49" t="n"/>
      <c r="E210" s="49" t="n"/>
      <c r="F210" s="49" t="n"/>
      <c r="G210" s="49" t="n"/>
      <c r="H210" s="50" t="n"/>
    </row>
    <row r="211">
      <c r="B211" s="49" t="n"/>
      <c r="C211" s="49" t="n"/>
      <c r="D211" s="49" t="n"/>
      <c r="E211" s="49" t="n"/>
      <c r="F211" s="49" t="n"/>
      <c r="G211" s="49" t="n"/>
      <c r="H211" s="50" t="n"/>
    </row>
    <row r="212">
      <c r="B212" s="49" t="n"/>
      <c r="C212" s="49" t="n"/>
      <c r="D212" s="49" t="n"/>
      <c r="E212" s="49" t="n"/>
      <c r="F212" s="49" t="n"/>
      <c r="G212" s="49" t="n"/>
      <c r="H212" s="50" t="n"/>
    </row>
    <row r="213">
      <c r="B213" s="49" t="n"/>
      <c r="C213" s="49" t="n"/>
      <c r="D213" s="49" t="n"/>
      <c r="E213" s="49" t="n"/>
      <c r="F213" s="49" t="n"/>
      <c r="G213" s="49" t="n"/>
      <c r="H213" s="50" t="n"/>
    </row>
    <row r="214">
      <c r="B214" s="49" t="n"/>
      <c r="C214" s="49" t="n"/>
      <c r="D214" s="49" t="n"/>
      <c r="E214" s="49" t="n"/>
      <c r="F214" s="49" t="n"/>
      <c r="G214" s="49" t="n"/>
      <c r="H214" s="50" t="n"/>
    </row>
    <row r="215">
      <c r="B215" s="49" t="n"/>
      <c r="C215" s="49" t="n"/>
      <c r="D215" s="49" t="n"/>
      <c r="E215" s="49" t="n"/>
      <c r="F215" s="49" t="n"/>
      <c r="G215" s="49" t="n"/>
      <c r="H215" s="50" t="n"/>
    </row>
    <row r="216">
      <c r="B216" s="49" t="n"/>
      <c r="C216" s="49" t="n"/>
      <c r="D216" s="49" t="n"/>
      <c r="E216" s="49" t="n"/>
      <c r="F216" s="49" t="n"/>
      <c r="G216" s="49" t="n"/>
      <c r="H216" s="50" t="n"/>
    </row>
    <row r="217">
      <c r="B217" s="49" t="n"/>
      <c r="C217" s="49" t="n"/>
      <c r="D217" s="49" t="n"/>
      <c r="E217" s="49" t="n"/>
      <c r="F217" s="49" t="n"/>
      <c r="G217" s="49" t="n"/>
      <c r="H217" s="50" t="n"/>
    </row>
    <row r="218">
      <c r="B218" s="49" t="n"/>
      <c r="C218" s="49" t="n"/>
      <c r="D218" s="49" t="n"/>
      <c r="E218" s="49" t="n"/>
      <c r="F218" s="49" t="n"/>
      <c r="G218" s="49" t="n"/>
      <c r="H218" s="50" t="n"/>
    </row>
    <row r="219">
      <c r="B219" s="49" t="n"/>
      <c r="C219" s="49" t="n"/>
      <c r="D219" s="49" t="n"/>
      <c r="E219" s="49" t="n"/>
      <c r="F219" s="49" t="n"/>
      <c r="G219" s="49" t="n"/>
      <c r="H219" s="50" t="n"/>
    </row>
    <row r="220">
      <c r="B220" s="49" t="n"/>
      <c r="C220" s="49" t="n"/>
      <c r="D220" s="49" t="n"/>
      <c r="E220" s="49" t="n"/>
      <c r="F220" s="49" t="n"/>
      <c r="G220" s="49" t="n"/>
      <c r="H220" s="50" t="n"/>
    </row>
    <row r="221">
      <c r="B221" s="49" t="n"/>
      <c r="C221" s="49" t="n"/>
      <c r="D221" s="49" t="n"/>
      <c r="E221" s="49" t="n"/>
      <c r="F221" s="49" t="n"/>
      <c r="G221" s="49" t="n"/>
      <c r="H221" s="50" t="n"/>
    </row>
    <row r="222">
      <c r="B222" s="49" t="n"/>
      <c r="C222" s="49" t="n"/>
      <c r="D222" s="49" t="n"/>
      <c r="E222" s="49" t="n"/>
      <c r="F222" s="49" t="n"/>
      <c r="G222" s="49" t="n"/>
      <c r="H222" s="50" t="n"/>
    </row>
    <row r="223">
      <c r="B223" s="49" t="n"/>
      <c r="C223" s="49" t="n"/>
      <c r="D223" s="49" t="n"/>
      <c r="E223" s="49" t="n"/>
      <c r="F223" s="49" t="n"/>
      <c r="G223" s="49" t="n"/>
      <c r="H223" s="50" t="n"/>
    </row>
    <row r="224">
      <c r="B224" s="49" t="n"/>
      <c r="C224" s="49" t="n"/>
      <c r="D224" s="49" t="n"/>
      <c r="E224" s="49" t="n"/>
      <c r="F224" s="49" t="n"/>
      <c r="G224" s="49" t="n"/>
      <c r="H224" s="50" t="n"/>
    </row>
    <row r="225">
      <c r="B225" s="49" t="n"/>
      <c r="C225" s="49" t="n"/>
      <c r="D225" s="49" t="n"/>
      <c r="E225" s="49" t="n"/>
      <c r="F225" s="49" t="n"/>
      <c r="G225" s="49" t="n"/>
      <c r="H225" s="50" t="n"/>
    </row>
    <row r="226">
      <c r="B226" s="49" t="n"/>
      <c r="C226" s="49" t="n"/>
      <c r="D226" s="49" t="n"/>
      <c r="E226" s="49" t="n"/>
      <c r="F226" s="49" t="n"/>
      <c r="G226" s="49" t="n"/>
      <c r="H226" s="50" t="n"/>
    </row>
    <row r="227">
      <c r="B227" s="49" t="n"/>
      <c r="C227" s="49" t="n"/>
      <c r="D227" s="49" t="n"/>
      <c r="E227" s="49" t="n"/>
      <c r="F227" s="49" t="n"/>
      <c r="G227" s="49" t="n"/>
      <c r="H227" s="50" t="n"/>
    </row>
    <row r="228">
      <c r="B228" s="49" t="n"/>
      <c r="C228" s="49" t="n"/>
      <c r="D228" s="49" t="n"/>
      <c r="E228" s="49" t="n"/>
      <c r="F228" s="49" t="n"/>
      <c r="G228" s="49" t="n"/>
      <c r="H228" s="50" t="n"/>
    </row>
    <row r="229">
      <c r="B229" s="49" t="n"/>
      <c r="C229" s="49" t="n"/>
      <c r="D229" s="49" t="n"/>
      <c r="E229" s="49" t="n"/>
      <c r="F229" s="49" t="n"/>
      <c r="G229" s="49" t="n"/>
      <c r="H229" s="50" t="n"/>
    </row>
    <row r="230">
      <c r="B230" s="49" t="n"/>
      <c r="C230" s="49" t="n"/>
      <c r="D230" s="49" t="n"/>
      <c r="E230" s="49" t="n"/>
      <c r="F230" s="49" t="n"/>
      <c r="G230" s="49" t="n"/>
      <c r="H230" s="50" t="n"/>
    </row>
    <row r="231">
      <c r="B231" s="49" t="n"/>
      <c r="C231" s="49" t="n"/>
      <c r="D231" s="49" t="n"/>
      <c r="E231" s="49" t="n"/>
      <c r="F231" s="49" t="n"/>
      <c r="G231" s="49" t="n"/>
      <c r="H231" s="50" t="n"/>
    </row>
    <row r="232">
      <c r="B232" s="49" t="n"/>
      <c r="C232" s="49" t="n"/>
      <c r="D232" s="49" t="n"/>
      <c r="E232" s="49" t="n"/>
      <c r="F232" s="49" t="n"/>
      <c r="G232" s="49" t="n"/>
      <c r="H232" s="50" t="n"/>
    </row>
    <row r="233">
      <c r="B233" s="49" t="n"/>
      <c r="C233" s="49" t="n"/>
      <c r="D233" s="49" t="n"/>
      <c r="E233" s="49" t="n"/>
      <c r="F233" s="49" t="n"/>
      <c r="G233" s="49" t="n"/>
      <c r="H233" s="50" t="n"/>
    </row>
    <row r="234">
      <c r="B234" s="49" t="n"/>
      <c r="C234" s="49" t="n"/>
      <c r="D234" s="49" t="n"/>
      <c r="E234" s="49" t="n"/>
      <c r="F234" s="49" t="n"/>
      <c r="G234" s="49" t="n"/>
      <c r="H234" s="50" t="n"/>
    </row>
    <row r="235">
      <c r="B235" s="49" t="n"/>
      <c r="C235" s="49" t="n"/>
      <c r="D235" s="49" t="n"/>
      <c r="E235" s="49" t="n"/>
      <c r="F235" s="49" t="n"/>
      <c r="G235" s="49" t="n"/>
      <c r="H235" s="50" t="n"/>
    </row>
    <row r="236">
      <c r="B236" s="49" t="n"/>
      <c r="C236" s="49" t="n"/>
      <c r="D236" s="49" t="n"/>
      <c r="E236" s="49" t="n"/>
      <c r="F236" s="49" t="n"/>
      <c r="G236" s="49" t="n"/>
      <c r="H236" s="50" t="n"/>
    </row>
    <row r="237">
      <c r="B237" s="49" t="n"/>
      <c r="C237" s="49" t="n"/>
      <c r="D237" s="49" t="n"/>
      <c r="E237" s="49" t="n"/>
      <c r="F237" s="49" t="n"/>
      <c r="G237" s="49" t="n"/>
      <c r="H237" s="50" t="n"/>
    </row>
    <row r="238">
      <c r="B238" s="49" t="n"/>
      <c r="C238" s="49" t="n"/>
      <c r="D238" s="49" t="n"/>
      <c r="E238" s="49" t="n"/>
      <c r="F238" s="49" t="n"/>
      <c r="G238" s="49" t="n"/>
      <c r="H238" s="50" t="n"/>
    </row>
    <row r="239">
      <c r="B239" s="49" t="n"/>
      <c r="C239" s="49" t="n"/>
      <c r="D239" s="49" t="n"/>
      <c r="E239" s="49" t="n"/>
      <c r="F239" s="49" t="n"/>
      <c r="G239" s="49" t="n"/>
      <c r="H239" s="50" t="n"/>
    </row>
    <row r="240">
      <c r="B240" s="49" t="n"/>
      <c r="C240" s="49" t="n"/>
      <c r="D240" s="49" t="n"/>
      <c r="E240" s="49" t="n"/>
      <c r="F240" s="49" t="n"/>
      <c r="G240" s="49" t="n"/>
      <c r="H240" s="50" t="n"/>
    </row>
    <row r="241">
      <c r="B241" s="49" t="n"/>
      <c r="C241" s="49" t="n"/>
      <c r="D241" s="49" t="n"/>
      <c r="E241" s="49" t="n"/>
      <c r="F241" s="49" t="n"/>
      <c r="G241" s="49" t="n"/>
      <c r="H241" s="50" t="n"/>
    </row>
    <row r="242">
      <c r="B242" s="49" t="n"/>
      <c r="C242" s="49" t="n"/>
      <c r="D242" s="49" t="n"/>
      <c r="E242" s="49" t="n"/>
      <c r="F242" s="49" t="n"/>
      <c r="G242" s="49" t="n"/>
      <c r="H242" s="50" t="n"/>
    </row>
    <row r="243">
      <c r="B243" s="49" t="n"/>
      <c r="C243" s="49" t="n"/>
      <c r="D243" s="49" t="n"/>
      <c r="E243" s="49" t="n"/>
      <c r="F243" s="49" t="n"/>
      <c r="G243" s="49" t="n"/>
      <c r="H243" s="50" t="n"/>
    </row>
    <row r="244">
      <c r="B244" s="49" t="n"/>
      <c r="C244" s="49" t="n"/>
      <c r="D244" s="49" t="n"/>
      <c r="E244" s="49" t="n"/>
      <c r="F244" s="49" t="n"/>
      <c r="G244" s="49" t="n"/>
      <c r="H244" s="50" t="n"/>
    </row>
    <row r="245">
      <c r="B245" s="49" t="n"/>
      <c r="C245" s="49" t="n"/>
      <c r="D245" s="49" t="n"/>
      <c r="E245" s="49" t="n"/>
      <c r="F245" s="49" t="n"/>
      <c r="G245" s="49" t="n"/>
      <c r="H245" s="50" t="n"/>
    </row>
    <row r="246">
      <c r="B246" s="49" t="n"/>
      <c r="C246" s="49" t="n"/>
      <c r="D246" s="49" t="n"/>
      <c r="E246" s="49" t="n"/>
      <c r="F246" s="49" t="n"/>
      <c r="G246" s="49" t="n"/>
      <c r="H246" s="50" t="n"/>
    </row>
    <row r="247">
      <c r="B247" s="49" t="n"/>
      <c r="C247" s="49" t="n"/>
      <c r="D247" s="49" t="n"/>
      <c r="E247" s="49" t="n"/>
      <c r="F247" s="49" t="n"/>
      <c r="G247" s="49" t="n"/>
      <c r="H247" s="50" t="n"/>
    </row>
    <row r="248">
      <c r="B248" s="49" t="n"/>
      <c r="C248" s="49" t="n"/>
      <c r="D248" s="49" t="n"/>
      <c r="E248" s="49" t="n"/>
      <c r="F248" s="49" t="n"/>
      <c r="G248" s="49" t="n"/>
      <c r="H248" s="50" t="n"/>
    </row>
    <row r="249">
      <c r="B249" s="49" t="n"/>
      <c r="C249" s="49" t="n"/>
      <c r="D249" s="49" t="n"/>
      <c r="E249" s="49" t="n"/>
      <c r="F249" s="49" t="n"/>
      <c r="G249" s="49" t="n"/>
      <c r="H249" s="50" t="n"/>
    </row>
    <row r="250">
      <c r="B250" s="49" t="n"/>
      <c r="C250" s="49" t="n"/>
      <c r="D250" s="49" t="n"/>
      <c r="E250" s="49" t="n"/>
      <c r="F250" s="49" t="n"/>
      <c r="G250" s="49" t="n"/>
      <c r="H250" s="50" t="n"/>
    </row>
    <row r="251">
      <c r="B251" s="49" t="n"/>
      <c r="C251" s="49" t="n"/>
      <c r="D251" s="49" t="n"/>
      <c r="E251" s="49" t="n"/>
      <c r="F251" s="49" t="n"/>
      <c r="G251" s="49" t="n"/>
      <c r="H251" s="50" t="n"/>
    </row>
    <row r="252">
      <c r="B252" s="49" t="n"/>
      <c r="C252" s="49" t="n"/>
      <c r="D252" s="49" t="n"/>
      <c r="E252" s="49" t="n"/>
      <c r="F252" s="49" t="n"/>
      <c r="G252" s="49" t="n"/>
      <c r="H252" s="50" t="n"/>
    </row>
    <row r="253">
      <c r="B253" s="49" t="n"/>
      <c r="C253" s="49" t="n"/>
      <c r="D253" s="49" t="n"/>
      <c r="E253" s="49" t="n"/>
      <c r="F253" s="49" t="n"/>
      <c r="G253" s="49" t="n"/>
      <c r="H253" s="50" t="n"/>
    </row>
    <row r="254">
      <c r="B254" s="49" t="n"/>
      <c r="C254" s="49" t="n"/>
      <c r="D254" s="49" t="n"/>
      <c r="E254" s="49" t="n"/>
      <c r="F254" s="49" t="n"/>
      <c r="G254" s="49" t="n"/>
      <c r="H254" s="50" t="n"/>
    </row>
    <row r="255">
      <c r="B255" s="49" t="n"/>
      <c r="C255" s="49" t="n"/>
      <c r="D255" s="49" t="n"/>
      <c r="E255" s="49" t="n"/>
      <c r="F255" s="49" t="n"/>
      <c r="G255" s="49" t="n"/>
      <c r="H255" s="50" t="n"/>
    </row>
    <row r="256">
      <c r="B256" s="49" t="n"/>
      <c r="C256" s="49" t="n"/>
      <c r="D256" s="49" t="n"/>
      <c r="E256" s="49" t="n"/>
      <c r="F256" s="49" t="n"/>
      <c r="G256" s="49" t="n"/>
      <c r="H256" s="50" t="n"/>
    </row>
    <row r="257">
      <c r="B257" s="49" t="n"/>
      <c r="C257" s="49" t="n"/>
      <c r="D257" s="49" t="n"/>
      <c r="E257" s="49" t="n"/>
      <c r="F257" s="49" t="n"/>
      <c r="G257" s="49" t="n"/>
      <c r="H257" s="50" t="n"/>
    </row>
    <row r="258">
      <c r="B258" s="49" t="n"/>
      <c r="C258" s="49" t="n"/>
      <c r="D258" s="49" t="n"/>
      <c r="E258" s="49" t="n"/>
      <c r="F258" s="49" t="n"/>
      <c r="G258" s="49" t="n"/>
      <c r="H258" s="50" t="n"/>
    </row>
    <row r="259">
      <c r="B259" s="49" t="n"/>
      <c r="C259" s="49" t="n"/>
      <c r="D259" s="49" t="n"/>
      <c r="E259" s="49" t="n"/>
      <c r="F259" s="49" t="n"/>
      <c r="G259" s="49" t="n"/>
      <c r="H259" s="50" t="n"/>
    </row>
    <row r="260">
      <c r="B260" s="49" t="n"/>
      <c r="C260" s="49" t="n"/>
      <c r="D260" s="49" t="n"/>
      <c r="E260" s="49" t="n"/>
      <c r="F260" s="49" t="n"/>
      <c r="G260" s="49" t="n"/>
      <c r="H260" s="50" t="n"/>
    </row>
    <row r="261">
      <c r="B261" s="49" t="n"/>
      <c r="C261" s="49" t="n"/>
      <c r="D261" s="49" t="n"/>
      <c r="E261" s="49" t="n"/>
      <c r="F261" s="49" t="n"/>
      <c r="G261" s="49" t="n"/>
      <c r="H261" s="50" t="n"/>
    </row>
    <row r="262">
      <c r="B262" s="49" t="n"/>
      <c r="C262" s="49" t="n"/>
      <c r="D262" s="49" t="n"/>
      <c r="E262" s="49" t="n"/>
      <c r="F262" s="49" t="n"/>
      <c r="G262" s="49" t="n"/>
      <c r="H262" s="50" t="n"/>
    </row>
    <row r="263">
      <c r="B263" s="49" t="n"/>
      <c r="C263" s="49" t="n"/>
      <c r="D263" s="49" t="n"/>
      <c r="E263" s="49" t="n"/>
      <c r="F263" s="49" t="n"/>
      <c r="G263" s="49" t="n"/>
      <c r="H263" s="50" t="n"/>
    </row>
    <row r="264">
      <c r="B264" s="49" t="n"/>
      <c r="C264" s="49" t="n"/>
      <c r="D264" s="49" t="n"/>
      <c r="E264" s="49" t="n"/>
      <c r="F264" s="49" t="n"/>
      <c r="G264" s="49" t="n"/>
      <c r="H264" s="50" t="n"/>
    </row>
    <row r="265">
      <c r="B265" s="49" t="n"/>
      <c r="C265" s="49" t="n"/>
      <c r="D265" s="49" t="n"/>
      <c r="E265" s="49" t="n"/>
      <c r="F265" s="49" t="n"/>
      <c r="G265" s="49" t="n"/>
      <c r="H265" s="50" t="n"/>
    </row>
    <row r="266">
      <c r="B266" s="49" t="n"/>
      <c r="C266" s="49" t="n"/>
      <c r="D266" s="49" t="n"/>
      <c r="E266" s="49" t="n"/>
      <c r="F266" s="49" t="n"/>
      <c r="G266" s="49" t="n"/>
      <c r="H266" s="50" t="n"/>
    </row>
    <row r="267">
      <c r="B267" s="49" t="n"/>
      <c r="C267" s="49" t="n"/>
      <c r="D267" s="49" t="n"/>
      <c r="E267" s="49" t="n"/>
      <c r="F267" s="49" t="n"/>
      <c r="G267" s="49" t="n"/>
      <c r="H267" s="50" t="n"/>
    </row>
    <row r="268">
      <c r="B268" s="49" t="n"/>
      <c r="C268" s="49" t="n"/>
      <c r="D268" s="49" t="n"/>
      <c r="E268" s="49" t="n"/>
      <c r="F268" s="49" t="n"/>
      <c r="G268" s="49" t="n"/>
      <c r="H268" s="50" t="n"/>
    </row>
    <row r="269">
      <c r="B269" s="49" t="n"/>
      <c r="C269" s="49" t="n"/>
      <c r="D269" s="49" t="n"/>
      <c r="E269" s="49" t="n"/>
      <c r="F269" s="49" t="n"/>
      <c r="G269" s="49" t="n"/>
      <c r="H269" s="50" t="n"/>
    </row>
    <row r="270">
      <c r="B270" s="49" t="n"/>
      <c r="C270" s="49" t="n"/>
      <c r="D270" s="49" t="n"/>
      <c r="E270" s="49" t="n"/>
      <c r="F270" s="49" t="n"/>
      <c r="G270" s="49" t="n"/>
      <c r="H270" s="50" t="n"/>
    </row>
    <row r="271">
      <c r="B271" s="49" t="n"/>
      <c r="C271" s="49" t="n"/>
      <c r="D271" s="49" t="n"/>
      <c r="E271" s="49" t="n"/>
      <c r="F271" s="49" t="n"/>
      <c r="G271" s="49" t="n"/>
      <c r="H271" s="50" t="n"/>
    </row>
    <row r="272">
      <c r="B272" s="49" t="n"/>
      <c r="C272" s="49" t="n"/>
      <c r="D272" s="49" t="n"/>
      <c r="E272" s="49" t="n"/>
      <c r="F272" s="49" t="n"/>
      <c r="G272" s="49" t="n"/>
      <c r="H272" s="50" t="n"/>
    </row>
    <row r="273">
      <c r="B273" s="49" t="n"/>
      <c r="C273" s="49" t="n"/>
      <c r="D273" s="49" t="n"/>
      <c r="E273" s="49" t="n"/>
      <c r="F273" s="49" t="n"/>
      <c r="G273" s="49" t="n"/>
      <c r="H273" s="50" t="n"/>
    </row>
    <row r="274">
      <c r="B274" s="49" t="n"/>
      <c r="C274" s="49" t="n"/>
      <c r="D274" s="49" t="n"/>
      <c r="E274" s="49" t="n"/>
      <c r="F274" s="49" t="n"/>
      <c r="G274" s="49" t="n"/>
      <c r="H274" s="50" t="n"/>
    </row>
    <row r="275">
      <c r="B275" s="49" t="n"/>
      <c r="C275" s="49" t="n"/>
      <c r="D275" s="49" t="n"/>
      <c r="E275" s="49" t="n"/>
      <c r="F275" s="49" t="n"/>
      <c r="G275" s="49" t="n"/>
      <c r="H275" s="50" t="n"/>
    </row>
    <row r="276">
      <c r="B276" s="49" t="n"/>
      <c r="C276" s="49" t="n"/>
      <c r="D276" s="49" t="n"/>
      <c r="E276" s="49" t="n"/>
      <c r="F276" s="49" t="n"/>
      <c r="G276" s="49" t="n"/>
      <c r="H276" s="50" t="n"/>
    </row>
    <row r="277">
      <c r="B277" s="49" t="n"/>
      <c r="C277" s="49" t="n"/>
      <c r="D277" s="49" t="n"/>
      <c r="E277" s="49" t="n"/>
      <c r="F277" s="49" t="n"/>
      <c r="G277" s="49" t="n"/>
      <c r="H277" s="50" t="n"/>
    </row>
    <row r="278">
      <c r="B278" s="49" t="n"/>
      <c r="C278" s="49" t="n"/>
      <c r="D278" s="49" t="n"/>
      <c r="E278" s="49" t="n"/>
      <c r="F278" s="49" t="n"/>
      <c r="G278" s="49" t="n"/>
      <c r="H278" s="50" t="n"/>
    </row>
    <row r="279">
      <c r="B279" s="49" t="n"/>
      <c r="C279" s="49" t="n"/>
      <c r="D279" s="49" t="n"/>
      <c r="E279" s="49" t="n"/>
      <c r="F279" s="49" t="n"/>
      <c r="G279" s="49" t="n"/>
      <c r="H279" s="50" t="n"/>
    </row>
    <row r="280">
      <c r="B280" s="49" t="n"/>
      <c r="C280" s="49" t="n"/>
      <c r="D280" s="49" t="n"/>
      <c r="E280" s="49" t="n"/>
      <c r="F280" s="49" t="n"/>
      <c r="G280" s="49" t="n"/>
      <c r="H280" s="50" t="n"/>
    </row>
    <row r="281">
      <c r="B281" s="49" t="n"/>
      <c r="C281" s="49" t="n"/>
      <c r="D281" s="49" t="n"/>
      <c r="E281" s="49" t="n"/>
      <c r="F281" s="49" t="n"/>
      <c r="G281" s="49" t="n"/>
      <c r="H281" s="50" t="n"/>
    </row>
    <row r="282">
      <c r="B282" s="49" t="n"/>
      <c r="C282" s="49" t="n"/>
      <c r="D282" s="49" t="n"/>
      <c r="E282" s="49" t="n"/>
      <c r="F282" s="49" t="n"/>
      <c r="G282" s="49" t="n"/>
      <c r="H282" s="50" t="n"/>
    </row>
    <row r="283">
      <c r="B283" s="49" t="n"/>
      <c r="C283" s="49" t="n"/>
      <c r="D283" s="49" t="n"/>
      <c r="E283" s="49" t="n"/>
      <c r="F283" s="49" t="n"/>
      <c r="G283" s="49" t="n"/>
      <c r="H283" s="50" t="n"/>
    </row>
    <row r="284">
      <c r="B284" s="49" t="n"/>
      <c r="C284" s="49" t="n"/>
      <c r="D284" s="49" t="n"/>
      <c r="E284" s="49" t="n"/>
      <c r="F284" s="49" t="n"/>
      <c r="G284" s="49" t="n"/>
      <c r="H284" s="50" t="n"/>
    </row>
    <row r="285">
      <c r="B285" s="49" t="n"/>
      <c r="C285" s="49" t="n"/>
      <c r="D285" s="49" t="n"/>
      <c r="E285" s="49" t="n"/>
      <c r="F285" s="49" t="n"/>
      <c r="G285" s="49" t="n"/>
      <c r="H285" s="50" t="n"/>
    </row>
    <row r="286">
      <c r="B286" s="49" t="n"/>
      <c r="C286" s="49" t="n"/>
      <c r="D286" s="49" t="n"/>
      <c r="E286" s="49" t="n"/>
      <c r="F286" s="49" t="n"/>
      <c r="G286" s="49" t="n"/>
      <c r="H286" s="50" t="n"/>
    </row>
    <row r="287">
      <c r="B287" s="49" t="n"/>
      <c r="C287" s="49" t="n"/>
      <c r="D287" s="49" t="n"/>
      <c r="E287" s="49" t="n"/>
      <c r="F287" s="49" t="n"/>
      <c r="G287" s="49" t="n"/>
      <c r="H287" s="50" t="n"/>
    </row>
    <row r="288">
      <c r="B288" s="49" t="n"/>
      <c r="C288" s="49" t="n"/>
      <c r="D288" s="49" t="n"/>
      <c r="E288" s="49" t="n"/>
      <c r="F288" s="49" t="n"/>
      <c r="G288" s="49" t="n"/>
      <c r="H288" s="50" t="n"/>
    </row>
    <row r="289">
      <c r="B289" s="49" t="n"/>
      <c r="C289" s="49" t="n"/>
      <c r="D289" s="49" t="n"/>
      <c r="E289" s="49" t="n"/>
      <c r="F289" s="49" t="n"/>
      <c r="G289" s="49" t="n"/>
      <c r="H289" s="50" t="n"/>
    </row>
    <row r="290">
      <c r="B290" s="49" t="n"/>
      <c r="C290" s="49" t="n"/>
      <c r="D290" s="49" t="n"/>
      <c r="E290" s="49" t="n"/>
      <c r="F290" s="49" t="n"/>
      <c r="G290" s="49" t="n"/>
      <c r="H290" s="50" t="n"/>
    </row>
    <row r="291">
      <c r="B291" s="49" t="n"/>
      <c r="C291" s="49" t="n"/>
      <c r="D291" s="49" t="n"/>
      <c r="E291" s="49" t="n"/>
      <c r="F291" s="49" t="n"/>
      <c r="G291" s="49" t="n"/>
      <c r="H291" s="50" t="n"/>
    </row>
    <row r="292">
      <c r="B292" s="49" t="n"/>
      <c r="C292" s="49" t="n"/>
      <c r="D292" s="49" t="n"/>
      <c r="E292" s="49" t="n"/>
      <c r="F292" s="49" t="n"/>
      <c r="G292" s="49" t="n"/>
      <c r="H292" s="50" t="n"/>
    </row>
    <row r="293">
      <c r="B293" s="49" t="n"/>
      <c r="C293" s="49" t="n"/>
      <c r="D293" s="49" t="n"/>
      <c r="E293" s="49" t="n"/>
      <c r="F293" s="49" t="n"/>
      <c r="G293" s="49" t="n"/>
      <c r="H293" s="50" t="n"/>
    </row>
    <row r="294">
      <c r="B294" s="49" t="n"/>
      <c r="C294" s="49" t="n"/>
      <c r="D294" s="49" t="n"/>
      <c r="E294" s="49" t="n"/>
      <c r="F294" s="49" t="n"/>
      <c r="G294" s="49" t="n"/>
      <c r="H294" s="50" t="n"/>
    </row>
    <row r="295">
      <c r="B295" s="49" t="n"/>
      <c r="C295" s="49" t="n"/>
      <c r="D295" s="49" t="n"/>
      <c r="E295" s="49" t="n"/>
      <c r="F295" s="49" t="n"/>
      <c r="G295" s="49" t="n"/>
      <c r="H295" s="50" t="n"/>
    </row>
    <row r="296">
      <c r="B296" s="49" t="n"/>
      <c r="C296" s="49" t="n"/>
      <c r="D296" s="49" t="n"/>
      <c r="E296" s="49" t="n"/>
      <c r="F296" s="49" t="n"/>
      <c r="G296" s="49" t="n"/>
      <c r="H296" s="50" t="n"/>
    </row>
    <row r="297">
      <c r="B297" s="49" t="n"/>
      <c r="C297" s="49" t="n"/>
      <c r="D297" s="49" t="n"/>
      <c r="E297" s="49" t="n"/>
      <c r="F297" s="49" t="n"/>
      <c r="G297" s="49" t="n"/>
      <c r="H297" s="50" t="n"/>
    </row>
    <row r="298">
      <c r="B298" s="49" t="n"/>
      <c r="C298" s="49" t="n"/>
      <c r="D298" s="49" t="n"/>
      <c r="E298" s="49" t="n"/>
      <c r="F298" s="49" t="n"/>
      <c r="G298" s="49" t="n"/>
      <c r="H298" s="50" t="n"/>
    </row>
    <row r="299">
      <c r="B299" s="49" t="n"/>
      <c r="C299" s="49" t="n"/>
      <c r="D299" s="49" t="n"/>
      <c r="E299" s="49" t="n"/>
      <c r="F299" s="49" t="n"/>
      <c r="G299" s="49" t="n"/>
      <c r="H299" s="50" t="n"/>
    </row>
    <row r="300">
      <c r="B300" s="49" t="n"/>
      <c r="C300" s="49" t="n"/>
      <c r="D300" s="49" t="n"/>
      <c r="E300" s="49" t="n"/>
      <c r="F300" s="49" t="n"/>
      <c r="G300" s="49" t="n"/>
      <c r="H300" s="50" t="n"/>
    </row>
    <row r="301">
      <c r="B301" s="49" t="n"/>
      <c r="C301" s="49" t="n"/>
      <c r="D301" s="49" t="n"/>
      <c r="E301" s="49" t="n"/>
      <c r="F301" s="49" t="n"/>
      <c r="G301" s="49" t="n"/>
      <c r="H301" s="50" t="n"/>
    </row>
    <row r="302">
      <c r="B302" s="49" t="n"/>
      <c r="C302" s="49" t="n"/>
      <c r="D302" s="49" t="n"/>
      <c r="E302" s="49" t="n"/>
      <c r="F302" s="49" t="n"/>
      <c r="G302" s="49" t="n"/>
      <c r="H302" s="50" t="n"/>
    </row>
    <row r="303">
      <c r="B303" s="49" t="n"/>
      <c r="C303" s="49" t="n"/>
      <c r="D303" s="49" t="n"/>
      <c r="E303" s="49" t="n"/>
      <c r="F303" s="49" t="n"/>
      <c r="G303" s="49" t="n"/>
      <c r="H303" s="50" t="n"/>
    </row>
    <row r="304">
      <c r="B304" s="49" t="n"/>
      <c r="C304" s="49" t="n"/>
      <c r="D304" s="49" t="n"/>
      <c r="E304" s="49" t="n"/>
      <c r="F304" s="49" t="n"/>
      <c r="G304" s="49" t="n"/>
      <c r="H304" s="50" t="n"/>
    </row>
    <row r="305">
      <c r="B305" s="49" t="n"/>
      <c r="C305" s="49" t="n"/>
      <c r="D305" s="49" t="n"/>
      <c r="E305" s="49" t="n"/>
      <c r="F305" s="49" t="n"/>
      <c r="G305" s="49" t="n"/>
      <c r="H305" s="50" t="n"/>
    </row>
    <row r="306">
      <c r="B306" s="49" t="n"/>
      <c r="C306" s="49" t="n"/>
      <c r="D306" s="49" t="n"/>
      <c r="E306" s="49" t="n"/>
      <c r="F306" s="49" t="n"/>
      <c r="G306" s="49" t="n"/>
      <c r="H306" s="50" t="n"/>
    </row>
    <row r="307">
      <c r="B307" s="49" t="n"/>
      <c r="C307" s="49" t="n"/>
      <c r="D307" s="49" t="n"/>
      <c r="E307" s="49" t="n"/>
      <c r="F307" s="49" t="n"/>
      <c r="G307" s="49" t="n"/>
      <c r="H307" s="50" t="n"/>
    </row>
    <row r="308">
      <c r="B308" s="49" t="n"/>
      <c r="C308" s="49" t="n"/>
      <c r="D308" s="49" t="n"/>
      <c r="E308" s="49" t="n"/>
      <c r="F308" s="49" t="n"/>
      <c r="G308" s="49" t="n"/>
      <c r="H308" s="50" t="n"/>
    </row>
    <row r="309">
      <c r="B309" s="49" t="n"/>
      <c r="C309" s="49" t="n"/>
      <c r="D309" s="49" t="n"/>
      <c r="E309" s="49" t="n"/>
      <c r="F309" s="49" t="n"/>
      <c r="G309" s="49" t="n"/>
      <c r="H309" s="50" t="n"/>
    </row>
    <row r="310">
      <c r="B310" s="49" t="n"/>
      <c r="C310" s="49" t="n"/>
      <c r="D310" s="49" t="n"/>
      <c r="E310" s="49" t="n"/>
      <c r="F310" s="49" t="n"/>
      <c r="G310" s="49" t="n"/>
      <c r="H310" s="50" t="n"/>
    </row>
    <row r="311">
      <c r="B311" s="49" t="n"/>
      <c r="C311" s="49" t="n"/>
      <c r="D311" s="49" t="n"/>
      <c r="E311" s="49" t="n"/>
      <c r="F311" s="49" t="n"/>
      <c r="G311" s="49" t="n"/>
      <c r="H311" s="50" t="n"/>
    </row>
    <row r="312">
      <c r="B312" s="49" t="n"/>
      <c r="C312" s="49" t="n"/>
      <c r="D312" s="49" t="n"/>
      <c r="E312" s="49" t="n"/>
      <c r="F312" s="49" t="n"/>
      <c r="G312" s="49" t="n"/>
      <c r="H312" s="50" t="n"/>
    </row>
    <row r="313">
      <c r="B313" s="49" t="n"/>
      <c r="C313" s="49" t="n"/>
      <c r="D313" s="49" t="n"/>
      <c r="E313" s="49" t="n"/>
      <c r="F313" s="49" t="n"/>
      <c r="G313" s="49" t="n"/>
      <c r="H313" s="50" t="n"/>
    </row>
    <row r="314">
      <c r="B314" s="49" t="n"/>
      <c r="C314" s="49" t="n"/>
      <c r="D314" s="49" t="n"/>
      <c r="E314" s="49" t="n"/>
      <c r="F314" s="49" t="n"/>
      <c r="G314" s="49" t="n"/>
      <c r="H314" s="50" t="n"/>
    </row>
    <row r="315">
      <c r="B315" s="49" t="n"/>
      <c r="C315" s="49" t="n"/>
      <c r="D315" s="49" t="n"/>
      <c r="E315" s="49" t="n"/>
      <c r="F315" s="49" t="n"/>
      <c r="G315" s="49" t="n"/>
      <c r="H315" s="50" t="n"/>
    </row>
    <row r="316">
      <c r="B316" s="49" t="n"/>
      <c r="C316" s="49" t="n"/>
      <c r="D316" s="49" t="n"/>
      <c r="E316" s="49" t="n"/>
      <c r="F316" s="49" t="n"/>
      <c r="G316" s="49" t="n"/>
      <c r="H316" s="50" t="n"/>
    </row>
    <row r="317">
      <c r="B317" s="49" t="n"/>
      <c r="C317" s="49" t="n"/>
      <c r="D317" s="49" t="n"/>
      <c r="E317" s="49" t="n"/>
      <c r="F317" s="49" t="n"/>
      <c r="G317" s="49" t="n"/>
      <c r="H317" s="50" t="n"/>
    </row>
    <row r="318">
      <c r="B318" s="49" t="n"/>
      <c r="C318" s="49" t="n"/>
      <c r="D318" s="49" t="n"/>
      <c r="E318" s="49" t="n"/>
      <c r="F318" s="49" t="n"/>
      <c r="G318" s="49" t="n"/>
      <c r="H318" s="50" t="n"/>
    </row>
    <row r="319">
      <c r="B319" s="49" t="n"/>
      <c r="C319" s="49" t="n"/>
      <c r="D319" s="49" t="n"/>
      <c r="E319" s="49" t="n"/>
      <c r="F319" s="49" t="n"/>
      <c r="G319" s="49" t="n"/>
      <c r="H319" s="50" t="n"/>
    </row>
    <row r="320">
      <c r="B320" s="49" t="n"/>
      <c r="C320" s="49" t="n"/>
      <c r="D320" s="49" t="n"/>
      <c r="E320" s="49" t="n"/>
      <c r="F320" s="49" t="n"/>
      <c r="G320" s="49" t="n"/>
      <c r="H320" s="50" t="n"/>
    </row>
    <row r="321">
      <c r="B321" s="49" t="n"/>
      <c r="C321" s="49" t="n"/>
      <c r="D321" s="49" t="n"/>
      <c r="E321" s="49" t="n"/>
      <c r="F321" s="49" t="n"/>
      <c r="G321" s="49" t="n"/>
      <c r="H321" s="50" t="n"/>
    </row>
    <row r="322">
      <c r="B322" s="49" t="n"/>
      <c r="C322" s="49" t="n"/>
      <c r="D322" s="49" t="n"/>
      <c r="E322" s="49" t="n"/>
      <c r="F322" s="49" t="n"/>
      <c r="G322" s="49" t="n"/>
      <c r="H322" s="50" t="n"/>
    </row>
    <row r="323">
      <c r="B323" s="49" t="n"/>
      <c r="C323" s="49" t="n"/>
      <c r="D323" s="49" t="n"/>
      <c r="E323" s="49" t="n"/>
      <c r="F323" s="49" t="n"/>
      <c r="G323" s="49" t="n"/>
      <c r="H323" s="50" t="n"/>
    </row>
    <row r="324">
      <c r="B324" s="49" t="n"/>
      <c r="C324" s="49" t="n"/>
      <c r="D324" s="49" t="n"/>
      <c r="E324" s="49" t="n"/>
      <c r="F324" s="49" t="n"/>
      <c r="G324" s="49" t="n"/>
      <c r="H324" s="50" t="n"/>
    </row>
    <row r="325">
      <c r="B325" s="49" t="n"/>
      <c r="C325" s="49" t="n"/>
      <c r="D325" s="49" t="n"/>
      <c r="E325" s="49" t="n"/>
      <c r="F325" s="49" t="n"/>
      <c r="G325" s="49" t="n"/>
      <c r="H325" s="50" t="n"/>
    </row>
    <row r="326">
      <c r="B326" s="49" t="n"/>
      <c r="C326" s="49" t="n"/>
      <c r="D326" s="49" t="n"/>
      <c r="E326" s="49" t="n"/>
      <c r="F326" s="49" t="n"/>
      <c r="G326" s="49" t="n"/>
      <c r="H326" s="50" t="n"/>
    </row>
    <row r="327">
      <c r="B327" s="49" t="n"/>
      <c r="C327" s="49" t="n"/>
      <c r="D327" s="49" t="n"/>
      <c r="E327" s="49" t="n"/>
      <c r="F327" s="49" t="n"/>
      <c r="G327" s="49" t="n"/>
      <c r="H327" s="50" t="n"/>
    </row>
    <row r="328">
      <c r="B328" s="49" t="n"/>
      <c r="C328" s="49" t="n"/>
      <c r="D328" s="49" t="n"/>
      <c r="E328" s="49" t="n"/>
      <c r="F328" s="49" t="n"/>
      <c r="G328" s="49" t="n"/>
      <c r="H328" s="50" t="n"/>
    </row>
    <row r="329">
      <c r="B329" s="49" t="n"/>
      <c r="C329" s="49" t="n"/>
      <c r="D329" s="49" t="n"/>
      <c r="E329" s="49" t="n"/>
      <c r="F329" s="49" t="n"/>
      <c r="G329" s="49" t="n"/>
      <c r="H329" s="50" t="n"/>
    </row>
    <row r="330">
      <c r="B330" s="49" t="n"/>
      <c r="C330" s="49" t="n"/>
      <c r="D330" s="49" t="n"/>
      <c r="E330" s="49" t="n"/>
      <c r="F330" s="49" t="n"/>
      <c r="G330" s="49" t="n"/>
      <c r="H330" s="50" t="n"/>
    </row>
    <row r="331">
      <c r="B331" s="49" t="n"/>
      <c r="C331" s="49" t="n"/>
      <c r="D331" s="49" t="n"/>
      <c r="E331" s="49" t="n"/>
      <c r="F331" s="49" t="n"/>
      <c r="G331" s="49" t="n"/>
      <c r="H331" s="50" t="n"/>
    </row>
    <row r="332">
      <c r="B332" s="49" t="n"/>
      <c r="C332" s="49" t="n"/>
      <c r="D332" s="49" t="n"/>
      <c r="E332" s="49" t="n"/>
      <c r="F332" s="49" t="n"/>
      <c r="G332" s="49" t="n"/>
      <c r="H332" s="50" t="n"/>
    </row>
    <row r="333">
      <c r="B333" s="49" t="n"/>
      <c r="C333" s="49" t="n"/>
      <c r="D333" s="49" t="n"/>
      <c r="E333" s="49" t="n"/>
      <c r="F333" s="49" t="n"/>
      <c r="G333" s="49" t="n"/>
      <c r="H333" s="50" t="n"/>
    </row>
    <row r="334">
      <c r="B334" s="49" t="n"/>
      <c r="C334" s="49" t="n"/>
      <c r="D334" s="49" t="n"/>
      <c r="E334" s="49" t="n"/>
      <c r="F334" s="49" t="n"/>
      <c r="G334" s="49" t="n"/>
      <c r="H334" s="50" t="n"/>
    </row>
    <row r="335">
      <c r="B335" s="49" t="n"/>
      <c r="C335" s="49" t="n"/>
      <c r="D335" s="49" t="n"/>
      <c r="E335" s="49" t="n"/>
      <c r="F335" s="49" t="n"/>
      <c r="G335" s="49" t="n"/>
      <c r="H335" s="50" t="n"/>
    </row>
    <row r="336">
      <c r="B336" s="49" t="n"/>
      <c r="C336" s="49" t="n"/>
      <c r="D336" s="49" t="n"/>
      <c r="E336" s="49" t="n"/>
      <c r="F336" s="49" t="n"/>
      <c r="G336" s="49" t="n"/>
      <c r="H336" s="50" t="n"/>
    </row>
    <row r="337">
      <c r="B337" s="49" t="n"/>
      <c r="C337" s="49" t="n"/>
      <c r="D337" s="49" t="n"/>
      <c r="E337" s="49" t="n"/>
      <c r="F337" s="49" t="n"/>
      <c r="G337" s="49" t="n"/>
      <c r="H337" s="50" t="n"/>
    </row>
    <row r="338">
      <c r="B338" s="49" t="n"/>
      <c r="C338" s="49" t="n"/>
      <c r="D338" s="49" t="n"/>
      <c r="E338" s="49" t="n"/>
      <c r="F338" s="49" t="n"/>
      <c r="G338" s="49" t="n"/>
      <c r="H338" s="50" t="n"/>
    </row>
    <row r="339">
      <c r="B339" s="49" t="n"/>
      <c r="C339" s="49" t="n"/>
      <c r="D339" s="49" t="n"/>
      <c r="E339" s="49" t="n"/>
      <c r="F339" s="49" t="n"/>
      <c r="G339" s="49" t="n"/>
      <c r="H339" s="50" t="n"/>
    </row>
    <row r="340">
      <c r="B340" s="49" t="n"/>
      <c r="C340" s="49" t="n"/>
      <c r="D340" s="49" t="n"/>
      <c r="E340" s="49" t="n"/>
      <c r="F340" s="49" t="n"/>
      <c r="G340" s="49" t="n"/>
      <c r="H340" s="50" t="n"/>
    </row>
    <row r="341">
      <c r="B341" s="49" t="n"/>
      <c r="C341" s="49" t="n"/>
      <c r="D341" s="49" t="n"/>
      <c r="E341" s="49" t="n"/>
      <c r="F341" s="49" t="n"/>
      <c r="G341" s="49" t="n"/>
      <c r="H341" s="50" t="n"/>
    </row>
    <row r="342">
      <c r="B342" s="49" t="n"/>
      <c r="C342" s="49" t="n"/>
      <c r="D342" s="49" t="n"/>
      <c r="E342" s="49" t="n"/>
      <c r="F342" s="49" t="n"/>
      <c r="G342" s="49" t="n"/>
      <c r="H342" s="50" t="n"/>
    </row>
    <row r="343">
      <c r="B343" s="49" t="n"/>
      <c r="C343" s="49" t="n"/>
      <c r="D343" s="49" t="n"/>
      <c r="E343" s="49" t="n"/>
      <c r="F343" s="49" t="n"/>
      <c r="G343" s="49" t="n"/>
      <c r="H343" s="50" t="n"/>
    </row>
    <row r="344">
      <c r="B344" s="49" t="n"/>
      <c r="C344" s="49" t="n"/>
      <c r="D344" s="49" t="n"/>
      <c r="E344" s="49" t="n"/>
      <c r="F344" s="49" t="n"/>
      <c r="G344" s="49" t="n"/>
      <c r="H344" s="50" t="n"/>
    </row>
    <row r="345">
      <c r="B345" s="49" t="n"/>
      <c r="C345" s="49" t="n"/>
      <c r="D345" s="49" t="n"/>
      <c r="E345" s="49" t="n"/>
      <c r="F345" s="49" t="n"/>
      <c r="G345" s="49" t="n"/>
      <c r="H345" s="50" t="n"/>
    </row>
    <row r="346">
      <c r="B346" s="49" t="n"/>
      <c r="C346" s="49" t="n"/>
      <c r="D346" s="49" t="n"/>
      <c r="E346" s="49" t="n"/>
      <c r="F346" s="49" t="n"/>
      <c r="G346" s="49" t="n"/>
      <c r="H346" s="50" t="n"/>
    </row>
    <row r="347">
      <c r="B347" s="49" t="n"/>
      <c r="C347" s="49" t="n"/>
      <c r="D347" s="49" t="n"/>
      <c r="E347" s="49" t="n"/>
      <c r="F347" s="49" t="n"/>
      <c r="G347" s="49" t="n"/>
      <c r="H347" s="50" t="n"/>
    </row>
    <row r="348">
      <c r="B348" s="49" t="n"/>
      <c r="C348" s="49" t="n"/>
      <c r="D348" s="49" t="n"/>
      <c r="E348" s="49" t="n"/>
      <c r="F348" s="49" t="n"/>
      <c r="G348" s="49" t="n"/>
      <c r="H348" s="50" t="n"/>
    </row>
    <row r="349">
      <c r="B349" s="49" t="n"/>
      <c r="C349" s="49" t="n"/>
      <c r="D349" s="49" t="n"/>
      <c r="E349" s="49" t="n"/>
      <c r="F349" s="49" t="n"/>
      <c r="G349" s="49" t="n"/>
      <c r="H349" s="50" t="n"/>
    </row>
    <row r="350">
      <c r="B350" s="49" t="n"/>
      <c r="C350" s="49" t="n"/>
      <c r="D350" s="49" t="n"/>
      <c r="E350" s="49" t="n"/>
      <c r="F350" s="49" t="n"/>
      <c r="G350" s="49" t="n"/>
      <c r="H350" s="50" t="n"/>
    </row>
    <row r="351">
      <c r="B351" s="49" t="n"/>
      <c r="C351" s="49" t="n"/>
      <c r="D351" s="49" t="n"/>
      <c r="E351" s="49" t="n"/>
      <c r="F351" s="49" t="n"/>
      <c r="G351" s="49" t="n"/>
      <c r="H351" s="50" t="n"/>
    </row>
    <row r="352">
      <c r="B352" s="49" t="n"/>
      <c r="C352" s="49" t="n"/>
      <c r="D352" s="49" t="n"/>
      <c r="E352" s="49" t="n"/>
      <c r="F352" s="49" t="n"/>
      <c r="G352" s="49" t="n"/>
      <c r="H352" s="50" t="n"/>
    </row>
    <row r="353">
      <c r="B353" s="49" t="n"/>
      <c r="C353" s="49" t="n"/>
      <c r="D353" s="49" t="n"/>
      <c r="E353" s="49" t="n"/>
      <c r="F353" s="49" t="n"/>
      <c r="G353" s="49" t="n"/>
      <c r="H353" s="50" t="n"/>
    </row>
    <row r="354">
      <c r="B354" s="49" t="n"/>
      <c r="C354" s="49" t="n"/>
      <c r="D354" s="49" t="n"/>
      <c r="E354" s="49" t="n"/>
      <c r="F354" s="49" t="n"/>
      <c r="G354" s="49" t="n"/>
      <c r="H354" s="50" t="n"/>
    </row>
    <row r="355">
      <c r="B355" s="49" t="n"/>
      <c r="C355" s="49" t="n"/>
      <c r="D355" s="49" t="n"/>
      <c r="E355" s="49" t="n"/>
      <c r="F355" s="49" t="n"/>
      <c r="G355" s="49" t="n"/>
      <c r="H355" s="50" t="n"/>
    </row>
    <row r="356">
      <c r="B356" s="49" t="n"/>
      <c r="C356" s="49" t="n"/>
      <c r="D356" s="49" t="n"/>
      <c r="E356" s="49" t="n"/>
      <c r="F356" s="49" t="n"/>
      <c r="G356" s="49" t="n"/>
      <c r="H356" s="50" t="n"/>
    </row>
    <row r="357">
      <c r="B357" s="49" t="n"/>
      <c r="C357" s="49" t="n"/>
      <c r="D357" s="49" t="n"/>
      <c r="E357" s="49" t="n"/>
      <c r="F357" s="49" t="n"/>
      <c r="G357" s="49" t="n"/>
      <c r="H357" s="50" t="n"/>
    </row>
    <row r="358">
      <c r="B358" s="49" t="n"/>
      <c r="C358" s="49" t="n"/>
      <c r="D358" s="49" t="n"/>
      <c r="E358" s="49" t="n"/>
      <c r="F358" s="49" t="n"/>
      <c r="G358" s="49" t="n"/>
      <c r="H358" s="50" t="n"/>
    </row>
    <row r="359">
      <c r="B359" s="49" t="n"/>
      <c r="C359" s="49" t="n"/>
      <c r="D359" s="49" t="n"/>
      <c r="E359" s="49" t="n"/>
      <c r="F359" s="49" t="n"/>
      <c r="G359" s="49" t="n"/>
      <c r="H359" s="50" t="n"/>
    </row>
    <row r="360">
      <c r="B360" s="49" t="n"/>
      <c r="C360" s="49" t="n"/>
      <c r="D360" s="49" t="n"/>
      <c r="E360" s="49" t="n"/>
      <c r="F360" s="49" t="n"/>
      <c r="G360" s="49" t="n"/>
      <c r="H360" s="50" t="n"/>
    </row>
    <row r="361">
      <c r="B361" s="49" t="n"/>
      <c r="C361" s="49" t="n"/>
      <c r="D361" s="49" t="n"/>
      <c r="E361" s="49" t="n"/>
      <c r="F361" s="49" t="n"/>
      <c r="G361" s="49" t="n"/>
      <c r="H361" s="50" t="n"/>
    </row>
    <row r="362">
      <c r="B362" s="49" t="n"/>
      <c r="C362" s="49" t="n"/>
      <c r="D362" s="49" t="n"/>
      <c r="E362" s="49" t="n"/>
      <c r="F362" s="49" t="n"/>
      <c r="G362" s="49" t="n"/>
      <c r="H362" s="50" t="n"/>
    </row>
    <row r="363">
      <c r="B363" s="49" t="n"/>
      <c r="C363" s="49" t="n"/>
      <c r="D363" s="49" t="n"/>
      <c r="E363" s="49" t="n"/>
      <c r="F363" s="49" t="n"/>
      <c r="G363" s="49" t="n"/>
      <c r="H363" s="50" t="n"/>
    </row>
    <row r="364">
      <c r="B364" s="49" t="n"/>
      <c r="C364" s="49" t="n"/>
      <c r="D364" s="49" t="n"/>
      <c r="E364" s="49" t="n"/>
      <c r="F364" s="49" t="n"/>
      <c r="G364" s="49" t="n"/>
      <c r="H364" s="50" t="n"/>
    </row>
    <row r="365">
      <c r="B365" s="49" t="n"/>
      <c r="C365" s="49" t="n"/>
      <c r="D365" s="49" t="n"/>
      <c r="E365" s="49" t="n"/>
      <c r="F365" s="49" t="n"/>
      <c r="G365" s="49" t="n"/>
      <c r="H365" s="50" t="n"/>
    </row>
    <row r="366">
      <c r="B366" s="49" t="n"/>
      <c r="C366" s="49" t="n"/>
      <c r="D366" s="49" t="n"/>
      <c r="E366" s="49" t="n"/>
      <c r="F366" s="49" t="n"/>
      <c r="G366" s="49" t="n"/>
      <c r="H366" s="50" t="n"/>
    </row>
    <row r="367">
      <c r="B367" s="49" t="n"/>
      <c r="C367" s="49" t="n"/>
      <c r="D367" s="49" t="n"/>
      <c r="E367" s="49" t="n"/>
      <c r="F367" s="49" t="n"/>
      <c r="G367" s="49" t="n"/>
      <c r="H367" s="50" t="n"/>
    </row>
    <row r="368">
      <c r="B368" s="49" t="n"/>
      <c r="C368" s="49" t="n"/>
      <c r="D368" s="49" t="n"/>
      <c r="E368" s="49" t="n"/>
      <c r="F368" s="49" t="n"/>
      <c r="G368" s="49" t="n"/>
      <c r="H368" s="50" t="n"/>
    </row>
    <row r="369">
      <c r="B369" s="49" t="n"/>
      <c r="C369" s="49" t="n"/>
      <c r="D369" s="49" t="n"/>
      <c r="E369" s="49" t="n"/>
      <c r="F369" s="49" t="n"/>
      <c r="G369" s="49" t="n"/>
      <c r="H369" s="50" t="n"/>
    </row>
    <row r="370">
      <c r="B370" s="49" t="n"/>
      <c r="C370" s="49" t="n"/>
      <c r="D370" s="49" t="n"/>
      <c r="E370" s="49" t="n"/>
      <c r="F370" s="49" t="n"/>
      <c r="G370" s="49" t="n"/>
      <c r="H370" s="50" t="n"/>
    </row>
    <row r="371">
      <c r="B371" s="49" t="n"/>
      <c r="C371" s="49" t="n"/>
      <c r="D371" s="49" t="n"/>
      <c r="E371" s="49" t="n"/>
      <c r="F371" s="49" t="n"/>
      <c r="G371" s="49" t="n"/>
      <c r="H371" s="50" t="n"/>
    </row>
    <row r="372">
      <c r="B372" s="49" t="n"/>
      <c r="C372" s="49" t="n"/>
      <c r="D372" s="49" t="n"/>
      <c r="E372" s="49" t="n"/>
      <c r="F372" s="49" t="n"/>
      <c r="G372" s="49" t="n"/>
      <c r="H372" s="50" t="n"/>
    </row>
    <row r="373">
      <c r="B373" s="49" t="n"/>
      <c r="C373" s="49" t="n"/>
      <c r="D373" s="49" t="n"/>
      <c r="E373" s="49" t="n"/>
      <c r="F373" s="49" t="n"/>
      <c r="G373" s="49" t="n"/>
      <c r="H373" s="50" t="n"/>
    </row>
    <row r="374">
      <c r="B374" s="49" t="n"/>
      <c r="C374" s="49" t="n"/>
      <c r="D374" s="49" t="n"/>
      <c r="E374" s="49" t="n"/>
      <c r="F374" s="49" t="n"/>
      <c r="G374" s="49" t="n"/>
      <c r="H374" s="50" t="n"/>
    </row>
    <row r="375">
      <c r="B375" s="49" t="n"/>
      <c r="C375" s="49" t="n"/>
      <c r="D375" s="49" t="n"/>
      <c r="E375" s="49" t="n"/>
      <c r="F375" s="49" t="n"/>
      <c r="G375" s="49" t="n"/>
      <c r="H375" s="50" t="n"/>
    </row>
    <row r="376">
      <c r="B376" s="49" t="n"/>
      <c r="C376" s="49" t="n"/>
      <c r="D376" s="49" t="n"/>
      <c r="E376" s="49" t="n"/>
      <c r="F376" s="49" t="n"/>
      <c r="G376" s="49" t="n"/>
      <c r="H376" s="50" t="n"/>
    </row>
    <row r="377">
      <c r="B377" s="49" t="n"/>
      <c r="C377" s="49" t="n"/>
      <c r="D377" s="49" t="n"/>
      <c r="E377" s="49" t="n"/>
      <c r="F377" s="49" t="n"/>
      <c r="G377" s="49" t="n"/>
      <c r="H377" s="50" t="n"/>
    </row>
    <row r="378">
      <c r="B378" s="49" t="n"/>
      <c r="C378" s="49" t="n"/>
      <c r="D378" s="49" t="n"/>
      <c r="E378" s="49" t="n"/>
      <c r="F378" s="49" t="n"/>
      <c r="G378" s="49" t="n"/>
      <c r="H378" s="50" t="n"/>
    </row>
    <row r="379">
      <c r="B379" s="49" t="n"/>
      <c r="C379" s="49" t="n"/>
      <c r="D379" s="49" t="n"/>
      <c r="E379" s="49" t="n"/>
      <c r="F379" s="49" t="n"/>
      <c r="G379" s="49" t="n"/>
      <c r="H379" s="50" t="n"/>
    </row>
    <row r="380">
      <c r="B380" s="49" t="n"/>
      <c r="C380" s="49" t="n"/>
      <c r="D380" s="49" t="n"/>
      <c r="E380" s="49" t="n"/>
      <c r="F380" s="49" t="n"/>
      <c r="G380" s="49" t="n"/>
      <c r="H380" s="50" t="n"/>
    </row>
    <row r="381">
      <c r="B381" s="49" t="n"/>
      <c r="C381" s="49" t="n"/>
      <c r="D381" s="49" t="n"/>
      <c r="E381" s="49" t="n"/>
      <c r="F381" s="49" t="n"/>
      <c r="G381" s="49" t="n"/>
      <c r="H381" s="50" t="n"/>
    </row>
    <row r="382">
      <c r="B382" s="49" t="n"/>
      <c r="C382" s="49" t="n"/>
      <c r="D382" s="49" t="n"/>
      <c r="E382" s="49" t="n"/>
      <c r="F382" s="49" t="n"/>
      <c r="G382" s="49" t="n"/>
      <c r="H382" s="50" t="n"/>
    </row>
    <row r="383">
      <c r="B383" s="49" t="n"/>
      <c r="C383" s="49" t="n"/>
      <c r="D383" s="49" t="n"/>
      <c r="E383" s="49" t="n"/>
      <c r="F383" s="49" t="n"/>
      <c r="G383" s="49" t="n"/>
      <c r="H383" s="50" t="n"/>
    </row>
    <row r="384">
      <c r="B384" s="49" t="n"/>
      <c r="C384" s="49" t="n"/>
      <c r="D384" s="49" t="n"/>
      <c r="E384" s="49" t="n"/>
      <c r="F384" s="49" t="n"/>
      <c r="G384" s="49" t="n"/>
      <c r="H384" s="50" t="n"/>
    </row>
    <row r="385">
      <c r="B385" s="49" t="n"/>
      <c r="C385" s="49" t="n"/>
      <c r="D385" s="49" t="n"/>
      <c r="E385" s="49" t="n"/>
      <c r="F385" s="49" t="n"/>
      <c r="G385" s="49" t="n"/>
      <c r="H385" s="50" t="n"/>
    </row>
    <row r="386">
      <c r="B386" s="49" t="n"/>
      <c r="C386" s="49" t="n"/>
      <c r="D386" s="49" t="n"/>
      <c r="E386" s="49" t="n"/>
      <c r="F386" s="49" t="n"/>
      <c r="G386" s="49" t="n"/>
      <c r="H386" s="50" t="n"/>
    </row>
    <row r="387">
      <c r="B387" s="49" t="n"/>
      <c r="C387" s="49" t="n"/>
      <c r="D387" s="49" t="n"/>
      <c r="E387" s="49" t="n"/>
      <c r="F387" s="49" t="n"/>
      <c r="G387" s="49" t="n"/>
      <c r="H387" s="50" t="n"/>
    </row>
    <row r="388">
      <c r="B388" s="49" t="n"/>
      <c r="C388" s="49" t="n"/>
      <c r="D388" s="49" t="n"/>
      <c r="E388" s="49" t="n"/>
      <c r="F388" s="49" t="n"/>
      <c r="G388" s="49" t="n"/>
      <c r="H388" s="50" t="n"/>
    </row>
    <row r="389">
      <c r="B389" s="49" t="n"/>
      <c r="C389" s="49" t="n"/>
      <c r="D389" s="49" t="n"/>
      <c r="E389" s="49" t="n"/>
      <c r="F389" s="49" t="n"/>
      <c r="G389" s="49" t="n"/>
      <c r="H389" s="50" t="n"/>
    </row>
    <row r="390">
      <c r="B390" s="49" t="n"/>
      <c r="C390" s="49" t="n"/>
      <c r="D390" s="49" t="n"/>
      <c r="E390" s="49" t="n"/>
      <c r="F390" s="49" t="n"/>
      <c r="G390" s="49" t="n"/>
      <c r="H390" s="50" t="n"/>
    </row>
    <row r="391">
      <c r="B391" s="49" t="n"/>
      <c r="C391" s="49" t="n"/>
      <c r="D391" s="49" t="n"/>
      <c r="E391" s="49" t="n"/>
      <c r="F391" s="49" t="n"/>
      <c r="G391" s="49" t="n"/>
      <c r="H391" s="50" t="n"/>
    </row>
    <row r="392">
      <c r="B392" s="49" t="n"/>
      <c r="C392" s="49" t="n"/>
      <c r="D392" s="49" t="n"/>
      <c r="E392" s="49" t="n"/>
      <c r="F392" s="49" t="n"/>
      <c r="G392" s="49" t="n"/>
      <c r="H392" s="50" t="n"/>
    </row>
    <row r="393">
      <c r="B393" s="49" t="n"/>
      <c r="C393" s="49" t="n"/>
      <c r="D393" s="49" t="n"/>
      <c r="E393" s="49" t="n"/>
      <c r="F393" s="49" t="n"/>
      <c r="G393" s="49" t="n"/>
      <c r="H393" s="50" t="n"/>
    </row>
    <row r="394">
      <c r="B394" s="49" t="n"/>
      <c r="C394" s="49" t="n"/>
      <c r="D394" s="49" t="n"/>
      <c r="E394" s="49" t="n"/>
      <c r="F394" s="49" t="n"/>
      <c r="G394" s="49" t="n"/>
      <c r="H394" s="50" t="n"/>
    </row>
    <row r="395">
      <c r="B395" s="49" t="n"/>
      <c r="C395" s="49" t="n"/>
      <c r="D395" s="49" t="n"/>
      <c r="E395" s="49" t="n"/>
      <c r="F395" s="49" t="n"/>
      <c r="G395" s="49" t="n"/>
      <c r="H395" s="50" t="n"/>
    </row>
    <row r="396">
      <c r="B396" s="49" t="n"/>
      <c r="C396" s="49" t="n"/>
      <c r="D396" s="49" t="n"/>
      <c r="E396" s="49" t="n"/>
      <c r="F396" s="49" t="n"/>
      <c r="G396" s="49" t="n"/>
      <c r="H396" s="50" t="n"/>
    </row>
    <row r="397">
      <c r="B397" s="49" t="n"/>
      <c r="C397" s="49" t="n"/>
      <c r="D397" s="49" t="n"/>
      <c r="E397" s="49" t="n"/>
      <c r="F397" s="49" t="n"/>
      <c r="G397" s="49" t="n"/>
      <c r="H397" s="50" t="n"/>
    </row>
    <row r="398">
      <c r="B398" s="49" t="n"/>
      <c r="C398" s="49" t="n"/>
      <c r="D398" s="49" t="n"/>
      <c r="E398" s="49" t="n"/>
      <c r="F398" s="49" t="n"/>
      <c r="G398" s="49" t="n"/>
      <c r="H398" s="50" t="n"/>
    </row>
    <row r="399">
      <c r="B399" s="49" t="n"/>
      <c r="C399" s="49" t="n"/>
      <c r="D399" s="49" t="n"/>
      <c r="E399" s="49" t="n"/>
      <c r="F399" s="49" t="n"/>
      <c r="G399" s="49" t="n"/>
      <c r="H399" s="50" t="n"/>
    </row>
    <row r="400">
      <c r="B400" s="49" t="n"/>
      <c r="C400" s="49" t="n"/>
      <c r="D400" s="49" t="n"/>
      <c r="E400" s="49" t="n"/>
      <c r="F400" s="49" t="n"/>
      <c r="G400" s="49" t="n"/>
      <c r="H400" s="50" t="n"/>
    </row>
    <row r="401">
      <c r="B401" s="49" t="n"/>
      <c r="C401" s="49" t="n"/>
      <c r="D401" s="49" t="n"/>
      <c r="E401" s="49" t="n"/>
      <c r="F401" s="49" t="n"/>
      <c r="G401" s="49" t="n"/>
      <c r="H401" s="50" t="n"/>
    </row>
    <row r="402">
      <c r="B402" s="49" t="n"/>
      <c r="C402" s="49" t="n"/>
      <c r="D402" s="49" t="n"/>
      <c r="E402" s="49" t="n"/>
      <c r="F402" s="49" t="n"/>
      <c r="G402" s="49" t="n"/>
      <c r="H402" s="50" t="n"/>
    </row>
    <row r="403">
      <c r="B403" s="49" t="n"/>
      <c r="C403" s="49" t="n"/>
      <c r="D403" s="49" t="n"/>
      <c r="E403" s="49" t="n"/>
      <c r="F403" s="49" t="n"/>
      <c r="G403" s="49" t="n"/>
      <c r="H403" s="50" t="n"/>
    </row>
    <row r="404">
      <c r="B404" s="49" t="n"/>
      <c r="C404" s="49" t="n"/>
      <c r="D404" s="49" t="n"/>
      <c r="E404" s="49" t="n"/>
      <c r="F404" s="49" t="n"/>
      <c r="G404" s="49" t="n"/>
      <c r="H404" s="50" t="n"/>
    </row>
    <row r="405">
      <c r="B405" s="49" t="n"/>
      <c r="C405" s="49" t="n"/>
      <c r="D405" s="49" t="n"/>
      <c r="E405" s="49" t="n"/>
      <c r="F405" s="49" t="n"/>
      <c r="G405" s="49" t="n"/>
      <c r="H405" s="50" t="n"/>
    </row>
    <row r="406">
      <c r="B406" s="49" t="n"/>
      <c r="C406" s="49" t="n"/>
      <c r="D406" s="49" t="n"/>
      <c r="E406" s="49" t="n"/>
      <c r="F406" s="49" t="n"/>
      <c r="G406" s="49" t="n"/>
      <c r="H406" s="50" t="n"/>
    </row>
    <row r="407">
      <c r="B407" s="49" t="n"/>
      <c r="C407" s="49" t="n"/>
      <c r="D407" s="49" t="n"/>
      <c r="E407" s="49" t="n"/>
      <c r="F407" s="49" t="n"/>
      <c r="G407" s="49" t="n"/>
      <c r="H407" s="50" t="n"/>
    </row>
    <row r="408">
      <c r="B408" s="49" t="n"/>
      <c r="C408" s="49" t="n"/>
      <c r="D408" s="49" t="n"/>
      <c r="E408" s="49" t="n"/>
      <c r="F408" s="49" t="n"/>
      <c r="G408" s="49" t="n"/>
      <c r="H408" s="50" t="n"/>
    </row>
    <row r="409">
      <c r="B409" s="49" t="n"/>
      <c r="C409" s="49" t="n"/>
      <c r="D409" s="49" t="n"/>
      <c r="E409" s="49" t="n"/>
      <c r="F409" s="49" t="n"/>
      <c r="G409" s="49" t="n"/>
      <c r="H409" s="50" t="n"/>
    </row>
    <row r="410">
      <c r="B410" s="49" t="n"/>
      <c r="C410" s="49" t="n"/>
      <c r="D410" s="49" t="n"/>
      <c r="E410" s="49" t="n"/>
      <c r="F410" s="49" t="n"/>
      <c r="G410" s="49" t="n"/>
      <c r="H410" s="50" t="n"/>
    </row>
    <row r="411">
      <c r="B411" s="49" t="n"/>
      <c r="C411" s="49" t="n"/>
      <c r="D411" s="49" t="n"/>
      <c r="E411" s="49" t="n"/>
      <c r="F411" s="49" t="n"/>
      <c r="G411" s="49" t="n"/>
      <c r="H411" s="50" t="n"/>
    </row>
    <row r="412">
      <c r="B412" s="49" t="n"/>
      <c r="C412" s="49" t="n"/>
      <c r="D412" s="49" t="n"/>
      <c r="E412" s="49" t="n"/>
      <c r="F412" s="49" t="n"/>
      <c r="G412" s="49" t="n"/>
      <c r="H412" s="50" t="n"/>
    </row>
    <row r="413">
      <c r="B413" s="49" t="n"/>
      <c r="C413" s="49" t="n"/>
      <c r="D413" s="49" t="n"/>
      <c r="E413" s="49" t="n"/>
      <c r="F413" s="49" t="n"/>
      <c r="G413" s="49" t="n"/>
      <c r="H413" s="50" t="n"/>
    </row>
    <row r="414">
      <c r="B414" s="49" t="n"/>
      <c r="C414" s="49" t="n"/>
      <c r="D414" s="49" t="n"/>
      <c r="E414" s="49" t="n"/>
      <c r="F414" s="49" t="n"/>
      <c r="G414" s="49" t="n"/>
      <c r="H414" s="50" t="n"/>
    </row>
    <row r="415">
      <c r="B415" s="49" t="n"/>
      <c r="C415" s="49" t="n"/>
      <c r="D415" s="49" t="n"/>
      <c r="E415" s="49" t="n"/>
      <c r="F415" s="49" t="n"/>
      <c r="G415" s="49" t="n"/>
      <c r="H415" s="50" t="n"/>
    </row>
    <row r="416">
      <c r="B416" s="49" t="n"/>
      <c r="C416" s="49" t="n"/>
      <c r="D416" s="49" t="n"/>
      <c r="E416" s="49" t="n"/>
      <c r="F416" s="49" t="n"/>
      <c r="G416" s="49" t="n"/>
      <c r="H416" s="50" t="n"/>
    </row>
    <row r="417">
      <c r="B417" s="49" t="n"/>
      <c r="C417" s="49" t="n"/>
      <c r="D417" s="49" t="n"/>
      <c r="E417" s="49" t="n"/>
      <c r="F417" s="49" t="n"/>
      <c r="G417" s="49" t="n"/>
      <c r="H417" s="50" t="n"/>
    </row>
    <row r="418">
      <c r="B418" s="49" t="n"/>
      <c r="C418" s="49" t="n"/>
      <c r="D418" s="49" t="n"/>
      <c r="E418" s="49" t="n"/>
      <c r="F418" s="49" t="n"/>
      <c r="G418" s="49" t="n"/>
      <c r="H418" s="50" t="n"/>
    </row>
    <row r="419">
      <c r="B419" s="49" t="n"/>
      <c r="C419" s="49" t="n"/>
      <c r="D419" s="49" t="n"/>
      <c r="E419" s="49" t="n"/>
      <c r="F419" s="49" t="n"/>
      <c r="G419" s="49" t="n"/>
      <c r="H419" s="50" t="n"/>
    </row>
    <row r="420">
      <c r="B420" s="49" t="n"/>
      <c r="C420" s="49" t="n"/>
      <c r="D420" s="49" t="n"/>
      <c r="E420" s="49" t="n"/>
      <c r="F420" s="49" t="n"/>
      <c r="G420" s="49" t="n"/>
      <c r="H420" s="50" t="n"/>
    </row>
    <row r="421">
      <c r="B421" s="49" t="n"/>
      <c r="C421" s="49" t="n"/>
      <c r="D421" s="49" t="n"/>
      <c r="E421" s="49" t="n"/>
      <c r="F421" s="49" t="n"/>
      <c r="G421" s="49" t="n"/>
      <c r="H421" s="50" t="n"/>
    </row>
    <row r="422">
      <c r="B422" s="49" t="n"/>
      <c r="C422" s="49" t="n"/>
      <c r="D422" s="49" t="n"/>
      <c r="E422" s="49" t="n"/>
      <c r="F422" s="49" t="n"/>
      <c r="G422" s="49" t="n"/>
      <c r="H422" s="50" t="n"/>
    </row>
    <row r="423">
      <c r="B423" s="49" t="n"/>
      <c r="C423" s="49" t="n"/>
      <c r="D423" s="49" t="n"/>
      <c r="E423" s="49" t="n"/>
      <c r="F423" s="49" t="n"/>
      <c r="G423" s="49" t="n"/>
      <c r="H423" s="50" t="n"/>
    </row>
    <row r="424">
      <c r="B424" s="49" t="n"/>
      <c r="C424" s="49" t="n"/>
      <c r="D424" s="49" t="n"/>
      <c r="E424" s="49" t="n"/>
      <c r="F424" s="49" t="n"/>
      <c r="G424" s="49" t="n"/>
      <c r="H424" s="50" t="n"/>
    </row>
    <row r="425">
      <c r="B425" s="49" t="n"/>
      <c r="C425" s="49" t="n"/>
      <c r="D425" s="49" t="n"/>
      <c r="E425" s="49" t="n"/>
      <c r="F425" s="49" t="n"/>
      <c r="G425" s="49" t="n"/>
      <c r="H425" s="50" t="n"/>
    </row>
    <row r="426">
      <c r="B426" s="49" t="n"/>
      <c r="C426" s="49" t="n"/>
      <c r="D426" s="49" t="n"/>
      <c r="E426" s="49" t="n"/>
      <c r="F426" s="49" t="n"/>
      <c r="G426" s="49" t="n"/>
      <c r="H426" s="50" t="n"/>
    </row>
    <row r="427">
      <c r="B427" s="49" t="n"/>
      <c r="C427" s="49" t="n"/>
      <c r="D427" s="49" t="n"/>
      <c r="E427" s="49" t="n"/>
      <c r="F427" s="49" t="n"/>
      <c r="G427" s="49" t="n"/>
      <c r="H427" s="50" t="n"/>
    </row>
    <row r="428">
      <c r="B428" s="49" t="n"/>
      <c r="C428" s="49" t="n"/>
      <c r="D428" s="49" t="n"/>
      <c r="E428" s="49" t="n"/>
      <c r="F428" s="49" t="n"/>
      <c r="G428" s="49" t="n"/>
      <c r="H428" s="50" t="n"/>
    </row>
    <row r="429">
      <c r="B429" s="49" t="n"/>
      <c r="C429" s="49" t="n"/>
      <c r="D429" s="49" t="n"/>
      <c r="E429" s="49" t="n"/>
      <c r="F429" s="49" t="n"/>
      <c r="G429" s="49" t="n"/>
      <c r="H429" s="50" t="n"/>
    </row>
    <row r="430">
      <c r="B430" s="49" t="n"/>
      <c r="C430" s="49" t="n"/>
      <c r="D430" s="49" t="n"/>
      <c r="E430" s="49" t="n"/>
      <c r="F430" s="49" t="n"/>
      <c r="G430" s="49" t="n"/>
      <c r="H430" s="50" t="n"/>
    </row>
    <row r="431">
      <c r="B431" s="49" t="n"/>
      <c r="C431" s="49" t="n"/>
      <c r="D431" s="49" t="n"/>
      <c r="E431" s="49" t="n"/>
      <c r="F431" s="49" t="n"/>
      <c r="G431" s="49" t="n"/>
      <c r="H431" s="50" t="n"/>
    </row>
    <row r="432">
      <c r="B432" s="49" t="n"/>
      <c r="C432" s="49" t="n"/>
      <c r="D432" s="49" t="n"/>
      <c r="E432" s="49" t="n"/>
      <c r="F432" s="49" t="n"/>
      <c r="G432" s="49" t="n"/>
      <c r="H432" s="50" t="n"/>
    </row>
    <row r="433">
      <c r="B433" s="49" t="n"/>
      <c r="C433" s="49" t="n"/>
      <c r="D433" s="49" t="n"/>
      <c r="E433" s="49" t="n"/>
      <c r="F433" s="49" t="n"/>
      <c r="G433" s="49" t="n"/>
      <c r="H433" s="50" t="n"/>
    </row>
    <row r="434">
      <c r="B434" s="49" t="n"/>
      <c r="C434" s="49" t="n"/>
      <c r="D434" s="49" t="n"/>
      <c r="E434" s="49" t="n"/>
      <c r="F434" s="49" t="n"/>
      <c r="G434" s="49" t="n"/>
      <c r="H434" s="50" t="n"/>
    </row>
    <row r="435">
      <c r="B435" s="49" t="n"/>
      <c r="C435" s="49" t="n"/>
      <c r="D435" s="49" t="n"/>
      <c r="E435" s="49" t="n"/>
      <c r="F435" s="49" t="n"/>
      <c r="G435" s="49" t="n"/>
      <c r="H435" s="50" t="n"/>
    </row>
    <row r="436">
      <c r="B436" s="49" t="n"/>
      <c r="C436" s="49" t="n"/>
      <c r="D436" s="49" t="n"/>
      <c r="E436" s="49" t="n"/>
      <c r="F436" s="49" t="n"/>
      <c r="G436" s="49" t="n"/>
      <c r="H436" s="50" t="n"/>
    </row>
    <row r="437">
      <c r="B437" s="49" t="n"/>
      <c r="C437" s="49" t="n"/>
      <c r="D437" s="49" t="n"/>
      <c r="E437" s="49" t="n"/>
      <c r="F437" s="49" t="n"/>
      <c r="G437" s="49" t="n"/>
      <c r="H437" s="50" t="n"/>
    </row>
    <row r="438">
      <c r="B438" s="49" t="n"/>
      <c r="C438" s="49" t="n"/>
      <c r="D438" s="49" t="n"/>
      <c r="E438" s="49" t="n"/>
      <c r="F438" s="49" t="n"/>
      <c r="G438" s="49" t="n"/>
      <c r="H438" s="50" t="n"/>
    </row>
    <row r="439">
      <c r="B439" s="49" t="n"/>
      <c r="C439" s="49" t="n"/>
      <c r="D439" s="49" t="n"/>
      <c r="E439" s="49" t="n"/>
      <c r="F439" s="49" t="n"/>
      <c r="G439" s="49" t="n"/>
      <c r="H439" s="50" t="n"/>
    </row>
    <row r="440">
      <c r="B440" s="49" t="n"/>
      <c r="C440" s="49" t="n"/>
      <c r="D440" s="49" t="n"/>
      <c r="E440" s="49" t="n"/>
      <c r="F440" s="49" t="n"/>
      <c r="G440" s="49" t="n"/>
      <c r="H440" s="50" t="n"/>
    </row>
    <row r="441">
      <c r="B441" s="49" t="n"/>
      <c r="C441" s="49" t="n"/>
      <c r="D441" s="49" t="n"/>
      <c r="E441" s="49" t="n"/>
      <c r="F441" s="49" t="n"/>
      <c r="G441" s="49" t="n"/>
      <c r="H441" s="50" t="n"/>
    </row>
    <row r="442">
      <c r="B442" s="49" t="n"/>
      <c r="C442" s="49" t="n"/>
      <c r="D442" s="49" t="n"/>
      <c r="E442" s="49" t="n"/>
      <c r="F442" s="49" t="n"/>
      <c r="G442" s="49" t="n"/>
      <c r="H442" s="50" t="n"/>
    </row>
    <row r="443">
      <c r="B443" s="49" t="n"/>
      <c r="C443" s="49" t="n"/>
      <c r="D443" s="49" t="n"/>
      <c r="E443" s="49" t="n"/>
      <c r="F443" s="49" t="n"/>
      <c r="G443" s="49" t="n"/>
      <c r="H443" s="50" t="n"/>
    </row>
    <row r="444">
      <c r="B444" s="49" t="n"/>
      <c r="C444" s="49" t="n"/>
      <c r="D444" s="49" t="n"/>
      <c r="E444" s="49" t="n"/>
      <c r="F444" s="49" t="n"/>
      <c r="G444" s="49" t="n"/>
      <c r="H444" s="50" t="n"/>
    </row>
    <row r="445">
      <c r="B445" s="49" t="n"/>
      <c r="C445" s="49" t="n"/>
      <c r="D445" s="49" t="n"/>
      <c r="E445" s="49" t="n"/>
      <c r="F445" s="49" t="n"/>
      <c r="G445" s="49" t="n"/>
      <c r="H445" s="50" t="n"/>
    </row>
    <row r="446">
      <c r="B446" s="49" t="n"/>
      <c r="C446" s="49" t="n"/>
      <c r="D446" s="49" t="n"/>
      <c r="E446" s="49" t="n"/>
      <c r="F446" s="49" t="n"/>
      <c r="G446" s="49" t="n"/>
      <c r="H446" s="50" t="n"/>
    </row>
    <row r="447">
      <c r="B447" s="49" t="n"/>
      <c r="C447" s="49" t="n"/>
      <c r="D447" s="49" t="n"/>
      <c r="E447" s="49" t="n"/>
      <c r="F447" s="49" t="n"/>
      <c r="G447" s="49" t="n"/>
      <c r="H447" s="50" t="n"/>
    </row>
    <row r="448">
      <c r="B448" s="49" t="n"/>
      <c r="C448" s="49" t="n"/>
      <c r="D448" s="49" t="n"/>
      <c r="E448" s="49" t="n"/>
      <c r="F448" s="49" t="n"/>
      <c r="G448" s="49" t="n"/>
      <c r="H448" s="50" t="n"/>
    </row>
    <row r="449">
      <c r="B449" s="49" t="n"/>
      <c r="C449" s="49" t="n"/>
      <c r="D449" s="49" t="n"/>
      <c r="E449" s="49" t="n"/>
      <c r="F449" s="49" t="n"/>
      <c r="G449" s="49" t="n"/>
      <c r="H449" s="50" t="n"/>
    </row>
    <row r="450">
      <c r="B450" s="49" t="n"/>
      <c r="C450" s="49" t="n"/>
      <c r="D450" s="49" t="n"/>
      <c r="E450" s="49" t="n"/>
      <c r="F450" s="49" t="n"/>
      <c r="G450" s="49" t="n"/>
      <c r="H450" s="50" t="n"/>
    </row>
    <row r="451">
      <c r="B451" s="49" t="n"/>
      <c r="C451" s="49" t="n"/>
      <c r="D451" s="49" t="n"/>
      <c r="E451" s="49" t="n"/>
      <c r="F451" s="49" t="n"/>
      <c r="G451" s="49" t="n"/>
      <c r="H451" s="50" t="n"/>
    </row>
    <row r="452">
      <c r="B452" s="49" t="n"/>
      <c r="C452" s="49" t="n"/>
      <c r="D452" s="49" t="n"/>
      <c r="E452" s="49" t="n"/>
      <c r="F452" s="49" t="n"/>
      <c r="G452" s="49" t="n"/>
      <c r="H452" s="50" t="n"/>
    </row>
    <row r="453">
      <c r="B453" s="49" t="n"/>
      <c r="C453" s="49" t="n"/>
      <c r="D453" s="49" t="n"/>
      <c r="E453" s="49" t="n"/>
      <c r="F453" s="49" t="n"/>
      <c r="G453" s="49" t="n"/>
      <c r="H453" s="50" t="n"/>
    </row>
    <row r="454">
      <c r="B454" s="49" t="n"/>
      <c r="C454" s="49" t="n"/>
      <c r="D454" s="49" t="n"/>
      <c r="E454" s="49" t="n"/>
      <c r="F454" s="49" t="n"/>
      <c r="G454" s="49" t="n"/>
      <c r="H454" s="50" t="n"/>
    </row>
    <row r="455">
      <c r="B455" s="49" t="n"/>
      <c r="C455" s="49" t="n"/>
      <c r="D455" s="49" t="n"/>
      <c r="E455" s="49" t="n"/>
      <c r="F455" s="49" t="n"/>
      <c r="G455" s="49" t="n"/>
      <c r="H455" s="50" t="n"/>
    </row>
    <row r="456">
      <c r="B456" s="49" t="n"/>
      <c r="C456" s="49" t="n"/>
      <c r="D456" s="49" t="n"/>
      <c r="E456" s="49" t="n"/>
      <c r="F456" s="49" t="n"/>
      <c r="G456" s="49" t="n"/>
      <c r="H456" s="50" t="n"/>
    </row>
    <row r="457">
      <c r="B457" s="49" t="n"/>
      <c r="C457" s="49" t="n"/>
      <c r="D457" s="49" t="n"/>
      <c r="E457" s="49" t="n"/>
      <c r="F457" s="49" t="n"/>
      <c r="G457" s="49" t="n"/>
      <c r="H457" s="50" t="n"/>
    </row>
    <row r="458">
      <c r="B458" s="49" t="n"/>
      <c r="C458" s="49" t="n"/>
      <c r="D458" s="49" t="n"/>
      <c r="E458" s="49" t="n"/>
      <c r="F458" s="49" t="n"/>
      <c r="G458" s="49" t="n"/>
      <c r="H458" s="50" t="n"/>
    </row>
    <row r="459">
      <c r="B459" s="49" t="n"/>
      <c r="C459" s="49" t="n"/>
      <c r="D459" s="49" t="n"/>
      <c r="E459" s="49" t="n"/>
      <c r="F459" s="49" t="n"/>
      <c r="G459" s="49" t="n"/>
      <c r="H459" s="50" t="n"/>
    </row>
    <row r="460">
      <c r="B460" s="49" t="n"/>
      <c r="C460" s="49" t="n"/>
      <c r="D460" s="49" t="n"/>
      <c r="E460" s="49" t="n"/>
      <c r="F460" s="49" t="n"/>
      <c r="G460" s="49" t="n"/>
      <c r="H460" s="50" t="n"/>
    </row>
    <row r="461">
      <c r="B461" s="49" t="n"/>
      <c r="C461" s="49" t="n"/>
      <c r="D461" s="49" t="n"/>
      <c r="E461" s="49" t="n"/>
      <c r="F461" s="49" t="n"/>
      <c r="G461" s="49" t="n"/>
      <c r="H461" s="50" t="n"/>
    </row>
    <row r="462">
      <c r="B462" s="49" t="n"/>
      <c r="C462" s="49" t="n"/>
      <c r="D462" s="49" t="n"/>
      <c r="E462" s="49" t="n"/>
      <c r="F462" s="49" t="n"/>
      <c r="G462" s="49" t="n"/>
      <c r="H462" s="50" t="n"/>
    </row>
    <row r="463">
      <c r="B463" s="49" t="n"/>
      <c r="C463" s="49" t="n"/>
      <c r="D463" s="49" t="n"/>
      <c r="E463" s="49" t="n"/>
      <c r="F463" s="49" t="n"/>
      <c r="G463" s="49" t="n"/>
      <c r="H463" s="50" t="n"/>
    </row>
    <row r="464">
      <c r="B464" s="49" t="n"/>
      <c r="C464" s="49" t="n"/>
      <c r="D464" s="49" t="n"/>
      <c r="E464" s="49" t="n"/>
      <c r="F464" s="49" t="n"/>
      <c r="G464" s="49" t="n"/>
      <c r="H464" s="50" t="n"/>
    </row>
    <row r="465">
      <c r="B465" s="49" t="n"/>
      <c r="C465" s="49" t="n"/>
      <c r="D465" s="49" t="n"/>
      <c r="E465" s="49" t="n"/>
      <c r="F465" s="49" t="n"/>
      <c r="G465" s="49" t="n"/>
      <c r="H465" s="50" t="n"/>
    </row>
    <row r="466">
      <c r="B466" s="49" t="n"/>
      <c r="C466" s="49" t="n"/>
      <c r="D466" s="49" t="n"/>
      <c r="E466" s="49" t="n"/>
      <c r="F466" s="49" t="n"/>
      <c r="G466" s="49" t="n"/>
      <c r="H466" s="50" t="n"/>
    </row>
    <row r="467">
      <c r="B467" s="49" t="n"/>
      <c r="C467" s="49" t="n"/>
      <c r="D467" s="49" t="n"/>
      <c r="E467" s="49" t="n"/>
      <c r="F467" s="49" t="n"/>
      <c r="G467" s="49" t="n"/>
      <c r="H467" s="50" t="n"/>
    </row>
    <row r="468">
      <c r="B468" s="49" t="n"/>
      <c r="C468" s="49" t="n"/>
      <c r="D468" s="49" t="n"/>
      <c r="E468" s="49" t="n"/>
      <c r="F468" s="49" t="n"/>
      <c r="G468" s="49" t="n"/>
      <c r="H468" s="50" t="n"/>
    </row>
    <row r="469">
      <c r="B469" s="49" t="n"/>
      <c r="C469" s="49" t="n"/>
      <c r="D469" s="49" t="n"/>
      <c r="E469" s="49" t="n"/>
      <c r="F469" s="49" t="n"/>
      <c r="G469" s="49" t="n"/>
      <c r="H469" s="50" t="n"/>
    </row>
    <row r="470">
      <c r="B470" s="49" t="n"/>
      <c r="C470" s="49" t="n"/>
      <c r="D470" s="49" t="n"/>
      <c r="E470" s="49" t="n"/>
      <c r="F470" s="49" t="n"/>
      <c r="G470" s="49" t="n"/>
      <c r="H470" s="50" t="n"/>
    </row>
    <row r="471">
      <c r="B471" s="49" t="n"/>
      <c r="C471" s="49" t="n"/>
      <c r="D471" s="49" t="n"/>
      <c r="E471" s="49" t="n"/>
      <c r="F471" s="49" t="n"/>
      <c r="G471" s="49" t="n"/>
      <c r="H471" s="50" t="n"/>
    </row>
    <row r="472">
      <c r="B472" s="49" t="n"/>
      <c r="C472" s="49" t="n"/>
      <c r="D472" s="49" t="n"/>
      <c r="E472" s="49" t="n"/>
      <c r="F472" s="49" t="n"/>
      <c r="G472" s="49" t="n"/>
      <c r="H472" s="50" t="n"/>
    </row>
    <row r="473">
      <c r="B473" s="49" t="n"/>
      <c r="C473" s="49" t="n"/>
      <c r="D473" s="49" t="n"/>
      <c r="E473" s="49" t="n"/>
      <c r="F473" s="49" t="n"/>
      <c r="G473" s="49" t="n"/>
      <c r="H473" s="50" t="n"/>
    </row>
    <row r="474">
      <c r="B474" s="49" t="n"/>
      <c r="C474" s="49" t="n"/>
      <c r="D474" s="49" t="n"/>
      <c r="E474" s="49" t="n"/>
      <c r="F474" s="49" t="n"/>
      <c r="G474" s="49" t="n"/>
      <c r="H474" s="50" t="n"/>
    </row>
    <row r="475">
      <c r="B475" s="49" t="n"/>
      <c r="C475" s="49" t="n"/>
      <c r="D475" s="49" t="n"/>
      <c r="E475" s="49" t="n"/>
      <c r="F475" s="49" t="n"/>
      <c r="G475" s="49" t="n"/>
      <c r="H475" s="50" t="n"/>
    </row>
    <row r="476">
      <c r="B476" s="49" t="n"/>
      <c r="C476" s="49" t="n"/>
      <c r="D476" s="49" t="n"/>
      <c r="E476" s="49" t="n"/>
      <c r="F476" s="49" t="n"/>
      <c r="G476" s="49" t="n"/>
      <c r="H476" s="50" t="n"/>
    </row>
    <row r="477">
      <c r="B477" s="49" t="n"/>
      <c r="C477" s="49" t="n"/>
      <c r="D477" s="49" t="n"/>
      <c r="E477" s="49" t="n"/>
      <c r="F477" s="49" t="n"/>
      <c r="G477" s="49" t="n"/>
      <c r="H477" s="50" t="n"/>
    </row>
    <row r="478">
      <c r="B478" s="49" t="n"/>
      <c r="C478" s="49" t="n"/>
      <c r="D478" s="49" t="n"/>
      <c r="E478" s="49" t="n"/>
      <c r="F478" s="49" t="n"/>
      <c r="G478" s="49" t="n"/>
      <c r="H478" s="50" t="n"/>
    </row>
    <row r="479">
      <c r="B479" s="49" t="n"/>
      <c r="C479" s="49" t="n"/>
      <c r="D479" s="49" t="n"/>
      <c r="E479" s="49" t="n"/>
      <c r="F479" s="49" t="n"/>
      <c r="G479" s="49" t="n"/>
      <c r="H479" s="50" t="n"/>
    </row>
    <row r="480">
      <c r="B480" s="49" t="n"/>
      <c r="C480" s="49" t="n"/>
      <c r="D480" s="49" t="n"/>
      <c r="E480" s="49" t="n"/>
      <c r="F480" s="49" t="n"/>
      <c r="G480" s="49" t="n"/>
      <c r="H480" s="50" t="n"/>
    </row>
    <row r="481">
      <c r="B481" s="49" t="n"/>
      <c r="C481" s="49" t="n"/>
      <c r="D481" s="49" t="n"/>
      <c r="E481" s="49" t="n"/>
      <c r="F481" s="49" t="n"/>
      <c r="G481" s="49" t="n"/>
      <c r="H481" s="50" t="n"/>
    </row>
    <row r="482">
      <c r="B482" s="49" t="n"/>
      <c r="C482" s="49" t="n"/>
      <c r="D482" s="49" t="n"/>
      <c r="E482" s="49" t="n"/>
      <c r="F482" s="49" t="n"/>
      <c r="G482" s="49" t="n"/>
      <c r="H482" s="50" t="n"/>
    </row>
    <row r="483">
      <c r="B483" s="49" t="n"/>
      <c r="C483" s="49" t="n"/>
      <c r="D483" s="49" t="n"/>
      <c r="E483" s="49" t="n"/>
      <c r="F483" s="49" t="n"/>
      <c r="G483" s="49" t="n"/>
      <c r="H483" s="50" t="n"/>
    </row>
    <row r="484">
      <c r="B484" s="49" t="n"/>
      <c r="C484" s="49" t="n"/>
      <c r="D484" s="49" t="n"/>
      <c r="E484" s="49" t="n"/>
      <c r="F484" s="49" t="n"/>
      <c r="G484" s="49" t="n"/>
      <c r="H484" s="50" t="n"/>
    </row>
    <row r="485">
      <c r="B485" s="49" t="n"/>
      <c r="C485" s="49" t="n"/>
      <c r="D485" s="49" t="n"/>
      <c r="E485" s="49" t="n"/>
      <c r="F485" s="49" t="n"/>
      <c r="G485" s="49" t="n"/>
      <c r="H485" s="50" t="n"/>
    </row>
    <row r="486">
      <c r="B486" s="49" t="n"/>
      <c r="C486" s="49" t="n"/>
      <c r="D486" s="49" t="n"/>
      <c r="E486" s="49" t="n"/>
      <c r="F486" s="49" t="n"/>
      <c r="G486" s="49" t="n"/>
      <c r="H486" s="50" t="n"/>
    </row>
    <row r="487">
      <c r="B487" s="49" t="n"/>
      <c r="C487" s="49" t="n"/>
      <c r="D487" s="49" t="n"/>
      <c r="E487" s="49" t="n"/>
      <c r="F487" s="49" t="n"/>
      <c r="G487" s="49" t="n"/>
      <c r="H487" s="50" t="n"/>
    </row>
    <row r="488">
      <c r="B488" s="49" t="n"/>
      <c r="C488" s="49" t="n"/>
      <c r="D488" s="49" t="n"/>
      <c r="E488" s="49" t="n"/>
      <c r="F488" s="49" t="n"/>
      <c r="G488" s="49" t="n"/>
      <c r="H488" s="50" t="n"/>
    </row>
    <row r="489">
      <c r="B489" s="49" t="n"/>
      <c r="C489" s="49" t="n"/>
      <c r="D489" s="49" t="n"/>
      <c r="E489" s="49" t="n"/>
      <c r="F489" s="49" t="n"/>
      <c r="G489" s="49" t="n"/>
      <c r="H489" s="50" t="n"/>
    </row>
    <row r="490">
      <c r="B490" s="49" t="n"/>
      <c r="C490" s="49" t="n"/>
      <c r="D490" s="49" t="n"/>
      <c r="E490" s="49" t="n"/>
      <c r="F490" s="49" t="n"/>
      <c r="G490" s="49" t="n"/>
      <c r="H490" s="50" t="n"/>
    </row>
    <row r="491">
      <c r="B491" s="49" t="n"/>
      <c r="C491" s="49" t="n"/>
      <c r="D491" s="49" t="n"/>
      <c r="E491" s="49" t="n"/>
      <c r="F491" s="49" t="n"/>
      <c r="G491" s="49" t="n"/>
      <c r="H491" s="50" t="n"/>
    </row>
    <row r="492">
      <c r="B492" s="49" t="n"/>
      <c r="C492" s="49" t="n"/>
      <c r="D492" s="49" t="n"/>
      <c r="E492" s="49" t="n"/>
      <c r="F492" s="49" t="n"/>
      <c r="G492" s="49" t="n"/>
      <c r="H492" s="50" t="n"/>
    </row>
    <row r="493">
      <c r="B493" s="49" t="n"/>
      <c r="C493" s="49" t="n"/>
      <c r="D493" s="49" t="n"/>
      <c r="E493" s="49" t="n"/>
      <c r="F493" s="49" t="n"/>
      <c r="G493" s="49" t="n"/>
      <c r="H493" s="50" t="n"/>
    </row>
    <row r="494">
      <c r="B494" s="49" t="n"/>
      <c r="C494" s="49" t="n"/>
      <c r="D494" s="49" t="n"/>
      <c r="E494" s="49" t="n"/>
      <c r="F494" s="49" t="n"/>
      <c r="G494" s="49" t="n"/>
      <c r="H494" s="50" t="n"/>
    </row>
    <row r="495">
      <c r="B495" s="49" t="n"/>
      <c r="C495" s="49" t="n"/>
      <c r="D495" s="49" t="n"/>
      <c r="E495" s="49" t="n"/>
      <c r="F495" s="49" t="n"/>
      <c r="G495" s="49" t="n"/>
      <c r="H495" s="50" t="n"/>
    </row>
    <row r="496">
      <c r="B496" s="49" t="n"/>
      <c r="C496" s="49" t="n"/>
      <c r="D496" s="49" t="n"/>
      <c r="E496" s="49" t="n"/>
      <c r="F496" s="49" t="n"/>
      <c r="G496" s="49" t="n"/>
      <c r="H496" s="50" t="n"/>
    </row>
    <row r="497">
      <c r="B497" s="49" t="n"/>
      <c r="C497" s="49" t="n"/>
      <c r="D497" s="49" t="n"/>
      <c r="E497" s="49" t="n"/>
      <c r="F497" s="49" t="n"/>
      <c r="G497" s="49" t="n"/>
      <c r="H497" s="50" t="n"/>
    </row>
    <row r="498">
      <c r="B498" s="49" t="n"/>
      <c r="C498" s="49" t="n"/>
      <c r="D498" s="49" t="n"/>
      <c r="E498" s="49" t="n"/>
      <c r="F498" s="49" t="n"/>
      <c r="G498" s="49" t="n"/>
      <c r="H498" s="50" t="n"/>
    </row>
    <row r="499">
      <c r="B499" s="49" t="n"/>
      <c r="C499" s="49" t="n"/>
      <c r="D499" s="49" t="n"/>
      <c r="E499" s="49" t="n"/>
      <c r="F499" s="49" t="n"/>
      <c r="G499" s="49" t="n"/>
      <c r="H499" s="50" t="n"/>
    </row>
    <row r="500">
      <c r="B500" s="49" t="n"/>
      <c r="C500" s="49" t="n"/>
      <c r="D500" s="49" t="n"/>
      <c r="E500" s="49" t="n"/>
      <c r="F500" s="49" t="n"/>
      <c r="G500" s="49" t="n"/>
      <c r="H500" s="50" t="n"/>
    </row>
    <row r="501">
      <c r="B501" s="49" t="n"/>
      <c r="C501" s="49" t="n"/>
      <c r="D501" s="49" t="n"/>
      <c r="E501" s="49" t="n"/>
      <c r="F501" s="49" t="n"/>
      <c r="G501" s="49" t="n"/>
      <c r="H501" s="50" t="n"/>
    </row>
    <row r="502">
      <c r="B502" s="49" t="n"/>
      <c r="C502" s="49" t="n"/>
      <c r="D502" s="49" t="n"/>
      <c r="E502" s="49" t="n"/>
      <c r="F502" s="49" t="n"/>
      <c r="G502" s="49" t="n"/>
      <c r="H502" s="50" t="n"/>
    </row>
    <row r="503">
      <c r="B503" s="49" t="n"/>
      <c r="C503" s="49" t="n"/>
      <c r="D503" s="49" t="n"/>
      <c r="E503" s="49" t="n"/>
      <c r="F503" s="49" t="n"/>
      <c r="G503" s="49" t="n"/>
      <c r="H503" s="50" t="n"/>
    </row>
    <row r="504">
      <c r="B504" s="49" t="n"/>
      <c r="C504" s="49" t="n"/>
      <c r="D504" s="49" t="n"/>
      <c r="E504" s="49" t="n"/>
      <c r="F504" s="49" t="n"/>
      <c r="G504" s="49" t="n"/>
      <c r="H504" s="50" t="n"/>
    </row>
    <row r="505">
      <c r="B505" s="49" t="n"/>
      <c r="C505" s="49" t="n"/>
      <c r="D505" s="49" t="n"/>
      <c r="E505" s="49" t="n"/>
      <c r="F505" s="49" t="n"/>
      <c r="G505" s="49" t="n"/>
      <c r="H505" s="50" t="n"/>
    </row>
    <row r="506">
      <c r="B506" s="49" t="n"/>
      <c r="C506" s="49" t="n"/>
      <c r="D506" s="49" t="n"/>
      <c r="E506" s="49" t="n"/>
      <c r="F506" s="49" t="n"/>
      <c r="G506" s="49" t="n"/>
      <c r="H506" s="50" t="n"/>
    </row>
    <row r="507">
      <c r="B507" s="49" t="n"/>
      <c r="C507" s="49" t="n"/>
      <c r="D507" s="49" t="n"/>
      <c r="E507" s="49" t="n"/>
      <c r="F507" s="49" t="n"/>
      <c r="G507" s="49" t="n"/>
      <c r="H507" s="50" t="n"/>
    </row>
    <row r="508">
      <c r="B508" s="49" t="n"/>
      <c r="C508" s="49" t="n"/>
      <c r="D508" s="49" t="n"/>
      <c r="E508" s="49" t="n"/>
      <c r="F508" s="49" t="n"/>
      <c r="G508" s="49" t="n"/>
      <c r="H508" s="50" t="n"/>
    </row>
    <row r="509">
      <c r="B509" s="49" t="n"/>
      <c r="C509" s="49" t="n"/>
      <c r="D509" s="49" t="n"/>
      <c r="E509" s="49" t="n"/>
      <c r="F509" s="49" t="n"/>
      <c r="G509" s="49" t="n"/>
      <c r="H509" s="50" t="n"/>
    </row>
    <row r="510">
      <c r="B510" s="49" t="n"/>
      <c r="C510" s="49" t="n"/>
      <c r="D510" s="49" t="n"/>
      <c r="E510" s="49" t="n"/>
      <c r="F510" s="49" t="n"/>
      <c r="G510" s="49" t="n"/>
      <c r="H510" s="50" t="n"/>
    </row>
    <row r="511">
      <c r="B511" s="49" t="n"/>
      <c r="C511" s="49" t="n"/>
      <c r="D511" s="49" t="n"/>
      <c r="E511" s="49" t="n"/>
      <c r="F511" s="49" t="n"/>
      <c r="G511" s="49" t="n"/>
      <c r="H511" s="50" t="n"/>
    </row>
    <row r="512">
      <c r="B512" s="49" t="n"/>
      <c r="C512" s="49" t="n"/>
      <c r="D512" s="49" t="n"/>
      <c r="E512" s="49" t="n"/>
      <c r="F512" s="49" t="n"/>
      <c r="G512" s="49" t="n"/>
      <c r="H512" s="50" t="n"/>
    </row>
    <row r="513">
      <c r="B513" s="49" t="n"/>
      <c r="C513" s="49" t="n"/>
      <c r="D513" s="49" t="n"/>
      <c r="E513" s="49" t="n"/>
      <c r="F513" s="49" t="n"/>
      <c r="G513" s="49" t="n"/>
      <c r="H513" s="50" t="n"/>
    </row>
    <row r="514">
      <c r="B514" s="49" t="n"/>
      <c r="C514" s="49" t="n"/>
      <c r="D514" s="49" t="n"/>
      <c r="E514" s="49" t="n"/>
      <c r="F514" s="49" t="n"/>
      <c r="G514" s="49" t="n"/>
      <c r="H514" s="50" t="n"/>
    </row>
    <row r="515">
      <c r="B515" s="49" t="n"/>
      <c r="C515" s="49" t="n"/>
      <c r="D515" s="49" t="n"/>
      <c r="E515" s="49" t="n"/>
      <c r="F515" s="49" t="n"/>
      <c r="G515" s="49" t="n"/>
      <c r="H515" s="50" t="n"/>
    </row>
    <row r="516">
      <c r="B516" s="49" t="n"/>
      <c r="C516" s="49" t="n"/>
      <c r="D516" s="49" t="n"/>
      <c r="E516" s="49" t="n"/>
      <c r="F516" s="49" t="n"/>
      <c r="G516" s="49" t="n"/>
      <c r="H516" s="50" t="n"/>
    </row>
    <row r="517">
      <c r="B517" s="49" t="n"/>
      <c r="C517" s="49" t="n"/>
      <c r="D517" s="49" t="n"/>
      <c r="E517" s="49" t="n"/>
      <c r="F517" s="49" t="n"/>
      <c r="G517" s="49" t="n"/>
      <c r="H517" s="50" t="n"/>
    </row>
  </sheetData>
  <mergeCells count="8">
    <mergeCell ref="B8:C8"/>
    <mergeCell ref="D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7:B517">
    <cfRule type="expression" priority="2" dxfId="6">
      <formula>AND(LEN($B17&amp;$C17&amp;$D17&amp;$E17&amp;$F17&amp;$G17&amp;$H17)&gt;0,B17="")</formula>
    </cfRule>
  </conditionalFormatting>
  <conditionalFormatting sqref="C17:C517">
    <cfRule type="expression" priority="3" dxfId="6">
      <formula>AND(LEN($B17&amp;$C17&amp;$D17&amp;$E17&amp;$F17&amp;$G17&amp;$H17)&gt;0,C17="")</formula>
    </cfRule>
  </conditionalFormatting>
  <conditionalFormatting sqref="D17:D517">
    <cfRule type="expression" priority="4" dxfId="6">
      <formula>AND(LEN($B17&amp;$C17&amp;$D17&amp;$E17&amp;$F17&amp;$G17&amp;$H17)&gt;0,D17="")</formula>
    </cfRule>
  </conditionalFormatting>
  <conditionalFormatting sqref="E17:E517">
    <cfRule type="expression" priority="5" dxfId="6">
      <formula>AND(LEN($B17&amp;$C17&amp;$D17&amp;$E17&amp;$F17&amp;$G17&amp;$H17)&gt;0,E17="")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Employee number" prompt="Yes. Employee number; unique"/>
    <dataValidation sqref="C17:C517" showDropDown="0" showInputMessage="1" showErrorMessage="0" allowBlank="1" promptTitle="Full name" prompt="Yes. Name of the employee"/>
    <dataValidation sqref="D17:D517" showDropDown="0" showInputMessage="1" showErrorMessage="1" allowBlank="1" errorTitle="Branch code" error="The code is not in D0-02, column Branch code. Enter it there first, or keep it if it is a code BIBS already holds." promptTitle="Branch code" prompt="Yes. Home branch Allowed: Code of an existing branch" type="list" errorStyle="warning">
      <formula1>=CODES_D0_02_BRANCH_CODE</formula1>
    </dataValidation>
    <dataValidation sqref="E17:E517" showDropDown="0" showInputMessage="1" showErrorMessage="1" allowBlank="1" errorTitle="Cost centre" error="The code is not in D0-04, column Code. Enter it there first, or keep it if it is a code BIBS already holds." promptTitle="Cost centre" prompt="Yes. Cost centre of the employee Allowed: Code of an existing cost centre" type="list" errorStyle="warning">
      <formula1>=CODES_D0_04_CODE</formula1>
    </dataValidation>
    <dataValidation sqref="F17:F517" showDropDown="0" showInputMessage="1" showErrorMessage="0" allowBlank="1" promptTitle="Position" prompt="No. Position title"/>
    <dataValidation sqref="G17:G517" showDropDown="0" showInputMessage="1" showErrorMessage="0" allowBlank="1" promptTitle="E-mail" prompt="No. For advices and statements"/>
    <dataValidation sqref="H17:H517" showDropDown="0" showInputMessage="1" showErrorMessage="1" allowBlank="1" errorTitle="Hired on" error="Enter a date, for example 15-Jan-2028." promptTitle="Hired on" prompt="No. Date of hire Allowed: A date, for example 15-Jan-2028" type="date" operator="greaterThan">
      <formula1>DATE(1900,1,1)</formula1>
    </dataValidation>
  </dataValidations>
  <hyperlinks>
    <hyperlink ref="A2" location="'Start here'!A1"/>
    <hyperlink ref="H2" location="'Questions and comments'!A1"/>
    <hyperlink ref="B8" location="'D0-02 Branches'!A1"/>
    <hyperlink ref="D8" location="'D0-04 Dimensions'!A1"/>
    <hyperlink ref="D14" location="'D0-02 Branches'!B17"/>
    <hyperlink ref="E14" location="'D0-04 Dimension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tabColor rgb="00004EA8"/>
    <outlinePr summaryBelow="0" summaryRight="1"/>
    <pageSetUpPr fitToPage="1"/>
  </sheetPr>
  <dimension ref="A1:Q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7" customWidth="1" min="3" max="3"/>
    <col width="28" customWidth="1" min="4" max="4"/>
    <col width="15" customWidth="1" min="5" max="5"/>
    <col width="12" customWidth="1" min="6" max="6"/>
    <col width="12" customWidth="1" min="7" max="7"/>
    <col width="13" customWidth="1" min="8" max="8"/>
    <col width="20" customWidth="1" min="9" max="9"/>
    <col width="20" customWidth="1" min="10" max="10"/>
    <col width="15" customWidth="1" min="11" max="11"/>
    <col width="19" customWidth="1" min="12" max="12"/>
    <col width="25" customWidth="1" min="13" max="13"/>
    <col width="25" customWidth="1" min="14" max="14"/>
    <col width="20" customWidth="1" min="15" max="15"/>
    <col width="14" customWidth="1" min="16" max="16"/>
    <col width="21" customWidth="1" min="17" max="17"/>
  </cols>
  <sheetData>
    <row r="1" ht="26" customHeight="1">
      <c r="A1" s="25" t="inlineStr">
        <is>
          <t>D0-06 Chart of accounts</t>
        </is>
      </c>
      <c r="Q1" s="26" t="inlineStr">
        <is>
          <t>Step 11 of 52</t>
        </is>
      </c>
    </row>
    <row r="2">
      <c r="A2" s="27" t="inlineStr">
        <is>
          <t>← Back to Start here</t>
        </is>
      </c>
      <c r="B2" s="28" t="inlineStr">
        <is>
          <t>Step 11 of 52. Fill in one row per record below the column headers; the guide above each column says what to enter.</t>
        </is>
      </c>
      <c r="Q2" s="29" t="inlineStr">
        <is>
          <t>Ask a question →</t>
        </is>
      </c>
    </row>
    <row r="3" outlineLevel="1" ht="15.5" customHeight="1">
      <c r="A3" s="30" t="inlineStr">
        <is>
          <t>Purpose</t>
        </is>
      </c>
      <c r="B3" s="31" t="inlineStr">
        <is>
          <t>The production chart of accounts, in the columns of the chart upload. List every parent before its children. Accounts are created pending authorization.</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Chart Upload (General Ledger): the file is checked row by row and every account is created pending authorisation by Comptrollership</t>
        </is>
      </c>
    </row>
    <row r="7" outlineLevel="1" ht="15.5" customHeight="1">
      <c r="A7" s="30" t="inlineStr">
        <is>
          <t>Source</t>
        </is>
      </c>
      <c r="B7" s="31" t="inlineStr">
        <is>
          <t>The BDOI chart of accounts in use, completed with the legacy control accounts (D0-09)</t>
        </is>
      </c>
    </row>
    <row r="8" outlineLevel="1" ht="26" customHeight="1">
      <c r="A8" s="30" t="inlineStr">
        <is>
          <t>Depends on</t>
        </is>
      </c>
      <c r="B8" s="53" t="inlineStr">
        <is>
          <t>D0-07 Account categories and numbering →</t>
        </is>
      </c>
    </row>
    <row r="9" ht="26" customHeight="1">
      <c r="A9" s="34" t="inlineStr">
        <is>
          <t>Progress</t>
        </is>
      </c>
      <c r="B9" s="35" t="inlineStr">
        <is>
          <t>Rows entered</t>
        </is>
      </c>
      <c r="C9" s="36">
        <f>SUMPRODUCT(((ROW($C$17:$C$517)&gt;17)+($C$17&lt;&gt;"1210.07")&gt;0)*(LEN($B$17:$B$517&amp;$C$17:$C$517&amp;$D$17:$D$517&amp;$E$17:$E$517&amp;$F$17:$F$517&amp;$G$17:$G$517&amp;$H$17:$H$517&amp;$I$17:$I$517&amp;$J$17:$J$517&amp;$K$17:$K$517&amp;$L$17:$L$517&amp;$M$17:$M$517&amp;$N$17:$N$517&amp;$O$17:$O$517&amp;$P$17:$P$517&amp;$Q$17:$Q$517)&gt;0))</f>
        <v/>
      </c>
      <c r="D9" s="35" t="inlineStr">
        <is>
          <t>Mandatory cells missing</t>
        </is>
      </c>
      <c r="E9" s="36">
        <f>SUMPRODUCT(((ROW($C$17:$C$517)&gt;17)+($C$17&lt;&gt;"1210.07")&gt;0)*(LEN($B$17:$B$517&amp;$C$17:$C$517&amp;$D$17:$D$517&amp;$E$17:$E$517&amp;$F$17:$F$517&amp;$G$17:$G$517&amp;$H$17:$H$517&amp;$I$17:$I$517&amp;$J$17:$J$517&amp;$K$17:$K$517&amp;$L$17:$L$517&amp;$M$17:$M$517&amp;$N$17:$N$517&amp;$O$17:$O$517&amp;$P$17:$P$517&amp;$Q$17:$Q$517)&gt;0)*(($D$17:$D$517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row>
    <row r="12" ht="17" customHeight="1">
      <c r="A12" s="41" t="inlineStr">
        <is>
          <t>Mandatory</t>
        </is>
      </c>
      <c r="B12" s="43" t="inlineStr">
        <is>
          <t>No</t>
        </is>
      </c>
      <c r="C12" s="43" t="inlineStr">
        <is>
          <t>No</t>
        </is>
      </c>
      <c r="D12" s="42" t="inlineStr">
        <is>
          <t>Yes</t>
        </is>
      </c>
      <c r="E12" s="43" t="inlineStr">
        <is>
          <t>No</t>
        </is>
      </c>
      <c r="F12" s="42" t="inlineStr">
        <is>
          <t>Yes</t>
        </is>
      </c>
      <c r="G12" s="42" t="inlineStr">
        <is>
          <t>Yes</t>
        </is>
      </c>
      <c r="H12" s="43" t="inlineStr">
        <is>
          <t>No</t>
        </is>
      </c>
      <c r="I12" s="43" t="inlineStr">
        <is>
          <t>No</t>
        </is>
      </c>
      <c r="J12" s="43" t="inlineStr">
        <is>
          <t>No</t>
        </is>
      </c>
      <c r="K12" s="43" t="inlineStr">
        <is>
          <t>No</t>
        </is>
      </c>
      <c r="L12" s="43" t="inlineStr">
        <is>
          <t>No</t>
        </is>
      </c>
      <c r="M12" s="43" t="inlineStr">
        <is>
          <t>No</t>
        </is>
      </c>
      <c r="N12" s="43" t="inlineStr">
        <is>
          <t>No</t>
        </is>
      </c>
      <c r="O12" s="43" t="inlineStr">
        <is>
          <t>No</t>
        </is>
      </c>
      <c r="P12" s="43" t="inlineStr">
        <is>
          <t>No</t>
        </is>
      </c>
      <c r="Q12" s="43" t="inlineStr">
        <is>
          <t>No</t>
        </is>
      </c>
    </row>
    <row r="13" ht="17" customHeight="1">
      <c r="A13" s="41" t="inlineStr">
        <is>
          <t>Format</t>
        </is>
      </c>
      <c r="B13" s="43" t="inlineStr">
        <is>
          <t>Text</t>
        </is>
      </c>
      <c r="C13" s="43" t="inlineStr">
        <is>
          <t>Text</t>
        </is>
      </c>
      <c r="D13" s="43" t="inlineStr">
        <is>
          <t>Text</t>
        </is>
      </c>
      <c r="E13" s="43" t="inlineStr">
        <is>
          <t>Text</t>
        </is>
      </c>
      <c r="F13" s="43" t="inlineStr">
        <is>
          <t>Text</t>
        </is>
      </c>
      <c r="G13" s="43" t="inlineStr">
        <is>
          <t>Text</t>
        </is>
      </c>
      <c r="H13" s="43" t="inlineStr">
        <is>
          <t>Text</t>
        </is>
      </c>
      <c r="I13" s="43" t="inlineStr">
        <is>
          <t>Y or N</t>
        </is>
      </c>
      <c r="J13" s="43" t="inlineStr">
        <is>
          <t>Text</t>
        </is>
      </c>
      <c r="K13" s="43" t="inlineStr">
        <is>
          <t>Text</t>
        </is>
      </c>
      <c r="L13" s="43" t="inlineStr">
        <is>
          <t>Y or N</t>
        </is>
      </c>
      <c r="M13" s="43" t="inlineStr">
        <is>
          <t>Y or N</t>
        </is>
      </c>
      <c r="N13" s="43" t="inlineStr">
        <is>
          <t>Y or N</t>
        </is>
      </c>
      <c r="O13" s="43" t="inlineStr">
        <is>
          <t>Text</t>
        </is>
      </c>
      <c r="P13" s="43" t="inlineStr">
        <is>
          <t>yyyy-MM-dd</t>
        </is>
      </c>
      <c r="Q13" s="43" t="inlineStr">
        <is>
          <t>Text</t>
        </is>
      </c>
    </row>
    <row r="14" ht="95" customHeight="1">
      <c r="A14" s="41" t="inlineStr">
        <is>
          <t>Allowed values</t>
        </is>
      </c>
      <c r="B14" s="51" t="inlineStr">
        <is>
          <t>A code of D0-06 Chart of accounts, column Account Code</t>
        </is>
      </c>
      <c r="C14" s="43" t="inlineStr">
        <is>
          <t>Free entry</t>
        </is>
      </c>
      <c r="D14" s="43" t="inlineStr">
        <is>
          <t>Free entry</t>
        </is>
      </c>
      <c r="E14" s="43" t="inlineStr">
        <is>
          <t>Free entry</t>
        </is>
      </c>
      <c r="F14" s="51" t="inlineStr">
        <is>
          <t>ASSET, LIABILITY, EQUITY, INCOME, EXPENSE, MEMORANDUM (list Account class of the chart)</t>
        </is>
      </c>
      <c r="G14" s="51" t="inlineStr">
        <is>
          <t>GROUP, MAIN, SUB, MICRO (list Account level)</t>
        </is>
      </c>
      <c r="H14" s="51" t="inlineStr">
        <is>
          <t>A code of D0-07 Account categories and numbering, column Category code</t>
        </is>
      </c>
      <c r="I14" s="43" t="inlineStr">
        <is>
          <t>Y or N</t>
        </is>
      </c>
      <c r="J14" s="43" t="inlineStr">
        <is>
          <t>Free entry</t>
        </is>
      </c>
      <c r="K14" s="43" t="inlineStr">
        <is>
          <t>Free entry</t>
        </is>
      </c>
      <c r="L14" s="43" t="inlineStr">
        <is>
          <t>Y or N</t>
        </is>
      </c>
      <c r="M14" s="43" t="inlineStr">
        <is>
          <t>Y or N</t>
        </is>
      </c>
      <c r="N14" s="43" t="inlineStr">
        <is>
          <t>Y or N</t>
        </is>
      </c>
      <c r="O14" s="43" t="inlineStr">
        <is>
          <t>Free entry</t>
        </is>
      </c>
      <c r="P14" s="43" t="inlineStr">
        <is>
          <t>Free entry</t>
        </is>
      </c>
      <c r="Q14" s="51" t="inlineStr">
        <is>
          <t>ALLOW, WARN, BLOCK (list Negative balance)</t>
        </is>
      </c>
    </row>
    <row r="15" ht="56" customHeight="1">
      <c r="A15" s="41" t="inlineStr">
        <is>
          <t>What to enter</t>
        </is>
      </c>
      <c r="B15" s="43" t="inlineStr">
        <is>
          <t>Code of the parent account; blank for a top-level group</t>
        </is>
      </c>
      <c r="C15" s="43" t="inlineStr">
        <is>
          <t>Account code; blank for the next number of the parent's scheme</t>
        </is>
      </c>
      <c r="D15" s="43" t="inlineStr">
        <is>
          <t>Account name</t>
        </is>
      </c>
      <c r="E15" s="43" t="inlineStr">
        <is>
          <t>Unique short code used on journal lines</t>
        </is>
      </c>
      <c r="F15" s="43" t="inlineStr">
        <is>
          <t>Class of the account</t>
        </is>
      </c>
      <c r="G15" s="43" t="inlineStr">
        <is>
          <t>Level of the account, one tier below the parent</t>
        </is>
      </c>
      <c r="H15" s="43" t="inlineStr">
        <is>
          <t>GL category</t>
        </is>
      </c>
      <c r="I15" s="43" t="inlineStr">
        <is>
          <t>Control account</t>
        </is>
      </c>
      <c r="J15" s="43" t="inlineStr">
        <is>
          <t>Sub-ledger the account controls; blank for none</t>
        </is>
      </c>
      <c r="K15" s="43" t="inlineStr">
        <is>
          <t>Currencies allowed on the account; blank for all</t>
        </is>
      </c>
      <c r="L15" s="43" t="inlineStr">
        <is>
          <t>Manual journals allowed; blank for Y</t>
        </is>
      </c>
      <c r="M15" s="43" t="inlineStr">
        <is>
          <t>Cost centre mandatory on journal lines</t>
        </is>
      </c>
      <c r="N15" s="43" t="inlineStr">
        <is>
          <t>Revalued at month end</t>
        </is>
      </c>
      <c r="O15" s="43" t="inlineStr">
        <is>
          <t>Financial statement line</t>
        </is>
      </c>
      <c r="P15" s="43" t="inlineStr">
        <is>
          <t>Opening date; blank for today</t>
        </is>
      </c>
      <c r="Q15" s="43" t="inlineStr">
        <is>
          <t>What a negative balance does; blank for ALLOW</t>
        </is>
      </c>
    </row>
    <row r="16" ht="30" customHeight="1">
      <c r="A16" s="44" t="inlineStr">
        <is>
          <t>Row</t>
        </is>
      </c>
      <c r="B16" s="45" t="inlineStr">
        <is>
          <t>Parent Code</t>
        </is>
      </c>
      <c r="C16" s="45" t="inlineStr">
        <is>
          <t>Account Code</t>
        </is>
      </c>
      <c r="D16" s="45" t="inlineStr">
        <is>
          <t>Account Name *</t>
        </is>
      </c>
      <c r="E16" s="45" t="inlineStr">
        <is>
          <t>Short Code</t>
        </is>
      </c>
      <c r="F16" s="45" t="inlineStr">
        <is>
          <t>Class *</t>
        </is>
      </c>
      <c r="G16" s="45" t="inlineStr">
        <is>
          <t>Level *</t>
        </is>
      </c>
      <c r="H16" s="45" t="inlineStr">
        <is>
          <t>Category</t>
        </is>
      </c>
      <c r="I16" s="45" t="inlineStr">
        <is>
          <t>Control Account</t>
        </is>
      </c>
      <c r="J16" s="45" t="inlineStr">
        <is>
          <t>Sub-ledger Type</t>
        </is>
      </c>
      <c r="K16" s="45" t="inlineStr">
        <is>
          <t>Currencies</t>
        </is>
      </c>
      <c r="L16" s="45" t="inlineStr">
        <is>
          <t>Manual Posting</t>
        </is>
      </c>
      <c r="M16" s="45" t="inlineStr">
        <is>
          <t>Cost Centre Required</t>
        </is>
      </c>
      <c r="N16" s="45" t="inlineStr">
        <is>
          <t>Revaluation Required</t>
        </is>
      </c>
      <c r="O16" s="45" t="inlineStr">
        <is>
          <t>Report Group</t>
        </is>
      </c>
      <c r="P16" s="45" t="inlineStr">
        <is>
          <t>Opened On</t>
        </is>
      </c>
      <c r="Q16" s="45" t="inlineStr">
        <is>
          <t>Negative Balance</t>
        </is>
      </c>
    </row>
    <row r="17" ht="18" customHeight="1">
      <c r="A17" s="46" t="inlineStr">
        <is>
          <t>Example – overwrite or delete</t>
        </is>
      </c>
      <c r="B17" s="47" t="n"/>
      <c r="C17" s="47" t="inlineStr">
        <is>
          <t>1210.07</t>
        </is>
      </c>
      <c r="D17" s="47" t="inlineStr">
        <is>
          <t>Premium Receivable - Motor</t>
        </is>
      </c>
      <c r="E17" s="47" t="inlineStr">
        <is>
          <t>PRMOTOR</t>
        </is>
      </c>
      <c r="F17" s="47" t="inlineStr">
        <is>
          <t>ASSET</t>
        </is>
      </c>
      <c r="G17" s="47" t="inlineStr">
        <is>
          <t>SUB</t>
        </is>
      </c>
      <c r="H17" s="47" t="n"/>
      <c r="I17" s="47" t="inlineStr">
        <is>
          <t>N</t>
        </is>
      </c>
      <c r="J17" s="47" t="inlineStr">
        <is>
          <t>POLICYHOLDER</t>
        </is>
      </c>
      <c r="K17" s="47" t="inlineStr">
        <is>
          <t>PHP</t>
        </is>
      </c>
      <c r="L17" s="47" t="inlineStr">
        <is>
          <t>Y</t>
        </is>
      </c>
      <c r="M17" s="47" t="inlineStr">
        <is>
          <t>N</t>
        </is>
      </c>
      <c r="N17" s="47" t="inlineStr">
        <is>
          <t>N</t>
        </is>
      </c>
      <c r="O17" s="47" t="inlineStr">
        <is>
          <t>Premium Receivable</t>
        </is>
      </c>
      <c r="P17" s="47" t="inlineStr">
        <is>
          <t>2026-01-01</t>
        </is>
      </c>
      <c r="Q17" s="47" t="inlineStr">
        <is>
          <t>WARN</t>
        </is>
      </c>
    </row>
    <row r="18">
      <c r="B18" s="49" t="n"/>
      <c r="C18" s="49" t="n"/>
      <c r="D18" s="49" t="n"/>
      <c r="E18" s="49" t="n"/>
      <c r="F18" s="49" t="n"/>
      <c r="G18" s="49" t="n"/>
      <c r="H18" s="49" t="n"/>
      <c r="I18" s="49" t="n"/>
      <c r="J18" s="49" t="n"/>
      <c r="K18" s="49" t="n"/>
      <c r="L18" s="49" t="n"/>
      <c r="M18" s="49" t="n"/>
      <c r="N18" s="49" t="n"/>
      <c r="O18" s="49" t="n"/>
      <c r="P18" s="49" t="n"/>
      <c r="Q18" s="49" t="n"/>
    </row>
    <row r="19">
      <c r="B19" s="49" t="n"/>
      <c r="C19" s="49" t="n"/>
      <c r="D19" s="49" t="n"/>
      <c r="E19" s="49" t="n"/>
      <c r="F19" s="49" t="n"/>
      <c r="G19" s="49" t="n"/>
      <c r="H19" s="49" t="n"/>
      <c r="I19" s="49" t="n"/>
      <c r="J19" s="49" t="n"/>
      <c r="K19" s="49" t="n"/>
      <c r="L19" s="49" t="n"/>
      <c r="M19" s="49" t="n"/>
      <c r="N19" s="49" t="n"/>
      <c r="O19" s="49" t="n"/>
      <c r="P19" s="49" t="n"/>
      <c r="Q19" s="49" t="n"/>
    </row>
    <row r="20">
      <c r="B20" s="49" t="n"/>
      <c r="C20" s="49" t="n"/>
      <c r="D20" s="49" t="n"/>
      <c r="E20" s="49" t="n"/>
      <c r="F20" s="49" t="n"/>
      <c r="G20" s="49" t="n"/>
      <c r="H20" s="49" t="n"/>
      <c r="I20" s="49" t="n"/>
      <c r="J20" s="49" t="n"/>
      <c r="K20" s="49" t="n"/>
      <c r="L20" s="49" t="n"/>
      <c r="M20" s="49" t="n"/>
      <c r="N20" s="49" t="n"/>
      <c r="O20" s="49" t="n"/>
      <c r="P20" s="49" t="n"/>
      <c r="Q20" s="49" t="n"/>
    </row>
    <row r="21">
      <c r="B21" s="49" t="n"/>
      <c r="C21" s="49" t="n"/>
      <c r="D21" s="49" t="n"/>
      <c r="E21" s="49" t="n"/>
      <c r="F21" s="49" t="n"/>
      <c r="G21" s="49" t="n"/>
      <c r="H21" s="49" t="n"/>
      <c r="I21" s="49" t="n"/>
      <c r="J21" s="49" t="n"/>
      <c r="K21" s="49" t="n"/>
      <c r="L21" s="49" t="n"/>
      <c r="M21" s="49" t="n"/>
      <c r="N21" s="49" t="n"/>
      <c r="O21" s="49" t="n"/>
      <c r="P21" s="49" t="n"/>
      <c r="Q21" s="49" t="n"/>
    </row>
    <row r="22">
      <c r="B22" s="49" t="n"/>
      <c r="C22" s="49" t="n"/>
      <c r="D22" s="49" t="n"/>
      <c r="E22" s="49" t="n"/>
      <c r="F22" s="49" t="n"/>
      <c r="G22" s="49" t="n"/>
      <c r="H22" s="49" t="n"/>
      <c r="I22" s="49" t="n"/>
      <c r="J22" s="49" t="n"/>
      <c r="K22" s="49" t="n"/>
      <c r="L22" s="49" t="n"/>
      <c r="M22" s="49" t="n"/>
      <c r="N22" s="49" t="n"/>
      <c r="O22" s="49" t="n"/>
      <c r="P22" s="49" t="n"/>
      <c r="Q22" s="49" t="n"/>
    </row>
    <row r="23">
      <c r="B23" s="49" t="n"/>
      <c r="C23" s="49" t="n"/>
      <c r="D23" s="49" t="n"/>
      <c r="E23" s="49" t="n"/>
      <c r="F23" s="49" t="n"/>
      <c r="G23" s="49" t="n"/>
      <c r="H23" s="49" t="n"/>
      <c r="I23" s="49" t="n"/>
      <c r="J23" s="49" t="n"/>
      <c r="K23" s="49" t="n"/>
      <c r="L23" s="49" t="n"/>
      <c r="M23" s="49" t="n"/>
      <c r="N23" s="49" t="n"/>
      <c r="O23" s="49" t="n"/>
      <c r="P23" s="49" t="n"/>
      <c r="Q23" s="49" t="n"/>
    </row>
    <row r="24">
      <c r="B24" s="49" t="n"/>
      <c r="C24" s="49" t="n"/>
      <c r="D24" s="49" t="n"/>
      <c r="E24" s="49" t="n"/>
      <c r="F24" s="49" t="n"/>
      <c r="G24" s="49" t="n"/>
      <c r="H24" s="49" t="n"/>
      <c r="I24" s="49" t="n"/>
      <c r="J24" s="49" t="n"/>
      <c r="K24" s="49" t="n"/>
      <c r="L24" s="49" t="n"/>
      <c r="M24" s="49" t="n"/>
      <c r="N24" s="49" t="n"/>
      <c r="O24" s="49" t="n"/>
      <c r="P24" s="49" t="n"/>
      <c r="Q24" s="49" t="n"/>
    </row>
    <row r="25">
      <c r="B25" s="49" t="n"/>
      <c r="C25" s="49" t="n"/>
      <c r="D25" s="49" t="n"/>
      <c r="E25" s="49" t="n"/>
      <c r="F25" s="49" t="n"/>
      <c r="G25" s="49" t="n"/>
      <c r="H25" s="49" t="n"/>
      <c r="I25" s="49" t="n"/>
      <c r="J25" s="49" t="n"/>
      <c r="K25" s="49" t="n"/>
      <c r="L25" s="49" t="n"/>
      <c r="M25" s="49" t="n"/>
      <c r="N25" s="49" t="n"/>
      <c r="O25" s="49" t="n"/>
      <c r="P25" s="49" t="n"/>
      <c r="Q25" s="49" t="n"/>
    </row>
    <row r="26">
      <c r="B26" s="49" t="n"/>
      <c r="C26" s="49" t="n"/>
      <c r="D26" s="49" t="n"/>
      <c r="E26" s="49" t="n"/>
      <c r="F26" s="49" t="n"/>
      <c r="G26" s="49" t="n"/>
      <c r="H26" s="49" t="n"/>
      <c r="I26" s="49" t="n"/>
      <c r="J26" s="49" t="n"/>
      <c r="K26" s="49" t="n"/>
      <c r="L26" s="49" t="n"/>
      <c r="M26" s="49" t="n"/>
      <c r="N26" s="49" t="n"/>
      <c r="O26" s="49" t="n"/>
      <c r="P26" s="49" t="n"/>
      <c r="Q26" s="49" t="n"/>
    </row>
    <row r="27">
      <c r="B27" s="49" t="n"/>
      <c r="C27" s="49" t="n"/>
      <c r="D27" s="49" t="n"/>
      <c r="E27" s="49" t="n"/>
      <c r="F27" s="49" t="n"/>
      <c r="G27" s="49" t="n"/>
      <c r="H27" s="49" t="n"/>
      <c r="I27" s="49" t="n"/>
      <c r="J27" s="49" t="n"/>
      <c r="K27" s="49" t="n"/>
      <c r="L27" s="49" t="n"/>
      <c r="M27" s="49" t="n"/>
      <c r="N27" s="49" t="n"/>
      <c r="O27" s="49" t="n"/>
      <c r="P27" s="49" t="n"/>
      <c r="Q27" s="49" t="n"/>
    </row>
    <row r="28">
      <c r="B28" s="49" t="n"/>
      <c r="C28" s="49" t="n"/>
      <c r="D28" s="49" t="n"/>
      <c r="E28" s="49" t="n"/>
      <c r="F28" s="49" t="n"/>
      <c r="G28" s="49" t="n"/>
      <c r="H28" s="49" t="n"/>
      <c r="I28" s="49" t="n"/>
      <c r="J28" s="49" t="n"/>
      <c r="K28" s="49" t="n"/>
      <c r="L28" s="49" t="n"/>
      <c r="M28" s="49" t="n"/>
      <c r="N28" s="49" t="n"/>
      <c r="O28" s="49" t="n"/>
      <c r="P28" s="49" t="n"/>
      <c r="Q28" s="49" t="n"/>
    </row>
    <row r="29">
      <c r="B29" s="49" t="n"/>
      <c r="C29" s="49" t="n"/>
      <c r="D29" s="49" t="n"/>
      <c r="E29" s="49" t="n"/>
      <c r="F29" s="49" t="n"/>
      <c r="G29" s="49" t="n"/>
      <c r="H29" s="49" t="n"/>
      <c r="I29" s="49" t="n"/>
      <c r="J29" s="49" t="n"/>
      <c r="K29" s="49" t="n"/>
      <c r="L29" s="49" t="n"/>
      <c r="M29" s="49" t="n"/>
      <c r="N29" s="49" t="n"/>
      <c r="O29" s="49" t="n"/>
      <c r="P29" s="49" t="n"/>
      <c r="Q29" s="49" t="n"/>
    </row>
    <row r="30">
      <c r="B30" s="49" t="n"/>
      <c r="C30" s="49" t="n"/>
      <c r="D30" s="49" t="n"/>
      <c r="E30" s="49" t="n"/>
      <c r="F30" s="49" t="n"/>
      <c r="G30" s="49" t="n"/>
      <c r="H30" s="49" t="n"/>
      <c r="I30" s="49" t="n"/>
      <c r="J30" s="49" t="n"/>
      <c r="K30" s="49" t="n"/>
      <c r="L30" s="49" t="n"/>
      <c r="M30" s="49" t="n"/>
      <c r="N30" s="49" t="n"/>
      <c r="O30" s="49" t="n"/>
      <c r="P30" s="49" t="n"/>
      <c r="Q30" s="49" t="n"/>
    </row>
    <row r="31">
      <c r="B31" s="49" t="n"/>
      <c r="C31" s="49" t="n"/>
      <c r="D31" s="49" t="n"/>
      <c r="E31" s="49" t="n"/>
      <c r="F31" s="49" t="n"/>
      <c r="G31" s="49" t="n"/>
      <c r="H31" s="49" t="n"/>
      <c r="I31" s="49" t="n"/>
      <c r="J31" s="49" t="n"/>
      <c r="K31" s="49" t="n"/>
      <c r="L31" s="49" t="n"/>
      <c r="M31" s="49" t="n"/>
      <c r="N31" s="49" t="n"/>
      <c r="O31" s="49" t="n"/>
      <c r="P31" s="49" t="n"/>
      <c r="Q31" s="49" t="n"/>
    </row>
    <row r="32">
      <c r="B32" s="49" t="n"/>
      <c r="C32" s="49" t="n"/>
      <c r="D32" s="49" t="n"/>
      <c r="E32" s="49" t="n"/>
      <c r="F32" s="49" t="n"/>
      <c r="G32" s="49" t="n"/>
      <c r="H32" s="49" t="n"/>
      <c r="I32" s="49" t="n"/>
      <c r="J32" s="49" t="n"/>
      <c r="K32" s="49" t="n"/>
      <c r="L32" s="49" t="n"/>
      <c r="M32" s="49" t="n"/>
      <c r="N32" s="49" t="n"/>
      <c r="O32" s="49" t="n"/>
      <c r="P32" s="49" t="n"/>
      <c r="Q32" s="49" t="n"/>
    </row>
    <row r="33">
      <c r="B33" s="49" t="n"/>
      <c r="C33" s="49" t="n"/>
      <c r="D33" s="49" t="n"/>
      <c r="E33" s="49" t="n"/>
      <c r="F33" s="49" t="n"/>
      <c r="G33" s="49" t="n"/>
      <c r="H33" s="49" t="n"/>
      <c r="I33" s="49" t="n"/>
      <c r="J33" s="49" t="n"/>
      <c r="K33" s="49" t="n"/>
      <c r="L33" s="49" t="n"/>
      <c r="M33" s="49" t="n"/>
      <c r="N33" s="49" t="n"/>
      <c r="O33" s="49" t="n"/>
      <c r="P33" s="49" t="n"/>
      <c r="Q33" s="49" t="n"/>
    </row>
    <row r="34">
      <c r="B34" s="49" t="n"/>
      <c r="C34" s="49" t="n"/>
      <c r="D34" s="49" t="n"/>
      <c r="E34" s="49" t="n"/>
      <c r="F34" s="49" t="n"/>
      <c r="G34" s="49" t="n"/>
      <c r="H34" s="49" t="n"/>
      <c r="I34" s="49" t="n"/>
      <c r="J34" s="49" t="n"/>
      <c r="K34" s="49" t="n"/>
      <c r="L34" s="49" t="n"/>
      <c r="M34" s="49" t="n"/>
      <c r="N34" s="49" t="n"/>
      <c r="O34" s="49" t="n"/>
      <c r="P34" s="49" t="n"/>
      <c r="Q34" s="49" t="n"/>
    </row>
    <row r="35">
      <c r="B35" s="49" t="n"/>
      <c r="C35" s="49" t="n"/>
      <c r="D35" s="49" t="n"/>
      <c r="E35" s="49" t="n"/>
      <c r="F35" s="49" t="n"/>
      <c r="G35" s="49" t="n"/>
      <c r="H35" s="49" t="n"/>
      <c r="I35" s="49" t="n"/>
      <c r="J35" s="49" t="n"/>
      <c r="K35" s="49" t="n"/>
      <c r="L35" s="49" t="n"/>
      <c r="M35" s="49" t="n"/>
      <c r="N35" s="49" t="n"/>
      <c r="O35" s="49" t="n"/>
      <c r="P35" s="49" t="n"/>
      <c r="Q35" s="49" t="n"/>
    </row>
    <row r="36">
      <c r="B36" s="49" t="n"/>
      <c r="C36" s="49" t="n"/>
      <c r="D36" s="49" t="n"/>
      <c r="E36" s="49" t="n"/>
      <c r="F36" s="49" t="n"/>
      <c r="G36" s="49" t="n"/>
      <c r="H36" s="49" t="n"/>
      <c r="I36" s="49" t="n"/>
      <c r="J36" s="49" t="n"/>
      <c r="K36" s="49" t="n"/>
      <c r="L36" s="49" t="n"/>
      <c r="M36" s="49" t="n"/>
      <c r="N36" s="49" t="n"/>
      <c r="O36" s="49" t="n"/>
      <c r="P36" s="49" t="n"/>
      <c r="Q36" s="49" t="n"/>
    </row>
    <row r="37">
      <c r="B37" s="49" t="n"/>
      <c r="C37" s="49" t="n"/>
      <c r="D37" s="49" t="n"/>
      <c r="E37" s="49" t="n"/>
      <c r="F37" s="49" t="n"/>
      <c r="G37" s="49" t="n"/>
      <c r="H37" s="49" t="n"/>
      <c r="I37" s="49" t="n"/>
      <c r="J37" s="49" t="n"/>
      <c r="K37" s="49" t="n"/>
      <c r="L37" s="49" t="n"/>
      <c r="M37" s="49" t="n"/>
      <c r="N37" s="49" t="n"/>
      <c r="O37" s="49" t="n"/>
      <c r="P37" s="49" t="n"/>
      <c r="Q37" s="49" t="n"/>
    </row>
    <row r="38">
      <c r="B38" s="49" t="n"/>
      <c r="C38" s="49" t="n"/>
      <c r="D38" s="49" t="n"/>
      <c r="E38" s="49" t="n"/>
      <c r="F38" s="49" t="n"/>
      <c r="G38" s="49" t="n"/>
      <c r="H38" s="49" t="n"/>
      <c r="I38" s="49" t="n"/>
      <c r="J38" s="49" t="n"/>
      <c r="K38" s="49" t="n"/>
      <c r="L38" s="49" t="n"/>
      <c r="M38" s="49" t="n"/>
      <c r="N38" s="49" t="n"/>
      <c r="O38" s="49" t="n"/>
      <c r="P38" s="49" t="n"/>
      <c r="Q38" s="49" t="n"/>
    </row>
    <row r="39">
      <c r="B39" s="49" t="n"/>
      <c r="C39" s="49" t="n"/>
      <c r="D39" s="49" t="n"/>
      <c r="E39" s="49" t="n"/>
      <c r="F39" s="49" t="n"/>
      <c r="G39" s="49" t="n"/>
      <c r="H39" s="49" t="n"/>
      <c r="I39" s="49" t="n"/>
      <c r="J39" s="49" t="n"/>
      <c r="K39" s="49" t="n"/>
      <c r="L39" s="49" t="n"/>
      <c r="M39" s="49" t="n"/>
      <c r="N39" s="49" t="n"/>
      <c r="O39" s="49" t="n"/>
      <c r="P39" s="49" t="n"/>
      <c r="Q39" s="49" t="n"/>
    </row>
    <row r="40">
      <c r="B40" s="49" t="n"/>
      <c r="C40" s="49" t="n"/>
      <c r="D40" s="49" t="n"/>
      <c r="E40" s="49" t="n"/>
      <c r="F40" s="49" t="n"/>
      <c r="G40" s="49" t="n"/>
      <c r="H40" s="49" t="n"/>
      <c r="I40" s="49" t="n"/>
      <c r="J40" s="49" t="n"/>
      <c r="K40" s="49" t="n"/>
      <c r="L40" s="49" t="n"/>
      <c r="M40" s="49" t="n"/>
      <c r="N40" s="49" t="n"/>
      <c r="O40" s="49" t="n"/>
      <c r="P40" s="49" t="n"/>
      <c r="Q40" s="49" t="n"/>
    </row>
    <row r="41">
      <c r="B41" s="49" t="n"/>
      <c r="C41" s="49" t="n"/>
      <c r="D41" s="49" t="n"/>
      <c r="E41" s="49" t="n"/>
      <c r="F41" s="49" t="n"/>
      <c r="G41" s="49" t="n"/>
      <c r="H41" s="49" t="n"/>
      <c r="I41" s="49" t="n"/>
      <c r="J41" s="49" t="n"/>
      <c r="K41" s="49" t="n"/>
      <c r="L41" s="49" t="n"/>
      <c r="M41" s="49" t="n"/>
      <c r="N41" s="49" t="n"/>
      <c r="O41" s="49" t="n"/>
      <c r="P41" s="49" t="n"/>
      <c r="Q41" s="49" t="n"/>
    </row>
    <row r="42">
      <c r="B42" s="49" t="n"/>
      <c r="C42" s="49" t="n"/>
      <c r="D42" s="49" t="n"/>
      <c r="E42" s="49" t="n"/>
      <c r="F42" s="49" t="n"/>
      <c r="G42" s="49" t="n"/>
      <c r="H42" s="49" t="n"/>
      <c r="I42" s="49" t="n"/>
      <c r="J42" s="49" t="n"/>
      <c r="K42" s="49" t="n"/>
      <c r="L42" s="49" t="n"/>
      <c r="M42" s="49" t="n"/>
      <c r="N42" s="49" t="n"/>
      <c r="O42" s="49" t="n"/>
      <c r="P42" s="49" t="n"/>
      <c r="Q42" s="49" t="n"/>
    </row>
    <row r="43">
      <c r="B43" s="49" t="n"/>
      <c r="C43" s="49" t="n"/>
      <c r="D43" s="49" t="n"/>
      <c r="E43" s="49" t="n"/>
      <c r="F43" s="49" t="n"/>
      <c r="G43" s="49" t="n"/>
      <c r="H43" s="49" t="n"/>
      <c r="I43" s="49" t="n"/>
      <c r="J43" s="49" t="n"/>
      <c r="K43" s="49" t="n"/>
      <c r="L43" s="49" t="n"/>
      <c r="M43" s="49" t="n"/>
      <c r="N43" s="49" t="n"/>
      <c r="O43" s="49" t="n"/>
      <c r="P43" s="49" t="n"/>
      <c r="Q43" s="49" t="n"/>
    </row>
    <row r="44">
      <c r="B44" s="49" t="n"/>
      <c r="C44" s="49" t="n"/>
      <c r="D44" s="49" t="n"/>
      <c r="E44" s="49" t="n"/>
      <c r="F44" s="49" t="n"/>
      <c r="G44" s="49" t="n"/>
      <c r="H44" s="49" t="n"/>
      <c r="I44" s="49" t="n"/>
      <c r="J44" s="49" t="n"/>
      <c r="K44" s="49" t="n"/>
      <c r="L44" s="49" t="n"/>
      <c r="M44" s="49" t="n"/>
      <c r="N44" s="49" t="n"/>
      <c r="O44" s="49" t="n"/>
      <c r="P44" s="49" t="n"/>
      <c r="Q44" s="49" t="n"/>
    </row>
    <row r="45">
      <c r="B45" s="49" t="n"/>
      <c r="C45" s="49" t="n"/>
      <c r="D45" s="49" t="n"/>
      <c r="E45" s="49" t="n"/>
      <c r="F45" s="49" t="n"/>
      <c r="G45" s="49" t="n"/>
      <c r="H45" s="49" t="n"/>
      <c r="I45" s="49" t="n"/>
      <c r="J45" s="49" t="n"/>
      <c r="K45" s="49" t="n"/>
      <c r="L45" s="49" t="n"/>
      <c r="M45" s="49" t="n"/>
      <c r="N45" s="49" t="n"/>
      <c r="O45" s="49" t="n"/>
      <c r="P45" s="49" t="n"/>
      <c r="Q45" s="49" t="n"/>
    </row>
    <row r="46">
      <c r="B46" s="49" t="n"/>
      <c r="C46" s="49" t="n"/>
      <c r="D46" s="49" t="n"/>
      <c r="E46" s="49" t="n"/>
      <c r="F46" s="49" t="n"/>
      <c r="G46" s="49" t="n"/>
      <c r="H46" s="49" t="n"/>
      <c r="I46" s="49" t="n"/>
      <c r="J46" s="49" t="n"/>
      <c r="K46" s="49" t="n"/>
      <c r="L46" s="49" t="n"/>
      <c r="M46" s="49" t="n"/>
      <c r="N46" s="49" t="n"/>
      <c r="O46" s="49" t="n"/>
      <c r="P46" s="49" t="n"/>
      <c r="Q46" s="49" t="n"/>
    </row>
    <row r="47">
      <c r="B47" s="49" t="n"/>
      <c r="C47" s="49" t="n"/>
      <c r="D47" s="49" t="n"/>
      <c r="E47" s="49" t="n"/>
      <c r="F47" s="49" t="n"/>
      <c r="G47" s="49" t="n"/>
      <c r="H47" s="49" t="n"/>
      <c r="I47" s="49" t="n"/>
      <c r="J47" s="49" t="n"/>
      <c r="K47" s="49" t="n"/>
      <c r="L47" s="49" t="n"/>
      <c r="M47" s="49" t="n"/>
      <c r="N47" s="49" t="n"/>
      <c r="O47" s="49" t="n"/>
      <c r="P47" s="49" t="n"/>
      <c r="Q47" s="49" t="n"/>
    </row>
    <row r="48">
      <c r="B48" s="49" t="n"/>
      <c r="C48" s="49" t="n"/>
      <c r="D48" s="49" t="n"/>
      <c r="E48" s="49" t="n"/>
      <c r="F48" s="49" t="n"/>
      <c r="G48" s="49" t="n"/>
      <c r="H48" s="49" t="n"/>
      <c r="I48" s="49" t="n"/>
      <c r="J48" s="49" t="n"/>
      <c r="K48" s="49" t="n"/>
      <c r="L48" s="49" t="n"/>
      <c r="M48" s="49" t="n"/>
      <c r="N48" s="49" t="n"/>
      <c r="O48" s="49" t="n"/>
      <c r="P48" s="49" t="n"/>
      <c r="Q48" s="49" t="n"/>
    </row>
    <row r="49">
      <c r="B49" s="49" t="n"/>
      <c r="C49" s="49" t="n"/>
      <c r="D49" s="49" t="n"/>
      <c r="E49" s="49" t="n"/>
      <c r="F49" s="49" t="n"/>
      <c r="G49" s="49" t="n"/>
      <c r="H49" s="49" t="n"/>
      <c r="I49" s="49" t="n"/>
      <c r="J49" s="49" t="n"/>
      <c r="K49" s="49" t="n"/>
      <c r="L49" s="49" t="n"/>
      <c r="M49" s="49" t="n"/>
      <c r="N49" s="49" t="n"/>
      <c r="O49" s="49" t="n"/>
      <c r="P49" s="49" t="n"/>
      <c r="Q49" s="49" t="n"/>
    </row>
    <row r="50">
      <c r="B50" s="49" t="n"/>
      <c r="C50" s="49" t="n"/>
      <c r="D50" s="49" t="n"/>
      <c r="E50" s="49" t="n"/>
      <c r="F50" s="49" t="n"/>
      <c r="G50" s="49" t="n"/>
      <c r="H50" s="49" t="n"/>
      <c r="I50" s="49" t="n"/>
      <c r="J50" s="49" t="n"/>
      <c r="K50" s="49" t="n"/>
      <c r="L50" s="49" t="n"/>
      <c r="M50" s="49" t="n"/>
      <c r="N50" s="49" t="n"/>
      <c r="O50" s="49" t="n"/>
      <c r="P50" s="49" t="n"/>
      <c r="Q50" s="49" t="n"/>
    </row>
    <row r="51">
      <c r="B51" s="49" t="n"/>
      <c r="C51" s="49" t="n"/>
      <c r="D51" s="49" t="n"/>
      <c r="E51" s="49" t="n"/>
      <c r="F51" s="49" t="n"/>
      <c r="G51" s="49" t="n"/>
      <c r="H51" s="49" t="n"/>
      <c r="I51" s="49" t="n"/>
      <c r="J51" s="49" t="n"/>
      <c r="K51" s="49" t="n"/>
      <c r="L51" s="49" t="n"/>
      <c r="M51" s="49" t="n"/>
      <c r="N51" s="49" t="n"/>
      <c r="O51" s="49" t="n"/>
      <c r="P51" s="49" t="n"/>
      <c r="Q51" s="49" t="n"/>
    </row>
    <row r="52">
      <c r="B52" s="49" t="n"/>
      <c r="C52" s="49" t="n"/>
      <c r="D52" s="49" t="n"/>
      <c r="E52" s="49" t="n"/>
      <c r="F52" s="49" t="n"/>
      <c r="G52" s="49" t="n"/>
      <c r="H52" s="49" t="n"/>
      <c r="I52" s="49" t="n"/>
      <c r="J52" s="49" t="n"/>
      <c r="K52" s="49" t="n"/>
      <c r="L52" s="49" t="n"/>
      <c r="M52" s="49" t="n"/>
      <c r="N52" s="49" t="n"/>
      <c r="O52" s="49" t="n"/>
      <c r="P52" s="49" t="n"/>
      <c r="Q52" s="49" t="n"/>
    </row>
    <row r="53">
      <c r="B53" s="49" t="n"/>
      <c r="C53" s="49" t="n"/>
      <c r="D53" s="49" t="n"/>
      <c r="E53" s="49" t="n"/>
      <c r="F53" s="49" t="n"/>
      <c r="G53" s="49" t="n"/>
      <c r="H53" s="49" t="n"/>
      <c r="I53" s="49" t="n"/>
      <c r="J53" s="49" t="n"/>
      <c r="K53" s="49" t="n"/>
      <c r="L53" s="49" t="n"/>
      <c r="M53" s="49" t="n"/>
      <c r="N53" s="49" t="n"/>
      <c r="O53" s="49" t="n"/>
      <c r="P53" s="49" t="n"/>
      <c r="Q53" s="49" t="n"/>
    </row>
    <row r="54">
      <c r="B54" s="49" t="n"/>
      <c r="C54" s="49" t="n"/>
      <c r="D54" s="49" t="n"/>
      <c r="E54" s="49" t="n"/>
      <c r="F54" s="49" t="n"/>
      <c r="G54" s="49" t="n"/>
      <c r="H54" s="49" t="n"/>
      <c r="I54" s="49" t="n"/>
      <c r="J54" s="49" t="n"/>
      <c r="K54" s="49" t="n"/>
      <c r="L54" s="49" t="n"/>
      <c r="M54" s="49" t="n"/>
      <c r="N54" s="49" t="n"/>
      <c r="O54" s="49" t="n"/>
      <c r="P54" s="49" t="n"/>
      <c r="Q54" s="49" t="n"/>
    </row>
    <row r="55">
      <c r="B55" s="49" t="n"/>
      <c r="C55" s="49" t="n"/>
      <c r="D55" s="49" t="n"/>
      <c r="E55" s="49" t="n"/>
      <c r="F55" s="49" t="n"/>
      <c r="G55" s="49" t="n"/>
      <c r="H55" s="49" t="n"/>
      <c r="I55" s="49" t="n"/>
      <c r="J55" s="49" t="n"/>
      <c r="K55" s="49" t="n"/>
      <c r="L55" s="49" t="n"/>
      <c r="M55" s="49" t="n"/>
      <c r="N55" s="49" t="n"/>
      <c r="O55" s="49" t="n"/>
      <c r="P55" s="49" t="n"/>
      <c r="Q55" s="49" t="n"/>
    </row>
    <row r="56">
      <c r="B56" s="49" t="n"/>
      <c r="C56" s="49" t="n"/>
      <c r="D56" s="49" t="n"/>
      <c r="E56" s="49" t="n"/>
      <c r="F56" s="49" t="n"/>
      <c r="G56" s="49" t="n"/>
      <c r="H56" s="49" t="n"/>
      <c r="I56" s="49" t="n"/>
      <c r="J56" s="49" t="n"/>
      <c r="K56" s="49" t="n"/>
      <c r="L56" s="49" t="n"/>
      <c r="M56" s="49" t="n"/>
      <c r="N56" s="49" t="n"/>
      <c r="O56" s="49" t="n"/>
      <c r="P56" s="49" t="n"/>
      <c r="Q56" s="49" t="n"/>
    </row>
    <row r="57">
      <c r="B57" s="49" t="n"/>
      <c r="C57" s="49" t="n"/>
      <c r="D57" s="49" t="n"/>
      <c r="E57" s="49" t="n"/>
      <c r="F57" s="49" t="n"/>
      <c r="G57" s="49" t="n"/>
      <c r="H57" s="49" t="n"/>
      <c r="I57" s="49" t="n"/>
      <c r="J57" s="49" t="n"/>
      <c r="K57" s="49" t="n"/>
      <c r="L57" s="49" t="n"/>
      <c r="M57" s="49" t="n"/>
      <c r="N57" s="49" t="n"/>
      <c r="O57" s="49" t="n"/>
      <c r="P57" s="49" t="n"/>
      <c r="Q57" s="49" t="n"/>
    </row>
    <row r="58">
      <c r="B58" s="49" t="n"/>
      <c r="C58" s="49" t="n"/>
      <c r="D58" s="49" t="n"/>
      <c r="E58" s="49" t="n"/>
      <c r="F58" s="49" t="n"/>
      <c r="G58" s="49" t="n"/>
      <c r="H58" s="49" t="n"/>
      <c r="I58" s="49" t="n"/>
      <c r="J58" s="49" t="n"/>
      <c r="K58" s="49" t="n"/>
      <c r="L58" s="49" t="n"/>
      <c r="M58" s="49" t="n"/>
      <c r="N58" s="49" t="n"/>
      <c r="O58" s="49" t="n"/>
      <c r="P58" s="49" t="n"/>
      <c r="Q58" s="49" t="n"/>
    </row>
    <row r="59">
      <c r="B59" s="49" t="n"/>
      <c r="C59" s="49" t="n"/>
      <c r="D59" s="49" t="n"/>
      <c r="E59" s="49" t="n"/>
      <c r="F59" s="49" t="n"/>
      <c r="G59" s="49" t="n"/>
      <c r="H59" s="49" t="n"/>
      <c r="I59" s="49" t="n"/>
      <c r="J59" s="49" t="n"/>
      <c r="K59" s="49" t="n"/>
      <c r="L59" s="49" t="n"/>
      <c r="M59" s="49" t="n"/>
      <c r="N59" s="49" t="n"/>
      <c r="O59" s="49" t="n"/>
      <c r="P59" s="49" t="n"/>
      <c r="Q59" s="49" t="n"/>
    </row>
    <row r="60">
      <c r="B60" s="49" t="n"/>
      <c r="C60" s="49" t="n"/>
      <c r="D60" s="49" t="n"/>
      <c r="E60" s="49" t="n"/>
      <c r="F60" s="49" t="n"/>
      <c r="G60" s="49" t="n"/>
      <c r="H60" s="49" t="n"/>
      <c r="I60" s="49" t="n"/>
      <c r="J60" s="49" t="n"/>
      <c r="K60" s="49" t="n"/>
      <c r="L60" s="49" t="n"/>
      <c r="M60" s="49" t="n"/>
      <c r="N60" s="49" t="n"/>
      <c r="O60" s="49" t="n"/>
      <c r="P60" s="49" t="n"/>
      <c r="Q60" s="49" t="n"/>
    </row>
    <row r="61">
      <c r="B61" s="49" t="n"/>
      <c r="C61" s="49" t="n"/>
      <c r="D61" s="49" t="n"/>
      <c r="E61" s="49" t="n"/>
      <c r="F61" s="49" t="n"/>
      <c r="G61" s="49" t="n"/>
      <c r="H61" s="49" t="n"/>
      <c r="I61" s="49" t="n"/>
      <c r="J61" s="49" t="n"/>
      <c r="K61" s="49" t="n"/>
      <c r="L61" s="49" t="n"/>
      <c r="M61" s="49" t="n"/>
      <c r="N61" s="49" t="n"/>
      <c r="O61" s="49" t="n"/>
      <c r="P61" s="49" t="n"/>
      <c r="Q61" s="49" t="n"/>
    </row>
    <row r="62">
      <c r="B62" s="49" t="n"/>
      <c r="C62" s="49" t="n"/>
      <c r="D62" s="49" t="n"/>
      <c r="E62" s="49" t="n"/>
      <c r="F62" s="49" t="n"/>
      <c r="G62" s="49" t="n"/>
      <c r="H62" s="49" t="n"/>
      <c r="I62" s="49" t="n"/>
      <c r="J62" s="49" t="n"/>
      <c r="K62" s="49" t="n"/>
      <c r="L62" s="49" t="n"/>
      <c r="M62" s="49" t="n"/>
      <c r="N62" s="49" t="n"/>
      <c r="O62" s="49" t="n"/>
      <c r="P62" s="49" t="n"/>
      <c r="Q62" s="49" t="n"/>
    </row>
    <row r="63">
      <c r="B63" s="49" t="n"/>
      <c r="C63" s="49" t="n"/>
      <c r="D63" s="49" t="n"/>
      <c r="E63" s="49" t="n"/>
      <c r="F63" s="49" t="n"/>
      <c r="G63" s="49" t="n"/>
      <c r="H63" s="49" t="n"/>
      <c r="I63" s="49" t="n"/>
      <c r="J63" s="49" t="n"/>
      <c r="K63" s="49" t="n"/>
      <c r="L63" s="49" t="n"/>
      <c r="M63" s="49" t="n"/>
      <c r="N63" s="49" t="n"/>
      <c r="O63" s="49" t="n"/>
      <c r="P63" s="49" t="n"/>
      <c r="Q63" s="49" t="n"/>
    </row>
    <row r="64">
      <c r="B64" s="49" t="n"/>
      <c r="C64" s="49" t="n"/>
      <c r="D64" s="49" t="n"/>
      <c r="E64" s="49" t="n"/>
      <c r="F64" s="49" t="n"/>
      <c r="G64" s="49" t="n"/>
      <c r="H64" s="49" t="n"/>
      <c r="I64" s="49" t="n"/>
      <c r="J64" s="49" t="n"/>
      <c r="K64" s="49" t="n"/>
      <c r="L64" s="49" t="n"/>
      <c r="M64" s="49" t="n"/>
      <c r="N64" s="49" t="n"/>
      <c r="O64" s="49" t="n"/>
      <c r="P64" s="49" t="n"/>
      <c r="Q64" s="49" t="n"/>
    </row>
    <row r="65">
      <c r="B65" s="49" t="n"/>
      <c r="C65" s="49" t="n"/>
      <c r="D65" s="49" t="n"/>
      <c r="E65" s="49" t="n"/>
      <c r="F65" s="49" t="n"/>
      <c r="G65" s="49" t="n"/>
      <c r="H65" s="49" t="n"/>
      <c r="I65" s="49" t="n"/>
      <c r="J65" s="49" t="n"/>
      <c r="K65" s="49" t="n"/>
      <c r="L65" s="49" t="n"/>
      <c r="M65" s="49" t="n"/>
      <c r="N65" s="49" t="n"/>
      <c r="O65" s="49" t="n"/>
      <c r="P65" s="49" t="n"/>
      <c r="Q65" s="49" t="n"/>
    </row>
    <row r="66">
      <c r="B66" s="49" t="n"/>
      <c r="C66" s="49" t="n"/>
      <c r="D66" s="49" t="n"/>
      <c r="E66" s="49" t="n"/>
      <c r="F66" s="49" t="n"/>
      <c r="G66" s="49" t="n"/>
      <c r="H66" s="49" t="n"/>
      <c r="I66" s="49" t="n"/>
      <c r="J66" s="49" t="n"/>
      <c r="K66" s="49" t="n"/>
      <c r="L66" s="49" t="n"/>
      <c r="M66" s="49" t="n"/>
      <c r="N66" s="49" t="n"/>
      <c r="O66" s="49" t="n"/>
      <c r="P66" s="49" t="n"/>
      <c r="Q66" s="49" t="n"/>
    </row>
    <row r="67">
      <c r="B67" s="49" t="n"/>
      <c r="C67" s="49" t="n"/>
      <c r="D67" s="49" t="n"/>
      <c r="E67" s="49" t="n"/>
      <c r="F67" s="49" t="n"/>
      <c r="G67" s="49" t="n"/>
      <c r="H67" s="49" t="n"/>
      <c r="I67" s="49" t="n"/>
      <c r="J67" s="49" t="n"/>
      <c r="K67" s="49" t="n"/>
      <c r="L67" s="49" t="n"/>
      <c r="M67" s="49" t="n"/>
      <c r="N67" s="49" t="n"/>
      <c r="O67" s="49" t="n"/>
      <c r="P67" s="49" t="n"/>
      <c r="Q67" s="49" t="n"/>
    </row>
    <row r="68">
      <c r="B68" s="49" t="n"/>
      <c r="C68" s="49" t="n"/>
      <c r="D68" s="49" t="n"/>
      <c r="E68" s="49" t="n"/>
      <c r="F68" s="49" t="n"/>
      <c r="G68" s="49" t="n"/>
      <c r="H68" s="49" t="n"/>
      <c r="I68" s="49" t="n"/>
      <c r="J68" s="49" t="n"/>
      <c r="K68" s="49" t="n"/>
      <c r="L68" s="49" t="n"/>
      <c r="M68" s="49" t="n"/>
      <c r="N68" s="49" t="n"/>
      <c r="O68" s="49" t="n"/>
      <c r="P68" s="49" t="n"/>
      <c r="Q68" s="49" t="n"/>
    </row>
    <row r="69">
      <c r="B69" s="49" t="n"/>
      <c r="C69" s="49" t="n"/>
      <c r="D69" s="49" t="n"/>
      <c r="E69" s="49" t="n"/>
      <c r="F69" s="49" t="n"/>
      <c r="G69" s="49" t="n"/>
      <c r="H69" s="49" t="n"/>
      <c r="I69" s="49" t="n"/>
      <c r="J69" s="49" t="n"/>
      <c r="K69" s="49" t="n"/>
      <c r="L69" s="49" t="n"/>
      <c r="M69" s="49" t="n"/>
      <c r="N69" s="49" t="n"/>
      <c r="O69" s="49" t="n"/>
      <c r="P69" s="49" t="n"/>
      <c r="Q69" s="49" t="n"/>
    </row>
    <row r="70">
      <c r="B70" s="49" t="n"/>
      <c r="C70" s="49" t="n"/>
      <c r="D70" s="49" t="n"/>
      <c r="E70" s="49" t="n"/>
      <c r="F70" s="49" t="n"/>
      <c r="G70" s="49" t="n"/>
      <c r="H70" s="49" t="n"/>
      <c r="I70" s="49" t="n"/>
      <c r="J70" s="49" t="n"/>
      <c r="K70" s="49" t="n"/>
      <c r="L70" s="49" t="n"/>
      <c r="M70" s="49" t="n"/>
      <c r="N70" s="49" t="n"/>
      <c r="O70" s="49" t="n"/>
      <c r="P70" s="49" t="n"/>
      <c r="Q70" s="49" t="n"/>
    </row>
    <row r="71">
      <c r="B71" s="49" t="n"/>
      <c r="C71" s="49" t="n"/>
      <c r="D71" s="49" t="n"/>
      <c r="E71" s="49" t="n"/>
      <c r="F71" s="49" t="n"/>
      <c r="G71" s="49" t="n"/>
      <c r="H71" s="49" t="n"/>
      <c r="I71" s="49" t="n"/>
      <c r="J71" s="49" t="n"/>
      <c r="K71" s="49" t="n"/>
      <c r="L71" s="49" t="n"/>
      <c r="M71" s="49" t="n"/>
      <c r="N71" s="49" t="n"/>
      <c r="O71" s="49" t="n"/>
      <c r="P71" s="49" t="n"/>
      <c r="Q71" s="49" t="n"/>
    </row>
    <row r="72">
      <c r="B72" s="49" t="n"/>
      <c r="C72" s="49" t="n"/>
      <c r="D72" s="49" t="n"/>
      <c r="E72" s="49" t="n"/>
      <c r="F72" s="49" t="n"/>
      <c r="G72" s="49" t="n"/>
      <c r="H72" s="49" t="n"/>
      <c r="I72" s="49" t="n"/>
      <c r="J72" s="49" t="n"/>
      <c r="K72" s="49" t="n"/>
      <c r="L72" s="49" t="n"/>
      <c r="M72" s="49" t="n"/>
      <c r="N72" s="49" t="n"/>
      <c r="O72" s="49" t="n"/>
      <c r="P72" s="49" t="n"/>
      <c r="Q72" s="49" t="n"/>
    </row>
    <row r="73">
      <c r="B73" s="49" t="n"/>
      <c r="C73" s="49" t="n"/>
      <c r="D73" s="49" t="n"/>
      <c r="E73" s="49" t="n"/>
      <c r="F73" s="49" t="n"/>
      <c r="G73" s="49" t="n"/>
      <c r="H73" s="49" t="n"/>
      <c r="I73" s="49" t="n"/>
      <c r="J73" s="49" t="n"/>
      <c r="K73" s="49" t="n"/>
      <c r="L73" s="49" t="n"/>
      <c r="M73" s="49" t="n"/>
      <c r="N73" s="49" t="n"/>
      <c r="O73" s="49" t="n"/>
      <c r="P73" s="49" t="n"/>
      <c r="Q73" s="49" t="n"/>
    </row>
    <row r="74">
      <c r="B74" s="49" t="n"/>
      <c r="C74" s="49" t="n"/>
      <c r="D74" s="49" t="n"/>
      <c r="E74" s="49" t="n"/>
      <c r="F74" s="49" t="n"/>
      <c r="G74" s="49" t="n"/>
      <c r="H74" s="49" t="n"/>
      <c r="I74" s="49" t="n"/>
      <c r="J74" s="49" t="n"/>
      <c r="K74" s="49" t="n"/>
      <c r="L74" s="49" t="n"/>
      <c r="M74" s="49" t="n"/>
      <c r="N74" s="49" t="n"/>
      <c r="O74" s="49" t="n"/>
      <c r="P74" s="49" t="n"/>
      <c r="Q74" s="49" t="n"/>
    </row>
    <row r="75">
      <c r="B75" s="49" t="n"/>
      <c r="C75" s="49" t="n"/>
      <c r="D75" s="49" t="n"/>
      <c r="E75" s="49" t="n"/>
      <c r="F75" s="49" t="n"/>
      <c r="G75" s="49" t="n"/>
      <c r="H75" s="49" t="n"/>
      <c r="I75" s="49" t="n"/>
      <c r="J75" s="49" t="n"/>
      <c r="K75" s="49" t="n"/>
      <c r="L75" s="49" t="n"/>
      <c r="M75" s="49" t="n"/>
      <c r="N75" s="49" t="n"/>
      <c r="O75" s="49" t="n"/>
      <c r="P75" s="49" t="n"/>
      <c r="Q75" s="49" t="n"/>
    </row>
    <row r="76">
      <c r="B76" s="49" t="n"/>
      <c r="C76" s="49" t="n"/>
      <c r="D76" s="49" t="n"/>
      <c r="E76" s="49" t="n"/>
      <c r="F76" s="49" t="n"/>
      <c r="G76" s="49" t="n"/>
      <c r="H76" s="49" t="n"/>
      <c r="I76" s="49" t="n"/>
      <c r="J76" s="49" t="n"/>
      <c r="K76" s="49" t="n"/>
      <c r="L76" s="49" t="n"/>
      <c r="M76" s="49" t="n"/>
      <c r="N76" s="49" t="n"/>
      <c r="O76" s="49" t="n"/>
      <c r="P76" s="49" t="n"/>
      <c r="Q76" s="49" t="n"/>
    </row>
    <row r="77">
      <c r="B77" s="49" t="n"/>
      <c r="C77" s="49" t="n"/>
      <c r="D77" s="49" t="n"/>
      <c r="E77" s="49" t="n"/>
      <c r="F77" s="49" t="n"/>
      <c r="G77" s="49" t="n"/>
      <c r="H77" s="49" t="n"/>
      <c r="I77" s="49" t="n"/>
      <c r="J77" s="49" t="n"/>
      <c r="K77" s="49" t="n"/>
      <c r="L77" s="49" t="n"/>
      <c r="M77" s="49" t="n"/>
      <c r="N77" s="49" t="n"/>
      <c r="O77" s="49" t="n"/>
      <c r="P77" s="49" t="n"/>
      <c r="Q77" s="49" t="n"/>
    </row>
    <row r="78">
      <c r="B78" s="49" t="n"/>
      <c r="C78" s="49" t="n"/>
      <c r="D78" s="49" t="n"/>
      <c r="E78" s="49" t="n"/>
      <c r="F78" s="49" t="n"/>
      <c r="G78" s="49" t="n"/>
      <c r="H78" s="49" t="n"/>
      <c r="I78" s="49" t="n"/>
      <c r="J78" s="49" t="n"/>
      <c r="K78" s="49" t="n"/>
      <c r="L78" s="49" t="n"/>
      <c r="M78" s="49" t="n"/>
      <c r="N78" s="49" t="n"/>
      <c r="O78" s="49" t="n"/>
      <c r="P78" s="49" t="n"/>
      <c r="Q78" s="49" t="n"/>
    </row>
    <row r="79">
      <c r="B79" s="49" t="n"/>
      <c r="C79" s="49" t="n"/>
      <c r="D79" s="49" t="n"/>
      <c r="E79" s="49" t="n"/>
      <c r="F79" s="49" t="n"/>
      <c r="G79" s="49" t="n"/>
      <c r="H79" s="49" t="n"/>
      <c r="I79" s="49" t="n"/>
      <c r="J79" s="49" t="n"/>
      <c r="K79" s="49" t="n"/>
      <c r="L79" s="49" t="n"/>
      <c r="M79" s="49" t="n"/>
      <c r="N79" s="49" t="n"/>
      <c r="O79" s="49" t="n"/>
      <c r="P79" s="49" t="n"/>
      <c r="Q79" s="49" t="n"/>
    </row>
    <row r="80">
      <c r="B80" s="49" t="n"/>
      <c r="C80" s="49" t="n"/>
      <c r="D80" s="49" t="n"/>
      <c r="E80" s="49" t="n"/>
      <c r="F80" s="49" t="n"/>
      <c r="G80" s="49" t="n"/>
      <c r="H80" s="49" t="n"/>
      <c r="I80" s="49" t="n"/>
      <c r="J80" s="49" t="n"/>
      <c r="K80" s="49" t="n"/>
      <c r="L80" s="49" t="n"/>
      <c r="M80" s="49" t="n"/>
      <c r="N80" s="49" t="n"/>
      <c r="O80" s="49" t="n"/>
      <c r="P80" s="49" t="n"/>
      <c r="Q80" s="49" t="n"/>
    </row>
    <row r="81">
      <c r="B81" s="49" t="n"/>
      <c r="C81" s="49" t="n"/>
      <c r="D81" s="49" t="n"/>
      <c r="E81" s="49" t="n"/>
      <c r="F81" s="49" t="n"/>
      <c r="G81" s="49" t="n"/>
      <c r="H81" s="49" t="n"/>
      <c r="I81" s="49" t="n"/>
      <c r="J81" s="49" t="n"/>
      <c r="K81" s="49" t="n"/>
      <c r="L81" s="49" t="n"/>
      <c r="M81" s="49" t="n"/>
      <c r="N81" s="49" t="n"/>
      <c r="O81" s="49" t="n"/>
      <c r="P81" s="49" t="n"/>
      <c r="Q81" s="49" t="n"/>
    </row>
    <row r="82">
      <c r="B82" s="49" t="n"/>
      <c r="C82" s="49" t="n"/>
      <c r="D82" s="49" t="n"/>
      <c r="E82" s="49" t="n"/>
      <c r="F82" s="49" t="n"/>
      <c r="G82" s="49" t="n"/>
      <c r="H82" s="49" t="n"/>
      <c r="I82" s="49" t="n"/>
      <c r="J82" s="49" t="n"/>
      <c r="K82" s="49" t="n"/>
      <c r="L82" s="49" t="n"/>
      <c r="M82" s="49" t="n"/>
      <c r="N82" s="49" t="n"/>
      <c r="O82" s="49" t="n"/>
      <c r="P82" s="49" t="n"/>
      <c r="Q82" s="49" t="n"/>
    </row>
    <row r="83">
      <c r="B83" s="49" t="n"/>
      <c r="C83" s="49" t="n"/>
      <c r="D83" s="49" t="n"/>
      <c r="E83" s="49" t="n"/>
      <c r="F83" s="49" t="n"/>
      <c r="G83" s="49" t="n"/>
      <c r="H83" s="49" t="n"/>
      <c r="I83" s="49" t="n"/>
      <c r="J83" s="49" t="n"/>
      <c r="K83" s="49" t="n"/>
      <c r="L83" s="49" t="n"/>
      <c r="M83" s="49" t="n"/>
      <c r="N83" s="49" t="n"/>
      <c r="O83" s="49" t="n"/>
      <c r="P83" s="49" t="n"/>
      <c r="Q83" s="49" t="n"/>
    </row>
    <row r="84">
      <c r="B84" s="49" t="n"/>
      <c r="C84" s="49" t="n"/>
      <c r="D84" s="49" t="n"/>
      <c r="E84" s="49" t="n"/>
      <c r="F84" s="49" t="n"/>
      <c r="G84" s="49" t="n"/>
      <c r="H84" s="49" t="n"/>
      <c r="I84" s="49" t="n"/>
      <c r="J84" s="49" t="n"/>
      <c r="K84" s="49" t="n"/>
      <c r="L84" s="49" t="n"/>
      <c r="M84" s="49" t="n"/>
      <c r="N84" s="49" t="n"/>
      <c r="O84" s="49" t="n"/>
      <c r="P84" s="49" t="n"/>
      <c r="Q84" s="49" t="n"/>
    </row>
    <row r="85">
      <c r="B85" s="49" t="n"/>
      <c r="C85" s="49" t="n"/>
      <c r="D85" s="49" t="n"/>
      <c r="E85" s="49" t="n"/>
      <c r="F85" s="49" t="n"/>
      <c r="G85" s="49" t="n"/>
      <c r="H85" s="49" t="n"/>
      <c r="I85" s="49" t="n"/>
      <c r="J85" s="49" t="n"/>
      <c r="K85" s="49" t="n"/>
      <c r="L85" s="49" t="n"/>
      <c r="M85" s="49" t="n"/>
      <c r="N85" s="49" t="n"/>
      <c r="O85" s="49" t="n"/>
      <c r="P85" s="49" t="n"/>
      <c r="Q85" s="49" t="n"/>
    </row>
    <row r="86">
      <c r="B86" s="49" t="n"/>
      <c r="C86" s="49" t="n"/>
      <c r="D86" s="49" t="n"/>
      <c r="E86" s="49" t="n"/>
      <c r="F86" s="49" t="n"/>
      <c r="G86" s="49" t="n"/>
      <c r="H86" s="49" t="n"/>
      <c r="I86" s="49" t="n"/>
      <c r="J86" s="49" t="n"/>
      <c r="K86" s="49" t="n"/>
      <c r="L86" s="49" t="n"/>
      <c r="M86" s="49" t="n"/>
      <c r="N86" s="49" t="n"/>
      <c r="O86" s="49" t="n"/>
      <c r="P86" s="49" t="n"/>
      <c r="Q86" s="49" t="n"/>
    </row>
    <row r="87">
      <c r="B87" s="49" t="n"/>
      <c r="C87" s="49" t="n"/>
      <c r="D87" s="49" t="n"/>
      <c r="E87" s="49" t="n"/>
      <c r="F87" s="49" t="n"/>
      <c r="G87" s="49" t="n"/>
      <c r="H87" s="49" t="n"/>
      <c r="I87" s="49" t="n"/>
      <c r="J87" s="49" t="n"/>
      <c r="K87" s="49" t="n"/>
      <c r="L87" s="49" t="n"/>
      <c r="M87" s="49" t="n"/>
      <c r="N87" s="49" t="n"/>
      <c r="O87" s="49" t="n"/>
      <c r="P87" s="49" t="n"/>
      <c r="Q87" s="49" t="n"/>
    </row>
    <row r="88">
      <c r="B88" s="49" t="n"/>
      <c r="C88" s="49" t="n"/>
      <c r="D88" s="49" t="n"/>
      <c r="E88" s="49" t="n"/>
      <c r="F88" s="49" t="n"/>
      <c r="G88" s="49" t="n"/>
      <c r="H88" s="49" t="n"/>
      <c r="I88" s="49" t="n"/>
      <c r="J88" s="49" t="n"/>
      <c r="K88" s="49" t="n"/>
      <c r="L88" s="49" t="n"/>
      <c r="M88" s="49" t="n"/>
      <c r="N88" s="49" t="n"/>
      <c r="O88" s="49" t="n"/>
      <c r="P88" s="49" t="n"/>
      <c r="Q88" s="49" t="n"/>
    </row>
    <row r="89">
      <c r="B89" s="49" t="n"/>
      <c r="C89" s="49" t="n"/>
      <c r="D89" s="49" t="n"/>
      <c r="E89" s="49" t="n"/>
      <c r="F89" s="49" t="n"/>
      <c r="G89" s="49" t="n"/>
      <c r="H89" s="49" t="n"/>
      <c r="I89" s="49" t="n"/>
      <c r="J89" s="49" t="n"/>
      <c r="K89" s="49" t="n"/>
      <c r="L89" s="49" t="n"/>
      <c r="M89" s="49" t="n"/>
      <c r="N89" s="49" t="n"/>
      <c r="O89" s="49" t="n"/>
      <c r="P89" s="49" t="n"/>
      <c r="Q89" s="49" t="n"/>
    </row>
    <row r="90">
      <c r="B90" s="49" t="n"/>
      <c r="C90" s="49" t="n"/>
      <c r="D90" s="49" t="n"/>
      <c r="E90" s="49" t="n"/>
      <c r="F90" s="49" t="n"/>
      <c r="G90" s="49" t="n"/>
      <c r="H90" s="49" t="n"/>
      <c r="I90" s="49" t="n"/>
      <c r="J90" s="49" t="n"/>
      <c r="K90" s="49" t="n"/>
      <c r="L90" s="49" t="n"/>
      <c r="M90" s="49" t="n"/>
      <c r="N90" s="49" t="n"/>
      <c r="O90" s="49" t="n"/>
      <c r="P90" s="49" t="n"/>
      <c r="Q90" s="49" t="n"/>
    </row>
    <row r="91">
      <c r="B91" s="49" t="n"/>
      <c r="C91" s="49" t="n"/>
      <c r="D91" s="49" t="n"/>
      <c r="E91" s="49" t="n"/>
      <c r="F91" s="49" t="n"/>
      <c r="G91" s="49" t="n"/>
      <c r="H91" s="49" t="n"/>
      <c r="I91" s="49" t="n"/>
      <c r="J91" s="49" t="n"/>
      <c r="K91" s="49" t="n"/>
      <c r="L91" s="49" t="n"/>
      <c r="M91" s="49" t="n"/>
      <c r="N91" s="49" t="n"/>
      <c r="O91" s="49" t="n"/>
      <c r="P91" s="49" t="n"/>
      <c r="Q91" s="49" t="n"/>
    </row>
    <row r="92">
      <c r="B92" s="49" t="n"/>
      <c r="C92" s="49" t="n"/>
      <c r="D92" s="49" t="n"/>
      <c r="E92" s="49" t="n"/>
      <c r="F92" s="49" t="n"/>
      <c r="G92" s="49" t="n"/>
      <c r="H92" s="49" t="n"/>
      <c r="I92" s="49" t="n"/>
      <c r="J92" s="49" t="n"/>
      <c r="K92" s="49" t="n"/>
      <c r="L92" s="49" t="n"/>
      <c r="M92" s="49" t="n"/>
      <c r="N92" s="49" t="n"/>
      <c r="O92" s="49" t="n"/>
      <c r="P92" s="49" t="n"/>
      <c r="Q92" s="49" t="n"/>
    </row>
    <row r="93">
      <c r="B93" s="49" t="n"/>
      <c r="C93" s="49" t="n"/>
      <c r="D93" s="49" t="n"/>
      <c r="E93" s="49" t="n"/>
      <c r="F93" s="49" t="n"/>
      <c r="G93" s="49" t="n"/>
      <c r="H93" s="49" t="n"/>
      <c r="I93" s="49" t="n"/>
      <c r="J93" s="49" t="n"/>
      <c r="K93" s="49" t="n"/>
      <c r="L93" s="49" t="n"/>
      <c r="M93" s="49" t="n"/>
      <c r="N93" s="49" t="n"/>
      <c r="O93" s="49" t="n"/>
      <c r="P93" s="49" t="n"/>
      <c r="Q93" s="49" t="n"/>
    </row>
    <row r="94">
      <c r="B94" s="49" t="n"/>
      <c r="C94" s="49" t="n"/>
      <c r="D94" s="49" t="n"/>
      <c r="E94" s="49" t="n"/>
      <c r="F94" s="49" t="n"/>
      <c r="G94" s="49" t="n"/>
      <c r="H94" s="49" t="n"/>
      <c r="I94" s="49" t="n"/>
      <c r="J94" s="49" t="n"/>
      <c r="K94" s="49" t="n"/>
      <c r="L94" s="49" t="n"/>
      <c r="M94" s="49" t="n"/>
      <c r="N94" s="49" t="n"/>
      <c r="O94" s="49" t="n"/>
      <c r="P94" s="49" t="n"/>
      <c r="Q94" s="49" t="n"/>
    </row>
    <row r="95">
      <c r="B95" s="49" t="n"/>
      <c r="C95" s="49" t="n"/>
      <c r="D95" s="49" t="n"/>
      <c r="E95" s="49" t="n"/>
      <c r="F95" s="49" t="n"/>
      <c r="G95" s="49" t="n"/>
      <c r="H95" s="49" t="n"/>
      <c r="I95" s="49" t="n"/>
      <c r="J95" s="49" t="n"/>
      <c r="K95" s="49" t="n"/>
      <c r="L95" s="49" t="n"/>
      <c r="M95" s="49" t="n"/>
      <c r="N95" s="49" t="n"/>
      <c r="O95" s="49" t="n"/>
      <c r="P95" s="49" t="n"/>
      <c r="Q95" s="49" t="n"/>
    </row>
    <row r="96">
      <c r="B96" s="49" t="n"/>
      <c r="C96" s="49" t="n"/>
      <c r="D96" s="49" t="n"/>
      <c r="E96" s="49" t="n"/>
      <c r="F96" s="49" t="n"/>
      <c r="G96" s="49" t="n"/>
      <c r="H96" s="49" t="n"/>
      <c r="I96" s="49" t="n"/>
      <c r="J96" s="49" t="n"/>
      <c r="K96" s="49" t="n"/>
      <c r="L96" s="49" t="n"/>
      <c r="M96" s="49" t="n"/>
      <c r="N96" s="49" t="n"/>
      <c r="O96" s="49" t="n"/>
      <c r="P96" s="49" t="n"/>
      <c r="Q96" s="49" t="n"/>
    </row>
    <row r="97">
      <c r="B97" s="49" t="n"/>
      <c r="C97" s="49" t="n"/>
      <c r="D97" s="49" t="n"/>
      <c r="E97" s="49" t="n"/>
      <c r="F97" s="49" t="n"/>
      <c r="G97" s="49" t="n"/>
      <c r="H97" s="49" t="n"/>
      <c r="I97" s="49" t="n"/>
      <c r="J97" s="49" t="n"/>
      <c r="K97" s="49" t="n"/>
      <c r="L97" s="49" t="n"/>
      <c r="M97" s="49" t="n"/>
      <c r="N97" s="49" t="n"/>
      <c r="O97" s="49" t="n"/>
      <c r="P97" s="49" t="n"/>
      <c r="Q97" s="49" t="n"/>
    </row>
    <row r="98">
      <c r="B98" s="49" t="n"/>
      <c r="C98" s="49" t="n"/>
      <c r="D98" s="49" t="n"/>
      <c r="E98" s="49" t="n"/>
      <c r="F98" s="49" t="n"/>
      <c r="G98" s="49" t="n"/>
      <c r="H98" s="49" t="n"/>
      <c r="I98" s="49" t="n"/>
      <c r="J98" s="49" t="n"/>
      <c r="K98" s="49" t="n"/>
      <c r="L98" s="49" t="n"/>
      <c r="M98" s="49" t="n"/>
      <c r="N98" s="49" t="n"/>
      <c r="O98" s="49" t="n"/>
      <c r="P98" s="49" t="n"/>
      <c r="Q98" s="49" t="n"/>
    </row>
    <row r="99">
      <c r="B99" s="49" t="n"/>
      <c r="C99" s="49" t="n"/>
      <c r="D99" s="49" t="n"/>
      <c r="E99" s="49" t="n"/>
      <c r="F99" s="49" t="n"/>
      <c r="G99" s="49" t="n"/>
      <c r="H99" s="49" t="n"/>
      <c r="I99" s="49" t="n"/>
      <c r="J99" s="49" t="n"/>
      <c r="K99" s="49" t="n"/>
      <c r="L99" s="49" t="n"/>
      <c r="M99" s="49" t="n"/>
      <c r="N99" s="49" t="n"/>
      <c r="O99" s="49" t="n"/>
      <c r="P99" s="49" t="n"/>
      <c r="Q99" s="49" t="n"/>
    </row>
    <row r="100">
      <c r="B100" s="49" t="n"/>
      <c r="C100" s="49" t="n"/>
      <c r="D100" s="49" t="n"/>
      <c r="E100" s="49" t="n"/>
      <c r="F100" s="49" t="n"/>
      <c r="G100" s="49" t="n"/>
      <c r="H100" s="49" t="n"/>
      <c r="I100" s="49" t="n"/>
      <c r="J100" s="49" t="n"/>
      <c r="K100" s="49" t="n"/>
      <c r="L100" s="49" t="n"/>
      <c r="M100" s="49" t="n"/>
      <c r="N100" s="49" t="n"/>
      <c r="O100" s="49" t="n"/>
      <c r="P100" s="49" t="n"/>
      <c r="Q100" s="49" t="n"/>
    </row>
    <row r="101">
      <c r="B101" s="49" t="n"/>
      <c r="C101" s="49" t="n"/>
      <c r="D101" s="49" t="n"/>
      <c r="E101" s="49" t="n"/>
      <c r="F101" s="49" t="n"/>
      <c r="G101" s="49" t="n"/>
      <c r="H101" s="49" t="n"/>
      <c r="I101" s="49" t="n"/>
      <c r="J101" s="49" t="n"/>
      <c r="K101" s="49" t="n"/>
      <c r="L101" s="49" t="n"/>
      <c r="M101" s="49" t="n"/>
      <c r="N101" s="49" t="n"/>
      <c r="O101" s="49" t="n"/>
      <c r="P101" s="49" t="n"/>
      <c r="Q101" s="49" t="n"/>
    </row>
    <row r="102">
      <c r="B102" s="49" t="n"/>
      <c r="C102" s="49" t="n"/>
      <c r="D102" s="49" t="n"/>
      <c r="E102" s="49" t="n"/>
      <c r="F102" s="49" t="n"/>
      <c r="G102" s="49" t="n"/>
      <c r="H102" s="49" t="n"/>
      <c r="I102" s="49" t="n"/>
      <c r="J102" s="49" t="n"/>
      <c r="K102" s="49" t="n"/>
      <c r="L102" s="49" t="n"/>
      <c r="M102" s="49" t="n"/>
      <c r="N102" s="49" t="n"/>
      <c r="O102" s="49" t="n"/>
      <c r="P102" s="49" t="n"/>
      <c r="Q102" s="49" t="n"/>
    </row>
    <row r="103">
      <c r="B103" s="49" t="n"/>
      <c r="C103" s="49" t="n"/>
      <c r="D103" s="49" t="n"/>
      <c r="E103" s="49" t="n"/>
      <c r="F103" s="49" t="n"/>
      <c r="G103" s="49" t="n"/>
      <c r="H103" s="49" t="n"/>
      <c r="I103" s="49" t="n"/>
      <c r="J103" s="49" t="n"/>
      <c r="K103" s="49" t="n"/>
      <c r="L103" s="49" t="n"/>
      <c r="M103" s="49" t="n"/>
      <c r="N103" s="49" t="n"/>
      <c r="O103" s="49" t="n"/>
      <c r="P103" s="49" t="n"/>
      <c r="Q103" s="49" t="n"/>
    </row>
    <row r="104">
      <c r="B104" s="49" t="n"/>
      <c r="C104" s="49" t="n"/>
      <c r="D104" s="49" t="n"/>
      <c r="E104" s="49" t="n"/>
      <c r="F104" s="49" t="n"/>
      <c r="G104" s="49" t="n"/>
      <c r="H104" s="49" t="n"/>
      <c r="I104" s="49" t="n"/>
      <c r="J104" s="49" t="n"/>
      <c r="K104" s="49" t="n"/>
      <c r="L104" s="49" t="n"/>
      <c r="M104" s="49" t="n"/>
      <c r="N104" s="49" t="n"/>
      <c r="O104" s="49" t="n"/>
      <c r="P104" s="49" t="n"/>
      <c r="Q104" s="49" t="n"/>
    </row>
    <row r="105">
      <c r="B105" s="49" t="n"/>
      <c r="C105" s="49" t="n"/>
      <c r="D105" s="49" t="n"/>
      <c r="E105" s="49" t="n"/>
      <c r="F105" s="49" t="n"/>
      <c r="G105" s="49" t="n"/>
      <c r="H105" s="49" t="n"/>
      <c r="I105" s="49" t="n"/>
      <c r="J105" s="49" t="n"/>
      <c r="K105" s="49" t="n"/>
      <c r="L105" s="49" t="n"/>
      <c r="M105" s="49" t="n"/>
      <c r="N105" s="49" t="n"/>
      <c r="O105" s="49" t="n"/>
      <c r="P105" s="49" t="n"/>
      <c r="Q105" s="49" t="n"/>
    </row>
    <row r="106">
      <c r="B106" s="49" t="n"/>
      <c r="C106" s="49" t="n"/>
      <c r="D106" s="49" t="n"/>
      <c r="E106" s="49" t="n"/>
      <c r="F106" s="49" t="n"/>
      <c r="G106" s="49" t="n"/>
      <c r="H106" s="49" t="n"/>
      <c r="I106" s="49" t="n"/>
      <c r="J106" s="49" t="n"/>
      <c r="K106" s="49" t="n"/>
      <c r="L106" s="49" t="n"/>
      <c r="M106" s="49" t="n"/>
      <c r="N106" s="49" t="n"/>
      <c r="O106" s="49" t="n"/>
      <c r="P106" s="49" t="n"/>
      <c r="Q106" s="49" t="n"/>
    </row>
    <row r="107">
      <c r="B107" s="49" t="n"/>
      <c r="C107" s="49" t="n"/>
      <c r="D107" s="49" t="n"/>
      <c r="E107" s="49" t="n"/>
      <c r="F107" s="49" t="n"/>
      <c r="G107" s="49" t="n"/>
      <c r="H107" s="49" t="n"/>
      <c r="I107" s="49" t="n"/>
      <c r="J107" s="49" t="n"/>
      <c r="K107" s="49" t="n"/>
      <c r="L107" s="49" t="n"/>
      <c r="M107" s="49" t="n"/>
      <c r="N107" s="49" t="n"/>
      <c r="O107" s="49" t="n"/>
      <c r="P107" s="49" t="n"/>
      <c r="Q107" s="49" t="n"/>
    </row>
    <row r="108">
      <c r="B108" s="49" t="n"/>
      <c r="C108" s="49" t="n"/>
      <c r="D108" s="49" t="n"/>
      <c r="E108" s="49" t="n"/>
      <c r="F108" s="49" t="n"/>
      <c r="G108" s="49" t="n"/>
      <c r="H108" s="49" t="n"/>
      <c r="I108" s="49" t="n"/>
      <c r="J108" s="49" t="n"/>
      <c r="K108" s="49" t="n"/>
      <c r="L108" s="49" t="n"/>
      <c r="M108" s="49" t="n"/>
      <c r="N108" s="49" t="n"/>
      <c r="O108" s="49" t="n"/>
      <c r="P108" s="49" t="n"/>
      <c r="Q108" s="49" t="n"/>
    </row>
    <row r="109">
      <c r="B109" s="49" t="n"/>
      <c r="C109" s="49" t="n"/>
      <c r="D109" s="49" t="n"/>
      <c r="E109" s="49" t="n"/>
      <c r="F109" s="49" t="n"/>
      <c r="G109" s="49" t="n"/>
      <c r="H109" s="49" t="n"/>
      <c r="I109" s="49" t="n"/>
      <c r="J109" s="49" t="n"/>
      <c r="K109" s="49" t="n"/>
      <c r="L109" s="49" t="n"/>
      <c r="M109" s="49" t="n"/>
      <c r="N109" s="49" t="n"/>
      <c r="O109" s="49" t="n"/>
      <c r="P109" s="49" t="n"/>
      <c r="Q109" s="49" t="n"/>
    </row>
    <row r="110">
      <c r="B110" s="49" t="n"/>
      <c r="C110" s="49" t="n"/>
      <c r="D110" s="49" t="n"/>
      <c r="E110" s="49" t="n"/>
      <c r="F110" s="49" t="n"/>
      <c r="G110" s="49" t="n"/>
      <c r="H110" s="49" t="n"/>
      <c r="I110" s="49" t="n"/>
      <c r="J110" s="49" t="n"/>
      <c r="K110" s="49" t="n"/>
      <c r="L110" s="49" t="n"/>
      <c r="M110" s="49" t="n"/>
      <c r="N110" s="49" t="n"/>
      <c r="O110" s="49" t="n"/>
      <c r="P110" s="49" t="n"/>
      <c r="Q110" s="49" t="n"/>
    </row>
    <row r="111">
      <c r="B111" s="49" t="n"/>
      <c r="C111" s="49" t="n"/>
      <c r="D111" s="49" t="n"/>
      <c r="E111" s="49" t="n"/>
      <c r="F111" s="49" t="n"/>
      <c r="G111" s="49" t="n"/>
      <c r="H111" s="49" t="n"/>
      <c r="I111" s="49" t="n"/>
      <c r="J111" s="49" t="n"/>
      <c r="K111" s="49" t="n"/>
      <c r="L111" s="49" t="n"/>
      <c r="M111" s="49" t="n"/>
      <c r="N111" s="49" t="n"/>
      <c r="O111" s="49" t="n"/>
      <c r="P111" s="49" t="n"/>
      <c r="Q111" s="49" t="n"/>
    </row>
    <row r="112">
      <c r="B112" s="49" t="n"/>
      <c r="C112" s="49" t="n"/>
      <c r="D112" s="49" t="n"/>
      <c r="E112" s="49" t="n"/>
      <c r="F112" s="49" t="n"/>
      <c r="G112" s="49" t="n"/>
      <c r="H112" s="49" t="n"/>
      <c r="I112" s="49" t="n"/>
      <c r="J112" s="49" t="n"/>
      <c r="K112" s="49" t="n"/>
      <c r="L112" s="49" t="n"/>
      <c r="M112" s="49" t="n"/>
      <c r="N112" s="49" t="n"/>
      <c r="O112" s="49" t="n"/>
      <c r="P112" s="49" t="n"/>
      <c r="Q112" s="49" t="n"/>
    </row>
    <row r="113">
      <c r="B113" s="49" t="n"/>
      <c r="C113" s="49" t="n"/>
      <c r="D113" s="49" t="n"/>
      <c r="E113" s="49" t="n"/>
      <c r="F113" s="49" t="n"/>
      <c r="G113" s="49" t="n"/>
      <c r="H113" s="49" t="n"/>
      <c r="I113" s="49" t="n"/>
      <c r="J113" s="49" t="n"/>
      <c r="K113" s="49" t="n"/>
      <c r="L113" s="49" t="n"/>
      <c r="M113" s="49" t="n"/>
      <c r="N113" s="49" t="n"/>
      <c r="O113" s="49" t="n"/>
      <c r="P113" s="49" t="n"/>
      <c r="Q113" s="49" t="n"/>
    </row>
    <row r="114">
      <c r="B114" s="49" t="n"/>
      <c r="C114" s="49" t="n"/>
      <c r="D114" s="49" t="n"/>
      <c r="E114" s="49" t="n"/>
      <c r="F114" s="49" t="n"/>
      <c r="G114" s="49" t="n"/>
      <c r="H114" s="49" t="n"/>
      <c r="I114" s="49" t="n"/>
      <c r="J114" s="49" t="n"/>
      <c r="K114" s="49" t="n"/>
      <c r="L114" s="49" t="n"/>
      <c r="M114" s="49" t="n"/>
      <c r="N114" s="49" t="n"/>
      <c r="O114" s="49" t="n"/>
      <c r="P114" s="49" t="n"/>
      <c r="Q114" s="49" t="n"/>
    </row>
    <row r="115">
      <c r="B115" s="49" t="n"/>
      <c r="C115" s="49" t="n"/>
      <c r="D115" s="49" t="n"/>
      <c r="E115" s="49" t="n"/>
      <c r="F115" s="49" t="n"/>
      <c r="G115" s="49" t="n"/>
      <c r="H115" s="49" t="n"/>
      <c r="I115" s="49" t="n"/>
      <c r="J115" s="49" t="n"/>
      <c r="K115" s="49" t="n"/>
      <c r="L115" s="49" t="n"/>
      <c r="M115" s="49" t="n"/>
      <c r="N115" s="49" t="n"/>
      <c r="O115" s="49" t="n"/>
      <c r="P115" s="49" t="n"/>
      <c r="Q115" s="49" t="n"/>
    </row>
    <row r="116">
      <c r="B116" s="49" t="n"/>
      <c r="C116" s="49" t="n"/>
      <c r="D116" s="49" t="n"/>
      <c r="E116" s="49" t="n"/>
      <c r="F116" s="49" t="n"/>
      <c r="G116" s="49" t="n"/>
      <c r="H116" s="49" t="n"/>
      <c r="I116" s="49" t="n"/>
      <c r="J116" s="49" t="n"/>
      <c r="K116" s="49" t="n"/>
      <c r="L116" s="49" t="n"/>
      <c r="M116" s="49" t="n"/>
      <c r="N116" s="49" t="n"/>
      <c r="O116" s="49" t="n"/>
      <c r="P116" s="49" t="n"/>
      <c r="Q116" s="49" t="n"/>
    </row>
    <row r="117">
      <c r="B117" s="49" t="n"/>
      <c r="C117" s="49" t="n"/>
      <c r="D117" s="49" t="n"/>
      <c r="E117" s="49" t="n"/>
      <c r="F117" s="49" t="n"/>
      <c r="G117" s="49" t="n"/>
      <c r="H117" s="49" t="n"/>
      <c r="I117" s="49" t="n"/>
      <c r="J117" s="49" t="n"/>
      <c r="K117" s="49" t="n"/>
      <c r="L117" s="49" t="n"/>
      <c r="M117" s="49" t="n"/>
      <c r="N117" s="49" t="n"/>
      <c r="O117" s="49" t="n"/>
      <c r="P117" s="49" t="n"/>
      <c r="Q117" s="49" t="n"/>
    </row>
    <row r="118">
      <c r="B118" s="49" t="n"/>
      <c r="C118" s="49" t="n"/>
      <c r="D118" s="49" t="n"/>
      <c r="E118" s="49" t="n"/>
      <c r="F118" s="49" t="n"/>
      <c r="G118" s="49" t="n"/>
      <c r="H118" s="49" t="n"/>
      <c r="I118" s="49" t="n"/>
      <c r="J118" s="49" t="n"/>
      <c r="K118" s="49" t="n"/>
      <c r="L118" s="49" t="n"/>
      <c r="M118" s="49" t="n"/>
      <c r="N118" s="49" t="n"/>
      <c r="O118" s="49" t="n"/>
      <c r="P118" s="49" t="n"/>
      <c r="Q118" s="49" t="n"/>
    </row>
    <row r="119">
      <c r="B119" s="49" t="n"/>
      <c r="C119" s="49" t="n"/>
      <c r="D119" s="49" t="n"/>
      <c r="E119" s="49" t="n"/>
      <c r="F119" s="49" t="n"/>
      <c r="G119" s="49" t="n"/>
      <c r="H119" s="49" t="n"/>
      <c r="I119" s="49" t="n"/>
      <c r="J119" s="49" t="n"/>
      <c r="K119" s="49" t="n"/>
      <c r="L119" s="49" t="n"/>
      <c r="M119" s="49" t="n"/>
      <c r="N119" s="49" t="n"/>
      <c r="O119" s="49" t="n"/>
      <c r="P119" s="49" t="n"/>
      <c r="Q119" s="49" t="n"/>
    </row>
    <row r="120">
      <c r="B120" s="49" t="n"/>
      <c r="C120" s="49" t="n"/>
      <c r="D120" s="49" t="n"/>
      <c r="E120" s="49" t="n"/>
      <c r="F120" s="49" t="n"/>
      <c r="G120" s="49" t="n"/>
      <c r="H120" s="49" t="n"/>
      <c r="I120" s="49" t="n"/>
      <c r="J120" s="49" t="n"/>
      <c r="K120" s="49" t="n"/>
      <c r="L120" s="49" t="n"/>
      <c r="M120" s="49" t="n"/>
      <c r="N120" s="49" t="n"/>
      <c r="O120" s="49" t="n"/>
      <c r="P120" s="49" t="n"/>
      <c r="Q120" s="49" t="n"/>
    </row>
    <row r="121">
      <c r="B121" s="49" t="n"/>
      <c r="C121" s="49" t="n"/>
      <c r="D121" s="49" t="n"/>
      <c r="E121" s="49" t="n"/>
      <c r="F121" s="49" t="n"/>
      <c r="G121" s="49" t="n"/>
      <c r="H121" s="49" t="n"/>
      <c r="I121" s="49" t="n"/>
      <c r="J121" s="49" t="n"/>
      <c r="K121" s="49" t="n"/>
      <c r="L121" s="49" t="n"/>
      <c r="M121" s="49" t="n"/>
      <c r="N121" s="49" t="n"/>
      <c r="O121" s="49" t="n"/>
      <c r="P121" s="49" t="n"/>
      <c r="Q121" s="49" t="n"/>
    </row>
    <row r="122">
      <c r="B122" s="49" t="n"/>
      <c r="C122" s="49" t="n"/>
      <c r="D122" s="49" t="n"/>
      <c r="E122" s="49" t="n"/>
      <c r="F122" s="49" t="n"/>
      <c r="G122" s="49" t="n"/>
      <c r="H122" s="49" t="n"/>
      <c r="I122" s="49" t="n"/>
      <c r="J122" s="49" t="n"/>
      <c r="K122" s="49" t="n"/>
      <c r="L122" s="49" t="n"/>
      <c r="M122" s="49" t="n"/>
      <c r="N122" s="49" t="n"/>
      <c r="O122" s="49" t="n"/>
      <c r="P122" s="49" t="n"/>
      <c r="Q122" s="49" t="n"/>
    </row>
    <row r="123">
      <c r="B123" s="49" t="n"/>
      <c r="C123" s="49" t="n"/>
      <c r="D123" s="49" t="n"/>
      <c r="E123" s="49" t="n"/>
      <c r="F123" s="49" t="n"/>
      <c r="G123" s="49" t="n"/>
      <c r="H123" s="49" t="n"/>
      <c r="I123" s="49" t="n"/>
      <c r="J123" s="49" t="n"/>
      <c r="K123" s="49" t="n"/>
      <c r="L123" s="49" t="n"/>
      <c r="M123" s="49" t="n"/>
      <c r="N123" s="49" t="n"/>
      <c r="O123" s="49" t="n"/>
      <c r="P123" s="49" t="n"/>
      <c r="Q123" s="49" t="n"/>
    </row>
    <row r="124">
      <c r="B124" s="49" t="n"/>
      <c r="C124" s="49" t="n"/>
      <c r="D124" s="49" t="n"/>
      <c r="E124" s="49" t="n"/>
      <c r="F124" s="49" t="n"/>
      <c r="G124" s="49" t="n"/>
      <c r="H124" s="49" t="n"/>
      <c r="I124" s="49" t="n"/>
      <c r="J124" s="49" t="n"/>
      <c r="K124" s="49" t="n"/>
      <c r="L124" s="49" t="n"/>
      <c r="M124" s="49" t="n"/>
      <c r="N124" s="49" t="n"/>
      <c r="O124" s="49" t="n"/>
      <c r="P124" s="49" t="n"/>
      <c r="Q124" s="49" t="n"/>
    </row>
    <row r="125">
      <c r="B125" s="49" t="n"/>
      <c r="C125" s="49" t="n"/>
      <c r="D125" s="49" t="n"/>
      <c r="E125" s="49" t="n"/>
      <c r="F125" s="49" t="n"/>
      <c r="G125" s="49" t="n"/>
      <c r="H125" s="49" t="n"/>
      <c r="I125" s="49" t="n"/>
      <c r="J125" s="49" t="n"/>
      <c r="K125" s="49" t="n"/>
      <c r="L125" s="49" t="n"/>
      <c r="M125" s="49" t="n"/>
      <c r="N125" s="49" t="n"/>
      <c r="O125" s="49" t="n"/>
      <c r="P125" s="49" t="n"/>
      <c r="Q125" s="49" t="n"/>
    </row>
    <row r="126">
      <c r="B126" s="49" t="n"/>
      <c r="C126" s="49" t="n"/>
      <c r="D126" s="49" t="n"/>
      <c r="E126" s="49" t="n"/>
      <c r="F126" s="49" t="n"/>
      <c r="G126" s="49" t="n"/>
      <c r="H126" s="49" t="n"/>
      <c r="I126" s="49" t="n"/>
      <c r="J126" s="49" t="n"/>
      <c r="K126" s="49" t="n"/>
      <c r="L126" s="49" t="n"/>
      <c r="M126" s="49" t="n"/>
      <c r="N126" s="49" t="n"/>
      <c r="O126" s="49" t="n"/>
      <c r="P126" s="49" t="n"/>
      <c r="Q126" s="49" t="n"/>
    </row>
    <row r="127">
      <c r="B127" s="49" t="n"/>
      <c r="C127" s="49" t="n"/>
      <c r="D127" s="49" t="n"/>
      <c r="E127" s="49" t="n"/>
      <c r="F127" s="49" t="n"/>
      <c r="G127" s="49" t="n"/>
      <c r="H127" s="49" t="n"/>
      <c r="I127" s="49" t="n"/>
      <c r="J127" s="49" t="n"/>
      <c r="K127" s="49" t="n"/>
      <c r="L127" s="49" t="n"/>
      <c r="M127" s="49" t="n"/>
      <c r="N127" s="49" t="n"/>
      <c r="O127" s="49" t="n"/>
      <c r="P127" s="49" t="n"/>
      <c r="Q127" s="49" t="n"/>
    </row>
    <row r="128">
      <c r="B128" s="49" t="n"/>
      <c r="C128" s="49" t="n"/>
      <c r="D128" s="49" t="n"/>
      <c r="E128" s="49" t="n"/>
      <c r="F128" s="49" t="n"/>
      <c r="G128" s="49" t="n"/>
      <c r="H128" s="49" t="n"/>
      <c r="I128" s="49" t="n"/>
      <c r="J128" s="49" t="n"/>
      <c r="K128" s="49" t="n"/>
      <c r="L128" s="49" t="n"/>
      <c r="M128" s="49" t="n"/>
      <c r="N128" s="49" t="n"/>
      <c r="O128" s="49" t="n"/>
      <c r="P128" s="49" t="n"/>
      <c r="Q128" s="49" t="n"/>
    </row>
    <row r="129">
      <c r="B129" s="49" t="n"/>
      <c r="C129" s="49" t="n"/>
      <c r="D129" s="49" t="n"/>
      <c r="E129" s="49" t="n"/>
      <c r="F129" s="49" t="n"/>
      <c r="G129" s="49" t="n"/>
      <c r="H129" s="49" t="n"/>
      <c r="I129" s="49" t="n"/>
      <c r="J129" s="49" t="n"/>
      <c r="K129" s="49" t="n"/>
      <c r="L129" s="49" t="n"/>
      <c r="M129" s="49" t="n"/>
      <c r="N129" s="49" t="n"/>
      <c r="O129" s="49" t="n"/>
      <c r="P129" s="49" t="n"/>
      <c r="Q129" s="49" t="n"/>
    </row>
    <row r="130">
      <c r="B130" s="49" t="n"/>
      <c r="C130" s="49" t="n"/>
      <c r="D130" s="49" t="n"/>
      <c r="E130" s="49" t="n"/>
      <c r="F130" s="49" t="n"/>
      <c r="G130" s="49" t="n"/>
      <c r="H130" s="49" t="n"/>
      <c r="I130" s="49" t="n"/>
      <c r="J130" s="49" t="n"/>
      <c r="K130" s="49" t="n"/>
      <c r="L130" s="49" t="n"/>
      <c r="M130" s="49" t="n"/>
      <c r="N130" s="49" t="n"/>
      <c r="O130" s="49" t="n"/>
      <c r="P130" s="49" t="n"/>
      <c r="Q130" s="49" t="n"/>
    </row>
    <row r="131">
      <c r="B131" s="49" t="n"/>
      <c r="C131" s="49" t="n"/>
      <c r="D131" s="49" t="n"/>
      <c r="E131" s="49" t="n"/>
      <c r="F131" s="49" t="n"/>
      <c r="G131" s="49" t="n"/>
      <c r="H131" s="49" t="n"/>
      <c r="I131" s="49" t="n"/>
      <c r="J131" s="49" t="n"/>
      <c r="K131" s="49" t="n"/>
      <c r="L131" s="49" t="n"/>
      <c r="M131" s="49" t="n"/>
      <c r="N131" s="49" t="n"/>
      <c r="O131" s="49" t="n"/>
      <c r="P131" s="49" t="n"/>
      <c r="Q131" s="49" t="n"/>
    </row>
    <row r="132">
      <c r="B132" s="49" t="n"/>
      <c r="C132" s="49" t="n"/>
      <c r="D132" s="49" t="n"/>
      <c r="E132" s="49" t="n"/>
      <c r="F132" s="49" t="n"/>
      <c r="G132" s="49" t="n"/>
      <c r="H132" s="49" t="n"/>
      <c r="I132" s="49" t="n"/>
      <c r="J132" s="49" t="n"/>
      <c r="K132" s="49" t="n"/>
      <c r="L132" s="49" t="n"/>
      <c r="M132" s="49" t="n"/>
      <c r="N132" s="49" t="n"/>
      <c r="O132" s="49" t="n"/>
      <c r="P132" s="49" t="n"/>
      <c r="Q132" s="49" t="n"/>
    </row>
    <row r="133">
      <c r="B133" s="49" t="n"/>
      <c r="C133" s="49" t="n"/>
      <c r="D133" s="49" t="n"/>
      <c r="E133" s="49" t="n"/>
      <c r="F133" s="49" t="n"/>
      <c r="G133" s="49" t="n"/>
      <c r="H133" s="49" t="n"/>
      <c r="I133" s="49" t="n"/>
      <c r="J133" s="49" t="n"/>
      <c r="K133" s="49" t="n"/>
      <c r="L133" s="49" t="n"/>
      <c r="M133" s="49" t="n"/>
      <c r="N133" s="49" t="n"/>
      <c r="O133" s="49" t="n"/>
      <c r="P133" s="49" t="n"/>
      <c r="Q133" s="49" t="n"/>
    </row>
    <row r="134">
      <c r="B134" s="49" t="n"/>
      <c r="C134" s="49" t="n"/>
      <c r="D134" s="49" t="n"/>
      <c r="E134" s="49" t="n"/>
      <c r="F134" s="49" t="n"/>
      <c r="G134" s="49" t="n"/>
      <c r="H134" s="49" t="n"/>
      <c r="I134" s="49" t="n"/>
      <c r="J134" s="49" t="n"/>
      <c r="K134" s="49" t="n"/>
      <c r="L134" s="49" t="n"/>
      <c r="M134" s="49" t="n"/>
      <c r="N134" s="49" t="n"/>
      <c r="O134" s="49" t="n"/>
      <c r="P134" s="49" t="n"/>
      <c r="Q134" s="49" t="n"/>
    </row>
    <row r="135">
      <c r="B135" s="49" t="n"/>
      <c r="C135" s="49" t="n"/>
      <c r="D135" s="49" t="n"/>
      <c r="E135" s="49" t="n"/>
      <c r="F135" s="49" t="n"/>
      <c r="G135" s="49" t="n"/>
      <c r="H135" s="49" t="n"/>
      <c r="I135" s="49" t="n"/>
      <c r="J135" s="49" t="n"/>
      <c r="K135" s="49" t="n"/>
      <c r="L135" s="49" t="n"/>
      <c r="M135" s="49" t="n"/>
      <c r="N135" s="49" t="n"/>
      <c r="O135" s="49" t="n"/>
      <c r="P135" s="49" t="n"/>
      <c r="Q135" s="49" t="n"/>
    </row>
    <row r="136">
      <c r="B136" s="49" t="n"/>
      <c r="C136" s="49" t="n"/>
      <c r="D136" s="49" t="n"/>
      <c r="E136" s="49" t="n"/>
      <c r="F136" s="49" t="n"/>
      <c r="G136" s="49" t="n"/>
      <c r="H136" s="49" t="n"/>
      <c r="I136" s="49" t="n"/>
      <c r="J136" s="49" t="n"/>
      <c r="K136" s="49" t="n"/>
      <c r="L136" s="49" t="n"/>
      <c r="M136" s="49" t="n"/>
      <c r="N136" s="49" t="n"/>
      <c r="O136" s="49" t="n"/>
      <c r="P136" s="49" t="n"/>
      <c r="Q136" s="49" t="n"/>
    </row>
    <row r="137">
      <c r="B137" s="49" t="n"/>
      <c r="C137" s="49" t="n"/>
      <c r="D137" s="49" t="n"/>
      <c r="E137" s="49" t="n"/>
      <c r="F137" s="49" t="n"/>
      <c r="G137" s="49" t="n"/>
      <c r="H137" s="49" t="n"/>
      <c r="I137" s="49" t="n"/>
      <c r="J137" s="49" t="n"/>
      <c r="K137" s="49" t="n"/>
      <c r="L137" s="49" t="n"/>
      <c r="M137" s="49" t="n"/>
      <c r="N137" s="49" t="n"/>
      <c r="O137" s="49" t="n"/>
      <c r="P137" s="49" t="n"/>
      <c r="Q137" s="49" t="n"/>
    </row>
    <row r="138">
      <c r="B138" s="49" t="n"/>
      <c r="C138" s="49" t="n"/>
      <c r="D138" s="49" t="n"/>
      <c r="E138" s="49" t="n"/>
      <c r="F138" s="49" t="n"/>
      <c r="G138" s="49" t="n"/>
      <c r="H138" s="49" t="n"/>
      <c r="I138" s="49" t="n"/>
      <c r="J138" s="49" t="n"/>
      <c r="K138" s="49" t="n"/>
      <c r="L138" s="49" t="n"/>
      <c r="M138" s="49" t="n"/>
      <c r="N138" s="49" t="n"/>
      <c r="O138" s="49" t="n"/>
      <c r="P138" s="49" t="n"/>
      <c r="Q138" s="49" t="n"/>
    </row>
    <row r="139">
      <c r="B139" s="49" t="n"/>
      <c r="C139" s="49" t="n"/>
      <c r="D139" s="49" t="n"/>
      <c r="E139" s="49" t="n"/>
      <c r="F139" s="49" t="n"/>
      <c r="G139" s="49" t="n"/>
      <c r="H139" s="49" t="n"/>
      <c r="I139" s="49" t="n"/>
      <c r="J139" s="49" t="n"/>
      <c r="K139" s="49" t="n"/>
      <c r="L139" s="49" t="n"/>
      <c r="M139" s="49" t="n"/>
      <c r="N139" s="49" t="n"/>
      <c r="O139" s="49" t="n"/>
      <c r="P139" s="49" t="n"/>
      <c r="Q139" s="49" t="n"/>
    </row>
    <row r="140">
      <c r="B140" s="49" t="n"/>
      <c r="C140" s="49" t="n"/>
      <c r="D140" s="49" t="n"/>
      <c r="E140" s="49" t="n"/>
      <c r="F140" s="49" t="n"/>
      <c r="G140" s="49" t="n"/>
      <c r="H140" s="49" t="n"/>
      <c r="I140" s="49" t="n"/>
      <c r="J140" s="49" t="n"/>
      <c r="K140" s="49" t="n"/>
      <c r="L140" s="49" t="n"/>
      <c r="M140" s="49" t="n"/>
      <c r="N140" s="49" t="n"/>
      <c r="O140" s="49" t="n"/>
      <c r="P140" s="49" t="n"/>
      <c r="Q140" s="49" t="n"/>
    </row>
    <row r="141">
      <c r="B141" s="49" t="n"/>
      <c r="C141" s="49" t="n"/>
      <c r="D141" s="49" t="n"/>
      <c r="E141" s="49" t="n"/>
      <c r="F141" s="49" t="n"/>
      <c r="G141" s="49" t="n"/>
      <c r="H141" s="49" t="n"/>
      <c r="I141" s="49" t="n"/>
      <c r="J141" s="49" t="n"/>
      <c r="K141" s="49" t="n"/>
      <c r="L141" s="49" t="n"/>
      <c r="M141" s="49" t="n"/>
      <c r="N141" s="49" t="n"/>
      <c r="O141" s="49" t="n"/>
      <c r="P141" s="49" t="n"/>
      <c r="Q141" s="49" t="n"/>
    </row>
    <row r="142">
      <c r="B142" s="49" t="n"/>
      <c r="C142" s="49" t="n"/>
      <c r="D142" s="49" t="n"/>
      <c r="E142" s="49" t="n"/>
      <c r="F142" s="49" t="n"/>
      <c r="G142" s="49" t="n"/>
      <c r="H142" s="49" t="n"/>
      <c r="I142" s="49" t="n"/>
      <c r="J142" s="49" t="n"/>
      <c r="K142" s="49" t="n"/>
      <c r="L142" s="49" t="n"/>
      <c r="M142" s="49" t="n"/>
      <c r="N142" s="49" t="n"/>
      <c r="O142" s="49" t="n"/>
      <c r="P142" s="49" t="n"/>
      <c r="Q142" s="49" t="n"/>
    </row>
    <row r="143">
      <c r="B143" s="49" t="n"/>
      <c r="C143" s="49" t="n"/>
      <c r="D143" s="49" t="n"/>
      <c r="E143" s="49" t="n"/>
      <c r="F143" s="49" t="n"/>
      <c r="G143" s="49" t="n"/>
      <c r="H143" s="49" t="n"/>
      <c r="I143" s="49" t="n"/>
      <c r="J143" s="49" t="n"/>
      <c r="K143" s="49" t="n"/>
      <c r="L143" s="49" t="n"/>
      <c r="M143" s="49" t="n"/>
      <c r="N143" s="49" t="n"/>
      <c r="O143" s="49" t="n"/>
      <c r="P143" s="49" t="n"/>
      <c r="Q143" s="49" t="n"/>
    </row>
    <row r="144">
      <c r="B144" s="49" t="n"/>
      <c r="C144" s="49" t="n"/>
      <c r="D144" s="49" t="n"/>
      <c r="E144" s="49" t="n"/>
      <c r="F144" s="49" t="n"/>
      <c r="G144" s="49" t="n"/>
      <c r="H144" s="49" t="n"/>
      <c r="I144" s="49" t="n"/>
      <c r="J144" s="49" t="n"/>
      <c r="K144" s="49" t="n"/>
      <c r="L144" s="49" t="n"/>
      <c r="M144" s="49" t="n"/>
      <c r="N144" s="49" t="n"/>
      <c r="O144" s="49" t="n"/>
      <c r="P144" s="49" t="n"/>
      <c r="Q144" s="49" t="n"/>
    </row>
    <row r="145">
      <c r="B145" s="49" t="n"/>
      <c r="C145" s="49" t="n"/>
      <c r="D145" s="49" t="n"/>
      <c r="E145" s="49" t="n"/>
      <c r="F145" s="49" t="n"/>
      <c r="G145" s="49" t="n"/>
      <c r="H145" s="49" t="n"/>
      <c r="I145" s="49" t="n"/>
      <c r="J145" s="49" t="n"/>
      <c r="K145" s="49" t="n"/>
      <c r="L145" s="49" t="n"/>
      <c r="M145" s="49" t="n"/>
      <c r="N145" s="49" t="n"/>
      <c r="O145" s="49" t="n"/>
      <c r="P145" s="49" t="n"/>
      <c r="Q145" s="49" t="n"/>
    </row>
    <row r="146">
      <c r="B146" s="49" t="n"/>
      <c r="C146" s="49" t="n"/>
      <c r="D146" s="49" t="n"/>
      <c r="E146" s="49" t="n"/>
      <c r="F146" s="49" t="n"/>
      <c r="G146" s="49" t="n"/>
      <c r="H146" s="49" t="n"/>
      <c r="I146" s="49" t="n"/>
      <c r="J146" s="49" t="n"/>
      <c r="K146" s="49" t="n"/>
      <c r="L146" s="49" t="n"/>
      <c r="M146" s="49" t="n"/>
      <c r="N146" s="49" t="n"/>
      <c r="O146" s="49" t="n"/>
      <c r="P146" s="49" t="n"/>
      <c r="Q146" s="49" t="n"/>
    </row>
    <row r="147">
      <c r="B147" s="49" t="n"/>
      <c r="C147" s="49" t="n"/>
      <c r="D147" s="49" t="n"/>
      <c r="E147" s="49" t="n"/>
      <c r="F147" s="49" t="n"/>
      <c r="G147" s="49" t="n"/>
      <c r="H147" s="49" t="n"/>
      <c r="I147" s="49" t="n"/>
      <c r="J147" s="49" t="n"/>
      <c r="K147" s="49" t="n"/>
      <c r="L147" s="49" t="n"/>
      <c r="M147" s="49" t="n"/>
      <c r="N147" s="49" t="n"/>
      <c r="O147" s="49" t="n"/>
      <c r="P147" s="49" t="n"/>
      <c r="Q147" s="49" t="n"/>
    </row>
    <row r="148">
      <c r="B148" s="49" t="n"/>
      <c r="C148" s="49" t="n"/>
      <c r="D148" s="49" t="n"/>
      <c r="E148" s="49" t="n"/>
      <c r="F148" s="49" t="n"/>
      <c r="G148" s="49" t="n"/>
      <c r="H148" s="49" t="n"/>
      <c r="I148" s="49" t="n"/>
      <c r="J148" s="49" t="n"/>
      <c r="K148" s="49" t="n"/>
      <c r="L148" s="49" t="n"/>
      <c r="M148" s="49" t="n"/>
      <c r="N148" s="49" t="n"/>
      <c r="O148" s="49" t="n"/>
      <c r="P148" s="49" t="n"/>
      <c r="Q148" s="49" t="n"/>
    </row>
    <row r="149">
      <c r="B149" s="49" t="n"/>
      <c r="C149" s="49" t="n"/>
      <c r="D149" s="49" t="n"/>
      <c r="E149" s="49" t="n"/>
      <c r="F149" s="49" t="n"/>
      <c r="G149" s="49" t="n"/>
      <c r="H149" s="49" t="n"/>
      <c r="I149" s="49" t="n"/>
      <c r="J149" s="49" t="n"/>
      <c r="K149" s="49" t="n"/>
      <c r="L149" s="49" t="n"/>
      <c r="M149" s="49" t="n"/>
      <c r="N149" s="49" t="n"/>
      <c r="O149" s="49" t="n"/>
      <c r="P149" s="49" t="n"/>
      <c r="Q149" s="49" t="n"/>
    </row>
    <row r="150">
      <c r="B150" s="49" t="n"/>
      <c r="C150" s="49" t="n"/>
      <c r="D150" s="49" t="n"/>
      <c r="E150" s="49" t="n"/>
      <c r="F150" s="49" t="n"/>
      <c r="G150" s="49" t="n"/>
      <c r="H150" s="49" t="n"/>
      <c r="I150" s="49" t="n"/>
      <c r="J150" s="49" t="n"/>
      <c r="K150" s="49" t="n"/>
      <c r="L150" s="49" t="n"/>
      <c r="M150" s="49" t="n"/>
      <c r="N150" s="49" t="n"/>
      <c r="O150" s="49" t="n"/>
      <c r="P150" s="49" t="n"/>
      <c r="Q150" s="49" t="n"/>
    </row>
    <row r="151">
      <c r="B151" s="49" t="n"/>
      <c r="C151" s="49" t="n"/>
      <c r="D151" s="49" t="n"/>
      <c r="E151" s="49" t="n"/>
      <c r="F151" s="49" t="n"/>
      <c r="G151" s="49" t="n"/>
      <c r="H151" s="49" t="n"/>
      <c r="I151" s="49" t="n"/>
      <c r="J151" s="49" t="n"/>
      <c r="K151" s="49" t="n"/>
      <c r="L151" s="49" t="n"/>
      <c r="M151" s="49" t="n"/>
      <c r="N151" s="49" t="n"/>
      <c r="O151" s="49" t="n"/>
      <c r="P151" s="49" t="n"/>
      <c r="Q151" s="49" t="n"/>
    </row>
    <row r="152">
      <c r="B152" s="49" t="n"/>
      <c r="C152" s="49" t="n"/>
      <c r="D152" s="49" t="n"/>
      <c r="E152" s="49" t="n"/>
      <c r="F152" s="49" t="n"/>
      <c r="G152" s="49" t="n"/>
      <c r="H152" s="49" t="n"/>
      <c r="I152" s="49" t="n"/>
      <c r="J152" s="49" t="n"/>
      <c r="K152" s="49" t="n"/>
      <c r="L152" s="49" t="n"/>
      <c r="M152" s="49" t="n"/>
      <c r="N152" s="49" t="n"/>
      <c r="O152" s="49" t="n"/>
      <c r="P152" s="49" t="n"/>
      <c r="Q152" s="49" t="n"/>
    </row>
    <row r="153">
      <c r="B153" s="49" t="n"/>
      <c r="C153" s="49" t="n"/>
      <c r="D153" s="49" t="n"/>
      <c r="E153" s="49" t="n"/>
      <c r="F153" s="49" t="n"/>
      <c r="G153" s="49" t="n"/>
      <c r="H153" s="49" t="n"/>
      <c r="I153" s="49" t="n"/>
      <c r="J153" s="49" t="n"/>
      <c r="K153" s="49" t="n"/>
      <c r="L153" s="49" t="n"/>
      <c r="M153" s="49" t="n"/>
      <c r="N153" s="49" t="n"/>
      <c r="O153" s="49" t="n"/>
      <c r="P153" s="49" t="n"/>
      <c r="Q153" s="49" t="n"/>
    </row>
    <row r="154">
      <c r="B154" s="49" t="n"/>
      <c r="C154" s="49" t="n"/>
      <c r="D154" s="49" t="n"/>
      <c r="E154" s="49" t="n"/>
      <c r="F154" s="49" t="n"/>
      <c r="G154" s="49" t="n"/>
      <c r="H154" s="49" t="n"/>
      <c r="I154" s="49" t="n"/>
      <c r="J154" s="49" t="n"/>
      <c r="K154" s="49" t="n"/>
      <c r="L154" s="49" t="n"/>
      <c r="M154" s="49" t="n"/>
      <c r="N154" s="49" t="n"/>
      <c r="O154" s="49" t="n"/>
      <c r="P154" s="49" t="n"/>
      <c r="Q154" s="49" t="n"/>
    </row>
    <row r="155">
      <c r="B155" s="49" t="n"/>
      <c r="C155" s="49" t="n"/>
      <c r="D155" s="49" t="n"/>
      <c r="E155" s="49" t="n"/>
      <c r="F155" s="49" t="n"/>
      <c r="G155" s="49" t="n"/>
      <c r="H155" s="49" t="n"/>
      <c r="I155" s="49" t="n"/>
      <c r="J155" s="49" t="n"/>
      <c r="K155" s="49" t="n"/>
      <c r="L155" s="49" t="n"/>
      <c r="M155" s="49" t="n"/>
      <c r="N155" s="49" t="n"/>
      <c r="O155" s="49" t="n"/>
      <c r="P155" s="49" t="n"/>
      <c r="Q155" s="49" t="n"/>
    </row>
    <row r="156">
      <c r="B156" s="49" t="n"/>
      <c r="C156" s="49" t="n"/>
      <c r="D156" s="49" t="n"/>
      <c r="E156" s="49" t="n"/>
      <c r="F156" s="49" t="n"/>
      <c r="G156" s="49" t="n"/>
      <c r="H156" s="49" t="n"/>
      <c r="I156" s="49" t="n"/>
      <c r="J156" s="49" t="n"/>
      <c r="K156" s="49" t="n"/>
      <c r="L156" s="49" t="n"/>
      <c r="M156" s="49" t="n"/>
      <c r="N156" s="49" t="n"/>
      <c r="O156" s="49" t="n"/>
      <c r="P156" s="49" t="n"/>
      <c r="Q156" s="49" t="n"/>
    </row>
    <row r="157">
      <c r="B157" s="49" t="n"/>
      <c r="C157" s="49" t="n"/>
      <c r="D157" s="49" t="n"/>
      <c r="E157" s="49" t="n"/>
      <c r="F157" s="49" t="n"/>
      <c r="G157" s="49" t="n"/>
      <c r="H157" s="49" t="n"/>
      <c r="I157" s="49" t="n"/>
      <c r="J157" s="49" t="n"/>
      <c r="K157" s="49" t="n"/>
      <c r="L157" s="49" t="n"/>
      <c r="M157" s="49" t="n"/>
      <c r="N157" s="49" t="n"/>
      <c r="O157" s="49" t="n"/>
      <c r="P157" s="49" t="n"/>
      <c r="Q157" s="49" t="n"/>
    </row>
    <row r="158">
      <c r="B158" s="49" t="n"/>
      <c r="C158" s="49" t="n"/>
      <c r="D158" s="49" t="n"/>
      <c r="E158" s="49" t="n"/>
      <c r="F158" s="49" t="n"/>
      <c r="G158" s="49" t="n"/>
      <c r="H158" s="49" t="n"/>
      <c r="I158" s="49" t="n"/>
      <c r="J158" s="49" t="n"/>
      <c r="K158" s="49" t="n"/>
      <c r="L158" s="49" t="n"/>
      <c r="M158" s="49" t="n"/>
      <c r="N158" s="49" t="n"/>
      <c r="O158" s="49" t="n"/>
      <c r="P158" s="49" t="n"/>
      <c r="Q158" s="49" t="n"/>
    </row>
    <row r="159">
      <c r="B159" s="49" t="n"/>
      <c r="C159" s="49" t="n"/>
      <c r="D159" s="49" t="n"/>
      <c r="E159" s="49" t="n"/>
      <c r="F159" s="49" t="n"/>
      <c r="G159" s="49" t="n"/>
      <c r="H159" s="49" t="n"/>
      <c r="I159" s="49" t="n"/>
      <c r="J159" s="49" t="n"/>
      <c r="K159" s="49" t="n"/>
      <c r="L159" s="49" t="n"/>
      <c r="M159" s="49" t="n"/>
      <c r="N159" s="49" t="n"/>
      <c r="O159" s="49" t="n"/>
      <c r="P159" s="49" t="n"/>
      <c r="Q159" s="49" t="n"/>
    </row>
    <row r="160">
      <c r="B160" s="49" t="n"/>
      <c r="C160" s="49" t="n"/>
      <c r="D160" s="49" t="n"/>
      <c r="E160" s="49" t="n"/>
      <c r="F160" s="49" t="n"/>
      <c r="G160" s="49" t="n"/>
      <c r="H160" s="49" t="n"/>
      <c r="I160" s="49" t="n"/>
      <c r="J160" s="49" t="n"/>
      <c r="K160" s="49" t="n"/>
      <c r="L160" s="49" t="n"/>
      <c r="M160" s="49" t="n"/>
      <c r="N160" s="49" t="n"/>
      <c r="O160" s="49" t="n"/>
      <c r="P160" s="49" t="n"/>
      <c r="Q160" s="49" t="n"/>
    </row>
    <row r="161">
      <c r="B161" s="49" t="n"/>
      <c r="C161" s="49" t="n"/>
      <c r="D161" s="49" t="n"/>
      <c r="E161" s="49" t="n"/>
      <c r="F161" s="49" t="n"/>
      <c r="G161" s="49" t="n"/>
      <c r="H161" s="49" t="n"/>
      <c r="I161" s="49" t="n"/>
      <c r="J161" s="49" t="n"/>
      <c r="K161" s="49" t="n"/>
      <c r="L161" s="49" t="n"/>
      <c r="M161" s="49" t="n"/>
      <c r="N161" s="49" t="n"/>
      <c r="O161" s="49" t="n"/>
      <c r="P161" s="49" t="n"/>
      <c r="Q161" s="49" t="n"/>
    </row>
    <row r="162">
      <c r="B162" s="49" t="n"/>
      <c r="C162" s="49" t="n"/>
      <c r="D162" s="49" t="n"/>
      <c r="E162" s="49" t="n"/>
      <c r="F162" s="49" t="n"/>
      <c r="G162" s="49" t="n"/>
      <c r="H162" s="49" t="n"/>
      <c r="I162" s="49" t="n"/>
      <c r="J162" s="49" t="n"/>
      <c r="K162" s="49" t="n"/>
      <c r="L162" s="49" t="n"/>
      <c r="M162" s="49" t="n"/>
      <c r="N162" s="49" t="n"/>
      <c r="O162" s="49" t="n"/>
      <c r="P162" s="49" t="n"/>
      <c r="Q162" s="49" t="n"/>
    </row>
    <row r="163">
      <c r="B163" s="49" t="n"/>
      <c r="C163" s="49" t="n"/>
      <c r="D163" s="49" t="n"/>
      <c r="E163" s="49" t="n"/>
      <c r="F163" s="49" t="n"/>
      <c r="G163" s="49" t="n"/>
      <c r="H163" s="49" t="n"/>
      <c r="I163" s="49" t="n"/>
      <c r="J163" s="49" t="n"/>
      <c r="K163" s="49" t="n"/>
      <c r="L163" s="49" t="n"/>
      <c r="M163" s="49" t="n"/>
      <c r="N163" s="49" t="n"/>
      <c r="O163" s="49" t="n"/>
      <c r="P163" s="49" t="n"/>
      <c r="Q163" s="49" t="n"/>
    </row>
    <row r="164">
      <c r="B164" s="49" t="n"/>
      <c r="C164" s="49" t="n"/>
      <c r="D164" s="49" t="n"/>
      <c r="E164" s="49" t="n"/>
      <c r="F164" s="49" t="n"/>
      <c r="G164" s="49" t="n"/>
      <c r="H164" s="49" t="n"/>
      <c r="I164" s="49" t="n"/>
      <c r="J164" s="49" t="n"/>
      <c r="K164" s="49" t="n"/>
      <c r="L164" s="49" t="n"/>
      <c r="M164" s="49" t="n"/>
      <c r="N164" s="49" t="n"/>
      <c r="O164" s="49" t="n"/>
      <c r="P164" s="49" t="n"/>
      <c r="Q164" s="49" t="n"/>
    </row>
    <row r="165">
      <c r="B165" s="49" t="n"/>
      <c r="C165" s="49" t="n"/>
      <c r="D165" s="49" t="n"/>
      <c r="E165" s="49" t="n"/>
      <c r="F165" s="49" t="n"/>
      <c r="G165" s="49" t="n"/>
      <c r="H165" s="49" t="n"/>
      <c r="I165" s="49" t="n"/>
      <c r="J165" s="49" t="n"/>
      <c r="K165" s="49" t="n"/>
      <c r="L165" s="49" t="n"/>
      <c r="M165" s="49" t="n"/>
      <c r="N165" s="49" t="n"/>
      <c r="O165" s="49" t="n"/>
      <c r="P165" s="49" t="n"/>
      <c r="Q165" s="49" t="n"/>
    </row>
    <row r="166">
      <c r="B166" s="49" t="n"/>
      <c r="C166" s="49" t="n"/>
      <c r="D166" s="49" t="n"/>
      <c r="E166" s="49" t="n"/>
      <c r="F166" s="49" t="n"/>
      <c r="G166" s="49" t="n"/>
      <c r="H166" s="49" t="n"/>
      <c r="I166" s="49" t="n"/>
      <c r="J166" s="49" t="n"/>
      <c r="K166" s="49" t="n"/>
      <c r="L166" s="49" t="n"/>
      <c r="M166" s="49" t="n"/>
      <c r="N166" s="49" t="n"/>
      <c r="O166" s="49" t="n"/>
      <c r="P166" s="49" t="n"/>
      <c r="Q166" s="49" t="n"/>
    </row>
    <row r="167">
      <c r="B167" s="49" t="n"/>
      <c r="C167" s="49" t="n"/>
      <c r="D167" s="49" t="n"/>
      <c r="E167" s="49" t="n"/>
      <c r="F167" s="49" t="n"/>
      <c r="G167" s="49" t="n"/>
      <c r="H167" s="49" t="n"/>
      <c r="I167" s="49" t="n"/>
      <c r="J167" s="49" t="n"/>
      <c r="K167" s="49" t="n"/>
      <c r="L167" s="49" t="n"/>
      <c r="M167" s="49" t="n"/>
      <c r="N167" s="49" t="n"/>
      <c r="O167" s="49" t="n"/>
      <c r="P167" s="49" t="n"/>
      <c r="Q167" s="49" t="n"/>
    </row>
    <row r="168">
      <c r="B168" s="49" t="n"/>
      <c r="C168" s="49" t="n"/>
      <c r="D168" s="49" t="n"/>
      <c r="E168" s="49" t="n"/>
      <c r="F168" s="49" t="n"/>
      <c r="G168" s="49" t="n"/>
      <c r="H168" s="49" t="n"/>
      <c r="I168" s="49" t="n"/>
      <c r="J168" s="49" t="n"/>
      <c r="K168" s="49" t="n"/>
      <c r="L168" s="49" t="n"/>
      <c r="M168" s="49" t="n"/>
      <c r="N168" s="49" t="n"/>
      <c r="O168" s="49" t="n"/>
      <c r="P168" s="49" t="n"/>
      <c r="Q168" s="49" t="n"/>
    </row>
    <row r="169">
      <c r="B169" s="49" t="n"/>
      <c r="C169" s="49" t="n"/>
      <c r="D169" s="49" t="n"/>
      <c r="E169" s="49" t="n"/>
      <c r="F169" s="49" t="n"/>
      <c r="G169" s="49" t="n"/>
      <c r="H169" s="49" t="n"/>
      <c r="I169" s="49" t="n"/>
      <c r="J169" s="49" t="n"/>
      <c r="K169" s="49" t="n"/>
      <c r="L169" s="49" t="n"/>
      <c r="M169" s="49" t="n"/>
      <c r="N169" s="49" t="n"/>
      <c r="O169" s="49" t="n"/>
      <c r="P169" s="49" t="n"/>
      <c r="Q169" s="49" t="n"/>
    </row>
    <row r="170">
      <c r="B170" s="49" t="n"/>
      <c r="C170" s="49" t="n"/>
      <c r="D170" s="49" t="n"/>
      <c r="E170" s="49" t="n"/>
      <c r="F170" s="49" t="n"/>
      <c r="G170" s="49" t="n"/>
      <c r="H170" s="49" t="n"/>
      <c r="I170" s="49" t="n"/>
      <c r="J170" s="49" t="n"/>
      <c r="K170" s="49" t="n"/>
      <c r="L170" s="49" t="n"/>
      <c r="M170" s="49" t="n"/>
      <c r="N170" s="49" t="n"/>
      <c r="O170" s="49" t="n"/>
      <c r="P170" s="49" t="n"/>
      <c r="Q170" s="49" t="n"/>
    </row>
    <row r="171">
      <c r="B171" s="49" t="n"/>
      <c r="C171" s="49" t="n"/>
      <c r="D171" s="49" t="n"/>
      <c r="E171" s="49" t="n"/>
      <c r="F171" s="49" t="n"/>
      <c r="G171" s="49" t="n"/>
      <c r="H171" s="49" t="n"/>
      <c r="I171" s="49" t="n"/>
      <c r="J171" s="49" t="n"/>
      <c r="K171" s="49" t="n"/>
      <c r="L171" s="49" t="n"/>
      <c r="M171" s="49" t="n"/>
      <c r="N171" s="49" t="n"/>
      <c r="O171" s="49" t="n"/>
      <c r="P171" s="49" t="n"/>
      <c r="Q171" s="49" t="n"/>
    </row>
    <row r="172">
      <c r="B172" s="49" t="n"/>
      <c r="C172" s="49" t="n"/>
      <c r="D172" s="49" t="n"/>
      <c r="E172" s="49" t="n"/>
      <c r="F172" s="49" t="n"/>
      <c r="G172" s="49" t="n"/>
      <c r="H172" s="49" t="n"/>
      <c r="I172" s="49" t="n"/>
      <c r="J172" s="49" t="n"/>
      <c r="K172" s="49" t="n"/>
      <c r="L172" s="49" t="n"/>
      <c r="M172" s="49" t="n"/>
      <c r="N172" s="49" t="n"/>
      <c r="O172" s="49" t="n"/>
      <c r="P172" s="49" t="n"/>
      <c r="Q172" s="49" t="n"/>
    </row>
    <row r="173">
      <c r="B173" s="49" t="n"/>
      <c r="C173" s="49" t="n"/>
      <c r="D173" s="49" t="n"/>
      <c r="E173" s="49" t="n"/>
      <c r="F173" s="49" t="n"/>
      <c r="G173" s="49" t="n"/>
      <c r="H173" s="49" t="n"/>
      <c r="I173" s="49" t="n"/>
      <c r="J173" s="49" t="n"/>
      <c r="K173" s="49" t="n"/>
      <c r="L173" s="49" t="n"/>
      <c r="M173" s="49" t="n"/>
      <c r="N173" s="49" t="n"/>
      <c r="O173" s="49" t="n"/>
      <c r="P173" s="49" t="n"/>
      <c r="Q173" s="49" t="n"/>
    </row>
    <row r="174">
      <c r="B174" s="49" t="n"/>
      <c r="C174" s="49" t="n"/>
      <c r="D174" s="49" t="n"/>
      <c r="E174" s="49" t="n"/>
      <c r="F174" s="49" t="n"/>
      <c r="G174" s="49" t="n"/>
      <c r="H174" s="49" t="n"/>
      <c r="I174" s="49" t="n"/>
      <c r="J174" s="49" t="n"/>
      <c r="K174" s="49" t="n"/>
      <c r="L174" s="49" t="n"/>
      <c r="M174" s="49" t="n"/>
      <c r="N174" s="49" t="n"/>
      <c r="O174" s="49" t="n"/>
      <c r="P174" s="49" t="n"/>
      <c r="Q174" s="49" t="n"/>
    </row>
    <row r="175">
      <c r="B175" s="49" t="n"/>
      <c r="C175" s="49" t="n"/>
      <c r="D175" s="49" t="n"/>
      <c r="E175" s="49" t="n"/>
      <c r="F175" s="49" t="n"/>
      <c r="G175" s="49" t="n"/>
      <c r="H175" s="49" t="n"/>
      <c r="I175" s="49" t="n"/>
      <c r="J175" s="49" t="n"/>
      <c r="K175" s="49" t="n"/>
      <c r="L175" s="49" t="n"/>
      <c r="M175" s="49" t="n"/>
      <c r="N175" s="49" t="n"/>
      <c r="O175" s="49" t="n"/>
      <c r="P175" s="49" t="n"/>
      <c r="Q175" s="49" t="n"/>
    </row>
    <row r="176">
      <c r="B176" s="49" t="n"/>
      <c r="C176" s="49" t="n"/>
      <c r="D176" s="49" t="n"/>
      <c r="E176" s="49" t="n"/>
      <c r="F176" s="49" t="n"/>
      <c r="G176" s="49" t="n"/>
      <c r="H176" s="49" t="n"/>
      <c r="I176" s="49" t="n"/>
      <c r="J176" s="49" t="n"/>
      <c r="K176" s="49" t="n"/>
      <c r="L176" s="49" t="n"/>
      <c r="M176" s="49" t="n"/>
      <c r="N176" s="49" t="n"/>
      <c r="O176" s="49" t="n"/>
      <c r="P176" s="49" t="n"/>
      <c r="Q176" s="49" t="n"/>
    </row>
    <row r="177">
      <c r="B177" s="49" t="n"/>
      <c r="C177" s="49" t="n"/>
      <c r="D177" s="49" t="n"/>
      <c r="E177" s="49" t="n"/>
      <c r="F177" s="49" t="n"/>
      <c r="G177" s="49" t="n"/>
      <c r="H177" s="49" t="n"/>
      <c r="I177" s="49" t="n"/>
      <c r="J177" s="49" t="n"/>
      <c r="K177" s="49" t="n"/>
      <c r="L177" s="49" t="n"/>
      <c r="M177" s="49" t="n"/>
      <c r="N177" s="49" t="n"/>
      <c r="O177" s="49" t="n"/>
      <c r="P177" s="49" t="n"/>
      <c r="Q177" s="49" t="n"/>
    </row>
    <row r="178">
      <c r="B178" s="49" t="n"/>
      <c r="C178" s="49" t="n"/>
      <c r="D178" s="49" t="n"/>
      <c r="E178" s="49" t="n"/>
      <c r="F178" s="49" t="n"/>
      <c r="G178" s="49" t="n"/>
      <c r="H178" s="49" t="n"/>
      <c r="I178" s="49" t="n"/>
      <c r="J178" s="49" t="n"/>
      <c r="K178" s="49" t="n"/>
      <c r="L178" s="49" t="n"/>
      <c r="M178" s="49" t="n"/>
      <c r="N178" s="49" t="n"/>
      <c r="O178" s="49" t="n"/>
      <c r="P178" s="49" t="n"/>
      <c r="Q178" s="49" t="n"/>
    </row>
    <row r="179">
      <c r="B179" s="49" t="n"/>
      <c r="C179" s="49" t="n"/>
      <c r="D179" s="49" t="n"/>
      <c r="E179" s="49" t="n"/>
      <c r="F179" s="49" t="n"/>
      <c r="G179" s="49" t="n"/>
      <c r="H179" s="49" t="n"/>
      <c r="I179" s="49" t="n"/>
      <c r="J179" s="49" t="n"/>
      <c r="K179" s="49" t="n"/>
      <c r="L179" s="49" t="n"/>
      <c r="M179" s="49" t="n"/>
      <c r="N179" s="49" t="n"/>
      <c r="O179" s="49" t="n"/>
      <c r="P179" s="49" t="n"/>
      <c r="Q179" s="49" t="n"/>
    </row>
    <row r="180">
      <c r="B180" s="49" t="n"/>
      <c r="C180" s="49" t="n"/>
      <c r="D180" s="49" t="n"/>
      <c r="E180" s="49" t="n"/>
      <c r="F180" s="49" t="n"/>
      <c r="G180" s="49" t="n"/>
      <c r="H180" s="49" t="n"/>
      <c r="I180" s="49" t="n"/>
      <c r="J180" s="49" t="n"/>
      <c r="K180" s="49" t="n"/>
      <c r="L180" s="49" t="n"/>
      <c r="M180" s="49" t="n"/>
      <c r="N180" s="49" t="n"/>
      <c r="O180" s="49" t="n"/>
      <c r="P180" s="49" t="n"/>
      <c r="Q180" s="49" t="n"/>
    </row>
    <row r="181">
      <c r="B181" s="49" t="n"/>
      <c r="C181" s="49" t="n"/>
      <c r="D181" s="49" t="n"/>
      <c r="E181" s="49" t="n"/>
      <c r="F181" s="49" t="n"/>
      <c r="G181" s="49" t="n"/>
      <c r="H181" s="49" t="n"/>
      <c r="I181" s="49" t="n"/>
      <c r="J181" s="49" t="n"/>
      <c r="K181" s="49" t="n"/>
      <c r="L181" s="49" t="n"/>
      <c r="M181" s="49" t="n"/>
      <c r="N181" s="49" t="n"/>
      <c r="O181" s="49" t="n"/>
      <c r="P181" s="49" t="n"/>
      <c r="Q181" s="49" t="n"/>
    </row>
    <row r="182">
      <c r="B182" s="49" t="n"/>
      <c r="C182" s="49" t="n"/>
      <c r="D182" s="49" t="n"/>
      <c r="E182" s="49" t="n"/>
      <c r="F182" s="49" t="n"/>
      <c r="G182" s="49" t="n"/>
      <c r="H182" s="49" t="n"/>
      <c r="I182" s="49" t="n"/>
      <c r="J182" s="49" t="n"/>
      <c r="K182" s="49" t="n"/>
      <c r="L182" s="49" t="n"/>
      <c r="M182" s="49" t="n"/>
      <c r="N182" s="49" t="n"/>
      <c r="O182" s="49" t="n"/>
      <c r="P182" s="49" t="n"/>
      <c r="Q182" s="49" t="n"/>
    </row>
    <row r="183">
      <c r="B183" s="49" t="n"/>
      <c r="C183" s="49" t="n"/>
      <c r="D183" s="49" t="n"/>
      <c r="E183" s="49" t="n"/>
      <c r="F183" s="49" t="n"/>
      <c r="G183" s="49" t="n"/>
      <c r="H183" s="49" t="n"/>
      <c r="I183" s="49" t="n"/>
      <c r="J183" s="49" t="n"/>
      <c r="K183" s="49" t="n"/>
      <c r="L183" s="49" t="n"/>
      <c r="M183" s="49" t="n"/>
      <c r="N183" s="49" t="n"/>
      <c r="O183" s="49" t="n"/>
      <c r="P183" s="49" t="n"/>
      <c r="Q183" s="49" t="n"/>
    </row>
    <row r="184">
      <c r="B184" s="49" t="n"/>
      <c r="C184" s="49" t="n"/>
      <c r="D184" s="49" t="n"/>
      <c r="E184" s="49" t="n"/>
      <c r="F184" s="49" t="n"/>
      <c r="G184" s="49" t="n"/>
      <c r="H184" s="49" t="n"/>
      <c r="I184" s="49" t="n"/>
      <c r="J184" s="49" t="n"/>
      <c r="K184" s="49" t="n"/>
      <c r="L184" s="49" t="n"/>
      <c r="M184" s="49" t="n"/>
      <c r="N184" s="49" t="n"/>
      <c r="O184" s="49" t="n"/>
      <c r="P184" s="49" t="n"/>
      <c r="Q184" s="49" t="n"/>
    </row>
    <row r="185">
      <c r="B185" s="49" t="n"/>
      <c r="C185" s="49" t="n"/>
      <c r="D185" s="49" t="n"/>
      <c r="E185" s="49" t="n"/>
      <c r="F185" s="49" t="n"/>
      <c r="G185" s="49" t="n"/>
      <c r="H185" s="49" t="n"/>
      <c r="I185" s="49" t="n"/>
      <c r="J185" s="49" t="n"/>
      <c r="K185" s="49" t="n"/>
      <c r="L185" s="49" t="n"/>
      <c r="M185" s="49" t="n"/>
      <c r="N185" s="49" t="n"/>
      <c r="O185" s="49" t="n"/>
      <c r="P185" s="49" t="n"/>
      <c r="Q185" s="49" t="n"/>
    </row>
    <row r="186">
      <c r="B186" s="49" t="n"/>
      <c r="C186" s="49" t="n"/>
      <c r="D186" s="49" t="n"/>
      <c r="E186" s="49" t="n"/>
      <c r="F186" s="49" t="n"/>
      <c r="G186" s="49" t="n"/>
      <c r="H186" s="49" t="n"/>
      <c r="I186" s="49" t="n"/>
      <c r="J186" s="49" t="n"/>
      <c r="K186" s="49" t="n"/>
      <c r="L186" s="49" t="n"/>
      <c r="M186" s="49" t="n"/>
      <c r="N186" s="49" t="n"/>
      <c r="O186" s="49" t="n"/>
      <c r="P186" s="49" t="n"/>
      <c r="Q186" s="49" t="n"/>
    </row>
    <row r="187">
      <c r="B187" s="49" t="n"/>
      <c r="C187" s="49" t="n"/>
      <c r="D187" s="49" t="n"/>
      <c r="E187" s="49" t="n"/>
      <c r="F187" s="49" t="n"/>
      <c r="G187" s="49" t="n"/>
      <c r="H187" s="49" t="n"/>
      <c r="I187" s="49" t="n"/>
      <c r="J187" s="49" t="n"/>
      <c r="K187" s="49" t="n"/>
      <c r="L187" s="49" t="n"/>
      <c r="M187" s="49" t="n"/>
      <c r="N187" s="49" t="n"/>
      <c r="O187" s="49" t="n"/>
      <c r="P187" s="49" t="n"/>
      <c r="Q187" s="49" t="n"/>
    </row>
    <row r="188">
      <c r="B188" s="49" t="n"/>
      <c r="C188" s="49" t="n"/>
      <c r="D188" s="49" t="n"/>
      <c r="E188" s="49" t="n"/>
      <c r="F188" s="49" t="n"/>
      <c r="G188" s="49" t="n"/>
      <c r="H188" s="49" t="n"/>
      <c r="I188" s="49" t="n"/>
      <c r="J188" s="49" t="n"/>
      <c r="K188" s="49" t="n"/>
      <c r="L188" s="49" t="n"/>
      <c r="M188" s="49" t="n"/>
      <c r="N188" s="49" t="n"/>
      <c r="O188" s="49" t="n"/>
      <c r="P188" s="49" t="n"/>
      <c r="Q188" s="49" t="n"/>
    </row>
    <row r="189">
      <c r="B189" s="49" t="n"/>
      <c r="C189" s="49" t="n"/>
      <c r="D189" s="49" t="n"/>
      <c r="E189" s="49" t="n"/>
      <c r="F189" s="49" t="n"/>
      <c r="G189" s="49" t="n"/>
      <c r="H189" s="49" t="n"/>
      <c r="I189" s="49" t="n"/>
      <c r="J189" s="49" t="n"/>
      <c r="K189" s="49" t="n"/>
      <c r="L189" s="49" t="n"/>
      <c r="M189" s="49" t="n"/>
      <c r="N189" s="49" t="n"/>
      <c r="O189" s="49" t="n"/>
      <c r="P189" s="49" t="n"/>
      <c r="Q189" s="49" t="n"/>
    </row>
    <row r="190">
      <c r="B190" s="49" t="n"/>
      <c r="C190" s="49" t="n"/>
      <c r="D190" s="49" t="n"/>
      <c r="E190" s="49" t="n"/>
      <c r="F190" s="49" t="n"/>
      <c r="G190" s="49" t="n"/>
      <c r="H190" s="49" t="n"/>
      <c r="I190" s="49" t="n"/>
      <c r="J190" s="49" t="n"/>
      <c r="K190" s="49" t="n"/>
      <c r="L190" s="49" t="n"/>
      <c r="M190" s="49" t="n"/>
      <c r="N190" s="49" t="n"/>
      <c r="O190" s="49" t="n"/>
      <c r="P190" s="49" t="n"/>
      <c r="Q190" s="49" t="n"/>
    </row>
    <row r="191">
      <c r="B191" s="49" t="n"/>
      <c r="C191" s="49" t="n"/>
      <c r="D191" s="49" t="n"/>
      <c r="E191" s="49" t="n"/>
      <c r="F191" s="49" t="n"/>
      <c r="G191" s="49" t="n"/>
      <c r="H191" s="49" t="n"/>
      <c r="I191" s="49" t="n"/>
      <c r="J191" s="49" t="n"/>
      <c r="K191" s="49" t="n"/>
      <c r="L191" s="49" t="n"/>
      <c r="M191" s="49" t="n"/>
      <c r="N191" s="49" t="n"/>
      <c r="O191" s="49" t="n"/>
      <c r="P191" s="49" t="n"/>
      <c r="Q191" s="49" t="n"/>
    </row>
    <row r="192">
      <c r="B192" s="49" t="n"/>
      <c r="C192" s="49" t="n"/>
      <c r="D192" s="49" t="n"/>
      <c r="E192" s="49" t="n"/>
      <c r="F192" s="49" t="n"/>
      <c r="G192" s="49" t="n"/>
      <c r="H192" s="49" t="n"/>
      <c r="I192" s="49" t="n"/>
      <c r="J192" s="49" t="n"/>
      <c r="K192" s="49" t="n"/>
      <c r="L192" s="49" t="n"/>
      <c r="M192" s="49" t="n"/>
      <c r="N192" s="49" t="n"/>
      <c r="O192" s="49" t="n"/>
      <c r="P192" s="49" t="n"/>
      <c r="Q192" s="49" t="n"/>
    </row>
    <row r="193">
      <c r="B193" s="49" t="n"/>
      <c r="C193" s="49" t="n"/>
      <c r="D193" s="49" t="n"/>
      <c r="E193" s="49" t="n"/>
      <c r="F193" s="49" t="n"/>
      <c r="G193" s="49" t="n"/>
      <c r="H193" s="49" t="n"/>
      <c r="I193" s="49" t="n"/>
      <c r="J193" s="49" t="n"/>
      <c r="K193" s="49" t="n"/>
      <c r="L193" s="49" t="n"/>
      <c r="M193" s="49" t="n"/>
      <c r="N193" s="49" t="n"/>
      <c r="O193" s="49" t="n"/>
      <c r="P193" s="49" t="n"/>
      <c r="Q193" s="49" t="n"/>
    </row>
    <row r="194">
      <c r="B194" s="49" t="n"/>
      <c r="C194" s="49" t="n"/>
      <c r="D194" s="49" t="n"/>
      <c r="E194" s="49" t="n"/>
      <c r="F194" s="49" t="n"/>
      <c r="G194" s="49" t="n"/>
      <c r="H194" s="49" t="n"/>
      <c r="I194" s="49" t="n"/>
      <c r="J194" s="49" t="n"/>
      <c r="K194" s="49" t="n"/>
      <c r="L194" s="49" t="n"/>
      <c r="M194" s="49" t="n"/>
      <c r="N194" s="49" t="n"/>
      <c r="O194" s="49" t="n"/>
      <c r="P194" s="49" t="n"/>
      <c r="Q194" s="49" t="n"/>
    </row>
    <row r="195">
      <c r="B195" s="49" t="n"/>
      <c r="C195" s="49" t="n"/>
      <c r="D195" s="49" t="n"/>
      <c r="E195" s="49" t="n"/>
      <c r="F195" s="49" t="n"/>
      <c r="G195" s="49" t="n"/>
      <c r="H195" s="49" t="n"/>
      <c r="I195" s="49" t="n"/>
      <c r="J195" s="49" t="n"/>
      <c r="K195" s="49" t="n"/>
      <c r="L195" s="49" t="n"/>
      <c r="M195" s="49" t="n"/>
      <c r="N195" s="49" t="n"/>
      <c r="O195" s="49" t="n"/>
      <c r="P195" s="49" t="n"/>
      <c r="Q195" s="49" t="n"/>
    </row>
    <row r="196">
      <c r="B196" s="49" t="n"/>
      <c r="C196" s="49" t="n"/>
      <c r="D196" s="49" t="n"/>
      <c r="E196" s="49" t="n"/>
      <c r="F196" s="49" t="n"/>
      <c r="G196" s="49" t="n"/>
      <c r="H196" s="49" t="n"/>
      <c r="I196" s="49" t="n"/>
      <c r="J196" s="49" t="n"/>
      <c r="K196" s="49" t="n"/>
      <c r="L196" s="49" t="n"/>
      <c r="M196" s="49" t="n"/>
      <c r="N196" s="49" t="n"/>
      <c r="O196" s="49" t="n"/>
      <c r="P196" s="49" t="n"/>
      <c r="Q196" s="49" t="n"/>
    </row>
    <row r="197">
      <c r="B197" s="49" t="n"/>
      <c r="C197" s="49" t="n"/>
      <c r="D197" s="49" t="n"/>
      <c r="E197" s="49" t="n"/>
      <c r="F197" s="49" t="n"/>
      <c r="G197" s="49" t="n"/>
      <c r="H197" s="49" t="n"/>
      <c r="I197" s="49" t="n"/>
      <c r="J197" s="49" t="n"/>
      <c r="K197" s="49" t="n"/>
      <c r="L197" s="49" t="n"/>
      <c r="M197" s="49" t="n"/>
      <c r="N197" s="49" t="n"/>
      <c r="O197" s="49" t="n"/>
      <c r="P197" s="49" t="n"/>
      <c r="Q197" s="49" t="n"/>
    </row>
    <row r="198">
      <c r="B198" s="49" t="n"/>
      <c r="C198" s="49" t="n"/>
      <c r="D198" s="49" t="n"/>
      <c r="E198" s="49" t="n"/>
      <c r="F198" s="49" t="n"/>
      <c r="G198" s="49" t="n"/>
      <c r="H198" s="49" t="n"/>
      <c r="I198" s="49" t="n"/>
      <c r="J198" s="49" t="n"/>
      <c r="K198" s="49" t="n"/>
      <c r="L198" s="49" t="n"/>
      <c r="M198" s="49" t="n"/>
      <c r="N198" s="49" t="n"/>
      <c r="O198" s="49" t="n"/>
      <c r="P198" s="49" t="n"/>
      <c r="Q198" s="49" t="n"/>
    </row>
    <row r="199">
      <c r="B199" s="49" t="n"/>
      <c r="C199" s="49" t="n"/>
      <c r="D199" s="49" t="n"/>
      <c r="E199" s="49" t="n"/>
      <c r="F199" s="49" t="n"/>
      <c r="G199" s="49" t="n"/>
      <c r="H199" s="49" t="n"/>
      <c r="I199" s="49" t="n"/>
      <c r="J199" s="49" t="n"/>
      <c r="K199" s="49" t="n"/>
      <c r="L199" s="49" t="n"/>
      <c r="M199" s="49" t="n"/>
      <c r="N199" s="49" t="n"/>
      <c r="O199" s="49" t="n"/>
      <c r="P199" s="49" t="n"/>
      <c r="Q199" s="49" t="n"/>
    </row>
    <row r="200">
      <c r="B200" s="49" t="n"/>
      <c r="C200" s="49" t="n"/>
      <c r="D200" s="49" t="n"/>
      <c r="E200" s="49" t="n"/>
      <c r="F200" s="49" t="n"/>
      <c r="G200" s="49" t="n"/>
      <c r="H200" s="49" t="n"/>
      <c r="I200" s="49" t="n"/>
      <c r="J200" s="49" t="n"/>
      <c r="K200" s="49" t="n"/>
      <c r="L200" s="49" t="n"/>
      <c r="M200" s="49" t="n"/>
      <c r="N200" s="49" t="n"/>
      <c r="O200" s="49" t="n"/>
      <c r="P200" s="49" t="n"/>
      <c r="Q200" s="49" t="n"/>
    </row>
    <row r="201">
      <c r="B201" s="49" t="n"/>
      <c r="C201" s="49" t="n"/>
      <c r="D201" s="49" t="n"/>
      <c r="E201" s="49" t="n"/>
      <c r="F201" s="49" t="n"/>
      <c r="G201" s="49" t="n"/>
      <c r="H201" s="49" t="n"/>
      <c r="I201" s="49" t="n"/>
      <c r="J201" s="49" t="n"/>
      <c r="K201" s="49" t="n"/>
      <c r="L201" s="49" t="n"/>
      <c r="M201" s="49" t="n"/>
      <c r="N201" s="49" t="n"/>
      <c r="O201" s="49" t="n"/>
      <c r="P201" s="49" t="n"/>
      <c r="Q201" s="49" t="n"/>
    </row>
    <row r="202">
      <c r="B202" s="49" t="n"/>
      <c r="C202" s="49" t="n"/>
      <c r="D202" s="49" t="n"/>
      <c r="E202" s="49" t="n"/>
      <c r="F202" s="49" t="n"/>
      <c r="G202" s="49" t="n"/>
      <c r="H202" s="49" t="n"/>
      <c r="I202" s="49" t="n"/>
      <c r="J202" s="49" t="n"/>
      <c r="K202" s="49" t="n"/>
      <c r="L202" s="49" t="n"/>
      <c r="M202" s="49" t="n"/>
      <c r="N202" s="49" t="n"/>
      <c r="O202" s="49" t="n"/>
      <c r="P202" s="49" t="n"/>
      <c r="Q202" s="49" t="n"/>
    </row>
    <row r="203">
      <c r="B203" s="49" t="n"/>
      <c r="C203" s="49" t="n"/>
      <c r="D203" s="49" t="n"/>
      <c r="E203" s="49" t="n"/>
      <c r="F203" s="49" t="n"/>
      <c r="G203" s="49" t="n"/>
      <c r="H203" s="49" t="n"/>
      <c r="I203" s="49" t="n"/>
      <c r="J203" s="49" t="n"/>
      <c r="K203" s="49" t="n"/>
      <c r="L203" s="49" t="n"/>
      <c r="M203" s="49" t="n"/>
      <c r="N203" s="49" t="n"/>
      <c r="O203" s="49" t="n"/>
      <c r="P203" s="49" t="n"/>
      <c r="Q203" s="49" t="n"/>
    </row>
    <row r="204">
      <c r="B204" s="49" t="n"/>
      <c r="C204" s="49" t="n"/>
      <c r="D204" s="49" t="n"/>
      <c r="E204" s="49" t="n"/>
      <c r="F204" s="49" t="n"/>
      <c r="G204" s="49" t="n"/>
      <c r="H204" s="49" t="n"/>
      <c r="I204" s="49" t="n"/>
      <c r="J204" s="49" t="n"/>
      <c r="K204" s="49" t="n"/>
      <c r="L204" s="49" t="n"/>
      <c r="M204" s="49" t="n"/>
      <c r="N204" s="49" t="n"/>
      <c r="O204" s="49" t="n"/>
      <c r="P204" s="49" t="n"/>
      <c r="Q204" s="49" t="n"/>
    </row>
    <row r="205">
      <c r="B205" s="49" t="n"/>
      <c r="C205" s="49" t="n"/>
      <c r="D205" s="49" t="n"/>
      <c r="E205" s="49" t="n"/>
      <c r="F205" s="49" t="n"/>
      <c r="G205" s="49" t="n"/>
      <c r="H205" s="49" t="n"/>
      <c r="I205" s="49" t="n"/>
      <c r="J205" s="49" t="n"/>
      <c r="K205" s="49" t="n"/>
      <c r="L205" s="49" t="n"/>
      <c r="M205" s="49" t="n"/>
      <c r="N205" s="49" t="n"/>
      <c r="O205" s="49" t="n"/>
      <c r="P205" s="49" t="n"/>
      <c r="Q205" s="49" t="n"/>
    </row>
    <row r="206">
      <c r="B206" s="49" t="n"/>
      <c r="C206" s="49" t="n"/>
      <c r="D206" s="49" t="n"/>
      <c r="E206" s="49" t="n"/>
      <c r="F206" s="49" t="n"/>
      <c r="G206" s="49" t="n"/>
      <c r="H206" s="49" t="n"/>
      <c r="I206" s="49" t="n"/>
      <c r="J206" s="49" t="n"/>
      <c r="K206" s="49" t="n"/>
      <c r="L206" s="49" t="n"/>
      <c r="M206" s="49" t="n"/>
      <c r="N206" s="49" t="n"/>
      <c r="O206" s="49" t="n"/>
      <c r="P206" s="49" t="n"/>
      <c r="Q206" s="49" t="n"/>
    </row>
    <row r="207">
      <c r="B207" s="49" t="n"/>
      <c r="C207" s="49" t="n"/>
      <c r="D207" s="49" t="n"/>
      <c r="E207" s="49" t="n"/>
      <c r="F207" s="49" t="n"/>
      <c r="G207" s="49" t="n"/>
      <c r="H207" s="49" t="n"/>
      <c r="I207" s="49" t="n"/>
      <c r="J207" s="49" t="n"/>
      <c r="K207" s="49" t="n"/>
      <c r="L207" s="49" t="n"/>
      <c r="M207" s="49" t="n"/>
      <c r="N207" s="49" t="n"/>
      <c r="O207" s="49" t="n"/>
      <c r="P207" s="49" t="n"/>
      <c r="Q207" s="49" t="n"/>
    </row>
    <row r="208">
      <c r="B208" s="49" t="n"/>
      <c r="C208" s="49" t="n"/>
      <c r="D208" s="49" t="n"/>
      <c r="E208" s="49" t="n"/>
      <c r="F208" s="49" t="n"/>
      <c r="G208" s="49" t="n"/>
      <c r="H208" s="49" t="n"/>
      <c r="I208" s="49" t="n"/>
      <c r="J208" s="49" t="n"/>
      <c r="K208" s="49" t="n"/>
      <c r="L208" s="49" t="n"/>
      <c r="M208" s="49" t="n"/>
      <c r="N208" s="49" t="n"/>
      <c r="O208" s="49" t="n"/>
      <c r="P208" s="49" t="n"/>
      <c r="Q208" s="49" t="n"/>
    </row>
    <row r="209">
      <c r="B209" s="49" t="n"/>
      <c r="C209" s="49" t="n"/>
      <c r="D209" s="49" t="n"/>
      <c r="E209" s="49" t="n"/>
      <c r="F209" s="49" t="n"/>
      <c r="G209" s="49" t="n"/>
      <c r="H209" s="49" t="n"/>
      <c r="I209" s="49" t="n"/>
      <c r="J209" s="49" t="n"/>
      <c r="K209" s="49" t="n"/>
      <c r="L209" s="49" t="n"/>
      <c r="M209" s="49" t="n"/>
      <c r="N209" s="49" t="n"/>
      <c r="O209" s="49" t="n"/>
      <c r="P209" s="49" t="n"/>
      <c r="Q209" s="49" t="n"/>
    </row>
    <row r="210">
      <c r="B210" s="49" t="n"/>
      <c r="C210" s="49" t="n"/>
      <c r="D210" s="49" t="n"/>
      <c r="E210" s="49" t="n"/>
      <c r="F210" s="49" t="n"/>
      <c r="G210" s="49" t="n"/>
      <c r="H210" s="49" t="n"/>
      <c r="I210" s="49" t="n"/>
      <c r="J210" s="49" t="n"/>
      <c r="K210" s="49" t="n"/>
      <c r="L210" s="49" t="n"/>
      <c r="M210" s="49" t="n"/>
      <c r="N210" s="49" t="n"/>
      <c r="O210" s="49" t="n"/>
      <c r="P210" s="49" t="n"/>
      <c r="Q210" s="49" t="n"/>
    </row>
    <row r="211">
      <c r="B211" s="49" t="n"/>
      <c r="C211" s="49" t="n"/>
      <c r="D211" s="49" t="n"/>
      <c r="E211" s="49" t="n"/>
      <c r="F211" s="49" t="n"/>
      <c r="G211" s="49" t="n"/>
      <c r="H211" s="49" t="n"/>
      <c r="I211" s="49" t="n"/>
      <c r="J211" s="49" t="n"/>
      <c r="K211" s="49" t="n"/>
      <c r="L211" s="49" t="n"/>
      <c r="M211" s="49" t="n"/>
      <c r="N211" s="49" t="n"/>
      <c r="O211" s="49" t="n"/>
      <c r="P211" s="49" t="n"/>
      <c r="Q211" s="49" t="n"/>
    </row>
    <row r="212">
      <c r="B212" s="49" t="n"/>
      <c r="C212" s="49" t="n"/>
      <c r="D212" s="49" t="n"/>
      <c r="E212" s="49" t="n"/>
      <c r="F212" s="49" t="n"/>
      <c r="G212" s="49" t="n"/>
      <c r="H212" s="49" t="n"/>
      <c r="I212" s="49" t="n"/>
      <c r="J212" s="49" t="n"/>
      <c r="K212" s="49" t="n"/>
      <c r="L212" s="49" t="n"/>
      <c r="M212" s="49" t="n"/>
      <c r="N212" s="49" t="n"/>
      <c r="O212" s="49" t="n"/>
      <c r="P212" s="49" t="n"/>
      <c r="Q212" s="49" t="n"/>
    </row>
    <row r="213">
      <c r="B213" s="49" t="n"/>
      <c r="C213" s="49" t="n"/>
      <c r="D213" s="49" t="n"/>
      <c r="E213" s="49" t="n"/>
      <c r="F213" s="49" t="n"/>
      <c r="G213" s="49" t="n"/>
      <c r="H213" s="49" t="n"/>
      <c r="I213" s="49" t="n"/>
      <c r="J213" s="49" t="n"/>
      <c r="K213" s="49" t="n"/>
      <c r="L213" s="49" t="n"/>
      <c r="M213" s="49" t="n"/>
      <c r="N213" s="49" t="n"/>
      <c r="O213" s="49" t="n"/>
      <c r="P213" s="49" t="n"/>
      <c r="Q213" s="49" t="n"/>
    </row>
    <row r="214">
      <c r="B214" s="49" t="n"/>
      <c r="C214" s="49" t="n"/>
      <c r="D214" s="49" t="n"/>
      <c r="E214" s="49" t="n"/>
      <c r="F214" s="49" t="n"/>
      <c r="G214" s="49" t="n"/>
      <c r="H214" s="49" t="n"/>
      <c r="I214" s="49" t="n"/>
      <c r="J214" s="49" t="n"/>
      <c r="K214" s="49" t="n"/>
      <c r="L214" s="49" t="n"/>
      <c r="M214" s="49" t="n"/>
      <c r="N214" s="49" t="n"/>
      <c r="O214" s="49" t="n"/>
      <c r="P214" s="49" t="n"/>
      <c r="Q214" s="49" t="n"/>
    </row>
    <row r="215">
      <c r="B215" s="49" t="n"/>
      <c r="C215" s="49" t="n"/>
      <c r="D215" s="49" t="n"/>
      <c r="E215" s="49" t="n"/>
      <c r="F215" s="49" t="n"/>
      <c r="G215" s="49" t="n"/>
      <c r="H215" s="49" t="n"/>
      <c r="I215" s="49" t="n"/>
      <c r="J215" s="49" t="n"/>
      <c r="K215" s="49" t="n"/>
      <c r="L215" s="49" t="n"/>
      <c r="M215" s="49" t="n"/>
      <c r="N215" s="49" t="n"/>
      <c r="O215" s="49" t="n"/>
      <c r="P215" s="49" t="n"/>
      <c r="Q215" s="49" t="n"/>
    </row>
    <row r="216">
      <c r="B216" s="49" t="n"/>
      <c r="C216" s="49" t="n"/>
      <c r="D216" s="49" t="n"/>
      <c r="E216" s="49" t="n"/>
      <c r="F216" s="49" t="n"/>
      <c r="G216" s="49" t="n"/>
      <c r="H216" s="49" t="n"/>
      <c r="I216" s="49" t="n"/>
      <c r="J216" s="49" t="n"/>
      <c r="K216" s="49" t="n"/>
      <c r="L216" s="49" t="n"/>
      <c r="M216" s="49" t="n"/>
      <c r="N216" s="49" t="n"/>
      <c r="O216" s="49" t="n"/>
      <c r="P216" s="49" t="n"/>
      <c r="Q216" s="49" t="n"/>
    </row>
    <row r="217">
      <c r="B217" s="49" t="n"/>
      <c r="C217" s="49" t="n"/>
      <c r="D217" s="49" t="n"/>
      <c r="E217" s="49" t="n"/>
      <c r="F217" s="49" t="n"/>
      <c r="G217" s="49" t="n"/>
      <c r="H217" s="49" t="n"/>
      <c r="I217" s="49" t="n"/>
      <c r="J217" s="49" t="n"/>
      <c r="K217" s="49" t="n"/>
      <c r="L217" s="49" t="n"/>
      <c r="M217" s="49" t="n"/>
      <c r="N217" s="49" t="n"/>
      <c r="O217" s="49" t="n"/>
      <c r="P217" s="49" t="n"/>
      <c r="Q217" s="49" t="n"/>
    </row>
    <row r="218">
      <c r="B218" s="49" t="n"/>
      <c r="C218" s="49" t="n"/>
      <c r="D218" s="49" t="n"/>
      <c r="E218" s="49" t="n"/>
      <c r="F218" s="49" t="n"/>
      <c r="G218" s="49" t="n"/>
      <c r="H218" s="49" t="n"/>
      <c r="I218" s="49" t="n"/>
      <c r="J218" s="49" t="n"/>
      <c r="K218" s="49" t="n"/>
      <c r="L218" s="49" t="n"/>
      <c r="M218" s="49" t="n"/>
      <c r="N218" s="49" t="n"/>
      <c r="O218" s="49" t="n"/>
      <c r="P218" s="49" t="n"/>
      <c r="Q218" s="49" t="n"/>
    </row>
    <row r="219">
      <c r="B219" s="49" t="n"/>
      <c r="C219" s="49" t="n"/>
      <c r="D219" s="49" t="n"/>
      <c r="E219" s="49" t="n"/>
      <c r="F219" s="49" t="n"/>
      <c r="G219" s="49" t="n"/>
      <c r="H219" s="49" t="n"/>
      <c r="I219" s="49" t="n"/>
      <c r="J219" s="49" t="n"/>
      <c r="K219" s="49" t="n"/>
      <c r="L219" s="49" t="n"/>
      <c r="M219" s="49" t="n"/>
      <c r="N219" s="49" t="n"/>
      <c r="O219" s="49" t="n"/>
      <c r="P219" s="49" t="n"/>
      <c r="Q219" s="49" t="n"/>
    </row>
    <row r="220">
      <c r="B220" s="49" t="n"/>
      <c r="C220" s="49" t="n"/>
      <c r="D220" s="49" t="n"/>
      <c r="E220" s="49" t="n"/>
      <c r="F220" s="49" t="n"/>
      <c r="G220" s="49" t="n"/>
      <c r="H220" s="49" t="n"/>
      <c r="I220" s="49" t="n"/>
      <c r="J220" s="49" t="n"/>
      <c r="K220" s="49" t="n"/>
      <c r="L220" s="49" t="n"/>
      <c r="M220" s="49" t="n"/>
      <c r="N220" s="49" t="n"/>
      <c r="O220" s="49" t="n"/>
      <c r="P220" s="49" t="n"/>
      <c r="Q220" s="49" t="n"/>
    </row>
    <row r="221">
      <c r="B221" s="49" t="n"/>
      <c r="C221" s="49" t="n"/>
      <c r="D221" s="49" t="n"/>
      <c r="E221" s="49" t="n"/>
      <c r="F221" s="49" t="n"/>
      <c r="G221" s="49" t="n"/>
      <c r="H221" s="49" t="n"/>
      <c r="I221" s="49" t="n"/>
      <c r="J221" s="49" t="n"/>
      <c r="K221" s="49" t="n"/>
      <c r="L221" s="49" t="n"/>
      <c r="M221" s="49" t="n"/>
      <c r="N221" s="49" t="n"/>
      <c r="O221" s="49" t="n"/>
      <c r="P221" s="49" t="n"/>
      <c r="Q221" s="49" t="n"/>
    </row>
    <row r="222">
      <c r="B222" s="49" t="n"/>
      <c r="C222" s="49" t="n"/>
      <c r="D222" s="49" t="n"/>
      <c r="E222" s="49" t="n"/>
      <c r="F222" s="49" t="n"/>
      <c r="G222" s="49" t="n"/>
      <c r="H222" s="49" t="n"/>
      <c r="I222" s="49" t="n"/>
      <c r="J222" s="49" t="n"/>
      <c r="K222" s="49" t="n"/>
      <c r="L222" s="49" t="n"/>
      <c r="M222" s="49" t="n"/>
      <c r="N222" s="49" t="n"/>
      <c r="O222" s="49" t="n"/>
      <c r="P222" s="49" t="n"/>
      <c r="Q222" s="49" t="n"/>
    </row>
    <row r="223">
      <c r="B223" s="49" t="n"/>
      <c r="C223" s="49" t="n"/>
      <c r="D223" s="49" t="n"/>
      <c r="E223" s="49" t="n"/>
      <c r="F223" s="49" t="n"/>
      <c r="G223" s="49" t="n"/>
      <c r="H223" s="49" t="n"/>
      <c r="I223" s="49" t="n"/>
      <c r="J223" s="49" t="n"/>
      <c r="K223" s="49" t="n"/>
      <c r="L223" s="49" t="n"/>
      <c r="M223" s="49" t="n"/>
      <c r="N223" s="49" t="n"/>
      <c r="O223" s="49" t="n"/>
      <c r="P223" s="49" t="n"/>
      <c r="Q223" s="49" t="n"/>
    </row>
    <row r="224">
      <c r="B224" s="49" t="n"/>
      <c r="C224" s="49" t="n"/>
      <c r="D224" s="49" t="n"/>
      <c r="E224" s="49" t="n"/>
      <c r="F224" s="49" t="n"/>
      <c r="G224" s="49" t="n"/>
      <c r="H224" s="49" t="n"/>
      <c r="I224" s="49" t="n"/>
      <c r="J224" s="49" t="n"/>
      <c r="K224" s="49" t="n"/>
      <c r="L224" s="49" t="n"/>
      <c r="M224" s="49" t="n"/>
      <c r="N224" s="49" t="n"/>
      <c r="O224" s="49" t="n"/>
      <c r="P224" s="49" t="n"/>
      <c r="Q224" s="49" t="n"/>
    </row>
    <row r="225">
      <c r="B225" s="49" t="n"/>
      <c r="C225" s="49" t="n"/>
      <c r="D225" s="49" t="n"/>
      <c r="E225" s="49" t="n"/>
      <c r="F225" s="49" t="n"/>
      <c r="G225" s="49" t="n"/>
      <c r="H225" s="49" t="n"/>
      <c r="I225" s="49" t="n"/>
      <c r="J225" s="49" t="n"/>
      <c r="K225" s="49" t="n"/>
      <c r="L225" s="49" t="n"/>
      <c r="M225" s="49" t="n"/>
      <c r="N225" s="49" t="n"/>
      <c r="O225" s="49" t="n"/>
      <c r="P225" s="49" t="n"/>
      <c r="Q225" s="49" t="n"/>
    </row>
    <row r="226">
      <c r="B226" s="49" t="n"/>
      <c r="C226" s="49" t="n"/>
      <c r="D226" s="49" t="n"/>
      <c r="E226" s="49" t="n"/>
      <c r="F226" s="49" t="n"/>
      <c r="G226" s="49" t="n"/>
      <c r="H226" s="49" t="n"/>
      <c r="I226" s="49" t="n"/>
      <c r="J226" s="49" t="n"/>
      <c r="K226" s="49" t="n"/>
      <c r="L226" s="49" t="n"/>
      <c r="M226" s="49" t="n"/>
      <c r="N226" s="49" t="n"/>
      <c r="O226" s="49" t="n"/>
      <c r="P226" s="49" t="n"/>
      <c r="Q226" s="49" t="n"/>
    </row>
    <row r="227">
      <c r="B227" s="49" t="n"/>
      <c r="C227" s="49" t="n"/>
      <c r="D227" s="49" t="n"/>
      <c r="E227" s="49" t="n"/>
      <c r="F227" s="49" t="n"/>
      <c r="G227" s="49" t="n"/>
      <c r="H227" s="49" t="n"/>
      <c r="I227" s="49" t="n"/>
      <c r="J227" s="49" t="n"/>
      <c r="K227" s="49" t="n"/>
      <c r="L227" s="49" t="n"/>
      <c r="M227" s="49" t="n"/>
      <c r="N227" s="49" t="n"/>
      <c r="O227" s="49" t="n"/>
      <c r="P227" s="49" t="n"/>
      <c r="Q227" s="49" t="n"/>
    </row>
    <row r="228">
      <c r="B228" s="49" t="n"/>
      <c r="C228" s="49" t="n"/>
      <c r="D228" s="49" t="n"/>
      <c r="E228" s="49" t="n"/>
      <c r="F228" s="49" t="n"/>
      <c r="G228" s="49" t="n"/>
      <c r="H228" s="49" t="n"/>
      <c r="I228" s="49" t="n"/>
      <c r="J228" s="49" t="n"/>
      <c r="K228" s="49" t="n"/>
      <c r="L228" s="49" t="n"/>
      <c r="M228" s="49" t="n"/>
      <c r="N228" s="49" t="n"/>
      <c r="O228" s="49" t="n"/>
      <c r="P228" s="49" t="n"/>
      <c r="Q228" s="49" t="n"/>
    </row>
    <row r="229">
      <c r="B229" s="49" t="n"/>
      <c r="C229" s="49" t="n"/>
      <c r="D229" s="49" t="n"/>
      <c r="E229" s="49" t="n"/>
      <c r="F229" s="49" t="n"/>
      <c r="G229" s="49" t="n"/>
      <c r="H229" s="49" t="n"/>
      <c r="I229" s="49" t="n"/>
      <c r="J229" s="49" t="n"/>
      <c r="K229" s="49" t="n"/>
      <c r="L229" s="49" t="n"/>
      <c r="M229" s="49" t="n"/>
      <c r="N229" s="49" t="n"/>
      <c r="O229" s="49" t="n"/>
      <c r="P229" s="49" t="n"/>
      <c r="Q229" s="49" t="n"/>
    </row>
    <row r="230">
      <c r="B230" s="49" t="n"/>
      <c r="C230" s="49" t="n"/>
      <c r="D230" s="49" t="n"/>
      <c r="E230" s="49" t="n"/>
      <c r="F230" s="49" t="n"/>
      <c r="G230" s="49" t="n"/>
      <c r="H230" s="49" t="n"/>
      <c r="I230" s="49" t="n"/>
      <c r="J230" s="49" t="n"/>
      <c r="K230" s="49" t="n"/>
      <c r="L230" s="49" t="n"/>
      <c r="M230" s="49" t="n"/>
      <c r="N230" s="49" t="n"/>
      <c r="O230" s="49" t="n"/>
      <c r="P230" s="49" t="n"/>
      <c r="Q230" s="49" t="n"/>
    </row>
    <row r="231">
      <c r="B231" s="49" t="n"/>
      <c r="C231" s="49" t="n"/>
      <c r="D231" s="49" t="n"/>
      <c r="E231" s="49" t="n"/>
      <c r="F231" s="49" t="n"/>
      <c r="G231" s="49" t="n"/>
      <c r="H231" s="49" t="n"/>
      <c r="I231" s="49" t="n"/>
      <c r="J231" s="49" t="n"/>
      <c r="K231" s="49" t="n"/>
      <c r="L231" s="49" t="n"/>
      <c r="M231" s="49" t="n"/>
      <c r="N231" s="49" t="n"/>
      <c r="O231" s="49" t="n"/>
      <c r="P231" s="49" t="n"/>
      <c r="Q231" s="49" t="n"/>
    </row>
    <row r="232">
      <c r="B232" s="49" t="n"/>
      <c r="C232" s="49" t="n"/>
      <c r="D232" s="49" t="n"/>
      <c r="E232" s="49" t="n"/>
      <c r="F232" s="49" t="n"/>
      <c r="G232" s="49" t="n"/>
      <c r="H232" s="49" t="n"/>
      <c r="I232" s="49" t="n"/>
      <c r="J232" s="49" t="n"/>
      <c r="K232" s="49" t="n"/>
      <c r="L232" s="49" t="n"/>
      <c r="M232" s="49" t="n"/>
      <c r="N232" s="49" t="n"/>
      <c r="O232" s="49" t="n"/>
      <c r="P232" s="49" t="n"/>
      <c r="Q232" s="49" t="n"/>
    </row>
    <row r="233">
      <c r="B233" s="49" t="n"/>
      <c r="C233" s="49" t="n"/>
      <c r="D233" s="49" t="n"/>
      <c r="E233" s="49" t="n"/>
      <c r="F233" s="49" t="n"/>
      <c r="G233" s="49" t="n"/>
      <c r="H233" s="49" t="n"/>
      <c r="I233" s="49" t="n"/>
      <c r="J233" s="49" t="n"/>
      <c r="K233" s="49" t="n"/>
      <c r="L233" s="49" t="n"/>
      <c r="M233" s="49" t="n"/>
      <c r="N233" s="49" t="n"/>
      <c r="O233" s="49" t="n"/>
      <c r="P233" s="49" t="n"/>
      <c r="Q233" s="49" t="n"/>
    </row>
    <row r="234">
      <c r="B234" s="49" t="n"/>
      <c r="C234" s="49" t="n"/>
      <c r="D234" s="49" t="n"/>
      <c r="E234" s="49" t="n"/>
      <c r="F234" s="49" t="n"/>
      <c r="G234" s="49" t="n"/>
      <c r="H234" s="49" t="n"/>
      <c r="I234" s="49" t="n"/>
      <c r="J234" s="49" t="n"/>
      <c r="K234" s="49" t="n"/>
      <c r="L234" s="49" t="n"/>
      <c r="M234" s="49" t="n"/>
      <c r="N234" s="49" t="n"/>
      <c r="O234" s="49" t="n"/>
      <c r="P234" s="49" t="n"/>
      <c r="Q234" s="49" t="n"/>
    </row>
    <row r="235">
      <c r="B235" s="49" t="n"/>
      <c r="C235" s="49" t="n"/>
      <c r="D235" s="49" t="n"/>
      <c r="E235" s="49" t="n"/>
      <c r="F235" s="49" t="n"/>
      <c r="G235" s="49" t="n"/>
      <c r="H235" s="49" t="n"/>
      <c r="I235" s="49" t="n"/>
      <c r="J235" s="49" t="n"/>
      <c r="K235" s="49" t="n"/>
      <c r="L235" s="49" t="n"/>
      <c r="M235" s="49" t="n"/>
      <c r="N235" s="49" t="n"/>
      <c r="O235" s="49" t="n"/>
      <c r="P235" s="49" t="n"/>
      <c r="Q235" s="49" t="n"/>
    </row>
    <row r="236">
      <c r="B236" s="49" t="n"/>
      <c r="C236" s="49" t="n"/>
      <c r="D236" s="49" t="n"/>
      <c r="E236" s="49" t="n"/>
      <c r="F236" s="49" t="n"/>
      <c r="G236" s="49" t="n"/>
      <c r="H236" s="49" t="n"/>
      <c r="I236" s="49" t="n"/>
      <c r="J236" s="49" t="n"/>
      <c r="K236" s="49" t="n"/>
      <c r="L236" s="49" t="n"/>
      <c r="M236" s="49" t="n"/>
      <c r="N236" s="49" t="n"/>
      <c r="O236" s="49" t="n"/>
      <c r="P236" s="49" t="n"/>
      <c r="Q236" s="49" t="n"/>
    </row>
    <row r="237">
      <c r="B237" s="49" t="n"/>
      <c r="C237" s="49" t="n"/>
      <c r="D237" s="49" t="n"/>
      <c r="E237" s="49" t="n"/>
      <c r="F237" s="49" t="n"/>
      <c r="G237" s="49" t="n"/>
      <c r="H237" s="49" t="n"/>
      <c r="I237" s="49" t="n"/>
      <c r="J237" s="49" t="n"/>
      <c r="K237" s="49" t="n"/>
      <c r="L237" s="49" t="n"/>
      <c r="M237" s="49" t="n"/>
      <c r="N237" s="49" t="n"/>
      <c r="O237" s="49" t="n"/>
      <c r="P237" s="49" t="n"/>
      <c r="Q237" s="49" t="n"/>
    </row>
    <row r="238">
      <c r="B238" s="49" t="n"/>
      <c r="C238" s="49" t="n"/>
      <c r="D238" s="49" t="n"/>
      <c r="E238" s="49" t="n"/>
      <c r="F238" s="49" t="n"/>
      <c r="G238" s="49" t="n"/>
      <c r="H238" s="49" t="n"/>
      <c r="I238" s="49" t="n"/>
      <c r="J238" s="49" t="n"/>
      <c r="K238" s="49" t="n"/>
      <c r="L238" s="49" t="n"/>
      <c r="M238" s="49" t="n"/>
      <c r="N238" s="49" t="n"/>
      <c r="O238" s="49" t="n"/>
      <c r="P238" s="49" t="n"/>
      <c r="Q238" s="49" t="n"/>
    </row>
    <row r="239">
      <c r="B239" s="49" t="n"/>
      <c r="C239" s="49" t="n"/>
      <c r="D239" s="49" t="n"/>
      <c r="E239" s="49" t="n"/>
      <c r="F239" s="49" t="n"/>
      <c r="G239" s="49" t="n"/>
      <c r="H239" s="49" t="n"/>
      <c r="I239" s="49" t="n"/>
      <c r="J239" s="49" t="n"/>
      <c r="K239" s="49" t="n"/>
      <c r="L239" s="49" t="n"/>
      <c r="M239" s="49" t="n"/>
      <c r="N239" s="49" t="n"/>
      <c r="O239" s="49" t="n"/>
      <c r="P239" s="49" t="n"/>
      <c r="Q239" s="49" t="n"/>
    </row>
    <row r="240">
      <c r="B240" s="49" t="n"/>
      <c r="C240" s="49" t="n"/>
      <c r="D240" s="49" t="n"/>
      <c r="E240" s="49" t="n"/>
      <c r="F240" s="49" t="n"/>
      <c r="G240" s="49" t="n"/>
      <c r="H240" s="49" t="n"/>
      <c r="I240" s="49" t="n"/>
      <c r="J240" s="49" t="n"/>
      <c r="K240" s="49" t="n"/>
      <c r="L240" s="49" t="n"/>
      <c r="M240" s="49" t="n"/>
      <c r="N240" s="49" t="n"/>
      <c r="O240" s="49" t="n"/>
      <c r="P240" s="49" t="n"/>
      <c r="Q240" s="49" t="n"/>
    </row>
    <row r="241">
      <c r="B241" s="49" t="n"/>
      <c r="C241" s="49" t="n"/>
      <c r="D241" s="49" t="n"/>
      <c r="E241" s="49" t="n"/>
      <c r="F241" s="49" t="n"/>
      <c r="G241" s="49" t="n"/>
      <c r="H241" s="49" t="n"/>
      <c r="I241" s="49" t="n"/>
      <c r="J241" s="49" t="n"/>
      <c r="K241" s="49" t="n"/>
      <c r="L241" s="49" t="n"/>
      <c r="M241" s="49" t="n"/>
      <c r="N241" s="49" t="n"/>
      <c r="O241" s="49" t="n"/>
      <c r="P241" s="49" t="n"/>
      <c r="Q241" s="49" t="n"/>
    </row>
    <row r="242">
      <c r="B242" s="49" t="n"/>
      <c r="C242" s="49" t="n"/>
      <c r="D242" s="49" t="n"/>
      <c r="E242" s="49" t="n"/>
      <c r="F242" s="49" t="n"/>
      <c r="G242" s="49" t="n"/>
      <c r="H242" s="49" t="n"/>
      <c r="I242" s="49" t="n"/>
      <c r="J242" s="49" t="n"/>
      <c r="K242" s="49" t="n"/>
      <c r="L242" s="49" t="n"/>
      <c r="M242" s="49" t="n"/>
      <c r="N242" s="49" t="n"/>
      <c r="O242" s="49" t="n"/>
      <c r="P242" s="49" t="n"/>
      <c r="Q242" s="49" t="n"/>
    </row>
    <row r="243">
      <c r="B243" s="49" t="n"/>
      <c r="C243" s="49" t="n"/>
      <c r="D243" s="49" t="n"/>
      <c r="E243" s="49" t="n"/>
      <c r="F243" s="49" t="n"/>
      <c r="G243" s="49" t="n"/>
      <c r="H243" s="49" t="n"/>
      <c r="I243" s="49" t="n"/>
      <c r="J243" s="49" t="n"/>
      <c r="K243" s="49" t="n"/>
      <c r="L243" s="49" t="n"/>
      <c r="M243" s="49" t="n"/>
      <c r="N243" s="49" t="n"/>
      <c r="O243" s="49" t="n"/>
      <c r="P243" s="49" t="n"/>
      <c r="Q243" s="49" t="n"/>
    </row>
    <row r="244">
      <c r="B244" s="49" t="n"/>
      <c r="C244" s="49" t="n"/>
      <c r="D244" s="49" t="n"/>
      <c r="E244" s="49" t="n"/>
      <c r="F244" s="49" t="n"/>
      <c r="G244" s="49" t="n"/>
      <c r="H244" s="49" t="n"/>
      <c r="I244" s="49" t="n"/>
      <c r="J244" s="49" t="n"/>
      <c r="K244" s="49" t="n"/>
      <c r="L244" s="49" t="n"/>
      <c r="M244" s="49" t="n"/>
      <c r="N244" s="49" t="n"/>
      <c r="O244" s="49" t="n"/>
      <c r="P244" s="49" t="n"/>
      <c r="Q244" s="49" t="n"/>
    </row>
    <row r="245">
      <c r="B245" s="49" t="n"/>
      <c r="C245" s="49" t="n"/>
      <c r="D245" s="49" t="n"/>
      <c r="E245" s="49" t="n"/>
      <c r="F245" s="49" t="n"/>
      <c r="G245" s="49" t="n"/>
      <c r="H245" s="49" t="n"/>
      <c r="I245" s="49" t="n"/>
      <c r="J245" s="49" t="n"/>
      <c r="K245" s="49" t="n"/>
      <c r="L245" s="49" t="n"/>
      <c r="M245" s="49" t="n"/>
      <c r="N245" s="49" t="n"/>
      <c r="O245" s="49" t="n"/>
      <c r="P245" s="49" t="n"/>
      <c r="Q245" s="49" t="n"/>
    </row>
    <row r="246">
      <c r="B246" s="49" t="n"/>
      <c r="C246" s="49" t="n"/>
      <c r="D246" s="49" t="n"/>
      <c r="E246" s="49" t="n"/>
      <c r="F246" s="49" t="n"/>
      <c r="G246" s="49" t="n"/>
      <c r="H246" s="49" t="n"/>
      <c r="I246" s="49" t="n"/>
      <c r="J246" s="49" t="n"/>
      <c r="K246" s="49" t="n"/>
      <c r="L246" s="49" t="n"/>
      <c r="M246" s="49" t="n"/>
      <c r="N246" s="49" t="n"/>
      <c r="O246" s="49" t="n"/>
      <c r="P246" s="49" t="n"/>
      <c r="Q246" s="49" t="n"/>
    </row>
    <row r="247">
      <c r="B247" s="49" t="n"/>
      <c r="C247" s="49" t="n"/>
      <c r="D247" s="49" t="n"/>
      <c r="E247" s="49" t="n"/>
      <c r="F247" s="49" t="n"/>
      <c r="G247" s="49" t="n"/>
      <c r="H247" s="49" t="n"/>
      <c r="I247" s="49" t="n"/>
      <c r="J247" s="49" t="n"/>
      <c r="K247" s="49" t="n"/>
      <c r="L247" s="49" t="n"/>
      <c r="M247" s="49" t="n"/>
      <c r="N247" s="49" t="n"/>
      <c r="O247" s="49" t="n"/>
      <c r="P247" s="49" t="n"/>
      <c r="Q247" s="49" t="n"/>
    </row>
    <row r="248">
      <c r="B248" s="49" t="n"/>
      <c r="C248" s="49" t="n"/>
      <c r="D248" s="49" t="n"/>
      <c r="E248" s="49" t="n"/>
      <c r="F248" s="49" t="n"/>
      <c r="G248" s="49" t="n"/>
      <c r="H248" s="49" t="n"/>
      <c r="I248" s="49" t="n"/>
      <c r="J248" s="49" t="n"/>
      <c r="K248" s="49" t="n"/>
      <c r="L248" s="49" t="n"/>
      <c r="M248" s="49" t="n"/>
      <c r="N248" s="49" t="n"/>
      <c r="O248" s="49" t="n"/>
      <c r="P248" s="49" t="n"/>
      <c r="Q248" s="49" t="n"/>
    </row>
    <row r="249">
      <c r="B249" s="49" t="n"/>
      <c r="C249" s="49" t="n"/>
      <c r="D249" s="49" t="n"/>
      <c r="E249" s="49" t="n"/>
      <c r="F249" s="49" t="n"/>
      <c r="G249" s="49" t="n"/>
      <c r="H249" s="49" t="n"/>
      <c r="I249" s="49" t="n"/>
      <c r="J249" s="49" t="n"/>
      <c r="K249" s="49" t="n"/>
      <c r="L249" s="49" t="n"/>
      <c r="M249" s="49" t="n"/>
      <c r="N249" s="49" t="n"/>
      <c r="O249" s="49" t="n"/>
      <c r="P249" s="49" t="n"/>
      <c r="Q249" s="49" t="n"/>
    </row>
    <row r="250">
      <c r="B250" s="49" t="n"/>
      <c r="C250" s="49" t="n"/>
      <c r="D250" s="49" t="n"/>
      <c r="E250" s="49" t="n"/>
      <c r="F250" s="49" t="n"/>
      <c r="G250" s="49" t="n"/>
      <c r="H250" s="49" t="n"/>
      <c r="I250" s="49" t="n"/>
      <c r="J250" s="49" t="n"/>
      <c r="K250" s="49" t="n"/>
      <c r="L250" s="49" t="n"/>
      <c r="M250" s="49" t="n"/>
      <c r="N250" s="49" t="n"/>
      <c r="O250" s="49" t="n"/>
      <c r="P250" s="49" t="n"/>
      <c r="Q250" s="49" t="n"/>
    </row>
    <row r="251">
      <c r="B251" s="49" t="n"/>
      <c r="C251" s="49" t="n"/>
      <c r="D251" s="49" t="n"/>
      <c r="E251" s="49" t="n"/>
      <c r="F251" s="49" t="n"/>
      <c r="G251" s="49" t="n"/>
      <c r="H251" s="49" t="n"/>
      <c r="I251" s="49" t="n"/>
      <c r="J251" s="49" t="n"/>
      <c r="K251" s="49" t="n"/>
      <c r="L251" s="49" t="n"/>
      <c r="M251" s="49" t="n"/>
      <c r="N251" s="49" t="n"/>
      <c r="O251" s="49" t="n"/>
      <c r="P251" s="49" t="n"/>
      <c r="Q251" s="49" t="n"/>
    </row>
    <row r="252">
      <c r="B252" s="49" t="n"/>
      <c r="C252" s="49" t="n"/>
      <c r="D252" s="49" t="n"/>
      <c r="E252" s="49" t="n"/>
      <c r="F252" s="49" t="n"/>
      <c r="G252" s="49" t="n"/>
      <c r="H252" s="49" t="n"/>
      <c r="I252" s="49" t="n"/>
      <c r="J252" s="49" t="n"/>
      <c r="K252" s="49" t="n"/>
      <c r="L252" s="49" t="n"/>
      <c r="M252" s="49" t="n"/>
      <c r="N252" s="49" t="n"/>
      <c r="O252" s="49" t="n"/>
      <c r="P252" s="49" t="n"/>
      <c r="Q252" s="49" t="n"/>
    </row>
    <row r="253">
      <c r="B253" s="49" t="n"/>
      <c r="C253" s="49" t="n"/>
      <c r="D253" s="49" t="n"/>
      <c r="E253" s="49" t="n"/>
      <c r="F253" s="49" t="n"/>
      <c r="G253" s="49" t="n"/>
      <c r="H253" s="49" t="n"/>
      <c r="I253" s="49" t="n"/>
      <c r="J253" s="49" t="n"/>
      <c r="K253" s="49" t="n"/>
      <c r="L253" s="49" t="n"/>
      <c r="M253" s="49" t="n"/>
      <c r="N253" s="49" t="n"/>
      <c r="O253" s="49" t="n"/>
      <c r="P253" s="49" t="n"/>
      <c r="Q253" s="49" t="n"/>
    </row>
    <row r="254">
      <c r="B254" s="49" t="n"/>
      <c r="C254" s="49" t="n"/>
      <c r="D254" s="49" t="n"/>
      <c r="E254" s="49" t="n"/>
      <c r="F254" s="49" t="n"/>
      <c r="G254" s="49" t="n"/>
      <c r="H254" s="49" t="n"/>
      <c r="I254" s="49" t="n"/>
      <c r="J254" s="49" t="n"/>
      <c r="K254" s="49" t="n"/>
      <c r="L254" s="49" t="n"/>
      <c r="M254" s="49" t="n"/>
      <c r="N254" s="49" t="n"/>
      <c r="O254" s="49" t="n"/>
      <c r="P254" s="49" t="n"/>
      <c r="Q254" s="49" t="n"/>
    </row>
    <row r="255">
      <c r="B255" s="49" t="n"/>
      <c r="C255" s="49" t="n"/>
      <c r="D255" s="49" t="n"/>
      <c r="E255" s="49" t="n"/>
      <c r="F255" s="49" t="n"/>
      <c r="G255" s="49" t="n"/>
      <c r="H255" s="49" t="n"/>
      <c r="I255" s="49" t="n"/>
      <c r="J255" s="49" t="n"/>
      <c r="K255" s="49" t="n"/>
      <c r="L255" s="49" t="n"/>
      <c r="M255" s="49" t="n"/>
      <c r="N255" s="49" t="n"/>
      <c r="O255" s="49" t="n"/>
      <c r="P255" s="49" t="n"/>
      <c r="Q255" s="49" t="n"/>
    </row>
    <row r="256">
      <c r="B256" s="49" t="n"/>
      <c r="C256" s="49" t="n"/>
      <c r="D256" s="49" t="n"/>
      <c r="E256" s="49" t="n"/>
      <c r="F256" s="49" t="n"/>
      <c r="G256" s="49" t="n"/>
      <c r="H256" s="49" t="n"/>
      <c r="I256" s="49" t="n"/>
      <c r="J256" s="49" t="n"/>
      <c r="K256" s="49" t="n"/>
      <c r="L256" s="49" t="n"/>
      <c r="M256" s="49" t="n"/>
      <c r="N256" s="49" t="n"/>
      <c r="O256" s="49" t="n"/>
      <c r="P256" s="49" t="n"/>
      <c r="Q256" s="49" t="n"/>
    </row>
    <row r="257">
      <c r="B257" s="49" t="n"/>
      <c r="C257" s="49" t="n"/>
      <c r="D257" s="49" t="n"/>
      <c r="E257" s="49" t="n"/>
      <c r="F257" s="49" t="n"/>
      <c r="G257" s="49" t="n"/>
      <c r="H257" s="49" t="n"/>
      <c r="I257" s="49" t="n"/>
      <c r="J257" s="49" t="n"/>
      <c r="K257" s="49" t="n"/>
      <c r="L257" s="49" t="n"/>
      <c r="M257" s="49" t="n"/>
      <c r="N257" s="49" t="n"/>
      <c r="O257" s="49" t="n"/>
      <c r="P257" s="49" t="n"/>
      <c r="Q257" s="49" t="n"/>
    </row>
    <row r="258">
      <c r="B258" s="49" t="n"/>
      <c r="C258" s="49" t="n"/>
      <c r="D258" s="49" t="n"/>
      <c r="E258" s="49" t="n"/>
      <c r="F258" s="49" t="n"/>
      <c r="G258" s="49" t="n"/>
      <c r="H258" s="49" t="n"/>
      <c r="I258" s="49" t="n"/>
      <c r="J258" s="49" t="n"/>
      <c r="K258" s="49" t="n"/>
      <c r="L258" s="49" t="n"/>
      <c r="M258" s="49" t="n"/>
      <c r="N258" s="49" t="n"/>
      <c r="O258" s="49" t="n"/>
      <c r="P258" s="49" t="n"/>
      <c r="Q258" s="49" t="n"/>
    </row>
    <row r="259">
      <c r="B259" s="49" t="n"/>
      <c r="C259" s="49" t="n"/>
      <c r="D259" s="49" t="n"/>
      <c r="E259" s="49" t="n"/>
      <c r="F259" s="49" t="n"/>
      <c r="G259" s="49" t="n"/>
      <c r="H259" s="49" t="n"/>
      <c r="I259" s="49" t="n"/>
      <c r="J259" s="49" t="n"/>
      <c r="K259" s="49" t="n"/>
      <c r="L259" s="49" t="n"/>
      <c r="M259" s="49" t="n"/>
      <c r="N259" s="49" t="n"/>
      <c r="O259" s="49" t="n"/>
      <c r="P259" s="49" t="n"/>
      <c r="Q259" s="49" t="n"/>
    </row>
    <row r="260">
      <c r="B260" s="49" t="n"/>
      <c r="C260" s="49" t="n"/>
      <c r="D260" s="49" t="n"/>
      <c r="E260" s="49" t="n"/>
      <c r="F260" s="49" t="n"/>
      <c r="G260" s="49" t="n"/>
      <c r="H260" s="49" t="n"/>
      <c r="I260" s="49" t="n"/>
      <c r="J260" s="49" t="n"/>
      <c r="K260" s="49" t="n"/>
      <c r="L260" s="49" t="n"/>
      <c r="M260" s="49" t="n"/>
      <c r="N260" s="49" t="n"/>
      <c r="O260" s="49" t="n"/>
      <c r="P260" s="49" t="n"/>
      <c r="Q260" s="49" t="n"/>
    </row>
    <row r="261">
      <c r="B261" s="49" t="n"/>
      <c r="C261" s="49" t="n"/>
      <c r="D261" s="49" t="n"/>
      <c r="E261" s="49" t="n"/>
      <c r="F261" s="49" t="n"/>
      <c r="G261" s="49" t="n"/>
      <c r="H261" s="49" t="n"/>
      <c r="I261" s="49" t="n"/>
      <c r="J261" s="49" t="n"/>
      <c r="K261" s="49" t="n"/>
      <c r="L261" s="49" t="n"/>
      <c r="M261" s="49" t="n"/>
      <c r="N261" s="49" t="n"/>
      <c r="O261" s="49" t="n"/>
      <c r="P261" s="49" t="n"/>
      <c r="Q261" s="49" t="n"/>
    </row>
    <row r="262">
      <c r="B262" s="49" t="n"/>
      <c r="C262" s="49" t="n"/>
      <c r="D262" s="49" t="n"/>
      <c r="E262" s="49" t="n"/>
      <c r="F262" s="49" t="n"/>
      <c r="G262" s="49" t="n"/>
      <c r="H262" s="49" t="n"/>
      <c r="I262" s="49" t="n"/>
      <c r="J262" s="49" t="n"/>
      <c r="K262" s="49" t="n"/>
      <c r="L262" s="49" t="n"/>
      <c r="M262" s="49" t="n"/>
      <c r="N262" s="49" t="n"/>
      <c r="O262" s="49" t="n"/>
      <c r="P262" s="49" t="n"/>
      <c r="Q262" s="49" t="n"/>
    </row>
    <row r="263">
      <c r="B263" s="49" t="n"/>
      <c r="C263" s="49" t="n"/>
      <c r="D263" s="49" t="n"/>
      <c r="E263" s="49" t="n"/>
      <c r="F263" s="49" t="n"/>
      <c r="G263" s="49" t="n"/>
      <c r="H263" s="49" t="n"/>
      <c r="I263" s="49" t="n"/>
      <c r="J263" s="49" t="n"/>
      <c r="K263" s="49" t="n"/>
      <c r="L263" s="49" t="n"/>
      <c r="M263" s="49" t="n"/>
      <c r="N263" s="49" t="n"/>
      <c r="O263" s="49" t="n"/>
      <c r="P263" s="49" t="n"/>
      <c r="Q263" s="49" t="n"/>
    </row>
    <row r="264">
      <c r="B264" s="49" t="n"/>
      <c r="C264" s="49" t="n"/>
      <c r="D264" s="49" t="n"/>
      <c r="E264" s="49" t="n"/>
      <c r="F264" s="49" t="n"/>
      <c r="G264" s="49" t="n"/>
      <c r="H264" s="49" t="n"/>
      <c r="I264" s="49" t="n"/>
      <c r="J264" s="49" t="n"/>
      <c r="K264" s="49" t="n"/>
      <c r="L264" s="49" t="n"/>
      <c r="M264" s="49" t="n"/>
      <c r="N264" s="49" t="n"/>
      <c r="O264" s="49" t="n"/>
      <c r="P264" s="49" t="n"/>
      <c r="Q264" s="49" t="n"/>
    </row>
    <row r="265">
      <c r="B265" s="49" t="n"/>
      <c r="C265" s="49" t="n"/>
      <c r="D265" s="49" t="n"/>
      <c r="E265" s="49" t="n"/>
      <c r="F265" s="49" t="n"/>
      <c r="G265" s="49" t="n"/>
      <c r="H265" s="49" t="n"/>
      <c r="I265" s="49" t="n"/>
      <c r="J265" s="49" t="n"/>
      <c r="K265" s="49" t="n"/>
      <c r="L265" s="49" t="n"/>
      <c r="M265" s="49" t="n"/>
      <c r="N265" s="49" t="n"/>
      <c r="O265" s="49" t="n"/>
      <c r="P265" s="49" t="n"/>
      <c r="Q265" s="49" t="n"/>
    </row>
    <row r="266">
      <c r="B266" s="49" t="n"/>
      <c r="C266" s="49" t="n"/>
      <c r="D266" s="49" t="n"/>
      <c r="E266" s="49" t="n"/>
      <c r="F266" s="49" t="n"/>
      <c r="G266" s="49" t="n"/>
      <c r="H266" s="49" t="n"/>
      <c r="I266" s="49" t="n"/>
      <c r="J266" s="49" t="n"/>
      <c r="K266" s="49" t="n"/>
      <c r="L266" s="49" t="n"/>
      <c r="M266" s="49" t="n"/>
      <c r="N266" s="49" t="n"/>
      <c r="O266" s="49" t="n"/>
      <c r="P266" s="49" t="n"/>
      <c r="Q266" s="49" t="n"/>
    </row>
    <row r="267">
      <c r="B267" s="49" t="n"/>
      <c r="C267" s="49" t="n"/>
      <c r="D267" s="49" t="n"/>
      <c r="E267" s="49" t="n"/>
      <c r="F267" s="49" t="n"/>
      <c r="G267" s="49" t="n"/>
      <c r="H267" s="49" t="n"/>
      <c r="I267" s="49" t="n"/>
      <c r="J267" s="49" t="n"/>
      <c r="K267" s="49" t="n"/>
      <c r="L267" s="49" t="n"/>
      <c r="M267" s="49" t="n"/>
      <c r="N267" s="49" t="n"/>
      <c r="O267" s="49" t="n"/>
      <c r="P267" s="49" t="n"/>
      <c r="Q267" s="49" t="n"/>
    </row>
    <row r="268">
      <c r="B268" s="49" t="n"/>
      <c r="C268" s="49" t="n"/>
      <c r="D268" s="49" t="n"/>
      <c r="E268" s="49" t="n"/>
      <c r="F268" s="49" t="n"/>
      <c r="G268" s="49" t="n"/>
      <c r="H268" s="49" t="n"/>
      <c r="I268" s="49" t="n"/>
      <c r="J268" s="49" t="n"/>
      <c r="K268" s="49" t="n"/>
      <c r="L268" s="49" t="n"/>
      <c r="M268" s="49" t="n"/>
      <c r="N268" s="49" t="n"/>
      <c r="O268" s="49" t="n"/>
      <c r="P268" s="49" t="n"/>
      <c r="Q268" s="49" t="n"/>
    </row>
    <row r="269">
      <c r="B269" s="49" t="n"/>
      <c r="C269" s="49" t="n"/>
      <c r="D269" s="49" t="n"/>
      <c r="E269" s="49" t="n"/>
      <c r="F269" s="49" t="n"/>
      <c r="G269" s="49" t="n"/>
      <c r="H269" s="49" t="n"/>
      <c r="I269" s="49" t="n"/>
      <c r="J269" s="49" t="n"/>
      <c r="K269" s="49" t="n"/>
      <c r="L269" s="49" t="n"/>
      <c r="M269" s="49" t="n"/>
      <c r="N269" s="49" t="n"/>
      <c r="O269" s="49" t="n"/>
      <c r="P269" s="49" t="n"/>
      <c r="Q269" s="49" t="n"/>
    </row>
    <row r="270">
      <c r="B270" s="49" t="n"/>
      <c r="C270" s="49" t="n"/>
      <c r="D270" s="49" t="n"/>
      <c r="E270" s="49" t="n"/>
      <c r="F270" s="49" t="n"/>
      <c r="G270" s="49" t="n"/>
      <c r="H270" s="49" t="n"/>
      <c r="I270" s="49" t="n"/>
      <c r="J270" s="49" t="n"/>
      <c r="K270" s="49" t="n"/>
      <c r="L270" s="49" t="n"/>
      <c r="M270" s="49" t="n"/>
      <c r="N270" s="49" t="n"/>
      <c r="O270" s="49" t="n"/>
      <c r="P270" s="49" t="n"/>
      <c r="Q270" s="49" t="n"/>
    </row>
    <row r="271">
      <c r="B271" s="49" t="n"/>
      <c r="C271" s="49" t="n"/>
      <c r="D271" s="49" t="n"/>
      <c r="E271" s="49" t="n"/>
      <c r="F271" s="49" t="n"/>
      <c r="G271" s="49" t="n"/>
      <c r="H271" s="49" t="n"/>
      <c r="I271" s="49" t="n"/>
      <c r="J271" s="49" t="n"/>
      <c r="K271" s="49" t="n"/>
      <c r="L271" s="49" t="n"/>
      <c r="M271" s="49" t="n"/>
      <c r="N271" s="49" t="n"/>
      <c r="O271" s="49" t="n"/>
      <c r="P271" s="49" t="n"/>
      <c r="Q271" s="49" t="n"/>
    </row>
    <row r="272">
      <c r="B272" s="49" t="n"/>
      <c r="C272" s="49" t="n"/>
      <c r="D272" s="49" t="n"/>
      <c r="E272" s="49" t="n"/>
      <c r="F272" s="49" t="n"/>
      <c r="G272" s="49" t="n"/>
      <c r="H272" s="49" t="n"/>
      <c r="I272" s="49" t="n"/>
      <c r="J272" s="49" t="n"/>
      <c r="K272" s="49" t="n"/>
      <c r="L272" s="49" t="n"/>
      <c r="M272" s="49" t="n"/>
      <c r="N272" s="49" t="n"/>
      <c r="O272" s="49" t="n"/>
      <c r="P272" s="49" t="n"/>
      <c r="Q272" s="49" t="n"/>
    </row>
    <row r="273">
      <c r="B273" s="49" t="n"/>
      <c r="C273" s="49" t="n"/>
      <c r="D273" s="49" t="n"/>
      <c r="E273" s="49" t="n"/>
      <c r="F273" s="49" t="n"/>
      <c r="G273" s="49" t="n"/>
      <c r="H273" s="49" t="n"/>
      <c r="I273" s="49" t="n"/>
      <c r="J273" s="49" t="n"/>
      <c r="K273" s="49" t="n"/>
      <c r="L273" s="49" t="n"/>
      <c r="M273" s="49" t="n"/>
      <c r="N273" s="49" t="n"/>
      <c r="O273" s="49" t="n"/>
      <c r="P273" s="49" t="n"/>
      <c r="Q273" s="49" t="n"/>
    </row>
    <row r="274">
      <c r="B274" s="49" t="n"/>
      <c r="C274" s="49" t="n"/>
      <c r="D274" s="49" t="n"/>
      <c r="E274" s="49" t="n"/>
      <c r="F274" s="49" t="n"/>
      <c r="G274" s="49" t="n"/>
      <c r="H274" s="49" t="n"/>
      <c r="I274" s="49" t="n"/>
      <c r="J274" s="49" t="n"/>
      <c r="K274" s="49" t="n"/>
      <c r="L274" s="49" t="n"/>
      <c r="M274" s="49" t="n"/>
      <c r="N274" s="49" t="n"/>
      <c r="O274" s="49" t="n"/>
      <c r="P274" s="49" t="n"/>
      <c r="Q274" s="49" t="n"/>
    </row>
    <row r="275">
      <c r="B275" s="49" t="n"/>
      <c r="C275" s="49" t="n"/>
      <c r="D275" s="49" t="n"/>
      <c r="E275" s="49" t="n"/>
      <c r="F275" s="49" t="n"/>
      <c r="G275" s="49" t="n"/>
      <c r="H275" s="49" t="n"/>
      <c r="I275" s="49" t="n"/>
      <c r="J275" s="49" t="n"/>
      <c r="K275" s="49" t="n"/>
      <c r="L275" s="49" t="n"/>
      <c r="M275" s="49" t="n"/>
      <c r="N275" s="49" t="n"/>
      <c r="O275" s="49" t="n"/>
      <c r="P275" s="49" t="n"/>
      <c r="Q275" s="49" t="n"/>
    </row>
    <row r="276">
      <c r="B276" s="49" t="n"/>
      <c r="C276" s="49" t="n"/>
      <c r="D276" s="49" t="n"/>
      <c r="E276" s="49" t="n"/>
      <c r="F276" s="49" t="n"/>
      <c r="G276" s="49" t="n"/>
      <c r="H276" s="49" t="n"/>
      <c r="I276" s="49" t="n"/>
      <c r="J276" s="49" t="n"/>
      <c r="K276" s="49" t="n"/>
      <c r="L276" s="49" t="n"/>
      <c r="M276" s="49" t="n"/>
      <c r="N276" s="49" t="n"/>
      <c r="O276" s="49" t="n"/>
      <c r="P276" s="49" t="n"/>
      <c r="Q276" s="49" t="n"/>
    </row>
    <row r="277">
      <c r="B277" s="49" t="n"/>
      <c r="C277" s="49" t="n"/>
      <c r="D277" s="49" t="n"/>
      <c r="E277" s="49" t="n"/>
      <c r="F277" s="49" t="n"/>
      <c r="G277" s="49" t="n"/>
      <c r="H277" s="49" t="n"/>
      <c r="I277" s="49" t="n"/>
      <c r="J277" s="49" t="n"/>
      <c r="K277" s="49" t="n"/>
      <c r="L277" s="49" t="n"/>
      <c r="M277" s="49" t="n"/>
      <c r="N277" s="49" t="n"/>
      <c r="O277" s="49" t="n"/>
      <c r="P277" s="49" t="n"/>
      <c r="Q277" s="49" t="n"/>
    </row>
    <row r="278">
      <c r="B278" s="49" t="n"/>
      <c r="C278" s="49" t="n"/>
      <c r="D278" s="49" t="n"/>
      <c r="E278" s="49" t="n"/>
      <c r="F278" s="49" t="n"/>
      <c r="G278" s="49" t="n"/>
      <c r="H278" s="49" t="n"/>
      <c r="I278" s="49" t="n"/>
      <c r="J278" s="49" t="n"/>
      <c r="K278" s="49" t="n"/>
      <c r="L278" s="49" t="n"/>
      <c r="M278" s="49" t="n"/>
      <c r="N278" s="49" t="n"/>
      <c r="O278" s="49" t="n"/>
      <c r="P278" s="49" t="n"/>
      <c r="Q278" s="49" t="n"/>
    </row>
    <row r="279">
      <c r="B279" s="49" t="n"/>
      <c r="C279" s="49" t="n"/>
      <c r="D279" s="49" t="n"/>
      <c r="E279" s="49" t="n"/>
      <c r="F279" s="49" t="n"/>
      <c r="G279" s="49" t="n"/>
      <c r="H279" s="49" t="n"/>
      <c r="I279" s="49" t="n"/>
      <c r="J279" s="49" t="n"/>
      <c r="K279" s="49" t="n"/>
      <c r="L279" s="49" t="n"/>
      <c r="M279" s="49" t="n"/>
      <c r="N279" s="49" t="n"/>
      <c r="O279" s="49" t="n"/>
      <c r="P279" s="49" t="n"/>
      <c r="Q279" s="49" t="n"/>
    </row>
    <row r="280">
      <c r="B280" s="49" t="n"/>
      <c r="C280" s="49" t="n"/>
      <c r="D280" s="49" t="n"/>
      <c r="E280" s="49" t="n"/>
      <c r="F280" s="49" t="n"/>
      <c r="G280" s="49" t="n"/>
      <c r="H280" s="49" t="n"/>
      <c r="I280" s="49" t="n"/>
      <c r="J280" s="49" t="n"/>
      <c r="K280" s="49" t="n"/>
      <c r="L280" s="49" t="n"/>
      <c r="M280" s="49" t="n"/>
      <c r="N280" s="49" t="n"/>
      <c r="O280" s="49" t="n"/>
      <c r="P280" s="49" t="n"/>
      <c r="Q280" s="49" t="n"/>
    </row>
    <row r="281">
      <c r="B281" s="49" t="n"/>
      <c r="C281" s="49" t="n"/>
      <c r="D281" s="49" t="n"/>
      <c r="E281" s="49" t="n"/>
      <c r="F281" s="49" t="n"/>
      <c r="G281" s="49" t="n"/>
      <c r="H281" s="49" t="n"/>
      <c r="I281" s="49" t="n"/>
      <c r="J281" s="49" t="n"/>
      <c r="K281" s="49" t="n"/>
      <c r="L281" s="49" t="n"/>
      <c r="M281" s="49" t="n"/>
      <c r="N281" s="49" t="n"/>
      <c r="O281" s="49" t="n"/>
      <c r="P281" s="49" t="n"/>
      <c r="Q281" s="49" t="n"/>
    </row>
    <row r="282">
      <c r="B282" s="49" t="n"/>
      <c r="C282" s="49" t="n"/>
      <c r="D282" s="49" t="n"/>
      <c r="E282" s="49" t="n"/>
      <c r="F282" s="49" t="n"/>
      <c r="G282" s="49" t="n"/>
      <c r="H282" s="49" t="n"/>
      <c r="I282" s="49" t="n"/>
      <c r="J282" s="49" t="n"/>
      <c r="K282" s="49" t="n"/>
      <c r="L282" s="49" t="n"/>
      <c r="M282" s="49" t="n"/>
      <c r="N282" s="49" t="n"/>
      <c r="O282" s="49" t="n"/>
      <c r="P282" s="49" t="n"/>
      <c r="Q282" s="49" t="n"/>
    </row>
    <row r="283">
      <c r="B283" s="49" t="n"/>
      <c r="C283" s="49" t="n"/>
      <c r="D283" s="49" t="n"/>
      <c r="E283" s="49" t="n"/>
      <c r="F283" s="49" t="n"/>
      <c r="G283" s="49" t="n"/>
      <c r="H283" s="49" t="n"/>
      <c r="I283" s="49" t="n"/>
      <c r="J283" s="49" t="n"/>
      <c r="K283" s="49" t="n"/>
      <c r="L283" s="49" t="n"/>
      <c r="M283" s="49" t="n"/>
      <c r="N283" s="49" t="n"/>
      <c r="O283" s="49" t="n"/>
      <c r="P283" s="49" t="n"/>
      <c r="Q283" s="49" t="n"/>
    </row>
    <row r="284">
      <c r="B284" s="49" t="n"/>
      <c r="C284" s="49" t="n"/>
      <c r="D284" s="49" t="n"/>
      <c r="E284" s="49" t="n"/>
      <c r="F284" s="49" t="n"/>
      <c r="G284" s="49" t="n"/>
      <c r="H284" s="49" t="n"/>
      <c r="I284" s="49" t="n"/>
      <c r="J284" s="49" t="n"/>
      <c r="K284" s="49" t="n"/>
      <c r="L284" s="49" t="n"/>
      <c r="M284" s="49" t="n"/>
      <c r="N284" s="49" t="n"/>
      <c r="O284" s="49" t="n"/>
      <c r="P284" s="49" t="n"/>
      <c r="Q284" s="49" t="n"/>
    </row>
    <row r="285">
      <c r="B285" s="49" t="n"/>
      <c r="C285" s="49" t="n"/>
      <c r="D285" s="49" t="n"/>
      <c r="E285" s="49" t="n"/>
      <c r="F285" s="49" t="n"/>
      <c r="G285" s="49" t="n"/>
      <c r="H285" s="49" t="n"/>
      <c r="I285" s="49" t="n"/>
      <c r="J285" s="49" t="n"/>
      <c r="K285" s="49" t="n"/>
      <c r="L285" s="49" t="n"/>
      <c r="M285" s="49" t="n"/>
      <c r="N285" s="49" t="n"/>
      <c r="O285" s="49" t="n"/>
      <c r="P285" s="49" t="n"/>
      <c r="Q285" s="49" t="n"/>
    </row>
    <row r="286">
      <c r="B286" s="49" t="n"/>
      <c r="C286" s="49" t="n"/>
      <c r="D286" s="49" t="n"/>
      <c r="E286" s="49" t="n"/>
      <c r="F286" s="49" t="n"/>
      <c r="G286" s="49" t="n"/>
      <c r="H286" s="49" t="n"/>
      <c r="I286" s="49" t="n"/>
      <c r="J286" s="49" t="n"/>
      <c r="K286" s="49" t="n"/>
      <c r="L286" s="49" t="n"/>
      <c r="M286" s="49" t="n"/>
      <c r="N286" s="49" t="n"/>
      <c r="O286" s="49" t="n"/>
      <c r="P286" s="49" t="n"/>
      <c r="Q286" s="49" t="n"/>
    </row>
    <row r="287">
      <c r="B287" s="49" t="n"/>
      <c r="C287" s="49" t="n"/>
      <c r="D287" s="49" t="n"/>
      <c r="E287" s="49" t="n"/>
      <c r="F287" s="49" t="n"/>
      <c r="G287" s="49" t="n"/>
      <c r="H287" s="49" t="n"/>
      <c r="I287" s="49" t="n"/>
      <c r="J287" s="49" t="n"/>
      <c r="K287" s="49" t="n"/>
      <c r="L287" s="49" t="n"/>
      <c r="M287" s="49" t="n"/>
      <c r="N287" s="49" t="n"/>
      <c r="O287" s="49" t="n"/>
      <c r="P287" s="49" t="n"/>
      <c r="Q287" s="49" t="n"/>
    </row>
    <row r="288">
      <c r="B288" s="49" t="n"/>
      <c r="C288" s="49" t="n"/>
      <c r="D288" s="49" t="n"/>
      <c r="E288" s="49" t="n"/>
      <c r="F288" s="49" t="n"/>
      <c r="G288" s="49" t="n"/>
      <c r="H288" s="49" t="n"/>
      <c r="I288" s="49" t="n"/>
      <c r="J288" s="49" t="n"/>
      <c r="K288" s="49" t="n"/>
      <c r="L288" s="49" t="n"/>
      <c r="M288" s="49" t="n"/>
      <c r="N288" s="49" t="n"/>
      <c r="O288" s="49" t="n"/>
      <c r="P288" s="49" t="n"/>
      <c r="Q288" s="49" t="n"/>
    </row>
    <row r="289">
      <c r="B289" s="49" t="n"/>
      <c r="C289" s="49" t="n"/>
      <c r="D289" s="49" t="n"/>
      <c r="E289" s="49" t="n"/>
      <c r="F289" s="49" t="n"/>
      <c r="G289" s="49" t="n"/>
      <c r="H289" s="49" t="n"/>
      <c r="I289" s="49" t="n"/>
      <c r="J289" s="49" t="n"/>
      <c r="K289" s="49" t="n"/>
      <c r="L289" s="49" t="n"/>
      <c r="M289" s="49" t="n"/>
      <c r="N289" s="49" t="n"/>
      <c r="O289" s="49" t="n"/>
      <c r="P289" s="49" t="n"/>
      <c r="Q289" s="49" t="n"/>
    </row>
    <row r="290">
      <c r="B290" s="49" t="n"/>
      <c r="C290" s="49" t="n"/>
      <c r="D290" s="49" t="n"/>
      <c r="E290" s="49" t="n"/>
      <c r="F290" s="49" t="n"/>
      <c r="G290" s="49" t="n"/>
      <c r="H290" s="49" t="n"/>
      <c r="I290" s="49" t="n"/>
      <c r="J290" s="49" t="n"/>
      <c r="K290" s="49" t="n"/>
      <c r="L290" s="49" t="n"/>
      <c r="M290" s="49" t="n"/>
      <c r="N290" s="49" t="n"/>
      <c r="O290" s="49" t="n"/>
      <c r="P290" s="49" t="n"/>
      <c r="Q290" s="49" t="n"/>
    </row>
    <row r="291">
      <c r="B291" s="49" t="n"/>
      <c r="C291" s="49" t="n"/>
      <c r="D291" s="49" t="n"/>
      <c r="E291" s="49" t="n"/>
      <c r="F291" s="49" t="n"/>
      <c r="G291" s="49" t="n"/>
      <c r="H291" s="49" t="n"/>
      <c r="I291" s="49" t="n"/>
      <c r="J291" s="49" t="n"/>
      <c r="K291" s="49" t="n"/>
      <c r="L291" s="49" t="n"/>
      <c r="M291" s="49" t="n"/>
      <c r="N291" s="49" t="n"/>
      <c r="O291" s="49" t="n"/>
      <c r="P291" s="49" t="n"/>
      <c r="Q291" s="49" t="n"/>
    </row>
    <row r="292">
      <c r="B292" s="49" t="n"/>
      <c r="C292" s="49" t="n"/>
      <c r="D292" s="49" t="n"/>
      <c r="E292" s="49" t="n"/>
      <c r="F292" s="49" t="n"/>
      <c r="G292" s="49" t="n"/>
      <c r="H292" s="49" t="n"/>
      <c r="I292" s="49" t="n"/>
      <c r="J292" s="49" t="n"/>
      <c r="K292" s="49" t="n"/>
      <c r="L292" s="49" t="n"/>
      <c r="M292" s="49" t="n"/>
      <c r="N292" s="49" t="n"/>
      <c r="O292" s="49" t="n"/>
      <c r="P292" s="49" t="n"/>
      <c r="Q292" s="49" t="n"/>
    </row>
    <row r="293">
      <c r="B293" s="49" t="n"/>
      <c r="C293" s="49" t="n"/>
      <c r="D293" s="49" t="n"/>
      <c r="E293" s="49" t="n"/>
      <c r="F293" s="49" t="n"/>
      <c r="G293" s="49" t="n"/>
      <c r="H293" s="49" t="n"/>
      <c r="I293" s="49" t="n"/>
      <c r="J293" s="49" t="n"/>
      <c r="K293" s="49" t="n"/>
      <c r="L293" s="49" t="n"/>
      <c r="M293" s="49" t="n"/>
      <c r="N293" s="49" t="n"/>
      <c r="O293" s="49" t="n"/>
      <c r="P293" s="49" t="n"/>
      <c r="Q293" s="49" t="n"/>
    </row>
    <row r="294">
      <c r="B294" s="49" t="n"/>
      <c r="C294" s="49" t="n"/>
      <c r="D294" s="49" t="n"/>
      <c r="E294" s="49" t="n"/>
      <c r="F294" s="49" t="n"/>
      <c r="G294" s="49" t="n"/>
      <c r="H294" s="49" t="n"/>
      <c r="I294" s="49" t="n"/>
      <c r="J294" s="49" t="n"/>
      <c r="K294" s="49" t="n"/>
      <c r="L294" s="49" t="n"/>
      <c r="M294" s="49" t="n"/>
      <c r="N294" s="49" t="n"/>
      <c r="O294" s="49" t="n"/>
      <c r="P294" s="49" t="n"/>
      <c r="Q294" s="49" t="n"/>
    </row>
    <row r="295">
      <c r="B295" s="49" t="n"/>
      <c r="C295" s="49" t="n"/>
      <c r="D295" s="49" t="n"/>
      <c r="E295" s="49" t="n"/>
      <c r="F295" s="49" t="n"/>
      <c r="G295" s="49" t="n"/>
      <c r="H295" s="49" t="n"/>
      <c r="I295" s="49" t="n"/>
      <c r="J295" s="49" t="n"/>
      <c r="K295" s="49" t="n"/>
      <c r="L295" s="49" t="n"/>
      <c r="M295" s="49" t="n"/>
      <c r="N295" s="49" t="n"/>
      <c r="O295" s="49" t="n"/>
      <c r="P295" s="49" t="n"/>
      <c r="Q295" s="49" t="n"/>
    </row>
    <row r="296">
      <c r="B296" s="49" t="n"/>
      <c r="C296" s="49" t="n"/>
      <c r="D296" s="49" t="n"/>
      <c r="E296" s="49" t="n"/>
      <c r="F296" s="49" t="n"/>
      <c r="G296" s="49" t="n"/>
      <c r="H296" s="49" t="n"/>
      <c r="I296" s="49" t="n"/>
      <c r="J296" s="49" t="n"/>
      <c r="K296" s="49" t="n"/>
      <c r="L296" s="49" t="n"/>
      <c r="M296" s="49" t="n"/>
      <c r="N296" s="49" t="n"/>
      <c r="O296" s="49" t="n"/>
      <c r="P296" s="49" t="n"/>
      <c r="Q296" s="49" t="n"/>
    </row>
    <row r="297">
      <c r="B297" s="49" t="n"/>
      <c r="C297" s="49" t="n"/>
      <c r="D297" s="49" t="n"/>
      <c r="E297" s="49" t="n"/>
      <c r="F297" s="49" t="n"/>
      <c r="G297" s="49" t="n"/>
      <c r="H297" s="49" t="n"/>
      <c r="I297" s="49" t="n"/>
      <c r="J297" s="49" t="n"/>
      <c r="K297" s="49" t="n"/>
      <c r="L297" s="49" t="n"/>
      <c r="M297" s="49" t="n"/>
      <c r="N297" s="49" t="n"/>
      <c r="O297" s="49" t="n"/>
      <c r="P297" s="49" t="n"/>
      <c r="Q297" s="49" t="n"/>
    </row>
    <row r="298">
      <c r="B298" s="49" t="n"/>
      <c r="C298" s="49" t="n"/>
      <c r="D298" s="49" t="n"/>
      <c r="E298" s="49" t="n"/>
      <c r="F298" s="49" t="n"/>
      <c r="G298" s="49" t="n"/>
      <c r="H298" s="49" t="n"/>
      <c r="I298" s="49" t="n"/>
      <c r="J298" s="49" t="n"/>
      <c r="K298" s="49" t="n"/>
      <c r="L298" s="49" t="n"/>
      <c r="M298" s="49" t="n"/>
      <c r="N298" s="49" t="n"/>
      <c r="O298" s="49" t="n"/>
      <c r="P298" s="49" t="n"/>
      <c r="Q298" s="49" t="n"/>
    </row>
    <row r="299">
      <c r="B299" s="49" t="n"/>
      <c r="C299" s="49" t="n"/>
      <c r="D299" s="49" t="n"/>
      <c r="E299" s="49" t="n"/>
      <c r="F299" s="49" t="n"/>
      <c r="G299" s="49" t="n"/>
      <c r="H299" s="49" t="n"/>
      <c r="I299" s="49" t="n"/>
      <c r="J299" s="49" t="n"/>
      <c r="K299" s="49" t="n"/>
      <c r="L299" s="49" t="n"/>
      <c r="M299" s="49" t="n"/>
      <c r="N299" s="49" t="n"/>
      <c r="O299" s="49" t="n"/>
      <c r="P299" s="49" t="n"/>
      <c r="Q299" s="49" t="n"/>
    </row>
    <row r="300">
      <c r="B300" s="49" t="n"/>
      <c r="C300" s="49" t="n"/>
      <c r="D300" s="49" t="n"/>
      <c r="E300" s="49" t="n"/>
      <c r="F300" s="49" t="n"/>
      <c r="G300" s="49" t="n"/>
      <c r="H300" s="49" t="n"/>
      <c r="I300" s="49" t="n"/>
      <c r="J300" s="49" t="n"/>
      <c r="K300" s="49" t="n"/>
      <c r="L300" s="49" t="n"/>
      <c r="M300" s="49" t="n"/>
      <c r="N300" s="49" t="n"/>
      <c r="O300" s="49" t="n"/>
      <c r="P300" s="49" t="n"/>
      <c r="Q300" s="49" t="n"/>
    </row>
    <row r="301">
      <c r="B301" s="49" t="n"/>
      <c r="C301" s="49" t="n"/>
      <c r="D301" s="49" t="n"/>
      <c r="E301" s="49" t="n"/>
      <c r="F301" s="49" t="n"/>
      <c r="G301" s="49" t="n"/>
      <c r="H301" s="49" t="n"/>
      <c r="I301" s="49" t="n"/>
      <c r="J301" s="49" t="n"/>
      <c r="K301" s="49" t="n"/>
      <c r="L301" s="49" t="n"/>
      <c r="M301" s="49" t="n"/>
      <c r="N301" s="49" t="n"/>
      <c r="O301" s="49" t="n"/>
      <c r="P301" s="49" t="n"/>
      <c r="Q301" s="49" t="n"/>
    </row>
    <row r="302">
      <c r="B302" s="49" t="n"/>
      <c r="C302" s="49" t="n"/>
      <c r="D302" s="49" t="n"/>
      <c r="E302" s="49" t="n"/>
      <c r="F302" s="49" t="n"/>
      <c r="G302" s="49" t="n"/>
      <c r="H302" s="49" t="n"/>
      <c r="I302" s="49" t="n"/>
      <c r="J302" s="49" t="n"/>
      <c r="K302" s="49" t="n"/>
      <c r="L302" s="49" t="n"/>
      <c r="M302" s="49" t="n"/>
      <c r="N302" s="49" t="n"/>
      <c r="O302" s="49" t="n"/>
      <c r="P302" s="49" t="n"/>
      <c r="Q302" s="49" t="n"/>
    </row>
    <row r="303">
      <c r="B303" s="49" t="n"/>
      <c r="C303" s="49" t="n"/>
      <c r="D303" s="49" t="n"/>
      <c r="E303" s="49" t="n"/>
      <c r="F303" s="49" t="n"/>
      <c r="G303" s="49" t="n"/>
      <c r="H303" s="49" t="n"/>
      <c r="I303" s="49" t="n"/>
      <c r="J303" s="49" t="n"/>
      <c r="K303" s="49" t="n"/>
      <c r="L303" s="49" t="n"/>
      <c r="M303" s="49" t="n"/>
      <c r="N303" s="49" t="n"/>
      <c r="O303" s="49" t="n"/>
      <c r="P303" s="49" t="n"/>
      <c r="Q303" s="49" t="n"/>
    </row>
    <row r="304">
      <c r="B304" s="49" t="n"/>
      <c r="C304" s="49" t="n"/>
      <c r="D304" s="49" t="n"/>
      <c r="E304" s="49" t="n"/>
      <c r="F304" s="49" t="n"/>
      <c r="G304" s="49" t="n"/>
      <c r="H304" s="49" t="n"/>
      <c r="I304" s="49" t="n"/>
      <c r="J304" s="49" t="n"/>
      <c r="K304" s="49" t="n"/>
      <c r="L304" s="49" t="n"/>
      <c r="M304" s="49" t="n"/>
      <c r="N304" s="49" t="n"/>
      <c r="O304" s="49" t="n"/>
      <c r="P304" s="49" t="n"/>
      <c r="Q304" s="49" t="n"/>
    </row>
    <row r="305">
      <c r="B305" s="49" t="n"/>
      <c r="C305" s="49" t="n"/>
      <c r="D305" s="49" t="n"/>
      <c r="E305" s="49" t="n"/>
      <c r="F305" s="49" t="n"/>
      <c r="G305" s="49" t="n"/>
      <c r="H305" s="49" t="n"/>
      <c r="I305" s="49" t="n"/>
      <c r="J305" s="49" t="n"/>
      <c r="K305" s="49" t="n"/>
      <c r="L305" s="49" t="n"/>
      <c r="M305" s="49" t="n"/>
      <c r="N305" s="49" t="n"/>
      <c r="O305" s="49" t="n"/>
      <c r="P305" s="49" t="n"/>
      <c r="Q305" s="49" t="n"/>
    </row>
    <row r="306">
      <c r="B306" s="49" t="n"/>
      <c r="C306" s="49" t="n"/>
      <c r="D306" s="49" t="n"/>
      <c r="E306" s="49" t="n"/>
      <c r="F306" s="49" t="n"/>
      <c r="G306" s="49" t="n"/>
      <c r="H306" s="49" t="n"/>
      <c r="I306" s="49" t="n"/>
      <c r="J306" s="49" t="n"/>
      <c r="K306" s="49" t="n"/>
      <c r="L306" s="49" t="n"/>
      <c r="M306" s="49" t="n"/>
      <c r="N306" s="49" t="n"/>
      <c r="O306" s="49" t="n"/>
      <c r="P306" s="49" t="n"/>
      <c r="Q306" s="49" t="n"/>
    </row>
    <row r="307">
      <c r="B307" s="49" t="n"/>
      <c r="C307" s="49" t="n"/>
      <c r="D307" s="49" t="n"/>
      <c r="E307" s="49" t="n"/>
      <c r="F307" s="49" t="n"/>
      <c r="G307" s="49" t="n"/>
      <c r="H307" s="49" t="n"/>
      <c r="I307" s="49" t="n"/>
      <c r="J307" s="49" t="n"/>
      <c r="K307" s="49" t="n"/>
      <c r="L307" s="49" t="n"/>
      <c r="M307" s="49" t="n"/>
      <c r="N307" s="49" t="n"/>
      <c r="O307" s="49" t="n"/>
      <c r="P307" s="49" t="n"/>
      <c r="Q307" s="49" t="n"/>
    </row>
    <row r="308">
      <c r="B308" s="49" t="n"/>
      <c r="C308" s="49" t="n"/>
      <c r="D308" s="49" t="n"/>
      <c r="E308" s="49" t="n"/>
      <c r="F308" s="49" t="n"/>
      <c r="G308" s="49" t="n"/>
      <c r="H308" s="49" t="n"/>
      <c r="I308" s="49" t="n"/>
      <c r="J308" s="49" t="n"/>
      <c r="K308" s="49" t="n"/>
      <c r="L308" s="49" t="n"/>
      <c r="M308" s="49" t="n"/>
      <c r="N308" s="49" t="n"/>
      <c r="O308" s="49" t="n"/>
      <c r="P308" s="49" t="n"/>
      <c r="Q308" s="49" t="n"/>
    </row>
    <row r="309">
      <c r="B309" s="49" t="n"/>
      <c r="C309" s="49" t="n"/>
      <c r="D309" s="49" t="n"/>
      <c r="E309" s="49" t="n"/>
      <c r="F309" s="49" t="n"/>
      <c r="G309" s="49" t="n"/>
      <c r="H309" s="49" t="n"/>
      <c r="I309" s="49" t="n"/>
      <c r="J309" s="49" t="n"/>
      <c r="K309" s="49" t="n"/>
      <c r="L309" s="49" t="n"/>
      <c r="M309" s="49" t="n"/>
      <c r="N309" s="49" t="n"/>
      <c r="O309" s="49" t="n"/>
      <c r="P309" s="49" t="n"/>
      <c r="Q309" s="49" t="n"/>
    </row>
    <row r="310">
      <c r="B310" s="49" t="n"/>
      <c r="C310" s="49" t="n"/>
      <c r="D310" s="49" t="n"/>
      <c r="E310" s="49" t="n"/>
      <c r="F310" s="49" t="n"/>
      <c r="G310" s="49" t="n"/>
      <c r="H310" s="49" t="n"/>
      <c r="I310" s="49" t="n"/>
      <c r="J310" s="49" t="n"/>
      <c r="K310" s="49" t="n"/>
      <c r="L310" s="49" t="n"/>
      <c r="M310" s="49" t="n"/>
      <c r="N310" s="49" t="n"/>
      <c r="O310" s="49" t="n"/>
      <c r="P310" s="49" t="n"/>
      <c r="Q310" s="49" t="n"/>
    </row>
    <row r="311">
      <c r="B311" s="49" t="n"/>
      <c r="C311" s="49" t="n"/>
      <c r="D311" s="49" t="n"/>
      <c r="E311" s="49" t="n"/>
      <c r="F311" s="49" t="n"/>
      <c r="G311" s="49" t="n"/>
      <c r="H311" s="49" t="n"/>
      <c r="I311" s="49" t="n"/>
      <c r="J311" s="49" t="n"/>
      <c r="K311" s="49" t="n"/>
      <c r="L311" s="49" t="n"/>
      <c r="M311" s="49" t="n"/>
      <c r="N311" s="49" t="n"/>
      <c r="O311" s="49" t="n"/>
      <c r="P311" s="49" t="n"/>
      <c r="Q311" s="49" t="n"/>
    </row>
    <row r="312">
      <c r="B312" s="49" t="n"/>
      <c r="C312" s="49" t="n"/>
      <c r="D312" s="49" t="n"/>
      <c r="E312" s="49" t="n"/>
      <c r="F312" s="49" t="n"/>
      <c r="G312" s="49" t="n"/>
      <c r="H312" s="49" t="n"/>
      <c r="I312" s="49" t="n"/>
      <c r="J312" s="49" t="n"/>
      <c r="K312" s="49" t="n"/>
      <c r="L312" s="49" t="n"/>
      <c r="M312" s="49" t="n"/>
      <c r="N312" s="49" t="n"/>
      <c r="O312" s="49" t="n"/>
      <c r="P312" s="49" t="n"/>
      <c r="Q312" s="49" t="n"/>
    </row>
    <row r="313">
      <c r="B313" s="49" t="n"/>
      <c r="C313" s="49" t="n"/>
      <c r="D313" s="49" t="n"/>
      <c r="E313" s="49" t="n"/>
      <c r="F313" s="49" t="n"/>
      <c r="G313" s="49" t="n"/>
      <c r="H313" s="49" t="n"/>
      <c r="I313" s="49" t="n"/>
      <c r="J313" s="49" t="n"/>
      <c r="K313" s="49" t="n"/>
      <c r="L313" s="49" t="n"/>
      <c r="M313" s="49" t="n"/>
      <c r="N313" s="49" t="n"/>
      <c r="O313" s="49" t="n"/>
      <c r="P313" s="49" t="n"/>
      <c r="Q313" s="49" t="n"/>
    </row>
    <row r="314">
      <c r="B314" s="49" t="n"/>
      <c r="C314" s="49" t="n"/>
      <c r="D314" s="49" t="n"/>
      <c r="E314" s="49" t="n"/>
      <c r="F314" s="49" t="n"/>
      <c r="G314" s="49" t="n"/>
      <c r="H314" s="49" t="n"/>
      <c r="I314" s="49" t="n"/>
      <c r="J314" s="49" t="n"/>
      <c r="K314" s="49" t="n"/>
      <c r="L314" s="49" t="n"/>
      <c r="M314" s="49" t="n"/>
      <c r="N314" s="49" t="n"/>
      <c r="O314" s="49" t="n"/>
      <c r="P314" s="49" t="n"/>
      <c r="Q314" s="49" t="n"/>
    </row>
    <row r="315">
      <c r="B315" s="49" t="n"/>
      <c r="C315" s="49" t="n"/>
      <c r="D315" s="49" t="n"/>
      <c r="E315" s="49" t="n"/>
      <c r="F315" s="49" t="n"/>
      <c r="G315" s="49" t="n"/>
      <c r="H315" s="49" t="n"/>
      <c r="I315" s="49" t="n"/>
      <c r="J315" s="49" t="n"/>
      <c r="K315" s="49" t="n"/>
      <c r="L315" s="49" t="n"/>
      <c r="M315" s="49" t="n"/>
      <c r="N315" s="49" t="n"/>
      <c r="O315" s="49" t="n"/>
      <c r="P315" s="49" t="n"/>
      <c r="Q315" s="49" t="n"/>
    </row>
    <row r="316">
      <c r="B316" s="49" t="n"/>
      <c r="C316" s="49" t="n"/>
      <c r="D316" s="49" t="n"/>
      <c r="E316" s="49" t="n"/>
      <c r="F316" s="49" t="n"/>
      <c r="G316" s="49" t="n"/>
      <c r="H316" s="49" t="n"/>
      <c r="I316" s="49" t="n"/>
      <c r="J316" s="49" t="n"/>
      <c r="K316" s="49" t="n"/>
      <c r="L316" s="49" t="n"/>
      <c r="M316" s="49" t="n"/>
      <c r="N316" s="49" t="n"/>
      <c r="O316" s="49" t="n"/>
      <c r="P316" s="49" t="n"/>
      <c r="Q316" s="49" t="n"/>
    </row>
    <row r="317">
      <c r="B317" s="49" t="n"/>
      <c r="C317" s="49" t="n"/>
      <c r="D317" s="49" t="n"/>
      <c r="E317" s="49" t="n"/>
      <c r="F317" s="49" t="n"/>
      <c r="G317" s="49" t="n"/>
      <c r="H317" s="49" t="n"/>
      <c r="I317" s="49" t="n"/>
      <c r="J317" s="49" t="n"/>
      <c r="K317" s="49" t="n"/>
      <c r="L317" s="49" t="n"/>
      <c r="M317" s="49" t="n"/>
      <c r="N317" s="49" t="n"/>
      <c r="O317" s="49" t="n"/>
      <c r="P317" s="49" t="n"/>
      <c r="Q317" s="49" t="n"/>
    </row>
    <row r="318">
      <c r="B318" s="49" t="n"/>
      <c r="C318" s="49" t="n"/>
      <c r="D318" s="49" t="n"/>
      <c r="E318" s="49" t="n"/>
      <c r="F318" s="49" t="n"/>
      <c r="G318" s="49" t="n"/>
      <c r="H318" s="49" t="n"/>
      <c r="I318" s="49" t="n"/>
      <c r="J318" s="49" t="n"/>
      <c r="K318" s="49" t="n"/>
      <c r="L318" s="49" t="n"/>
      <c r="M318" s="49" t="n"/>
      <c r="N318" s="49" t="n"/>
      <c r="O318" s="49" t="n"/>
      <c r="P318" s="49" t="n"/>
      <c r="Q318" s="49" t="n"/>
    </row>
    <row r="319">
      <c r="B319" s="49" t="n"/>
      <c r="C319" s="49" t="n"/>
      <c r="D319" s="49" t="n"/>
      <c r="E319" s="49" t="n"/>
      <c r="F319" s="49" t="n"/>
      <c r="G319" s="49" t="n"/>
      <c r="H319" s="49" t="n"/>
      <c r="I319" s="49" t="n"/>
      <c r="J319" s="49" t="n"/>
      <c r="K319" s="49" t="n"/>
      <c r="L319" s="49" t="n"/>
      <c r="M319" s="49" t="n"/>
      <c r="N319" s="49" t="n"/>
      <c r="O319" s="49" t="n"/>
      <c r="P319" s="49" t="n"/>
      <c r="Q319" s="49" t="n"/>
    </row>
    <row r="320">
      <c r="B320" s="49" t="n"/>
      <c r="C320" s="49" t="n"/>
      <c r="D320" s="49" t="n"/>
      <c r="E320" s="49" t="n"/>
      <c r="F320" s="49" t="n"/>
      <c r="G320" s="49" t="n"/>
      <c r="H320" s="49" t="n"/>
      <c r="I320" s="49" t="n"/>
      <c r="J320" s="49" t="n"/>
      <c r="K320" s="49" t="n"/>
      <c r="L320" s="49" t="n"/>
      <c r="M320" s="49" t="n"/>
      <c r="N320" s="49" t="n"/>
      <c r="O320" s="49" t="n"/>
      <c r="P320" s="49" t="n"/>
      <c r="Q320" s="49" t="n"/>
    </row>
    <row r="321">
      <c r="B321" s="49" t="n"/>
      <c r="C321" s="49" t="n"/>
      <c r="D321" s="49" t="n"/>
      <c r="E321" s="49" t="n"/>
      <c r="F321" s="49" t="n"/>
      <c r="G321" s="49" t="n"/>
      <c r="H321" s="49" t="n"/>
      <c r="I321" s="49" t="n"/>
      <c r="J321" s="49" t="n"/>
      <c r="K321" s="49" t="n"/>
      <c r="L321" s="49" t="n"/>
      <c r="M321" s="49" t="n"/>
      <c r="N321" s="49" t="n"/>
      <c r="O321" s="49" t="n"/>
      <c r="P321" s="49" t="n"/>
      <c r="Q321" s="49" t="n"/>
    </row>
    <row r="322">
      <c r="B322" s="49" t="n"/>
      <c r="C322" s="49" t="n"/>
      <c r="D322" s="49" t="n"/>
      <c r="E322" s="49" t="n"/>
      <c r="F322" s="49" t="n"/>
      <c r="G322" s="49" t="n"/>
      <c r="H322" s="49" t="n"/>
      <c r="I322" s="49" t="n"/>
      <c r="J322" s="49" t="n"/>
      <c r="K322" s="49" t="n"/>
      <c r="L322" s="49" t="n"/>
      <c r="M322" s="49" t="n"/>
      <c r="N322" s="49" t="n"/>
      <c r="O322" s="49" t="n"/>
      <c r="P322" s="49" t="n"/>
      <c r="Q322" s="49" t="n"/>
    </row>
    <row r="323">
      <c r="B323" s="49" t="n"/>
      <c r="C323" s="49" t="n"/>
      <c r="D323" s="49" t="n"/>
      <c r="E323" s="49" t="n"/>
      <c r="F323" s="49" t="n"/>
      <c r="G323" s="49" t="n"/>
      <c r="H323" s="49" t="n"/>
      <c r="I323" s="49" t="n"/>
      <c r="J323" s="49" t="n"/>
      <c r="K323" s="49" t="n"/>
      <c r="L323" s="49" t="n"/>
      <c r="M323" s="49" t="n"/>
      <c r="N323" s="49" t="n"/>
      <c r="O323" s="49" t="n"/>
      <c r="P323" s="49" t="n"/>
      <c r="Q323" s="49" t="n"/>
    </row>
    <row r="324">
      <c r="B324" s="49" t="n"/>
      <c r="C324" s="49" t="n"/>
      <c r="D324" s="49" t="n"/>
      <c r="E324" s="49" t="n"/>
      <c r="F324" s="49" t="n"/>
      <c r="G324" s="49" t="n"/>
      <c r="H324" s="49" t="n"/>
      <c r="I324" s="49" t="n"/>
      <c r="J324" s="49" t="n"/>
      <c r="K324" s="49" t="n"/>
      <c r="L324" s="49" t="n"/>
      <c r="M324" s="49" t="n"/>
      <c r="N324" s="49" t="n"/>
      <c r="O324" s="49" t="n"/>
      <c r="P324" s="49" t="n"/>
      <c r="Q324" s="49" t="n"/>
    </row>
    <row r="325">
      <c r="B325" s="49" t="n"/>
      <c r="C325" s="49" t="n"/>
      <c r="D325" s="49" t="n"/>
      <c r="E325" s="49" t="n"/>
      <c r="F325" s="49" t="n"/>
      <c r="G325" s="49" t="n"/>
      <c r="H325" s="49" t="n"/>
      <c r="I325" s="49" t="n"/>
      <c r="J325" s="49" t="n"/>
      <c r="K325" s="49" t="n"/>
      <c r="L325" s="49" t="n"/>
      <c r="M325" s="49" t="n"/>
      <c r="N325" s="49" t="n"/>
      <c r="O325" s="49" t="n"/>
      <c r="P325" s="49" t="n"/>
      <c r="Q325" s="49" t="n"/>
    </row>
    <row r="326">
      <c r="B326" s="49" t="n"/>
      <c r="C326" s="49" t="n"/>
      <c r="D326" s="49" t="n"/>
      <c r="E326" s="49" t="n"/>
      <c r="F326" s="49" t="n"/>
      <c r="G326" s="49" t="n"/>
      <c r="H326" s="49" t="n"/>
      <c r="I326" s="49" t="n"/>
      <c r="J326" s="49" t="n"/>
      <c r="K326" s="49" t="n"/>
      <c r="L326" s="49" t="n"/>
      <c r="M326" s="49" t="n"/>
      <c r="N326" s="49" t="n"/>
      <c r="O326" s="49" t="n"/>
      <c r="P326" s="49" t="n"/>
      <c r="Q326" s="49" t="n"/>
    </row>
    <row r="327">
      <c r="B327" s="49" t="n"/>
      <c r="C327" s="49" t="n"/>
      <c r="D327" s="49" t="n"/>
      <c r="E327" s="49" t="n"/>
      <c r="F327" s="49" t="n"/>
      <c r="G327" s="49" t="n"/>
      <c r="H327" s="49" t="n"/>
      <c r="I327" s="49" t="n"/>
      <c r="J327" s="49" t="n"/>
      <c r="K327" s="49" t="n"/>
      <c r="L327" s="49" t="n"/>
      <c r="M327" s="49" t="n"/>
      <c r="N327" s="49" t="n"/>
      <c r="O327" s="49" t="n"/>
      <c r="P327" s="49" t="n"/>
      <c r="Q327" s="49" t="n"/>
    </row>
    <row r="328">
      <c r="B328" s="49" t="n"/>
      <c r="C328" s="49" t="n"/>
      <c r="D328" s="49" t="n"/>
      <c r="E328" s="49" t="n"/>
      <c r="F328" s="49" t="n"/>
      <c r="G328" s="49" t="n"/>
      <c r="H328" s="49" t="n"/>
      <c r="I328" s="49" t="n"/>
      <c r="J328" s="49" t="n"/>
      <c r="K328" s="49" t="n"/>
      <c r="L328" s="49" t="n"/>
      <c r="M328" s="49" t="n"/>
      <c r="N328" s="49" t="n"/>
      <c r="O328" s="49" t="n"/>
      <c r="P328" s="49" t="n"/>
      <c r="Q328" s="49" t="n"/>
    </row>
    <row r="329">
      <c r="B329" s="49" t="n"/>
      <c r="C329" s="49" t="n"/>
      <c r="D329" s="49" t="n"/>
      <c r="E329" s="49" t="n"/>
      <c r="F329" s="49" t="n"/>
      <c r="G329" s="49" t="n"/>
      <c r="H329" s="49" t="n"/>
      <c r="I329" s="49" t="n"/>
      <c r="J329" s="49" t="n"/>
      <c r="K329" s="49" t="n"/>
      <c r="L329" s="49" t="n"/>
      <c r="M329" s="49" t="n"/>
      <c r="N329" s="49" t="n"/>
      <c r="O329" s="49" t="n"/>
      <c r="P329" s="49" t="n"/>
      <c r="Q329" s="49" t="n"/>
    </row>
    <row r="330">
      <c r="B330" s="49" t="n"/>
      <c r="C330" s="49" t="n"/>
      <c r="D330" s="49" t="n"/>
      <c r="E330" s="49" t="n"/>
      <c r="F330" s="49" t="n"/>
      <c r="G330" s="49" t="n"/>
      <c r="H330" s="49" t="n"/>
      <c r="I330" s="49" t="n"/>
      <c r="J330" s="49" t="n"/>
      <c r="K330" s="49" t="n"/>
      <c r="L330" s="49" t="n"/>
      <c r="M330" s="49" t="n"/>
      <c r="N330" s="49" t="n"/>
      <c r="O330" s="49" t="n"/>
      <c r="P330" s="49" t="n"/>
      <c r="Q330" s="49" t="n"/>
    </row>
    <row r="331">
      <c r="B331" s="49" t="n"/>
      <c r="C331" s="49" t="n"/>
      <c r="D331" s="49" t="n"/>
      <c r="E331" s="49" t="n"/>
      <c r="F331" s="49" t="n"/>
      <c r="G331" s="49" t="n"/>
      <c r="H331" s="49" t="n"/>
      <c r="I331" s="49" t="n"/>
      <c r="J331" s="49" t="n"/>
      <c r="K331" s="49" t="n"/>
      <c r="L331" s="49" t="n"/>
      <c r="M331" s="49" t="n"/>
      <c r="N331" s="49" t="n"/>
      <c r="O331" s="49" t="n"/>
      <c r="P331" s="49" t="n"/>
      <c r="Q331" s="49" t="n"/>
    </row>
    <row r="332">
      <c r="B332" s="49" t="n"/>
      <c r="C332" s="49" t="n"/>
      <c r="D332" s="49" t="n"/>
      <c r="E332" s="49" t="n"/>
      <c r="F332" s="49" t="n"/>
      <c r="G332" s="49" t="n"/>
      <c r="H332" s="49" t="n"/>
      <c r="I332" s="49" t="n"/>
      <c r="J332" s="49" t="n"/>
      <c r="K332" s="49" t="n"/>
      <c r="L332" s="49" t="n"/>
      <c r="M332" s="49" t="n"/>
      <c r="N332" s="49" t="n"/>
      <c r="O332" s="49" t="n"/>
      <c r="P332" s="49" t="n"/>
      <c r="Q332" s="49" t="n"/>
    </row>
    <row r="333">
      <c r="B333" s="49" t="n"/>
      <c r="C333" s="49" t="n"/>
      <c r="D333" s="49" t="n"/>
      <c r="E333" s="49" t="n"/>
      <c r="F333" s="49" t="n"/>
      <c r="G333" s="49" t="n"/>
      <c r="H333" s="49" t="n"/>
      <c r="I333" s="49" t="n"/>
      <c r="J333" s="49" t="n"/>
      <c r="K333" s="49" t="n"/>
      <c r="L333" s="49" t="n"/>
      <c r="M333" s="49" t="n"/>
      <c r="N333" s="49" t="n"/>
      <c r="O333" s="49" t="n"/>
      <c r="P333" s="49" t="n"/>
      <c r="Q333" s="49" t="n"/>
    </row>
    <row r="334">
      <c r="B334" s="49" t="n"/>
      <c r="C334" s="49" t="n"/>
      <c r="D334" s="49" t="n"/>
      <c r="E334" s="49" t="n"/>
      <c r="F334" s="49" t="n"/>
      <c r="G334" s="49" t="n"/>
      <c r="H334" s="49" t="n"/>
      <c r="I334" s="49" t="n"/>
      <c r="J334" s="49" t="n"/>
      <c r="K334" s="49" t="n"/>
      <c r="L334" s="49" t="n"/>
      <c r="M334" s="49" t="n"/>
      <c r="N334" s="49" t="n"/>
      <c r="O334" s="49" t="n"/>
      <c r="P334" s="49" t="n"/>
      <c r="Q334" s="49" t="n"/>
    </row>
    <row r="335">
      <c r="B335" s="49" t="n"/>
      <c r="C335" s="49" t="n"/>
      <c r="D335" s="49" t="n"/>
      <c r="E335" s="49" t="n"/>
      <c r="F335" s="49" t="n"/>
      <c r="G335" s="49" t="n"/>
      <c r="H335" s="49" t="n"/>
      <c r="I335" s="49" t="n"/>
      <c r="J335" s="49" t="n"/>
      <c r="K335" s="49" t="n"/>
      <c r="L335" s="49" t="n"/>
      <c r="M335" s="49" t="n"/>
      <c r="N335" s="49" t="n"/>
      <c r="O335" s="49" t="n"/>
      <c r="P335" s="49" t="n"/>
      <c r="Q335" s="49" t="n"/>
    </row>
    <row r="336">
      <c r="B336" s="49" t="n"/>
      <c r="C336" s="49" t="n"/>
      <c r="D336" s="49" t="n"/>
      <c r="E336" s="49" t="n"/>
      <c r="F336" s="49" t="n"/>
      <c r="G336" s="49" t="n"/>
      <c r="H336" s="49" t="n"/>
      <c r="I336" s="49" t="n"/>
      <c r="J336" s="49" t="n"/>
      <c r="K336" s="49" t="n"/>
      <c r="L336" s="49" t="n"/>
      <c r="M336" s="49" t="n"/>
      <c r="N336" s="49" t="n"/>
      <c r="O336" s="49" t="n"/>
      <c r="P336" s="49" t="n"/>
      <c r="Q336" s="49" t="n"/>
    </row>
    <row r="337">
      <c r="B337" s="49" t="n"/>
      <c r="C337" s="49" t="n"/>
      <c r="D337" s="49" t="n"/>
      <c r="E337" s="49" t="n"/>
      <c r="F337" s="49" t="n"/>
      <c r="G337" s="49" t="n"/>
      <c r="H337" s="49" t="n"/>
      <c r="I337" s="49" t="n"/>
      <c r="J337" s="49" t="n"/>
      <c r="K337" s="49" t="n"/>
      <c r="L337" s="49" t="n"/>
      <c r="M337" s="49" t="n"/>
      <c r="N337" s="49" t="n"/>
      <c r="O337" s="49" t="n"/>
      <c r="P337" s="49" t="n"/>
      <c r="Q337" s="49" t="n"/>
    </row>
    <row r="338">
      <c r="B338" s="49" t="n"/>
      <c r="C338" s="49" t="n"/>
      <c r="D338" s="49" t="n"/>
      <c r="E338" s="49" t="n"/>
      <c r="F338" s="49" t="n"/>
      <c r="G338" s="49" t="n"/>
      <c r="H338" s="49" t="n"/>
      <c r="I338" s="49" t="n"/>
      <c r="J338" s="49" t="n"/>
      <c r="K338" s="49" t="n"/>
      <c r="L338" s="49" t="n"/>
      <c r="M338" s="49" t="n"/>
      <c r="N338" s="49" t="n"/>
      <c r="O338" s="49" t="n"/>
      <c r="P338" s="49" t="n"/>
      <c r="Q338" s="49" t="n"/>
    </row>
    <row r="339">
      <c r="B339" s="49" t="n"/>
      <c r="C339" s="49" t="n"/>
      <c r="D339" s="49" t="n"/>
      <c r="E339" s="49" t="n"/>
      <c r="F339" s="49" t="n"/>
      <c r="G339" s="49" t="n"/>
      <c r="H339" s="49" t="n"/>
      <c r="I339" s="49" t="n"/>
      <c r="J339" s="49" t="n"/>
      <c r="K339" s="49" t="n"/>
      <c r="L339" s="49" t="n"/>
      <c r="M339" s="49" t="n"/>
      <c r="N339" s="49" t="n"/>
      <c r="O339" s="49" t="n"/>
      <c r="P339" s="49" t="n"/>
      <c r="Q339" s="49" t="n"/>
    </row>
    <row r="340">
      <c r="B340" s="49" t="n"/>
      <c r="C340" s="49" t="n"/>
      <c r="D340" s="49" t="n"/>
      <c r="E340" s="49" t="n"/>
      <c r="F340" s="49" t="n"/>
      <c r="G340" s="49" t="n"/>
      <c r="H340" s="49" t="n"/>
      <c r="I340" s="49" t="n"/>
      <c r="J340" s="49" t="n"/>
      <c r="K340" s="49" t="n"/>
      <c r="L340" s="49" t="n"/>
      <c r="M340" s="49" t="n"/>
      <c r="N340" s="49" t="n"/>
      <c r="O340" s="49" t="n"/>
      <c r="P340" s="49" t="n"/>
      <c r="Q340" s="49" t="n"/>
    </row>
    <row r="341">
      <c r="B341" s="49" t="n"/>
      <c r="C341" s="49" t="n"/>
      <c r="D341" s="49" t="n"/>
      <c r="E341" s="49" t="n"/>
      <c r="F341" s="49" t="n"/>
      <c r="G341" s="49" t="n"/>
      <c r="H341" s="49" t="n"/>
      <c r="I341" s="49" t="n"/>
      <c r="J341" s="49" t="n"/>
      <c r="K341" s="49" t="n"/>
      <c r="L341" s="49" t="n"/>
      <c r="M341" s="49" t="n"/>
      <c r="N341" s="49" t="n"/>
      <c r="O341" s="49" t="n"/>
      <c r="P341" s="49" t="n"/>
      <c r="Q341" s="49" t="n"/>
    </row>
    <row r="342">
      <c r="B342" s="49" t="n"/>
      <c r="C342" s="49" t="n"/>
      <c r="D342" s="49" t="n"/>
      <c r="E342" s="49" t="n"/>
      <c r="F342" s="49" t="n"/>
      <c r="G342" s="49" t="n"/>
      <c r="H342" s="49" t="n"/>
      <c r="I342" s="49" t="n"/>
      <c r="J342" s="49" t="n"/>
      <c r="K342" s="49" t="n"/>
      <c r="L342" s="49" t="n"/>
      <c r="M342" s="49" t="n"/>
      <c r="N342" s="49" t="n"/>
      <c r="O342" s="49" t="n"/>
      <c r="P342" s="49" t="n"/>
      <c r="Q342" s="49" t="n"/>
    </row>
    <row r="343">
      <c r="B343" s="49" t="n"/>
      <c r="C343" s="49" t="n"/>
      <c r="D343" s="49" t="n"/>
      <c r="E343" s="49" t="n"/>
      <c r="F343" s="49" t="n"/>
      <c r="G343" s="49" t="n"/>
      <c r="H343" s="49" t="n"/>
      <c r="I343" s="49" t="n"/>
      <c r="J343" s="49" t="n"/>
      <c r="K343" s="49" t="n"/>
      <c r="L343" s="49" t="n"/>
      <c r="M343" s="49" t="n"/>
      <c r="N343" s="49" t="n"/>
      <c r="O343" s="49" t="n"/>
      <c r="P343" s="49" t="n"/>
      <c r="Q343" s="49" t="n"/>
    </row>
    <row r="344">
      <c r="B344" s="49" t="n"/>
      <c r="C344" s="49" t="n"/>
      <c r="D344" s="49" t="n"/>
      <c r="E344" s="49" t="n"/>
      <c r="F344" s="49" t="n"/>
      <c r="G344" s="49" t="n"/>
      <c r="H344" s="49" t="n"/>
      <c r="I344" s="49" t="n"/>
      <c r="J344" s="49" t="n"/>
      <c r="K344" s="49" t="n"/>
      <c r="L344" s="49" t="n"/>
      <c r="M344" s="49" t="n"/>
      <c r="N344" s="49" t="n"/>
      <c r="O344" s="49" t="n"/>
      <c r="P344" s="49" t="n"/>
      <c r="Q344" s="49" t="n"/>
    </row>
    <row r="345">
      <c r="B345" s="49" t="n"/>
      <c r="C345" s="49" t="n"/>
      <c r="D345" s="49" t="n"/>
      <c r="E345" s="49" t="n"/>
      <c r="F345" s="49" t="n"/>
      <c r="G345" s="49" t="n"/>
      <c r="H345" s="49" t="n"/>
      <c r="I345" s="49" t="n"/>
      <c r="J345" s="49" t="n"/>
      <c r="K345" s="49" t="n"/>
      <c r="L345" s="49" t="n"/>
      <c r="M345" s="49" t="n"/>
      <c r="N345" s="49" t="n"/>
      <c r="O345" s="49" t="n"/>
      <c r="P345" s="49" t="n"/>
      <c r="Q345" s="49" t="n"/>
    </row>
    <row r="346">
      <c r="B346" s="49" t="n"/>
      <c r="C346" s="49" t="n"/>
      <c r="D346" s="49" t="n"/>
      <c r="E346" s="49" t="n"/>
      <c r="F346" s="49" t="n"/>
      <c r="G346" s="49" t="n"/>
      <c r="H346" s="49" t="n"/>
      <c r="I346" s="49" t="n"/>
      <c r="J346" s="49" t="n"/>
      <c r="K346" s="49" t="n"/>
      <c r="L346" s="49" t="n"/>
      <c r="M346" s="49" t="n"/>
      <c r="N346" s="49" t="n"/>
      <c r="O346" s="49" t="n"/>
      <c r="P346" s="49" t="n"/>
      <c r="Q346" s="49" t="n"/>
    </row>
    <row r="347">
      <c r="B347" s="49" t="n"/>
      <c r="C347" s="49" t="n"/>
      <c r="D347" s="49" t="n"/>
      <c r="E347" s="49" t="n"/>
      <c r="F347" s="49" t="n"/>
      <c r="G347" s="49" t="n"/>
      <c r="H347" s="49" t="n"/>
      <c r="I347" s="49" t="n"/>
      <c r="J347" s="49" t="n"/>
      <c r="K347" s="49" t="n"/>
      <c r="L347" s="49" t="n"/>
      <c r="M347" s="49" t="n"/>
      <c r="N347" s="49" t="n"/>
      <c r="O347" s="49" t="n"/>
      <c r="P347" s="49" t="n"/>
      <c r="Q347" s="49" t="n"/>
    </row>
    <row r="348">
      <c r="B348" s="49" t="n"/>
      <c r="C348" s="49" t="n"/>
      <c r="D348" s="49" t="n"/>
      <c r="E348" s="49" t="n"/>
      <c r="F348" s="49" t="n"/>
      <c r="G348" s="49" t="n"/>
      <c r="H348" s="49" t="n"/>
      <c r="I348" s="49" t="n"/>
      <c r="J348" s="49" t="n"/>
      <c r="K348" s="49" t="n"/>
      <c r="L348" s="49" t="n"/>
      <c r="M348" s="49" t="n"/>
      <c r="N348" s="49" t="n"/>
      <c r="O348" s="49" t="n"/>
      <c r="P348" s="49" t="n"/>
      <c r="Q348" s="49" t="n"/>
    </row>
    <row r="349">
      <c r="B349" s="49" t="n"/>
      <c r="C349" s="49" t="n"/>
      <c r="D349" s="49" t="n"/>
      <c r="E349" s="49" t="n"/>
      <c r="F349" s="49" t="n"/>
      <c r="G349" s="49" t="n"/>
      <c r="H349" s="49" t="n"/>
      <c r="I349" s="49" t="n"/>
      <c r="J349" s="49" t="n"/>
      <c r="K349" s="49" t="n"/>
      <c r="L349" s="49" t="n"/>
      <c r="M349" s="49" t="n"/>
      <c r="N349" s="49" t="n"/>
      <c r="O349" s="49" t="n"/>
      <c r="P349" s="49" t="n"/>
      <c r="Q349" s="49" t="n"/>
    </row>
    <row r="350">
      <c r="B350" s="49" t="n"/>
      <c r="C350" s="49" t="n"/>
      <c r="D350" s="49" t="n"/>
      <c r="E350" s="49" t="n"/>
      <c r="F350" s="49" t="n"/>
      <c r="G350" s="49" t="n"/>
      <c r="H350" s="49" t="n"/>
      <c r="I350" s="49" t="n"/>
      <c r="J350" s="49" t="n"/>
      <c r="K350" s="49" t="n"/>
      <c r="L350" s="49" t="n"/>
      <c r="M350" s="49" t="n"/>
      <c r="N350" s="49" t="n"/>
      <c r="O350" s="49" t="n"/>
      <c r="P350" s="49" t="n"/>
      <c r="Q350" s="49" t="n"/>
    </row>
    <row r="351">
      <c r="B351" s="49" t="n"/>
      <c r="C351" s="49" t="n"/>
      <c r="D351" s="49" t="n"/>
      <c r="E351" s="49" t="n"/>
      <c r="F351" s="49" t="n"/>
      <c r="G351" s="49" t="n"/>
      <c r="H351" s="49" t="n"/>
      <c r="I351" s="49" t="n"/>
      <c r="J351" s="49" t="n"/>
      <c r="K351" s="49" t="n"/>
      <c r="L351" s="49" t="n"/>
      <c r="M351" s="49" t="n"/>
      <c r="N351" s="49" t="n"/>
      <c r="O351" s="49" t="n"/>
      <c r="P351" s="49" t="n"/>
      <c r="Q351" s="49" t="n"/>
    </row>
    <row r="352">
      <c r="B352" s="49" t="n"/>
      <c r="C352" s="49" t="n"/>
      <c r="D352" s="49" t="n"/>
      <c r="E352" s="49" t="n"/>
      <c r="F352" s="49" t="n"/>
      <c r="G352" s="49" t="n"/>
      <c r="H352" s="49" t="n"/>
      <c r="I352" s="49" t="n"/>
      <c r="J352" s="49" t="n"/>
      <c r="K352" s="49" t="n"/>
      <c r="L352" s="49" t="n"/>
      <c r="M352" s="49" t="n"/>
      <c r="N352" s="49" t="n"/>
      <c r="O352" s="49" t="n"/>
      <c r="P352" s="49" t="n"/>
      <c r="Q352" s="49" t="n"/>
    </row>
    <row r="353">
      <c r="B353" s="49" t="n"/>
      <c r="C353" s="49" t="n"/>
      <c r="D353" s="49" t="n"/>
      <c r="E353" s="49" t="n"/>
      <c r="F353" s="49" t="n"/>
      <c r="G353" s="49" t="n"/>
      <c r="H353" s="49" t="n"/>
      <c r="I353" s="49" t="n"/>
      <c r="J353" s="49" t="n"/>
      <c r="K353" s="49" t="n"/>
      <c r="L353" s="49" t="n"/>
      <c r="M353" s="49" t="n"/>
      <c r="N353" s="49" t="n"/>
      <c r="O353" s="49" t="n"/>
      <c r="P353" s="49" t="n"/>
      <c r="Q353" s="49" t="n"/>
    </row>
    <row r="354">
      <c r="B354" s="49" t="n"/>
      <c r="C354" s="49" t="n"/>
      <c r="D354" s="49" t="n"/>
      <c r="E354" s="49" t="n"/>
      <c r="F354" s="49" t="n"/>
      <c r="G354" s="49" t="n"/>
      <c r="H354" s="49" t="n"/>
      <c r="I354" s="49" t="n"/>
      <c r="J354" s="49" t="n"/>
      <c r="K354" s="49" t="n"/>
      <c r="L354" s="49" t="n"/>
      <c r="M354" s="49" t="n"/>
      <c r="N354" s="49" t="n"/>
      <c r="O354" s="49" t="n"/>
      <c r="P354" s="49" t="n"/>
      <c r="Q354" s="49" t="n"/>
    </row>
    <row r="355">
      <c r="B355" s="49" t="n"/>
      <c r="C355" s="49" t="n"/>
      <c r="D355" s="49" t="n"/>
      <c r="E355" s="49" t="n"/>
      <c r="F355" s="49" t="n"/>
      <c r="G355" s="49" t="n"/>
      <c r="H355" s="49" t="n"/>
      <c r="I355" s="49" t="n"/>
      <c r="J355" s="49" t="n"/>
      <c r="K355" s="49" t="n"/>
      <c r="L355" s="49" t="n"/>
      <c r="M355" s="49" t="n"/>
      <c r="N355" s="49" t="n"/>
      <c r="O355" s="49" t="n"/>
      <c r="P355" s="49" t="n"/>
      <c r="Q355" s="49" t="n"/>
    </row>
    <row r="356">
      <c r="B356" s="49" t="n"/>
      <c r="C356" s="49" t="n"/>
      <c r="D356" s="49" t="n"/>
      <c r="E356" s="49" t="n"/>
      <c r="F356" s="49" t="n"/>
      <c r="G356" s="49" t="n"/>
      <c r="H356" s="49" t="n"/>
      <c r="I356" s="49" t="n"/>
      <c r="J356" s="49" t="n"/>
      <c r="K356" s="49" t="n"/>
      <c r="L356" s="49" t="n"/>
      <c r="M356" s="49" t="n"/>
      <c r="N356" s="49" t="n"/>
      <c r="O356" s="49" t="n"/>
      <c r="P356" s="49" t="n"/>
      <c r="Q356" s="49" t="n"/>
    </row>
    <row r="357">
      <c r="B357" s="49" t="n"/>
      <c r="C357" s="49" t="n"/>
      <c r="D357" s="49" t="n"/>
      <c r="E357" s="49" t="n"/>
      <c r="F357" s="49" t="n"/>
      <c r="G357" s="49" t="n"/>
      <c r="H357" s="49" t="n"/>
      <c r="I357" s="49" t="n"/>
      <c r="J357" s="49" t="n"/>
      <c r="K357" s="49" t="n"/>
      <c r="L357" s="49" t="n"/>
      <c r="M357" s="49" t="n"/>
      <c r="N357" s="49" t="n"/>
      <c r="O357" s="49" t="n"/>
      <c r="P357" s="49" t="n"/>
      <c r="Q357" s="49" t="n"/>
    </row>
    <row r="358">
      <c r="B358" s="49" t="n"/>
      <c r="C358" s="49" t="n"/>
      <c r="D358" s="49" t="n"/>
      <c r="E358" s="49" t="n"/>
      <c r="F358" s="49" t="n"/>
      <c r="G358" s="49" t="n"/>
      <c r="H358" s="49" t="n"/>
      <c r="I358" s="49" t="n"/>
      <c r="J358" s="49" t="n"/>
      <c r="K358" s="49" t="n"/>
      <c r="L358" s="49" t="n"/>
      <c r="M358" s="49" t="n"/>
      <c r="N358" s="49" t="n"/>
      <c r="O358" s="49" t="n"/>
      <c r="P358" s="49" t="n"/>
      <c r="Q358" s="49" t="n"/>
    </row>
    <row r="359">
      <c r="B359" s="49" t="n"/>
      <c r="C359" s="49" t="n"/>
      <c r="D359" s="49" t="n"/>
      <c r="E359" s="49" t="n"/>
      <c r="F359" s="49" t="n"/>
      <c r="G359" s="49" t="n"/>
      <c r="H359" s="49" t="n"/>
      <c r="I359" s="49" t="n"/>
      <c r="J359" s="49" t="n"/>
      <c r="K359" s="49" t="n"/>
      <c r="L359" s="49" t="n"/>
      <c r="M359" s="49" t="n"/>
      <c r="N359" s="49" t="n"/>
      <c r="O359" s="49" t="n"/>
      <c r="P359" s="49" t="n"/>
      <c r="Q359" s="49" t="n"/>
    </row>
    <row r="360">
      <c r="B360" s="49" t="n"/>
      <c r="C360" s="49" t="n"/>
      <c r="D360" s="49" t="n"/>
      <c r="E360" s="49" t="n"/>
      <c r="F360" s="49" t="n"/>
      <c r="G360" s="49" t="n"/>
      <c r="H360" s="49" t="n"/>
      <c r="I360" s="49" t="n"/>
      <c r="J360" s="49" t="n"/>
      <c r="K360" s="49" t="n"/>
      <c r="L360" s="49" t="n"/>
      <c r="M360" s="49" t="n"/>
      <c r="N360" s="49" t="n"/>
      <c r="O360" s="49" t="n"/>
      <c r="P360" s="49" t="n"/>
      <c r="Q360" s="49" t="n"/>
    </row>
    <row r="361">
      <c r="B361" s="49" t="n"/>
      <c r="C361" s="49" t="n"/>
      <c r="D361" s="49" t="n"/>
      <c r="E361" s="49" t="n"/>
      <c r="F361" s="49" t="n"/>
      <c r="G361" s="49" t="n"/>
      <c r="H361" s="49" t="n"/>
      <c r="I361" s="49" t="n"/>
      <c r="J361" s="49" t="n"/>
      <c r="K361" s="49" t="n"/>
      <c r="L361" s="49" t="n"/>
      <c r="M361" s="49" t="n"/>
      <c r="N361" s="49" t="n"/>
      <c r="O361" s="49" t="n"/>
      <c r="P361" s="49" t="n"/>
      <c r="Q361" s="49" t="n"/>
    </row>
    <row r="362">
      <c r="B362" s="49" t="n"/>
      <c r="C362" s="49" t="n"/>
      <c r="D362" s="49" t="n"/>
      <c r="E362" s="49" t="n"/>
      <c r="F362" s="49" t="n"/>
      <c r="G362" s="49" t="n"/>
      <c r="H362" s="49" t="n"/>
      <c r="I362" s="49" t="n"/>
      <c r="J362" s="49" t="n"/>
      <c r="K362" s="49" t="n"/>
      <c r="L362" s="49" t="n"/>
      <c r="M362" s="49" t="n"/>
      <c r="N362" s="49" t="n"/>
      <c r="O362" s="49" t="n"/>
      <c r="P362" s="49" t="n"/>
      <c r="Q362" s="49" t="n"/>
    </row>
    <row r="363">
      <c r="B363" s="49" t="n"/>
      <c r="C363" s="49" t="n"/>
      <c r="D363" s="49" t="n"/>
      <c r="E363" s="49" t="n"/>
      <c r="F363" s="49" t="n"/>
      <c r="G363" s="49" t="n"/>
      <c r="H363" s="49" t="n"/>
      <c r="I363" s="49" t="n"/>
      <c r="J363" s="49" t="n"/>
      <c r="K363" s="49" t="n"/>
      <c r="L363" s="49" t="n"/>
      <c r="M363" s="49" t="n"/>
      <c r="N363" s="49" t="n"/>
      <c r="O363" s="49" t="n"/>
      <c r="P363" s="49" t="n"/>
      <c r="Q363" s="49" t="n"/>
    </row>
    <row r="364">
      <c r="B364" s="49" t="n"/>
      <c r="C364" s="49" t="n"/>
      <c r="D364" s="49" t="n"/>
      <c r="E364" s="49" t="n"/>
      <c r="F364" s="49" t="n"/>
      <c r="G364" s="49" t="n"/>
      <c r="H364" s="49" t="n"/>
      <c r="I364" s="49" t="n"/>
      <c r="J364" s="49" t="n"/>
      <c r="K364" s="49" t="n"/>
      <c r="L364" s="49" t="n"/>
      <c r="M364" s="49" t="n"/>
      <c r="N364" s="49" t="n"/>
      <c r="O364" s="49" t="n"/>
      <c r="P364" s="49" t="n"/>
      <c r="Q364" s="49" t="n"/>
    </row>
    <row r="365">
      <c r="B365" s="49" t="n"/>
      <c r="C365" s="49" t="n"/>
      <c r="D365" s="49" t="n"/>
      <c r="E365" s="49" t="n"/>
      <c r="F365" s="49" t="n"/>
      <c r="G365" s="49" t="n"/>
      <c r="H365" s="49" t="n"/>
      <c r="I365" s="49" t="n"/>
      <c r="J365" s="49" t="n"/>
      <c r="K365" s="49" t="n"/>
      <c r="L365" s="49" t="n"/>
      <c r="M365" s="49" t="n"/>
      <c r="N365" s="49" t="n"/>
      <c r="O365" s="49" t="n"/>
      <c r="P365" s="49" t="n"/>
      <c r="Q365" s="49" t="n"/>
    </row>
    <row r="366">
      <c r="B366" s="49" t="n"/>
      <c r="C366" s="49" t="n"/>
      <c r="D366" s="49" t="n"/>
      <c r="E366" s="49" t="n"/>
      <c r="F366" s="49" t="n"/>
      <c r="G366" s="49" t="n"/>
      <c r="H366" s="49" t="n"/>
      <c r="I366" s="49" t="n"/>
      <c r="J366" s="49" t="n"/>
      <c r="K366" s="49" t="n"/>
      <c r="L366" s="49" t="n"/>
      <c r="M366" s="49" t="n"/>
      <c r="N366" s="49" t="n"/>
      <c r="O366" s="49" t="n"/>
      <c r="P366" s="49" t="n"/>
      <c r="Q366" s="49" t="n"/>
    </row>
    <row r="367">
      <c r="B367" s="49" t="n"/>
      <c r="C367" s="49" t="n"/>
      <c r="D367" s="49" t="n"/>
      <c r="E367" s="49" t="n"/>
      <c r="F367" s="49" t="n"/>
      <c r="G367" s="49" t="n"/>
      <c r="H367" s="49" t="n"/>
      <c r="I367" s="49" t="n"/>
      <c r="J367" s="49" t="n"/>
      <c r="K367" s="49" t="n"/>
      <c r="L367" s="49" t="n"/>
      <c r="M367" s="49" t="n"/>
      <c r="N367" s="49" t="n"/>
      <c r="O367" s="49" t="n"/>
      <c r="P367" s="49" t="n"/>
      <c r="Q367" s="49" t="n"/>
    </row>
    <row r="368">
      <c r="B368" s="49" t="n"/>
      <c r="C368" s="49" t="n"/>
      <c r="D368" s="49" t="n"/>
      <c r="E368" s="49" t="n"/>
      <c r="F368" s="49" t="n"/>
      <c r="G368" s="49" t="n"/>
      <c r="H368" s="49" t="n"/>
      <c r="I368" s="49" t="n"/>
      <c r="J368" s="49" t="n"/>
      <c r="K368" s="49" t="n"/>
      <c r="L368" s="49" t="n"/>
      <c r="M368" s="49" t="n"/>
      <c r="N368" s="49" t="n"/>
      <c r="O368" s="49" t="n"/>
      <c r="P368" s="49" t="n"/>
      <c r="Q368" s="49" t="n"/>
    </row>
    <row r="369">
      <c r="B369" s="49" t="n"/>
      <c r="C369" s="49" t="n"/>
      <c r="D369" s="49" t="n"/>
      <c r="E369" s="49" t="n"/>
      <c r="F369" s="49" t="n"/>
      <c r="G369" s="49" t="n"/>
      <c r="H369" s="49" t="n"/>
      <c r="I369" s="49" t="n"/>
      <c r="J369" s="49" t="n"/>
      <c r="K369" s="49" t="n"/>
      <c r="L369" s="49" t="n"/>
      <c r="M369" s="49" t="n"/>
      <c r="N369" s="49" t="n"/>
      <c r="O369" s="49" t="n"/>
      <c r="P369" s="49" t="n"/>
      <c r="Q369" s="49" t="n"/>
    </row>
    <row r="370">
      <c r="B370" s="49" t="n"/>
      <c r="C370" s="49" t="n"/>
      <c r="D370" s="49" t="n"/>
      <c r="E370" s="49" t="n"/>
      <c r="F370" s="49" t="n"/>
      <c r="G370" s="49" t="n"/>
      <c r="H370" s="49" t="n"/>
      <c r="I370" s="49" t="n"/>
      <c r="J370" s="49" t="n"/>
      <c r="K370" s="49" t="n"/>
      <c r="L370" s="49" t="n"/>
      <c r="M370" s="49" t="n"/>
      <c r="N370" s="49" t="n"/>
      <c r="O370" s="49" t="n"/>
      <c r="P370" s="49" t="n"/>
      <c r="Q370" s="49" t="n"/>
    </row>
    <row r="371">
      <c r="B371" s="49" t="n"/>
      <c r="C371" s="49" t="n"/>
      <c r="D371" s="49" t="n"/>
      <c r="E371" s="49" t="n"/>
      <c r="F371" s="49" t="n"/>
      <c r="G371" s="49" t="n"/>
      <c r="H371" s="49" t="n"/>
      <c r="I371" s="49" t="n"/>
      <c r="J371" s="49" t="n"/>
      <c r="K371" s="49" t="n"/>
      <c r="L371" s="49" t="n"/>
      <c r="M371" s="49" t="n"/>
      <c r="N371" s="49" t="n"/>
      <c r="O371" s="49" t="n"/>
      <c r="P371" s="49" t="n"/>
      <c r="Q371" s="49" t="n"/>
    </row>
    <row r="372">
      <c r="B372" s="49" t="n"/>
      <c r="C372" s="49" t="n"/>
      <c r="D372" s="49" t="n"/>
      <c r="E372" s="49" t="n"/>
      <c r="F372" s="49" t="n"/>
      <c r="G372" s="49" t="n"/>
      <c r="H372" s="49" t="n"/>
      <c r="I372" s="49" t="n"/>
      <c r="J372" s="49" t="n"/>
      <c r="K372" s="49" t="n"/>
      <c r="L372" s="49" t="n"/>
      <c r="M372" s="49" t="n"/>
      <c r="N372" s="49" t="n"/>
      <c r="O372" s="49" t="n"/>
      <c r="P372" s="49" t="n"/>
      <c r="Q372" s="49" t="n"/>
    </row>
    <row r="373">
      <c r="B373" s="49" t="n"/>
      <c r="C373" s="49" t="n"/>
      <c r="D373" s="49" t="n"/>
      <c r="E373" s="49" t="n"/>
      <c r="F373" s="49" t="n"/>
      <c r="G373" s="49" t="n"/>
      <c r="H373" s="49" t="n"/>
      <c r="I373" s="49" t="n"/>
      <c r="J373" s="49" t="n"/>
      <c r="K373" s="49" t="n"/>
      <c r="L373" s="49" t="n"/>
      <c r="M373" s="49" t="n"/>
      <c r="N373" s="49" t="n"/>
      <c r="O373" s="49" t="n"/>
      <c r="P373" s="49" t="n"/>
      <c r="Q373" s="49" t="n"/>
    </row>
    <row r="374">
      <c r="B374" s="49" t="n"/>
      <c r="C374" s="49" t="n"/>
      <c r="D374" s="49" t="n"/>
      <c r="E374" s="49" t="n"/>
      <c r="F374" s="49" t="n"/>
      <c r="G374" s="49" t="n"/>
      <c r="H374" s="49" t="n"/>
      <c r="I374" s="49" t="n"/>
      <c r="J374" s="49" t="n"/>
      <c r="K374" s="49" t="n"/>
      <c r="L374" s="49" t="n"/>
      <c r="M374" s="49" t="n"/>
      <c r="N374" s="49" t="n"/>
      <c r="O374" s="49" t="n"/>
      <c r="P374" s="49" t="n"/>
      <c r="Q374" s="49" t="n"/>
    </row>
    <row r="375">
      <c r="B375" s="49" t="n"/>
      <c r="C375" s="49" t="n"/>
      <c r="D375" s="49" t="n"/>
      <c r="E375" s="49" t="n"/>
      <c r="F375" s="49" t="n"/>
      <c r="G375" s="49" t="n"/>
      <c r="H375" s="49" t="n"/>
      <c r="I375" s="49" t="n"/>
      <c r="J375" s="49" t="n"/>
      <c r="K375" s="49" t="n"/>
      <c r="L375" s="49" t="n"/>
      <c r="M375" s="49" t="n"/>
      <c r="N375" s="49" t="n"/>
      <c r="O375" s="49" t="n"/>
      <c r="P375" s="49" t="n"/>
      <c r="Q375" s="49" t="n"/>
    </row>
    <row r="376">
      <c r="B376" s="49" t="n"/>
      <c r="C376" s="49" t="n"/>
      <c r="D376" s="49" t="n"/>
      <c r="E376" s="49" t="n"/>
      <c r="F376" s="49" t="n"/>
      <c r="G376" s="49" t="n"/>
      <c r="H376" s="49" t="n"/>
      <c r="I376" s="49" t="n"/>
      <c r="J376" s="49" t="n"/>
      <c r="K376" s="49" t="n"/>
      <c r="L376" s="49" t="n"/>
      <c r="M376" s="49" t="n"/>
      <c r="N376" s="49" t="n"/>
      <c r="O376" s="49" t="n"/>
      <c r="P376" s="49" t="n"/>
      <c r="Q376" s="49" t="n"/>
    </row>
    <row r="377">
      <c r="B377" s="49" t="n"/>
      <c r="C377" s="49" t="n"/>
      <c r="D377" s="49" t="n"/>
      <c r="E377" s="49" t="n"/>
      <c r="F377" s="49" t="n"/>
      <c r="G377" s="49" t="n"/>
      <c r="H377" s="49" t="n"/>
      <c r="I377" s="49" t="n"/>
      <c r="J377" s="49" t="n"/>
      <c r="K377" s="49" t="n"/>
      <c r="L377" s="49" t="n"/>
      <c r="M377" s="49" t="n"/>
      <c r="N377" s="49" t="n"/>
      <c r="O377" s="49" t="n"/>
      <c r="P377" s="49" t="n"/>
      <c r="Q377" s="49" t="n"/>
    </row>
    <row r="378">
      <c r="B378" s="49" t="n"/>
      <c r="C378" s="49" t="n"/>
      <c r="D378" s="49" t="n"/>
      <c r="E378" s="49" t="n"/>
      <c r="F378" s="49" t="n"/>
      <c r="G378" s="49" t="n"/>
      <c r="H378" s="49" t="n"/>
      <c r="I378" s="49" t="n"/>
      <c r="J378" s="49" t="n"/>
      <c r="K378" s="49" t="n"/>
      <c r="L378" s="49" t="n"/>
      <c r="M378" s="49" t="n"/>
      <c r="N378" s="49" t="n"/>
      <c r="O378" s="49" t="n"/>
      <c r="P378" s="49" t="n"/>
      <c r="Q378" s="49" t="n"/>
    </row>
    <row r="379">
      <c r="B379" s="49" t="n"/>
      <c r="C379" s="49" t="n"/>
      <c r="D379" s="49" t="n"/>
      <c r="E379" s="49" t="n"/>
      <c r="F379" s="49" t="n"/>
      <c r="G379" s="49" t="n"/>
      <c r="H379" s="49" t="n"/>
      <c r="I379" s="49" t="n"/>
      <c r="J379" s="49" t="n"/>
      <c r="K379" s="49" t="n"/>
      <c r="L379" s="49" t="n"/>
      <c r="M379" s="49" t="n"/>
      <c r="N379" s="49" t="n"/>
      <c r="O379" s="49" t="n"/>
      <c r="P379" s="49" t="n"/>
      <c r="Q379" s="49" t="n"/>
    </row>
    <row r="380">
      <c r="B380" s="49" t="n"/>
      <c r="C380" s="49" t="n"/>
      <c r="D380" s="49" t="n"/>
      <c r="E380" s="49" t="n"/>
      <c r="F380" s="49" t="n"/>
      <c r="G380" s="49" t="n"/>
      <c r="H380" s="49" t="n"/>
      <c r="I380" s="49" t="n"/>
      <c r="J380" s="49" t="n"/>
      <c r="K380" s="49" t="n"/>
      <c r="L380" s="49" t="n"/>
      <c r="M380" s="49" t="n"/>
      <c r="N380" s="49" t="n"/>
      <c r="O380" s="49" t="n"/>
      <c r="P380" s="49" t="n"/>
      <c r="Q380" s="49" t="n"/>
    </row>
    <row r="381">
      <c r="B381" s="49" t="n"/>
      <c r="C381" s="49" t="n"/>
      <c r="D381" s="49" t="n"/>
      <c r="E381" s="49" t="n"/>
      <c r="F381" s="49" t="n"/>
      <c r="G381" s="49" t="n"/>
      <c r="H381" s="49" t="n"/>
      <c r="I381" s="49" t="n"/>
      <c r="J381" s="49" t="n"/>
      <c r="K381" s="49" t="n"/>
      <c r="L381" s="49" t="n"/>
      <c r="M381" s="49" t="n"/>
      <c r="N381" s="49" t="n"/>
      <c r="O381" s="49" t="n"/>
      <c r="P381" s="49" t="n"/>
      <c r="Q381" s="49" t="n"/>
    </row>
    <row r="382">
      <c r="B382" s="49" t="n"/>
      <c r="C382" s="49" t="n"/>
      <c r="D382" s="49" t="n"/>
      <c r="E382" s="49" t="n"/>
      <c r="F382" s="49" t="n"/>
      <c r="G382" s="49" t="n"/>
      <c r="H382" s="49" t="n"/>
      <c r="I382" s="49" t="n"/>
      <c r="J382" s="49" t="n"/>
      <c r="K382" s="49" t="n"/>
      <c r="L382" s="49" t="n"/>
      <c r="M382" s="49" t="n"/>
      <c r="N382" s="49" t="n"/>
      <c r="O382" s="49" t="n"/>
      <c r="P382" s="49" t="n"/>
      <c r="Q382" s="49" t="n"/>
    </row>
    <row r="383">
      <c r="B383" s="49" t="n"/>
      <c r="C383" s="49" t="n"/>
      <c r="D383" s="49" t="n"/>
      <c r="E383" s="49" t="n"/>
      <c r="F383" s="49" t="n"/>
      <c r="G383" s="49" t="n"/>
      <c r="H383" s="49" t="n"/>
      <c r="I383" s="49" t="n"/>
      <c r="J383" s="49" t="n"/>
      <c r="K383" s="49" t="n"/>
      <c r="L383" s="49" t="n"/>
      <c r="M383" s="49" t="n"/>
      <c r="N383" s="49" t="n"/>
      <c r="O383" s="49" t="n"/>
      <c r="P383" s="49" t="n"/>
      <c r="Q383" s="49" t="n"/>
    </row>
    <row r="384">
      <c r="B384" s="49" t="n"/>
      <c r="C384" s="49" t="n"/>
      <c r="D384" s="49" t="n"/>
      <c r="E384" s="49" t="n"/>
      <c r="F384" s="49" t="n"/>
      <c r="G384" s="49" t="n"/>
      <c r="H384" s="49" t="n"/>
      <c r="I384" s="49" t="n"/>
      <c r="J384" s="49" t="n"/>
      <c r="K384" s="49" t="n"/>
      <c r="L384" s="49" t="n"/>
      <c r="M384" s="49" t="n"/>
      <c r="N384" s="49" t="n"/>
      <c r="O384" s="49" t="n"/>
      <c r="P384" s="49" t="n"/>
      <c r="Q384" s="49" t="n"/>
    </row>
    <row r="385">
      <c r="B385" s="49" t="n"/>
      <c r="C385" s="49" t="n"/>
      <c r="D385" s="49" t="n"/>
      <c r="E385" s="49" t="n"/>
      <c r="F385" s="49" t="n"/>
      <c r="G385" s="49" t="n"/>
      <c r="H385" s="49" t="n"/>
      <c r="I385" s="49" t="n"/>
      <c r="J385" s="49" t="n"/>
      <c r="K385" s="49" t="n"/>
      <c r="L385" s="49" t="n"/>
      <c r="M385" s="49" t="n"/>
      <c r="N385" s="49" t="n"/>
      <c r="O385" s="49" t="n"/>
      <c r="P385" s="49" t="n"/>
      <c r="Q385" s="49" t="n"/>
    </row>
    <row r="386">
      <c r="B386" s="49" t="n"/>
      <c r="C386" s="49" t="n"/>
      <c r="D386" s="49" t="n"/>
      <c r="E386" s="49" t="n"/>
      <c r="F386" s="49" t="n"/>
      <c r="G386" s="49" t="n"/>
      <c r="H386" s="49" t="n"/>
      <c r="I386" s="49" t="n"/>
      <c r="J386" s="49" t="n"/>
      <c r="K386" s="49" t="n"/>
      <c r="L386" s="49" t="n"/>
      <c r="M386" s="49" t="n"/>
      <c r="N386" s="49" t="n"/>
      <c r="O386" s="49" t="n"/>
      <c r="P386" s="49" t="n"/>
      <c r="Q386" s="49" t="n"/>
    </row>
    <row r="387">
      <c r="B387" s="49" t="n"/>
      <c r="C387" s="49" t="n"/>
      <c r="D387" s="49" t="n"/>
      <c r="E387" s="49" t="n"/>
      <c r="F387" s="49" t="n"/>
      <c r="G387" s="49" t="n"/>
      <c r="H387" s="49" t="n"/>
      <c r="I387" s="49" t="n"/>
      <c r="J387" s="49" t="n"/>
      <c r="K387" s="49" t="n"/>
      <c r="L387" s="49" t="n"/>
      <c r="M387" s="49" t="n"/>
      <c r="N387" s="49" t="n"/>
      <c r="O387" s="49" t="n"/>
      <c r="P387" s="49" t="n"/>
      <c r="Q387" s="49" t="n"/>
    </row>
    <row r="388">
      <c r="B388" s="49" t="n"/>
      <c r="C388" s="49" t="n"/>
      <c r="D388" s="49" t="n"/>
      <c r="E388" s="49" t="n"/>
      <c r="F388" s="49" t="n"/>
      <c r="G388" s="49" t="n"/>
      <c r="H388" s="49" t="n"/>
      <c r="I388" s="49" t="n"/>
      <c r="J388" s="49" t="n"/>
      <c r="K388" s="49" t="n"/>
      <c r="L388" s="49" t="n"/>
      <c r="M388" s="49" t="n"/>
      <c r="N388" s="49" t="n"/>
      <c r="O388" s="49" t="n"/>
      <c r="P388" s="49" t="n"/>
      <c r="Q388" s="49" t="n"/>
    </row>
    <row r="389">
      <c r="B389" s="49" t="n"/>
      <c r="C389" s="49" t="n"/>
      <c r="D389" s="49" t="n"/>
      <c r="E389" s="49" t="n"/>
      <c r="F389" s="49" t="n"/>
      <c r="G389" s="49" t="n"/>
      <c r="H389" s="49" t="n"/>
      <c r="I389" s="49" t="n"/>
      <c r="J389" s="49" t="n"/>
      <c r="K389" s="49" t="n"/>
      <c r="L389" s="49" t="n"/>
      <c r="M389" s="49" t="n"/>
      <c r="N389" s="49" t="n"/>
      <c r="O389" s="49" t="n"/>
      <c r="P389" s="49" t="n"/>
      <c r="Q389" s="49" t="n"/>
    </row>
    <row r="390">
      <c r="B390" s="49" t="n"/>
      <c r="C390" s="49" t="n"/>
      <c r="D390" s="49" t="n"/>
      <c r="E390" s="49" t="n"/>
      <c r="F390" s="49" t="n"/>
      <c r="G390" s="49" t="n"/>
      <c r="H390" s="49" t="n"/>
      <c r="I390" s="49" t="n"/>
      <c r="J390" s="49" t="n"/>
      <c r="K390" s="49" t="n"/>
      <c r="L390" s="49" t="n"/>
      <c r="M390" s="49" t="n"/>
      <c r="N390" s="49" t="n"/>
      <c r="O390" s="49" t="n"/>
      <c r="P390" s="49" t="n"/>
      <c r="Q390" s="49" t="n"/>
    </row>
    <row r="391">
      <c r="B391" s="49" t="n"/>
      <c r="C391" s="49" t="n"/>
      <c r="D391" s="49" t="n"/>
      <c r="E391" s="49" t="n"/>
      <c r="F391" s="49" t="n"/>
      <c r="G391" s="49" t="n"/>
      <c r="H391" s="49" t="n"/>
      <c r="I391" s="49" t="n"/>
      <c r="J391" s="49" t="n"/>
      <c r="K391" s="49" t="n"/>
      <c r="L391" s="49" t="n"/>
      <c r="M391" s="49" t="n"/>
      <c r="N391" s="49" t="n"/>
      <c r="O391" s="49" t="n"/>
      <c r="P391" s="49" t="n"/>
      <c r="Q391" s="49" t="n"/>
    </row>
    <row r="392">
      <c r="B392" s="49" t="n"/>
      <c r="C392" s="49" t="n"/>
      <c r="D392" s="49" t="n"/>
      <c r="E392" s="49" t="n"/>
      <c r="F392" s="49" t="n"/>
      <c r="G392" s="49" t="n"/>
      <c r="H392" s="49" t="n"/>
      <c r="I392" s="49" t="n"/>
      <c r="J392" s="49" t="n"/>
      <c r="K392" s="49" t="n"/>
      <c r="L392" s="49" t="n"/>
      <c r="M392" s="49" t="n"/>
      <c r="N392" s="49" t="n"/>
      <c r="O392" s="49" t="n"/>
      <c r="P392" s="49" t="n"/>
      <c r="Q392" s="49" t="n"/>
    </row>
    <row r="393">
      <c r="B393" s="49" t="n"/>
      <c r="C393" s="49" t="n"/>
      <c r="D393" s="49" t="n"/>
      <c r="E393" s="49" t="n"/>
      <c r="F393" s="49" t="n"/>
      <c r="G393" s="49" t="n"/>
      <c r="H393" s="49" t="n"/>
      <c r="I393" s="49" t="n"/>
      <c r="J393" s="49" t="n"/>
      <c r="K393" s="49" t="n"/>
      <c r="L393" s="49" t="n"/>
      <c r="M393" s="49" t="n"/>
      <c r="N393" s="49" t="n"/>
      <c r="O393" s="49" t="n"/>
      <c r="P393" s="49" t="n"/>
      <c r="Q393" s="49" t="n"/>
    </row>
    <row r="394">
      <c r="B394" s="49" t="n"/>
      <c r="C394" s="49" t="n"/>
      <c r="D394" s="49" t="n"/>
      <c r="E394" s="49" t="n"/>
      <c r="F394" s="49" t="n"/>
      <c r="G394" s="49" t="n"/>
      <c r="H394" s="49" t="n"/>
      <c r="I394" s="49" t="n"/>
      <c r="J394" s="49" t="n"/>
      <c r="K394" s="49" t="n"/>
      <c r="L394" s="49" t="n"/>
      <c r="M394" s="49" t="n"/>
      <c r="N394" s="49" t="n"/>
      <c r="O394" s="49" t="n"/>
      <c r="P394" s="49" t="n"/>
      <c r="Q394" s="49" t="n"/>
    </row>
    <row r="395">
      <c r="B395" s="49" t="n"/>
      <c r="C395" s="49" t="n"/>
      <c r="D395" s="49" t="n"/>
      <c r="E395" s="49" t="n"/>
      <c r="F395" s="49" t="n"/>
      <c r="G395" s="49" t="n"/>
      <c r="H395" s="49" t="n"/>
      <c r="I395" s="49" t="n"/>
      <c r="J395" s="49" t="n"/>
      <c r="K395" s="49" t="n"/>
      <c r="L395" s="49" t="n"/>
      <c r="M395" s="49" t="n"/>
      <c r="N395" s="49" t="n"/>
      <c r="O395" s="49" t="n"/>
      <c r="P395" s="49" t="n"/>
      <c r="Q395" s="49" t="n"/>
    </row>
    <row r="396">
      <c r="B396" s="49" t="n"/>
      <c r="C396" s="49" t="n"/>
      <c r="D396" s="49" t="n"/>
      <c r="E396" s="49" t="n"/>
      <c r="F396" s="49" t="n"/>
      <c r="G396" s="49" t="n"/>
      <c r="H396" s="49" t="n"/>
      <c r="I396" s="49" t="n"/>
      <c r="J396" s="49" t="n"/>
      <c r="K396" s="49" t="n"/>
      <c r="L396" s="49" t="n"/>
      <c r="M396" s="49" t="n"/>
      <c r="N396" s="49" t="n"/>
      <c r="O396" s="49" t="n"/>
      <c r="P396" s="49" t="n"/>
      <c r="Q396" s="49" t="n"/>
    </row>
    <row r="397">
      <c r="B397" s="49" t="n"/>
      <c r="C397" s="49" t="n"/>
      <c r="D397" s="49" t="n"/>
      <c r="E397" s="49" t="n"/>
      <c r="F397" s="49" t="n"/>
      <c r="G397" s="49" t="n"/>
      <c r="H397" s="49" t="n"/>
      <c r="I397" s="49" t="n"/>
      <c r="J397" s="49" t="n"/>
      <c r="K397" s="49" t="n"/>
      <c r="L397" s="49" t="n"/>
      <c r="M397" s="49" t="n"/>
      <c r="N397" s="49" t="n"/>
      <c r="O397" s="49" t="n"/>
      <c r="P397" s="49" t="n"/>
      <c r="Q397" s="49" t="n"/>
    </row>
    <row r="398">
      <c r="B398" s="49" t="n"/>
      <c r="C398" s="49" t="n"/>
      <c r="D398" s="49" t="n"/>
      <c r="E398" s="49" t="n"/>
      <c r="F398" s="49" t="n"/>
      <c r="G398" s="49" t="n"/>
      <c r="H398" s="49" t="n"/>
      <c r="I398" s="49" t="n"/>
      <c r="J398" s="49" t="n"/>
      <c r="K398" s="49" t="n"/>
      <c r="L398" s="49" t="n"/>
      <c r="M398" s="49" t="n"/>
      <c r="N398" s="49" t="n"/>
      <c r="O398" s="49" t="n"/>
      <c r="P398" s="49" t="n"/>
      <c r="Q398" s="49" t="n"/>
    </row>
    <row r="399">
      <c r="B399" s="49" t="n"/>
      <c r="C399" s="49" t="n"/>
      <c r="D399" s="49" t="n"/>
      <c r="E399" s="49" t="n"/>
      <c r="F399" s="49" t="n"/>
      <c r="G399" s="49" t="n"/>
      <c r="H399" s="49" t="n"/>
      <c r="I399" s="49" t="n"/>
      <c r="J399" s="49" t="n"/>
      <c r="K399" s="49" t="n"/>
      <c r="L399" s="49" t="n"/>
      <c r="M399" s="49" t="n"/>
      <c r="N399" s="49" t="n"/>
      <c r="O399" s="49" t="n"/>
      <c r="P399" s="49" t="n"/>
      <c r="Q399" s="49" t="n"/>
    </row>
    <row r="400">
      <c r="B400" s="49" t="n"/>
      <c r="C400" s="49" t="n"/>
      <c r="D400" s="49" t="n"/>
      <c r="E400" s="49" t="n"/>
      <c r="F400" s="49" t="n"/>
      <c r="G400" s="49" t="n"/>
      <c r="H400" s="49" t="n"/>
      <c r="I400" s="49" t="n"/>
      <c r="J400" s="49" t="n"/>
      <c r="K400" s="49" t="n"/>
      <c r="L400" s="49" t="n"/>
      <c r="M400" s="49" t="n"/>
      <c r="N400" s="49" t="n"/>
      <c r="O400" s="49" t="n"/>
      <c r="P400" s="49" t="n"/>
      <c r="Q400" s="49" t="n"/>
    </row>
    <row r="401">
      <c r="B401" s="49" t="n"/>
      <c r="C401" s="49" t="n"/>
      <c r="D401" s="49" t="n"/>
      <c r="E401" s="49" t="n"/>
      <c r="F401" s="49" t="n"/>
      <c r="G401" s="49" t="n"/>
      <c r="H401" s="49" t="n"/>
      <c r="I401" s="49" t="n"/>
      <c r="J401" s="49" t="n"/>
      <c r="K401" s="49" t="n"/>
      <c r="L401" s="49" t="n"/>
      <c r="M401" s="49" t="n"/>
      <c r="N401" s="49" t="n"/>
      <c r="O401" s="49" t="n"/>
      <c r="P401" s="49" t="n"/>
      <c r="Q401" s="49" t="n"/>
    </row>
    <row r="402">
      <c r="B402" s="49" t="n"/>
      <c r="C402" s="49" t="n"/>
      <c r="D402" s="49" t="n"/>
      <c r="E402" s="49" t="n"/>
      <c r="F402" s="49" t="n"/>
      <c r="G402" s="49" t="n"/>
      <c r="H402" s="49" t="n"/>
      <c r="I402" s="49" t="n"/>
      <c r="J402" s="49" t="n"/>
      <c r="K402" s="49" t="n"/>
      <c r="L402" s="49" t="n"/>
      <c r="M402" s="49" t="n"/>
      <c r="N402" s="49" t="n"/>
      <c r="O402" s="49" t="n"/>
      <c r="P402" s="49" t="n"/>
      <c r="Q402" s="49" t="n"/>
    </row>
    <row r="403">
      <c r="B403" s="49" t="n"/>
      <c r="C403" s="49" t="n"/>
      <c r="D403" s="49" t="n"/>
      <c r="E403" s="49" t="n"/>
      <c r="F403" s="49" t="n"/>
      <c r="G403" s="49" t="n"/>
      <c r="H403" s="49" t="n"/>
      <c r="I403" s="49" t="n"/>
      <c r="J403" s="49" t="n"/>
      <c r="K403" s="49" t="n"/>
      <c r="L403" s="49" t="n"/>
      <c r="M403" s="49" t="n"/>
      <c r="N403" s="49" t="n"/>
      <c r="O403" s="49" t="n"/>
      <c r="P403" s="49" t="n"/>
      <c r="Q403" s="49" t="n"/>
    </row>
    <row r="404">
      <c r="B404" s="49" t="n"/>
      <c r="C404" s="49" t="n"/>
      <c r="D404" s="49" t="n"/>
      <c r="E404" s="49" t="n"/>
      <c r="F404" s="49" t="n"/>
      <c r="G404" s="49" t="n"/>
      <c r="H404" s="49" t="n"/>
      <c r="I404" s="49" t="n"/>
      <c r="J404" s="49" t="n"/>
      <c r="K404" s="49" t="n"/>
      <c r="L404" s="49" t="n"/>
      <c r="M404" s="49" t="n"/>
      <c r="N404" s="49" t="n"/>
      <c r="O404" s="49" t="n"/>
      <c r="P404" s="49" t="n"/>
      <c r="Q404" s="49" t="n"/>
    </row>
    <row r="405">
      <c r="B405" s="49" t="n"/>
      <c r="C405" s="49" t="n"/>
      <c r="D405" s="49" t="n"/>
      <c r="E405" s="49" t="n"/>
      <c r="F405" s="49" t="n"/>
      <c r="G405" s="49" t="n"/>
      <c r="H405" s="49" t="n"/>
      <c r="I405" s="49" t="n"/>
      <c r="J405" s="49" t="n"/>
      <c r="K405" s="49" t="n"/>
      <c r="L405" s="49" t="n"/>
      <c r="M405" s="49" t="n"/>
      <c r="N405" s="49" t="n"/>
      <c r="O405" s="49" t="n"/>
      <c r="P405" s="49" t="n"/>
      <c r="Q405" s="49" t="n"/>
    </row>
    <row r="406">
      <c r="B406" s="49" t="n"/>
      <c r="C406" s="49" t="n"/>
      <c r="D406" s="49" t="n"/>
      <c r="E406" s="49" t="n"/>
      <c r="F406" s="49" t="n"/>
      <c r="G406" s="49" t="n"/>
      <c r="H406" s="49" t="n"/>
      <c r="I406" s="49" t="n"/>
      <c r="J406" s="49" t="n"/>
      <c r="K406" s="49" t="n"/>
      <c r="L406" s="49" t="n"/>
      <c r="M406" s="49" t="n"/>
      <c r="N406" s="49" t="n"/>
      <c r="O406" s="49" t="n"/>
      <c r="P406" s="49" t="n"/>
      <c r="Q406" s="49" t="n"/>
    </row>
    <row r="407">
      <c r="B407" s="49" t="n"/>
      <c r="C407" s="49" t="n"/>
      <c r="D407" s="49" t="n"/>
      <c r="E407" s="49" t="n"/>
      <c r="F407" s="49" t="n"/>
      <c r="G407" s="49" t="n"/>
      <c r="H407" s="49" t="n"/>
      <c r="I407" s="49" t="n"/>
      <c r="J407" s="49" t="n"/>
      <c r="K407" s="49" t="n"/>
      <c r="L407" s="49" t="n"/>
      <c r="M407" s="49" t="n"/>
      <c r="N407" s="49" t="n"/>
      <c r="O407" s="49" t="n"/>
      <c r="P407" s="49" t="n"/>
      <c r="Q407" s="49" t="n"/>
    </row>
    <row r="408">
      <c r="B408" s="49" t="n"/>
      <c r="C408" s="49" t="n"/>
      <c r="D408" s="49" t="n"/>
      <c r="E408" s="49" t="n"/>
      <c r="F408" s="49" t="n"/>
      <c r="G408" s="49" t="n"/>
      <c r="H408" s="49" t="n"/>
      <c r="I408" s="49" t="n"/>
      <c r="J408" s="49" t="n"/>
      <c r="K408" s="49" t="n"/>
      <c r="L408" s="49" t="n"/>
      <c r="M408" s="49" t="n"/>
      <c r="N408" s="49" t="n"/>
      <c r="O408" s="49" t="n"/>
      <c r="P408" s="49" t="n"/>
      <c r="Q408" s="49" t="n"/>
    </row>
    <row r="409">
      <c r="B409" s="49" t="n"/>
      <c r="C409" s="49" t="n"/>
      <c r="D409" s="49" t="n"/>
      <c r="E409" s="49" t="n"/>
      <c r="F409" s="49" t="n"/>
      <c r="G409" s="49" t="n"/>
      <c r="H409" s="49" t="n"/>
      <c r="I409" s="49" t="n"/>
      <c r="J409" s="49" t="n"/>
      <c r="K409" s="49" t="n"/>
      <c r="L409" s="49" t="n"/>
      <c r="M409" s="49" t="n"/>
      <c r="N409" s="49" t="n"/>
      <c r="O409" s="49" t="n"/>
      <c r="P409" s="49" t="n"/>
      <c r="Q409" s="49" t="n"/>
    </row>
    <row r="410">
      <c r="B410" s="49" t="n"/>
      <c r="C410" s="49" t="n"/>
      <c r="D410" s="49" t="n"/>
      <c r="E410" s="49" t="n"/>
      <c r="F410" s="49" t="n"/>
      <c r="G410" s="49" t="n"/>
      <c r="H410" s="49" t="n"/>
      <c r="I410" s="49" t="n"/>
      <c r="J410" s="49" t="n"/>
      <c r="K410" s="49" t="n"/>
      <c r="L410" s="49" t="n"/>
      <c r="M410" s="49" t="n"/>
      <c r="N410" s="49" t="n"/>
      <c r="O410" s="49" t="n"/>
      <c r="P410" s="49" t="n"/>
      <c r="Q410" s="49" t="n"/>
    </row>
    <row r="411">
      <c r="B411" s="49" t="n"/>
      <c r="C411" s="49" t="n"/>
      <c r="D411" s="49" t="n"/>
      <c r="E411" s="49" t="n"/>
      <c r="F411" s="49" t="n"/>
      <c r="G411" s="49" t="n"/>
      <c r="H411" s="49" t="n"/>
      <c r="I411" s="49" t="n"/>
      <c r="J411" s="49" t="n"/>
      <c r="K411" s="49" t="n"/>
      <c r="L411" s="49" t="n"/>
      <c r="M411" s="49" t="n"/>
      <c r="N411" s="49" t="n"/>
      <c r="O411" s="49" t="n"/>
      <c r="P411" s="49" t="n"/>
      <c r="Q411" s="49" t="n"/>
    </row>
    <row r="412">
      <c r="B412" s="49" t="n"/>
      <c r="C412" s="49" t="n"/>
      <c r="D412" s="49" t="n"/>
      <c r="E412" s="49" t="n"/>
      <c r="F412" s="49" t="n"/>
      <c r="G412" s="49" t="n"/>
      <c r="H412" s="49" t="n"/>
      <c r="I412" s="49" t="n"/>
      <c r="J412" s="49" t="n"/>
      <c r="K412" s="49" t="n"/>
      <c r="L412" s="49" t="n"/>
      <c r="M412" s="49" t="n"/>
      <c r="N412" s="49" t="n"/>
      <c r="O412" s="49" t="n"/>
      <c r="P412" s="49" t="n"/>
      <c r="Q412" s="49" t="n"/>
    </row>
    <row r="413">
      <c r="B413" s="49" t="n"/>
      <c r="C413" s="49" t="n"/>
      <c r="D413" s="49" t="n"/>
      <c r="E413" s="49" t="n"/>
      <c r="F413" s="49" t="n"/>
      <c r="G413" s="49" t="n"/>
      <c r="H413" s="49" t="n"/>
      <c r="I413" s="49" t="n"/>
      <c r="J413" s="49" t="n"/>
      <c r="K413" s="49" t="n"/>
      <c r="L413" s="49" t="n"/>
      <c r="M413" s="49" t="n"/>
      <c r="N413" s="49" t="n"/>
      <c r="O413" s="49" t="n"/>
      <c r="P413" s="49" t="n"/>
      <c r="Q413" s="49" t="n"/>
    </row>
    <row r="414">
      <c r="B414" s="49" t="n"/>
      <c r="C414" s="49" t="n"/>
      <c r="D414" s="49" t="n"/>
      <c r="E414" s="49" t="n"/>
      <c r="F414" s="49" t="n"/>
      <c r="G414" s="49" t="n"/>
      <c r="H414" s="49" t="n"/>
      <c r="I414" s="49" t="n"/>
      <c r="J414" s="49" t="n"/>
      <c r="K414" s="49" t="n"/>
      <c r="L414" s="49" t="n"/>
      <c r="M414" s="49" t="n"/>
      <c r="N414" s="49" t="n"/>
      <c r="O414" s="49" t="n"/>
      <c r="P414" s="49" t="n"/>
      <c r="Q414" s="49" t="n"/>
    </row>
    <row r="415">
      <c r="B415" s="49" t="n"/>
      <c r="C415" s="49" t="n"/>
      <c r="D415" s="49" t="n"/>
      <c r="E415" s="49" t="n"/>
      <c r="F415" s="49" t="n"/>
      <c r="G415" s="49" t="n"/>
      <c r="H415" s="49" t="n"/>
      <c r="I415" s="49" t="n"/>
      <c r="J415" s="49" t="n"/>
      <c r="K415" s="49" t="n"/>
      <c r="L415" s="49" t="n"/>
      <c r="M415" s="49" t="n"/>
      <c r="N415" s="49" t="n"/>
      <c r="O415" s="49" t="n"/>
      <c r="P415" s="49" t="n"/>
      <c r="Q415" s="49" t="n"/>
    </row>
    <row r="416">
      <c r="B416" s="49" t="n"/>
      <c r="C416" s="49" t="n"/>
      <c r="D416" s="49" t="n"/>
      <c r="E416" s="49" t="n"/>
      <c r="F416" s="49" t="n"/>
      <c r="G416" s="49" t="n"/>
      <c r="H416" s="49" t="n"/>
      <c r="I416" s="49" t="n"/>
      <c r="J416" s="49" t="n"/>
      <c r="K416" s="49" t="n"/>
      <c r="L416" s="49" t="n"/>
      <c r="M416" s="49" t="n"/>
      <c r="N416" s="49" t="n"/>
      <c r="O416" s="49" t="n"/>
      <c r="P416" s="49" t="n"/>
      <c r="Q416" s="49" t="n"/>
    </row>
    <row r="417">
      <c r="B417" s="49" t="n"/>
      <c r="C417" s="49" t="n"/>
      <c r="D417" s="49" t="n"/>
      <c r="E417" s="49" t="n"/>
      <c r="F417" s="49" t="n"/>
      <c r="G417" s="49" t="n"/>
      <c r="H417" s="49" t="n"/>
      <c r="I417" s="49" t="n"/>
      <c r="J417" s="49" t="n"/>
      <c r="K417" s="49" t="n"/>
      <c r="L417" s="49" t="n"/>
      <c r="M417" s="49" t="n"/>
      <c r="N417" s="49" t="n"/>
      <c r="O417" s="49" t="n"/>
      <c r="P417" s="49" t="n"/>
      <c r="Q417" s="49" t="n"/>
    </row>
    <row r="418">
      <c r="B418" s="49" t="n"/>
      <c r="C418" s="49" t="n"/>
      <c r="D418" s="49" t="n"/>
      <c r="E418" s="49" t="n"/>
      <c r="F418" s="49" t="n"/>
      <c r="G418" s="49" t="n"/>
      <c r="H418" s="49" t="n"/>
      <c r="I418" s="49" t="n"/>
      <c r="J418" s="49" t="n"/>
      <c r="K418" s="49" t="n"/>
      <c r="L418" s="49" t="n"/>
      <c r="M418" s="49" t="n"/>
      <c r="N418" s="49" t="n"/>
      <c r="O418" s="49" t="n"/>
      <c r="P418" s="49" t="n"/>
      <c r="Q418" s="49" t="n"/>
    </row>
    <row r="419">
      <c r="B419" s="49" t="n"/>
      <c r="C419" s="49" t="n"/>
      <c r="D419" s="49" t="n"/>
      <c r="E419" s="49" t="n"/>
      <c r="F419" s="49" t="n"/>
      <c r="G419" s="49" t="n"/>
      <c r="H419" s="49" t="n"/>
      <c r="I419" s="49" t="n"/>
      <c r="J419" s="49" t="n"/>
      <c r="K419" s="49" t="n"/>
      <c r="L419" s="49" t="n"/>
      <c r="M419" s="49" t="n"/>
      <c r="N419" s="49" t="n"/>
      <c r="O419" s="49" t="n"/>
      <c r="P419" s="49" t="n"/>
      <c r="Q419" s="49" t="n"/>
    </row>
    <row r="420">
      <c r="B420" s="49" t="n"/>
      <c r="C420" s="49" t="n"/>
      <c r="D420" s="49" t="n"/>
      <c r="E420" s="49" t="n"/>
      <c r="F420" s="49" t="n"/>
      <c r="G420" s="49" t="n"/>
      <c r="H420" s="49" t="n"/>
      <c r="I420" s="49" t="n"/>
      <c r="J420" s="49" t="n"/>
      <c r="K420" s="49" t="n"/>
      <c r="L420" s="49" t="n"/>
      <c r="M420" s="49" t="n"/>
      <c r="N420" s="49" t="n"/>
      <c r="O420" s="49" t="n"/>
      <c r="P420" s="49" t="n"/>
      <c r="Q420" s="49" t="n"/>
    </row>
    <row r="421">
      <c r="B421" s="49" t="n"/>
      <c r="C421" s="49" t="n"/>
      <c r="D421" s="49" t="n"/>
      <c r="E421" s="49" t="n"/>
      <c r="F421" s="49" t="n"/>
      <c r="G421" s="49" t="n"/>
      <c r="H421" s="49" t="n"/>
      <c r="I421" s="49" t="n"/>
      <c r="J421" s="49" t="n"/>
      <c r="K421" s="49" t="n"/>
      <c r="L421" s="49" t="n"/>
      <c r="M421" s="49" t="n"/>
      <c r="N421" s="49" t="n"/>
      <c r="O421" s="49" t="n"/>
      <c r="P421" s="49" t="n"/>
      <c r="Q421" s="49" t="n"/>
    </row>
    <row r="422">
      <c r="B422" s="49" t="n"/>
      <c r="C422" s="49" t="n"/>
      <c r="D422" s="49" t="n"/>
      <c r="E422" s="49" t="n"/>
      <c r="F422" s="49" t="n"/>
      <c r="G422" s="49" t="n"/>
      <c r="H422" s="49" t="n"/>
      <c r="I422" s="49" t="n"/>
      <c r="J422" s="49" t="n"/>
      <c r="K422" s="49" t="n"/>
      <c r="L422" s="49" t="n"/>
      <c r="M422" s="49" t="n"/>
      <c r="N422" s="49" t="n"/>
      <c r="O422" s="49" t="n"/>
      <c r="P422" s="49" t="n"/>
      <c r="Q422" s="49" t="n"/>
    </row>
    <row r="423">
      <c r="B423" s="49" t="n"/>
      <c r="C423" s="49" t="n"/>
      <c r="D423" s="49" t="n"/>
      <c r="E423" s="49" t="n"/>
      <c r="F423" s="49" t="n"/>
      <c r="G423" s="49" t="n"/>
      <c r="H423" s="49" t="n"/>
      <c r="I423" s="49" t="n"/>
      <c r="J423" s="49" t="n"/>
      <c r="K423" s="49" t="n"/>
      <c r="L423" s="49" t="n"/>
      <c r="M423" s="49" t="n"/>
      <c r="N423" s="49" t="n"/>
      <c r="O423" s="49" t="n"/>
      <c r="P423" s="49" t="n"/>
      <c r="Q423" s="49" t="n"/>
    </row>
    <row r="424">
      <c r="B424" s="49" t="n"/>
      <c r="C424" s="49" t="n"/>
      <c r="D424" s="49" t="n"/>
      <c r="E424" s="49" t="n"/>
      <c r="F424" s="49" t="n"/>
      <c r="G424" s="49" t="n"/>
      <c r="H424" s="49" t="n"/>
      <c r="I424" s="49" t="n"/>
      <c r="J424" s="49" t="n"/>
      <c r="K424" s="49" t="n"/>
      <c r="L424" s="49" t="n"/>
      <c r="M424" s="49" t="n"/>
      <c r="N424" s="49" t="n"/>
      <c r="O424" s="49" t="n"/>
      <c r="P424" s="49" t="n"/>
      <c r="Q424" s="49" t="n"/>
    </row>
    <row r="425">
      <c r="B425" s="49" t="n"/>
      <c r="C425" s="49" t="n"/>
      <c r="D425" s="49" t="n"/>
      <c r="E425" s="49" t="n"/>
      <c r="F425" s="49" t="n"/>
      <c r="G425" s="49" t="n"/>
      <c r="H425" s="49" t="n"/>
      <c r="I425" s="49" t="n"/>
      <c r="J425" s="49" t="n"/>
      <c r="K425" s="49" t="n"/>
      <c r="L425" s="49" t="n"/>
      <c r="M425" s="49" t="n"/>
      <c r="N425" s="49" t="n"/>
      <c r="O425" s="49" t="n"/>
      <c r="P425" s="49" t="n"/>
      <c r="Q425" s="49" t="n"/>
    </row>
    <row r="426">
      <c r="B426" s="49" t="n"/>
      <c r="C426" s="49" t="n"/>
      <c r="D426" s="49" t="n"/>
      <c r="E426" s="49" t="n"/>
      <c r="F426" s="49" t="n"/>
      <c r="G426" s="49" t="n"/>
      <c r="H426" s="49" t="n"/>
      <c r="I426" s="49" t="n"/>
      <c r="J426" s="49" t="n"/>
      <c r="K426" s="49" t="n"/>
      <c r="L426" s="49" t="n"/>
      <c r="M426" s="49" t="n"/>
      <c r="N426" s="49" t="n"/>
      <c r="O426" s="49" t="n"/>
      <c r="P426" s="49" t="n"/>
      <c r="Q426" s="49" t="n"/>
    </row>
    <row r="427">
      <c r="B427" s="49" t="n"/>
      <c r="C427" s="49" t="n"/>
      <c r="D427" s="49" t="n"/>
      <c r="E427" s="49" t="n"/>
      <c r="F427" s="49" t="n"/>
      <c r="G427" s="49" t="n"/>
      <c r="H427" s="49" t="n"/>
      <c r="I427" s="49" t="n"/>
      <c r="J427" s="49" t="n"/>
      <c r="K427" s="49" t="n"/>
      <c r="L427" s="49" t="n"/>
      <c r="M427" s="49" t="n"/>
      <c r="N427" s="49" t="n"/>
      <c r="O427" s="49" t="n"/>
      <c r="P427" s="49" t="n"/>
      <c r="Q427" s="49" t="n"/>
    </row>
    <row r="428">
      <c r="B428" s="49" t="n"/>
      <c r="C428" s="49" t="n"/>
      <c r="D428" s="49" t="n"/>
      <c r="E428" s="49" t="n"/>
      <c r="F428" s="49" t="n"/>
      <c r="G428" s="49" t="n"/>
      <c r="H428" s="49" t="n"/>
      <c r="I428" s="49" t="n"/>
      <c r="J428" s="49" t="n"/>
      <c r="K428" s="49" t="n"/>
      <c r="L428" s="49" t="n"/>
      <c r="M428" s="49" t="n"/>
      <c r="N428" s="49" t="n"/>
      <c r="O428" s="49" t="n"/>
      <c r="P428" s="49" t="n"/>
      <c r="Q428" s="49" t="n"/>
    </row>
    <row r="429">
      <c r="B429" s="49" t="n"/>
      <c r="C429" s="49" t="n"/>
      <c r="D429" s="49" t="n"/>
      <c r="E429" s="49" t="n"/>
      <c r="F429" s="49" t="n"/>
      <c r="G429" s="49" t="n"/>
      <c r="H429" s="49" t="n"/>
      <c r="I429" s="49" t="n"/>
      <c r="J429" s="49" t="n"/>
      <c r="K429" s="49" t="n"/>
      <c r="L429" s="49" t="n"/>
      <c r="M429" s="49" t="n"/>
      <c r="N429" s="49" t="n"/>
      <c r="O429" s="49" t="n"/>
      <c r="P429" s="49" t="n"/>
      <c r="Q429" s="49" t="n"/>
    </row>
    <row r="430">
      <c r="B430" s="49" t="n"/>
      <c r="C430" s="49" t="n"/>
      <c r="D430" s="49" t="n"/>
      <c r="E430" s="49" t="n"/>
      <c r="F430" s="49" t="n"/>
      <c r="G430" s="49" t="n"/>
      <c r="H430" s="49" t="n"/>
      <c r="I430" s="49" t="n"/>
      <c r="J430" s="49" t="n"/>
      <c r="K430" s="49" t="n"/>
      <c r="L430" s="49" t="n"/>
      <c r="M430" s="49" t="n"/>
      <c r="N430" s="49" t="n"/>
      <c r="O430" s="49" t="n"/>
      <c r="P430" s="49" t="n"/>
      <c r="Q430" s="49" t="n"/>
    </row>
    <row r="431">
      <c r="B431" s="49" t="n"/>
      <c r="C431" s="49" t="n"/>
      <c r="D431" s="49" t="n"/>
      <c r="E431" s="49" t="n"/>
      <c r="F431" s="49" t="n"/>
      <c r="G431" s="49" t="n"/>
      <c r="H431" s="49" t="n"/>
      <c r="I431" s="49" t="n"/>
      <c r="J431" s="49" t="n"/>
      <c r="K431" s="49" t="n"/>
      <c r="L431" s="49" t="n"/>
      <c r="M431" s="49" t="n"/>
      <c r="N431" s="49" t="n"/>
      <c r="O431" s="49" t="n"/>
      <c r="P431" s="49" t="n"/>
      <c r="Q431" s="49" t="n"/>
    </row>
    <row r="432">
      <c r="B432" s="49" t="n"/>
      <c r="C432" s="49" t="n"/>
      <c r="D432" s="49" t="n"/>
      <c r="E432" s="49" t="n"/>
      <c r="F432" s="49" t="n"/>
      <c r="G432" s="49" t="n"/>
      <c r="H432" s="49" t="n"/>
      <c r="I432" s="49" t="n"/>
      <c r="J432" s="49" t="n"/>
      <c r="K432" s="49" t="n"/>
      <c r="L432" s="49" t="n"/>
      <c r="M432" s="49" t="n"/>
      <c r="N432" s="49" t="n"/>
      <c r="O432" s="49" t="n"/>
      <c r="P432" s="49" t="n"/>
      <c r="Q432" s="49" t="n"/>
    </row>
    <row r="433">
      <c r="B433" s="49" t="n"/>
      <c r="C433" s="49" t="n"/>
      <c r="D433" s="49" t="n"/>
      <c r="E433" s="49" t="n"/>
      <c r="F433" s="49" t="n"/>
      <c r="G433" s="49" t="n"/>
      <c r="H433" s="49" t="n"/>
      <c r="I433" s="49" t="n"/>
      <c r="J433" s="49" t="n"/>
      <c r="K433" s="49" t="n"/>
      <c r="L433" s="49" t="n"/>
      <c r="M433" s="49" t="n"/>
      <c r="N433" s="49" t="n"/>
      <c r="O433" s="49" t="n"/>
      <c r="P433" s="49" t="n"/>
      <c r="Q433" s="49" t="n"/>
    </row>
    <row r="434">
      <c r="B434" s="49" t="n"/>
      <c r="C434" s="49" t="n"/>
      <c r="D434" s="49" t="n"/>
      <c r="E434" s="49" t="n"/>
      <c r="F434" s="49" t="n"/>
      <c r="G434" s="49" t="n"/>
      <c r="H434" s="49" t="n"/>
      <c r="I434" s="49" t="n"/>
      <c r="J434" s="49" t="n"/>
      <c r="K434" s="49" t="n"/>
      <c r="L434" s="49" t="n"/>
      <c r="M434" s="49" t="n"/>
      <c r="N434" s="49" t="n"/>
      <c r="O434" s="49" t="n"/>
      <c r="P434" s="49" t="n"/>
      <c r="Q434" s="49" t="n"/>
    </row>
    <row r="435">
      <c r="B435" s="49" t="n"/>
      <c r="C435" s="49" t="n"/>
      <c r="D435" s="49" t="n"/>
      <c r="E435" s="49" t="n"/>
      <c r="F435" s="49" t="n"/>
      <c r="G435" s="49" t="n"/>
      <c r="H435" s="49" t="n"/>
      <c r="I435" s="49" t="n"/>
      <c r="J435" s="49" t="n"/>
      <c r="K435" s="49" t="n"/>
      <c r="L435" s="49" t="n"/>
      <c r="M435" s="49" t="n"/>
      <c r="N435" s="49" t="n"/>
      <c r="O435" s="49" t="n"/>
      <c r="P435" s="49" t="n"/>
      <c r="Q435" s="49" t="n"/>
    </row>
    <row r="436">
      <c r="B436" s="49" t="n"/>
      <c r="C436" s="49" t="n"/>
      <c r="D436" s="49" t="n"/>
      <c r="E436" s="49" t="n"/>
      <c r="F436" s="49" t="n"/>
      <c r="G436" s="49" t="n"/>
      <c r="H436" s="49" t="n"/>
      <c r="I436" s="49" t="n"/>
      <c r="J436" s="49" t="n"/>
      <c r="K436" s="49" t="n"/>
      <c r="L436" s="49" t="n"/>
      <c r="M436" s="49" t="n"/>
      <c r="N436" s="49" t="n"/>
      <c r="O436" s="49" t="n"/>
      <c r="P436" s="49" t="n"/>
      <c r="Q436" s="49" t="n"/>
    </row>
    <row r="437">
      <c r="B437" s="49" t="n"/>
      <c r="C437" s="49" t="n"/>
      <c r="D437" s="49" t="n"/>
      <c r="E437" s="49" t="n"/>
      <c r="F437" s="49" t="n"/>
      <c r="G437" s="49" t="n"/>
      <c r="H437" s="49" t="n"/>
      <c r="I437" s="49" t="n"/>
      <c r="J437" s="49" t="n"/>
      <c r="K437" s="49" t="n"/>
      <c r="L437" s="49" t="n"/>
      <c r="M437" s="49" t="n"/>
      <c r="N437" s="49" t="n"/>
      <c r="O437" s="49" t="n"/>
      <c r="P437" s="49" t="n"/>
      <c r="Q437" s="49" t="n"/>
    </row>
    <row r="438">
      <c r="B438" s="49" t="n"/>
      <c r="C438" s="49" t="n"/>
      <c r="D438" s="49" t="n"/>
      <c r="E438" s="49" t="n"/>
      <c r="F438" s="49" t="n"/>
      <c r="G438" s="49" t="n"/>
      <c r="H438" s="49" t="n"/>
      <c r="I438" s="49" t="n"/>
      <c r="J438" s="49" t="n"/>
      <c r="K438" s="49" t="n"/>
      <c r="L438" s="49" t="n"/>
      <c r="M438" s="49" t="n"/>
      <c r="N438" s="49" t="n"/>
      <c r="O438" s="49" t="n"/>
      <c r="P438" s="49" t="n"/>
      <c r="Q438" s="49" t="n"/>
    </row>
    <row r="439">
      <c r="B439" s="49" t="n"/>
      <c r="C439" s="49" t="n"/>
      <c r="D439" s="49" t="n"/>
      <c r="E439" s="49" t="n"/>
      <c r="F439" s="49" t="n"/>
      <c r="G439" s="49" t="n"/>
      <c r="H439" s="49" t="n"/>
      <c r="I439" s="49" t="n"/>
      <c r="J439" s="49" t="n"/>
      <c r="K439" s="49" t="n"/>
      <c r="L439" s="49" t="n"/>
      <c r="M439" s="49" t="n"/>
      <c r="N439" s="49" t="n"/>
      <c r="O439" s="49" t="n"/>
      <c r="P439" s="49" t="n"/>
      <c r="Q439" s="49" t="n"/>
    </row>
    <row r="440">
      <c r="B440" s="49" t="n"/>
      <c r="C440" s="49" t="n"/>
      <c r="D440" s="49" t="n"/>
      <c r="E440" s="49" t="n"/>
      <c r="F440" s="49" t="n"/>
      <c r="G440" s="49" t="n"/>
      <c r="H440" s="49" t="n"/>
      <c r="I440" s="49" t="n"/>
      <c r="J440" s="49" t="n"/>
      <c r="K440" s="49" t="n"/>
      <c r="L440" s="49" t="n"/>
      <c r="M440" s="49" t="n"/>
      <c r="N440" s="49" t="n"/>
      <c r="O440" s="49" t="n"/>
      <c r="P440" s="49" t="n"/>
      <c r="Q440" s="49" t="n"/>
    </row>
    <row r="441">
      <c r="B441" s="49" t="n"/>
      <c r="C441" s="49" t="n"/>
      <c r="D441" s="49" t="n"/>
      <c r="E441" s="49" t="n"/>
      <c r="F441" s="49" t="n"/>
      <c r="G441" s="49" t="n"/>
      <c r="H441" s="49" t="n"/>
      <c r="I441" s="49" t="n"/>
      <c r="J441" s="49" t="n"/>
      <c r="K441" s="49" t="n"/>
      <c r="L441" s="49" t="n"/>
      <c r="M441" s="49" t="n"/>
      <c r="N441" s="49" t="n"/>
      <c r="O441" s="49" t="n"/>
      <c r="P441" s="49" t="n"/>
      <c r="Q441" s="49" t="n"/>
    </row>
    <row r="442">
      <c r="B442" s="49" t="n"/>
      <c r="C442" s="49" t="n"/>
      <c r="D442" s="49" t="n"/>
      <c r="E442" s="49" t="n"/>
      <c r="F442" s="49" t="n"/>
      <c r="G442" s="49" t="n"/>
      <c r="H442" s="49" t="n"/>
      <c r="I442" s="49" t="n"/>
      <c r="J442" s="49" t="n"/>
      <c r="K442" s="49" t="n"/>
      <c r="L442" s="49" t="n"/>
      <c r="M442" s="49" t="n"/>
      <c r="N442" s="49" t="n"/>
      <c r="O442" s="49" t="n"/>
      <c r="P442" s="49" t="n"/>
      <c r="Q442" s="49" t="n"/>
    </row>
    <row r="443">
      <c r="B443" s="49" t="n"/>
      <c r="C443" s="49" t="n"/>
      <c r="D443" s="49" t="n"/>
      <c r="E443" s="49" t="n"/>
      <c r="F443" s="49" t="n"/>
      <c r="G443" s="49" t="n"/>
      <c r="H443" s="49" t="n"/>
      <c r="I443" s="49" t="n"/>
      <c r="J443" s="49" t="n"/>
      <c r="K443" s="49" t="n"/>
      <c r="L443" s="49" t="n"/>
      <c r="M443" s="49" t="n"/>
      <c r="N443" s="49" t="n"/>
      <c r="O443" s="49" t="n"/>
      <c r="P443" s="49" t="n"/>
      <c r="Q443" s="49" t="n"/>
    </row>
    <row r="444">
      <c r="B444" s="49" t="n"/>
      <c r="C444" s="49" t="n"/>
      <c r="D444" s="49" t="n"/>
      <c r="E444" s="49" t="n"/>
      <c r="F444" s="49" t="n"/>
      <c r="G444" s="49" t="n"/>
      <c r="H444" s="49" t="n"/>
      <c r="I444" s="49" t="n"/>
      <c r="J444" s="49" t="n"/>
      <c r="K444" s="49" t="n"/>
      <c r="L444" s="49" t="n"/>
      <c r="M444" s="49" t="n"/>
      <c r="N444" s="49" t="n"/>
      <c r="O444" s="49" t="n"/>
      <c r="P444" s="49" t="n"/>
      <c r="Q444" s="49" t="n"/>
    </row>
    <row r="445">
      <c r="B445" s="49" t="n"/>
      <c r="C445" s="49" t="n"/>
      <c r="D445" s="49" t="n"/>
      <c r="E445" s="49" t="n"/>
      <c r="F445" s="49" t="n"/>
      <c r="G445" s="49" t="n"/>
      <c r="H445" s="49" t="n"/>
      <c r="I445" s="49" t="n"/>
      <c r="J445" s="49" t="n"/>
      <c r="K445" s="49" t="n"/>
      <c r="L445" s="49" t="n"/>
      <c r="M445" s="49" t="n"/>
      <c r="N445" s="49" t="n"/>
      <c r="O445" s="49" t="n"/>
      <c r="P445" s="49" t="n"/>
      <c r="Q445" s="49" t="n"/>
    </row>
    <row r="446">
      <c r="B446" s="49" t="n"/>
      <c r="C446" s="49" t="n"/>
      <c r="D446" s="49" t="n"/>
      <c r="E446" s="49" t="n"/>
      <c r="F446" s="49" t="n"/>
      <c r="G446" s="49" t="n"/>
      <c r="H446" s="49" t="n"/>
      <c r="I446" s="49" t="n"/>
      <c r="J446" s="49" t="n"/>
      <c r="K446" s="49" t="n"/>
      <c r="L446" s="49" t="n"/>
      <c r="M446" s="49" t="n"/>
      <c r="N446" s="49" t="n"/>
      <c r="O446" s="49" t="n"/>
      <c r="P446" s="49" t="n"/>
      <c r="Q446" s="49" t="n"/>
    </row>
    <row r="447">
      <c r="B447" s="49" t="n"/>
      <c r="C447" s="49" t="n"/>
      <c r="D447" s="49" t="n"/>
      <c r="E447" s="49" t="n"/>
      <c r="F447" s="49" t="n"/>
      <c r="G447" s="49" t="n"/>
      <c r="H447" s="49" t="n"/>
      <c r="I447" s="49" t="n"/>
      <c r="J447" s="49" t="n"/>
      <c r="K447" s="49" t="n"/>
      <c r="L447" s="49" t="n"/>
      <c r="M447" s="49" t="n"/>
      <c r="N447" s="49" t="n"/>
      <c r="O447" s="49" t="n"/>
      <c r="P447" s="49" t="n"/>
      <c r="Q447" s="49" t="n"/>
    </row>
    <row r="448">
      <c r="B448" s="49" t="n"/>
      <c r="C448" s="49" t="n"/>
      <c r="D448" s="49" t="n"/>
      <c r="E448" s="49" t="n"/>
      <c r="F448" s="49" t="n"/>
      <c r="G448" s="49" t="n"/>
      <c r="H448" s="49" t="n"/>
      <c r="I448" s="49" t="n"/>
      <c r="J448" s="49" t="n"/>
      <c r="K448" s="49" t="n"/>
      <c r="L448" s="49" t="n"/>
      <c r="M448" s="49" t="n"/>
      <c r="N448" s="49" t="n"/>
      <c r="O448" s="49" t="n"/>
      <c r="P448" s="49" t="n"/>
      <c r="Q448" s="49" t="n"/>
    </row>
    <row r="449">
      <c r="B449" s="49" t="n"/>
      <c r="C449" s="49" t="n"/>
      <c r="D449" s="49" t="n"/>
      <c r="E449" s="49" t="n"/>
      <c r="F449" s="49" t="n"/>
      <c r="G449" s="49" t="n"/>
      <c r="H449" s="49" t="n"/>
      <c r="I449" s="49" t="n"/>
      <c r="J449" s="49" t="n"/>
      <c r="K449" s="49" t="n"/>
      <c r="L449" s="49" t="n"/>
      <c r="M449" s="49" t="n"/>
      <c r="N449" s="49" t="n"/>
      <c r="O449" s="49" t="n"/>
      <c r="P449" s="49" t="n"/>
      <c r="Q449" s="49" t="n"/>
    </row>
    <row r="450">
      <c r="B450" s="49" t="n"/>
      <c r="C450" s="49" t="n"/>
      <c r="D450" s="49" t="n"/>
      <c r="E450" s="49" t="n"/>
      <c r="F450" s="49" t="n"/>
      <c r="G450" s="49" t="n"/>
      <c r="H450" s="49" t="n"/>
      <c r="I450" s="49" t="n"/>
      <c r="J450" s="49" t="n"/>
      <c r="K450" s="49" t="n"/>
      <c r="L450" s="49" t="n"/>
      <c r="M450" s="49" t="n"/>
      <c r="N450" s="49" t="n"/>
      <c r="O450" s="49" t="n"/>
      <c r="P450" s="49" t="n"/>
      <c r="Q450" s="49" t="n"/>
    </row>
    <row r="451">
      <c r="B451" s="49" t="n"/>
      <c r="C451" s="49" t="n"/>
      <c r="D451" s="49" t="n"/>
      <c r="E451" s="49" t="n"/>
      <c r="F451" s="49" t="n"/>
      <c r="G451" s="49" t="n"/>
      <c r="H451" s="49" t="n"/>
      <c r="I451" s="49" t="n"/>
      <c r="J451" s="49" t="n"/>
      <c r="K451" s="49" t="n"/>
      <c r="L451" s="49" t="n"/>
      <c r="M451" s="49" t="n"/>
      <c r="N451" s="49" t="n"/>
      <c r="O451" s="49" t="n"/>
      <c r="P451" s="49" t="n"/>
      <c r="Q451" s="49" t="n"/>
    </row>
    <row r="452">
      <c r="B452" s="49" t="n"/>
      <c r="C452" s="49" t="n"/>
      <c r="D452" s="49" t="n"/>
      <c r="E452" s="49" t="n"/>
      <c r="F452" s="49" t="n"/>
      <c r="G452" s="49" t="n"/>
      <c r="H452" s="49" t="n"/>
      <c r="I452" s="49" t="n"/>
      <c r="J452" s="49" t="n"/>
      <c r="K452" s="49" t="n"/>
      <c r="L452" s="49" t="n"/>
      <c r="M452" s="49" t="n"/>
      <c r="N452" s="49" t="n"/>
      <c r="O452" s="49" t="n"/>
      <c r="P452" s="49" t="n"/>
      <c r="Q452" s="49" t="n"/>
    </row>
    <row r="453">
      <c r="B453" s="49" t="n"/>
      <c r="C453" s="49" t="n"/>
      <c r="D453" s="49" t="n"/>
      <c r="E453" s="49" t="n"/>
      <c r="F453" s="49" t="n"/>
      <c r="G453" s="49" t="n"/>
      <c r="H453" s="49" t="n"/>
      <c r="I453" s="49" t="n"/>
      <c r="J453" s="49" t="n"/>
      <c r="K453" s="49" t="n"/>
      <c r="L453" s="49" t="n"/>
      <c r="M453" s="49" t="n"/>
      <c r="N453" s="49" t="n"/>
      <c r="O453" s="49" t="n"/>
      <c r="P453" s="49" t="n"/>
      <c r="Q453" s="49" t="n"/>
    </row>
    <row r="454">
      <c r="B454" s="49" t="n"/>
      <c r="C454" s="49" t="n"/>
      <c r="D454" s="49" t="n"/>
      <c r="E454" s="49" t="n"/>
      <c r="F454" s="49" t="n"/>
      <c r="G454" s="49" t="n"/>
      <c r="H454" s="49" t="n"/>
      <c r="I454" s="49" t="n"/>
      <c r="J454" s="49" t="n"/>
      <c r="K454" s="49" t="n"/>
      <c r="L454" s="49" t="n"/>
      <c r="M454" s="49" t="n"/>
      <c r="N454" s="49" t="n"/>
      <c r="O454" s="49" t="n"/>
      <c r="P454" s="49" t="n"/>
      <c r="Q454" s="49" t="n"/>
    </row>
    <row r="455">
      <c r="B455" s="49" t="n"/>
      <c r="C455" s="49" t="n"/>
      <c r="D455" s="49" t="n"/>
      <c r="E455" s="49" t="n"/>
      <c r="F455" s="49" t="n"/>
      <c r="G455" s="49" t="n"/>
      <c r="H455" s="49" t="n"/>
      <c r="I455" s="49" t="n"/>
      <c r="J455" s="49" t="n"/>
      <c r="K455" s="49" t="n"/>
      <c r="L455" s="49" t="n"/>
      <c r="M455" s="49" t="n"/>
      <c r="N455" s="49" t="n"/>
      <c r="O455" s="49" t="n"/>
      <c r="P455" s="49" t="n"/>
      <c r="Q455" s="49" t="n"/>
    </row>
    <row r="456">
      <c r="B456" s="49" t="n"/>
      <c r="C456" s="49" t="n"/>
      <c r="D456" s="49" t="n"/>
      <c r="E456" s="49" t="n"/>
      <c r="F456" s="49" t="n"/>
      <c r="G456" s="49" t="n"/>
      <c r="H456" s="49" t="n"/>
      <c r="I456" s="49" t="n"/>
      <c r="J456" s="49" t="n"/>
      <c r="K456" s="49" t="n"/>
      <c r="L456" s="49" t="n"/>
      <c r="M456" s="49" t="n"/>
      <c r="N456" s="49" t="n"/>
      <c r="O456" s="49" t="n"/>
      <c r="P456" s="49" t="n"/>
      <c r="Q456" s="49" t="n"/>
    </row>
    <row r="457">
      <c r="B457" s="49" t="n"/>
      <c r="C457" s="49" t="n"/>
      <c r="D457" s="49" t="n"/>
      <c r="E457" s="49" t="n"/>
      <c r="F457" s="49" t="n"/>
      <c r="G457" s="49" t="n"/>
      <c r="H457" s="49" t="n"/>
      <c r="I457" s="49" t="n"/>
      <c r="J457" s="49" t="n"/>
      <c r="K457" s="49" t="n"/>
      <c r="L457" s="49" t="n"/>
      <c r="M457" s="49" t="n"/>
      <c r="N457" s="49" t="n"/>
      <c r="O457" s="49" t="n"/>
      <c r="P457" s="49" t="n"/>
      <c r="Q457" s="49" t="n"/>
    </row>
    <row r="458">
      <c r="B458" s="49" t="n"/>
      <c r="C458" s="49" t="n"/>
      <c r="D458" s="49" t="n"/>
      <c r="E458" s="49" t="n"/>
      <c r="F458" s="49" t="n"/>
      <c r="G458" s="49" t="n"/>
      <c r="H458" s="49" t="n"/>
      <c r="I458" s="49" t="n"/>
      <c r="J458" s="49" t="n"/>
      <c r="K458" s="49" t="n"/>
      <c r="L458" s="49" t="n"/>
      <c r="M458" s="49" t="n"/>
      <c r="N458" s="49" t="n"/>
      <c r="O458" s="49" t="n"/>
      <c r="P458" s="49" t="n"/>
      <c r="Q458" s="49" t="n"/>
    </row>
    <row r="459">
      <c r="B459" s="49" t="n"/>
      <c r="C459" s="49" t="n"/>
      <c r="D459" s="49" t="n"/>
      <c r="E459" s="49" t="n"/>
      <c r="F459" s="49" t="n"/>
      <c r="G459" s="49" t="n"/>
      <c r="H459" s="49" t="n"/>
      <c r="I459" s="49" t="n"/>
      <c r="J459" s="49" t="n"/>
      <c r="K459" s="49" t="n"/>
      <c r="L459" s="49" t="n"/>
      <c r="M459" s="49" t="n"/>
      <c r="N459" s="49" t="n"/>
      <c r="O459" s="49" t="n"/>
      <c r="P459" s="49" t="n"/>
      <c r="Q459" s="49" t="n"/>
    </row>
    <row r="460">
      <c r="B460" s="49" t="n"/>
      <c r="C460" s="49" t="n"/>
      <c r="D460" s="49" t="n"/>
      <c r="E460" s="49" t="n"/>
      <c r="F460" s="49" t="n"/>
      <c r="G460" s="49" t="n"/>
      <c r="H460" s="49" t="n"/>
      <c r="I460" s="49" t="n"/>
      <c r="J460" s="49" t="n"/>
      <c r="K460" s="49" t="n"/>
      <c r="L460" s="49" t="n"/>
      <c r="M460" s="49" t="n"/>
      <c r="N460" s="49" t="n"/>
      <c r="O460" s="49" t="n"/>
      <c r="P460" s="49" t="n"/>
      <c r="Q460" s="49" t="n"/>
    </row>
    <row r="461">
      <c r="B461" s="49" t="n"/>
      <c r="C461" s="49" t="n"/>
      <c r="D461" s="49" t="n"/>
      <c r="E461" s="49" t="n"/>
      <c r="F461" s="49" t="n"/>
      <c r="G461" s="49" t="n"/>
      <c r="H461" s="49" t="n"/>
      <c r="I461" s="49" t="n"/>
      <c r="J461" s="49" t="n"/>
      <c r="K461" s="49" t="n"/>
      <c r="L461" s="49" t="n"/>
      <c r="M461" s="49" t="n"/>
      <c r="N461" s="49" t="n"/>
      <c r="O461" s="49" t="n"/>
      <c r="P461" s="49" t="n"/>
      <c r="Q461" s="49" t="n"/>
    </row>
    <row r="462">
      <c r="B462" s="49" t="n"/>
      <c r="C462" s="49" t="n"/>
      <c r="D462" s="49" t="n"/>
      <c r="E462" s="49" t="n"/>
      <c r="F462" s="49" t="n"/>
      <c r="G462" s="49" t="n"/>
      <c r="H462" s="49" t="n"/>
      <c r="I462" s="49" t="n"/>
      <c r="J462" s="49" t="n"/>
      <c r="K462" s="49" t="n"/>
      <c r="L462" s="49" t="n"/>
      <c r="M462" s="49" t="n"/>
      <c r="N462" s="49" t="n"/>
      <c r="O462" s="49" t="n"/>
      <c r="P462" s="49" t="n"/>
      <c r="Q462" s="49" t="n"/>
    </row>
    <row r="463">
      <c r="B463" s="49" t="n"/>
      <c r="C463" s="49" t="n"/>
      <c r="D463" s="49" t="n"/>
      <c r="E463" s="49" t="n"/>
      <c r="F463" s="49" t="n"/>
      <c r="G463" s="49" t="n"/>
      <c r="H463" s="49" t="n"/>
      <c r="I463" s="49" t="n"/>
      <c r="J463" s="49" t="n"/>
      <c r="K463" s="49" t="n"/>
      <c r="L463" s="49" t="n"/>
      <c r="M463" s="49" t="n"/>
      <c r="N463" s="49" t="n"/>
      <c r="O463" s="49" t="n"/>
      <c r="P463" s="49" t="n"/>
      <c r="Q463" s="49" t="n"/>
    </row>
    <row r="464">
      <c r="B464" s="49" t="n"/>
      <c r="C464" s="49" t="n"/>
      <c r="D464" s="49" t="n"/>
      <c r="E464" s="49" t="n"/>
      <c r="F464" s="49" t="n"/>
      <c r="G464" s="49" t="n"/>
      <c r="H464" s="49" t="n"/>
      <c r="I464" s="49" t="n"/>
      <c r="J464" s="49" t="n"/>
      <c r="K464" s="49" t="n"/>
      <c r="L464" s="49" t="n"/>
      <c r="M464" s="49" t="n"/>
      <c r="N464" s="49" t="n"/>
      <c r="O464" s="49" t="n"/>
      <c r="P464" s="49" t="n"/>
      <c r="Q464" s="49" t="n"/>
    </row>
    <row r="465">
      <c r="B465" s="49" t="n"/>
      <c r="C465" s="49" t="n"/>
      <c r="D465" s="49" t="n"/>
      <c r="E465" s="49" t="n"/>
      <c r="F465" s="49" t="n"/>
      <c r="G465" s="49" t="n"/>
      <c r="H465" s="49" t="n"/>
      <c r="I465" s="49" t="n"/>
      <c r="J465" s="49" t="n"/>
      <c r="K465" s="49" t="n"/>
      <c r="L465" s="49" t="n"/>
      <c r="M465" s="49" t="n"/>
      <c r="N465" s="49" t="n"/>
      <c r="O465" s="49" t="n"/>
      <c r="P465" s="49" t="n"/>
      <c r="Q465" s="49" t="n"/>
    </row>
    <row r="466">
      <c r="B466" s="49" t="n"/>
      <c r="C466" s="49" t="n"/>
      <c r="D466" s="49" t="n"/>
      <c r="E466" s="49" t="n"/>
      <c r="F466" s="49" t="n"/>
      <c r="G466" s="49" t="n"/>
      <c r="H466" s="49" t="n"/>
      <c r="I466" s="49" t="n"/>
      <c r="J466" s="49" t="n"/>
      <c r="K466" s="49" t="n"/>
      <c r="L466" s="49" t="n"/>
      <c r="M466" s="49" t="n"/>
      <c r="N466" s="49" t="n"/>
      <c r="O466" s="49" t="n"/>
      <c r="P466" s="49" t="n"/>
      <c r="Q466" s="49" t="n"/>
    </row>
    <row r="467">
      <c r="B467" s="49" t="n"/>
      <c r="C467" s="49" t="n"/>
      <c r="D467" s="49" t="n"/>
      <c r="E467" s="49" t="n"/>
      <c r="F467" s="49" t="n"/>
      <c r="G467" s="49" t="n"/>
      <c r="H467" s="49" t="n"/>
      <c r="I467" s="49" t="n"/>
      <c r="J467" s="49" t="n"/>
      <c r="K467" s="49" t="n"/>
      <c r="L467" s="49" t="n"/>
      <c r="M467" s="49" t="n"/>
      <c r="N467" s="49" t="n"/>
      <c r="O467" s="49" t="n"/>
      <c r="P467" s="49" t="n"/>
      <c r="Q467" s="49" t="n"/>
    </row>
    <row r="468">
      <c r="B468" s="49" t="n"/>
      <c r="C468" s="49" t="n"/>
      <c r="D468" s="49" t="n"/>
      <c r="E468" s="49" t="n"/>
      <c r="F468" s="49" t="n"/>
      <c r="G468" s="49" t="n"/>
      <c r="H468" s="49" t="n"/>
      <c r="I468" s="49" t="n"/>
      <c r="J468" s="49" t="n"/>
      <c r="K468" s="49" t="n"/>
      <c r="L468" s="49" t="n"/>
      <c r="M468" s="49" t="n"/>
      <c r="N468" s="49" t="n"/>
      <c r="O468" s="49" t="n"/>
      <c r="P468" s="49" t="n"/>
      <c r="Q468" s="49" t="n"/>
    </row>
    <row r="469">
      <c r="B469" s="49" t="n"/>
      <c r="C469" s="49" t="n"/>
      <c r="D469" s="49" t="n"/>
      <c r="E469" s="49" t="n"/>
      <c r="F469" s="49" t="n"/>
      <c r="G469" s="49" t="n"/>
      <c r="H469" s="49" t="n"/>
      <c r="I469" s="49" t="n"/>
      <c r="J469" s="49" t="n"/>
      <c r="K469" s="49" t="n"/>
      <c r="L469" s="49" t="n"/>
      <c r="M469" s="49" t="n"/>
      <c r="N469" s="49" t="n"/>
      <c r="O469" s="49" t="n"/>
      <c r="P469" s="49" t="n"/>
      <c r="Q469" s="49" t="n"/>
    </row>
    <row r="470">
      <c r="B470" s="49" t="n"/>
      <c r="C470" s="49" t="n"/>
      <c r="D470" s="49" t="n"/>
      <c r="E470" s="49" t="n"/>
      <c r="F470" s="49" t="n"/>
      <c r="G470" s="49" t="n"/>
      <c r="H470" s="49" t="n"/>
      <c r="I470" s="49" t="n"/>
      <c r="J470" s="49" t="n"/>
      <c r="K470" s="49" t="n"/>
      <c r="L470" s="49" t="n"/>
      <c r="M470" s="49" t="n"/>
      <c r="N470" s="49" t="n"/>
      <c r="O470" s="49" t="n"/>
      <c r="P470" s="49" t="n"/>
      <c r="Q470" s="49" t="n"/>
    </row>
    <row r="471">
      <c r="B471" s="49" t="n"/>
      <c r="C471" s="49" t="n"/>
      <c r="D471" s="49" t="n"/>
      <c r="E471" s="49" t="n"/>
      <c r="F471" s="49" t="n"/>
      <c r="G471" s="49" t="n"/>
      <c r="H471" s="49" t="n"/>
      <c r="I471" s="49" t="n"/>
      <c r="J471" s="49" t="n"/>
      <c r="K471" s="49" t="n"/>
      <c r="L471" s="49" t="n"/>
      <c r="M471" s="49" t="n"/>
      <c r="N471" s="49" t="n"/>
      <c r="O471" s="49" t="n"/>
      <c r="P471" s="49" t="n"/>
      <c r="Q471" s="49" t="n"/>
    </row>
    <row r="472">
      <c r="B472" s="49" t="n"/>
      <c r="C472" s="49" t="n"/>
      <c r="D472" s="49" t="n"/>
      <c r="E472" s="49" t="n"/>
      <c r="F472" s="49" t="n"/>
      <c r="G472" s="49" t="n"/>
      <c r="H472" s="49" t="n"/>
      <c r="I472" s="49" t="n"/>
      <c r="J472" s="49" t="n"/>
      <c r="K472" s="49" t="n"/>
      <c r="L472" s="49" t="n"/>
      <c r="M472" s="49" t="n"/>
      <c r="N472" s="49" t="n"/>
      <c r="O472" s="49" t="n"/>
      <c r="P472" s="49" t="n"/>
      <c r="Q472" s="49" t="n"/>
    </row>
    <row r="473">
      <c r="B473" s="49" t="n"/>
      <c r="C473" s="49" t="n"/>
      <c r="D473" s="49" t="n"/>
      <c r="E473" s="49" t="n"/>
      <c r="F473" s="49" t="n"/>
      <c r="G473" s="49" t="n"/>
      <c r="H473" s="49" t="n"/>
      <c r="I473" s="49" t="n"/>
      <c r="J473" s="49" t="n"/>
      <c r="K473" s="49" t="n"/>
      <c r="L473" s="49" t="n"/>
      <c r="M473" s="49" t="n"/>
      <c r="N473" s="49" t="n"/>
      <c r="O473" s="49" t="n"/>
      <c r="P473" s="49" t="n"/>
      <c r="Q473" s="49" t="n"/>
    </row>
    <row r="474">
      <c r="B474" s="49" t="n"/>
      <c r="C474" s="49" t="n"/>
      <c r="D474" s="49" t="n"/>
      <c r="E474" s="49" t="n"/>
      <c r="F474" s="49" t="n"/>
      <c r="G474" s="49" t="n"/>
      <c r="H474" s="49" t="n"/>
      <c r="I474" s="49" t="n"/>
      <c r="J474" s="49" t="n"/>
      <c r="K474" s="49" t="n"/>
      <c r="L474" s="49" t="n"/>
      <c r="M474" s="49" t="n"/>
      <c r="N474" s="49" t="n"/>
      <c r="O474" s="49" t="n"/>
      <c r="P474" s="49" t="n"/>
      <c r="Q474" s="49" t="n"/>
    </row>
    <row r="475">
      <c r="B475" s="49" t="n"/>
      <c r="C475" s="49" t="n"/>
      <c r="D475" s="49" t="n"/>
      <c r="E475" s="49" t="n"/>
      <c r="F475" s="49" t="n"/>
      <c r="G475" s="49" t="n"/>
      <c r="H475" s="49" t="n"/>
      <c r="I475" s="49" t="n"/>
      <c r="J475" s="49" t="n"/>
      <c r="K475" s="49" t="n"/>
      <c r="L475" s="49" t="n"/>
      <c r="M475" s="49" t="n"/>
      <c r="N475" s="49" t="n"/>
      <c r="O475" s="49" t="n"/>
      <c r="P475" s="49" t="n"/>
      <c r="Q475" s="49" t="n"/>
    </row>
    <row r="476">
      <c r="B476" s="49" t="n"/>
      <c r="C476" s="49" t="n"/>
      <c r="D476" s="49" t="n"/>
      <c r="E476" s="49" t="n"/>
      <c r="F476" s="49" t="n"/>
      <c r="G476" s="49" t="n"/>
      <c r="H476" s="49" t="n"/>
      <c r="I476" s="49" t="n"/>
      <c r="J476" s="49" t="n"/>
      <c r="K476" s="49" t="n"/>
      <c r="L476" s="49" t="n"/>
      <c r="M476" s="49" t="n"/>
      <c r="N476" s="49" t="n"/>
      <c r="O476" s="49" t="n"/>
      <c r="P476" s="49" t="n"/>
      <c r="Q476" s="49" t="n"/>
    </row>
    <row r="477">
      <c r="B477" s="49" t="n"/>
      <c r="C477" s="49" t="n"/>
      <c r="D477" s="49" t="n"/>
      <c r="E477" s="49" t="n"/>
      <c r="F477" s="49" t="n"/>
      <c r="G477" s="49" t="n"/>
      <c r="H477" s="49" t="n"/>
      <c r="I477" s="49" t="n"/>
      <c r="J477" s="49" t="n"/>
      <c r="K477" s="49" t="n"/>
      <c r="L477" s="49" t="n"/>
      <c r="M477" s="49" t="n"/>
      <c r="N477" s="49" t="n"/>
      <c r="O477" s="49" t="n"/>
      <c r="P477" s="49" t="n"/>
      <c r="Q477" s="49" t="n"/>
    </row>
    <row r="478">
      <c r="B478" s="49" t="n"/>
      <c r="C478" s="49" t="n"/>
      <c r="D478" s="49" t="n"/>
      <c r="E478" s="49" t="n"/>
      <c r="F478" s="49" t="n"/>
      <c r="G478" s="49" t="n"/>
      <c r="H478" s="49" t="n"/>
      <c r="I478" s="49" t="n"/>
      <c r="J478" s="49" t="n"/>
      <c r="K478" s="49" t="n"/>
      <c r="L478" s="49" t="n"/>
      <c r="M478" s="49" t="n"/>
      <c r="N478" s="49" t="n"/>
      <c r="O478" s="49" t="n"/>
      <c r="P478" s="49" t="n"/>
      <c r="Q478" s="49" t="n"/>
    </row>
    <row r="479">
      <c r="B479" s="49" t="n"/>
      <c r="C479" s="49" t="n"/>
      <c r="D479" s="49" t="n"/>
      <c r="E479" s="49" t="n"/>
      <c r="F479" s="49" t="n"/>
      <c r="G479" s="49" t="n"/>
      <c r="H479" s="49" t="n"/>
      <c r="I479" s="49" t="n"/>
      <c r="J479" s="49" t="n"/>
      <c r="K479" s="49" t="n"/>
      <c r="L479" s="49" t="n"/>
      <c r="M479" s="49" t="n"/>
      <c r="N479" s="49" t="n"/>
      <c r="O479" s="49" t="n"/>
      <c r="P479" s="49" t="n"/>
      <c r="Q479" s="49" t="n"/>
    </row>
    <row r="480">
      <c r="B480" s="49" t="n"/>
      <c r="C480" s="49" t="n"/>
      <c r="D480" s="49" t="n"/>
      <c r="E480" s="49" t="n"/>
      <c r="F480" s="49" t="n"/>
      <c r="G480" s="49" t="n"/>
      <c r="H480" s="49" t="n"/>
      <c r="I480" s="49" t="n"/>
      <c r="J480" s="49" t="n"/>
      <c r="K480" s="49" t="n"/>
      <c r="L480" s="49" t="n"/>
      <c r="M480" s="49" t="n"/>
      <c r="N480" s="49" t="n"/>
      <c r="O480" s="49" t="n"/>
      <c r="P480" s="49" t="n"/>
      <c r="Q480" s="49" t="n"/>
    </row>
    <row r="481">
      <c r="B481" s="49" t="n"/>
      <c r="C481" s="49" t="n"/>
      <c r="D481" s="49" t="n"/>
      <c r="E481" s="49" t="n"/>
      <c r="F481" s="49" t="n"/>
      <c r="G481" s="49" t="n"/>
      <c r="H481" s="49" t="n"/>
      <c r="I481" s="49" t="n"/>
      <c r="J481" s="49" t="n"/>
      <c r="K481" s="49" t="n"/>
      <c r="L481" s="49" t="n"/>
      <c r="M481" s="49" t="n"/>
      <c r="N481" s="49" t="n"/>
      <c r="O481" s="49" t="n"/>
      <c r="P481" s="49" t="n"/>
      <c r="Q481" s="49" t="n"/>
    </row>
    <row r="482">
      <c r="B482" s="49" t="n"/>
      <c r="C482" s="49" t="n"/>
      <c r="D482" s="49" t="n"/>
      <c r="E482" s="49" t="n"/>
      <c r="F482" s="49" t="n"/>
      <c r="G482" s="49" t="n"/>
      <c r="H482" s="49" t="n"/>
      <c r="I482" s="49" t="n"/>
      <c r="J482" s="49" t="n"/>
      <c r="K482" s="49" t="n"/>
      <c r="L482" s="49" t="n"/>
      <c r="M482" s="49" t="n"/>
      <c r="N482" s="49" t="n"/>
      <c r="O482" s="49" t="n"/>
      <c r="P482" s="49" t="n"/>
      <c r="Q482" s="49" t="n"/>
    </row>
    <row r="483">
      <c r="B483" s="49" t="n"/>
      <c r="C483" s="49" t="n"/>
      <c r="D483" s="49" t="n"/>
      <c r="E483" s="49" t="n"/>
      <c r="F483" s="49" t="n"/>
      <c r="G483" s="49" t="n"/>
      <c r="H483" s="49" t="n"/>
      <c r="I483" s="49" t="n"/>
      <c r="J483" s="49" t="n"/>
      <c r="K483" s="49" t="n"/>
      <c r="L483" s="49" t="n"/>
      <c r="M483" s="49" t="n"/>
      <c r="N483" s="49" t="n"/>
      <c r="O483" s="49" t="n"/>
      <c r="P483" s="49" t="n"/>
      <c r="Q483" s="49" t="n"/>
    </row>
    <row r="484">
      <c r="B484" s="49" t="n"/>
      <c r="C484" s="49" t="n"/>
      <c r="D484" s="49" t="n"/>
      <c r="E484" s="49" t="n"/>
      <c r="F484" s="49" t="n"/>
      <c r="G484" s="49" t="n"/>
      <c r="H484" s="49" t="n"/>
      <c r="I484" s="49" t="n"/>
      <c r="J484" s="49" t="n"/>
      <c r="K484" s="49" t="n"/>
      <c r="L484" s="49" t="n"/>
      <c r="M484" s="49" t="n"/>
      <c r="N484" s="49" t="n"/>
      <c r="O484" s="49" t="n"/>
      <c r="P484" s="49" t="n"/>
      <c r="Q484" s="49" t="n"/>
    </row>
    <row r="485">
      <c r="B485" s="49" t="n"/>
      <c r="C485" s="49" t="n"/>
      <c r="D485" s="49" t="n"/>
      <c r="E485" s="49" t="n"/>
      <c r="F485" s="49" t="n"/>
      <c r="G485" s="49" t="n"/>
      <c r="H485" s="49" t="n"/>
      <c r="I485" s="49" t="n"/>
      <c r="J485" s="49" t="n"/>
      <c r="K485" s="49" t="n"/>
      <c r="L485" s="49" t="n"/>
      <c r="M485" s="49" t="n"/>
      <c r="N485" s="49" t="n"/>
      <c r="O485" s="49" t="n"/>
      <c r="P485" s="49" t="n"/>
      <c r="Q485" s="49" t="n"/>
    </row>
    <row r="486">
      <c r="B486" s="49" t="n"/>
      <c r="C486" s="49" t="n"/>
      <c r="D486" s="49" t="n"/>
      <c r="E486" s="49" t="n"/>
      <c r="F486" s="49" t="n"/>
      <c r="G486" s="49" t="n"/>
      <c r="H486" s="49" t="n"/>
      <c r="I486" s="49" t="n"/>
      <c r="J486" s="49" t="n"/>
      <c r="K486" s="49" t="n"/>
      <c r="L486" s="49" t="n"/>
      <c r="M486" s="49" t="n"/>
      <c r="N486" s="49" t="n"/>
      <c r="O486" s="49" t="n"/>
      <c r="P486" s="49" t="n"/>
      <c r="Q486" s="49" t="n"/>
    </row>
    <row r="487">
      <c r="B487" s="49" t="n"/>
      <c r="C487" s="49" t="n"/>
      <c r="D487" s="49" t="n"/>
      <c r="E487" s="49" t="n"/>
      <c r="F487" s="49" t="n"/>
      <c r="G487" s="49" t="n"/>
      <c r="H487" s="49" t="n"/>
      <c r="I487" s="49" t="n"/>
      <c r="J487" s="49" t="n"/>
      <c r="K487" s="49" t="n"/>
      <c r="L487" s="49" t="n"/>
      <c r="M487" s="49" t="n"/>
      <c r="N487" s="49" t="n"/>
      <c r="O487" s="49" t="n"/>
      <c r="P487" s="49" t="n"/>
      <c r="Q487" s="49" t="n"/>
    </row>
    <row r="488">
      <c r="B488" s="49" t="n"/>
      <c r="C488" s="49" t="n"/>
      <c r="D488" s="49" t="n"/>
      <c r="E488" s="49" t="n"/>
      <c r="F488" s="49" t="n"/>
      <c r="G488" s="49" t="n"/>
      <c r="H488" s="49" t="n"/>
      <c r="I488" s="49" t="n"/>
      <c r="J488" s="49" t="n"/>
      <c r="K488" s="49" t="n"/>
      <c r="L488" s="49" t="n"/>
      <c r="M488" s="49" t="n"/>
      <c r="N488" s="49" t="n"/>
      <c r="O488" s="49" t="n"/>
      <c r="P488" s="49" t="n"/>
      <c r="Q488" s="49" t="n"/>
    </row>
    <row r="489">
      <c r="B489" s="49" t="n"/>
      <c r="C489" s="49" t="n"/>
      <c r="D489" s="49" t="n"/>
      <c r="E489" s="49" t="n"/>
      <c r="F489" s="49" t="n"/>
      <c r="G489" s="49" t="n"/>
      <c r="H489" s="49" t="n"/>
      <c r="I489" s="49" t="n"/>
      <c r="J489" s="49" t="n"/>
      <c r="K489" s="49" t="n"/>
      <c r="L489" s="49" t="n"/>
      <c r="M489" s="49" t="n"/>
      <c r="N489" s="49" t="n"/>
      <c r="O489" s="49" t="n"/>
      <c r="P489" s="49" t="n"/>
      <c r="Q489" s="49" t="n"/>
    </row>
    <row r="490">
      <c r="B490" s="49" t="n"/>
      <c r="C490" s="49" t="n"/>
      <c r="D490" s="49" t="n"/>
      <c r="E490" s="49" t="n"/>
      <c r="F490" s="49" t="n"/>
      <c r="G490" s="49" t="n"/>
      <c r="H490" s="49" t="n"/>
      <c r="I490" s="49" t="n"/>
      <c r="J490" s="49" t="n"/>
      <c r="K490" s="49" t="n"/>
      <c r="L490" s="49" t="n"/>
      <c r="M490" s="49" t="n"/>
      <c r="N490" s="49" t="n"/>
      <c r="O490" s="49" t="n"/>
      <c r="P490" s="49" t="n"/>
      <c r="Q490" s="49" t="n"/>
    </row>
    <row r="491">
      <c r="B491" s="49" t="n"/>
      <c r="C491" s="49" t="n"/>
      <c r="D491" s="49" t="n"/>
      <c r="E491" s="49" t="n"/>
      <c r="F491" s="49" t="n"/>
      <c r="G491" s="49" t="n"/>
      <c r="H491" s="49" t="n"/>
      <c r="I491" s="49" t="n"/>
      <c r="J491" s="49" t="n"/>
      <c r="K491" s="49" t="n"/>
      <c r="L491" s="49" t="n"/>
      <c r="M491" s="49" t="n"/>
      <c r="N491" s="49" t="n"/>
      <c r="O491" s="49" t="n"/>
      <c r="P491" s="49" t="n"/>
      <c r="Q491" s="49" t="n"/>
    </row>
    <row r="492">
      <c r="B492" s="49" t="n"/>
      <c r="C492" s="49" t="n"/>
      <c r="D492" s="49" t="n"/>
      <c r="E492" s="49" t="n"/>
      <c r="F492" s="49" t="n"/>
      <c r="G492" s="49" t="n"/>
      <c r="H492" s="49" t="n"/>
      <c r="I492" s="49" t="n"/>
      <c r="J492" s="49" t="n"/>
      <c r="K492" s="49" t="n"/>
      <c r="L492" s="49" t="n"/>
      <c r="M492" s="49" t="n"/>
      <c r="N492" s="49" t="n"/>
      <c r="O492" s="49" t="n"/>
      <c r="P492" s="49" t="n"/>
      <c r="Q492" s="49" t="n"/>
    </row>
    <row r="493">
      <c r="B493" s="49" t="n"/>
      <c r="C493" s="49" t="n"/>
      <c r="D493" s="49" t="n"/>
      <c r="E493" s="49" t="n"/>
      <c r="F493" s="49" t="n"/>
      <c r="G493" s="49" t="n"/>
      <c r="H493" s="49" t="n"/>
      <c r="I493" s="49" t="n"/>
      <c r="J493" s="49" t="n"/>
      <c r="K493" s="49" t="n"/>
      <c r="L493" s="49" t="n"/>
      <c r="M493" s="49" t="n"/>
      <c r="N493" s="49" t="n"/>
      <c r="O493" s="49" t="n"/>
      <c r="P493" s="49" t="n"/>
      <c r="Q493" s="49" t="n"/>
    </row>
    <row r="494">
      <c r="B494" s="49" t="n"/>
      <c r="C494" s="49" t="n"/>
      <c r="D494" s="49" t="n"/>
      <c r="E494" s="49" t="n"/>
      <c r="F494" s="49" t="n"/>
      <c r="G494" s="49" t="n"/>
      <c r="H494" s="49" t="n"/>
      <c r="I494" s="49" t="n"/>
      <c r="J494" s="49" t="n"/>
      <c r="K494" s="49" t="n"/>
      <c r="L494" s="49" t="n"/>
      <c r="M494" s="49" t="n"/>
      <c r="N494" s="49" t="n"/>
      <c r="O494" s="49" t="n"/>
      <c r="P494" s="49" t="n"/>
      <c r="Q494" s="49" t="n"/>
    </row>
    <row r="495">
      <c r="B495" s="49" t="n"/>
      <c r="C495" s="49" t="n"/>
      <c r="D495" s="49" t="n"/>
      <c r="E495" s="49" t="n"/>
      <c r="F495" s="49" t="n"/>
      <c r="G495" s="49" t="n"/>
      <c r="H495" s="49" t="n"/>
      <c r="I495" s="49" t="n"/>
      <c r="J495" s="49" t="n"/>
      <c r="K495" s="49" t="n"/>
      <c r="L495" s="49" t="n"/>
      <c r="M495" s="49" t="n"/>
      <c r="N495" s="49" t="n"/>
      <c r="O495" s="49" t="n"/>
      <c r="P495" s="49" t="n"/>
      <c r="Q495" s="49" t="n"/>
    </row>
    <row r="496">
      <c r="B496" s="49" t="n"/>
      <c r="C496" s="49" t="n"/>
      <c r="D496" s="49" t="n"/>
      <c r="E496" s="49" t="n"/>
      <c r="F496" s="49" t="n"/>
      <c r="G496" s="49" t="n"/>
      <c r="H496" s="49" t="n"/>
      <c r="I496" s="49" t="n"/>
      <c r="J496" s="49" t="n"/>
      <c r="K496" s="49" t="n"/>
      <c r="L496" s="49" t="n"/>
      <c r="M496" s="49" t="n"/>
      <c r="N496" s="49" t="n"/>
      <c r="O496" s="49" t="n"/>
      <c r="P496" s="49" t="n"/>
      <c r="Q496" s="49" t="n"/>
    </row>
    <row r="497">
      <c r="B497" s="49" t="n"/>
      <c r="C497" s="49" t="n"/>
      <c r="D497" s="49" t="n"/>
      <c r="E497" s="49" t="n"/>
      <c r="F497" s="49" t="n"/>
      <c r="G497" s="49" t="n"/>
      <c r="H497" s="49" t="n"/>
      <c r="I497" s="49" t="n"/>
      <c r="J497" s="49" t="n"/>
      <c r="K497" s="49" t="n"/>
      <c r="L497" s="49" t="n"/>
      <c r="M497" s="49" t="n"/>
      <c r="N497" s="49" t="n"/>
      <c r="O497" s="49" t="n"/>
      <c r="P497" s="49" t="n"/>
      <c r="Q497" s="49" t="n"/>
    </row>
    <row r="498">
      <c r="B498" s="49" t="n"/>
      <c r="C498" s="49" t="n"/>
      <c r="D498" s="49" t="n"/>
      <c r="E498" s="49" t="n"/>
      <c r="F498" s="49" t="n"/>
      <c r="G498" s="49" t="n"/>
      <c r="H498" s="49" t="n"/>
      <c r="I498" s="49" t="n"/>
      <c r="J498" s="49" t="n"/>
      <c r="K498" s="49" t="n"/>
      <c r="L498" s="49" t="n"/>
      <c r="M498" s="49" t="n"/>
      <c r="N498" s="49" t="n"/>
      <c r="O498" s="49" t="n"/>
      <c r="P498" s="49" t="n"/>
      <c r="Q498" s="49" t="n"/>
    </row>
    <row r="499">
      <c r="B499" s="49" t="n"/>
      <c r="C499" s="49" t="n"/>
      <c r="D499" s="49" t="n"/>
      <c r="E499" s="49" t="n"/>
      <c r="F499" s="49" t="n"/>
      <c r="G499" s="49" t="n"/>
      <c r="H499" s="49" t="n"/>
      <c r="I499" s="49" t="n"/>
      <c r="J499" s="49" t="n"/>
      <c r="K499" s="49" t="n"/>
      <c r="L499" s="49" t="n"/>
      <c r="M499" s="49" t="n"/>
      <c r="N499" s="49" t="n"/>
      <c r="O499" s="49" t="n"/>
      <c r="P499" s="49" t="n"/>
      <c r="Q499" s="49" t="n"/>
    </row>
    <row r="500">
      <c r="B500" s="49" t="n"/>
      <c r="C500" s="49" t="n"/>
      <c r="D500" s="49" t="n"/>
      <c r="E500" s="49" t="n"/>
      <c r="F500" s="49" t="n"/>
      <c r="G500" s="49" t="n"/>
      <c r="H500" s="49" t="n"/>
      <c r="I500" s="49" t="n"/>
      <c r="J500" s="49" t="n"/>
      <c r="K500" s="49" t="n"/>
      <c r="L500" s="49" t="n"/>
      <c r="M500" s="49" t="n"/>
      <c r="N500" s="49" t="n"/>
      <c r="O500" s="49" t="n"/>
      <c r="P500" s="49" t="n"/>
      <c r="Q500" s="49" t="n"/>
    </row>
    <row r="501">
      <c r="B501" s="49" t="n"/>
      <c r="C501" s="49" t="n"/>
      <c r="D501" s="49" t="n"/>
      <c r="E501" s="49" t="n"/>
      <c r="F501" s="49" t="n"/>
      <c r="G501" s="49" t="n"/>
      <c r="H501" s="49" t="n"/>
      <c r="I501" s="49" t="n"/>
      <c r="J501" s="49" t="n"/>
      <c r="K501" s="49" t="n"/>
      <c r="L501" s="49" t="n"/>
      <c r="M501" s="49" t="n"/>
      <c r="N501" s="49" t="n"/>
      <c r="O501" s="49" t="n"/>
      <c r="P501" s="49" t="n"/>
      <c r="Q501" s="49" t="n"/>
    </row>
    <row r="502">
      <c r="B502" s="49" t="n"/>
      <c r="C502" s="49" t="n"/>
      <c r="D502" s="49" t="n"/>
      <c r="E502" s="49" t="n"/>
      <c r="F502" s="49" t="n"/>
      <c r="G502" s="49" t="n"/>
      <c r="H502" s="49" t="n"/>
      <c r="I502" s="49" t="n"/>
      <c r="J502" s="49" t="n"/>
      <c r="K502" s="49" t="n"/>
      <c r="L502" s="49" t="n"/>
      <c r="M502" s="49" t="n"/>
      <c r="N502" s="49" t="n"/>
      <c r="O502" s="49" t="n"/>
      <c r="P502" s="49" t="n"/>
      <c r="Q502" s="49" t="n"/>
    </row>
    <row r="503">
      <c r="B503" s="49" t="n"/>
      <c r="C503" s="49" t="n"/>
      <c r="D503" s="49" t="n"/>
      <c r="E503" s="49" t="n"/>
      <c r="F503" s="49" t="n"/>
      <c r="G503" s="49" t="n"/>
      <c r="H503" s="49" t="n"/>
      <c r="I503" s="49" t="n"/>
      <c r="J503" s="49" t="n"/>
      <c r="K503" s="49" t="n"/>
      <c r="L503" s="49" t="n"/>
      <c r="M503" s="49" t="n"/>
      <c r="N503" s="49" t="n"/>
      <c r="O503" s="49" t="n"/>
      <c r="P503" s="49" t="n"/>
      <c r="Q503" s="49" t="n"/>
    </row>
    <row r="504">
      <c r="B504" s="49" t="n"/>
      <c r="C504" s="49" t="n"/>
      <c r="D504" s="49" t="n"/>
      <c r="E504" s="49" t="n"/>
      <c r="F504" s="49" t="n"/>
      <c r="G504" s="49" t="n"/>
      <c r="H504" s="49" t="n"/>
      <c r="I504" s="49" t="n"/>
      <c r="J504" s="49" t="n"/>
      <c r="K504" s="49" t="n"/>
      <c r="L504" s="49" t="n"/>
      <c r="M504" s="49" t="n"/>
      <c r="N504" s="49" t="n"/>
      <c r="O504" s="49" t="n"/>
      <c r="P504" s="49" t="n"/>
      <c r="Q504" s="49" t="n"/>
    </row>
    <row r="505">
      <c r="B505" s="49" t="n"/>
      <c r="C505" s="49" t="n"/>
      <c r="D505" s="49" t="n"/>
      <c r="E505" s="49" t="n"/>
      <c r="F505" s="49" t="n"/>
      <c r="G505" s="49" t="n"/>
      <c r="H505" s="49" t="n"/>
      <c r="I505" s="49" t="n"/>
      <c r="J505" s="49" t="n"/>
      <c r="K505" s="49" t="n"/>
      <c r="L505" s="49" t="n"/>
      <c r="M505" s="49" t="n"/>
      <c r="N505" s="49" t="n"/>
      <c r="O505" s="49" t="n"/>
      <c r="P505" s="49" t="n"/>
      <c r="Q505" s="49" t="n"/>
    </row>
    <row r="506">
      <c r="B506" s="49" t="n"/>
      <c r="C506" s="49" t="n"/>
      <c r="D506" s="49" t="n"/>
      <c r="E506" s="49" t="n"/>
      <c r="F506" s="49" t="n"/>
      <c r="G506" s="49" t="n"/>
      <c r="H506" s="49" t="n"/>
      <c r="I506" s="49" t="n"/>
      <c r="J506" s="49" t="n"/>
      <c r="K506" s="49" t="n"/>
      <c r="L506" s="49" t="n"/>
      <c r="M506" s="49" t="n"/>
      <c r="N506" s="49" t="n"/>
      <c r="O506" s="49" t="n"/>
      <c r="P506" s="49" t="n"/>
      <c r="Q506" s="49" t="n"/>
    </row>
    <row r="507">
      <c r="B507" s="49" t="n"/>
      <c r="C507" s="49" t="n"/>
      <c r="D507" s="49" t="n"/>
      <c r="E507" s="49" t="n"/>
      <c r="F507" s="49" t="n"/>
      <c r="G507" s="49" t="n"/>
      <c r="H507" s="49" t="n"/>
      <c r="I507" s="49" t="n"/>
      <c r="J507" s="49" t="n"/>
      <c r="K507" s="49" t="n"/>
      <c r="L507" s="49" t="n"/>
      <c r="M507" s="49" t="n"/>
      <c r="N507" s="49" t="n"/>
      <c r="O507" s="49" t="n"/>
      <c r="P507" s="49" t="n"/>
      <c r="Q507" s="49" t="n"/>
    </row>
    <row r="508">
      <c r="B508" s="49" t="n"/>
      <c r="C508" s="49" t="n"/>
      <c r="D508" s="49" t="n"/>
      <c r="E508" s="49" t="n"/>
      <c r="F508" s="49" t="n"/>
      <c r="G508" s="49" t="n"/>
      <c r="H508" s="49" t="n"/>
      <c r="I508" s="49" t="n"/>
      <c r="J508" s="49" t="n"/>
      <c r="K508" s="49" t="n"/>
      <c r="L508" s="49" t="n"/>
      <c r="M508" s="49" t="n"/>
      <c r="N508" s="49" t="n"/>
      <c r="O508" s="49" t="n"/>
      <c r="P508" s="49" t="n"/>
      <c r="Q508" s="49" t="n"/>
    </row>
    <row r="509">
      <c r="B509" s="49" t="n"/>
      <c r="C509" s="49" t="n"/>
      <c r="D509" s="49" t="n"/>
      <c r="E509" s="49" t="n"/>
      <c r="F509" s="49" t="n"/>
      <c r="G509" s="49" t="n"/>
      <c r="H509" s="49" t="n"/>
      <c r="I509" s="49" t="n"/>
      <c r="J509" s="49" t="n"/>
      <c r="K509" s="49" t="n"/>
      <c r="L509" s="49" t="n"/>
      <c r="M509" s="49" t="n"/>
      <c r="N509" s="49" t="n"/>
      <c r="O509" s="49" t="n"/>
      <c r="P509" s="49" t="n"/>
      <c r="Q509" s="49" t="n"/>
    </row>
    <row r="510">
      <c r="B510" s="49" t="n"/>
      <c r="C510" s="49" t="n"/>
      <c r="D510" s="49" t="n"/>
      <c r="E510" s="49" t="n"/>
      <c r="F510" s="49" t="n"/>
      <c r="G510" s="49" t="n"/>
      <c r="H510" s="49" t="n"/>
      <c r="I510" s="49" t="n"/>
      <c r="J510" s="49" t="n"/>
      <c r="K510" s="49" t="n"/>
      <c r="L510" s="49" t="n"/>
      <c r="M510" s="49" t="n"/>
      <c r="N510" s="49" t="n"/>
      <c r="O510" s="49" t="n"/>
      <c r="P510" s="49" t="n"/>
      <c r="Q510" s="49" t="n"/>
    </row>
    <row r="511">
      <c r="B511" s="49" t="n"/>
      <c r="C511" s="49" t="n"/>
      <c r="D511" s="49" t="n"/>
      <c r="E511" s="49" t="n"/>
      <c r="F511" s="49" t="n"/>
      <c r="G511" s="49" t="n"/>
      <c r="H511" s="49" t="n"/>
      <c r="I511" s="49" t="n"/>
      <c r="J511" s="49" t="n"/>
      <c r="K511" s="49" t="n"/>
      <c r="L511" s="49" t="n"/>
      <c r="M511" s="49" t="n"/>
      <c r="N511" s="49" t="n"/>
      <c r="O511" s="49" t="n"/>
      <c r="P511" s="49" t="n"/>
      <c r="Q511" s="49" t="n"/>
    </row>
    <row r="512">
      <c r="B512" s="49" t="n"/>
      <c r="C512" s="49" t="n"/>
      <c r="D512" s="49" t="n"/>
      <c r="E512" s="49" t="n"/>
      <c r="F512" s="49" t="n"/>
      <c r="G512" s="49" t="n"/>
      <c r="H512" s="49" t="n"/>
      <c r="I512" s="49" t="n"/>
      <c r="J512" s="49" t="n"/>
      <c r="K512" s="49" t="n"/>
      <c r="L512" s="49" t="n"/>
      <c r="M512" s="49" t="n"/>
      <c r="N512" s="49" t="n"/>
      <c r="O512" s="49" t="n"/>
      <c r="P512" s="49" t="n"/>
      <c r="Q512" s="49" t="n"/>
    </row>
    <row r="513">
      <c r="B513" s="49" t="n"/>
      <c r="C513" s="49" t="n"/>
      <c r="D513" s="49" t="n"/>
      <c r="E513" s="49" t="n"/>
      <c r="F513" s="49" t="n"/>
      <c r="G513" s="49" t="n"/>
      <c r="H513" s="49" t="n"/>
      <c r="I513" s="49" t="n"/>
      <c r="J513" s="49" t="n"/>
      <c r="K513" s="49" t="n"/>
      <c r="L513" s="49" t="n"/>
      <c r="M513" s="49" t="n"/>
      <c r="N513" s="49" t="n"/>
      <c r="O513" s="49" t="n"/>
      <c r="P513" s="49" t="n"/>
      <c r="Q513" s="49" t="n"/>
    </row>
    <row r="514">
      <c r="B514" s="49" t="n"/>
      <c r="C514" s="49" t="n"/>
      <c r="D514" s="49" t="n"/>
      <c r="E514" s="49" t="n"/>
      <c r="F514" s="49" t="n"/>
      <c r="G514" s="49" t="n"/>
      <c r="H514" s="49" t="n"/>
      <c r="I514" s="49" t="n"/>
      <c r="J514" s="49" t="n"/>
      <c r="K514" s="49" t="n"/>
      <c r="L514" s="49" t="n"/>
      <c r="M514" s="49" t="n"/>
      <c r="N514" s="49" t="n"/>
      <c r="O514" s="49" t="n"/>
      <c r="P514" s="49" t="n"/>
      <c r="Q514" s="49" t="n"/>
    </row>
    <row r="515">
      <c r="B515" s="49" t="n"/>
      <c r="C515" s="49" t="n"/>
      <c r="D515" s="49" t="n"/>
      <c r="E515" s="49" t="n"/>
      <c r="F515" s="49" t="n"/>
      <c r="G515" s="49" t="n"/>
      <c r="H515" s="49" t="n"/>
      <c r="I515" s="49" t="n"/>
      <c r="J515" s="49" t="n"/>
      <c r="K515" s="49" t="n"/>
      <c r="L515" s="49" t="n"/>
      <c r="M515" s="49" t="n"/>
      <c r="N515" s="49" t="n"/>
      <c r="O515" s="49" t="n"/>
      <c r="P515" s="49" t="n"/>
      <c r="Q515" s="49" t="n"/>
    </row>
    <row r="516">
      <c r="B516" s="49" t="n"/>
      <c r="C516" s="49" t="n"/>
      <c r="D516" s="49" t="n"/>
      <c r="E516" s="49" t="n"/>
      <c r="F516" s="49" t="n"/>
      <c r="G516" s="49" t="n"/>
      <c r="H516" s="49" t="n"/>
      <c r="I516" s="49" t="n"/>
      <c r="J516" s="49" t="n"/>
      <c r="K516" s="49" t="n"/>
      <c r="L516" s="49" t="n"/>
      <c r="M516" s="49" t="n"/>
      <c r="N516" s="49" t="n"/>
      <c r="O516" s="49" t="n"/>
      <c r="P516" s="49" t="n"/>
      <c r="Q516" s="49" t="n"/>
    </row>
    <row r="517">
      <c r="B517" s="49" t="n"/>
      <c r="C517" s="49" t="n"/>
      <c r="D517" s="49" t="n"/>
      <c r="E517" s="49" t="n"/>
      <c r="F517" s="49" t="n"/>
      <c r="G517" s="49" t="n"/>
      <c r="H517" s="49" t="n"/>
      <c r="I517" s="49" t="n"/>
      <c r="J517" s="49" t="n"/>
      <c r="K517" s="49" t="n"/>
      <c r="L517" s="49" t="n"/>
      <c r="M517" s="49" t="n"/>
      <c r="N517" s="49" t="n"/>
      <c r="O517" s="49" t="n"/>
      <c r="P517" s="49" t="n"/>
      <c r="Q517" s="49" t="n"/>
    </row>
  </sheetData>
  <mergeCells count="7">
    <mergeCell ref="B8:Q8"/>
    <mergeCell ref="B10:C10"/>
    <mergeCell ref="B4:Q4"/>
    <mergeCell ref="B6:Q6"/>
    <mergeCell ref="B7:Q7"/>
    <mergeCell ref="B3:Q3"/>
    <mergeCell ref="B5:Q5"/>
  </mergeCells>
  <conditionalFormatting sqref="E9">
    <cfRule type="cellIs" priority="1" operator="greaterThan" dxfId="5">
      <formula>0</formula>
    </cfRule>
  </conditionalFormatting>
  <conditionalFormatting sqref="D17:D517">
    <cfRule type="expression" priority="2" dxfId="6">
      <formula>AND(LEN($B17&amp;$C17&amp;$D17&amp;$E17&amp;$F17&amp;$G17&amp;$H17&amp;$I17&amp;$J17&amp;$K17&amp;$L17&amp;$M17&amp;$N17&amp;$O17&amp;$P17&amp;$Q17)&gt;0,D17="")</formula>
    </cfRule>
  </conditionalFormatting>
  <conditionalFormatting sqref="F17:F517">
    <cfRule type="expression" priority="3" dxfId="6">
      <formula>AND(LEN($B17&amp;$C17&amp;$D17&amp;$E17&amp;$F17&amp;$G17&amp;$H17&amp;$I17&amp;$J17&amp;$K17&amp;$L17&amp;$M17&amp;$N17&amp;$O17&amp;$P17&amp;$Q17)&gt;0,F17="")</formula>
    </cfRule>
  </conditionalFormatting>
  <conditionalFormatting sqref="G17:G517">
    <cfRule type="expression" priority="4" dxfId="6">
      <formula>AND(LEN($B17&amp;$C17&amp;$D17&amp;$E17&amp;$F17&amp;$G17&amp;$H17&amp;$I17&amp;$J17&amp;$K17&amp;$L17&amp;$M17&amp;$N17&amp;$O17&amp;$P17&amp;$Q17)&gt;0,G17="")</formula>
    </cfRule>
  </conditionalFormatting>
  <dataValidations count="1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Parent Code" error="The code is not in D0-06, column Account Code. Enter it there first, or keep it if it is a code BIBS already holds." promptTitle="Parent Code" prompt="No. Code of the parent account; blank for a top-level group Allowed: A code of D0-06 Chart of accounts, column Account Code" type="list" errorStyle="warning">
      <formula1>=CODES_D0_06_ACCOUNT_CODE</formula1>
    </dataValidation>
    <dataValidation sqref="C17:C517" showDropDown="0" showInputMessage="1" showErrorMessage="0" allowBlank="1" promptTitle="Account Code" prompt="No. Account code; blank for the next number of the parent's scheme"/>
    <dataValidation sqref="D17:D517" showDropDown="0" showInputMessage="1" showErrorMessage="0" allowBlank="1" promptTitle="Account Name" prompt="Yes. Account name"/>
    <dataValidation sqref="E17:E517" showDropDown="0" showInputMessage="1" showErrorMessage="0" allowBlank="1" promptTitle="Short Code" prompt="No. Unique short code used on journal lines"/>
    <dataValidation sqref="F17:F517" showDropDown="0" showInputMessage="1" showErrorMessage="1" allowBlank="1" errorTitle="Class" error="Choose a value of the list Account class of the chart (sheet Reference lists)." promptTitle="Class" prompt="Yes. Class of the account Allowed: ASSET, LIABILITY, EQUITY, INCOME, EXPENSE, MEMORANDUM (list Account class of the chart)" type="list" errorStyle="stop">
      <formula1>=LIST_ACCOUNT_CLASS_CHART</formula1>
    </dataValidation>
    <dataValidation sqref="G17:G517" showDropDown="0" showInputMessage="1" showErrorMessage="1" allowBlank="1" errorTitle="Level" error="Choose a value of the list Account level (sheet Reference lists)." promptTitle="Level" prompt="Yes. Level of the account, one tier below the parent Allowed: GROUP, MAIN, SUB, MICRO (list Account level)" type="list" errorStyle="stop">
      <formula1>=LIST_ACCOUNT_LEVEL</formula1>
    </dataValidation>
    <dataValidation sqref="H17:H517" showDropDown="0" showInputMessage="1" showErrorMessage="1" allowBlank="1" errorTitle="Category" error="The code is not in D0-07, column Category code. Enter it there first, or keep it if it is a code BIBS already holds." promptTitle="Category" prompt="No. GL category Allowed: A code of D0-07 Account categories and numbering, column Category code" type="list" errorStyle="warning">
      <formula1>=CODES_D0_07_CATEGORY_CODE</formula1>
    </dataValidation>
    <dataValidation sqref="I17:I517" showDropDown="0" showInputMessage="1" showErrorMessage="1" allowBlank="1" errorTitle="Control Account" error="Choose a value of the list Yes or no (sheet Reference lists)." promptTitle="Control Account" prompt="No. Control account Allowed: Y or N" type="list" errorStyle="stop">
      <formula1>=LIST_YES_NO</formula1>
    </dataValidation>
    <dataValidation sqref="J17:J517" showDropDown="0" showInputMessage="1" showErrorMessage="0" allowBlank="1" promptTitle="Sub-ledger Type" prompt="No. Sub-ledger the account controls; blank for none"/>
    <dataValidation sqref="K17:K517" showDropDown="0" showInputMessage="1" showErrorMessage="0" allowBlank="1" promptTitle="Currencies" prompt="No. Currencies allowed on the account; blank for all"/>
    <dataValidation sqref="L17:L517" showDropDown="0" showInputMessage="1" showErrorMessage="1" allowBlank="1" errorTitle="Manual Posting" error="Choose a value of the list Yes or no (sheet Reference lists)." promptTitle="Manual Posting" prompt="No. Manual journals allowed; blank for Y Allowed: Y or N" type="list" errorStyle="stop">
      <formula1>=LIST_YES_NO</formula1>
    </dataValidation>
    <dataValidation sqref="M17:M517" showDropDown="0" showInputMessage="1" showErrorMessage="1" allowBlank="1" errorTitle="Cost Centre Required" error="Choose a value of the list Yes or no (sheet Reference lists)." promptTitle="Cost Centre Required" prompt="No. Cost centre mandatory on journal lines Allowed: Y or N" type="list" errorStyle="stop">
      <formula1>=LIST_YES_NO</formula1>
    </dataValidation>
    <dataValidation sqref="N17:N517" showDropDown="0" showInputMessage="1" showErrorMessage="1" allowBlank="1" errorTitle="Revaluation Required" error="Choose a value of the list Yes or no (sheet Reference lists)." promptTitle="Revaluation Required" prompt="No. Revalued at month end Allowed: Y or N" type="list" errorStyle="stop">
      <formula1>=LIST_YES_NO</formula1>
    </dataValidation>
    <dataValidation sqref="O17:O517" showDropDown="0" showInputMessage="1" showErrorMessage="0" allowBlank="1" promptTitle="Report Group" prompt="No. Financial statement line"/>
    <dataValidation sqref="P17:P517" showDropDown="0" showInputMessage="1" showErrorMessage="0" allowBlank="1" promptTitle="Opened On" prompt="No. Opening date; blank for today"/>
    <dataValidation sqref="Q17:Q517" showDropDown="0" showInputMessage="1" showErrorMessage="1" allowBlank="1" errorTitle="Negative Balance" error="Choose a value of the list Negative balance (sheet Reference lists)." promptTitle="Negative Balance" prompt="No. What a negative balance does; blank for ALLOW Allowed: ALLOW, WARN, BLOCK (list Negative balance)" type="list" errorStyle="stop">
      <formula1>=LIST_NEGATIVE_BALANCE</formula1>
    </dataValidation>
  </dataValidations>
  <hyperlinks>
    <hyperlink ref="A2" location="'Start here'!A1"/>
    <hyperlink ref="Q2" location="'Questions and comments'!A1"/>
    <hyperlink ref="B8" location="'D0-07 Categories and numbering'!A1"/>
    <hyperlink ref="B14" location="'D0-06 Chart of accounts'!C16"/>
    <hyperlink ref="F14" location="'Reference lists'!A173"/>
    <hyperlink ref="G14" location="'Reference lists'!A179"/>
    <hyperlink ref="H14" location="'D0-07 Categories and numbering'!C16"/>
    <hyperlink ref="Q14" location="'Reference lists'!A183"/>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tabColor rgb="00004EA8"/>
    <outlinePr summaryBelow="0" summaryRight="1"/>
    <pageSetUpPr fitToPage="1"/>
  </sheetPr>
  <dimension ref="A1:O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5.90909090909091" customWidth="1" min="2" max="2"/>
    <col width="15" customWidth="1" min="3" max="3"/>
    <col width="32" customWidth="1" min="4" max="4"/>
    <col width="17" customWidth="1" min="5" max="5"/>
    <col width="13" customWidth="1" min="6" max="6"/>
    <col width="24" customWidth="1" min="7" max="7"/>
    <col width="17" customWidth="1" min="8" max="8"/>
    <col width="21" customWidth="1" min="9" max="9"/>
    <col width="30" customWidth="1" min="10" max="10"/>
    <col width="21" customWidth="1" min="11" max="11"/>
    <col width="16" customWidth="1" min="12" max="12"/>
    <col width="23.63636363636363" customWidth="1" min="13" max="13"/>
    <col width="23.63636363636363" customWidth="1" min="14" max="14"/>
    <col width="27" customWidth="1" min="15" max="15"/>
  </cols>
  <sheetData>
    <row r="1" ht="26" customHeight="1">
      <c r="A1" s="25" t="inlineStr">
        <is>
          <t>MD-01 Business partners (reinsurers, intermediaries, suppliers)</t>
        </is>
      </c>
      <c r="O1" s="26" t="inlineStr">
        <is>
          <t>Step 12 of 52</t>
        </is>
      </c>
    </row>
    <row r="2">
      <c r="A2" s="27" t="inlineStr">
        <is>
          <t>← Back to Start here</t>
        </is>
      </c>
      <c r="B2" s="28" t="inlineStr">
        <is>
          <t>Step 12 of 52. Fill in one row per record below the column headers; the guide above each column says what to enter.</t>
        </is>
      </c>
      <c r="O2" s="29" t="inlineStr">
        <is>
          <t>Ask a question →</t>
        </is>
      </c>
    </row>
    <row r="3" outlineLevel="1" ht="15.5" customHeight="1">
      <c r="A3" s="30" t="inlineStr">
        <is>
          <t>Purpose</t>
        </is>
      </c>
      <c r="B3" s="31" t="inlineStr">
        <is>
          <t>One row per business partner other than an insurer or a client: agents and brokers (intermediaries), reinsurers and reinsurance brokers, co-insurers, suppliers, garages, surveyors and banks. Insurers come from R04; clients from C01 and the client upload.</t>
        </is>
      </c>
    </row>
    <row r="4" outlineLevel="1" ht="15.5" customHeight="1">
      <c r="A4" s="30" t="inlineStr">
        <is>
          <t>Provided by</t>
        </is>
      </c>
      <c r="B4" s="31" t="inlineStr">
        <is>
          <t>Head, Comptrollership; Head, Operations for the reinsurers and intermediaries</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Upload on the configuration screen Setup &amp; Administration › Setup › Business Partners, approved by a second user</t>
        </is>
      </c>
    </row>
    <row r="7" outlineLevel="1" ht="15.5" customHeight="1">
      <c r="A7" s="30" t="inlineStr">
        <is>
          <t>Source</t>
        </is>
      </c>
      <c r="B7" s="31" t="inlineStr">
        <is>
          <t>Upload template of the configuration screen (the same columns, headers, mandatory flags and allowed values)</t>
        </is>
      </c>
    </row>
    <row r="8" outlineLevel="1" ht="15" customHeight="1">
      <c r="A8" s="30" t="inlineStr">
        <is>
          <t>Depends on</t>
        </is>
      </c>
      <c r="B8" s="53" t="inlineStr">
        <is>
          <t>D0-02 Branches →</t>
        </is>
      </c>
    </row>
    <row r="9" ht="26" customHeight="1">
      <c r="A9" s="34" t="inlineStr">
        <is>
          <t>Progress</t>
        </is>
      </c>
      <c r="B9" s="35" t="inlineStr">
        <is>
          <t>Rows entered</t>
        </is>
      </c>
      <c r="C9" s="36">
        <f>SUMPRODUCT(((ROW($B$17:$B$317)&gt;17)+($B$17&lt;&gt;"RI-0001")&gt;0)*(LEN($B$17:$B$317&amp;$C$17:$C$317&amp;$D$17:$D$317&amp;$E$17:$E$317&amp;$F$17:$F$317&amp;$G$17:$G$317&amp;$H$17:$H$317&amp;$I$17:$I$317&amp;$J$17:$J$317&amp;$K$17:$K$317&amp;$L$17:$L$317&amp;$M$17:$M$317&amp;$N$17:$N$317&amp;$O$17:$O$317)&gt;0))</f>
        <v/>
      </c>
      <c r="D9" s="35" t="inlineStr">
        <is>
          <t>Mandatory cells missing</t>
        </is>
      </c>
      <c r="E9" s="36">
        <f>SUMPRODUCT(((ROW($B$17:$B$317)&gt;17)+($B$17&lt;&gt;"RI-0001")&gt;0)*(LEN($B$17:$B$317&amp;$C$17:$C$317&amp;$D$17:$D$317&amp;$E$17:$E$317&amp;$F$17:$F$317&amp;$G$17:$G$317&amp;$H$17:$H$317&amp;$I$17:$I$317&amp;$J$17:$J$317&amp;$K$17:$K$317&amp;$L$17:$L$317&amp;$M$17:$M$317&amp;$N$17:$N$317&amp;$O$17:$O$317)&gt;0)*(($B$17:$B$317="")+($C$17:$C$317="")+($D$17:$D$317="")+($I$17:$I$317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row>
    <row r="12" ht="43" customHeight="1">
      <c r="A12" s="41" t="inlineStr">
        <is>
          <t>Mandatory</t>
        </is>
      </c>
      <c r="B12" s="42" t="inlineStr">
        <is>
          <t>Yes</t>
        </is>
      </c>
      <c r="C12" s="42" t="inlineStr">
        <is>
          <t>Yes</t>
        </is>
      </c>
      <c r="D12" s="42" t="inlineStr">
        <is>
          <t>Yes</t>
        </is>
      </c>
      <c r="E12" s="43" t="inlineStr">
        <is>
          <t>No</t>
        </is>
      </c>
      <c r="F12" s="43" t="inlineStr">
        <is>
          <t>No</t>
        </is>
      </c>
      <c r="G12" s="43" t="inlineStr">
        <is>
          <t>No</t>
        </is>
      </c>
      <c r="H12" s="43" t="inlineStr">
        <is>
          <t>No</t>
        </is>
      </c>
      <c r="I12" s="42" t="inlineStr">
        <is>
          <t>Yes</t>
        </is>
      </c>
      <c r="J12" s="43" t="inlineStr">
        <is>
          <t>No</t>
        </is>
      </c>
      <c r="K12" s="43" t="inlineStr">
        <is>
          <t>No</t>
        </is>
      </c>
      <c r="L12" s="43" t="inlineStr">
        <is>
          <t>Conditional: agent, broker, reinsurance broker</t>
        </is>
      </c>
      <c r="M12" s="43" t="inlineStr">
        <is>
          <t>No</t>
        </is>
      </c>
      <c r="N12" s="43" t="inlineStr">
        <is>
          <t>No</t>
        </is>
      </c>
      <c r="O12" s="43" t="inlineStr">
        <is>
          <t>No</t>
        </is>
      </c>
    </row>
    <row r="13" ht="30" customHeight="1">
      <c r="A13" s="41" t="inlineStr">
        <is>
          <t>Format</t>
        </is>
      </c>
      <c r="B13" s="43" t="inlineStr">
        <is>
          <t>Up to 30; capitals, digits, - and .</t>
        </is>
      </c>
      <c r="C13" s="43" t="inlineStr">
        <is>
          <t>Code from the drop-down</t>
        </is>
      </c>
      <c r="D13" s="43" t="inlineStr">
        <is>
          <t>Text</t>
        </is>
      </c>
      <c r="E13" s="43" t="inlineStr">
        <is>
          <t>000-000-000-000</t>
        </is>
      </c>
      <c r="F13" s="43" t="inlineStr">
        <is>
          <t>Text</t>
        </is>
      </c>
      <c r="G13" s="43" t="inlineStr">
        <is>
          <t>Text</t>
        </is>
      </c>
      <c r="H13" s="43" t="inlineStr">
        <is>
          <t>Text</t>
        </is>
      </c>
      <c r="I13" s="43" t="inlineStr">
        <is>
          <t>Text</t>
        </is>
      </c>
      <c r="J13" s="43" t="inlineStr">
        <is>
          <t>Text</t>
        </is>
      </c>
      <c r="K13" s="43" t="inlineStr">
        <is>
          <t>Text</t>
        </is>
      </c>
      <c r="L13" s="43" t="inlineStr">
        <is>
          <t>Text</t>
        </is>
      </c>
      <c r="M13" s="43" t="inlineStr">
        <is>
          <t>Number without thousands separators, e.g. 1500000.50</t>
        </is>
      </c>
      <c r="N13" s="43" t="inlineStr">
        <is>
          <t>Number without thousands separators, e.g. 1500000.50</t>
        </is>
      </c>
      <c r="O13" s="43" t="inlineStr">
        <is>
          <t>Number without thousands separators, e.g. 1500000.50</t>
        </is>
      </c>
    </row>
    <row r="14" ht="56" customHeight="1">
      <c r="A14" s="41" t="inlineStr">
        <is>
          <t>Allowed values</t>
        </is>
      </c>
      <c r="B14" s="43" t="inlineStr">
        <is>
          <t>Free entry</t>
        </is>
      </c>
      <c r="C14" s="51" t="inlineStr">
        <is>
          <t>List Party type (MD-01): 12 values, see Reference lists</t>
        </is>
      </c>
      <c r="D14" s="43" t="inlineStr">
        <is>
          <t>Free entry</t>
        </is>
      </c>
      <c r="E14" s="43" t="inlineStr">
        <is>
          <t>Free entry</t>
        </is>
      </c>
      <c r="F14" s="43" t="inlineStr">
        <is>
          <t>Free entry</t>
        </is>
      </c>
      <c r="G14" s="43" t="inlineStr">
        <is>
          <t>Free entry</t>
        </is>
      </c>
      <c r="H14" s="43" t="inlineStr">
        <is>
          <t>Free entry</t>
        </is>
      </c>
      <c r="I14" s="43" t="inlineStr">
        <is>
          <t>Free entry</t>
        </is>
      </c>
      <c r="J14" s="43" t="inlineStr">
        <is>
          <t>Free entry</t>
        </is>
      </c>
      <c r="K14" s="43" t="inlineStr">
        <is>
          <t>Free entry</t>
        </is>
      </c>
      <c r="L14" s="43" t="inlineStr">
        <is>
          <t>Free entry</t>
        </is>
      </c>
      <c r="M14" s="43" t="inlineStr">
        <is>
          <t>A number</t>
        </is>
      </c>
      <c r="N14" s="43" t="inlineStr">
        <is>
          <t>A number</t>
        </is>
      </c>
      <c r="O14" s="43" t="inlineStr">
        <is>
          <t>A number</t>
        </is>
      </c>
    </row>
    <row r="15" ht="30" customHeight="1">
      <c r="A15" s="41" t="inlineStr">
        <is>
          <t>What to enter</t>
        </is>
      </c>
      <c r="B15" s="43" t="inlineStr">
        <is>
          <t>Code of the partner, unique</t>
        </is>
      </c>
      <c r="C15" s="43" t="inlineStr">
        <is>
          <t>Kind of partner</t>
        </is>
      </c>
      <c r="D15" s="43" t="inlineStr">
        <is>
          <t>Registered name</t>
        </is>
      </c>
      <c r="E15" s="43" t="inlineStr">
        <is>
          <t>Tax identification number</t>
        </is>
      </c>
      <c r="F15" s="43" t="inlineStr">
        <is>
          <t>Registered address</t>
        </is>
      </c>
      <c r="G15" s="43" t="inlineStr">
        <is>
          <t>E-mail for advices and statements</t>
        </is>
      </c>
      <c r="H15" s="43" t="inlineStr">
        <is>
          <t>Phone number</t>
        </is>
      </c>
      <c r="I15" s="43" t="inlineStr">
        <is>
          <t>Currency of the partner's transactions</t>
        </is>
      </c>
      <c r="J15" s="43" t="inlineStr">
        <is>
          <t>Bank of the partner's account</t>
        </is>
      </c>
      <c r="K15" s="43" t="inlineStr">
        <is>
          <t>Account number for payments</t>
        </is>
      </c>
      <c r="L15" s="43" t="inlineStr">
        <is>
          <t>Insurance Commission licence number</t>
        </is>
      </c>
      <c r="M15" s="43" t="inlineStr">
        <is>
          <t>Credit days of the partner's items</t>
        </is>
      </c>
      <c r="N15" s="43" t="inlineStr">
        <is>
          <t>Commission rate of an intermediary</t>
        </is>
      </c>
      <c r="O15" s="43" t="inlineStr">
        <is>
          <t>Withholding tax rate applied to the partner</t>
        </is>
      </c>
    </row>
    <row r="16" ht="30" customHeight="1">
      <c r="A16" s="44" t="inlineStr">
        <is>
          <t>Row</t>
        </is>
      </c>
      <c r="B16" s="45" t="inlineStr">
        <is>
          <t>Party code *</t>
        </is>
      </c>
      <c r="C16" s="45" t="inlineStr">
        <is>
          <t>Party type *</t>
        </is>
      </c>
      <c r="D16" s="45" t="inlineStr">
        <is>
          <t>Name *</t>
        </is>
      </c>
      <c r="E16" s="45" t="inlineStr">
        <is>
          <t>TIN / tax id</t>
        </is>
      </c>
      <c r="F16" s="45" t="inlineStr">
        <is>
          <t>Address</t>
        </is>
      </c>
      <c r="G16" s="45" t="inlineStr">
        <is>
          <t>E-mail</t>
        </is>
      </c>
      <c r="H16" s="45" t="inlineStr">
        <is>
          <t>Phone</t>
        </is>
      </c>
      <c r="I16" s="45" t="inlineStr">
        <is>
          <t>Default currency *</t>
        </is>
      </c>
      <c r="J16" s="45" t="inlineStr">
        <is>
          <t>Bank name</t>
        </is>
      </c>
      <c r="K16" s="45" t="inlineStr">
        <is>
          <t>Bank account no.</t>
        </is>
      </c>
      <c r="L16" s="45" t="inlineStr">
        <is>
          <t>Licence no.</t>
        </is>
      </c>
      <c r="M16" s="45" t="inlineStr">
        <is>
          <t>Credit days</t>
        </is>
      </c>
      <c r="N16" s="45" t="inlineStr">
        <is>
          <t>Commission rate %</t>
        </is>
      </c>
      <c r="O16" s="45" t="inlineStr">
        <is>
          <t>Withholding tax rate %</t>
        </is>
      </c>
    </row>
    <row r="17" ht="18" customHeight="1">
      <c r="A17" s="46" t="inlineStr">
        <is>
          <t>Example – overwrite or delete</t>
        </is>
      </c>
      <c r="B17" s="47" t="inlineStr">
        <is>
          <t>RI-0001</t>
        </is>
      </c>
      <c r="C17" s="47" t="inlineStr">
        <is>
          <t>REINSURER</t>
        </is>
      </c>
      <c r="D17" s="47" t="inlineStr">
        <is>
          <t>Asia Pacific Reinsurance Corp.</t>
        </is>
      </c>
      <c r="E17" s="47" t="inlineStr">
        <is>
          <t>123-456-789-000</t>
        </is>
      </c>
      <c r="F17" s="47" t="inlineStr">
        <is>
          <t>Makati City</t>
        </is>
      </c>
      <c r="G17" s="47" t="inlineStr">
        <is>
          <t>treaty@apre.example.ph</t>
        </is>
      </c>
      <c r="H17" s="47" t="inlineStr">
        <is>
          <t>+63 2 8888 0000</t>
        </is>
      </c>
      <c r="I17" s="47" t="inlineStr">
        <is>
          <t>PHP</t>
        </is>
      </c>
      <c r="J17" s="47" t="inlineStr">
        <is>
          <t>Metropolitan Commercial Bank</t>
        </is>
      </c>
      <c r="K17" s="47" t="inlineStr">
        <is>
          <t>001234567890</t>
        </is>
      </c>
      <c r="L17" s="47" t="inlineStr">
        <is>
          <t>IC-RB-2026-015</t>
        </is>
      </c>
      <c r="M17" s="52" t="n">
        <v>30</v>
      </c>
      <c r="N17" s="52" t="n"/>
      <c r="O17" s="52" t="n">
        <v>2</v>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sheetData>
  <mergeCells count="7">
    <mergeCell ref="B8:O8"/>
    <mergeCell ref="B4:O4"/>
    <mergeCell ref="B6:O6"/>
    <mergeCell ref="B10:C10"/>
    <mergeCell ref="B7:O7"/>
    <mergeCell ref="B3:O3"/>
    <mergeCell ref="B5:O5"/>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AND(LEN($B17&amp;$C17&amp;$D17&amp;$E17&amp;$F17&amp;$G17&amp;$H17&amp;$I17&amp;$J17&amp;$K17&amp;$L17&amp;$M17&amp;$N17&amp;$O17)&gt;0,B17="")</formula>
    </cfRule>
  </conditionalFormatting>
  <conditionalFormatting sqref="C17:C317">
    <cfRule type="expression" priority="3" dxfId="6">
      <formula>AND(LEN($B17&amp;$C17&amp;$D17&amp;$E17&amp;$F17&amp;$G17&amp;$H17&amp;$I17&amp;$J17&amp;$K17&amp;$L17&amp;$M17&amp;$N17&amp;$O17)&gt;0,C17="")</formula>
    </cfRule>
  </conditionalFormatting>
  <conditionalFormatting sqref="D17:D317">
    <cfRule type="expression" priority="4" dxfId="6">
      <formula>AND(LEN($B17&amp;$C17&amp;$D17&amp;$E17&amp;$F17&amp;$G17&amp;$H17&amp;$I17&amp;$J17&amp;$K17&amp;$L17&amp;$M17&amp;$N17&amp;$O17)&gt;0,D17="")</formula>
    </cfRule>
  </conditionalFormatting>
  <conditionalFormatting sqref="I17:I317">
    <cfRule type="expression" priority="5" dxfId="6">
      <formula>AND(LEN($B17&amp;$C17&amp;$D17&amp;$E17&amp;$F17&amp;$G17&amp;$H17&amp;$I17&amp;$J17&amp;$K17&amp;$L17&amp;$M17&amp;$N17&amp;$O17)&gt;0,I17="")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0" allowBlank="1" promptTitle="Party code" prompt="Yes. Code of the partner, unique"/>
    <dataValidation sqref="C17:C317" showDropDown="0" showInputMessage="1" showErrorMessage="1" allowBlank="1" errorTitle="Party type" error="Choose a value of the list Party type (MD-01) (sheet Reference lists)." promptTitle="Party type" prompt="Yes. Kind of partner Allowed: List Party type (MD-01): 12 values, see Reference lists" type="list" errorStyle="stop">
      <formula1>=LIST_MD_01_PARTY_TYPE</formula1>
    </dataValidation>
    <dataValidation sqref="D17:D317" showDropDown="0" showInputMessage="1" showErrorMessage="0" allowBlank="1" promptTitle="Name" prompt="Yes. Registered name"/>
    <dataValidation sqref="E17:E317" showDropDown="0" showInputMessage="1" showErrorMessage="0" allowBlank="1" promptTitle="TIN / tax id" prompt="No. Tax identification number"/>
    <dataValidation sqref="F17:F317" showDropDown="0" showInputMessage="1" showErrorMessage="0" allowBlank="1" promptTitle="Address" prompt="No. Registered address"/>
    <dataValidation sqref="G17:G317" showDropDown="0" showInputMessage="1" showErrorMessage="0" allowBlank="1" promptTitle="E-mail" prompt="No. E-mail for advices and statements"/>
    <dataValidation sqref="H17:H317" showDropDown="0" showInputMessage="1" showErrorMessage="0" allowBlank="1" promptTitle="Phone" prompt="No. Phone number"/>
    <dataValidation sqref="I17:I317" showDropDown="0" showInputMessage="1" showErrorMessage="0" allowBlank="1" promptTitle="Default currency" prompt="Yes. Currency of the partner's transactions"/>
    <dataValidation sqref="J17:J317" showDropDown="0" showInputMessage="1" showErrorMessage="0" allowBlank="1" promptTitle="Bank name" prompt="No. Bank of the partner's account"/>
    <dataValidation sqref="K17:K317" showDropDown="0" showInputMessage="1" showErrorMessage="0" allowBlank="1" promptTitle="Bank account no." prompt="No. Account number for payments"/>
    <dataValidation sqref="L17:L317" showDropDown="0" showInputMessage="1" showErrorMessage="0" allowBlank="1" promptTitle="Licence no." prompt="Conditional: agent, broker, reinsurance broker. Insurance Commission licence number"/>
    <dataValidation sqref="M17:M317" showDropDown="0" showInputMessage="1" showErrorMessage="1" allowBlank="1" errorTitle="Credit days" error="Enter a number." promptTitle="Credit days" prompt="No. Credit days of the partner's items Allowed: A number" type="decimal" operator="greaterThanOrEqual">
      <formula1>-1E+15</formula1>
    </dataValidation>
    <dataValidation sqref="N17:N317" showDropDown="0" showInputMessage="1" showErrorMessage="1" allowBlank="1" errorTitle="Commission rate %" error="Enter a number." promptTitle="Commission rate %" prompt="No. Commission rate of an intermediary Allowed: A number" type="decimal" operator="greaterThanOrEqual">
      <formula1>-1E+15</formula1>
    </dataValidation>
    <dataValidation sqref="O17:O317" showDropDown="0" showInputMessage="1" showErrorMessage="1" allowBlank="1" errorTitle="Withholding tax rate %" error="Enter a number." promptTitle="Withholding tax rate %" prompt="No. Withholding tax rate applied to the partner Allowed: A number" type="decimal" operator="greaterThanOrEqual">
      <formula1>-1E+15</formula1>
    </dataValidation>
  </dataValidations>
  <hyperlinks>
    <hyperlink ref="A2" location="'Start here'!A1"/>
    <hyperlink ref="O2" location="'Questions and comments'!A1"/>
    <hyperlink ref="B8" location="'D0-02 Branches'!A1"/>
    <hyperlink ref="C14" location="'Reference lists'!A54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tabColor rgb="00004EA8"/>
    <outlinePr summaryBelow="0" summaryRight="1"/>
    <pageSetUpPr fitToPage="1"/>
  </sheetPr>
  <dimension ref="A1:L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15" customWidth="1" min="4" max="4"/>
    <col width="21" customWidth="1" min="5" max="5"/>
    <col width="22" customWidth="1" min="6" max="6"/>
    <col width="16" customWidth="1" min="7" max="7"/>
    <col width="15.90909090909091" customWidth="1" min="8" max="8"/>
    <col width="15.90909090909091" customWidth="1" min="9" max="9"/>
    <col width="13" customWidth="1" min="10" max="10"/>
    <col width="16" customWidth="1" min="11" max="11"/>
    <col width="16" customWidth="1" min="12" max="12"/>
  </cols>
  <sheetData>
    <row r="1" ht="26" customHeight="1">
      <c r="A1" s="25" t="inlineStr">
        <is>
          <t>R03 Sales organisation (units and account officers)</t>
        </is>
      </c>
      <c r="L1" s="26" t="inlineStr">
        <is>
          <t>Step 13 of 52</t>
        </is>
      </c>
    </row>
    <row r="2">
      <c r="A2" s="27" t="inlineStr">
        <is>
          <t>← Back to Start here</t>
        </is>
      </c>
      <c r="B2" s="28" t="inlineStr">
        <is>
          <t>Step 13 of 52. Fill in one row per record below the column headers; the guide above each column says what to enter.</t>
        </is>
      </c>
      <c r="L2" s="29" t="inlineStr">
        <is>
          <t>Ask a question →</t>
        </is>
      </c>
    </row>
    <row r="3" outlineLevel="1" ht="28" customHeight="1">
      <c r="A3" s="30" t="inlineStr">
        <is>
          <t>Purpose</t>
        </is>
      </c>
      <c r="B3" s="31" t="inlineStr">
        <is>
          <t>One row per record of Sales organisation (regions, departments, teams, unit heads, account officers) as extracted from QPS, EBIX. Key record_type, unit_code, ao_user_id. Sent as the file R03_template.csv (CSV, header row as below) with its control file (row count, row count).</t>
        </is>
      </c>
    </row>
    <row r="4" outlineLevel="1" ht="15.5" customHeight="1">
      <c r="A4" s="30" t="inlineStr">
        <is>
          <t>Provided by</t>
        </is>
      </c>
      <c r="B4" s="31" t="inlineStr">
        <is>
          <t>Marketing data steward (to name); approved by Heads, Retail and Corporate Marketing;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R03_template.csv (the header row as below) and its control file are received on Data Migration › Data Migration › Extracts and loaded by a batch of object R03; lands in: Sales organisation: sales units and account officers</t>
        </is>
      </c>
    </row>
    <row r="7" outlineLevel="1" ht="15.5" customHeight="1">
      <c r="A7" s="30" t="inlineStr">
        <is>
          <t>Source</t>
        </is>
      </c>
      <c r="B7" s="31" t="inlineStr">
        <is>
          <t>QPS, EBIX</t>
        </is>
      </c>
    </row>
    <row r="8" outlineLevel="1" ht="26" customHeight="1">
      <c r="A8" s="30" t="inlineStr">
        <is>
          <t>Depends on</t>
        </is>
      </c>
      <c r="B8" s="53" t="inlineStr">
        <is>
          <t>D0-02 Branches →</t>
        </is>
      </c>
      <c r="D8" s="53" t="inlineStr">
        <is>
          <t>D0-04 Cost centres and business lines →</t>
        </is>
      </c>
    </row>
    <row r="9" ht="26" customHeight="1">
      <c r="A9" s="34" t="inlineStr">
        <is>
          <t>Progress</t>
        </is>
      </c>
      <c r="B9" s="35" t="inlineStr">
        <is>
          <t>Rows entered</t>
        </is>
      </c>
      <c r="C9" s="36">
        <f>SUMPRODUCT(((ROW($B$18:$B$218)&gt;18)+($B$18&lt;&gt;"TEAM")&gt;0)*(LEN($B$18:$B$218&amp;$C$18:$C$218&amp;$D$18:$D$218&amp;$E$18:$E$218&amp;$F$18:$F$218&amp;$G$18:$G$218&amp;$H$18:$H$218&amp;$I$18:$I$218&amp;$J$18:$J$218&amp;$K$18:$K$218&amp;$L$18:$L$218)&gt;0))</f>
        <v/>
      </c>
      <c r="D9" s="35" t="inlineStr">
        <is>
          <t>Mandatory cells missing</t>
        </is>
      </c>
      <c r="E9" s="36">
        <f>SUMPRODUCT(((ROW($B$18:$B$218)&gt;18)+($B$18&lt;&gt;"TEAM")&gt;0)*(LEN($B$18:$B$218&amp;$C$18:$C$218&amp;$D$18:$D$218&amp;$E$18:$E$218&amp;$F$18:$F$218&amp;$G$18:$G$218&amp;$H$18:$H$218&amp;$I$18:$I$218&amp;$J$18:$J$218&amp;$K$18:$K$218&amp;$L$18:$L$218)&gt;0)*(($B$18:$B$218="")+($C$18:$C$218="")+($L$18:$L$218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43" customHeight="1">
      <c r="A12" s="41" t="inlineStr">
        <is>
          <t>Check when loaded</t>
        </is>
      </c>
      <c r="B12" s="43" t="inlineStr">
        <is>
          <t>In the list</t>
        </is>
      </c>
      <c r="C12" s="43" t="inlineStr">
        <is>
          <t>Exists as a TEAM row for AO rows</t>
        </is>
      </c>
      <c r="D12" s="43" t="inlineStr">
        <is>
          <t>Mandatory for REGION, DEPARTMENT, TEAM</t>
        </is>
      </c>
      <c r="E12" s="43" t="inlineStr">
        <is>
          <t>Mandatory for DEPARTMENT and TEAM; parent exists</t>
        </is>
      </c>
      <c r="F12" s="43" t="inlineStr">
        <is>
          <t>Mapped in USER</t>
        </is>
      </c>
      <c r="G12" s="43" t="inlineStr">
        <is>
          <t>Mapped</t>
        </is>
      </c>
      <c r="H12" s="43" t="inlineStr">
        <is>
          <t>Mandatory for AO rows; mapped in USER</t>
        </is>
      </c>
      <c r="I12" s="43" t="inlineStr">
        <is>
          <t>Unique</t>
        </is>
      </c>
      <c r="J12" s="43" t="inlineStr">
        <is>
          <t>Mandatory for AO rows</t>
        </is>
      </c>
      <c r="K12" s="43" t="inlineStr">
        <is>
          <t>Mapped</t>
        </is>
      </c>
      <c r="L12" s="43" t="inlineStr">
        <is>
          <t>Y or N</t>
        </is>
      </c>
    </row>
    <row r="13" ht="43" customHeight="1">
      <c r="A13" s="41" t="inlineStr">
        <is>
          <t>Mandatory</t>
        </is>
      </c>
      <c r="B13" s="42" t="inlineStr">
        <is>
          <t>Yes</t>
        </is>
      </c>
      <c r="C13" s="42" t="inlineStr">
        <is>
          <t>Yes</t>
        </is>
      </c>
      <c r="D13" s="43" t="inlineStr">
        <is>
          <t>Conditional: Mandatory for REGION, DEPARTMENT, TEAM</t>
        </is>
      </c>
      <c r="E13" s="43" t="inlineStr">
        <is>
          <t>Conditional: Mandatory for DEPARTMENT and TEAM; parent exists</t>
        </is>
      </c>
      <c r="F13" s="43" t="inlineStr">
        <is>
          <t>No</t>
        </is>
      </c>
      <c r="G13" s="43" t="inlineStr">
        <is>
          <t>No</t>
        </is>
      </c>
      <c r="H13" s="43" t="inlineStr">
        <is>
          <t>Conditional: Mandatory for AO rows; mapped in USER</t>
        </is>
      </c>
      <c r="I13" s="43" t="inlineStr">
        <is>
          <t>No</t>
        </is>
      </c>
      <c r="J13" s="43" t="inlineStr">
        <is>
          <t>Conditional: Mandatory for AO rows</t>
        </is>
      </c>
      <c r="K13" s="43" t="inlineStr">
        <is>
          <t>No</t>
        </is>
      </c>
      <c r="L13" s="42" t="inlineStr">
        <is>
          <t>Yes</t>
        </is>
      </c>
    </row>
    <row r="14" ht="30" customHeight="1">
      <c r="A14" s="41" t="inlineStr">
        <is>
          <t>Format</t>
        </is>
      </c>
      <c r="B14" s="43" t="inlineStr">
        <is>
          <t>Code, up to 12; Upper case</t>
        </is>
      </c>
      <c r="C14" s="43" t="inlineStr">
        <is>
          <t>Code, up to 20; As stored in legacy</t>
        </is>
      </c>
      <c r="D14" s="43" t="inlineStr">
        <is>
          <t>Text, up to 120; Free text</t>
        </is>
      </c>
      <c r="E14" s="43" t="inlineStr">
        <is>
          <t>Code, up to 20; As stored in legacy</t>
        </is>
      </c>
      <c r="F14" s="43" t="inlineStr">
        <is>
          <t>Code, up to 50; As stored in legacy</t>
        </is>
      </c>
      <c r="G14" s="43" t="inlineStr">
        <is>
          <t>Code, up to 20; As stored in legacy</t>
        </is>
      </c>
      <c r="H14" s="43" t="inlineStr">
        <is>
          <t>Code, up to 50; As stored in legacy</t>
        </is>
      </c>
      <c r="I14" s="43" t="inlineStr">
        <is>
          <t>Code, up to 20; As stored in legacy</t>
        </is>
      </c>
      <c r="J14" s="43" t="inlineStr">
        <is>
          <t>Text, up to 120; Free text</t>
        </is>
      </c>
      <c r="K14" s="43" t="inlineStr">
        <is>
          <t>Code, up to 20; As stored in legacy</t>
        </is>
      </c>
      <c r="L14" s="43" t="inlineStr">
        <is>
          <t>Flag, up to 1; Y or N</t>
        </is>
      </c>
    </row>
    <row r="15" ht="121" customHeight="1">
      <c r="A15" s="41" t="inlineStr">
        <is>
          <t>Allowed values</t>
        </is>
      </c>
      <c r="B15" s="51" t="inlineStr">
        <is>
          <t>REGION, DEPARTMENT, TEAM, AO (list R03 record_type)</t>
        </is>
      </c>
      <c r="C15" s="43" t="inlineStr">
        <is>
          <t>Free entry, up to 20 characters</t>
        </is>
      </c>
      <c r="D15" s="43" t="inlineStr">
        <is>
          <t>Free entry, up to 120 characters</t>
        </is>
      </c>
      <c r="E15" s="43" t="inlineStr">
        <is>
          <t>unit_code values of the file</t>
        </is>
      </c>
      <c r="F15" s="43" t="inlineStr">
        <is>
          <t>The legacy code; mapped by the code map USER (Code Maps screen of the Data Migration Console; maps prepared in the Migration Workbook of BRD-13)</t>
        </is>
      </c>
      <c r="G15" s="43" t="inlineStr">
        <is>
          <t>The legacy code; mapped by the code map COST_CENTER (Code Maps screen of the Data Migration Console; maps prepared in the Migration Workbook of BRD-13)</t>
        </is>
      </c>
      <c r="H15" s="43" t="inlineStr">
        <is>
          <t>The legacy code; mapped by the code map USER (Code Maps screen of the Data Migration Console; maps prepared in the Migration Workbook of BRD-13)</t>
        </is>
      </c>
      <c r="I15" s="43" t="inlineStr">
        <is>
          <t>The legacy code; mapped by the code map AO (Code Maps screen of the Data Migration Console; maps prepared in the Migration Workbook of BRD-13)</t>
        </is>
      </c>
      <c r="J15" s="43" t="inlineStr">
        <is>
          <t>Free entry, up to 120 characters</t>
        </is>
      </c>
      <c r="K15" s="43" t="inlineStr">
        <is>
          <t>The legacy code; mapped by the code map BRANCH (Code Maps screen of the Data Migration Console; maps prepared in the Migration Workbook of BRD-13)</t>
        </is>
      </c>
      <c r="L15" s="43" t="inlineStr">
        <is>
          <t>Y or N</t>
        </is>
      </c>
    </row>
    <row r="16" ht="56" customHeight="1">
      <c r="A16" s="41" t="inlineStr">
        <is>
          <t>What to enter</t>
        </is>
      </c>
      <c r="B16" s="43" t="inlineStr">
        <is>
          <t>Kind of row</t>
        </is>
      </c>
      <c r="C16" s="43" t="inlineStr">
        <is>
          <t>Legacy code of the unit (for an AO row, the team of the AO)</t>
        </is>
      </c>
      <c r="D16" s="43" t="inlineStr">
        <is>
          <t>Unit name</t>
        </is>
      </c>
      <c r="E16" s="43" t="inlineStr">
        <is>
          <t>Code of the parent unit (department of a team, region of a department)</t>
        </is>
      </c>
      <c r="F16" s="43" t="inlineStr">
        <is>
          <t>Legacy user ID of the unit head</t>
        </is>
      </c>
      <c r="G16" s="43" t="inlineStr">
        <is>
          <t>Cost centre of the unit</t>
        </is>
      </c>
      <c r="H16" s="43" t="inlineStr">
        <is>
          <t>Legacy user ID of the account officer</t>
        </is>
      </c>
      <c r="I16" s="43" t="inlineStr">
        <is>
          <t>Legacy AO code if different from the user ID</t>
        </is>
      </c>
      <c r="J16" s="43" t="inlineStr">
        <is>
          <t>AO full name</t>
        </is>
      </c>
      <c r="K16" s="43" t="inlineStr">
        <is>
          <t>Branch of the unit or AO</t>
        </is>
      </c>
      <c r="L16" s="43" t="inlineStr">
        <is>
          <t>Unit or AO active</t>
        </is>
      </c>
    </row>
    <row r="17" ht="30" customHeight="1">
      <c r="A17" s="44" t="inlineStr">
        <is>
          <t>Row</t>
        </is>
      </c>
      <c r="B17" s="45" t="inlineStr">
        <is>
          <t>record_type *</t>
        </is>
      </c>
      <c r="C17" s="45" t="inlineStr">
        <is>
          <t>unit_code *</t>
        </is>
      </c>
      <c r="D17" s="45" t="inlineStr">
        <is>
          <t>unit_name</t>
        </is>
      </c>
      <c r="E17" s="45" t="inlineStr">
        <is>
          <t>parent_unit_code</t>
        </is>
      </c>
      <c r="F17" s="45" t="inlineStr">
        <is>
          <t>unit_head_user_id</t>
        </is>
      </c>
      <c r="G17" s="45" t="inlineStr">
        <is>
          <t>cost_center</t>
        </is>
      </c>
      <c r="H17" s="45" t="inlineStr">
        <is>
          <t>ao_user_id</t>
        </is>
      </c>
      <c r="I17" s="45" t="inlineStr">
        <is>
          <t>ao_code</t>
        </is>
      </c>
      <c r="J17" s="45" t="inlineStr">
        <is>
          <t>ao_name</t>
        </is>
      </c>
      <c r="K17" s="45" t="inlineStr">
        <is>
          <t>branch_code</t>
        </is>
      </c>
      <c r="L17" s="45" t="inlineStr">
        <is>
          <t>active_flag *</t>
        </is>
      </c>
    </row>
    <row r="18" ht="18" customHeight="1">
      <c r="A18" s="46" t="inlineStr">
        <is>
          <t>Example – overwrite or delete</t>
        </is>
      </c>
      <c r="B18" s="47" t="inlineStr">
        <is>
          <t>TEAM</t>
        </is>
      </c>
      <c r="C18" s="47" t="inlineStr">
        <is>
          <t>T-RET-07</t>
        </is>
      </c>
      <c r="D18" s="47" t="inlineStr">
        <is>
          <t>Retail Team 7</t>
        </is>
      </c>
      <c r="E18" s="47" t="inlineStr">
        <is>
          <t>D-RET</t>
        </is>
      </c>
      <c r="F18" s="47" t="inlineStr">
        <is>
          <t>jdelacruz</t>
        </is>
      </c>
      <c r="G18" s="47" t="inlineStr">
        <is>
          <t>4100</t>
        </is>
      </c>
      <c r="H18" s="47" t="inlineStr">
        <is>
          <t>mreyes</t>
        </is>
      </c>
      <c r="I18" s="47" t="inlineStr">
        <is>
          <t>AO0457</t>
        </is>
      </c>
      <c r="J18" s="47" t="inlineStr">
        <is>
          <t>Maria Reyes</t>
        </is>
      </c>
      <c r="K18" s="47" t="inlineStr">
        <is>
          <t>MKT01</t>
        </is>
      </c>
      <c r="L18" s="47" t="inlineStr">
        <is>
          <t>Y</t>
        </is>
      </c>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AND(LEN($B18&amp;$C18&amp;$D18&amp;$E18&amp;$F18&amp;$G18&amp;$H18&amp;$I18&amp;$J18&amp;$K18&amp;$L18)&gt;0,B18="")</formula>
    </cfRule>
  </conditionalFormatting>
  <conditionalFormatting sqref="C18:C218">
    <cfRule type="expression" priority="3" dxfId="6">
      <formula>AND(LEN($B18&amp;$C18&amp;$D18&amp;$E18&amp;$F18&amp;$G18&amp;$H18&amp;$I18&amp;$J18&amp;$K18&amp;$L18)&gt;0,C18="")</formula>
    </cfRule>
  </conditionalFormatting>
  <conditionalFormatting sqref="L18:L218">
    <cfRule type="expression" priority="4" dxfId="6">
      <formula>AND(LEN($B18&amp;$C18&amp;$D18&amp;$E18&amp;$F18&amp;$G18&amp;$H18&amp;$I18&amp;$J18&amp;$K18&amp;$L18)&gt;0,L18="")</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record_type" error="Choose a value of the list R03 record_type (sheet Reference lists)." promptTitle="record_type" prompt="Yes. Kind of row Allowed: REGION, DEPARTMENT, TEAM, AO (list R03 record_type)" type="list" errorStyle="stop">
      <formula1>=LIST_R03_RECORD_TYPE</formula1>
    </dataValidation>
    <dataValidation sqref="C18:C218" showDropDown="0" showInputMessage="1" showErrorMessage="1" allowBlank="1" errorTitle="unit_code" error="At most 20 characters." promptTitle="unit_code" prompt="Yes. Legacy code of the unit (for an AO row, the team of the AO) Allowed: Free entry, up to 20 characters" type="textLength" operator="lessThanOrEqual">
      <formula1>20</formula1>
    </dataValidation>
    <dataValidation sqref="D18:D218" showDropDown="0" showInputMessage="1" showErrorMessage="1" allowBlank="1" errorTitle="unit_name" error="At most 120 characters." promptTitle="unit_name" prompt="Conditional: Mandatory for REGION, DEPARTMENT, TEAM. Unit name Allowed: Free entry, up to 120 characters" type="textLength" operator="lessThanOrEqual">
      <formula1>120</formula1>
    </dataValidation>
    <dataValidation sqref="E18:E218" showDropDown="0" showInputMessage="1" showErrorMessage="1" allowBlank="1" errorTitle="parent_unit_code" error="At most 20 characters." promptTitle="parent_unit_code" prompt="Conditional: Mandatory for DEPARTMENT and TEAM; parent exists. Code of the parent unit (department of a team, region of a department) Allowed: unit_code values of the file" type="textLength" operator="lessThanOrEqual">
      <formula1>20</formula1>
    </dataValidation>
    <dataValidation sqref="F18:F218" showDropDown="0" showInputMessage="1" showErrorMessage="1" allowBlank="1" errorTitle="unit_head_user_id" error="At most 50 characters." promptTitle="unit_head_user_id" prompt="No. Legacy user ID of the unit head Allowed: The legacy code; mapped by the code map USER (Code Maps screen of the Data Migration Console; maps prepared in the Migration Workbook of BRD-13)" type="textLength" operator="lessThanOrEqual">
      <formula1>50</formula1>
    </dataValidation>
    <dataValidation sqref="G18:G218" showDropDown="0" showInputMessage="1" showErrorMessage="1" allowBlank="1" errorTitle="cost_center" error="At most 20 characters." promptTitle="cost_center" prompt="No. Cost centre of the unit Allowed: The legacy code; mapped by the code map COST_CENTER (Code Maps screen of the Data Migration Console; maps prepared in the Migration Workbook of BRD-13)" type="textLength" operator="lessThanOrEqual">
      <formula1>20</formula1>
    </dataValidation>
    <dataValidation sqref="H18:H218" showDropDown="0" showInputMessage="1" showErrorMessage="1" allowBlank="1" errorTitle="ao_user_id" error="At most 50 characters." promptTitle="ao_user_id" prompt="Conditional: Mandatory for AO rows; mapped in USER. Legacy user ID of the account officer Allowed: The legacy code; mapped by the code map USER (Code Maps screen of the Data Migration Console; maps prepared in the Migration Workbook of BRD-13)" type="textLength" operator="lessThanOrEqual">
      <formula1>50</formula1>
    </dataValidation>
    <dataValidation sqref="I18:I218" showDropDown="0" showInputMessage="1" showErrorMessage="1" allowBlank="1" errorTitle="ao_code" error="At most 20 characters." promptTitle="ao_code" prompt="No. Legacy AO code if different from the user ID Allowed: The legacy code; mapped by the code map AO (Code Maps screen of the Data Migration Console; maps prepared in the Migration Workbook of BRD-13)" type="textLength" operator="lessThanOrEqual">
      <formula1>20</formula1>
    </dataValidation>
    <dataValidation sqref="J18:J218" showDropDown="0" showInputMessage="1" showErrorMessage="1" allowBlank="1" errorTitle="ao_name" error="At most 120 characters." promptTitle="ao_name" prompt="Conditional: Mandatory for AO rows. AO full name Allowed: Free entry, up to 120 characters" type="textLength" operator="lessThanOrEqual">
      <formula1>120</formula1>
    </dataValidation>
    <dataValidation sqref="K18:K218" showDropDown="0" showInputMessage="1" showErrorMessage="1" allowBlank="1" errorTitle="branch_code" error="At most 20 characters." promptTitle="branch_code" prompt="No. Branch of the unit or AO Allowed: The legacy code; mapped by the code map BRANCH (Code Maps screen of the Data Migration Console; maps prepared in the Migration Workbook of BRD-13)" type="textLength" operator="lessThanOrEqual">
      <formula1>20</formula1>
    </dataValidation>
    <dataValidation sqref="L18:L218" showDropDown="0" showInputMessage="1" showErrorMessage="1" allowBlank="1" errorTitle="active_flag" error="Choose a value of the list Yes or no (sheet Reference lists)." promptTitle="active_flag" prompt="Yes. Unit or AO active Allowed: Y or N" type="list" errorStyle="stop">
      <formula1>=LIST_YES_NO</formula1>
    </dataValidation>
  </dataValidations>
  <hyperlinks>
    <hyperlink ref="A2" location="'Start here'!A1"/>
    <hyperlink ref="L2" location="'Questions and comments'!A1"/>
    <hyperlink ref="B8" location="'D0-02 Branches'!A1"/>
    <hyperlink ref="D8" location="'D0-04 Dimensions'!A1"/>
    <hyperlink ref="B15" location="'Reference lists'!A280"/>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tabColor rgb="00004EA8"/>
    <outlinePr summaryBelow="0" summaryRight="1"/>
    <pageSetUpPr fitToPage="1"/>
  </sheetPr>
  <dimension ref="A1:J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5.90909090909091" customWidth="1" min="2" max="2"/>
    <col width="14" customWidth="1" min="3" max="3"/>
    <col width="20" customWidth="1" min="4" max="4"/>
    <col width="15.90909090909091" customWidth="1" min="5" max="5"/>
    <col width="34" customWidth="1" min="6" max="6"/>
    <col width="18" customWidth="1" min="7" max="7"/>
    <col width="20" customWidth="1" min="8" max="8"/>
    <col width="15.90909090909091" customWidth="1" min="9" max="9"/>
    <col width="20" customWidth="1" min="10" max="10"/>
  </cols>
  <sheetData>
    <row r="1" ht="26" customHeight="1">
      <c r="A1" s="25" t="inlineStr">
        <is>
          <t>R05 Product lines, cover types, products and risk codes</t>
        </is>
      </c>
      <c r="J1" s="26" t="inlineStr">
        <is>
          <t>Step 14 of 52</t>
        </is>
      </c>
    </row>
    <row r="2">
      <c r="A2" s="27" t="inlineStr">
        <is>
          <t>← Back to Start here</t>
        </is>
      </c>
      <c r="B2" s="28" t="inlineStr">
        <is>
          <t>Step 14 of 52. Fill in one row per record below the column headers; the guide above each column says what to enter.</t>
        </is>
      </c>
      <c r="J2" s="29" t="inlineStr">
        <is>
          <t>Ask a question →</t>
        </is>
      </c>
    </row>
    <row r="3" outlineLevel="1" ht="28" customHeight="1">
      <c r="A3" s="30" t="inlineStr">
        <is>
          <t>Purpose</t>
        </is>
      </c>
      <c r="B3" s="31" t="inlineStr">
        <is>
          <t>One row per record of Product lines, cover types, products and risk codes as extracted from QPS, EBIX. Key risk_code. Sent as the file R05_template.csv (CSV, header row as below) with its control file (row count, count of distinct keys).</t>
        </is>
      </c>
    </row>
    <row r="4" outlineLevel="1" ht="15.5" customHeight="1">
      <c r="A4" s="30" t="inlineStr">
        <is>
          <t>Provided by</t>
        </is>
      </c>
      <c r="B4" s="31" t="inlineStr">
        <is>
          <t>MBS data steward (to name); approved by Product Owner, MBS;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R05_template.csv (the header row as below) and its control file are received on Data Migration › Data Migration › Extracts and loaded by a batch of object R05; lands in: Product catalogue: product lines, cover types and products</t>
        </is>
      </c>
    </row>
    <row r="7" outlineLevel="1" ht="15.5" customHeight="1">
      <c r="A7" s="30" t="inlineStr">
        <is>
          <t>Source</t>
        </is>
      </c>
      <c r="B7" s="31" t="inlineStr">
        <is>
          <t>QPS, EBIX</t>
        </is>
      </c>
    </row>
    <row r="8" outlineLevel="1" ht="26" customHeight="1">
      <c r="A8" s="30" t="inlineStr">
        <is>
          <t>Depends on</t>
        </is>
      </c>
      <c r="B8" s="53" t="inlineStr">
        <is>
          <t>PM-09 Lists of values and parameters →</t>
        </is>
      </c>
    </row>
    <row r="9" ht="26" customHeight="1">
      <c r="A9" s="34" t="inlineStr">
        <is>
          <t>Progress</t>
        </is>
      </c>
      <c r="B9" s="35" t="inlineStr">
        <is>
          <t>Rows entered</t>
        </is>
      </c>
      <c r="C9" s="36">
        <f>SUMPRODUCT(((ROW($B$18:$B$218)&gt;18)+($B$18&lt;&gt;"MOTOR")&gt;0)*(LEN($B$18:$B$218&amp;$C$18:$C$218&amp;$D$18:$D$218&amp;$E$18:$E$218&amp;$F$18:$F$218&amp;$G$18:$G$218&amp;$H$18:$H$218&amp;$I$18:$I$218&amp;$J$18:$J$218)&gt;0))</f>
        <v/>
      </c>
      <c r="D9" s="35" t="inlineStr">
        <is>
          <t>Mandatory cells missing</t>
        </is>
      </c>
      <c r="E9" s="36">
        <f>SUMPRODUCT(((ROW($B$18:$B$218)&gt;18)+($B$18&lt;&gt;"MOTOR")&gt;0)*(LEN($B$18:$B$218&amp;$C$18:$C$218&amp;$D$18:$D$218&amp;$E$18:$E$218&amp;$F$18:$F$218&amp;$G$18:$G$218&amp;$H$18:$H$218&amp;$I$18:$I$218&amp;$J$18:$J$218)&gt;0)*(($B$18:$B$218="")+($E$18:$E$218="")+($F$18:$F$218="")+($I$18:$I$218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17" customHeight="1">
      <c r="A12" s="41" t="inlineStr">
        <is>
          <t>Check when loaded</t>
        </is>
      </c>
      <c r="B12" s="43" t="inlineStr">
        <is>
          <t>Mapped</t>
        </is>
      </c>
      <c r="C12" s="43" t="inlineStr">
        <is>
          <t>-</t>
        </is>
      </c>
      <c r="D12" s="43" t="inlineStr">
        <is>
          <t>Mapped</t>
        </is>
      </c>
      <c r="E12" s="43" t="inlineStr">
        <is>
          <t>Unique</t>
        </is>
      </c>
      <c r="F12" s="43" t="inlineStr">
        <is>
          <t>Not blank</t>
        </is>
      </c>
      <c r="G12" s="43" t="inlineStr">
        <is>
          <t>Y or N</t>
        </is>
      </c>
      <c r="H12" s="43" t="inlineStr">
        <is>
          <t>Each mapped</t>
        </is>
      </c>
      <c r="I12" s="43" t="inlineStr">
        <is>
          <t>Mapped</t>
        </is>
      </c>
      <c r="J12" s="43" t="inlineStr">
        <is>
          <t>0 or more</t>
        </is>
      </c>
    </row>
    <row r="13" ht="17" customHeight="1">
      <c r="A13" s="41" t="inlineStr">
        <is>
          <t>Mandatory</t>
        </is>
      </c>
      <c r="B13" s="42" t="inlineStr">
        <is>
          <t>Yes</t>
        </is>
      </c>
      <c r="C13" s="43" t="inlineStr">
        <is>
          <t>No</t>
        </is>
      </c>
      <c r="D13" s="43" t="inlineStr">
        <is>
          <t>No</t>
        </is>
      </c>
      <c r="E13" s="42" t="inlineStr">
        <is>
          <t>Yes</t>
        </is>
      </c>
      <c r="F13" s="42" t="inlineStr">
        <is>
          <t>Yes</t>
        </is>
      </c>
      <c r="G13" s="43" t="inlineStr">
        <is>
          <t>No</t>
        </is>
      </c>
      <c r="H13" s="43" t="inlineStr">
        <is>
          <t>No</t>
        </is>
      </c>
      <c r="I13" s="42" t="inlineStr">
        <is>
          <t>Yes</t>
        </is>
      </c>
      <c r="J13" s="43" t="inlineStr">
        <is>
          <t>No</t>
        </is>
      </c>
    </row>
    <row r="14" ht="30" customHeight="1">
      <c r="A14" s="41" t="inlineStr">
        <is>
          <t>Format</t>
        </is>
      </c>
      <c r="B14" s="43" t="inlineStr">
        <is>
          <t>Code, up to 30; As stored in legacy</t>
        </is>
      </c>
      <c r="C14" s="43" t="inlineStr">
        <is>
          <t>Text, up to 120; Free text</t>
        </is>
      </c>
      <c r="D14" s="43" t="inlineStr">
        <is>
          <t>Code, up to 30; As stored in legacy</t>
        </is>
      </c>
      <c r="E14" s="43" t="inlineStr">
        <is>
          <t>Code, up to 20; As stored in legacy</t>
        </is>
      </c>
      <c r="F14" s="43" t="inlineStr">
        <is>
          <t>Text, up to 200; Free text</t>
        </is>
      </c>
      <c r="G14" s="43" t="inlineStr">
        <is>
          <t>Flag, up to 1; Y or N</t>
        </is>
      </c>
      <c r="H14" s="43" t="inlineStr">
        <is>
          <t>Text, up to 300; CODE;CODE</t>
        </is>
      </c>
      <c r="I14" s="43" t="inlineStr">
        <is>
          <t>Code, up to 20; As stored in legacy</t>
        </is>
      </c>
      <c r="J14" s="43" t="inlineStr">
        <is>
          <t>Integer, up to 9; Digits</t>
        </is>
      </c>
    </row>
    <row r="15" ht="121" customHeight="1">
      <c r="A15" s="41" t="inlineStr">
        <is>
          <t>Allowed values</t>
        </is>
      </c>
      <c r="B15" s="43" t="inlineStr">
        <is>
          <t>The legacy code; mapped by the code map LINE (Code Maps screen of the Data Migration Console; maps prepared in the Migration Workbook of BRD-13)</t>
        </is>
      </c>
      <c r="C15" s="43" t="inlineStr">
        <is>
          <t>Free entry, up to 120 characters</t>
        </is>
      </c>
      <c r="D15" s="43" t="inlineStr">
        <is>
          <t>The legacy code; mapped by the code map COVER_TYPE (Code Maps screen of the Data Migration Console; maps prepared in the Migration Workbook of BRD-13)</t>
        </is>
      </c>
      <c r="E15" s="43" t="inlineStr">
        <is>
          <t>Free entry, up to 20 characters</t>
        </is>
      </c>
      <c r="F15" s="43" t="inlineStr">
        <is>
          <t>Free entry, up to 200 characters</t>
        </is>
      </c>
      <c r="G15" s="43" t="inlineStr">
        <is>
          <t>Y or N</t>
        </is>
      </c>
      <c r="H15" s="43" t="inlineStr">
        <is>
          <t>The legacy code; mapped by the code map LOV:MARKET_SEGMENT (Code Maps screen of the Data Migration Console; maps prepared in the Migration Workbook of BRD-13)</t>
        </is>
      </c>
      <c r="I15" s="43" t="inlineStr">
        <is>
          <t>The legacy code; mapped by the code map STATUS:PRODUCT (Code Maps screen of the Data Migration Console; maps prepared in the Migration Workbook of BRD-13)</t>
        </is>
      </c>
      <c r="J15" s="43" t="inlineStr">
        <is>
          <t>A whole number</t>
        </is>
      </c>
    </row>
    <row r="16" ht="56" customHeight="1">
      <c r="A16" s="41" t="inlineStr">
        <is>
          <t>What to enter</t>
        </is>
      </c>
      <c r="B16" s="43" t="inlineStr">
        <is>
          <t>Legacy line of business</t>
        </is>
      </c>
      <c r="C16" s="43" t="inlineStr">
        <is>
          <t>Line name</t>
        </is>
      </c>
      <c r="D16" s="43" t="inlineStr">
        <is>
          <t>Legacy cover type</t>
        </is>
      </c>
      <c r="E16" s="43" t="inlineStr">
        <is>
          <t>Legacy risk code / product code</t>
        </is>
      </c>
      <c r="F16" s="43" t="inlineStr">
        <is>
          <t>Product / risk name</t>
        </is>
      </c>
      <c r="G16" s="43" t="inlineStr">
        <is>
          <t>Sold as a package</t>
        </is>
      </c>
      <c r="H16" s="43" t="inlineStr">
        <is>
          <t>Segments that may use the product, separated by semicolons</t>
        </is>
      </c>
      <c r="I16" s="43" t="inlineStr">
        <is>
          <t>Status in legacy</t>
        </is>
      </c>
      <c r="J16" s="43" t="inlineStr">
        <is>
          <t>Open invoices and in-force policies using the code (helps the mapping)</t>
        </is>
      </c>
    </row>
    <row r="17" ht="30" customHeight="1">
      <c r="A17" s="44" t="inlineStr">
        <is>
          <t>Row</t>
        </is>
      </c>
      <c r="B17" s="45" t="inlineStr">
        <is>
          <t>line_code *</t>
        </is>
      </c>
      <c r="C17" s="45" t="inlineStr">
        <is>
          <t>line_name</t>
        </is>
      </c>
      <c r="D17" s="45" t="inlineStr">
        <is>
          <t>cover_type_code</t>
        </is>
      </c>
      <c r="E17" s="45" t="inlineStr">
        <is>
          <t>risk_code *</t>
        </is>
      </c>
      <c r="F17" s="45" t="inlineStr">
        <is>
          <t>risk_name *</t>
        </is>
      </c>
      <c r="G17" s="45" t="inlineStr">
        <is>
          <t>packaged_flag</t>
        </is>
      </c>
      <c r="H17" s="45" t="inlineStr">
        <is>
          <t>market_segments</t>
        </is>
      </c>
      <c r="I17" s="45" t="inlineStr">
        <is>
          <t>status *</t>
        </is>
      </c>
      <c r="J17" s="45" t="inlineStr">
        <is>
          <t>open_item_count</t>
        </is>
      </c>
    </row>
    <row r="18" ht="18" customHeight="1">
      <c r="A18" s="46" t="inlineStr">
        <is>
          <t>Example – overwrite or delete</t>
        </is>
      </c>
      <c r="B18" s="47" t="inlineStr">
        <is>
          <t>MOTOR</t>
        </is>
      </c>
      <c r="C18" s="47" t="inlineStr">
        <is>
          <t>Motor Car</t>
        </is>
      </c>
      <c r="D18" s="47" t="inlineStr">
        <is>
          <t>COMP</t>
        </is>
      </c>
      <c r="E18" s="47" t="inlineStr">
        <is>
          <t>MC-PC-COMP</t>
        </is>
      </c>
      <c r="F18" s="47" t="inlineStr">
        <is>
          <t>Private Car Own Damage and Theft</t>
        </is>
      </c>
      <c r="G18" s="47" t="inlineStr">
        <is>
          <t>N</t>
        </is>
      </c>
      <c r="H18" s="47" t="inlineStr">
        <is>
          <t>CBG;RETAIL</t>
        </is>
      </c>
      <c r="I18" s="47" t="inlineStr">
        <is>
          <t>ACTIVE</t>
        </is>
      </c>
      <c r="J18" s="52" t="n">
        <v>4211</v>
      </c>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sheetData>
  <mergeCells count="7">
    <mergeCell ref="B7:J7"/>
    <mergeCell ref="B3:J3"/>
    <mergeCell ref="B5:J5"/>
    <mergeCell ref="B10:C10"/>
    <mergeCell ref="B8:J8"/>
    <mergeCell ref="B4:J4"/>
    <mergeCell ref="B6:J6"/>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AND(LEN($B18&amp;$C18&amp;$D18&amp;$E18&amp;$F18&amp;$G18&amp;$H18&amp;$I18&amp;$J18)&gt;0,B18="")</formula>
    </cfRule>
  </conditionalFormatting>
  <conditionalFormatting sqref="E18:E218">
    <cfRule type="expression" priority="3" dxfId="6">
      <formula>AND(LEN($B18&amp;$C18&amp;$D18&amp;$E18&amp;$F18&amp;$G18&amp;$H18&amp;$I18&amp;$J18)&gt;0,E18="")</formula>
    </cfRule>
  </conditionalFormatting>
  <conditionalFormatting sqref="F18:F218">
    <cfRule type="expression" priority="4" dxfId="6">
      <formula>AND(LEN($B18&amp;$C18&amp;$D18&amp;$E18&amp;$F18&amp;$G18&amp;$H18&amp;$I18&amp;$J18)&gt;0,F18="")</formula>
    </cfRule>
  </conditionalFormatting>
  <conditionalFormatting sqref="I18:I218">
    <cfRule type="expression" priority="5" dxfId="6">
      <formula>AND(LEN($B18&amp;$C18&amp;$D18&amp;$E18&amp;$F18&amp;$G18&amp;$H18&amp;$I18&amp;$J18)&gt;0,I18="")</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ine_code" error="At most 30 characters." promptTitle="line_code" prompt="Yes. Legacy line of business Allowed: The legacy code; mapped by the code map LINE (Code Maps screen of the Data Migration Console; maps prepared in the Migration Workbook of BRD-13)" type="textLength" operator="lessThanOrEqual">
      <formula1>30</formula1>
    </dataValidation>
    <dataValidation sqref="C18:C218" showDropDown="0" showInputMessage="1" showErrorMessage="1" allowBlank="1" errorTitle="line_name" error="At most 120 characters." promptTitle="line_name" prompt="No. Line name Allowed: Free entry, up to 120 characters" type="textLength" operator="lessThanOrEqual">
      <formula1>120</formula1>
    </dataValidation>
    <dataValidation sqref="D18:D218" showDropDown="0" showInputMessage="1" showErrorMessage="1" allowBlank="1" errorTitle="cover_type_code" error="At most 30 characters." promptTitle="cover_type_code" prompt="No. Legacy cover type Allowed: The legacy code; mapped by the code map COVER_TYPE (Code Maps screen of the Data Migration Console; maps prepared in the Migration Workbook of BRD-13)" type="textLength" operator="lessThanOrEqual">
      <formula1>30</formula1>
    </dataValidation>
    <dataValidation sqref="E18:E218" showDropDown="0" showInputMessage="1" showErrorMessage="1" allowBlank="1" errorTitle="risk_code" error="At most 20 characters." promptTitle="risk_code" prompt="Yes. Legacy risk code / product code Allowed: Free entry, up to 20 characters" type="textLength" operator="lessThanOrEqual">
      <formula1>20</formula1>
    </dataValidation>
    <dataValidation sqref="F18:F218" showDropDown="0" showInputMessage="1" showErrorMessage="1" allowBlank="1" errorTitle="risk_name" error="At most 200 characters." promptTitle="risk_name" prompt="Yes. Product / risk name Allowed: Free entry, up to 200 characters" type="textLength" operator="lessThanOrEqual">
      <formula1>200</formula1>
    </dataValidation>
    <dataValidation sqref="G18:G218" showDropDown="0" showInputMessage="1" showErrorMessage="1" allowBlank="1" errorTitle="packaged_flag" error="Choose a value of the list Yes or no (sheet Reference lists)." promptTitle="packaged_flag" prompt="No. Sold as a package Allowed: Y or N" type="list" errorStyle="stop">
      <formula1>=LIST_YES_NO</formula1>
    </dataValidation>
    <dataValidation sqref="H18:H218" showDropDown="0" showInputMessage="1" showErrorMessage="1" allowBlank="1" errorTitle="market_segments" error="At most 300 characters." promptTitle="market_segments" prompt="No. Segments that may use the product, separated by semicolons Allowed: The legacy code; mapped by the code map LOV:MARKET_SEGMENT (Code Maps screen of the Data Migration Console; maps prepared in the Migration Workbook of BRD-13)" type="textLength" operator="lessThanOrEqual">
      <formula1>300</formula1>
    </dataValidation>
    <dataValidation sqref="I18:I218" showDropDown="0" showInputMessage="1" showErrorMessage="1" allowBlank="1" errorTitle="status" error="At most 20 characters." promptTitle="status" prompt="Yes. Status in legacy Allowed: The legacy code; mapped by the code map STATUS:PRODUCT (Code Maps screen of the Data Migration Console; maps prepared in the Migration Workbook of BRD-13)" type="textLength" operator="lessThanOrEqual">
      <formula1>20</formula1>
    </dataValidation>
    <dataValidation sqref="J18:J218" showDropDown="0" showInputMessage="1" showErrorMessage="1" allowBlank="1" errorTitle="open_item_count" error="Enter a whole number." promptTitle="open_item_count" prompt="No. Open invoices and in-force policies using the code (helps the mapping) Allowed: A whole number" type="whole" operator="greaterThanOrEqual">
      <formula1>-1E+15</formula1>
    </dataValidation>
  </dataValidations>
  <hyperlinks>
    <hyperlink ref="A2" location="'Start here'!A1"/>
    <hyperlink ref="J2" location="'Questions and comments'!A1"/>
    <hyperlink ref="B8" location="'PM-09 Lists and parameter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tabColor rgb="00004EA8"/>
    <outlinePr summaryBelow="0" summaryRight="1"/>
    <pageSetUpPr fitToPage="1"/>
  </sheetPr>
  <dimension ref="A1:L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72727272727273" customWidth="1" min="2" max="2"/>
    <col width="22.27272727272727" customWidth="1" min="3" max="3"/>
    <col width="16" customWidth="1" min="4" max="4"/>
    <col width="36" customWidth="1" min="5" max="5"/>
    <col width="15" customWidth="1" min="6" max="6"/>
    <col width="21" customWidth="1" min="7" max="7"/>
    <col width="20" customWidth="1" min="8" max="8"/>
    <col width="15.90909090909091" customWidth="1" min="9" max="9"/>
    <col width="19" customWidth="1" min="10" max="10"/>
    <col width="19" customWidth="1" min="11" max="11"/>
    <col width="18" customWidth="1" min="12" max="12"/>
  </cols>
  <sheetData>
    <row r="1" ht="26" customHeight="1">
      <c r="A1" s="25" t="inlineStr">
        <is>
          <t>UA-01 Users and roles load</t>
        </is>
      </c>
      <c r="L1" s="26" t="inlineStr">
        <is>
          <t>Step 15 of 52</t>
        </is>
      </c>
    </row>
    <row r="2">
      <c r="A2" s="27" t="inlineStr">
        <is>
          <t>← Back to Start here</t>
        </is>
      </c>
      <c r="B2" s="28" t="inlineStr">
        <is>
          <t>Step 15 of 52. Fill in one row per record below the column headers; the guide above each column says what to enter.</t>
        </is>
      </c>
      <c r="L2" s="29" t="inlineStr">
        <is>
          <t>Ask a question →</t>
        </is>
      </c>
    </row>
    <row r="3" outlineLevel="1" ht="15.5" customHeight="1">
      <c r="A3" s="30" t="inlineStr">
        <is>
          <t>Purpose</t>
        </is>
      </c>
      <c r="B3" s="31" t="inlineStr">
        <is>
          <t>Every BIBS user at go-live with the user data and the group profiles, in the columns of the Bulk Request template</t>
        </is>
      </c>
    </row>
    <row r="4" outlineLevel="1" ht="15.5" customHeight="1">
      <c r="A4" s="30" t="inlineStr">
        <is>
          <t>Provided by</t>
        </is>
      </c>
      <c r="B4" s="31" t="inlineStr">
        <is>
          <t>Business Administration, with the unit heads who name their users</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Bulk Request (SCR-UA-09): the file of this template is uploaded as a bulk batch, checked row by row and approved by an approver like single requests; users are out of the data migration scope (DMQ30)</t>
        </is>
      </c>
    </row>
    <row r="7" outlineLevel="1" ht="15.5" customHeight="1">
      <c r="A7" s="30" t="inlineStr">
        <is>
          <t>Source</t>
        </is>
      </c>
      <c r="B7" s="31" t="inlineStr">
        <is>
          <t>The users of the legacy systems and the unit rosters; the HR list of employees for the full names and e-mails</t>
        </is>
      </c>
    </row>
    <row r="8" outlineLevel="1" ht="26" customHeight="1">
      <c r="A8" s="30" t="inlineStr">
        <is>
          <t>Depends on</t>
        </is>
      </c>
      <c r="B8" s="53" t="inlineStr">
        <is>
          <t>UA-06 Lists of values →</t>
        </is>
      </c>
      <c r="D8" s="53" t="inlineStr">
        <is>
          <t>UA-02 Role-to-permission matrix →</t>
        </is>
      </c>
    </row>
    <row r="9" ht="26" customHeight="1">
      <c r="A9" s="34" t="inlineStr">
        <is>
          <t>Progress</t>
        </is>
      </c>
      <c r="B9" s="35" t="inlineStr">
        <is>
          <t>Rows entered</t>
        </is>
      </c>
      <c r="C9" s="36">
        <f>SUMPRODUCT(((ROW($B$17:$B$517)&gt;17)+($B$17&lt;&gt;"ENROL")&gt;0)*(LEN($B$17:$B$517&amp;$C$17:$C$517&amp;$D$17:$D$517&amp;$E$17:$E$517&amp;$F$17:$F$517&amp;$G$17:$G$517&amp;$H$17:$H$517&amp;$I$17:$I$517&amp;$J$17:$J$517&amp;$K$17:$K$517&amp;$L$17:$L$517)&gt;0))</f>
        <v/>
      </c>
      <c r="D9" s="35" t="inlineStr">
        <is>
          <t>Mandatory cells missing</t>
        </is>
      </c>
      <c r="E9" s="36">
        <f>SUMPRODUCT(((ROW($B$17:$B$517)&gt;17)+($B$17&lt;&gt;"ENROL")&gt;0)*(LEN($B$17:$B$517&amp;$C$17:$C$517&amp;$D$17:$D$517&amp;$E$17:$E$517&amp;$F$17:$F$517&amp;$G$17:$G$517&amp;$H$17:$H$517&amp;$I$17:$I$517&amp;$J$17:$J$517&amp;$K$17:$K$517&amp;$L$17:$L$517)&gt;0)*(($B$17:$B$517="")+($C$17:$C$517="")+($L$17:$L$517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17" customHeight="1">
      <c r="A12" s="41" t="inlineStr">
        <is>
          <t>Mandatory</t>
        </is>
      </c>
      <c r="B12" s="42" t="inlineStr">
        <is>
          <t>Yes</t>
        </is>
      </c>
      <c r="C12" s="42" t="inlineStr">
        <is>
          <t>Yes</t>
        </is>
      </c>
      <c r="D12" s="43" t="inlineStr">
        <is>
          <t>Conditional: ENROL</t>
        </is>
      </c>
      <c r="E12" s="43" t="inlineStr">
        <is>
          <t>No</t>
        </is>
      </c>
      <c r="F12" s="43" t="inlineStr">
        <is>
          <t>No</t>
        </is>
      </c>
      <c r="G12" s="43" t="inlineStr">
        <is>
          <t>No</t>
        </is>
      </c>
      <c r="H12" s="43" t="inlineStr">
        <is>
          <t>No</t>
        </is>
      </c>
      <c r="I12" s="43" t="inlineStr">
        <is>
          <t>No</t>
        </is>
      </c>
      <c r="J12" s="43" t="inlineStr">
        <is>
          <t>Conditional: ENROL</t>
        </is>
      </c>
      <c r="K12" s="43" t="inlineStr">
        <is>
          <t>No</t>
        </is>
      </c>
      <c r="L12" s="42" t="inlineStr">
        <is>
          <t>Yes</t>
        </is>
      </c>
    </row>
    <row r="13" ht="30" customHeight="1">
      <c r="A13" s="41" t="inlineStr">
        <is>
          <t>Format</t>
        </is>
      </c>
      <c r="B13" s="43" t="inlineStr">
        <is>
          <t>ENROL, MODIFY, DEACTIVATE or REACTIVATE</t>
        </is>
      </c>
      <c r="C13" s="43" t="inlineStr">
        <is>
          <t>A letter and nine digits (BDOI format a999999999)</t>
        </is>
      </c>
      <c r="D13" s="43" t="inlineStr">
        <is>
          <t>Up to 120 characters</t>
        </is>
      </c>
      <c r="E13" s="43" t="inlineStr">
        <is>
          <t>Company e-mail address</t>
        </is>
      </c>
      <c r="F13" s="43" t="inlineStr">
        <is>
          <t>Windows log-on name; unique</t>
        </is>
      </c>
      <c r="G13" s="43" t="inlineStr">
        <is>
          <t>Branch code</t>
        </is>
      </c>
      <c r="H13" s="43" t="inlineStr">
        <is>
          <t>Code of the list Business unit group (CI-06)</t>
        </is>
      </c>
      <c r="I13" s="43" t="inlineStr">
        <is>
          <t>Code of the list User level (CI-06)</t>
        </is>
      </c>
      <c r="J13" s="43" t="inlineStr">
        <is>
          <t>Profile codes of CI-02 separated by ';'</t>
        </is>
      </c>
      <c r="K13" s="43" t="inlineStr">
        <is>
          <t>yyyy-MM-dd; blank = on approval</t>
        </is>
      </c>
      <c r="L13" s="43" t="inlineStr">
        <is>
          <t>Up to 1,000 characters</t>
        </is>
      </c>
    </row>
    <row r="14" ht="56" customHeight="1">
      <c r="A14" s="41" t="inlineStr">
        <is>
          <t>Allowed values</t>
        </is>
      </c>
      <c r="B14" s="51" t="inlineStr">
        <is>
          <t>ENROL, MODIFY, DEACTIVATE, REACTIVATE (list Bulk request action)</t>
        </is>
      </c>
      <c r="C14" s="43" t="inlineStr">
        <is>
          <t>Free entry, up to 10 characters</t>
        </is>
      </c>
      <c r="D14" s="43" t="inlineStr">
        <is>
          <t>Free entry, up to 120 characters</t>
        </is>
      </c>
      <c r="E14" s="43" t="inlineStr">
        <is>
          <t>Free entry</t>
        </is>
      </c>
      <c r="F14" s="43" t="inlineStr">
        <is>
          <t>Free entry</t>
        </is>
      </c>
      <c r="G14" s="43" t="inlineStr">
        <is>
          <t>Free entry</t>
        </is>
      </c>
      <c r="H14" s="51" t="inlineStr">
        <is>
          <t>Codes of UA-06 Lists of values, column Code (one or more)</t>
        </is>
      </c>
      <c r="I14" s="51" t="inlineStr">
        <is>
          <t>Codes of UA-06 Lists of values, column Code (one or more)</t>
        </is>
      </c>
      <c r="J14" s="51" t="inlineStr">
        <is>
          <t>Codes of UA-02 Role-to-permission matrix, column Group profile code (one or more)</t>
        </is>
      </c>
      <c r="K14" s="43" t="inlineStr">
        <is>
          <t>Free entry</t>
        </is>
      </c>
      <c r="L14" s="43" t="inlineStr">
        <is>
          <t>Free entry, up to 1000 characters</t>
        </is>
      </c>
    </row>
    <row r="15" ht="56" customHeight="1">
      <c r="A15" s="41" t="inlineStr">
        <is>
          <t>What to enter</t>
        </is>
      </c>
      <c r="B15" s="43" t="inlineStr">
        <is>
          <t>ENROL for the go-live load</t>
        </is>
      </c>
      <c r="C15" s="43" t="inlineStr">
        <is>
          <t>The BIBS user ID; unique</t>
        </is>
      </c>
      <c r="D15" s="43" t="inlineStr">
        <is>
          <t>Name shown on screens and reports</t>
        </is>
      </c>
      <c r="E15" s="43" t="inlineStr">
        <is>
          <t>Receives the access-changed notices and the reset links</t>
        </is>
      </c>
      <c r="F15" s="43" t="inlineStr">
        <is>
          <t>Used for the BDO directory sign-in when it is enabled</t>
        </is>
      </c>
      <c r="G15" s="43" t="inlineStr">
        <is>
          <t>Home branch of the user</t>
        </is>
      </c>
      <c r="H15" s="43" t="inlineStr">
        <is>
          <t>Business unit group</t>
        </is>
      </c>
      <c r="I15" s="43" t="inlineStr">
        <is>
          <t>User level</t>
        </is>
      </c>
      <c r="J15" s="43" t="inlineStr">
        <is>
          <t>The group profiles of the user</t>
        </is>
      </c>
      <c r="K15" s="43" t="inlineStr">
        <is>
          <t>Date the change applies</t>
        </is>
      </c>
      <c r="L15" s="43" t="inlineStr">
        <is>
          <t>Justification of the line</t>
        </is>
      </c>
    </row>
    <row r="16" ht="30" customHeight="1">
      <c r="A16" s="44" t="inlineStr">
        <is>
          <t>Row</t>
        </is>
      </c>
      <c r="B16" s="45" t="inlineStr">
        <is>
          <t>Action *</t>
        </is>
      </c>
      <c r="C16" s="45" t="inlineStr">
        <is>
          <t>User ID *</t>
        </is>
      </c>
      <c r="D16" s="45" t="inlineStr">
        <is>
          <t>Full Name</t>
        </is>
      </c>
      <c r="E16" s="45" t="inlineStr">
        <is>
          <t>E-mail</t>
        </is>
      </c>
      <c r="F16" s="45" t="inlineStr">
        <is>
          <t>Windows ID</t>
        </is>
      </c>
      <c r="G16" s="45" t="inlineStr">
        <is>
          <t>Home Branch Code</t>
        </is>
      </c>
      <c r="H16" s="45" t="inlineStr">
        <is>
          <t>Business Unit</t>
        </is>
      </c>
      <c r="I16" s="45" t="inlineStr">
        <is>
          <t>User Level</t>
        </is>
      </c>
      <c r="J16" s="45" t="inlineStr">
        <is>
          <t>Group Profiles</t>
        </is>
      </c>
      <c r="K16" s="45" t="inlineStr">
        <is>
          <t>Effective Date</t>
        </is>
      </c>
      <c r="L16" s="45" t="inlineStr">
        <is>
          <t>Remarks *</t>
        </is>
      </c>
    </row>
    <row r="17" ht="18" customHeight="1">
      <c r="A17" s="46" t="inlineStr">
        <is>
          <t>Example – overwrite or delete</t>
        </is>
      </c>
      <c r="B17" s="47" t="inlineStr">
        <is>
          <t>ENROL</t>
        </is>
      </c>
      <c r="C17" s="47" t="inlineStr">
        <is>
          <t>a013000201</t>
        </is>
      </c>
      <c r="D17" s="47" t="inlineStr">
        <is>
          <t>Andrea Mercado</t>
        </is>
      </c>
      <c r="E17" s="47" t="inlineStr">
        <is>
          <t>andrea.mercado@brokerverse-seed.ph</t>
        </is>
      </c>
      <c r="F17" s="47" t="inlineStr">
        <is>
          <t>AMERCADO</t>
        </is>
      </c>
      <c r="G17" s="47" t="inlineStr">
        <is>
          <t>HO</t>
        </is>
      </c>
      <c r="H17" s="47" t="n"/>
      <c r="I17" s="47" t="n"/>
      <c r="J17" s="47" t="inlineStr">
        <is>
          <t>MKT_AO</t>
        </is>
      </c>
      <c r="K17" s="47" t="n"/>
      <c r="L17" s="47" t="inlineStr">
        <is>
          <t>Joined Marketing</t>
        </is>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row r="318">
      <c r="B318" s="49" t="n"/>
      <c r="C318" s="49" t="n"/>
      <c r="D318" s="49" t="n"/>
      <c r="E318" s="49" t="n"/>
      <c r="F318" s="49" t="n"/>
      <c r="G318" s="49" t="n"/>
      <c r="H318" s="49" t="n"/>
      <c r="I318" s="49" t="n"/>
      <c r="J318" s="49" t="n"/>
      <c r="K318" s="49" t="n"/>
      <c r="L318" s="49" t="n"/>
    </row>
    <row r="319">
      <c r="B319" s="49" t="n"/>
      <c r="C319" s="49" t="n"/>
      <c r="D319" s="49" t="n"/>
      <c r="E319" s="49" t="n"/>
      <c r="F319" s="49" t="n"/>
      <c r="G319" s="49" t="n"/>
      <c r="H319" s="49" t="n"/>
      <c r="I319" s="49" t="n"/>
      <c r="J319" s="49" t="n"/>
      <c r="K319" s="49" t="n"/>
      <c r="L319" s="49" t="n"/>
    </row>
    <row r="320">
      <c r="B320" s="49" t="n"/>
      <c r="C320" s="49" t="n"/>
      <c r="D320" s="49" t="n"/>
      <c r="E320" s="49" t="n"/>
      <c r="F320" s="49" t="n"/>
      <c r="G320" s="49" t="n"/>
      <c r="H320" s="49" t="n"/>
      <c r="I320" s="49" t="n"/>
      <c r="J320" s="49" t="n"/>
      <c r="K320" s="49" t="n"/>
      <c r="L320" s="49" t="n"/>
    </row>
    <row r="321">
      <c r="B321" s="49" t="n"/>
      <c r="C321" s="49" t="n"/>
      <c r="D321" s="49" t="n"/>
      <c r="E321" s="49" t="n"/>
      <c r="F321" s="49" t="n"/>
      <c r="G321" s="49" t="n"/>
      <c r="H321" s="49" t="n"/>
      <c r="I321" s="49" t="n"/>
      <c r="J321" s="49" t="n"/>
      <c r="K321" s="49" t="n"/>
      <c r="L321" s="49" t="n"/>
    </row>
    <row r="322">
      <c r="B322" s="49" t="n"/>
      <c r="C322" s="49" t="n"/>
      <c r="D322" s="49" t="n"/>
      <c r="E322" s="49" t="n"/>
      <c r="F322" s="49" t="n"/>
      <c r="G322" s="49" t="n"/>
      <c r="H322" s="49" t="n"/>
      <c r="I322" s="49" t="n"/>
      <c r="J322" s="49" t="n"/>
      <c r="K322" s="49" t="n"/>
      <c r="L322" s="49" t="n"/>
    </row>
    <row r="323">
      <c r="B323" s="49" t="n"/>
      <c r="C323" s="49" t="n"/>
      <c r="D323" s="49" t="n"/>
      <c r="E323" s="49" t="n"/>
      <c r="F323" s="49" t="n"/>
      <c r="G323" s="49" t="n"/>
      <c r="H323" s="49" t="n"/>
      <c r="I323" s="49" t="n"/>
      <c r="J323" s="49" t="n"/>
      <c r="K323" s="49" t="n"/>
      <c r="L323" s="49" t="n"/>
    </row>
    <row r="324">
      <c r="B324" s="49" t="n"/>
      <c r="C324" s="49" t="n"/>
      <c r="D324" s="49" t="n"/>
      <c r="E324" s="49" t="n"/>
      <c r="F324" s="49" t="n"/>
      <c r="G324" s="49" t="n"/>
      <c r="H324" s="49" t="n"/>
      <c r="I324" s="49" t="n"/>
      <c r="J324" s="49" t="n"/>
      <c r="K324" s="49" t="n"/>
      <c r="L324" s="49" t="n"/>
    </row>
    <row r="325">
      <c r="B325" s="49" t="n"/>
      <c r="C325" s="49" t="n"/>
      <c r="D325" s="49" t="n"/>
      <c r="E325" s="49" t="n"/>
      <c r="F325" s="49" t="n"/>
      <c r="G325" s="49" t="n"/>
      <c r="H325" s="49" t="n"/>
      <c r="I325" s="49" t="n"/>
      <c r="J325" s="49" t="n"/>
      <c r="K325" s="49" t="n"/>
      <c r="L325" s="49" t="n"/>
    </row>
    <row r="326">
      <c r="B326" s="49" t="n"/>
      <c r="C326" s="49" t="n"/>
      <c r="D326" s="49" t="n"/>
      <c r="E326" s="49" t="n"/>
      <c r="F326" s="49" t="n"/>
      <c r="G326" s="49" t="n"/>
      <c r="H326" s="49" t="n"/>
      <c r="I326" s="49" t="n"/>
      <c r="J326" s="49" t="n"/>
      <c r="K326" s="49" t="n"/>
      <c r="L326" s="49" t="n"/>
    </row>
    <row r="327">
      <c r="B327" s="49" t="n"/>
      <c r="C327" s="49" t="n"/>
      <c r="D327" s="49" t="n"/>
      <c r="E327" s="49" t="n"/>
      <c r="F327" s="49" t="n"/>
      <c r="G327" s="49" t="n"/>
      <c r="H327" s="49" t="n"/>
      <c r="I327" s="49" t="n"/>
      <c r="J327" s="49" t="n"/>
      <c r="K327" s="49" t="n"/>
      <c r="L327" s="49" t="n"/>
    </row>
    <row r="328">
      <c r="B328" s="49" t="n"/>
      <c r="C328" s="49" t="n"/>
      <c r="D328" s="49" t="n"/>
      <c r="E328" s="49" t="n"/>
      <c r="F328" s="49" t="n"/>
      <c r="G328" s="49" t="n"/>
      <c r="H328" s="49" t="n"/>
      <c r="I328" s="49" t="n"/>
      <c r="J328" s="49" t="n"/>
      <c r="K328" s="49" t="n"/>
      <c r="L328" s="49" t="n"/>
    </row>
    <row r="329">
      <c r="B329" s="49" t="n"/>
      <c r="C329" s="49" t="n"/>
      <c r="D329" s="49" t="n"/>
      <c r="E329" s="49" t="n"/>
      <c r="F329" s="49" t="n"/>
      <c r="G329" s="49" t="n"/>
      <c r="H329" s="49" t="n"/>
      <c r="I329" s="49" t="n"/>
      <c r="J329" s="49" t="n"/>
      <c r="K329" s="49" t="n"/>
      <c r="L329" s="49" t="n"/>
    </row>
    <row r="330">
      <c r="B330" s="49" t="n"/>
      <c r="C330" s="49" t="n"/>
      <c r="D330" s="49" t="n"/>
      <c r="E330" s="49" t="n"/>
      <c r="F330" s="49" t="n"/>
      <c r="G330" s="49" t="n"/>
      <c r="H330" s="49" t="n"/>
      <c r="I330" s="49" t="n"/>
      <c r="J330" s="49" t="n"/>
      <c r="K330" s="49" t="n"/>
      <c r="L330" s="49" t="n"/>
    </row>
    <row r="331">
      <c r="B331" s="49" t="n"/>
      <c r="C331" s="49" t="n"/>
      <c r="D331" s="49" t="n"/>
      <c r="E331" s="49" t="n"/>
      <c r="F331" s="49" t="n"/>
      <c r="G331" s="49" t="n"/>
      <c r="H331" s="49" t="n"/>
      <c r="I331" s="49" t="n"/>
      <c r="J331" s="49" t="n"/>
      <c r="K331" s="49" t="n"/>
      <c r="L331" s="49" t="n"/>
    </row>
    <row r="332">
      <c r="B332" s="49" t="n"/>
      <c r="C332" s="49" t="n"/>
      <c r="D332" s="49" t="n"/>
      <c r="E332" s="49" t="n"/>
      <c r="F332" s="49" t="n"/>
      <c r="G332" s="49" t="n"/>
      <c r="H332" s="49" t="n"/>
      <c r="I332" s="49" t="n"/>
      <c r="J332" s="49" t="n"/>
      <c r="K332" s="49" t="n"/>
      <c r="L332" s="49" t="n"/>
    </row>
    <row r="333">
      <c r="B333" s="49" t="n"/>
      <c r="C333" s="49" t="n"/>
      <c r="D333" s="49" t="n"/>
      <c r="E333" s="49" t="n"/>
      <c r="F333" s="49" t="n"/>
      <c r="G333" s="49" t="n"/>
      <c r="H333" s="49" t="n"/>
      <c r="I333" s="49" t="n"/>
      <c r="J333" s="49" t="n"/>
      <c r="K333" s="49" t="n"/>
      <c r="L333" s="49" t="n"/>
    </row>
    <row r="334">
      <c r="B334" s="49" t="n"/>
      <c r="C334" s="49" t="n"/>
      <c r="D334" s="49" t="n"/>
      <c r="E334" s="49" t="n"/>
      <c r="F334" s="49" t="n"/>
      <c r="G334" s="49" t="n"/>
      <c r="H334" s="49" t="n"/>
      <c r="I334" s="49" t="n"/>
      <c r="J334" s="49" t="n"/>
      <c r="K334" s="49" t="n"/>
      <c r="L334" s="49" t="n"/>
    </row>
    <row r="335">
      <c r="B335" s="49" t="n"/>
      <c r="C335" s="49" t="n"/>
      <c r="D335" s="49" t="n"/>
      <c r="E335" s="49" t="n"/>
      <c r="F335" s="49" t="n"/>
      <c r="G335" s="49" t="n"/>
      <c r="H335" s="49" t="n"/>
      <c r="I335" s="49" t="n"/>
      <c r="J335" s="49" t="n"/>
      <c r="K335" s="49" t="n"/>
      <c r="L335" s="49" t="n"/>
    </row>
    <row r="336">
      <c r="B336" s="49" t="n"/>
      <c r="C336" s="49" t="n"/>
      <c r="D336" s="49" t="n"/>
      <c r="E336" s="49" t="n"/>
      <c r="F336" s="49" t="n"/>
      <c r="G336" s="49" t="n"/>
      <c r="H336" s="49" t="n"/>
      <c r="I336" s="49" t="n"/>
      <c r="J336" s="49" t="n"/>
      <c r="K336" s="49" t="n"/>
      <c r="L336" s="49" t="n"/>
    </row>
    <row r="337">
      <c r="B337" s="49" t="n"/>
      <c r="C337" s="49" t="n"/>
      <c r="D337" s="49" t="n"/>
      <c r="E337" s="49" t="n"/>
      <c r="F337" s="49" t="n"/>
      <c r="G337" s="49" t="n"/>
      <c r="H337" s="49" t="n"/>
      <c r="I337" s="49" t="n"/>
      <c r="J337" s="49" t="n"/>
      <c r="K337" s="49" t="n"/>
      <c r="L337" s="49" t="n"/>
    </row>
    <row r="338">
      <c r="B338" s="49" t="n"/>
      <c r="C338" s="49" t="n"/>
      <c r="D338" s="49" t="n"/>
      <c r="E338" s="49" t="n"/>
      <c r="F338" s="49" t="n"/>
      <c r="G338" s="49" t="n"/>
      <c r="H338" s="49" t="n"/>
      <c r="I338" s="49" t="n"/>
      <c r="J338" s="49" t="n"/>
      <c r="K338" s="49" t="n"/>
      <c r="L338" s="49" t="n"/>
    </row>
    <row r="339">
      <c r="B339" s="49" t="n"/>
      <c r="C339" s="49" t="n"/>
      <c r="D339" s="49" t="n"/>
      <c r="E339" s="49" t="n"/>
      <c r="F339" s="49" t="n"/>
      <c r="G339" s="49" t="n"/>
      <c r="H339" s="49" t="n"/>
      <c r="I339" s="49" t="n"/>
      <c r="J339" s="49" t="n"/>
      <c r="K339" s="49" t="n"/>
      <c r="L339" s="49" t="n"/>
    </row>
    <row r="340">
      <c r="B340" s="49" t="n"/>
      <c r="C340" s="49" t="n"/>
      <c r="D340" s="49" t="n"/>
      <c r="E340" s="49" t="n"/>
      <c r="F340" s="49" t="n"/>
      <c r="G340" s="49" t="n"/>
      <c r="H340" s="49" t="n"/>
      <c r="I340" s="49" t="n"/>
      <c r="J340" s="49" t="n"/>
      <c r="K340" s="49" t="n"/>
      <c r="L340" s="49" t="n"/>
    </row>
    <row r="341">
      <c r="B341" s="49" t="n"/>
      <c r="C341" s="49" t="n"/>
      <c r="D341" s="49" t="n"/>
      <c r="E341" s="49" t="n"/>
      <c r="F341" s="49" t="n"/>
      <c r="G341" s="49" t="n"/>
      <c r="H341" s="49" t="n"/>
      <c r="I341" s="49" t="n"/>
      <c r="J341" s="49" t="n"/>
      <c r="K341" s="49" t="n"/>
      <c r="L341" s="49" t="n"/>
    </row>
    <row r="342">
      <c r="B342" s="49" t="n"/>
      <c r="C342" s="49" t="n"/>
      <c r="D342" s="49" t="n"/>
      <c r="E342" s="49" t="n"/>
      <c r="F342" s="49" t="n"/>
      <c r="G342" s="49" t="n"/>
      <c r="H342" s="49" t="n"/>
      <c r="I342" s="49" t="n"/>
      <c r="J342" s="49" t="n"/>
      <c r="K342" s="49" t="n"/>
      <c r="L342" s="49" t="n"/>
    </row>
    <row r="343">
      <c r="B343" s="49" t="n"/>
      <c r="C343" s="49" t="n"/>
      <c r="D343" s="49" t="n"/>
      <c r="E343" s="49" t="n"/>
      <c r="F343" s="49" t="n"/>
      <c r="G343" s="49" t="n"/>
      <c r="H343" s="49" t="n"/>
      <c r="I343" s="49" t="n"/>
      <c r="J343" s="49" t="n"/>
      <c r="K343" s="49" t="n"/>
      <c r="L343" s="49" t="n"/>
    </row>
    <row r="344">
      <c r="B344" s="49" t="n"/>
      <c r="C344" s="49" t="n"/>
      <c r="D344" s="49" t="n"/>
      <c r="E344" s="49" t="n"/>
      <c r="F344" s="49" t="n"/>
      <c r="G344" s="49" t="n"/>
      <c r="H344" s="49" t="n"/>
      <c r="I344" s="49" t="n"/>
      <c r="J344" s="49" t="n"/>
      <c r="K344" s="49" t="n"/>
      <c r="L344" s="49" t="n"/>
    </row>
    <row r="345">
      <c r="B345" s="49" t="n"/>
      <c r="C345" s="49" t="n"/>
      <c r="D345" s="49" t="n"/>
      <c r="E345" s="49" t="n"/>
      <c r="F345" s="49" t="n"/>
      <c r="G345" s="49" t="n"/>
      <c r="H345" s="49" t="n"/>
      <c r="I345" s="49" t="n"/>
      <c r="J345" s="49" t="n"/>
      <c r="K345" s="49" t="n"/>
      <c r="L345" s="49" t="n"/>
    </row>
    <row r="346">
      <c r="B346" s="49" t="n"/>
      <c r="C346" s="49" t="n"/>
      <c r="D346" s="49" t="n"/>
      <c r="E346" s="49" t="n"/>
      <c r="F346" s="49" t="n"/>
      <c r="G346" s="49" t="n"/>
      <c r="H346" s="49" t="n"/>
      <c r="I346" s="49" t="n"/>
      <c r="J346" s="49" t="n"/>
      <c r="K346" s="49" t="n"/>
      <c r="L346" s="49" t="n"/>
    </row>
    <row r="347">
      <c r="B347" s="49" t="n"/>
      <c r="C347" s="49" t="n"/>
      <c r="D347" s="49" t="n"/>
      <c r="E347" s="49" t="n"/>
      <c r="F347" s="49" t="n"/>
      <c r="G347" s="49" t="n"/>
      <c r="H347" s="49" t="n"/>
      <c r="I347" s="49" t="n"/>
      <c r="J347" s="49" t="n"/>
      <c r="K347" s="49" t="n"/>
      <c r="L347" s="49" t="n"/>
    </row>
    <row r="348">
      <c r="B348" s="49" t="n"/>
      <c r="C348" s="49" t="n"/>
      <c r="D348" s="49" t="n"/>
      <c r="E348" s="49" t="n"/>
      <c r="F348" s="49" t="n"/>
      <c r="G348" s="49" t="n"/>
      <c r="H348" s="49" t="n"/>
      <c r="I348" s="49" t="n"/>
      <c r="J348" s="49" t="n"/>
      <c r="K348" s="49" t="n"/>
      <c r="L348" s="49" t="n"/>
    </row>
    <row r="349">
      <c r="B349" s="49" t="n"/>
      <c r="C349" s="49" t="n"/>
      <c r="D349" s="49" t="n"/>
      <c r="E349" s="49" t="n"/>
      <c r="F349" s="49" t="n"/>
      <c r="G349" s="49" t="n"/>
      <c r="H349" s="49" t="n"/>
      <c r="I349" s="49" t="n"/>
      <c r="J349" s="49" t="n"/>
      <c r="K349" s="49" t="n"/>
      <c r="L349" s="49" t="n"/>
    </row>
    <row r="350">
      <c r="B350" s="49" t="n"/>
      <c r="C350" s="49" t="n"/>
      <c r="D350" s="49" t="n"/>
      <c r="E350" s="49" t="n"/>
      <c r="F350" s="49" t="n"/>
      <c r="G350" s="49" t="n"/>
      <c r="H350" s="49" t="n"/>
      <c r="I350" s="49" t="n"/>
      <c r="J350" s="49" t="n"/>
      <c r="K350" s="49" t="n"/>
      <c r="L350" s="49" t="n"/>
    </row>
    <row r="351">
      <c r="B351" s="49" t="n"/>
      <c r="C351" s="49" t="n"/>
      <c r="D351" s="49" t="n"/>
      <c r="E351" s="49" t="n"/>
      <c r="F351" s="49" t="n"/>
      <c r="G351" s="49" t="n"/>
      <c r="H351" s="49" t="n"/>
      <c r="I351" s="49" t="n"/>
      <c r="J351" s="49" t="n"/>
      <c r="K351" s="49" t="n"/>
      <c r="L351" s="49" t="n"/>
    </row>
    <row r="352">
      <c r="B352" s="49" t="n"/>
      <c r="C352" s="49" t="n"/>
      <c r="D352" s="49" t="n"/>
      <c r="E352" s="49" t="n"/>
      <c r="F352" s="49" t="n"/>
      <c r="G352" s="49" t="n"/>
      <c r="H352" s="49" t="n"/>
      <c r="I352" s="49" t="n"/>
      <c r="J352" s="49" t="n"/>
      <c r="K352" s="49" t="n"/>
      <c r="L352" s="49" t="n"/>
    </row>
    <row r="353">
      <c r="B353" s="49" t="n"/>
      <c r="C353" s="49" t="n"/>
      <c r="D353" s="49" t="n"/>
      <c r="E353" s="49" t="n"/>
      <c r="F353" s="49" t="n"/>
      <c r="G353" s="49" t="n"/>
      <c r="H353" s="49" t="n"/>
      <c r="I353" s="49" t="n"/>
      <c r="J353" s="49" t="n"/>
      <c r="K353" s="49" t="n"/>
      <c r="L353" s="49" t="n"/>
    </row>
    <row r="354">
      <c r="B354" s="49" t="n"/>
      <c r="C354" s="49" t="n"/>
      <c r="D354" s="49" t="n"/>
      <c r="E354" s="49" t="n"/>
      <c r="F354" s="49" t="n"/>
      <c r="G354" s="49" t="n"/>
      <c r="H354" s="49" t="n"/>
      <c r="I354" s="49" t="n"/>
      <c r="J354" s="49" t="n"/>
      <c r="K354" s="49" t="n"/>
      <c r="L354" s="49" t="n"/>
    </row>
    <row r="355">
      <c r="B355" s="49" t="n"/>
      <c r="C355" s="49" t="n"/>
      <c r="D355" s="49" t="n"/>
      <c r="E355" s="49" t="n"/>
      <c r="F355" s="49" t="n"/>
      <c r="G355" s="49" t="n"/>
      <c r="H355" s="49" t="n"/>
      <c r="I355" s="49" t="n"/>
      <c r="J355" s="49" t="n"/>
      <c r="K355" s="49" t="n"/>
      <c r="L355" s="49" t="n"/>
    </row>
    <row r="356">
      <c r="B356" s="49" t="n"/>
      <c r="C356" s="49" t="n"/>
      <c r="D356" s="49" t="n"/>
      <c r="E356" s="49" t="n"/>
      <c r="F356" s="49" t="n"/>
      <c r="G356" s="49" t="n"/>
      <c r="H356" s="49" t="n"/>
      <c r="I356" s="49" t="n"/>
      <c r="J356" s="49" t="n"/>
      <c r="K356" s="49" t="n"/>
      <c r="L356" s="49" t="n"/>
    </row>
    <row r="357">
      <c r="B357" s="49" t="n"/>
      <c r="C357" s="49" t="n"/>
      <c r="D357" s="49" t="n"/>
      <c r="E357" s="49" t="n"/>
      <c r="F357" s="49" t="n"/>
      <c r="G357" s="49" t="n"/>
      <c r="H357" s="49" t="n"/>
      <c r="I357" s="49" t="n"/>
      <c r="J357" s="49" t="n"/>
      <c r="K357" s="49" t="n"/>
      <c r="L357" s="49" t="n"/>
    </row>
    <row r="358">
      <c r="B358" s="49" t="n"/>
      <c r="C358" s="49" t="n"/>
      <c r="D358" s="49" t="n"/>
      <c r="E358" s="49" t="n"/>
      <c r="F358" s="49" t="n"/>
      <c r="G358" s="49" t="n"/>
      <c r="H358" s="49" t="n"/>
      <c r="I358" s="49" t="n"/>
      <c r="J358" s="49" t="n"/>
      <c r="K358" s="49" t="n"/>
      <c r="L358" s="49" t="n"/>
    </row>
    <row r="359">
      <c r="B359" s="49" t="n"/>
      <c r="C359" s="49" t="n"/>
      <c r="D359" s="49" t="n"/>
      <c r="E359" s="49" t="n"/>
      <c r="F359" s="49" t="n"/>
      <c r="G359" s="49" t="n"/>
      <c r="H359" s="49" t="n"/>
      <c r="I359" s="49" t="n"/>
      <c r="J359" s="49" t="n"/>
      <c r="K359" s="49" t="n"/>
      <c r="L359" s="49" t="n"/>
    </row>
    <row r="360">
      <c r="B360" s="49" t="n"/>
      <c r="C360" s="49" t="n"/>
      <c r="D360" s="49" t="n"/>
      <c r="E360" s="49" t="n"/>
      <c r="F360" s="49" t="n"/>
      <c r="G360" s="49" t="n"/>
      <c r="H360" s="49" t="n"/>
      <c r="I360" s="49" t="n"/>
      <c r="J360" s="49" t="n"/>
      <c r="K360" s="49" t="n"/>
      <c r="L360" s="49" t="n"/>
    </row>
    <row r="361">
      <c r="B361" s="49" t="n"/>
      <c r="C361" s="49" t="n"/>
      <c r="D361" s="49" t="n"/>
      <c r="E361" s="49" t="n"/>
      <c r="F361" s="49" t="n"/>
      <c r="G361" s="49" t="n"/>
      <c r="H361" s="49" t="n"/>
      <c r="I361" s="49" t="n"/>
      <c r="J361" s="49" t="n"/>
      <c r="K361" s="49" t="n"/>
      <c r="L361" s="49" t="n"/>
    </row>
    <row r="362">
      <c r="B362" s="49" t="n"/>
      <c r="C362" s="49" t="n"/>
      <c r="D362" s="49" t="n"/>
      <c r="E362" s="49" t="n"/>
      <c r="F362" s="49" t="n"/>
      <c r="G362" s="49" t="n"/>
      <c r="H362" s="49" t="n"/>
      <c r="I362" s="49" t="n"/>
      <c r="J362" s="49" t="n"/>
      <c r="K362" s="49" t="n"/>
      <c r="L362" s="49" t="n"/>
    </row>
    <row r="363">
      <c r="B363" s="49" t="n"/>
      <c r="C363" s="49" t="n"/>
      <c r="D363" s="49" t="n"/>
      <c r="E363" s="49" t="n"/>
      <c r="F363" s="49" t="n"/>
      <c r="G363" s="49" t="n"/>
      <c r="H363" s="49" t="n"/>
      <c r="I363" s="49" t="n"/>
      <c r="J363" s="49" t="n"/>
      <c r="K363" s="49" t="n"/>
      <c r="L363" s="49" t="n"/>
    </row>
    <row r="364">
      <c r="B364" s="49" t="n"/>
      <c r="C364" s="49" t="n"/>
      <c r="D364" s="49" t="n"/>
      <c r="E364" s="49" t="n"/>
      <c r="F364" s="49" t="n"/>
      <c r="G364" s="49" t="n"/>
      <c r="H364" s="49" t="n"/>
      <c r="I364" s="49" t="n"/>
      <c r="J364" s="49" t="n"/>
      <c r="K364" s="49" t="n"/>
      <c r="L364" s="49" t="n"/>
    </row>
    <row r="365">
      <c r="B365" s="49" t="n"/>
      <c r="C365" s="49" t="n"/>
      <c r="D365" s="49" t="n"/>
      <c r="E365" s="49" t="n"/>
      <c r="F365" s="49" t="n"/>
      <c r="G365" s="49" t="n"/>
      <c r="H365" s="49" t="n"/>
      <c r="I365" s="49" t="n"/>
      <c r="J365" s="49" t="n"/>
      <c r="K365" s="49" t="n"/>
      <c r="L365" s="49" t="n"/>
    </row>
    <row r="366">
      <c r="B366" s="49" t="n"/>
      <c r="C366" s="49" t="n"/>
      <c r="D366" s="49" t="n"/>
      <c r="E366" s="49" t="n"/>
      <c r="F366" s="49" t="n"/>
      <c r="G366" s="49" t="n"/>
      <c r="H366" s="49" t="n"/>
      <c r="I366" s="49" t="n"/>
      <c r="J366" s="49" t="n"/>
      <c r="K366" s="49" t="n"/>
      <c r="L366" s="49" t="n"/>
    </row>
    <row r="367">
      <c r="B367" s="49" t="n"/>
      <c r="C367" s="49" t="n"/>
      <c r="D367" s="49" t="n"/>
      <c r="E367" s="49" t="n"/>
      <c r="F367" s="49" t="n"/>
      <c r="G367" s="49" t="n"/>
      <c r="H367" s="49" t="n"/>
      <c r="I367" s="49" t="n"/>
      <c r="J367" s="49" t="n"/>
      <c r="K367" s="49" t="n"/>
      <c r="L367" s="49" t="n"/>
    </row>
    <row r="368">
      <c r="B368" s="49" t="n"/>
      <c r="C368" s="49" t="n"/>
      <c r="D368" s="49" t="n"/>
      <c r="E368" s="49" t="n"/>
      <c r="F368" s="49" t="n"/>
      <c r="G368" s="49" t="n"/>
      <c r="H368" s="49" t="n"/>
      <c r="I368" s="49" t="n"/>
      <c r="J368" s="49" t="n"/>
      <c r="K368" s="49" t="n"/>
      <c r="L368" s="49" t="n"/>
    </row>
    <row r="369">
      <c r="B369" s="49" t="n"/>
      <c r="C369" s="49" t="n"/>
      <c r="D369" s="49" t="n"/>
      <c r="E369" s="49" t="n"/>
      <c r="F369" s="49" t="n"/>
      <c r="G369" s="49" t="n"/>
      <c r="H369" s="49" t="n"/>
      <c r="I369" s="49" t="n"/>
      <c r="J369" s="49" t="n"/>
      <c r="K369" s="49" t="n"/>
      <c r="L369" s="49" t="n"/>
    </row>
    <row r="370">
      <c r="B370" s="49" t="n"/>
      <c r="C370" s="49" t="n"/>
      <c r="D370" s="49" t="n"/>
      <c r="E370" s="49" t="n"/>
      <c r="F370" s="49" t="n"/>
      <c r="G370" s="49" t="n"/>
      <c r="H370" s="49" t="n"/>
      <c r="I370" s="49" t="n"/>
      <c r="J370" s="49" t="n"/>
      <c r="K370" s="49" t="n"/>
      <c r="L370" s="49" t="n"/>
    </row>
    <row r="371">
      <c r="B371" s="49" t="n"/>
      <c r="C371" s="49" t="n"/>
      <c r="D371" s="49" t="n"/>
      <c r="E371" s="49" t="n"/>
      <c r="F371" s="49" t="n"/>
      <c r="G371" s="49" t="n"/>
      <c r="H371" s="49" t="n"/>
      <c r="I371" s="49" t="n"/>
      <c r="J371" s="49" t="n"/>
      <c r="K371" s="49" t="n"/>
      <c r="L371" s="49" t="n"/>
    </row>
    <row r="372">
      <c r="B372" s="49" t="n"/>
      <c r="C372" s="49" t="n"/>
      <c r="D372" s="49" t="n"/>
      <c r="E372" s="49" t="n"/>
      <c r="F372" s="49" t="n"/>
      <c r="G372" s="49" t="n"/>
      <c r="H372" s="49" t="n"/>
      <c r="I372" s="49" t="n"/>
      <c r="J372" s="49" t="n"/>
      <c r="K372" s="49" t="n"/>
      <c r="L372" s="49" t="n"/>
    </row>
    <row r="373">
      <c r="B373" s="49" t="n"/>
      <c r="C373" s="49" t="n"/>
      <c r="D373" s="49" t="n"/>
      <c r="E373" s="49" t="n"/>
      <c r="F373" s="49" t="n"/>
      <c r="G373" s="49" t="n"/>
      <c r="H373" s="49" t="n"/>
      <c r="I373" s="49" t="n"/>
      <c r="J373" s="49" t="n"/>
      <c r="K373" s="49" t="n"/>
      <c r="L373" s="49" t="n"/>
    </row>
    <row r="374">
      <c r="B374" s="49" t="n"/>
      <c r="C374" s="49" t="n"/>
      <c r="D374" s="49" t="n"/>
      <c r="E374" s="49" t="n"/>
      <c r="F374" s="49" t="n"/>
      <c r="G374" s="49" t="n"/>
      <c r="H374" s="49" t="n"/>
      <c r="I374" s="49" t="n"/>
      <c r="J374" s="49" t="n"/>
      <c r="K374" s="49" t="n"/>
      <c r="L374" s="49" t="n"/>
    </row>
    <row r="375">
      <c r="B375" s="49" t="n"/>
      <c r="C375" s="49" t="n"/>
      <c r="D375" s="49" t="n"/>
      <c r="E375" s="49" t="n"/>
      <c r="F375" s="49" t="n"/>
      <c r="G375" s="49" t="n"/>
      <c r="H375" s="49" t="n"/>
      <c r="I375" s="49" t="n"/>
      <c r="J375" s="49" t="n"/>
      <c r="K375" s="49" t="n"/>
      <c r="L375" s="49" t="n"/>
    </row>
    <row r="376">
      <c r="B376" s="49" t="n"/>
      <c r="C376" s="49" t="n"/>
      <c r="D376" s="49" t="n"/>
      <c r="E376" s="49" t="n"/>
      <c r="F376" s="49" t="n"/>
      <c r="G376" s="49" t="n"/>
      <c r="H376" s="49" t="n"/>
      <c r="I376" s="49" t="n"/>
      <c r="J376" s="49" t="n"/>
      <c r="K376" s="49" t="n"/>
      <c r="L376" s="49" t="n"/>
    </row>
    <row r="377">
      <c r="B377" s="49" t="n"/>
      <c r="C377" s="49" t="n"/>
      <c r="D377" s="49" t="n"/>
      <c r="E377" s="49" t="n"/>
      <c r="F377" s="49" t="n"/>
      <c r="G377" s="49" t="n"/>
      <c r="H377" s="49" t="n"/>
      <c r="I377" s="49" t="n"/>
      <c r="J377" s="49" t="n"/>
      <c r="K377" s="49" t="n"/>
      <c r="L377" s="49" t="n"/>
    </row>
    <row r="378">
      <c r="B378" s="49" t="n"/>
      <c r="C378" s="49" t="n"/>
      <c r="D378" s="49" t="n"/>
      <c r="E378" s="49" t="n"/>
      <c r="F378" s="49" t="n"/>
      <c r="G378" s="49" t="n"/>
      <c r="H378" s="49" t="n"/>
      <c r="I378" s="49" t="n"/>
      <c r="J378" s="49" t="n"/>
      <c r="K378" s="49" t="n"/>
      <c r="L378" s="49" t="n"/>
    </row>
    <row r="379">
      <c r="B379" s="49" t="n"/>
      <c r="C379" s="49" t="n"/>
      <c r="D379" s="49" t="n"/>
      <c r="E379" s="49" t="n"/>
      <c r="F379" s="49" t="n"/>
      <c r="G379" s="49" t="n"/>
      <c r="H379" s="49" t="n"/>
      <c r="I379" s="49" t="n"/>
      <c r="J379" s="49" t="n"/>
      <c r="K379" s="49" t="n"/>
      <c r="L379" s="49" t="n"/>
    </row>
    <row r="380">
      <c r="B380" s="49" t="n"/>
      <c r="C380" s="49" t="n"/>
      <c r="D380" s="49" t="n"/>
      <c r="E380" s="49" t="n"/>
      <c r="F380" s="49" t="n"/>
      <c r="G380" s="49" t="n"/>
      <c r="H380" s="49" t="n"/>
      <c r="I380" s="49" t="n"/>
      <c r="J380" s="49" t="n"/>
      <c r="K380" s="49" t="n"/>
      <c r="L380" s="49" t="n"/>
    </row>
    <row r="381">
      <c r="B381" s="49" t="n"/>
      <c r="C381" s="49" t="n"/>
      <c r="D381" s="49" t="n"/>
      <c r="E381" s="49" t="n"/>
      <c r="F381" s="49" t="n"/>
      <c r="G381" s="49" t="n"/>
      <c r="H381" s="49" t="n"/>
      <c r="I381" s="49" t="n"/>
      <c r="J381" s="49" t="n"/>
      <c r="K381" s="49" t="n"/>
      <c r="L381" s="49" t="n"/>
    </row>
    <row r="382">
      <c r="B382" s="49" t="n"/>
      <c r="C382" s="49" t="n"/>
      <c r="D382" s="49" t="n"/>
      <c r="E382" s="49" t="n"/>
      <c r="F382" s="49" t="n"/>
      <c r="G382" s="49" t="n"/>
      <c r="H382" s="49" t="n"/>
      <c r="I382" s="49" t="n"/>
      <c r="J382" s="49" t="n"/>
      <c r="K382" s="49" t="n"/>
      <c r="L382" s="49" t="n"/>
    </row>
    <row r="383">
      <c r="B383" s="49" t="n"/>
      <c r="C383" s="49" t="n"/>
      <c r="D383" s="49" t="n"/>
      <c r="E383" s="49" t="n"/>
      <c r="F383" s="49" t="n"/>
      <c r="G383" s="49" t="n"/>
      <c r="H383" s="49" t="n"/>
      <c r="I383" s="49" t="n"/>
      <c r="J383" s="49" t="n"/>
      <c r="K383" s="49" t="n"/>
      <c r="L383" s="49" t="n"/>
    </row>
    <row r="384">
      <c r="B384" s="49" t="n"/>
      <c r="C384" s="49" t="n"/>
      <c r="D384" s="49" t="n"/>
      <c r="E384" s="49" t="n"/>
      <c r="F384" s="49" t="n"/>
      <c r="G384" s="49" t="n"/>
      <c r="H384" s="49" t="n"/>
      <c r="I384" s="49" t="n"/>
      <c r="J384" s="49" t="n"/>
      <c r="K384" s="49" t="n"/>
      <c r="L384" s="49" t="n"/>
    </row>
    <row r="385">
      <c r="B385" s="49" t="n"/>
      <c r="C385" s="49" t="n"/>
      <c r="D385" s="49" t="n"/>
      <c r="E385" s="49" t="n"/>
      <c r="F385" s="49" t="n"/>
      <c r="G385" s="49" t="n"/>
      <c r="H385" s="49" t="n"/>
      <c r="I385" s="49" t="n"/>
      <c r="J385" s="49" t="n"/>
      <c r="K385" s="49" t="n"/>
      <c r="L385" s="49" t="n"/>
    </row>
    <row r="386">
      <c r="B386" s="49" t="n"/>
      <c r="C386" s="49" t="n"/>
      <c r="D386" s="49" t="n"/>
      <c r="E386" s="49" t="n"/>
      <c r="F386" s="49" t="n"/>
      <c r="G386" s="49" t="n"/>
      <c r="H386" s="49" t="n"/>
      <c r="I386" s="49" t="n"/>
      <c r="J386" s="49" t="n"/>
      <c r="K386" s="49" t="n"/>
      <c r="L386" s="49" t="n"/>
    </row>
    <row r="387">
      <c r="B387" s="49" t="n"/>
      <c r="C387" s="49" t="n"/>
      <c r="D387" s="49" t="n"/>
      <c r="E387" s="49" t="n"/>
      <c r="F387" s="49" t="n"/>
      <c r="G387" s="49" t="n"/>
      <c r="H387" s="49" t="n"/>
      <c r="I387" s="49" t="n"/>
      <c r="J387" s="49" t="n"/>
      <c r="K387" s="49" t="n"/>
      <c r="L387" s="49" t="n"/>
    </row>
    <row r="388">
      <c r="B388" s="49" t="n"/>
      <c r="C388" s="49" t="n"/>
      <c r="D388" s="49" t="n"/>
      <c r="E388" s="49" t="n"/>
      <c r="F388" s="49" t="n"/>
      <c r="G388" s="49" t="n"/>
      <c r="H388" s="49" t="n"/>
      <c r="I388" s="49" t="n"/>
      <c r="J388" s="49" t="n"/>
      <c r="K388" s="49" t="n"/>
      <c r="L388" s="49" t="n"/>
    </row>
    <row r="389">
      <c r="B389" s="49" t="n"/>
      <c r="C389" s="49" t="n"/>
      <c r="D389" s="49" t="n"/>
      <c r="E389" s="49" t="n"/>
      <c r="F389" s="49" t="n"/>
      <c r="G389" s="49" t="n"/>
      <c r="H389" s="49" t="n"/>
      <c r="I389" s="49" t="n"/>
      <c r="J389" s="49" t="n"/>
      <c r="K389" s="49" t="n"/>
      <c r="L389" s="49" t="n"/>
    </row>
    <row r="390">
      <c r="B390" s="49" t="n"/>
      <c r="C390" s="49" t="n"/>
      <c r="D390" s="49" t="n"/>
      <c r="E390" s="49" t="n"/>
      <c r="F390" s="49" t="n"/>
      <c r="G390" s="49" t="n"/>
      <c r="H390" s="49" t="n"/>
      <c r="I390" s="49" t="n"/>
      <c r="J390" s="49" t="n"/>
      <c r="K390" s="49" t="n"/>
      <c r="L390" s="49" t="n"/>
    </row>
    <row r="391">
      <c r="B391" s="49" t="n"/>
      <c r="C391" s="49" t="n"/>
      <c r="D391" s="49" t="n"/>
      <c r="E391" s="49" t="n"/>
      <c r="F391" s="49" t="n"/>
      <c r="G391" s="49" t="n"/>
      <c r="H391" s="49" t="n"/>
      <c r="I391" s="49" t="n"/>
      <c r="J391" s="49" t="n"/>
      <c r="K391" s="49" t="n"/>
      <c r="L391" s="49" t="n"/>
    </row>
    <row r="392">
      <c r="B392" s="49" t="n"/>
      <c r="C392" s="49" t="n"/>
      <c r="D392" s="49" t="n"/>
      <c r="E392" s="49" t="n"/>
      <c r="F392" s="49" t="n"/>
      <c r="G392" s="49" t="n"/>
      <c r="H392" s="49" t="n"/>
      <c r="I392" s="49" t="n"/>
      <c r="J392" s="49" t="n"/>
      <c r="K392" s="49" t="n"/>
      <c r="L392" s="49" t="n"/>
    </row>
    <row r="393">
      <c r="B393" s="49" t="n"/>
      <c r="C393" s="49" t="n"/>
      <c r="D393" s="49" t="n"/>
      <c r="E393" s="49" t="n"/>
      <c r="F393" s="49" t="n"/>
      <c r="G393" s="49" t="n"/>
      <c r="H393" s="49" t="n"/>
      <c r="I393" s="49" t="n"/>
      <c r="J393" s="49" t="n"/>
      <c r="K393" s="49" t="n"/>
      <c r="L393" s="49" t="n"/>
    </row>
    <row r="394">
      <c r="B394" s="49" t="n"/>
      <c r="C394" s="49" t="n"/>
      <c r="D394" s="49" t="n"/>
      <c r="E394" s="49" t="n"/>
      <c r="F394" s="49" t="n"/>
      <c r="G394" s="49" t="n"/>
      <c r="H394" s="49" t="n"/>
      <c r="I394" s="49" t="n"/>
      <c r="J394" s="49" t="n"/>
      <c r="K394" s="49" t="n"/>
      <c r="L394" s="49" t="n"/>
    </row>
    <row r="395">
      <c r="B395" s="49" t="n"/>
      <c r="C395" s="49" t="n"/>
      <c r="D395" s="49" t="n"/>
      <c r="E395" s="49" t="n"/>
      <c r="F395" s="49" t="n"/>
      <c r="G395" s="49" t="n"/>
      <c r="H395" s="49" t="n"/>
      <c r="I395" s="49" t="n"/>
      <c r="J395" s="49" t="n"/>
      <c r="K395" s="49" t="n"/>
      <c r="L395" s="49" t="n"/>
    </row>
    <row r="396">
      <c r="B396" s="49" t="n"/>
      <c r="C396" s="49" t="n"/>
      <c r="D396" s="49" t="n"/>
      <c r="E396" s="49" t="n"/>
      <c r="F396" s="49" t="n"/>
      <c r="G396" s="49" t="n"/>
      <c r="H396" s="49" t="n"/>
      <c r="I396" s="49" t="n"/>
      <c r="J396" s="49" t="n"/>
      <c r="K396" s="49" t="n"/>
      <c r="L396" s="49" t="n"/>
    </row>
    <row r="397">
      <c r="B397" s="49" t="n"/>
      <c r="C397" s="49" t="n"/>
      <c r="D397" s="49" t="n"/>
      <c r="E397" s="49" t="n"/>
      <c r="F397" s="49" t="n"/>
      <c r="G397" s="49" t="n"/>
      <c r="H397" s="49" t="n"/>
      <c r="I397" s="49" t="n"/>
      <c r="J397" s="49" t="n"/>
      <c r="K397" s="49" t="n"/>
      <c r="L397" s="49" t="n"/>
    </row>
    <row r="398">
      <c r="B398" s="49" t="n"/>
      <c r="C398" s="49" t="n"/>
      <c r="D398" s="49" t="n"/>
      <c r="E398" s="49" t="n"/>
      <c r="F398" s="49" t="n"/>
      <c r="G398" s="49" t="n"/>
      <c r="H398" s="49" t="n"/>
      <c r="I398" s="49" t="n"/>
      <c r="J398" s="49" t="n"/>
      <c r="K398" s="49" t="n"/>
      <c r="L398" s="49" t="n"/>
    </row>
    <row r="399">
      <c r="B399" s="49" t="n"/>
      <c r="C399" s="49" t="n"/>
      <c r="D399" s="49" t="n"/>
      <c r="E399" s="49" t="n"/>
      <c r="F399" s="49" t="n"/>
      <c r="G399" s="49" t="n"/>
      <c r="H399" s="49" t="n"/>
      <c r="I399" s="49" t="n"/>
      <c r="J399" s="49" t="n"/>
      <c r="K399" s="49" t="n"/>
      <c r="L399" s="49" t="n"/>
    </row>
    <row r="400">
      <c r="B400" s="49" t="n"/>
      <c r="C400" s="49" t="n"/>
      <c r="D400" s="49" t="n"/>
      <c r="E400" s="49" t="n"/>
      <c r="F400" s="49" t="n"/>
      <c r="G400" s="49" t="n"/>
      <c r="H400" s="49" t="n"/>
      <c r="I400" s="49" t="n"/>
      <c r="J400" s="49" t="n"/>
      <c r="K400" s="49" t="n"/>
      <c r="L400" s="49" t="n"/>
    </row>
    <row r="401">
      <c r="B401" s="49" t="n"/>
      <c r="C401" s="49" t="n"/>
      <c r="D401" s="49" t="n"/>
      <c r="E401" s="49" t="n"/>
      <c r="F401" s="49" t="n"/>
      <c r="G401" s="49" t="n"/>
      <c r="H401" s="49" t="n"/>
      <c r="I401" s="49" t="n"/>
      <c r="J401" s="49" t="n"/>
      <c r="K401" s="49" t="n"/>
      <c r="L401" s="49" t="n"/>
    </row>
    <row r="402">
      <c r="B402" s="49" t="n"/>
      <c r="C402" s="49" t="n"/>
      <c r="D402" s="49" t="n"/>
      <c r="E402" s="49" t="n"/>
      <c r="F402" s="49" t="n"/>
      <c r="G402" s="49" t="n"/>
      <c r="H402" s="49" t="n"/>
      <c r="I402" s="49" t="n"/>
      <c r="J402" s="49" t="n"/>
      <c r="K402" s="49" t="n"/>
      <c r="L402" s="49" t="n"/>
    </row>
    <row r="403">
      <c r="B403" s="49" t="n"/>
      <c r="C403" s="49" t="n"/>
      <c r="D403" s="49" t="n"/>
      <c r="E403" s="49" t="n"/>
      <c r="F403" s="49" t="n"/>
      <c r="G403" s="49" t="n"/>
      <c r="H403" s="49" t="n"/>
      <c r="I403" s="49" t="n"/>
      <c r="J403" s="49" t="n"/>
      <c r="K403" s="49" t="n"/>
      <c r="L403" s="49" t="n"/>
    </row>
    <row r="404">
      <c r="B404" s="49" t="n"/>
      <c r="C404" s="49" t="n"/>
      <c r="D404" s="49" t="n"/>
      <c r="E404" s="49" t="n"/>
      <c r="F404" s="49" t="n"/>
      <c r="G404" s="49" t="n"/>
      <c r="H404" s="49" t="n"/>
      <c r="I404" s="49" t="n"/>
      <c r="J404" s="49" t="n"/>
      <c r="K404" s="49" t="n"/>
      <c r="L404" s="49" t="n"/>
    </row>
    <row r="405">
      <c r="B405" s="49" t="n"/>
      <c r="C405" s="49" t="n"/>
      <c r="D405" s="49" t="n"/>
      <c r="E405" s="49" t="n"/>
      <c r="F405" s="49" t="n"/>
      <c r="G405" s="49" t="n"/>
      <c r="H405" s="49" t="n"/>
      <c r="I405" s="49" t="n"/>
      <c r="J405" s="49" t="n"/>
      <c r="K405" s="49" t="n"/>
      <c r="L405" s="49" t="n"/>
    </row>
    <row r="406">
      <c r="B406" s="49" t="n"/>
      <c r="C406" s="49" t="n"/>
      <c r="D406" s="49" t="n"/>
      <c r="E406" s="49" t="n"/>
      <c r="F406" s="49" t="n"/>
      <c r="G406" s="49" t="n"/>
      <c r="H406" s="49" t="n"/>
      <c r="I406" s="49" t="n"/>
      <c r="J406" s="49" t="n"/>
      <c r="K406" s="49" t="n"/>
      <c r="L406" s="49" t="n"/>
    </row>
    <row r="407">
      <c r="B407" s="49" t="n"/>
      <c r="C407" s="49" t="n"/>
      <c r="D407" s="49" t="n"/>
      <c r="E407" s="49" t="n"/>
      <c r="F407" s="49" t="n"/>
      <c r="G407" s="49" t="n"/>
      <c r="H407" s="49" t="n"/>
      <c r="I407" s="49" t="n"/>
      <c r="J407" s="49" t="n"/>
      <c r="K407" s="49" t="n"/>
      <c r="L407" s="49" t="n"/>
    </row>
    <row r="408">
      <c r="B408" s="49" t="n"/>
      <c r="C408" s="49" t="n"/>
      <c r="D408" s="49" t="n"/>
      <c r="E408" s="49" t="n"/>
      <c r="F408" s="49" t="n"/>
      <c r="G408" s="49" t="n"/>
      <c r="H408" s="49" t="n"/>
      <c r="I408" s="49" t="n"/>
      <c r="J408" s="49" t="n"/>
      <c r="K408" s="49" t="n"/>
      <c r="L408" s="49" t="n"/>
    </row>
    <row r="409">
      <c r="B409" s="49" t="n"/>
      <c r="C409" s="49" t="n"/>
      <c r="D409" s="49" t="n"/>
      <c r="E409" s="49" t="n"/>
      <c r="F409" s="49" t="n"/>
      <c r="G409" s="49" t="n"/>
      <c r="H409" s="49" t="n"/>
      <c r="I409" s="49" t="n"/>
      <c r="J409" s="49" t="n"/>
      <c r="K409" s="49" t="n"/>
      <c r="L409" s="49" t="n"/>
    </row>
    <row r="410">
      <c r="B410" s="49" t="n"/>
      <c r="C410" s="49" t="n"/>
      <c r="D410" s="49" t="n"/>
      <c r="E410" s="49" t="n"/>
      <c r="F410" s="49" t="n"/>
      <c r="G410" s="49" t="n"/>
      <c r="H410" s="49" t="n"/>
      <c r="I410" s="49" t="n"/>
      <c r="J410" s="49" t="n"/>
      <c r="K410" s="49" t="n"/>
      <c r="L410" s="49" t="n"/>
    </row>
    <row r="411">
      <c r="B411" s="49" t="n"/>
      <c r="C411" s="49" t="n"/>
      <c r="D411" s="49" t="n"/>
      <c r="E411" s="49" t="n"/>
      <c r="F411" s="49" t="n"/>
      <c r="G411" s="49" t="n"/>
      <c r="H411" s="49" t="n"/>
      <c r="I411" s="49" t="n"/>
      <c r="J411" s="49" t="n"/>
      <c r="K411" s="49" t="n"/>
      <c r="L411" s="49" t="n"/>
    </row>
    <row r="412">
      <c r="B412" s="49" t="n"/>
      <c r="C412" s="49" t="n"/>
      <c r="D412" s="49" t="n"/>
      <c r="E412" s="49" t="n"/>
      <c r="F412" s="49" t="n"/>
      <c r="G412" s="49" t="n"/>
      <c r="H412" s="49" t="n"/>
      <c r="I412" s="49" t="n"/>
      <c r="J412" s="49" t="n"/>
      <c r="K412" s="49" t="n"/>
      <c r="L412" s="49" t="n"/>
    </row>
    <row r="413">
      <c r="B413" s="49" t="n"/>
      <c r="C413" s="49" t="n"/>
      <c r="D413" s="49" t="n"/>
      <c r="E413" s="49" t="n"/>
      <c r="F413" s="49" t="n"/>
      <c r="G413" s="49" t="n"/>
      <c r="H413" s="49" t="n"/>
      <c r="I413" s="49" t="n"/>
      <c r="J413" s="49" t="n"/>
      <c r="K413" s="49" t="n"/>
      <c r="L413" s="49" t="n"/>
    </row>
    <row r="414">
      <c r="B414" s="49" t="n"/>
      <c r="C414" s="49" t="n"/>
      <c r="D414" s="49" t="n"/>
      <c r="E414" s="49" t="n"/>
      <c r="F414" s="49" t="n"/>
      <c r="G414" s="49" t="n"/>
      <c r="H414" s="49" t="n"/>
      <c r="I414" s="49" t="n"/>
      <c r="J414" s="49" t="n"/>
      <c r="K414" s="49" t="n"/>
      <c r="L414" s="49" t="n"/>
    </row>
    <row r="415">
      <c r="B415" s="49" t="n"/>
      <c r="C415" s="49" t="n"/>
      <c r="D415" s="49" t="n"/>
      <c r="E415" s="49" t="n"/>
      <c r="F415" s="49" t="n"/>
      <c r="G415" s="49" t="n"/>
      <c r="H415" s="49" t="n"/>
      <c r="I415" s="49" t="n"/>
      <c r="J415" s="49" t="n"/>
      <c r="K415" s="49" t="n"/>
      <c r="L415" s="49" t="n"/>
    </row>
    <row r="416">
      <c r="B416" s="49" t="n"/>
      <c r="C416" s="49" t="n"/>
      <c r="D416" s="49" t="n"/>
      <c r="E416" s="49" t="n"/>
      <c r="F416" s="49" t="n"/>
      <c r="G416" s="49" t="n"/>
      <c r="H416" s="49" t="n"/>
      <c r="I416" s="49" t="n"/>
      <c r="J416" s="49" t="n"/>
      <c r="K416" s="49" t="n"/>
      <c r="L416" s="49" t="n"/>
    </row>
    <row r="417">
      <c r="B417" s="49" t="n"/>
      <c r="C417" s="49" t="n"/>
      <c r="D417" s="49" t="n"/>
      <c r="E417" s="49" t="n"/>
      <c r="F417" s="49" t="n"/>
      <c r="G417" s="49" t="n"/>
      <c r="H417" s="49" t="n"/>
      <c r="I417" s="49" t="n"/>
      <c r="J417" s="49" t="n"/>
      <c r="K417" s="49" t="n"/>
      <c r="L417" s="49" t="n"/>
    </row>
    <row r="418">
      <c r="B418" s="49" t="n"/>
      <c r="C418" s="49" t="n"/>
      <c r="D418" s="49" t="n"/>
      <c r="E418" s="49" t="n"/>
      <c r="F418" s="49" t="n"/>
      <c r="G418" s="49" t="n"/>
      <c r="H418" s="49" t="n"/>
      <c r="I418" s="49" t="n"/>
      <c r="J418" s="49" t="n"/>
      <c r="K418" s="49" t="n"/>
      <c r="L418" s="49" t="n"/>
    </row>
    <row r="419">
      <c r="B419" s="49" t="n"/>
      <c r="C419" s="49" t="n"/>
      <c r="D419" s="49" t="n"/>
      <c r="E419" s="49" t="n"/>
      <c r="F419" s="49" t="n"/>
      <c r="G419" s="49" t="n"/>
      <c r="H419" s="49" t="n"/>
      <c r="I419" s="49" t="n"/>
      <c r="J419" s="49" t="n"/>
      <c r="K419" s="49" t="n"/>
      <c r="L419" s="49" t="n"/>
    </row>
    <row r="420">
      <c r="B420" s="49" t="n"/>
      <c r="C420" s="49" t="n"/>
      <c r="D420" s="49" t="n"/>
      <c r="E420" s="49" t="n"/>
      <c r="F420" s="49" t="n"/>
      <c r="G420" s="49" t="n"/>
      <c r="H420" s="49" t="n"/>
      <c r="I420" s="49" t="n"/>
      <c r="J420" s="49" t="n"/>
      <c r="K420" s="49" t="n"/>
      <c r="L420" s="49" t="n"/>
    </row>
    <row r="421">
      <c r="B421" s="49" t="n"/>
      <c r="C421" s="49" t="n"/>
      <c r="D421" s="49" t="n"/>
      <c r="E421" s="49" t="n"/>
      <c r="F421" s="49" t="n"/>
      <c r="G421" s="49" t="n"/>
      <c r="H421" s="49" t="n"/>
      <c r="I421" s="49" t="n"/>
      <c r="J421" s="49" t="n"/>
      <c r="K421" s="49" t="n"/>
      <c r="L421" s="49" t="n"/>
    </row>
    <row r="422">
      <c r="B422" s="49" t="n"/>
      <c r="C422" s="49" t="n"/>
      <c r="D422" s="49" t="n"/>
      <c r="E422" s="49" t="n"/>
      <c r="F422" s="49" t="n"/>
      <c r="G422" s="49" t="n"/>
      <c r="H422" s="49" t="n"/>
      <c r="I422" s="49" t="n"/>
      <c r="J422" s="49" t="n"/>
      <c r="K422" s="49" t="n"/>
      <c r="L422" s="49" t="n"/>
    </row>
    <row r="423">
      <c r="B423" s="49" t="n"/>
      <c r="C423" s="49" t="n"/>
      <c r="D423" s="49" t="n"/>
      <c r="E423" s="49" t="n"/>
      <c r="F423" s="49" t="n"/>
      <c r="G423" s="49" t="n"/>
      <c r="H423" s="49" t="n"/>
      <c r="I423" s="49" t="n"/>
      <c r="J423" s="49" t="n"/>
      <c r="K423" s="49" t="n"/>
      <c r="L423" s="49" t="n"/>
    </row>
    <row r="424">
      <c r="B424" s="49" t="n"/>
      <c r="C424" s="49" t="n"/>
      <c r="D424" s="49" t="n"/>
      <c r="E424" s="49" t="n"/>
      <c r="F424" s="49" t="n"/>
      <c r="G424" s="49" t="n"/>
      <c r="H424" s="49" t="n"/>
      <c r="I424" s="49" t="n"/>
      <c r="J424" s="49" t="n"/>
      <c r="K424" s="49" t="n"/>
      <c r="L424" s="49" t="n"/>
    </row>
    <row r="425">
      <c r="B425" s="49" t="n"/>
      <c r="C425" s="49" t="n"/>
      <c r="D425" s="49" t="n"/>
      <c r="E425" s="49" t="n"/>
      <c r="F425" s="49" t="n"/>
      <c r="G425" s="49" t="n"/>
      <c r="H425" s="49" t="n"/>
      <c r="I425" s="49" t="n"/>
      <c r="J425" s="49" t="n"/>
      <c r="K425" s="49" t="n"/>
      <c r="L425" s="49" t="n"/>
    </row>
    <row r="426">
      <c r="B426" s="49" t="n"/>
      <c r="C426" s="49" t="n"/>
      <c r="D426" s="49" t="n"/>
      <c r="E426" s="49" t="n"/>
      <c r="F426" s="49" t="n"/>
      <c r="G426" s="49" t="n"/>
      <c r="H426" s="49" t="n"/>
      <c r="I426" s="49" t="n"/>
      <c r="J426" s="49" t="n"/>
      <c r="K426" s="49" t="n"/>
      <c r="L426" s="49" t="n"/>
    </row>
    <row r="427">
      <c r="B427" s="49" t="n"/>
      <c r="C427" s="49" t="n"/>
      <c r="D427" s="49" t="n"/>
      <c r="E427" s="49" t="n"/>
      <c r="F427" s="49" t="n"/>
      <c r="G427" s="49" t="n"/>
      <c r="H427" s="49" t="n"/>
      <c r="I427" s="49" t="n"/>
      <c r="J427" s="49" t="n"/>
      <c r="K427" s="49" t="n"/>
      <c r="L427" s="49" t="n"/>
    </row>
    <row r="428">
      <c r="B428" s="49" t="n"/>
      <c r="C428" s="49" t="n"/>
      <c r="D428" s="49" t="n"/>
      <c r="E428" s="49" t="n"/>
      <c r="F428" s="49" t="n"/>
      <c r="G428" s="49" t="n"/>
      <c r="H428" s="49" t="n"/>
      <c r="I428" s="49" t="n"/>
      <c r="J428" s="49" t="n"/>
      <c r="K428" s="49" t="n"/>
      <c r="L428" s="49" t="n"/>
    </row>
    <row r="429">
      <c r="B429" s="49" t="n"/>
      <c r="C429" s="49" t="n"/>
      <c r="D429" s="49" t="n"/>
      <c r="E429" s="49" t="n"/>
      <c r="F429" s="49" t="n"/>
      <c r="G429" s="49" t="n"/>
      <c r="H429" s="49" t="n"/>
      <c r="I429" s="49" t="n"/>
      <c r="J429" s="49" t="n"/>
      <c r="K429" s="49" t="n"/>
      <c r="L429" s="49" t="n"/>
    </row>
    <row r="430">
      <c r="B430" s="49" t="n"/>
      <c r="C430" s="49" t="n"/>
      <c r="D430" s="49" t="n"/>
      <c r="E430" s="49" t="n"/>
      <c r="F430" s="49" t="n"/>
      <c r="G430" s="49" t="n"/>
      <c r="H430" s="49" t="n"/>
      <c r="I430" s="49" t="n"/>
      <c r="J430" s="49" t="n"/>
      <c r="K430" s="49" t="n"/>
      <c r="L430" s="49" t="n"/>
    </row>
    <row r="431">
      <c r="B431" s="49" t="n"/>
      <c r="C431" s="49" t="n"/>
      <c r="D431" s="49" t="n"/>
      <c r="E431" s="49" t="n"/>
      <c r="F431" s="49" t="n"/>
      <c r="G431" s="49" t="n"/>
      <c r="H431" s="49" t="n"/>
      <c r="I431" s="49" t="n"/>
      <c r="J431" s="49" t="n"/>
      <c r="K431" s="49" t="n"/>
      <c r="L431" s="49" t="n"/>
    </row>
    <row r="432">
      <c r="B432" s="49" t="n"/>
      <c r="C432" s="49" t="n"/>
      <c r="D432" s="49" t="n"/>
      <c r="E432" s="49" t="n"/>
      <c r="F432" s="49" t="n"/>
      <c r="G432" s="49" t="n"/>
      <c r="H432" s="49" t="n"/>
      <c r="I432" s="49" t="n"/>
      <c r="J432" s="49" t="n"/>
      <c r="K432" s="49" t="n"/>
      <c r="L432" s="49" t="n"/>
    </row>
    <row r="433">
      <c r="B433" s="49" t="n"/>
      <c r="C433" s="49" t="n"/>
      <c r="D433" s="49" t="n"/>
      <c r="E433" s="49" t="n"/>
      <c r="F433" s="49" t="n"/>
      <c r="G433" s="49" t="n"/>
      <c r="H433" s="49" t="n"/>
      <c r="I433" s="49" t="n"/>
      <c r="J433" s="49" t="n"/>
      <c r="K433" s="49" t="n"/>
      <c r="L433" s="49" t="n"/>
    </row>
    <row r="434">
      <c r="B434" s="49" t="n"/>
      <c r="C434" s="49" t="n"/>
      <c r="D434" s="49" t="n"/>
      <c r="E434" s="49" t="n"/>
      <c r="F434" s="49" t="n"/>
      <c r="G434" s="49" t="n"/>
      <c r="H434" s="49" t="n"/>
      <c r="I434" s="49" t="n"/>
      <c r="J434" s="49" t="n"/>
      <c r="K434" s="49" t="n"/>
      <c r="L434" s="49" t="n"/>
    </row>
    <row r="435">
      <c r="B435" s="49" t="n"/>
      <c r="C435" s="49" t="n"/>
      <c r="D435" s="49" t="n"/>
      <c r="E435" s="49" t="n"/>
      <c r="F435" s="49" t="n"/>
      <c r="G435" s="49" t="n"/>
      <c r="H435" s="49" t="n"/>
      <c r="I435" s="49" t="n"/>
      <c r="J435" s="49" t="n"/>
      <c r="K435" s="49" t="n"/>
      <c r="L435" s="49" t="n"/>
    </row>
    <row r="436">
      <c r="B436" s="49" t="n"/>
      <c r="C436" s="49" t="n"/>
      <c r="D436" s="49" t="n"/>
      <c r="E436" s="49" t="n"/>
      <c r="F436" s="49" t="n"/>
      <c r="G436" s="49" t="n"/>
      <c r="H436" s="49" t="n"/>
      <c r="I436" s="49" t="n"/>
      <c r="J436" s="49" t="n"/>
      <c r="K436" s="49" t="n"/>
      <c r="L436" s="49" t="n"/>
    </row>
    <row r="437">
      <c r="B437" s="49" t="n"/>
      <c r="C437" s="49" t="n"/>
      <c r="D437" s="49" t="n"/>
      <c r="E437" s="49" t="n"/>
      <c r="F437" s="49" t="n"/>
      <c r="G437" s="49" t="n"/>
      <c r="H437" s="49" t="n"/>
      <c r="I437" s="49" t="n"/>
      <c r="J437" s="49" t="n"/>
      <c r="K437" s="49" t="n"/>
      <c r="L437" s="49" t="n"/>
    </row>
    <row r="438">
      <c r="B438" s="49" t="n"/>
      <c r="C438" s="49" t="n"/>
      <c r="D438" s="49" t="n"/>
      <c r="E438" s="49" t="n"/>
      <c r="F438" s="49" t="n"/>
      <c r="G438" s="49" t="n"/>
      <c r="H438" s="49" t="n"/>
      <c r="I438" s="49" t="n"/>
      <c r="J438" s="49" t="n"/>
      <c r="K438" s="49" t="n"/>
      <c r="L438" s="49" t="n"/>
    </row>
    <row r="439">
      <c r="B439" s="49" t="n"/>
      <c r="C439" s="49" t="n"/>
      <c r="D439" s="49" t="n"/>
      <c r="E439" s="49" t="n"/>
      <c r="F439" s="49" t="n"/>
      <c r="G439" s="49" t="n"/>
      <c r="H439" s="49" t="n"/>
      <c r="I439" s="49" t="n"/>
      <c r="J439" s="49" t="n"/>
      <c r="K439" s="49" t="n"/>
      <c r="L439" s="49" t="n"/>
    </row>
    <row r="440">
      <c r="B440" s="49" t="n"/>
      <c r="C440" s="49" t="n"/>
      <c r="D440" s="49" t="n"/>
      <c r="E440" s="49" t="n"/>
      <c r="F440" s="49" t="n"/>
      <c r="G440" s="49" t="n"/>
      <c r="H440" s="49" t="n"/>
      <c r="I440" s="49" t="n"/>
      <c r="J440" s="49" t="n"/>
      <c r="K440" s="49" t="n"/>
      <c r="L440" s="49" t="n"/>
    </row>
    <row r="441">
      <c r="B441" s="49" t="n"/>
      <c r="C441" s="49" t="n"/>
      <c r="D441" s="49" t="n"/>
      <c r="E441" s="49" t="n"/>
      <c r="F441" s="49" t="n"/>
      <c r="G441" s="49" t="n"/>
      <c r="H441" s="49" t="n"/>
      <c r="I441" s="49" t="n"/>
      <c r="J441" s="49" t="n"/>
      <c r="K441" s="49" t="n"/>
      <c r="L441" s="49" t="n"/>
    </row>
    <row r="442">
      <c r="B442" s="49" t="n"/>
      <c r="C442" s="49" t="n"/>
      <c r="D442" s="49" t="n"/>
      <c r="E442" s="49" t="n"/>
      <c r="F442" s="49" t="n"/>
      <c r="G442" s="49" t="n"/>
      <c r="H442" s="49" t="n"/>
      <c r="I442" s="49" t="n"/>
      <c r="J442" s="49" t="n"/>
      <c r="K442" s="49" t="n"/>
      <c r="L442" s="49" t="n"/>
    </row>
    <row r="443">
      <c r="B443" s="49" t="n"/>
      <c r="C443" s="49" t="n"/>
      <c r="D443" s="49" t="n"/>
      <c r="E443" s="49" t="n"/>
      <c r="F443" s="49" t="n"/>
      <c r="G443" s="49" t="n"/>
      <c r="H443" s="49" t="n"/>
      <c r="I443" s="49" t="n"/>
      <c r="J443" s="49" t="n"/>
      <c r="K443" s="49" t="n"/>
      <c r="L443" s="49" t="n"/>
    </row>
    <row r="444">
      <c r="B444" s="49" t="n"/>
      <c r="C444" s="49" t="n"/>
      <c r="D444" s="49" t="n"/>
      <c r="E444" s="49" t="n"/>
      <c r="F444" s="49" t="n"/>
      <c r="G444" s="49" t="n"/>
      <c r="H444" s="49" t="n"/>
      <c r="I444" s="49" t="n"/>
      <c r="J444" s="49" t="n"/>
      <c r="K444" s="49" t="n"/>
      <c r="L444" s="49" t="n"/>
    </row>
    <row r="445">
      <c r="B445" s="49" t="n"/>
      <c r="C445" s="49" t="n"/>
      <c r="D445" s="49" t="n"/>
      <c r="E445" s="49" t="n"/>
      <c r="F445" s="49" t="n"/>
      <c r="G445" s="49" t="n"/>
      <c r="H445" s="49" t="n"/>
      <c r="I445" s="49" t="n"/>
      <c r="J445" s="49" t="n"/>
      <c r="K445" s="49" t="n"/>
      <c r="L445" s="49" t="n"/>
    </row>
    <row r="446">
      <c r="B446" s="49" t="n"/>
      <c r="C446" s="49" t="n"/>
      <c r="D446" s="49" t="n"/>
      <c r="E446" s="49" t="n"/>
      <c r="F446" s="49" t="n"/>
      <c r="G446" s="49" t="n"/>
      <c r="H446" s="49" t="n"/>
      <c r="I446" s="49" t="n"/>
      <c r="J446" s="49" t="n"/>
      <c r="K446" s="49" t="n"/>
      <c r="L446" s="49" t="n"/>
    </row>
    <row r="447">
      <c r="B447" s="49" t="n"/>
      <c r="C447" s="49" t="n"/>
      <c r="D447" s="49" t="n"/>
      <c r="E447" s="49" t="n"/>
      <c r="F447" s="49" t="n"/>
      <c r="G447" s="49" t="n"/>
      <c r="H447" s="49" t="n"/>
      <c r="I447" s="49" t="n"/>
      <c r="J447" s="49" t="n"/>
      <c r="K447" s="49" t="n"/>
      <c r="L447" s="49" t="n"/>
    </row>
    <row r="448">
      <c r="B448" s="49" t="n"/>
      <c r="C448" s="49" t="n"/>
      <c r="D448" s="49" t="n"/>
      <c r="E448" s="49" t="n"/>
      <c r="F448" s="49" t="n"/>
      <c r="G448" s="49" t="n"/>
      <c r="H448" s="49" t="n"/>
      <c r="I448" s="49" t="n"/>
      <c r="J448" s="49" t="n"/>
      <c r="K448" s="49" t="n"/>
      <c r="L448" s="49" t="n"/>
    </row>
    <row r="449">
      <c r="B449" s="49" t="n"/>
      <c r="C449" s="49" t="n"/>
      <c r="D449" s="49" t="n"/>
      <c r="E449" s="49" t="n"/>
      <c r="F449" s="49" t="n"/>
      <c r="G449" s="49" t="n"/>
      <c r="H449" s="49" t="n"/>
      <c r="I449" s="49" t="n"/>
      <c r="J449" s="49" t="n"/>
      <c r="K449" s="49" t="n"/>
      <c r="L449" s="49" t="n"/>
    </row>
    <row r="450">
      <c r="B450" s="49" t="n"/>
      <c r="C450" s="49" t="n"/>
      <c r="D450" s="49" t="n"/>
      <c r="E450" s="49" t="n"/>
      <c r="F450" s="49" t="n"/>
      <c r="G450" s="49" t="n"/>
      <c r="H450" s="49" t="n"/>
      <c r="I450" s="49" t="n"/>
      <c r="J450" s="49" t="n"/>
      <c r="K450" s="49" t="n"/>
      <c r="L450" s="49" t="n"/>
    </row>
    <row r="451">
      <c r="B451" s="49" t="n"/>
      <c r="C451" s="49" t="n"/>
      <c r="D451" s="49" t="n"/>
      <c r="E451" s="49" t="n"/>
      <c r="F451" s="49" t="n"/>
      <c r="G451" s="49" t="n"/>
      <c r="H451" s="49" t="n"/>
      <c r="I451" s="49" t="n"/>
      <c r="J451" s="49" t="n"/>
      <c r="K451" s="49" t="n"/>
      <c r="L451" s="49" t="n"/>
    </row>
    <row r="452">
      <c r="B452" s="49" t="n"/>
      <c r="C452" s="49" t="n"/>
      <c r="D452" s="49" t="n"/>
      <c r="E452" s="49" t="n"/>
      <c r="F452" s="49" t="n"/>
      <c r="G452" s="49" t="n"/>
      <c r="H452" s="49" t="n"/>
      <c r="I452" s="49" t="n"/>
      <c r="J452" s="49" t="n"/>
      <c r="K452" s="49" t="n"/>
      <c r="L452" s="49" t="n"/>
    </row>
    <row r="453">
      <c r="B453" s="49" t="n"/>
      <c r="C453" s="49" t="n"/>
      <c r="D453" s="49" t="n"/>
      <c r="E453" s="49" t="n"/>
      <c r="F453" s="49" t="n"/>
      <c r="G453" s="49" t="n"/>
      <c r="H453" s="49" t="n"/>
      <c r="I453" s="49" t="n"/>
      <c r="J453" s="49" t="n"/>
      <c r="K453" s="49" t="n"/>
      <c r="L453" s="49" t="n"/>
    </row>
    <row r="454">
      <c r="B454" s="49" t="n"/>
      <c r="C454" s="49" t="n"/>
      <c r="D454" s="49" t="n"/>
      <c r="E454" s="49" t="n"/>
      <c r="F454" s="49" t="n"/>
      <c r="G454" s="49" t="n"/>
      <c r="H454" s="49" t="n"/>
      <c r="I454" s="49" t="n"/>
      <c r="J454" s="49" t="n"/>
      <c r="K454" s="49" t="n"/>
      <c r="L454" s="49" t="n"/>
    </row>
    <row r="455">
      <c r="B455" s="49" t="n"/>
      <c r="C455" s="49" t="n"/>
      <c r="D455" s="49" t="n"/>
      <c r="E455" s="49" t="n"/>
      <c r="F455" s="49" t="n"/>
      <c r="G455" s="49" t="n"/>
      <c r="H455" s="49" t="n"/>
      <c r="I455" s="49" t="n"/>
      <c r="J455" s="49" t="n"/>
      <c r="K455" s="49" t="n"/>
      <c r="L455" s="49" t="n"/>
    </row>
    <row r="456">
      <c r="B456" s="49" t="n"/>
      <c r="C456" s="49" t="n"/>
      <c r="D456" s="49" t="n"/>
      <c r="E456" s="49" t="n"/>
      <c r="F456" s="49" t="n"/>
      <c r="G456" s="49" t="n"/>
      <c r="H456" s="49" t="n"/>
      <c r="I456" s="49" t="n"/>
      <c r="J456" s="49" t="n"/>
      <c r="K456" s="49" t="n"/>
      <c r="L456" s="49" t="n"/>
    </row>
    <row r="457">
      <c r="B457" s="49" t="n"/>
      <c r="C457" s="49" t="n"/>
      <c r="D457" s="49" t="n"/>
      <c r="E457" s="49" t="n"/>
      <c r="F457" s="49" t="n"/>
      <c r="G457" s="49" t="n"/>
      <c r="H457" s="49" t="n"/>
      <c r="I457" s="49" t="n"/>
      <c r="J457" s="49" t="n"/>
      <c r="K457" s="49" t="n"/>
      <c r="L457" s="49" t="n"/>
    </row>
    <row r="458">
      <c r="B458" s="49" t="n"/>
      <c r="C458" s="49" t="n"/>
      <c r="D458" s="49" t="n"/>
      <c r="E458" s="49" t="n"/>
      <c r="F458" s="49" t="n"/>
      <c r="G458" s="49" t="n"/>
      <c r="H458" s="49" t="n"/>
      <c r="I458" s="49" t="n"/>
      <c r="J458" s="49" t="n"/>
      <c r="K458" s="49" t="n"/>
      <c r="L458" s="49" t="n"/>
    </row>
    <row r="459">
      <c r="B459" s="49" t="n"/>
      <c r="C459" s="49" t="n"/>
      <c r="D459" s="49" t="n"/>
      <c r="E459" s="49" t="n"/>
      <c r="F459" s="49" t="n"/>
      <c r="G459" s="49" t="n"/>
      <c r="H459" s="49" t="n"/>
      <c r="I459" s="49" t="n"/>
      <c r="J459" s="49" t="n"/>
      <c r="K459" s="49" t="n"/>
      <c r="L459" s="49" t="n"/>
    </row>
    <row r="460">
      <c r="B460" s="49" t="n"/>
      <c r="C460" s="49" t="n"/>
      <c r="D460" s="49" t="n"/>
      <c r="E460" s="49" t="n"/>
      <c r="F460" s="49" t="n"/>
      <c r="G460" s="49" t="n"/>
      <c r="H460" s="49" t="n"/>
      <c r="I460" s="49" t="n"/>
      <c r="J460" s="49" t="n"/>
      <c r="K460" s="49" t="n"/>
      <c r="L460" s="49" t="n"/>
    </row>
    <row r="461">
      <c r="B461" s="49" t="n"/>
      <c r="C461" s="49" t="n"/>
      <c r="D461" s="49" t="n"/>
      <c r="E461" s="49" t="n"/>
      <c r="F461" s="49" t="n"/>
      <c r="G461" s="49" t="n"/>
      <c r="H461" s="49" t="n"/>
      <c r="I461" s="49" t="n"/>
      <c r="J461" s="49" t="n"/>
      <c r="K461" s="49" t="n"/>
      <c r="L461" s="49" t="n"/>
    </row>
    <row r="462">
      <c r="B462" s="49" t="n"/>
      <c r="C462" s="49" t="n"/>
      <c r="D462" s="49" t="n"/>
      <c r="E462" s="49" t="n"/>
      <c r="F462" s="49" t="n"/>
      <c r="G462" s="49" t="n"/>
      <c r="H462" s="49" t="n"/>
      <c r="I462" s="49" t="n"/>
      <c r="J462" s="49" t="n"/>
      <c r="K462" s="49" t="n"/>
      <c r="L462" s="49" t="n"/>
    </row>
    <row r="463">
      <c r="B463" s="49" t="n"/>
      <c r="C463" s="49" t="n"/>
      <c r="D463" s="49" t="n"/>
      <c r="E463" s="49" t="n"/>
      <c r="F463" s="49" t="n"/>
      <c r="G463" s="49" t="n"/>
      <c r="H463" s="49" t="n"/>
      <c r="I463" s="49" t="n"/>
      <c r="J463" s="49" t="n"/>
      <c r="K463" s="49" t="n"/>
      <c r="L463" s="49" t="n"/>
    </row>
    <row r="464">
      <c r="B464" s="49" t="n"/>
      <c r="C464" s="49" t="n"/>
      <c r="D464" s="49" t="n"/>
      <c r="E464" s="49" t="n"/>
      <c r="F464" s="49" t="n"/>
      <c r="G464" s="49" t="n"/>
      <c r="H464" s="49" t="n"/>
      <c r="I464" s="49" t="n"/>
      <c r="J464" s="49" t="n"/>
      <c r="K464" s="49" t="n"/>
      <c r="L464" s="49" t="n"/>
    </row>
    <row r="465">
      <c r="B465" s="49" t="n"/>
      <c r="C465" s="49" t="n"/>
      <c r="D465" s="49" t="n"/>
      <c r="E465" s="49" t="n"/>
      <c r="F465" s="49" t="n"/>
      <c r="G465" s="49" t="n"/>
      <c r="H465" s="49" t="n"/>
      <c r="I465" s="49" t="n"/>
      <c r="J465" s="49" t="n"/>
      <c r="K465" s="49" t="n"/>
      <c r="L465" s="49" t="n"/>
    </row>
    <row r="466">
      <c r="B466" s="49" t="n"/>
      <c r="C466" s="49" t="n"/>
      <c r="D466" s="49" t="n"/>
      <c r="E466" s="49" t="n"/>
      <c r="F466" s="49" t="n"/>
      <c r="G466" s="49" t="n"/>
      <c r="H466" s="49" t="n"/>
      <c r="I466" s="49" t="n"/>
      <c r="J466" s="49" t="n"/>
      <c r="K466" s="49" t="n"/>
      <c r="L466" s="49" t="n"/>
    </row>
    <row r="467">
      <c r="B467" s="49" t="n"/>
      <c r="C467" s="49" t="n"/>
      <c r="D467" s="49" t="n"/>
      <c r="E467" s="49" t="n"/>
      <c r="F467" s="49" t="n"/>
      <c r="G467" s="49" t="n"/>
      <c r="H467" s="49" t="n"/>
      <c r="I467" s="49" t="n"/>
      <c r="J467" s="49" t="n"/>
      <c r="K467" s="49" t="n"/>
      <c r="L467" s="49" t="n"/>
    </row>
    <row r="468">
      <c r="B468" s="49" t="n"/>
      <c r="C468" s="49" t="n"/>
      <c r="D468" s="49" t="n"/>
      <c r="E468" s="49" t="n"/>
      <c r="F468" s="49" t="n"/>
      <c r="G468" s="49" t="n"/>
      <c r="H468" s="49" t="n"/>
      <c r="I468" s="49" t="n"/>
      <c r="J468" s="49" t="n"/>
      <c r="K468" s="49" t="n"/>
      <c r="L468" s="49" t="n"/>
    </row>
    <row r="469">
      <c r="B469" s="49" t="n"/>
      <c r="C469" s="49" t="n"/>
      <c r="D469" s="49" t="n"/>
      <c r="E469" s="49" t="n"/>
      <c r="F469" s="49" t="n"/>
      <c r="G469" s="49" t="n"/>
      <c r="H469" s="49" t="n"/>
      <c r="I469" s="49" t="n"/>
      <c r="J469" s="49" t="n"/>
      <c r="K469" s="49" t="n"/>
      <c r="L469" s="49" t="n"/>
    </row>
    <row r="470">
      <c r="B470" s="49" t="n"/>
      <c r="C470" s="49" t="n"/>
      <c r="D470" s="49" t="n"/>
      <c r="E470" s="49" t="n"/>
      <c r="F470" s="49" t="n"/>
      <c r="G470" s="49" t="n"/>
      <c r="H470" s="49" t="n"/>
      <c r="I470" s="49" t="n"/>
      <c r="J470" s="49" t="n"/>
      <c r="K470" s="49" t="n"/>
      <c r="L470" s="49" t="n"/>
    </row>
    <row r="471">
      <c r="B471" s="49" t="n"/>
      <c r="C471" s="49" t="n"/>
      <c r="D471" s="49" t="n"/>
      <c r="E471" s="49" t="n"/>
      <c r="F471" s="49" t="n"/>
      <c r="G471" s="49" t="n"/>
      <c r="H471" s="49" t="n"/>
      <c r="I471" s="49" t="n"/>
      <c r="J471" s="49" t="n"/>
      <c r="K471" s="49" t="n"/>
      <c r="L471" s="49" t="n"/>
    </row>
    <row r="472">
      <c r="B472" s="49" t="n"/>
      <c r="C472" s="49" t="n"/>
      <c r="D472" s="49" t="n"/>
      <c r="E472" s="49" t="n"/>
      <c r="F472" s="49" t="n"/>
      <c r="G472" s="49" t="n"/>
      <c r="H472" s="49" t="n"/>
      <c r="I472" s="49" t="n"/>
      <c r="J472" s="49" t="n"/>
      <c r="K472" s="49" t="n"/>
      <c r="L472" s="49" t="n"/>
    </row>
    <row r="473">
      <c r="B473" s="49" t="n"/>
      <c r="C473" s="49" t="n"/>
      <c r="D473" s="49" t="n"/>
      <c r="E473" s="49" t="n"/>
      <c r="F473" s="49" t="n"/>
      <c r="G473" s="49" t="n"/>
      <c r="H473" s="49" t="n"/>
      <c r="I473" s="49" t="n"/>
      <c r="J473" s="49" t="n"/>
      <c r="K473" s="49" t="n"/>
      <c r="L473" s="49" t="n"/>
    </row>
    <row r="474">
      <c r="B474" s="49" t="n"/>
      <c r="C474" s="49" t="n"/>
      <c r="D474" s="49" t="n"/>
      <c r="E474" s="49" t="n"/>
      <c r="F474" s="49" t="n"/>
      <c r="G474" s="49" t="n"/>
      <c r="H474" s="49" t="n"/>
      <c r="I474" s="49" t="n"/>
      <c r="J474" s="49" t="n"/>
      <c r="K474" s="49" t="n"/>
      <c r="L474" s="49" t="n"/>
    </row>
    <row r="475">
      <c r="B475" s="49" t="n"/>
      <c r="C475" s="49" t="n"/>
      <c r="D475" s="49" t="n"/>
      <c r="E475" s="49" t="n"/>
      <c r="F475" s="49" t="n"/>
      <c r="G475" s="49" t="n"/>
      <c r="H475" s="49" t="n"/>
      <c r="I475" s="49" t="n"/>
      <c r="J475" s="49" t="n"/>
      <c r="K475" s="49" t="n"/>
      <c r="L475" s="49" t="n"/>
    </row>
    <row r="476">
      <c r="B476" s="49" t="n"/>
      <c r="C476" s="49" t="n"/>
      <c r="D476" s="49" t="n"/>
      <c r="E476" s="49" t="n"/>
      <c r="F476" s="49" t="n"/>
      <c r="G476" s="49" t="n"/>
      <c r="H476" s="49" t="n"/>
      <c r="I476" s="49" t="n"/>
      <c r="J476" s="49" t="n"/>
      <c r="K476" s="49" t="n"/>
      <c r="L476" s="49" t="n"/>
    </row>
    <row r="477">
      <c r="B477" s="49" t="n"/>
      <c r="C477" s="49" t="n"/>
      <c r="D477" s="49" t="n"/>
      <c r="E477" s="49" t="n"/>
      <c r="F477" s="49" t="n"/>
      <c r="G477" s="49" t="n"/>
      <c r="H477" s="49" t="n"/>
      <c r="I477" s="49" t="n"/>
      <c r="J477" s="49" t="n"/>
      <c r="K477" s="49" t="n"/>
      <c r="L477" s="49" t="n"/>
    </row>
    <row r="478">
      <c r="B478" s="49" t="n"/>
      <c r="C478" s="49" t="n"/>
      <c r="D478" s="49" t="n"/>
      <c r="E478" s="49" t="n"/>
      <c r="F478" s="49" t="n"/>
      <c r="G478" s="49" t="n"/>
      <c r="H478" s="49" t="n"/>
      <c r="I478" s="49" t="n"/>
      <c r="J478" s="49" t="n"/>
      <c r="K478" s="49" t="n"/>
      <c r="L478" s="49" t="n"/>
    </row>
    <row r="479">
      <c r="B479" s="49" t="n"/>
      <c r="C479" s="49" t="n"/>
      <c r="D479" s="49" t="n"/>
      <c r="E479" s="49" t="n"/>
      <c r="F479" s="49" t="n"/>
      <c r="G479" s="49" t="n"/>
      <c r="H479" s="49" t="n"/>
      <c r="I479" s="49" t="n"/>
      <c r="J479" s="49" t="n"/>
      <c r="K479" s="49" t="n"/>
      <c r="L479" s="49" t="n"/>
    </row>
    <row r="480">
      <c r="B480" s="49" t="n"/>
      <c r="C480" s="49" t="n"/>
      <c r="D480" s="49" t="n"/>
      <c r="E480" s="49" t="n"/>
      <c r="F480" s="49" t="n"/>
      <c r="G480" s="49" t="n"/>
      <c r="H480" s="49" t="n"/>
      <c r="I480" s="49" t="n"/>
      <c r="J480" s="49" t="n"/>
      <c r="K480" s="49" t="n"/>
      <c r="L480" s="49" t="n"/>
    </row>
    <row r="481">
      <c r="B481" s="49" t="n"/>
      <c r="C481" s="49" t="n"/>
      <c r="D481" s="49" t="n"/>
      <c r="E481" s="49" t="n"/>
      <c r="F481" s="49" t="n"/>
      <c r="G481" s="49" t="n"/>
      <c r="H481" s="49" t="n"/>
      <c r="I481" s="49" t="n"/>
      <c r="J481" s="49" t="n"/>
      <c r="K481" s="49" t="n"/>
      <c r="L481" s="49" t="n"/>
    </row>
    <row r="482">
      <c r="B482" s="49" t="n"/>
      <c r="C482" s="49" t="n"/>
      <c r="D482" s="49" t="n"/>
      <c r="E482" s="49" t="n"/>
      <c r="F482" s="49" t="n"/>
      <c r="G482" s="49" t="n"/>
      <c r="H482" s="49" t="n"/>
      <c r="I482" s="49" t="n"/>
      <c r="J482" s="49" t="n"/>
      <c r="K482" s="49" t="n"/>
      <c r="L482" s="49" t="n"/>
    </row>
    <row r="483">
      <c r="B483" s="49" t="n"/>
      <c r="C483" s="49" t="n"/>
      <c r="D483" s="49" t="n"/>
      <c r="E483" s="49" t="n"/>
      <c r="F483" s="49" t="n"/>
      <c r="G483" s="49" t="n"/>
      <c r="H483" s="49" t="n"/>
      <c r="I483" s="49" t="n"/>
      <c r="J483" s="49" t="n"/>
      <c r="K483" s="49" t="n"/>
      <c r="L483" s="49" t="n"/>
    </row>
    <row r="484">
      <c r="B484" s="49" t="n"/>
      <c r="C484" s="49" t="n"/>
      <c r="D484" s="49" t="n"/>
      <c r="E484" s="49" t="n"/>
      <c r="F484" s="49" t="n"/>
      <c r="G484" s="49" t="n"/>
      <c r="H484" s="49" t="n"/>
      <c r="I484" s="49" t="n"/>
      <c r="J484" s="49" t="n"/>
      <c r="K484" s="49" t="n"/>
      <c r="L484" s="49" t="n"/>
    </row>
    <row r="485">
      <c r="B485" s="49" t="n"/>
      <c r="C485" s="49" t="n"/>
      <c r="D485" s="49" t="n"/>
      <c r="E485" s="49" t="n"/>
      <c r="F485" s="49" t="n"/>
      <c r="G485" s="49" t="n"/>
      <c r="H485" s="49" t="n"/>
      <c r="I485" s="49" t="n"/>
      <c r="J485" s="49" t="n"/>
      <c r="K485" s="49" t="n"/>
      <c r="L485" s="49" t="n"/>
    </row>
    <row r="486">
      <c r="B486" s="49" t="n"/>
      <c r="C486" s="49" t="n"/>
      <c r="D486" s="49" t="n"/>
      <c r="E486" s="49" t="n"/>
      <c r="F486" s="49" t="n"/>
      <c r="G486" s="49" t="n"/>
      <c r="H486" s="49" t="n"/>
      <c r="I486" s="49" t="n"/>
      <c r="J486" s="49" t="n"/>
      <c r="K486" s="49" t="n"/>
      <c r="L486" s="49" t="n"/>
    </row>
    <row r="487">
      <c r="B487" s="49" t="n"/>
      <c r="C487" s="49" t="n"/>
      <c r="D487" s="49" t="n"/>
      <c r="E487" s="49" t="n"/>
      <c r="F487" s="49" t="n"/>
      <c r="G487" s="49" t="n"/>
      <c r="H487" s="49" t="n"/>
      <c r="I487" s="49" t="n"/>
      <c r="J487" s="49" t="n"/>
      <c r="K487" s="49" t="n"/>
      <c r="L487" s="49" t="n"/>
    </row>
    <row r="488">
      <c r="B488" s="49" t="n"/>
      <c r="C488" s="49" t="n"/>
      <c r="D488" s="49" t="n"/>
      <c r="E488" s="49" t="n"/>
      <c r="F488" s="49" t="n"/>
      <c r="G488" s="49" t="n"/>
      <c r="H488" s="49" t="n"/>
      <c r="I488" s="49" t="n"/>
      <c r="J488" s="49" t="n"/>
      <c r="K488" s="49" t="n"/>
      <c r="L488" s="49" t="n"/>
    </row>
    <row r="489">
      <c r="B489" s="49" t="n"/>
      <c r="C489" s="49" t="n"/>
      <c r="D489" s="49" t="n"/>
      <c r="E489" s="49" t="n"/>
      <c r="F489" s="49" t="n"/>
      <c r="G489" s="49" t="n"/>
      <c r="H489" s="49" t="n"/>
      <c r="I489" s="49" t="n"/>
      <c r="J489" s="49" t="n"/>
      <c r="K489" s="49" t="n"/>
      <c r="L489" s="49" t="n"/>
    </row>
    <row r="490">
      <c r="B490" s="49" t="n"/>
      <c r="C490" s="49" t="n"/>
      <c r="D490" s="49" t="n"/>
      <c r="E490" s="49" t="n"/>
      <c r="F490" s="49" t="n"/>
      <c r="G490" s="49" t="n"/>
      <c r="H490" s="49" t="n"/>
      <c r="I490" s="49" t="n"/>
      <c r="J490" s="49" t="n"/>
      <c r="K490" s="49" t="n"/>
      <c r="L490" s="49" t="n"/>
    </row>
    <row r="491">
      <c r="B491" s="49" t="n"/>
      <c r="C491" s="49" t="n"/>
      <c r="D491" s="49" t="n"/>
      <c r="E491" s="49" t="n"/>
      <c r="F491" s="49" t="n"/>
      <c r="G491" s="49" t="n"/>
      <c r="H491" s="49" t="n"/>
      <c r="I491" s="49" t="n"/>
      <c r="J491" s="49" t="n"/>
      <c r="K491" s="49" t="n"/>
      <c r="L491" s="49" t="n"/>
    </row>
    <row r="492">
      <c r="B492" s="49" t="n"/>
      <c r="C492" s="49" t="n"/>
      <c r="D492" s="49" t="n"/>
      <c r="E492" s="49" t="n"/>
      <c r="F492" s="49" t="n"/>
      <c r="G492" s="49" t="n"/>
      <c r="H492" s="49" t="n"/>
      <c r="I492" s="49" t="n"/>
      <c r="J492" s="49" t="n"/>
      <c r="K492" s="49" t="n"/>
      <c r="L492" s="49" t="n"/>
    </row>
    <row r="493">
      <c r="B493" s="49" t="n"/>
      <c r="C493" s="49" t="n"/>
      <c r="D493" s="49" t="n"/>
      <c r="E493" s="49" t="n"/>
      <c r="F493" s="49" t="n"/>
      <c r="G493" s="49" t="n"/>
      <c r="H493" s="49" t="n"/>
      <c r="I493" s="49" t="n"/>
      <c r="J493" s="49" t="n"/>
      <c r="K493" s="49" t="n"/>
      <c r="L493" s="49" t="n"/>
    </row>
    <row r="494">
      <c r="B494" s="49" t="n"/>
      <c r="C494" s="49" t="n"/>
      <c r="D494" s="49" t="n"/>
      <c r="E494" s="49" t="n"/>
      <c r="F494" s="49" t="n"/>
      <c r="G494" s="49" t="n"/>
      <c r="H494" s="49" t="n"/>
      <c r="I494" s="49" t="n"/>
      <c r="J494" s="49" t="n"/>
      <c r="K494" s="49" t="n"/>
      <c r="L494" s="49" t="n"/>
    </row>
    <row r="495">
      <c r="B495" s="49" t="n"/>
      <c r="C495" s="49" t="n"/>
      <c r="D495" s="49" t="n"/>
      <c r="E495" s="49" t="n"/>
      <c r="F495" s="49" t="n"/>
      <c r="G495" s="49" t="n"/>
      <c r="H495" s="49" t="n"/>
      <c r="I495" s="49" t="n"/>
      <c r="J495" s="49" t="n"/>
      <c r="K495" s="49" t="n"/>
      <c r="L495" s="49" t="n"/>
    </row>
    <row r="496">
      <c r="B496" s="49" t="n"/>
      <c r="C496" s="49" t="n"/>
      <c r="D496" s="49" t="n"/>
      <c r="E496" s="49" t="n"/>
      <c r="F496" s="49" t="n"/>
      <c r="G496" s="49" t="n"/>
      <c r="H496" s="49" t="n"/>
      <c r="I496" s="49" t="n"/>
      <c r="J496" s="49" t="n"/>
      <c r="K496" s="49" t="n"/>
      <c r="L496" s="49" t="n"/>
    </row>
    <row r="497">
      <c r="B497" s="49" t="n"/>
      <c r="C497" s="49" t="n"/>
      <c r="D497" s="49" t="n"/>
      <c r="E497" s="49" t="n"/>
      <c r="F497" s="49" t="n"/>
      <c r="G497" s="49" t="n"/>
      <c r="H497" s="49" t="n"/>
      <c r="I497" s="49" t="n"/>
      <c r="J497" s="49" t="n"/>
      <c r="K497" s="49" t="n"/>
      <c r="L497" s="49" t="n"/>
    </row>
    <row r="498">
      <c r="B498" s="49" t="n"/>
      <c r="C498" s="49" t="n"/>
      <c r="D498" s="49" t="n"/>
      <c r="E498" s="49" t="n"/>
      <c r="F498" s="49" t="n"/>
      <c r="G498" s="49" t="n"/>
      <c r="H498" s="49" t="n"/>
      <c r="I498" s="49" t="n"/>
      <c r="J498" s="49" t="n"/>
      <c r="K498" s="49" t="n"/>
      <c r="L498" s="49" t="n"/>
    </row>
    <row r="499">
      <c r="B499" s="49" t="n"/>
      <c r="C499" s="49" t="n"/>
      <c r="D499" s="49" t="n"/>
      <c r="E499" s="49" t="n"/>
      <c r="F499" s="49" t="n"/>
      <c r="G499" s="49" t="n"/>
      <c r="H499" s="49" t="n"/>
      <c r="I499" s="49" t="n"/>
      <c r="J499" s="49" t="n"/>
      <c r="K499" s="49" t="n"/>
      <c r="L499" s="49" t="n"/>
    </row>
    <row r="500">
      <c r="B500" s="49" t="n"/>
      <c r="C500" s="49" t="n"/>
      <c r="D500" s="49" t="n"/>
      <c r="E500" s="49" t="n"/>
      <c r="F500" s="49" t="n"/>
      <c r="G500" s="49" t="n"/>
      <c r="H500" s="49" t="n"/>
      <c r="I500" s="49" t="n"/>
      <c r="J500" s="49" t="n"/>
      <c r="K500" s="49" t="n"/>
      <c r="L500" s="49" t="n"/>
    </row>
    <row r="501">
      <c r="B501" s="49" t="n"/>
      <c r="C501" s="49" t="n"/>
      <c r="D501" s="49" t="n"/>
      <c r="E501" s="49" t="n"/>
      <c r="F501" s="49" t="n"/>
      <c r="G501" s="49" t="n"/>
      <c r="H501" s="49" t="n"/>
      <c r="I501" s="49" t="n"/>
      <c r="J501" s="49" t="n"/>
      <c r="K501" s="49" t="n"/>
      <c r="L501" s="49" t="n"/>
    </row>
    <row r="502">
      <c r="B502" s="49" t="n"/>
      <c r="C502" s="49" t="n"/>
      <c r="D502" s="49" t="n"/>
      <c r="E502" s="49" t="n"/>
      <c r="F502" s="49" t="n"/>
      <c r="G502" s="49" t="n"/>
      <c r="H502" s="49" t="n"/>
      <c r="I502" s="49" t="n"/>
      <c r="J502" s="49" t="n"/>
      <c r="K502" s="49" t="n"/>
      <c r="L502" s="49" t="n"/>
    </row>
    <row r="503">
      <c r="B503" s="49" t="n"/>
      <c r="C503" s="49" t="n"/>
      <c r="D503" s="49" t="n"/>
      <c r="E503" s="49" t="n"/>
      <c r="F503" s="49" t="n"/>
      <c r="G503" s="49" t="n"/>
      <c r="H503" s="49" t="n"/>
      <c r="I503" s="49" t="n"/>
      <c r="J503" s="49" t="n"/>
      <c r="K503" s="49" t="n"/>
      <c r="L503" s="49" t="n"/>
    </row>
    <row r="504">
      <c r="B504" s="49" t="n"/>
      <c r="C504" s="49" t="n"/>
      <c r="D504" s="49" t="n"/>
      <c r="E504" s="49" t="n"/>
      <c r="F504" s="49" t="n"/>
      <c r="G504" s="49" t="n"/>
      <c r="H504" s="49" t="n"/>
      <c r="I504" s="49" t="n"/>
      <c r="J504" s="49" t="n"/>
      <c r="K504" s="49" t="n"/>
      <c r="L504" s="49" t="n"/>
    </row>
    <row r="505">
      <c r="B505" s="49" t="n"/>
      <c r="C505" s="49" t="n"/>
      <c r="D505" s="49" t="n"/>
      <c r="E505" s="49" t="n"/>
      <c r="F505" s="49" t="n"/>
      <c r="G505" s="49" t="n"/>
      <c r="H505" s="49" t="n"/>
      <c r="I505" s="49" t="n"/>
      <c r="J505" s="49" t="n"/>
      <c r="K505" s="49" t="n"/>
      <c r="L505" s="49" t="n"/>
    </row>
    <row r="506">
      <c r="B506" s="49" t="n"/>
      <c r="C506" s="49" t="n"/>
      <c r="D506" s="49" t="n"/>
      <c r="E506" s="49" t="n"/>
      <c r="F506" s="49" t="n"/>
      <c r="G506" s="49" t="n"/>
      <c r="H506" s="49" t="n"/>
      <c r="I506" s="49" t="n"/>
      <c r="J506" s="49" t="n"/>
      <c r="K506" s="49" t="n"/>
      <c r="L506" s="49" t="n"/>
    </row>
    <row r="507">
      <c r="B507" s="49" t="n"/>
      <c r="C507" s="49" t="n"/>
      <c r="D507" s="49" t="n"/>
      <c r="E507" s="49" t="n"/>
      <c r="F507" s="49" t="n"/>
      <c r="G507" s="49" t="n"/>
      <c r="H507" s="49" t="n"/>
      <c r="I507" s="49" t="n"/>
      <c r="J507" s="49" t="n"/>
      <c r="K507" s="49" t="n"/>
      <c r="L507" s="49" t="n"/>
    </row>
    <row r="508">
      <c r="B508" s="49" t="n"/>
      <c r="C508" s="49" t="n"/>
      <c r="D508" s="49" t="n"/>
      <c r="E508" s="49" t="n"/>
      <c r="F508" s="49" t="n"/>
      <c r="G508" s="49" t="n"/>
      <c r="H508" s="49" t="n"/>
      <c r="I508" s="49" t="n"/>
      <c r="J508" s="49" t="n"/>
      <c r="K508" s="49" t="n"/>
      <c r="L508" s="49" t="n"/>
    </row>
    <row r="509">
      <c r="B509" s="49" t="n"/>
      <c r="C509" s="49" t="n"/>
      <c r="D509" s="49" t="n"/>
      <c r="E509" s="49" t="n"/>
      <c r="F509" s="49" t="n"/>
      <c r="G509" s="49" t="n"/>
      <c r="H509" s="49" t="n"/>
      <c r="I509" s="49" t="n"/>
      <c r="J509" s="49" t="n"/>
      <c r="K509" s="49" t="n"/>
      <c r="L509" s="49" t="n"/>
    </row>
    <row r="510">
      <c r="B510" s="49" t="n"/>
      <c r="C510" s="49" t="n"/>
      <c r="D510" s="49" t="n"/>
      <c r="E510" s="49" t="n"/>
      <c r="F510" s="49" t="n"/>
      <c r="G510" s="49" t="n"/>
      <c r="H510" s="49" t="n"/>
      <c r="I510" s="49" t="n"/>
      <c r="J510" s="49" t="n"/>
      <c r="K510" s="49" t="n"/>
      <c r="L510" s="49" t="n"/>
    </row>
    <row r="511">
      <c r="B511" s="49" t="n"/>
      <c r="C511" s="49" t="n"/>
      <c r="D511" s="49" t="n"/>
      <c r="E511" s="49" t="n"/>
      <c r="F511" s="49" t="n"/>
      <c r="G511" s="49" t="n"/>
      <c r="H511" s="49" t="n"/>
      <c r="I511" s="49" t="n"/>
      <c r="J511" s="49" t="n"/>
      <c r="K511" s="49" t="n"/>
      <c r="L511" s="49" t="n"/>
    </row>
    <row r="512">
      <c r="B512" s="49" t="n"/>
      <c r="C512" s="49" t="n"/>
      <c r="D512" s="49" t="n"/>
      <c r="E512" s="49" t="n"/>
      <c r="F512" s="49" t="n"/>
      <c r="G512" s="49" t="n"/>
      <c r="H512" s="49" t="n"/>
      <c r="I512" s="49" t="n"/>
      <c r="J512" s="49" t="n"/>
      <c r="K512" s="49" t="n"/>
      <c r="L512" s="49" t="n"/>
    </row>
    <row r="513">
      <c r="B513" s="49" t="n"/>
      <c r="C513" s="49" t="n"/>
      <c r="D513" s="49" t="n"/>
      <c r="E513" s="49" t="n"/>
      <c r="F513" s="49" t="n"/>
      <c r="G513" s="49" t="n"/>
      <c r="H513" s="49" t="n"/>
      <c r="I513" s="49" t="n"/>
      <c r="J513" s="49" t="n"/>
      <c r="K513" s="49" t="n"/>
      <c r="L513" s="49" t="n"/>
    </row>
    <row r="514">
      <c r="B514" s="49" t="n"/>
      <c r="C514" s="49" t="n"/>
      <c r="D514" s="49" t="n"/>
      <c r="E514" s="49" t="n"/>
      <c r="F514" s="49" t="n"/>
      <c r="G514" s="49" t="n"/>
      <c r="H514" s="49" t="n"/>
      <c r="I514" s="49" t="n"/>
      <c r="J514" s="49" t="n"/>
      <c r="K514" s="49" t="n"/>
      <c r="L514" s="49" t="n"/>
    </row>
    <row r="515">
      <c r="B515" s="49" t="n"/>
      <c r="C515" s="49" t="n"/>
      <c r="D515" s="49" t="n"/>
      <c r="E515" s="49" t="n"/>
      <c r="F515" s="49" t="n"/>
      <c r="G515" s="49" t="n"/>
      <c r="H515" s="49" t="n"/>
      <c r="I515" s="49" t="n"/>
      <c r="J515" s="49" t="n"/>
      <c r="K515" s="49" t="n"/>
      <c r="L515" s="49" t="n"/>
    </row>
    <row r="516">
      <c r="B516" s="49" t="n"/>
      <c r="C516" s="49" t="n"/>
      <c r="D516" s="49" t="n"/>
      <c r="E516" s="49" t="n"/>
      <c r="F516" s="49" t="n"/>
      <c r="G516" s="49" t="n"/>
      <c r="H516" s="49" t="n"/>
      <c r="I516" s="49" t="n"/>
      <c r="J516" s="49" t="n"/>
      <c r="K516" s="49" t="n"/>
      <c r="L516" s="49" t="n"/>
    </row>
    <row r="517">
      <c r="B517" s="49" t="n"/>
      <c r="C517" s="49" t="n"/>
      <c r="D517" s="49" t="n"/>
      <c r="E517" s="49" t="n"/>
      <c r="F517" s="49" t="n"/>
      <c r="G517" s="49" t="n"/>
      <c r="H517" s="49" t="n"/>
      <c r="I517" s="49" t="n"/>
      <c r="J517" s="49" t="n"/>
      <c r="K517" s="49" t="n"/>
      <c r="L517"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AND(LEN($B17&amp;$C17&amp;$D17&amp;$E17&amp;$F17&amp;$G17&amp;$H17&amp;$I17&amp;$J17&amp;$K17&amp;$L17)&gt;0,B17="")</formula>
    </cfRule>
  </conditionalFormatting>
  <conditionalFormatting sqref="C17:C517">
    <cfRule type="expression" priority="3" dxfId="6">
      <formula>AND(LEN($B17&amp;$C17&amp;$D17&amp;$E17&amp;$F17&amp;$G17&amp;$H17&amp;$I17&amp;$J17&amp;$K17&amp;$L17)&gt;0,C17="")</formula>
    </cfRule>
  </conditionalFormatting>
  <conditionalFormatting sqref="L17:L517">
    <cfRule type="expression" priority="4" dxfId="6">
      <formula>AND(LEN($B17&amp;$C17&amp;$D17&amp;$E17&amp;$F17&amp;$G17&amp;$H17&amp;$I17&amp;$J17&amp;$K17&amp;$L17)&gt;0,L17="")</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Action" error="Choose a value of the list Bulk request action (sheet Reference lists)." promptTitle="Action" prompt="Yes. ENROL for the go-live load Allowed: ENROL, MODIFY, DEACTIVATE, REACTIVATE (list Bulk request action)" type="list" errorStyle="stop">
      <formula1>=LIST_UA_ACTION</formula1>
    </dataValidation>
    <dataValidation sqref="C17:C517" showDropDown="0" showInputMessage="1" showErrorMessage="1" allowBlank="1" errorTitle="User ID" error="At most 10 characters." promptTitle="User ID" prompt="Yes. The BIBS user ID; unique Allowed: Free entry, up to 10 characters" type="textLength" operator="lessThanOrEqual">
      <formula1>10</formula1>
    </dataValidation>
    <dataValidation sqref="D17:D517" showDropDown="0" showInputMessage="1" showErrorMessage="1" allowBlank="1" errorTitle="Full Name" error="At most 120 characters." promptTitle="Full Name" prompt="Conditional: ENROL. Name shown on screens and reports Allowed: Free entry, up to 120 characters" type="textLength" operator="lessThanOrEqual">
      <formula1>120</formula1>
    </dataValidation>
    <dataValidation sqref="E17:E517" showDropDown="0" showInputMessage="1" showErrorMessage="0" allowBlank="1" promptTitle="E-mail" prompt="No. Receives the access-changed notices and the reset links"/>
    <dataValidation sqref="F17:F517" showDropDown="0" showInputMessage="1" showErrorMessage="0" allowBlank="1" promptTitle="Windows ID" prompt="No. Used for the BDO directory sign-in when it is enabled"/>
    <dataValidation sqref="G17:G517" showDropDown="0" showInputMessage="1" showErrorMessage="0" allowBlank="1" promptTitle="Home Branch Code" prompt="No. Home branch of the user"/>
    <dataValidation sqref="H17:H517" showDropDown="0" showInputMessage="1" showErrorMessage="0" allowBlank="1" promptTitle="Business Unit" prompt="No. Business unit group Allowed: Codes of UA-06 Lists of values, column Code (one or more)"/>
    <dataValidation sqref="I17:I517" showDropDown="0" showInputMessage="1" showErrorMessage="0" allowBlank="1" promptTitle="User Level" prompt="No. User level Allowed: Codes of UA-06 Lists of values, column Code (one or more)"/>
    <dataValidation sqref="J17:J517" showDropDown="0" showInputMessage="1" showErrorMessage="0" allowBlank="1" promptTitle="Group Profiles" prompt="Conditional: ENROL. The group profiles of the user Allowed: Codes of UA-02 Role-to-permission matrix, column Group profile code (one or more)"/>
    <dataValidation sqref="K17:K517" showDropDown="0" showInputMessage="1" showErrorMessage="0" allowBlank="1" promptTitle="Effective Date" prompt="No. Date the change applies"/>
    <dataValidation sqref="L17:L517" showDropDown="0" showInputMessage="1" showErrorMessage="1" allowBlank="1" errorTitle="Remarks" error="At most 1000 characters." promptTitle="Remarks" prompt="Yes. Justification of the line Allowed: Free entry, up to 1000 characters" type="textLength" operator="lessThanOrEqual">
      <formula1>1000</formula1>
    </dataValidation>
  </dataValidations>
  <hyperlinks>
    <hyperlink ref="A2" location="'Start here'!A1"/>
    <hyperlink ref="L2" location="'Questions and comments'!A1"/>
    <hyperlink ref="B8" location="'UA-06 Lists of values'!A1"/>
    <hyperlink ref="D8" location="'UA-02 Role matrix'!A1"/>
    <hyperlink ref="B14" location="'Reference lists'!A122"/>
    <hyperlink ref="H14" location="'UA-06 Lists of values'!C16"/>
    <hyperlink ref="I14" location="'UA-06 Lists of values'!C16"/>
    <hyperlink ref="J14" location="'UA-02 Role matrix'!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45454545454545" customWidth="1" min="3" max="3"/>
    <col width="16" customWidth="1" min="4" max="4"/>
    <col width="12" customWidth="1" min="5" max="5"/>
    <col width="12" customWidth="1" min="6" max="6"/>
    <col width="12" customWidth="1" min="7" max="7"/>
  </cols>
  <sheetData>
    <row r="1" ht="26" customHeight="1">
      <c r="A1" s="25" t="inlineStr">
        <is>
          <t>D0-03 Holiday calendar</t>
        </is>
      </c>
      <c r="G1" s="26" t="inlineStr">
        <is>
          <t>Step 16 of 52</t>
        </is>
      </c>
    </row>
    <row r="2">
      <c r="A2" s="27" t="inlineStr">
        <is>
          <t>← Back to Start here</t>
        </is>
      </c>
      <c r="B2" s="28" t="inlineStr">
        <is>
          <t>Step 16 of 52. Fill in one row per record below the column headers; the guide above each column says what to enter.</t>
        </is>
      </c>
      <c r="G2" s="29" t="inlineStr">
        <is>
          <t>Ask a question →</t>
        </is>
      </c>
    </row>
    <row r="3" outlineLevel="1" ht="15.5" customHeight="1">
      <c r="A3" s="30" t="inlineStr">
        <is>
          <t>Purpose</t>
        </is>
      </c>
      <c r="B3" s="31" t="inlineStr">
        <is>
          <t>Public and company holidays of 2027 and 2028</t>
        </is>
      </c>
    </row>
    <row r="4" outlineLevel="1" ht="15.5" customHeight="1">
      <c r="A4" s="30" t="inlineStr">
        <is>
          <t>Provided by</t>
        </is>
      </c>
      <c r="B4" s="31" t="inlineStr">
        <is>
          <t>Head, Comptrollership; Human Resources</t>
        </is>
      </c>
    </row>
    <row r="5" outlineLevel="1" ht="15.5" customHeight="1">
      <c r="A5" s="30" t="inlineStr">
        <is>
          <t>Due</t>
        </is>
      </c>
      <c r="B5" s="32" t="inlineStr">
        <is>
          <t>4-Jan-2027 – Platform set-up for Drop 1 SIT</t>
        </is>
      </c>
    </row>
    <row r="6" outlineLevel="1" ht="28" customHeight="1">
      <c r="A6" s="30" t="inlineStr">
        <is>
          <t>How it is loaded</t>
        </is>
      </c>
      <c r="B6" s="31" t="inlineStr">
        <is>
          <t>Upload on the configuration screen Setup &amp; Administration › Setup › Holiday Calendar, approved by a second user</t>
        </is>
      </c>
    </row>
    <row r="7" outlineLevel="1" ht="28" customHeight="1">
      <c r="A7" s="30" t="inlineStr">
        <is>
          <t>Source</t>
        </is>
      </c>
      <c r="B7" s="31" t="inlineStr">
        <is>
          <t>Upload template of the configuration screen (the same columns, headers, mandatory flags and allowed values)</t>
        </is>
      </c>
    </row>
    <row r="8" outlineLevel="1" ht="15" customHeight="1">
      <c r="A8" s="30" t="inlineStr">
        <is>
          <t>Depends on</t>
        </is>
      </c>
      <c r="B8" s="53" t="inlineStr">
        <is>
          <t>D0-02 Branches →</t>
        </is>
      </c>
    </row>
    <row r="9" ht="26" customHeight="1">
      <c r="A9" s="34" t="inlineStr">
        <is>
          <t>Progress</t>
        </is>
      </c>
      <c r="B9" s="35" t="inlineStr">
        <is>
          <t>Rows entered</t>
        </is>
      </c>
      <c r="C9" s="36">
        <f>SUMPRODUCT(((ROW($D$17:$D$517)&gt;17)+($D$17&lt;&gt;"New Year's Day")&gt;0)*(LEN($B$17:$B$517&amp;$C$17:$C$517&amp;$D$17:$D$517)&gt;0))</f>
        <v/>
      </c>
      <c r="D9" s="35" t="inlineStr">
        <is>
          <t>Mandatory cells missing</t>
        </is>
      </c>
      <c r="E9" s="36">
        <f>SUMPRODUCT(((ROW($D$17:$D$517)&gt;17)+($D$17&lt;&gt;"New Year's Day")&gt;0)*(LEN($B$17:$B$517&amp;$C$17:$C$517&amp;$D$17:$D$517)&gt;0)*(($C$17:$C$517="")+($D$17:$D$517="")))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3" t="inlineStr">
        <is>
          <t>No</t>
        </is>
      </c>
      <c r="C12" s="42" t="inlineStr">
        <is>
          <t>Yes</t>
        </is>
      </c>
      <c r="D12" s="42" t="inlineStr">
        <is>
          <t>Yes</t>
        </is>
      </c>
    </row>
    <row r="13" ht="30" customHeight="1">
      <c r="A13" s="41" t="inlineStr">
        <is>
          <t>Format</t>
        </is>
      </c>
      <c r="B13" s="43" t="inlineStr">
        <is>
          <t>Text</t>
        </is>
      </c>
      <c r="C13" s="43" t="inlineStr">
        <is>
          <t>Date dd-MMM-yyyy, e.g. 15-Jan-2026</t>
        </is>
      </c>
      <c r="D13" s="43" t="inlineStr">
        <is>
          <t>Text</t>
        </is>
      </c>
    </row>
    <row r="14" ht="30" customHeight="1">
      <c r="A14" s="41" t="inlineStr">
        <is>
          <t>Allowed values</t>
        </is>
      </c>
      <c r="B14" s="51" t="inlineStr">
        <is>
          <t>Code of an existing branch</t>
        </is>
      </c>
      <c r="C14" s="43" t="inlineStr">
        <is>
          <t>A date, for example 15-Jan-2028</t>
        </is>
      </c>
      <c r="D14" s="43" t="inlineStr">
        <is>
          <t>Free entry</t>
        </is>
      </c>
    </row>
    <row r="15" ht="43" customHeight="1">
      <c r="A15" s="41" t="inlineStr">
        <is>
          <t>What to enter</t>
        </is>
      </c>
      <c r="B15" s="43" t="inlineStr">
        <is>
          <t>Branch the holiday applies to; blank = every branch</t>
        </is>
      </c>
      <c r="C15" s="43" t="inlineStr">
        <is>
          <t>Date of the holiday</t>
        </is>
      </c>
      <c r="D15" s="43" t="inlineStr">
        <is>
          <t>Name of the holiday</t>
        </is>
      </c>
    </row>
    <row r="16" ht="30" customHeight="1">
      <c r="A16" s="44" t="inlineStr">
        <is>
          <t>Row</t>
        </is>
      </c>
      <c r="B16" s="45" t="inlineStr">
        <is>
          <t>Branch code</t>
        </is>
      </c>
      <c r="C16" s="45" t="inlineStr">
        <is>
          <t>Date *</t>
        </is>
      </c>
      <c r="D16" s="45" t="inlineStr">
        <is>
          <t>Description *</t>
        </is>
      </c>
    </row>
    <row r="17" ht="18" customHeight="1">
      <c r="A17" s="46" t="inlineStr">
        <is>
          <t>Example – overwrite or delete</t>
        </is>
      </c>
      <c r="B17" s="47" t="n"/>
      <c r="C17" s="48" t="n">
        <v>46753</v>
      </c>
      <c r="D17" s="47" t="inlineStr">
        <is>
          <t>New Year's Day</t>
        </is>
      </c>
    </row>
    <row r="18">
      <c r="B18" s="49" t="n"/>
      <c r="C18" s="50" t="n"/>
      <c r="D18" s="49" t="n"/>
    </row>
    <row r="19">
      <c r="B19" s="49" t="n"/>
      <c r="C19" s="50" t="n"/>
      <c r="D19" s="49" t="n"/>
    </row>
    <row r="20">
      <c r="B20" s="49" t="n"/>
      <c r="C20" s="50" t="n"/>
      <c r="D20" s="49" t="n"/>
    </row>
    <row r="21">
      <c r="B21" s="49" t="n"/>
      <c r="C21" s="50" t="n"/>
      <c r="D21" s="49" t="n"/>
    </row>
    <row r="22">
      <c r="B22" s="49" t="n"/>
      <c r="C22" s="50" t="n"/>
      <c r="D22" s="49" t="n"/>
    </row>
    <row r="23">
      <c r="B23" s="49" t="n"/>
      <c r="C23" s="50" t="n"/>
      <c r="D23" s="49" t="n"/>
    </row>
    <row r="24">
      <c r="B24" s="49" t="n"/>
      <c r="C24" s="50" t="n"/>
      <c r="D24" s="49" t="n"/>
    </row>
    <row r="25">
      <c r="B25" s="49" t="n"/>
      <c r="C25" s="50" t="n"/>
      <c r="D25" s="49" t="n"/>
    </row>
    <row r="26">
      <c r="B26" s="49" t="n"/>
      <c r="C26" s="50" t="n"/>
      <c r="D26" s="49" t="n"/>
    </row>
    <row r="27">
      <c r="B27" s="49" t="n"/>
      <c r="C27" s="50" t="n"/>
      <c r="D27" s="49" t="n"/>
    </row>
    <row r="28">
      <c r="B28" s="49" t="n"/>
      <c r="C28" s="50" t="n"/>
      <c r="D28" s="49" t="n"/>
    </row>
    <row r="29">
      <c r="B29" s="49" t="n"/>
      <c r="C29" s="50" t="n"/>
      <c r="D29" s="49" t="n"/>
    </row>
    <row r="30">
      <c r="B30" s="49" t="n"/>
      <c r="C30" s="50" t="n"/>
      <c r="D30" s="49" t="n"/>
    </row>
    <row r="31">
      <c r="B31" s="49" t="n"/>
      <c r="C31" s="50" t="n"/>
      <c r="D31" s="49" t="n"/>
    </row>
    <row r="32">
      <c r="B32" s="49" t="n"/>
      <c r="C32" s="50" t="n"/>
      <c r="D32" s="49" t="n"/>
    </row>
    <row r="33">
      <c r="B33" s="49" t="n"/>
      <c r="C33" s="50" t="n"/>
      <c r="D33" s="49" t="n"/>
    </row>
    <row r="34">
      <c r="B34" s="49" t="n"/>
      <c r="C34" s="50" t="n"/>
      <c r="D34" s="49" t="n"/>
    </row>
    <row r="35">
      <c r="B35" s="49" t="n"/>
      <c r="C35" s="50" t="n"/>
      <c r="D35" s="49" t="n"/>
    </row>
    <row r="36">
      <c r="B36" s="49" t="n"/>
      <c r="C36" s="50" t="n"/>
      <c r="D36" s="49" t="n"/>
    </row>
    <row r="37">
      <c r="B37" s="49" t="n"/>
      <c r="C37" s="50" t="n"/>
      <c r="D37" s="49" t="n"/>
    </row>
    <row r="38">
      <c r="B38" s="49" t="n"/>
      <c r="C38" s="50" t="n"/>
      <c r="D38" s="49" t="n"/>
    </row>
    <row r="39">
      <c r="B39" s="49" t="n"/>
      <c r="C39" s="50" t="n"/>
      <c r="D39" s="49" t="n"/>
    </row>
    <row r="40">
      <c r="B40" s="49" t="n"/>
      <c r="C40" s="50" t="n"/>
      <c r="D40" s="49" t="n"/>
    </row>
    <row r="41">
      <c r="B41" s="49" t="n"/>
      <c r="C41" s="50" t="n"/>
      <c r="D41" s="49" t="n"/>
    </row>
    <row r="42">
      <c r="B42" s="49" t="n"/>
      <c r="C42" s="50" t="n"/>
      <c r="D42" s="49" t="n"/>
    </row>
    <row r="43">
      <c r="B43" s="49" t="n"/>
      <c r="C43" s="50" t="n"/>
      <c r="D43" s="49" t="n"/>
    </row>
    <row r="44">
      <c r="B44" s="49" t="n"/>
      <c r="C44" s="50" t="n"/>
      <c r="D44" s="49" t="n"/>
    </row>
    <row r="45">
      <c r="B45" s="49" t="n"/>
      <c r="C45" s="50" t="n"/>
      <c r="D45" s="49" t="n"/>
    </row>
    <row r="46">
      <c r="B46" s="49" t="n"/>
      <c r="C46" s="50" t="n"/>
      <c r="D46" s="49" t="n"/>
    </row>
    <row r="47">
      <c r="B47" s="49" t="n"/>
      <c r="C47" s="50" t="n"/>
      <c r="D47" s="49" t="n"/>
    </row>
    <row r="48">
      <c r="B48" s="49" t="n"/>
      <c r="C48" s="50" t="n"/>
      <c r="D48" s="49" t="n"/>
    </row>
    <row r="49">
      <c r="B49" s="49" t="n"/>
      <c r="C49" s="50" t="n"/>
      <c r="D49" s="49" t="n"/>
    </row>
    <row r="50">
      <c r="B50" s="49" t="n"/>
      <c r="C50" s="50" t="n"/>
      <c r="D50" s="49" t="n"/>
    </row>
    <row r="51">
      <c r="B51" s="49" t="n"/>
      <c r="C51" s="50" t="n"/>
      <c r="D51" s="49" t="n"/>
    </row>
    <row r="52">
      <c r="B52" s="49" t="n"/>
      <c r="C52" s="50" t="n"/>
      <c r="D52" s="49" t="n"/>
    </row>
    <row r="53">
      <c r="B53" s="49" t="n"/>
      <c r="C53" s="50" t="n"/>
      <c r="D53" s="49" t="n"/>
    </row>
    <row r="54">
      <c r="B54" s="49" t="n"/>
      <c r="C54" s="50" t="n"/>
      <c r="D54" s="49" t="n"/>
    </row>
    <row r="55">
      <c r="B55" s="49" t="n"/>
      <c r="C55" s="50" t="n"/>
      <c r="D55" s="49" t="n"/>
    </row>
    <row r="56">
      <c r="B56" s="49" t="n"/>
      <c r="C56" s="50" t="n"/>
      <c r="D56" s="49" t="n"/>
    </row>
    <row r="57">
      <c r="B57" s="49" t="n"/>
      <c r="C57" s="50" t="n"/>
      <c r="D57" s="49" t="n"/>
    </row>
    <row r="58">
      <c r="B58" s="49" t="n"/>
      <c r="C58" s="50" t="n"/>
      <c r="D58" s="49" t="n"/>
    </row>
    <row r="59">
      <c r="B59" s="49" t="n"/>
      <c r="C59" s="50" t="n"/>
      <c r="D59" s="49" t="n"/>
    </row>
    <row r="60">
      <c r="B60" s="49" t="n"/>
      <c r="C60" s="50" t="n"/>
      <c r="D60" s="49" t="n"/>
    </row>
    <row r="61">
      <c r="B61" s="49" t="n"/>
      <c r="C61" s="50" t="n"/>
      <c r="D61" s="49" t="n"/>
    </row>
    <row r="62">
      <c r="B62" s="49" t="n"/>
      <c r="C62" s="50" t="n"/>
      <c r="D62" s="49" t="n"/>
    </row>
    <row r="63">
      <c r="B63" s="49" t="n"/>
      <c r="C63" s="50" t="n"/>
      <c r="D63" s="49" t="n"/>
    </row>
    <row r="64">
      <c r="B64" s="49" t="n"/>
      <c r="C64" s="50" t="n"/>
      <c r="D64" s="49" t="n"/>
    </row>
    <row r="65">
      <c r="B65" s="49" t="n"/>
      <c r="C65" s="50" t="n"/>
      <c r="D65" s="49" t="n"/>
    </row>
    <row r="66">
      <c r="B66" s="49" t="n"/>
      <c r="C66" s="50" t="n"/>
      <c r="D66" s="49" t="n"/>
    </row>
    <row r="67">
      <c r="B67" s="49" t="n"/>
      <c r="C67" s="50" t="n"/>
      <c r="D67" s="49" t="n"/>
    </row>
    <row r="68">
      <c r="B68" s="49" t="n"/>
      <c r="C68" s="50" t="n"/>
      <c r="D68" s="49" t="n"/>
    </row>
    <row r="69">
      <c r="B69" s="49" t="n"/>
      <c r="C69" s="50" t="n"/>
      <c r="D69" s="49" t="n"/>
    </row>
    <row r="70">
      <c r="B70" s="49" t="n"/>
      <c r="C70" s="50" t="n"/>
      <c r="D70" s="49" t="n"/>
    </row>
    <row r="71">
      <c r="B71" s="49" t="n"/>
      <c r="C71" s="50" t="n"/>
      <c r="D71" s="49" t="n"/>
    </row>
    <row r="72">
      <c r="B72" s="49" t="n"/>
      <c r="C72" s="50" t="n"/>
      <c r="D72" s="49" t="n"/>
    </row>
    <row r="73">
      <c r="B73" s="49" t="n"/>
      <c r="C73" s="50" t="n"/>
      <c r="D73" s="49" t="n"/>
    </row>
    <row r="74">
      <c r="B74" s="49" t="n"/>
      <c r="C74" s="50" t="n"/>
      <c r="D74" s="49" t="n"/>
    </row>
    <row r="75">
      <c r="B75" s="49" t="n"/>
      <c r="C75" s="50" t="n"/>
      <c r="D75" s="49" t="n"/>
    </row>
    <row r="76">
      <c r="B76" s="49" t="n"/>
      <c r="C76" s="50" t="n"/>
      <c r="D76" s="49" t="n"/>
    </row>
    <row r="77">
      <c r="B77" s="49" t="n"/>
      <c r="C77" s="50" t="n"/>
      <c r="D77" s="49" t="n"/>
    </row>
    <row r="78">
      <c r="B78" s="49" t="n"/>
      <c r="C78" s="50" t="n"/>
      <c r="D78" s="49" t="n"/>
    </row>
    <row r="79">
      <c r="B79" s="49" t="n"/>
      <c r="C79" s="50" t="n"/>
      <c r="D79" s="49" t="n"/>
    </row>
    <row r="80">
      <c r="B80" s="49" t="n"/>
      <c r="C80" s="50" t="n"/>
      <c r="D80" s="49" t="n"/>
    </row>
    <row r="81">
      <c r="B81" s="49" t="n"/>
      <c r="C81" s="50" t="n"/>
      <c r="D81" s="49" t="n"/>
    </row>
    <row r="82">
      <c r="B82" s="49" t="n"/>
      <c r="C82" s="50" t="n"/>
      <c r="D82" s="49" t="n"/>
    </row>
    <row r="83">
      <c r="B83" s="49" t="n"/>
      <c r="C83" s="50" t="n"/>
      <c r="D83" s="49" t="n"/>
    </row>
    <row r="84">
      <c r="B84" s="49" t="n"/>
      <c r="C84" s="50" t="n"/>
      <c r="D84" s="49" t="n"/>
    </row>
    <row r="85">
      <c r="B85" s="49" t="n"/>
      <c r="C85" s="50" t="n"/>
      <c r="D85" s="49" t="n"/>
    </row>
    <row r="86">
      <c r="B86" s="49" t="n"/>
      <c r="C86" s="50" t="n"/>
      <c r="D86" s="49" t="n"/>
    </row>
    <row r="87">
      <c r="B87" s="49" t="n"/>
      <c r="C87" s="50" t="n"/>
      <c r="D87" s="49" t="n"/>
    </row>
    <row r="88">
      <c r="B88" s="49" t="n"/>
      <c r="C88" s="50" t="n"/>
      <c r="D88" s="49" t="n"/>
    </row>
    <row r="89">
      <c r="B89" s="49" t="n"/>
      <c r="C89" s="50" t="n"/>
      <c r="D89" s="49" t="n"/>
    </row>
    <row r="90">
      <c r="B90" s="49" t="n"/>
      <c r="C90" s="50" t="n"/>
      <c r="D90" s="49" t="n"/>
    </row>
    <row r="91">
      <c r="B91" s="49" t="n"/>
      <c r="C91" s="50" t="n"/>
      <c r="D91" s="49" t="n"/>
    </row>
    <row r="92">
      <c r="B92" s="49" t="n"/>
      <c r="C92" s="50" t="n"/>
      <c r="D92" s="49" t="n"/>
    </row>
    <row r="93">
      <c r="B93" s="49" t="n"/>
      <c r="C93" s="50" t="n"/>
      <c r="D93" s="49" t="n"/>
    </row>
    <row r="94">
      <c r="B94" s="49" t="n"/>
      <c r="C94" s="50" t="n"/>
      <c r="D94" s="49" t="n"/>
    </row>
    <row r="95">
      <c r="B95" s="49" t="n"/>
      <c r="C95" s="50" t="n"/>
      <c r="D95" s="49" t="n"/>
    </row>
    <row r="96">
      <c r="B96" s="49" t="n"/>
      <c r="C96" s="50" t="n"/>
      <c r="D96" s="49" t="n"/>
    </row>
    <row r="97">
      <c r="B97" s="49" t="n"/>
      <c r="C97" s="50" t="n"/>
      <c r="D97" s="49" t="n"/>
    </row>
    <row r="98">
      <c r="B98" s="49" t="n"/>
      <c r="C98" s="50" t="n"/>
      <c r="D98" s="49" t="n"/>
    </row>
    <row r="99">
      <c r="B99" s="49" t="n"/>
      <c r="C99" s="50" t="n"/>
      <c r="D99" s="49" t="n"/>
    </row>
    <row r="100">
      <c r="B100" s="49" t="n"/>
      <c r="C100" s="50" t="n"/>
      <c r="D100" s="49" t="n"/>
    </row>
    <row r="101">
      <c r="B101" s="49" t="n"/>
      <c r="C101" s="50" t="n"/>
      <c r="D101" s="49" t="n"/>
    </row>
    <row r="102">
      <c r="B102" s="49" t="n"/>
      <c r="C102" s="50" t="n"/>
      <c r="D102" s="49" t="n"/>
    </row>
    <row r="103">
      <c r="B103" s="49" t="n"/>
      <c r="C103" s="50" t="n"/>
      <c r="D103" s="49" t="n"/>
    </row>
    <row r="104">
      <c r="B104" s="49" t="n"/>
      <c r="C104" s="50" t="n"/>
      <c r="D104" s="49" t="n"/>
    </row>
    <row r="105">
      <c r="B105" s="49" t="n"/>
      <c r="C105" s="50" t="n"/>
      <c r="D105" s="49" t="n"/>
    </row>
    <row r="106">
      <c r="B106" s="49" t="n"/>
      <c r="C106" s="50" t="n"/>
      <c r="D106" s="49" t="n"/>
    </row>
    <row r="107">
      <c r="B107" s="49" t="n"/>
      <c r="C107" s="50" t="n"/>
      <c r="D107" s="49" t="n"/>
    </row>
    <row r="108">
      <c r="B108" s="49" t="n"/>
      <c r="C108" s="50" t="n"/>
      <c r="D108" s="49" t="n"/>
    </row>
    <row r="109">
      <c r="B109" s="49" t="n"/>
      <c r="C109" s="50" t="n"/>
      <c r="D109" s="49" t="n"/>
    </row>
    <row r="110">
      <c r="B110" s="49" t="n"/>
      <c r="C110" s="50" t="n"/>
      <c r="D110" s="49" t="n"/>
    </row>
    <row r="111">
      <c r="B111" s="49" t="n"/>
      <c r="C111" s="50" t="n"/>
      <c r="D111" s="49" t="n"/>
    </row>
    <row r="112">
      <c r="B112" s="49" t="n"/>
      <c r="C112" s="50" t="n"/>
      <c r="D112" s="49" t="n"/>
    </row>
    <row r="113">
      <c r="B113" s="49" t="n"/>
      <c r="C113" s="50" t="n"/>
      <c r="D113" s="49" t="n"/>
    </row>
    <row r="114">
      <c r="B114" s="49" t="n"/>
      <c r="C114" s="50" t="n"/>
      <c r="D114" s="49" t="n"/>
    </row>
    <row r="115">
      <c r="B115" s="49" t="n"/>
      <c r="C115" s="50" t="n"/>
      <c r="D115" s="49" t="n"/>
    </row>
    <row r="116">
      <c r="B116" s="49" t="n"/>
      <c r="C116" s="50" t="n"/>
      <c r="D116" s="49" t="n"/>
    </row>
    <row r="117">
      <c r="B117" s="49" t="n"/>
      <c r="C117" s="50" t="n"/>
      <c r="D117" s="49" t="n"/>
    </row>
    <row r="118">
      <c r="B118" s="49" t="n"/>
      <c r="C118" s="50" t="n"/>
      <c r="D118" s="49" t="n"/>
    </row>
    <row r="119">
      <c r="B119" s="49" t="n"/>
      <c r="C119" s="50" t="n"/>
      <c r="D119" s="49" t="n"/>
    </row>
    <row r="120">
      <c r="B120" s="49" t="n"/>
      <c r="C120" s="50" t="n"/>
      <c r="D120" s="49" t="n"/>
    </row>
    <row r="121">
      <c r="B121" s="49" t="n"/>
      <c r="C121" s="50" t="n"/>
      <c r="D121" s="49" t="n"/>
    </row>
    <row r="122">
      <c r="B122" s="49" t="n"/>
      <c r="C122" s="50" t="n"/>
      <c r="D122" s="49" t="n"/>
    </row>
    <row r="123">
      <c r="B123" s="49" t="n"/>
      <c r="C123" s="50" t="n"/>
      <c r="D123" s="49" t="n"/>
    </row>
    <row r="124">
      <c r="B124" s="49" t="n"/>
      <c r="C124" s="50" t="n"/>
      <c r="D124" s="49" t="n"/>
    </row>
    <row r="125">
      <c r="B125" s="49" t="n"/>
      <c r="C125" s="50" t="n"/>
      <c r="D125" s="49" t="n"/>
    </row>
    <row r="126">
      <c r="B126" s="49" t="n"/>
      <c r="C126" s="50" t="n"/>
      <c r="D126" s="49" t="n"/>
    </row>
    <row r="127">
      <c r="B127" s="49" t="n"/>
      <c r="C127" s="50" t="n"/>
      <c r="D127" s="49" t="n"/>
    </row>
    <row r="128">
      <c r="B128" s="49" t="n"/>
      <c r="C128" s="50" t="n"/>
      <c r="D128" s="49" t="n"/>
    </row>
    <row r="129">
      <c r="B129" s="49" t="n"/>
      <c r="C129" s="50" t="n"/>
      <c r="D129" s="49" t="n"/>
    </row>
    <row r="130">
      <c r="B130" s="49" t="n"/>
      <c r="C130" s="50" t="n"/>
      <c r="D130" s="49" t="n"/>
    </row>
    <row r="131">
      <c r="B131" s="49" t="n"/>
      <c r="C131" s="50" t="n"/>
      <c r="D131" s="49" t="n"/>
    </row>
    <row r="132">
      <c r="B132" s="49" t="n"/>
      <c r="C132" s="50" t="n"/>
      <c r="D132" s="49" t="n"/>
    </row>
    <row r="133">
      <c r="B133" s="49" t="n"/>
      <c r="C133" s="50" t="n"/>
      <c r="D133" s="49" t="n"/>
    </row>
    <row r="134">
      <c r="B134" s="49" t="n"/>
      <c r="C134" s="50" t="n"/>
      <c r="D134" s="49" t="n"/>
    </row>
    <row r="135">
      <c r="B135" s="49" t="n"/>
      <c r="C135" s="50" t="n"/>
      <c r="D135" s="49" t="n"/>
    </row>
    <row r="136">
      <c r="B136" s="49" t="n"/>
      <c r="C136" s="50" t="n"/>
      <c r="D136" s="49" t="n"/>
    </row>
    <row r="137">
      <c r="B137" s="49" t="n"/>
      <c r="C137" s="50" t="n"/>
      <c r="D137" s="49" t="n"/>
    </row>
    <row r="138">
      <c r="B138" s="49" t="n"/>
      <c r="C138" s="50" t="n"/>
      <c r="D138" s="49" t="n"/>
    </row>
    <row r="139">
      <c r="B139" s="49" t="n"/>
      <c r="C139" s="50" t="n"/>
      <c r="D139" s="49" t="n"/>
    </row>
    <row r="140">
      <c r="B140" s="49" t="n"/>
      <c r="C140" s="50" t="n"/>
      <c r="D140" s="49" t="n"/>
    </row>
    <row r="141">
      <c r="B141" s="49" t="n"/>
      <c r="C141" s="50" t="n"/>
      <c r="D141" s="49" t="n"/>
    </row>
    <row r="142">
      <c r="B142" s="49" t="n"/>
      <c r="C142" s="50" t="n"/>
      <c r="D142" s="49" t="n"/>
    </row>
    <row r="143">
      <c r="B143" s="49" t="n"/>
      <c r="C143" s="50" t="n"/>
      <c r="D143" s="49" t="n"/>
    </row>
    <row r="144">
      <c r="B144" s="49" t="n"/>
      <c r="C144" s="50" t="n"/>
      <c r="D144" s="49" t="n"/>
    </row>
    <row r="145">
      <c r="B145" s="49" t="n"/>
      <c r="C145" s="50" t="n"/>
      <c r="D145" s="49" t="n"/>
    </row>
    <row r="146">
      <c r="B146" s="49" t="n"/>
      <c r="C146" s="50" t="n"/>
      <c r="D146" s="49" t="n"/>
    </row>
    <row r="147">
      <c r="B147" s="49" t="n"/>
      <c r="C147" s="50" t="n"/>
      <c r="D147" s="49" t="n"/>
    </row>
    <row r="148">
      <c r="B148" s="49" t="n"/>
      <c r="C148" s="50" t="n"/>
      <c r="D148" s="49" t="n"/>
    </row>
    <row r="149">
      <c r="B149" s="49" t="n"/>
      <c r="C149" s="50" t="n"/>
      <c r="D149" s="49" t="n"/>
    </row>
    <row r="150">
      <c r="B150" s="49" t="n"/>
      <c r="C150" s="50" t="n"/>
      <c r="D150" s="49" t="n"/>
    </row>
    <row r="151">
      <c r="B151" s="49" t="n"/>
      <c r="C151" s="50" t="n"/>
      <c r="D151" s="49" t="n"/>
    </row>
    <row r="152">
      <c r="B152" s="49" t="n"/>
      <c r="C152" s="50" t="n"/>
      <c r="D152" s="49" t="n"/>
    </row>
    <row r="153">
      <c r="B153" s="49" t="n"/>
      <c r="C153" s="50" t="n"/>
      <c r="D153" s="49" t="n"/>
    </row>
    <row r="154">
      <c r="B154" s="49" t="n"/>
      <c r="C154" s="50" t="n"/>
      <c r="D154" s="49" t="n"/>
    </row>
    <row r="155">
      <c r="B155" s="49" t="n"/>
      <c r="C155" s="50" t="n"/>
      <c r="D155" s="49" t="n"/>
    </row>
    <row r="156">
      <c r="B156" s="49" t="n"/>
      <c r="C156" s="50" t="n"/>
      <c r="D156" s="49" t="n"/>
    </row>
    <row r="157">
      <c r="B157" s="49" t="n"/>
      <c r="C157" s="50" t="n"/>
      <c r="D157" s="49" t="n"/>
    </row>
    <row r="158">
      <c r="B158" s="49" t="n"/>
      <c r="C158" s="50" t="n"/>
      <c r="D158" s="49" t="n"/>
    </row>
    <row r="159">
      <c r="B159" s="49" t="n"/>
      <c r="C159" s="50" t="n"/>
      <c r="D159" s="49" t="n"/>
    </row>
    <row r="160">
      <c r="B160" s="49" t="n"/>
      <c r="C160" s="50" t="n"/>
      <c r="D160" s="49" t="n"/>
    </row>
    <row r="161">
      <c r="B161" s="49" t="n"/>
      <c r="C161" s="50" t="n"/>
      <c r="D161" s="49" t="n"/>
    </row>
    <row r="162">
      <c r="B162" s="49" t="n"/>
      <c r="C162" s="50" t="n"/>
      <c r="D162" s="49" t="n"/>
    </row>
    <row r="163">
      <c r="B163" s="49" t="n"/>
      <c r="C163" s="50" t="n"/>
      <c r="D163" s="49" t="n"/>
    </row>
    <row r="164">
      <c r="B164" s="49" t="n"/>
      <c r="C164" s="50" t="n"/>
      <c r="D164" s="49" t="n"/>
    </row>
    <row r="165">
      <c r="B165" s="49" t="n"/>
      <c r="C165" s="50" t="n"/>
      <c r="D165" s="49" t="n"/>
    </row>
    <row r="166">
      <c r="B166" s="49" t="n"/>
      <c r="C166" s="50" t="n"/>
      <c r="D166" s="49" t="n"/>
    </row>
    <row r="167">
      <c r="B167" s="49" t="n"/>
      <c r="C167" s="50" t="n"/>
      <c r="D167" s="49" t="n"/>
    </row>
    <row r="168">
      <c r="B168" s="49" t="n"/>
      <c r="C168" s="50" t="n"/>
      <c r="D168" s="49" t="n"/>
    </row>
    <row r="169">
      <c r="B169" s="49" t="n"/>
      <c r="C169" s="50" t="n"/>
      <c r="D169" s="49" t="n"/>
    </row>
    <row r="170">
      <c r="B170" s="49" t="n"/>
      <c r="C170" s="50" t="n"/>
      <c r="D170" s="49" t="n"/>
    </row>
    <row r="171">
      <c r="B171" s="49" t="n"/>
      <c r="C171" s="50" t="n"/>
      <c r="D171" s="49" t="n"/>
    </row>
    <row r="172">
      <c r="B172" s="49" t="n"/>
      <c r="C172" s="50" t="n"/>
      <c r="D172" s="49" t="n"/>
    </row>
    <row r="173">
      <c r="B173" s="49" t="n"/>
      <c r="C173" s="50" t="n"/>
      <c r="D173" s="49" t="n"/>
    </row>
    <row r="174">
      <c r="B174" s="49" t="n"/>
      <c r="C174" s="50" t="n"/>
      <c r="D174" s="49" t="n"/>
    </row>
    <row r="175">
      <c r="B175" s="49" t="n"/>
      <c r="C175" s="50" t="n"/>
      <c r="D175" s="49" t="n"/>
    </row>
    <row r="176">
      <c r="B176" s="49" t="n"/>
      <c r="C176" s="50" t="n"/>
      <c r="D176" s="49" t="n"/>
    </row>
    <row r="177">
      <c r="B177" s="49" t="n"/>
      <c r="C177" s="50" t="n"/>
      <c r="D177" s="49" t="n"/>
    </row>
    <row r="178">
      <c r="B178" s="49" t="n"/>
      <c r="C178" s="50" t="n"/>
      <c r="D178" s="49" t="n"/>
    </row>
    <row r="179">
      <c r="B179" s="49" t="n"/>
      <c r="C179" s="50" t="n"/>
      <c r="D179" s="49" t="n"/>
    </row>
    <row r="180">
      <c r="B180" s="49" t="n"/>
      <c r="C180" s="50" t="n"/>
      <c r="D180" s="49" t="n"/>
    </row>
    <row r="181">
      <c r="B181" s="49" t="n"/>
      <c r="C181" s="50" t="n"/>
      <c r="D181" s="49" t="n"/>
    </row>
    <row r="182">
      <c r="B182" s="49" t="n"/>
      <c r="C182" s="50" t="n"/>
      <c r="D182" s="49" t="n"/>
    </row>
    <row r="183">
      <c r="B183" s="49" t="n"/>
      <c r="C183" s="50" t="n"/>
      <c r="D183" s="49" t="n"/>
    </row>
    <row r="184">
      <c r="B184" s="49" t="n"/>
      <c r="C184" s="50" t="n"/>
      <c r="D184" s="49" t="n"/>
    </row>
    <row r="185">
      <c r="B185" s="49" t="n"/>
      <c r="C185" s="50" t="n"/>
      <c r="D185" s="49" t="n"/>
    </row>
    <row r="186">
      <c r="B186" s="49" t="n"/>
      <c r="C186" s="50" t="n"/>
      <c r="D186" s="49" t="n"/>
    </row>
    <row r="187">
      <c r="B187" s="49" t="n"/>
      <c r="C187" s="50" t="n"/>
      <c r="D187" s="49" t="n"/>
    </row>
    <row r="188">
      <c r="B188" s="49" t="n"/>
      <c r="C188" s="50" t="n"/>
      <c r="D188" s="49" t="n"/>
    </row>
    <row r="189">
      <c r="B189" s="49" t="n"/>
      <c r="C189" s="50" t="n"/>
      <c r="D189" s="49" t="n"/>
    </row>
    <row r="190">
      <c r="B190" s="49" t="n"/>
      <c r="C190" s="50" t="n"/>
      <c r="D190" s="49" t="n"/>
    </row>
    <row r="191">
      <c r="B191" s="49" t="n"/>
      <c r="C191" s="50" t="n"/>
      <c r="D191" s="49" t="n"/>
    </row>
    <row r="192">
      <c r="B192" s="49" t="n"/>
      <c r="C192" s="50" t="n"/>
      <c r="D192" s="49" t="n"/>
    </row>
    <row r="193">
      <c r="B193" s="49" t="n"/>
      <c r="C193" s="50" t="n"/>
      <c r="D193" s="49" t="n"/>
    </row>
    <row r="194">
      <c r="B194" s="49" t="n"/>
      <c r="C194" s="50" t="n"/>
      <c r="D194" s="49" t="n"/>
    </row>
    <row r="195">
      <c r="B195" s="49" t="n"/>
      <c r="C195" s="50" t="n"/>
      <c r="D195" s="49" t="n"/>
    </row>
    <row r="196">
      <c r="B196" s="49" t="n"/>
      <c r="C196" s="50" t="n"/>
      <c r="D196" s="49" t="n"/>
    </row>
    <row r="197">
      <c r="B197" s="49" t="n"/>
      <c r="C197" s="50" t="n"/>
      <c r="D197" s="49" t="n"/>
    </row>
    <row r="198">
      <c r="B198" s="49" t="n"/>
      <c r="C198" s="50" t="n"/>
      <c r="D198" s="49" t="n"/>
    </row>
    <row r="199">
      <c r="B199" s="49" t="n"/>
      <c r="C199" s="50" t="n"/>
      <c r="D199" s="49" t="n"/>
    </row>
    <row r="200">
      <c r="B200" s="49" t="n"/>
      <c r="C200" s="50" t="n"/>
      <c r="D200" s="49" t="n"/>
    </row>
    <row r="201">
      <c r="B201" s="49" t="n"/>
      <c r="C201" s="50" t="n"/>
      <c r="D201" s="49" t="n"/>
    </row>
    <row r="202">
      <c r="B202" s="49" t="n"/>
      <c r="C202" s="50" t="n"/>
      <c r="D202" s="49" t="n"/>
    </row>
    <row r="203">
      <c r="B203" s="49" t="n"/>
      <c r="C203" s="50" t="n"/>
      <c r="D203" s="49" t="n"/>
    </row>
    <row r="204">
      <c r="B204" s="49" t="n"/>
      <c r="C204" s="50" t="n"/>
      <c r="D204" s="49" t="n"/>
    </row>
    <row r="205">
      <c r="B205" s="49" t="n"/>
      <c r="C205" s="50" t="n"/>
      <c r="D205" s="49" t="n"/>
    </row>
    <row r="206">
      <c r="B206" s="49" t="n"/>
      <c r="C206" s="50" t="n"/>
      <c r="D206" s="49" t="n"/>
    </row>
    <row r="207">
      <c r="B207" s="49" t="n"/>
      <c r="C207" s="50" t="n"/>
      <c r="D207" s="49" t="n"/>
    </row>
    <row r="208">
      <c r="B208" s="49" t="n"/>
      <c r="C208" s="50" t="n"/>
      <c r="D208" s="49" t="n"/>
    </row>
    <row r="209">
      <c r="B209" s="49" t="n"/>
      <c r="C209" s="50" t="n"/>
      <c r="D209" s="49" t="n"/>
    </row>
    <row r="210">
      <c r="B210" s="49" t="n"/>
      <c r="C210" s="50" t="n"/>
      <c r="D210" s="49" t="n"/>
    </row>
    <row r="211">
      <c r="B211" s="49" t="n"/>
      <c r="C211" s="50" t="n"/>
      <c r="D211" s="49" t="n"/>
    </row>
    <row r="212">
      <c r="B212" s="49" t="n"/>
      <c r="C212" s="50" t="n"/>
      <c r="D212" s="49" t="n"/>
    </row>
    <row r="213">
      <c r="B213" s="49" t="n"/>
      <c r="C213" s="50" t="n"/>
      <c r="D213" s="49" t="n"/>
    </row>
    <row r="214">
      <c r="B214" s="49" t="n"/>
      <c r="C214" s="50" t="n"/>
      <c r="D214" s="49" t="n"/>
    </row>
    <row r="215">
      <c r="B215" s="49" t="n"/>
      <c r="C215" s="50" t="n"/>
      <c r="D215" s="49" t="n"/>
    </row>
    <row r="216">
      <c r="B216" s="49" t="n"/>
      <c r="C216" s="50" t="n"/>
      <c r="D216" s="49" t="n"/>
    </row>
    <row r="217">
      <c r="B217" s="49" t="n"/>
      <c r="C217" s="50" t="n"/>
      <c r="D217" s="49" t="n"/>
    </row>
    <row r="218">
      <c r="B218" s="49" t="n"/>
      <c r="C218" s="50" t="n"/>
      <c r="D218" s="49" t="n"/>
    </row>
    <row r="219">
      <c r="B219" s="49" t="n"/>
      <c r="C219" s="50" t="n"/>
      <c r="D219" s="49" t="n"/>
    </row>
    <row r="220">
      <c r="B220" s="49" t="n"/>
      <c r="C220" s="50" t="n"/>
      <c r="D220" s="49" t="n"/>
    </row>
    <row r="221">
      <c r="B221" s="49" t="n"/>
      <c r="C221" s="50" t="n"/>
      <c r="D221" s="49" t="n"/>
    </row>
    <row r="222">
      <c r="B222" s="49" t="n"/>
      <c r="C222" s="50" t="n"/>
      <c r="D222" s="49" t="n"/>
    </row>
    <row r="223">
      <c r="B223" s="49" t="n"/>
      <c r="C223" s="50" t="n"/>
      <c r="D223" s="49" t="n"/>
    </row>
    <row r="224">
      <c r="B224" s="49" t="n"/>
      <c r="C224" s="50" t="n"/>
      <c r="D224" s="49" t="n"/>
    </row>
    <row r="225">
      <c r="B225" s="49" t="n"/>
      <c r="C225" s="50" t="n"/>
      <c r="D225" s="49" t="n"/>
    </row>
    <row r="226">
      <c r="B226" s="49" t="n"/>
      <c r="C226" s="50" t="n"/>
      <c r="D226" s="49" t="n"/>
    </row>
    <row r="227">
      <c r="B227" s="49" t="n"/>
      <c r="C227" s="50" t="n"/>
      <c r="D227" s="49" t="n"/>
    </row>
    <row r="228">
      <c r="B228" s="49" t="n"/>
      <c r="C228" s="50" t="n"/>
      <c r="D228" s="49" t="n"/>
    </row>
    <row r="229">
      <c r="B229" s="49" t="n"/>
      <c r="C229" s="50" t="n"/>
      <c r="D229" s="49" t="n"/>
    </row>
    <row r="230">
      <c r="B230" s="49" t="n"/>
      <c r="C230" s="50" t="n"/>
      <c r="D230" s="49" t="n"/>
    </row>
    <row r="231">
      <c r="B231" s="49" t="n"/>
      <c r="C231" s="50" t="n"/>
      <c r="D231" s="49" t="n"/>
    </row>
    <row r="232">
      <c r="B232" s="49" t="n"/>
      <c r="C232" s="50" t="n"/>
      <c r="D232" s="49" t="n"/>
    </row>
    <row r="233">
      <c r="B233" s="49" t="n"/>
      <c r="C233" s="50" t="n"/>
      <c r="D233" s="49" t="n"/>
    </row>
    <row r="234">
      <c r="B234" s="49" t="n"/>
      <c r="C234" s="50" t="n"/>
      <c r="D234" s="49" t="n"/>
    </row>
    <row r="235">
      <c r="B235" s="49" t="n"/>
      <c r="C235" s="50" t="n"/>
      <c r="D235" s="49" t="n"/>
    </row>
    <row r="236">
      <c r="B236" s="49" t="n"/>
      <c r="C236" s="50" t="n"/>
      <c r="D236" s="49" t="n"/>
    </row>
    <row r="237">
      <c r="B237" s="49" t="n"/>
      <c r="C237" s="50" t="n"/>
      <c r="D237" s="49" t="n"/>
    </row>
    <row r="238">
      <c r="B238" s="49" t="n"/>
      <c r="C238" s="50" t="n"/>
      <c r="D238" s="49" t="n"/>
    </row>
    <row r="239">
      <c r="B239" s="49" t="n"/>
      <c r="C239" s="50" t="n"/>
      <c r="D239" s="49" t="n"/>
    </row>
    <row r="240">
      <c r="B240" s="49" t="n"/>
      <c r="C240" s="50" t="n"/>
      <c r="D240" s="49" t="n"/>
    </row>
    <row r="241">
      <c r="B241" s="49" t="n"/>
      <c r="C241" s="50" t="n"/>
      <c r="D241" s="49" t="n"/>
    </row>
    <row r="242">
      <c r="B242" s="49" t="n"/>
      <c r="C242" s="50" t="n"/>
      <c r="D242" s="49" t="n"/>
    </row>
    <row r="243">
      <c r="B243" s="49" t="n"/>
      <c r="C243" s="50" t="n"/>
      <c r="D243" s="49" t="n"/>
    </row>
    <row r="244">
      <c r="B244" s="49" t="n"/>
      <c r="C244" s="50" t="n"/>
      <c r="D244" s="49" t="n"/>
    </row>
    <row r="245">
      <c r="B245" s="49" t="n"/>
      <c r="C245" s="50" t="n"/>
      <c r="D245" s="49" t="n"/>
    </row>
    <row r="246">
      <c r="B246" s="49" t="n"/>
      <c r="C246" s="50" t="n"/>
      <c r="D246" s="49" t="n"/>
    </row>
    <row r="247">
      <c r="B247" s="49" t="n"/>
      <c r="C247" s="50" t="n"/>
      <c r="D247" s="49" t="n"/>
    </row>
    <row r="248">
      <c r="B248" s="49" t="n"/>
      <c r="C248" s="50" t="n"/>
      <c r="D248" s="49" t="n"/>
    </row>
    <row r="249">
      <c r="B249" s="49" t="n"/>
      <c r="C249" s="50" t="n"/>
      <c r="D249" s="49" t="n"/>
    </row>
    <row r="250">
      <c r="B250" s="49" t="n"/>
      <c r="C250" s="50" t="n"/>
      <c r="D250" s="49" t="n"/>
    </row>
    <row r="251">
      <c r="B251" s="49" t="n"/>
      <c r="C251" s="50" t="n"/>
      <c r="D251" s="49" t="n"/>
    </row>
    <row r="252">
      <c r="B252" s="49" t="n"/>
      <c r="C252" s="50" t="n"/>
      <c r="D252" s="49" t="n"/>
    </row>
    <row r="253">
      <c r="B253" s="49" t="n"/>
      <c r="C253" s="50" t="n"/>
      <c r="D253" s="49" t="n"/>
    </row>
    <row r="254">
      <c r="B254" s="49" t="n"/>
      <c r="C254" s="50" t="n"/>
      <c r="D254" s="49" t="n"/>
    </row>
    <row r="255">
      <c r="B255" s="49" t="n"/>
      <c r="C255" s="50" t="n"/>
      <c r="D255" s="49" t="n"/>
    </row>
    <row r="256">
      <c r="B256" s="49" t="n"/>
      <c r="C256" s="50" t="n"/>
      <c r="D256" s="49" t="n"/>
    </row>
    <row r="257">
      <c r="B257" s="49" t="n"/>
      <c r="C257" s="50" t="n"/>
      <c r="D257" s="49" t="n"/>
    </row>
    <row r="258">
      <c r="B258" s="49" t="n"/>
      <c r="C258" s="50" t="n"/>
      <c r="D258" s="49" t="n"/>
    </row>
    <row r="259">
      <c r="B259" s="49" t="n"/>
      <c r="C259" s="50" t="n"/>
      <c r="D259" s="49" t="n"/>
    </row>
    <row r="260">
      <c r="B260" s="49" t="n"/>
      <c r="C260" s="50" t="n"/>
      <c r="D260" s="49" t="n"/>
    </row>
    <row r="261">
      <c r="B261" s="49" t="n"/>
      <c r="C261" s="50" t="n"/>
      <c r="D261" s="49" t="n"/>
    </row>
    <row r="262">
      <c r="B262" s="49" t="n"/>
      <c r="C262" s="50" t="n"/>
      <c r="D262" s="49" t="n"/>
    </row>
    <row r="263">
      <c r="B263" s="49" t="n"/>
      <c r="C263" s="50" t="n"/>
      <c r="D263" s="49" t="n"/>
    </row>
    <row r="264">
      <c r="B264" s="49" t="n"/>
      <c r="C264" s="50" t="n"/>
      <c r="D264" s="49" t="n"/>
    </row>
    <row r="265">
      <c r="B265" s="49" t="n"/>
      <c r="C265" s="50" t="n"/>
      <c r="D265" s="49" t="n"/>
    </row>
    <row r="266">
      <c r="B266" s="49" t="n"/>
      <c r="C266" s="50" t="n"/>
      <c r="D266" s="49" t="n"/>
    </row>
    <row r="267">
      <c r="B267" s="49" t="n"/>
      <c r="C267" s="50" t="n"/>
      <c r="D267" s="49" t="n"/>
    </row>
    <row r="268">
      <c r="B268" s="49" t="n"/>
      <c r="C268" s="50" t="n"/>
      <c r="D268" s="49" t="n"/>
    </row>
    <row r="269">
      <c r="B269" s="49" t="n"/>
      <c r="C269" s="50" t="n"/>
      <c r="D269" s="49" t="n"/>
    </row>
    <row r="270">
      <c r="B270" s="49" t="n"/>
      <c r="C270" s="50" t="n"/>
      <c r="D270" s="49" t="n"/>
    </row>
    <row r="271">
      <c r="B271" s="49" t="n"/>
      <c r="C271" s="50" t="n"/>
      <c r="D271" s="49" t="n"/>
    </row>
    <row r="272">
      <c r="B272" s="49" t="n"/>
      <c r="C272" s="50" t="n"/>
      <c r="D272" s="49" t="n"/>
    </row>
    <row r="273">
      <c r="B273" s="49" t="n"/>
      <c r="C273" s="50" t="n"/>
      <c r="D273" s="49" t="n"/>
    </row>
    <row r="274">
      <c r="B274" s="49" t="n"/>
      <c r="C274" s="50" t="n"/>
      <c r="D274" s="49" t="n"/>
    </row>
    <row r="275">
      <c r="B275" s="49" t="n"/>
      <c r="C275" s="50" t="n"/>
      <c r="D275" s="49" t="n"/>
    </row>
    <row r="276">
      <c r="B276" s="49" t="n"/>
      <c r="C276" s="50" t="n"/>
      <c r="D276" s="49" t="n"/>
    </row>
    <row r="277">
      <c r="B277" s="49" t="n"/>
      <c r="C277" s="50" t="n"/>
      <c r="D277" s="49" t="n"/>
    </row>
    <row r="278">
      <c r="B278" s="49" t="n"/>
      <c r="C278" s="50" t="n"/>
      <c r="D278" s="49" t="n"/>
    </row>
    <row r="279">
      <c r="B279" s="49" t="n"/>
      <c r="C279" s="50" t="n"/>
      <c r="D279" s="49" t="n"/>
    </row>
    <row r="280">
      <c r="B280" s="49" t="n"/>
      <c r="C280" s="50" t="n"/>
      <c r="D280" s="49" t="n"/>
    </row>
    <row r="281">
      <c r="B281" s="49" t="n"/>
      <c r="C281" s="50" t="n"/>
      <c r="D281" s="49" t="n"/>
    </row>
    <row r="282">
      <c r="B282" s="49" t="n"/>
      <c r="C282" s="50" t="n"/>
      <c r="D282" s="49" t="n"/>
    </row>
    <row r="283">
      <c r="B283" s="49" t="n"/>
      <c r="C283" s="50" t="n"/>
      <c r="D283" s="49" t="n"/>
    </row>
    <row r="284">
      <c r="B284" s="49" t="n"/>
      <c r="C284" s="50" t="n"/>
      <c r="D284" s="49" t="n"/>
    </row>
    <row r="285">
      <c r="B285" s="49" t="n"/>
      <c r="C285" s="50" t="n"/>
      <c r="D285" s="49" t="n"/>
    </row>
    <row r="286">
      <c r="B286" s="49" t="n"/>
      <c r="C286" s="50" t="n"/>
      <c r="D286" s="49" t="n"/>
    </row>
    <row r="287">
      <c r="B287" s="49" t="n"/>
      <c r="C287" s="50" t="n"/>
      <c r="D287" s="49" t="n"/>
    </row>
    <row r="288">
      <c r="B288" s="49" t="n"/>
      <c r="C288" s="50" t="n"/>
      <c r="D288" s="49" t="n"/>
    </row>
    <row r="289">
      <c r="B289" s="49" t="n"/>
      <c r="C289" s="50" t="n"/>
      <c r="D289" s="49" t="n"/>
    </row>
    <row r="290">
      <c r="B290" s="49" t="n"/>
      <c r="C290" s="50" t="n"/>
      <c r="D290" s="49" t="n"/>
    </row>
    <row r="291">
      <c r="B291" s="49" t="n"/>
      <c r="C291" s="50" t="n"/>
      <c r="D291" s="49" t="n"/>
    </row>
    <row r="292">
      <c r="B292" s="49" t="n"/>
      <c r="C292" s="50" t="n"/>
      <c r="D292" s="49" t="n"/>
    </row>
    <row r="293">
      <c r="B293" s="49" t="n"/>
      <c r="C293" s="50" t="n"/>
      <c r="D293" s="49" t="n"/>
    </row>
    <row r="294">
      <c r="B294" s="49" t="n"/>
      <c r="C294" s="50" t="n"/>
      <c r="D294" s="49" t="n"/>
    </row>
    <row r="295">
      <c r="B295" s="49" t="n"/>
      <c r="C295" s="50" t="n"/>
      <c r="D295" s="49" t="n"/>
    </row>
    <row r="296">
      <c r="B296" s="49" t="n"/>
      <c r="C296" s="50" t="n"/>
      <c r="D296" s="49" t="n"/>
    </row>
    <row r="297">
      <c r="B297" s="49" t="n"/>
      <c r="C297" s="50" t="n"/>
      <c r="D297" s="49" t="n"/>
    </row>
    <row r="298">
      <c r="B298" s="49" t="n"/>
      <c r="C298" s="50" t="n"/>
      <c r="D298" s="49" t="n"/>
    </row>
    <row r="299">
      <c r="B299" s="49" t="n"/>
      <c r="C299" s="50" t="n"/>
      <c r="D299" s="49" t="n"/>
    </row>
    <row r="300">
      <c r="B300" s="49" t="n"/>
      <c r="C300" s="50" t="n"/>
      <c r="D300" s="49" t="n"/>
    </row>
    <row r="301">
      <c r="B301" s="49" t="n"/>
      <c r="C301" s="50" t="n"/>
      <c r="D301" s="49" t="n"/>
    </row>
    <row r="302">
      <c r="B302" s="49" t="n"/>
      <c r="C302" s="50" t="n"/>
      <c r="D302" s="49" t="n"/>
    </row>
    <row r="303">
      <c r="B303" s="49" t="n"/>
      <c r="C303" s="50" t="n"/>
      <c r="D303" s="49" t="n"/>
    </row>
    <row r="304">
      <c r="B304" s="49" t="n"/>
      <c r="C304" s="50" t="n"/>
      <c r="D304" s="49" t="n"/>
    </row>
    <row r="305">
      <c r="B305" s="49" t="n"/>
      <c r="C305" s="50" t="n"/>
      <c r="D305" s="49" t="n"/>
    </row>
    <row r="306">
      <c r="B306" s="49" t="n"/>
      <c r="C306" s="50" t="n"/>
      <c r="D306" s="49" t="n"/>
    </row>
    <row r="307">
      <c r="B307" s="49" t="n"/>
      <c r="C307" s="50" t="n"/>
      <c r="D307" s="49" t="n"/>
    </row>
    <row r="308">
      <c r="B308" s="49" t="n"/>
      <c r="C308" s="50" t="n"/>
      <c r="D308" s="49" t="n"/>
    </row>
    <row r="309">
      <c r="B309" s="49" t="n"/>
      <c r="C309" s="50" t="n"/>
      <c r="D309" s="49" t="n"/>
    </row>
    <row r="310">
      <c r="B310" s="49" t="n"/>
      <c r="C310" s="50" t="n"/>
      <c r="D310" s="49" t="n"/>
    </row>
    <row r="311">
      <c r="B311" s="49" t="n"/>
      <c r="C311" s="50" t="n"/>
      <c r="D311" s="49" t="n"/>
    </row>
    <row r="312">
      <c r="B312" s="49" t="n"/>
      <c r="C312" s="50" t="n"/>
      <c r="D312" s="49" t="n"/>
    </row>
    <row r="313">
      <c r="B313" s="49" t="n"/>
      <c r="C313" s="50" t="n"/>
      <c r="D313" s="49" t="n"/>
    </row>
    <row r="314">
      <c r="B314" s="49" t="n"/>
      <c r="C314" s="50" t="n"/>
      <c r="D314" s="49" t="n"/>
    </row>
    <row r="315">
      <c r="B315" s="49" t="n"/>
      <c r="C315" s="50" t="n"/>
      <c r="D315" s="49" t="n"/>
    </row>
    <row r="316">
      <c r="B316" s="49" t="n"/>
      <c r="C316" s="50" t="n"/>
      <c r="D316" s="49" t="n"/>
    </row>
    <row r="317">
      <c r="B317" s="49" t="n"/>
      <c r="C317" s="50" t="n"/>
      <c r="D317" s="49" t="n"/>
    </row>
    <row r="318">
      <c r="B318" s="49" t="n"/>
      <c r="C318" s="50" t="n"/>
      <c r="D318" s="49" t="n"/>
    </row>
    <row r="319">
      <c r="B319" s="49" t="n"/>
      <c r="C319" s="50" t="n"/>
      <c r="D319" s="49" t="n"/>
    </row>
    <row r="320">
      <c r="B320" s="49" t="n"/>
      <c r="C320" s="50" t="n"/>
      <c r="D320" s="49" t="n"/>
    </row>
    <row r="321">
      <c r="B321" s="49" t="n"/>
      <c r="C321" s="50" t="n"/>
      <c r="D321" s="49" t="n"/>
    </row>
    <row r="322">
      <c r="B322" s="49" t="n"/>
      <c r="C322" s="50" t="n"/>
      <c r="D322" s="49" t="n"/>
    </row>
    <row r="323">
      <c r="B323" s="49" t="n"/>
      <c r="C323" s="50" t="n"/>
      <c r="D323" s="49" t="n"/>
    </row>
    <row r="324">
      <c r="B324" s="49" t="n"/>
      <c r="C324" s="50" t="n"/>
      <c r="D324" s="49" t="n"/>
    </row>
    <row r="325">
      <c r="B325" s="49" t="n"/>
      <c r="C325" s="50" t="n"/>
      <c r="D325" s="49" t="n"/>
    </row>
    <row r="326">
      <c r="B326" s="49" t="n"/>
      <c r="C326" s="50" t="n"/>
      <c r="D326" s="49" t="n"/>
    </row>
    <row r="327">
      <c r="B327" s="49" t="n"/>
      <c r="C327" s="50" t="n"/>
      <c r="D327" s="49" t="n"/>
    </row>
    <row r="328">
      <c r="B328" s="49" t="n"/>
      <c r="C328" s="50" t="n"/>
      <c r="D328" s="49" t="n"/>
    </row>
    <row r="329">
      <c r="B329" s="49" t="n"/>
      <c r="C329" s="50" t="n"/>
      <c r="D329" s="49" t="n"/>
    </row>
    <row r="330">
      <c r="B330" s="49" t="n"/>
      <c r="C330" s="50" t="n"/>
      <c r="D330" s="49" t="n"/>
    </row>
    <row r="331">
      <c r="B331" s="49" t="n"/>
      <c r="C331" s="50" t="n"/>
      <c r="D331" s="49" t="n"/>
    </row>
    <row r="332">
      <c r="B332" s="49" t="n"/>
      <c r="C332" s="50" t="n"/>
      <c r="D332" s="49" t="n"/>
    </row>
    <row r="333">
      <c r="B333" s="49" t="n"/>
      <c r="C333" s="50" t="n"/>
      <c r="D333" s="49" t="n"/>
    </row>
    <row r="334">
      <c r="B334" s="49" t="n"/>
      <c r="C334" s="50" t="n"/>
      <c r="D334" s="49" t="n"/>
    </row>
    <row r="335">
      <c r="B335" s="49" t="n"/>
      <c r="C335" s="50" t="n"/>
      <c r="D335" s="49" t="n"/>
    </row>
    <row r="336">
      <c r="B336" s="49" t="n"/>
      <c r="C336" s="50" t="n"/>
      <c r="D336" s="49" t="n"/>
    </row>
    <row r="337">
      <c r="B337" s="49" t="n"/>
      <c r="C337" s="50" t="n"/>
      <c r="D337" s="49" t="n"/>
    </row>
    <row r="338">
      <c r="B338" s="49" t="n"/>
      <c r="C338" s="50" t="n"/>
      <c r="D338" s="49" t="n"/>
    </row>
    <row r="339">
      <c r="B339" s="49" t="n"/>
      <c r="C339" s="50" t="n"/>
      <c r="D339" s="49" t="n"/>
    </row>
    <row r="340">
      <c r="B340" s="49" t="n"/>
      <c r="C340" s="50" t="n"/>
      <c r="D340" s="49" t="n"/>
    </row>
    <row r="341">
      <c r="B341" s="49" t="n"/>
      <c r="C341" s="50" t="n"/>
      <c r="D341" s="49" t="n"/>
    </row>
    <row r="342">
      <c r="B342" s="49" t="n"/>
      <c r="C342" s="50" t="n"/>
      <c r="D342" s="49" t="n"/>
    </row>
    <row r="343">
      <c r="B343" s="49" t="n"/>
      <c r="C343" s="50" t="n"/>
      <c r="D343" s="49" t="n"/>
    </row>
    <row r="344">
      <c r="B344" s="49" t="n"/>
      <c r="C344" s="50" t="n"/>
      <c r="D344" s="49" t="n"/>
    </row>
    <row r="345">
      <c r="B345" s="49" t="n"/>
      <c r="C345" s="50" t="n"/>
      <c r="D345" s="49" t="n"/>
    </row>
    <row r="346">
      <c r="B346" s="49" t="n"/>
      <c r="C346" s="50" t="n"/>
      <c r="D346" s="49" t="n"/>
    </row>
    <row r="347">
      <c r="B347" s="49" t="n"/>
      <c r="C347" s="50" t="n"/>
      <c r="D347" s="49" t="n"/>
    </row>
    <row r="348">
      <c r="B348" s="49" t="n"/>
      <c r="C348" s="50" t="n"/>
      <c r="D348" s="49" t="n"/>
    </row>
    <row r="349">
      <c r="B349" s="49" t="n"/>
      <c r="C349" s="50" t="n"/>
      <c r="D349" s="49" t="n"/>
    </row>
    <row r="350">
      <c r="B350" s="49" t="n"/>
      <c r="C350" s="50" t="n"/>
      <c r="D350" s="49" t="n"/>
    </row>
    <row r="351">
      <c r="B351" s="49" t="n"/>
      <c r="C351" s="50" t="n"/>
      <c r="D351" s="49" t="n"/>
    </row>
    <row r="352">
      <c r="B352" s="49" t="n"/>
      <c r="C352" s="50" t="n"/>
      <c r="D352" s="49" t="n"/>
    </row>
    <row r="353">
      <c r="B353" s="49" t="n"/>
      <c r="C353" s="50" t="n"/>
      <c r="D353" s="49" t="n"/>
    </row>
    <row r="354">
      <c r="B354" s="49" t="n"/>
      <c r="C354" s="50" t="n"/>
      <c r="D354" s="49" t="n"/>
    </row>
    <row r="355">
      <c r="B355" s="49" t="n"/>
      <c r="C355" s="50" t="n"/>
      <c r="D355" s="49" t="n"/>
    </row>
    <row r="356">
      <c r="B356" s="49" t="n"/>
      <c r="C356" s="50" t="n"/>
      <c r="D356" s="49" t="n"/>
    </row>
    <row r="357">
      <c r="B357" s="49" t="n"/>
      <c r="C357" s="50" t="n"/>
      <c r="D357" s="49" t="n"/>
    </row>
    <row r="358">
      <c r="B358" s="49" t="n"/>
      <c r="C358" s="50" t="n"/>
      <c r="D358" s="49" t="n"/>
    </row>
    <row r="359">
      <c r="B359" s="49" t="n"/>
      <c r="C359" s="50" t="n"/>
      <c r="D359" s="49" t="n"/>
    </row>
    <row r="360">
      <c r="B360" s="49" t="n"/>
      <c r="C360" s="50" t="n"/>
      <c r="D360" s="49" t="n"/>
    </row>
    <row r="361">
      <c r="B361" s="49" t="n"/>
      <c r="C361" s="50" t="n"/>
      <c r="D361" s="49" t="n"/>
    </row>
    <row r="362">
      <c r="B362" s="49" t="n"/>
      <c r="C362" s="50" t="n"/>
      <c r="D362" s="49" t="n"/>
    </row>
    <row r="363">
      <c r="B363" s="49" t="n"/>
      <c r="C363" s="50" t="n"/>
      <c r="D363" s="49" t="n"/>
    </row>
    <row r="364">
      <c r="B364" s="49" t="n"/>
      <c r="C364" s="50" t="n"/>
      <c r="D364" s="49" t="n"/>
    </row>
    <row r="365">
      <c r="B365" s="49" t="n"/>
      <c r="C365" s="50" t="n"/>
      <c r="D365" s="49" t="n"/>
    </row>
    <row r="366">
      <c r="B366" s="49" t="n"/>
      <c r="C366" s="50" t="n"/>
      <c r="D366" s="49" t="n"/>
    </row>
    <row r="367">
      <c r="B367" s="49" t="n"/>
      <c r="C367" s="50" t="n"/>
      <c r="D367" s="49" t="n"/>
    </row>
    <row r="368">
      <c r="B368" s="49" t="n"/>
      <c r="C368" s="50" t="n"/>
      <c r="D368" s="49" t="n"/>
    </row>
    <row r="369">
      <c r="B369" s="49" t="n"/>
      <c r="C369" s="50" t="n"/>
      <c r="D369" s="49" t="n"/>
    </row>
    <row r="370">
      <c r="B370" s="49" t="n"/>
      <c r="C370" s="50" t="n"/>
      <c r="D370" s="49" t="n"/>
    </row>
    <row r="371">
      <c r="B371" s="49" t="n"/>
      <c r="C371" s="50" t="n"/>
      <c r="D371" s="49" t="n"/>
    </row>
    <row r="372">
      <c r="B372" s="49" t="n"/>
      <c r="C372" s="50" t="n"/>
      <c r="D372" s="49" t="n"/>
    </row>
    <row r="373">
      <c r="B373" s="49" t="n"/>
      <c r="C373" s="50" t="n"/>
      <c r="D373" s="49" t="n"/>
    </row>
    <row r="374">
      <c r="B374" s="49" t="n"/>
      <c r="C374" s="50" t="n"/>
      <c r="D374" s="49" t="n"/>
    </row>
    <row r="375">
      <c r="B375" s="49" t="n"/>
      <c r="C375" s="50" t="n"/>
      <c r="D375" s="49" t="n"/>
    </row>
    <row r="376">
      <c r="B376" s="49" t="n"/>
      <c r="C376" s="50" t="n"/>
      <c r="D376" s="49" t="n"/>
    </row>
    <row r="377">
      <c r="B377" s="49" t="n"/>
      <c r="C377" s="50" t="n"/>
      <c r="D377" s="49" t="n"/>
    </row>
    <row r="378">
      <c r="B378" s="49" t="n"/>
      <c r="C378" s="50" t="n"/>
      <c r="D378" s="49" t="n"/>
    </row>
    <row r="379">
      <c r="B379" s="49" t="n"/>
      <c r="C379" s="50" t="n"/>
      <c r="D379" s="49" t="n"/>
    </row>
    <row r="380">
      <c r="B380" s="49" t="n"/>
      <c r="C380" s="50" t="n"/>
      <c r="D380" s="49" t="n"/>
    </row>
    <row r="381">
      <c r="B381" s="49" t="n"/>
      <c r="C381" s="50" t="n"/>
      <c r="D381" s="49" t="n"/>
    </row>
    <row r="382">
      <c r="B382" s="49" t="n"/>
      <c r="C382" s="50" t="n"/>
      <c r="D382" s="49" t="n"/>
    </row>
    <row r="383">
      <c r="B383" s="49" t="n"/>
      <c r="C383" s="50" t="n"/>
      <c r="D383" s="49" t="n"/>
    </row>
    <row r="384">
      <c r="B384" s="49" t="n"/>
      <c r="C384" s="50" t="n"/>
      <c r="D384" s="49" t="n"/>
    </row>
    <row r="385">
      <c r="B385" s="49" t="n"/>
      <c r="C385" s="50" t="n"/>
      <c r="D385" s="49" t="n"/>
    </row>
    <row r="386">
      <c r="B386" s="49" t="n"/>
      <c r="C386" s="50" t="n"/>
      <c r="D386" s="49" t="n"/>
    </row>
    <row r="387">
      <c r="B387" s="49" t="n"/>
      <c r="C387" s="50" t="n"/>
      <c r="D387" s="49" t="n"/>
    </row>
    <row r="388">
      <c r="B388" s="49" t="n"/>
      <c r="C388" s="50" t="n"/>
      <c r="D388" s="49" t="n"/>
    </row>
    <row r="389">
      <c r="B389" s="49" t="n"/>
      <c r="C389" s="50" t="n"/>
      <c r="D389" s="49" t="n"/>
    </row>
    <row r="390">
      <c r="B390" s="49" t="n"/>
      <c r="C390" s="50" t="n"/>
      <c r="D390" s="49" t="n"/>
    </row>
    <row r="391">
      <c r="B391" s="49" t="n"/>
      <c r="C391" s="50" t="n"/>
      <c r="D391" s="49" t="n"/>
    </row>
    <row r="392">
      <c r="B392" s="49" t="n"/>
      <c r="C392" s="50" t="n"/>
      <c r="D392" s="49" t="n"/>
    </row>
    <row r="393">
      <c r="B393" s="49" t="n"/>
      <c r="C393" s="50" t="n"/>
      <c r="D393" s="49" t="n"/>
    </row>
    <row r="394">
      <c r="B394" s="49" t="n"/>
      <c r="C394" s="50" t="n"/>
      <c r="D394" s="49" t="n"/>
    </row>
    <row r="395">
      <c r="B395" s="49" t="n"/>
      <c r="C395" s="50" t="n"/>
      <c r="D395" s="49" t="n"/>
    </row>
    <row r="396">
      <c r="B396" s="49" t="n"/>
      <c r="C396" s="50" t="n"/>
      <c r="D396" s="49" t="n"/>
    </row>
    <row r="397">
      <c r="B397" s="49" t="n"/>
      <c r="C397" s="50" t="n"/>
      <c r="D397" s="49" t="n"/>
    </row>
    <row r="398">
      <c r="B398" s="49" t="n"/>
      <c r="C398" s="50" t="n"/>
      <c r="D398" s="49" t="n"/>
    </row>
    <row r="399">
      <c r="B399" s="49" t="n"/>
      <c r="C399" s="50" t="n"/>
      <c r="D399" s="49" t="n"/>
    </row>
    <row r="400">
      <c r="B400" s="49" t="n"/>
      <c r="C400" s="50" t="n"/>
      <c r="D400" s="49" t="n"/>
    </row>
    <row r="401">
      <c r="B401" s="49" t="n"/>
      <c r="C401" s="50" t="n"/>
      <c r="D401" s="49" t="n"/>
    </row>
    <row r="402">
      <c r="B402" s="49" t="n"/>
      <c r="C402" s="50" t="n"/>
      <c r="D402" s="49" t="n"/>
    </row>
    <row r="403">
      <c r="B403" s="49" t="n"/>
      <c r="C403" s="50" t="n"/>
      <c r="D403" s="49" t="n"/>
    </row>
    <row r="404">
      <c r="B404" s="49" t="n"/>
      <c r="C404" s="50" t="n"/>
      <c r="D404" s="49" t="n"/>
    </row>
    <row r="405">
      <c r="B405" s="49" t="n"/>
      <c r="C405" s="50" t="n"/>
      <c r="D405" s="49" t="n"/>
    </row>
    <row r="406">
      <c r="B406" s="49" t="n"/>
      <c r="C406" s="50" t="n"/>
      <c r="D406" s="49" t="n"/>
    </row>
    <row r="407">
      <c r="B407" s="49" t="n"/>
      <c r="C407" s="50" t="n"/>
      <c r="D407" s="49" t="n"/>
    </row>
    <row r="408">
      <c r="B408" s="49" t="n"/>
      <c r="C408" s="50" t="n"/>
      <c r="D408" s="49" t="n"/>
    </row>
    <row r="409">
      <c r="B409" s="49" t="n"/>
      <c r="C409" s="50" t="n"/>
      <c r="D409" s="49" t="n"/>
    </row>
    <row r="410">
      <c r="B410" s="49" t="n"/>
      <c r="C410" s="50" t="n"/>
      <c r="D410" s="49" t="n"/>
    </row>
    <row r="411">
      <c r="B411" s="49" t="n"/>
      <c r="C411" s="50" t="n"/>
      <c r="D411" s="49" t="n"/>
    </row>
    <row r="412">
      <c r="B412" s="49" t="n"/>
      <c r="C412" s="50" t="n"/>
      <c r="D412" s="49" t="n"/>
    </row>
    <row r="413">
      <c r="B413" s="49" t="n"/>
      <c r="C413" s="50" t="n"/>
      <c r="D413" s="49" t="n"/>
    </row>
    <row r="414">
      <c r="B414" s="49" t="n"/>
      <c r="C414" s="50" t="n"/>
      <c r="D414" s="49" t="n"/>
    </row>
    <row r="415">
      <c r="B415" s="49" t="n"/>
      <c r="C415" s="50" t="n"/>
      <c r="D415" s="49" t="n"/>
    </row>
    <row r="416">
      <c r="B416" s="49" t="n"/>
      <c r="C416" s="50" t="n"/>
      <c r="D416" s="49" t="n"/>
    </row>
    <row r="417">
      <c r="B417" s="49" t="n"/>
      <c r="C417" s="50" t="n"/>
      <c r="D417" s="49" t="n"/>
    </row>
    <row r="418">
      <c r="B418" s="49" t="n"/>
      <c r="C418" s="50" t="n"/>
      <c r="D418" s="49" t="n"/>
    </row>
    <row r="419">
      <c r="B419" s="49" t="n"/>
      <c r="C419" s="50" t="n"/>
      <c r="D419" s="49" t="n"/>
    </row>
    <row r="420">
      <c r="B420" s="49" t="n"/>
      <c r="C420" s="50" t="n"/>
      <c r="D420" s="49" t="n"/>
    </row>
    <row r="421">
      <c r="B421" s="49" t="n"/>
      <c r="C421" s="50" t="n"/>
      <c r="D421" s="49" t="n"/>
    </row>
    <row r="422">
      <c r="B422" s="49" t="n"/>
      <c r="C422" s="50" t="n"/>
      <c r="D422" s="49" t="n"/>
    </row>
    <row r="423">
      <c r="B423" s="49" t="n"/>
      <c r="C423" s="50" t="n"/>
      <c r="D423" s="49" t="n"/>
    </row>
    <row r="424">
      <c r="B424" s="49" t="n"/>
      <c r="C424" s="50" t="n"/>
      <c r="D424" s="49" t="n"/>
    </row>
    <row r="425">
      <c r="B425" s="49" t="n"/>
      <c r="C425" s="50" t="n"/>
      <c r="D425" s="49" t="n"/>
    </row>
    <row r="426">
      <c r="B426" s="49" t="n"/>
      <c r="C426" s="50" t="n"/>
      <c r="D426" s="49" t="n"/>
    </row>
    <row r="427">
      <c r="B427" s="49" t="n"/>
      <c r="C427" s="50" t="n"/>
      <c r="D427" s="49" t="n"/>
    </row>
    <row r="428">
      <c r="B428" s="49" t="n"/>
      <c r="C428" s="50" t="n"/>
      <c r="D428" s="49" t="n"/>
    </row>
    <row r="429">
      <c r="B429" s="49" t="n"/>
      <c r="C429" s="50" t="n"/>
      <c r="D429" s="49" t="n"/>
    </row>
    <row r="430">
      <c r="B430" s="49" t="n"/>
      <c r="C430" s="50" t="n"/>
      <c r="D430" s="49" t="n"/>
    </row>
    <row r="431">
      <c r="B431" s="49" t="n"/>
      <c r="C431" s="50" t="n"/>
      <c r="D431" s="49" t="n"/>
    </row>
    <row r="432">
      <c r="B432" s="49" t="n"/>
      <c r="C432" s="50" t="n"/>
      <c r="D432" s="49" t="n"/>
    </row>
    <row r="433">
      <c r="B433" s="49" t="n"/>
      <c r="C433" s="50" t="n"/>
      <c r="D433" s="49" t="n"/>
    </row>
    <row r="434">
      <c r="B434" s="49" t="n"/>
      <c r="C434" s="50" t="n"/>
      <c r="D434" s="49" t="n"/>
    </row>
    <row r="435">
      <c r="B435" s="49" t="n"/>
      <c r="C435" s="50" t="n"/>
      <c r="D435" s="49" t="n"/>
    </row>
    <row r="436">
      <c r="B436" s="49" t="n"/>
      <c r="C436" s="50" t="n"/>
      <c r="D436" s="49" t="n"/>
    </row>
    <row r="437">
      <c r="B437" s="49" t="n"/>
      <c r="C437" s="50" t="n"/>
      <c r="D437" s="49" t="n"/>
    </row>
    <row r="438">
      <c r="B438" s="49" t="n"/>
      <c r="C438" s="50" t="n"/>
      <c r="D438" s="49" t="n"/>
    </row>
    <row r="439">
      <c r="B439" s="49" t="n"/>
      <c r="C439" s="50" t="n"/>
      <c r="D439" s="49" t="n"/>
    </row>
    <row r="440">
      <c r="B440" s="49" t="n"/>
      <c r="C440" s="50" t="n"/>
      <c r="D440" s="49" t="n"/>
    </row>
    <row r="441">
      <c r="B441" s="49" t="n"/>
      <c r="C441" s="50" t="n"/>
      <c r="D441" s="49" t="n"/>
    </row>
    <row r="442">
      <c r="B442" s="49" t="n"/>
      <c r="C442" s="50" t="n"/>
      <c r="D442" s="49" t="n"/>
    </row>
    <row r="443">
      <c r="B443" s="49" t="n"/>
      <c r="C443" s="50" t="n"/>
      <c r="D443" s="49" t="n"/>
    </row>
    <row r="444">
      <c r="B444" s="49" t="n"/>
      <c r="C444" s="50" t="n"/>
      <c r="D444" s="49" t="n"/>
    </row>
    <row r="445">
      <c r="B445" s="49" t="n"/>
      <c r="C445" s="50" t="n"/>
      <c r="D445" s="49" t="n"/>
    </row>
    <row r="446">
      <c r="B446" s="49" t="n"/>
      <c r="C446" s="50" t="n"/>
      <c r="D446" s="49" t="n"/>
    </row>
    <row r="447">
      <c r="B447" s="49" t="n"/>
      <c r="C447" s="50" t="n"/>
      <c r="D447" s="49" t="n"/>
    </row>
    <row r="448">
      <c r="B448" s="49" t="n"/>
      <c r="C448" s="50" t="n"/>
      <c r="D448" s="49" t="n"/>
    </row>
    <row r="449">
      <c r="B449" s="49" t="n"/>
      <c r="C449" s="50" t="n"/>
      <c r="D449" s="49" t="n"/>
    </row>
    <row r="450">
      <c r="B450" s="49" t="n"/>
      <c r="C450" s="50" t="n"/>
      <c r="D450" s="49" t="n"/>
    </row>
    <row r="451">
      <c r="B451" s="49" t="n"/>
      <c r="C451" s="50" t="n"/>
      <c r="D451" s="49" t="n"/>
    </row>
    <row r="452">
      <c r="B452" s="49" t="n"/>
      <c r="C452" s="50" t="n"/>
      <c r="D452" s="49" t="n"/>
    </row>
    <row r="453">
      <c r="B453" s="49" t="n"/>
      <c r="C453" s="50" t="n"/>
      <c r="D453" s="49" t="n"/>
    </row>
    <row r="454">
      <c r="B454" s="49" t="n"/>
      <c r="C454" s="50" t="n"/>
      <c r="D454" s="49" t="n"/>
    </row>
    <row r="455">
      <c r="B455" s="49" t="n"/>
      <c r="C455" s="50" t="n"/>
      <c r="D455" s="49" t="n"/>
    </row>
    <row r="456">
      <c r="B456" s="49" t="n"/>
      <c r="C456" s="50" t="n"/>
      <c r="D456" s="49" t="n"/>
    </row>
    <row r="457">
      <c r="B457" s="49" t="n"/>
      <c r="C457" s="50" t="n"/>
      <c r="D457" s="49" t="n"/>
    </row>
    <row r="458">
      <c r="B458" s="49" t="n"/>
      <c r="C458" s="50" t="n"/>
      <c r="D458" s="49" t="n"/>
    </row>
    <row r="459">
      <c r="B459" s="49" t="n"/>
      <c r="C459" s="50" t="n"/>
      <c r="D459" s="49" t="n"/>
    </row>
    <row r="460">
      <c r="B460" s="49" t="n"/>
      <c r="C460" s="50" t="n"/>
      <c r="D460" s="49" t="n"/>
    </row>
    <row r="461">
      <c r="B461" s="49" t="n"/>
      <c r="C461" s="50" t="n"/>
      <c r="D461" s="49" t="n"/>
    </row>
    <row r="462">
      <c r="B462" s="49" t="n"/>
      <c r="C462" s="50" t="n"/>
      <c r="D462" s="49" t="n"/>
    </row>
    <row r="463">
      <c r="B463" s="49" t="n"/>
      <c r="C463" s="50" t="n"/>
      <c r="D463" s="49" t="n"/>
    </row>
    <row r="464">
      <c r="B464" s="49" t="n"/>
      <c r="C464" s="50" t="n"/>
      <c r="D464" s="49" t="n"/>
    </row>
    <row r="465">
      <c r="B465" s="49" t="n"/>
      <c r="C465" s="50" t="n"/>
      <c r="D465" s="49" t="n"/>
    </row>
    <row r="466">
      <c r="B466" s="49" t="n"/>
      <c r="C466" s="50" t="n"/>
      <c r="D466" s="49" t="n"/>
    </row>
    <row r="467">
      <c r="B467" s="49" t="n"/>
      <c r="C467" s="50" t="n"/>
      <c r="D467" s="49" t="n"/>
    </row>
    <row r="468">
      <c r="B468" s="49" t="n"/>
      <c r="C468" s="50" t="n"/>
      <c r="D468" s="49" t="n"/>
    </row>
    <row r="469">
      <c r="B469" s="49" t="n"/>
      <c r="C469" s="50" t="n"/>
      <c r="D469" s="49" t="n"/>
    </row>
    <row r="470">
      <c r="B470" s="49" t="n"/>
      <c r="C470" s="50" t="n"/>
      <c r="D470" s="49" t="n"/>
    </row>
    <row r="471">
      <c r="B471" s="49" t="n"/>
      <c r="C471" s="50" t="n"/>
      <c r="D471" s="49" t="n"/>
    </row>
    <row r="472">
      <c r="B472" s="49" t="n"/>
      <c r="C472" s="50" t="n"/>
      <c r="D472" s="49" t="n"/>
    </row>
    <row r="473">
      <c r="B473" s="49" t="n"/>
      <c r="C473" s="50" t="n"/>
      <c r="D473" s="49" t="n"/>
    </row>
    <row r="474">
      <c r="B474" s="49" t="n"/>
      <c r="C474" s="50" t="n"/>
      <c r="D474" s="49" t="n"/>
    </row>
    <row r="475">
      <c r="B475" s="49" t="n"/>
      <c r="C475" s="50" t="n"/>
      <c r="D475" s="49" t="n"/>
    </row>
    <row r="476">
      <c r="B476" s="49" t="n"/>
      <c r="C476" s="50" t="n"/>
      <c r="D476" s="49" t="n"/>
    </row>
    <row r="477">
      <c r="B477" s="49" t="n"/>
      <c r="C477" s="50" t="n"/>
      <c r="D477" s="49" t="n"/>
    </row>
    <row r="478">
      <c r="B478" s="49" t="n"/>
      <c r="C478" s="50" t="n"/>
      <c r="D478" s="49" t="n"/>
    </row>
    <row r="479">
      <c r="B479" s="49" t="n"/>
      <c r="C479" s="50" t="n"/>
      <c r="D479" s="49" t="n"/>
    </row>
    <row r="480">
      <c r="B480" s="49" t="n"/>
      <c r="C480" s="50" t="n"/>
      <c r="D480" s="49" t="n"/>
    </row>
    <row r="481">
      <c r="B481" s="49" t="n"/>
      <c r="C481" s="50" t="n"/>
      <c r="D481" s="49" t="n"/>
    </row>
    <row r="482">
      <c r="B482" s="49" t="n"/>
      <c r="C482" s="50" t="n"/>
      <c r="D482" s="49" t="n"/>
    </row>
    <row r="483">
      <c r="B483" s="49" t="n"/>
      <c r="C483" s="50" t="n"/>
      <c r="D483" s="49" t="n"/>
    </row>
    <row r="484">
      <c r="B484" s="49" t="n"/>
      <c r="C484" s="50" t="n"/>
      <c r="D484" s="49" t="n"/>
    </row>
    <row r="485">
      <c r="B485" s="49" t="n"/>
      <c r="C485" s="50" t="n"/>
      <c r="D485" s="49" t="n"/>
    </row>
    <row r="486">
      <c r="B486" s="49" t="n"/>
      <c r="C486" s="50" t="n"/>
      <c r="D486" s="49" t="n"/>
    </row>
    <row r="487">
      <c r="B487" s="49" t="n"/>
      <c r="C487" s="50" t="n"/>
      <c r="D487" s="49" t="n"/>
    </row>
    <row r="488">
      <c r="B488" s="49" t="n"/>
      <c r="C488" s="50" t="n"/>
      <c r="D488" s="49" t="n"/>
    </row>
    <row r="489">
      <c r="B489" s="49" t="n"/>
      <c r="C489" s="50" t="n"/>
      <c r="D489" s="49" t="n"/>
    </row>
    <row r="490">
      <c r="B490" s="49" t="n"/>
      <c r="C490" s="50" t="n"/>
      <c r="D490" s="49" t="n"/>
    </row>
    <row r="491">
      <c r="B491" s="49" t="n"/>
      <c r="C491" s="50" t="n"/>
      <c r="D491" s="49" t="n"/>
    </row>
    <row r="492">
      <c r="B492" s="49" t="n"/>
      <c r="C492" s="50" t="n"/>
      <c r="D492" s="49" t="n"/>
    </row>
    <row r="493">
      <c r="B493" s="49" t="n"/>
      <c r="C493" s="50" t="n"/>
      <c r="D493" s="49" t="n"/>
    </row>
    <row r="494">
      <c r="B494" s="49" t="n"/>
      <c r="C494" s="50" t="n"/>
      <c r="D494" s="49" t="n"/>
    </row>
    <row r="495">
      <c r="B495" s="49" t="n"/>
      <c r="C495" s="50" t="n"/>
      <c r="D495" s="49" t="n"/>
    </row>
    <row r="496">
      <c r="B496" s="49" t="n"/>
      <c r="C496" s="50" t="n"/>
      <c r="D496" s="49" t="n"/>
    </row>
    <row r="497">
      <c r="B497" s="49" t="n"/>
      <c r="C497" s="50" t="n"/>
      <c r="D497" s="49" t="n"/>
    </row>
    <row r="498">
      <c r="B498" s="49" t="n"/>
      <c r="C498" s="50" t="n"/>
      <c r="D498" s="49" t="n"/>
    </row>
    <row r="499">
      <c r="B499" s="49" t="n"/>
      <c r="C499" s="50" t="n"/>
      <c r="D499" s="49" t="n"/>
    </row>
    <row r="500">
      <c r="B500" s="49" t="n"/>
      <c r="C500" s="50" t="n"/>
      <c r="D500" s="49" t="n"/>
    </row>
    <row r="501">
      <c r="B501" s="49" t="n"/>
      <c r="C501" s="50" t="n"/>
      <c r="D501" s="49" t="n"/>
    </row>
    <row r="502">
      <c r="B502" s="49" t="n"/>
      <c r="C502" s="50" t="n"/>
      <c r="D502" s="49" t="n"/>
    </row>
    <row r="503">
      <c r="B503" s="49" t="n"/>
      <c r="C503" s="50" t="n"/>
      <c r="D503" s="49" t="n"/>
    </row>
    <row r="504">
      <c r="B504" s="49" t="n"/>
      <c r="C504" s="50" t="n"/>
      <c r="D504" s="49" t="n"/>
    </row>
    <row r="505">
      <c r="B505" s="49" t="n"/>
      <c r="C505" s="50" t="n"/>
      <c r="D505" s="49" t="n"/>
    </row>
    <row r="506">
      <c r="B506" s="49" t="n"/>
      <c r="C506" s="50" t="n"/>
      <c r="D506" s="49" t="n"/>
    </row>
    <row r="507">
      <c r="B507" s="49" t="n"/>
      <c r="C507" s="50" t="n"/>
      <c r="D507" s="49" t="n"/>
    </row>
    <row r="508">
      <c r="B508" s="49" t="n"/>
      <c r="C508" s="50" t="n"/>
      <c r="D508" s="49" t="n"/>
    </row>
    <row r="509">
      <c r="B509" s="49" t="n"/>
      <c r="C509" s="50" t="n"/>
      <c r="D509" s="49" t="n"/>
    </row>
    <row r="510">
      <c r="B510" s="49" t="n"/>
      <c r="C510" s="50" t="n"/>
      <c r="D510" s="49" t="n"/>
    </row>
    <row r="511">
      <c r="B511" s="49" t="n"/>
      <c r="C511" s="50" t="n"/>
      <c r="D511" s="49" t="n"/>
    </row>
    <row r="512">
      <c r="B512" s="49" t="n"/>
      <c r="C512" s="50" t="n"/>
      <c r="D512" s="49" t="n"/>
    </row>
    <row r="513">
      <c r="B513" s="49" t="n"/>
      <c r="C513" s="50" t="n"/>
      <c r="D513" s="49" t="n"/>
    </row>
    <row r="514">
      <c r="B514" s="49" t="n"/>
      <c r="C514" s="50" t="n"/>
      <c r="D514" s="49" t="n"/>
    </row>
    <row r="515">
      <c r="B515" s="49" t="n"/>
      <c r="C515" s="50" t="n"/>
      <c r="D515" s="49" t="n"/>
    </row>
    <row r="516">
      <c r="B516" s="49" t="n"/>
      <c r="C516" s="50" t="n"/>
      <c r="D516" s="49" t="n"/>
    </row>
    <row r="517">
      <c r="B517" s="49" t="n"/>
      <c r="C517" s="50" t="n"/>
      <c r="D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C17:C517">
    <cfRule type="expression" priority="2" dxfId="6">
      <formula>AND(LEN($B17&amp;$C17&amp;$D17)&gt;0,C17="")</formula>
    </cfRule>
  </conditionalFormatting>
  <conditionalFormatting sqref="D17:D517">
    <cfRule type="expression" priority="3" dxfId="6">
      <formula>AND(LEN($B17&amp;$C17&amp;$D17)&gt;0,D17="")</formula>
    </cfRule>
  </conditionalFormatting>
  <dataValidations count="4">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The code is not in D0-02, column Branch code. Enter it there first, or keep it if it is a code BIBS already holds." promptTitle="Branch code" prompt="No. Branch the holiday applies to; blank = every branch Allowed: Code of an existing branch" type="list" errorStyle="warning">
      <formula1>=CODES_D0_02_BRANCH_CODE</formula1>
    </dataValidation>
    <dataValidation sqref="C17:C517" showDropDown="0" showInputMessage="1" showErrorMessage="1" allowBlank="1" errorTitle="Date" error="Enter a date, for example 15-Jan-2028." promptTitle="Date" prompt="Yes. Date of the holiday Allowed: A date, for example 15-Jan-2028" type="date" operator="greaterThan">
      <formula1>DATE(1900,1,1)</formula1>
    </dataValidation>
    <dataValidation sqref="D17:D517" showDropDown="0" showInputMessage="1" showErrorMessage="0" allowBlank="1" promptTitle="Description" prompt="Yes. Name of the holiday"/>
  </dataValidations>
  <hyperlinks>
    <hyperlink ref="A2" location="'Start here'!A1"/>
    <hyperlink ref="G2" location="'Questions and comments'!A1"/>
    <hyperlink ref="B8" location="'D0-02 Branches'!A1"/>
    <hyperlink ref="B14" location="'D0-02 Branches'!B1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tabColor rgb="00004EA8"/>
    <outlinePr summaryBelow="0" summaryRight="1"/>
    <pageSetUpPr fitToPage="1"/>
  </sheetPr>
  <dimension ref="A1:G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8" customWidth="1" min="2" max="2"/>
    <col width="14" customWidth="1" min="3" max="3"/>
    <col width="19" customWidth="1" min="4" max="4"/>
    <col width="16.36363636363636" customWidth="1" min="5" max="5"/>
    <col width="12" customWidth="1" min="6" max="6"/>
    <col width="12" customWidth="1" min="7" max="7"/>
  </cols>
  <sheetData>
    <row r="1" ht="26" customHeight="1">
      <c r="A1" s="25" t="inlineStr">
        <is>
          <t>MD-03 Exchange rates and their source</t>
        </is>
      </c>
      <c r="G1" s="26" t="inlineStr">
        <is>
          <t>Step 17 of 52</t>
        </is>
      </c>
    </row>
    <row r="2">
      <c r="A2" s="27" t="inlineStr">
        <is>
          <t>← Back to Start here</t>
        </is>
      </c>
      <c r="B2" s="28" t="inlineStr">
        <is>
          <t>Step 17 of 52. Fill in one row per record below the column headers; the guide above each column says what to enter.</t>
        </is>
      </c>
      <c r="G2" s="29" t="inlineStr">
        <is>
          <t>Ask a question →</t>
        </is>
      </c>
    </row>
    <row r="3" outlineLevel="1" ht="53" customHeight="1">
      <c r="A3" s="30" t="inlineStr">
        <is>
          <t>Purpose</t>
        </is>
      </c>
      <c r="B3" s="31" t="inlineStr">
        <is>
          <t>The opening exchange rates of each foreign currency per rate type at go-live. BIBS keeps four rate types: SPOT (daily rate of postings), CLOSING (month-end revaluation), AVERAGE (period average) and BUDGET. The source of the daily rates (for example the BDO Treasury board rate or the BSP reference rate) and who enters them are asked in the BDOI requirements workbook.</t>
        </is>
      </c>
    </row>
    <row r="4" outlineLevel="1" ht="15.5" customHeight="1">
      <c r="A4" s="30" t="inlineStr">
        <is>
          <t>Provided by</t>
        </is>
      </c>
      <c r="B4" s="31" t="inlineStr">
        <is>
          <t>Head, Comptrollership (Treasury)</t>
        </is>
      </c>
    </row>
    <row r="5" outlineLevel="1" ht="15.5" customHeight="1">
      <c r="A5" s="30" t="inlineStr">
        <is>
          <t>Due</t>
        </is>
      </c>
      <c r="B5" s="32" t="inlineStr">
        <is>
          <t>16-Jul-2027 – Values for UAT</t>
        </is>
      </c>
    </row>
    <row r="6" outlineLevel="1" ht="28" customHeight="1">
      <c r="A6" s="30" t="inlineStr">
        <is>
          <t>How it is loaded</t>
        </is>
      </c>
      <c r="B6" s="31" t="inlineStr">
        <is>
          <t>Configuration screen: Setup &amp; Administration › Setup › Currencies &amp; Rates, one rate per currency, type and date</t>
        </is>
      </c>
    </row>
    <row r="7" outlineLevel="1" ht="15.5" customHeight="1">
      <c r="A7" s="30" t="inlineStr">
        <is>
          <t>Source</t>
        </is>
      </c>
      <c r="B7" s="31" t="inlineStr">
        <is>
          <t>BDO Treasury or BSP reference rates</t>
        </is>
      </c>
    </row>
    <row r="8" outlineLevel="1" ht="15" customHeight="1">
      <c r="A8" s="30" t="inlineStr">
        <is>
          <t>Depends on</t>
        </is>
      </c>
      <c r="B8" s="53" t="inlineStr">
        <is>
          <t>MD-02 Currencies →</t>
        </is>
      </c>
    </row>
    <row r="9" ht="26" customHeight="1">
      <c r="A9" s="34" t="inlineStr">
        <is>
          <t>Progress</t>
        </is>
      </c>
      <c r="B9" s="35" t="inlineStr">
        <is>
          <t>Rows entered</t>
        </is>
      </c>
      <c r="C9" s="36">
        <f>SUMPRODUCT(((ROW($B$17:$B$317)&gt;17)+($B$17&lt;&gt;"USD")&gt;0)*(LEN($B$17:$B$317&amp;$C$17:$C$317&amp;$D$17:$D$317&amp;$E$17:$E$317)&gt;0))</f>
        <v/>
      </c>
      <c r="D9" s="35" t="inlineStr">
        <is>
          <t>Mandatory cells missing</t>
        </is>
      </c>
      <c r="E9" s="36">
        <f>SUMPRODUCT(((ROW($B$17:$B$317)&gt;17)+($B$17&lt;&gt;"USD")&gt;0)*(LEN($B$17:$B$317&amp;$C$17:$C$317&amp;$D$17:$D$317&amp;$E$17:$E$317)&gt;0)*(($B$17:$B$317="")+($C$17:$C$317="")+($D$17:$D$317="")+($E$17:$E$317="")))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2" t="inlineStr">
        <is>
          <t>Yes</t>
        </is>
      </c>
    </row>
    <row r="13" ht="30" customHeight="1">
      <c r="A13" s="41" t="inlineStr">
        <is>
          <t>Format</t>
        </is>
      </c>
      <c r="B13" s="43" t="inlineStr">
        <is>
          <t>Code of MD-02</t>
        </is>
      </c>
      <c r="C13" s="43" t="inlineStr">
        <is>
          <t>Code of the list</t>
        </is>
      </c>
      <c r="D13" s="43" t="inlineStr">
        <is>
          <t>dd-mmm-yyyy</t>
        </is>
      </c>
      <c r="E13" s="43" t="inlineStr">
        <is>
          <t>Number, PHP per unit of the currency</t>
        </is>
      </c>
    </row>
    <row r="14" ht="56" customHeight="1">
      <c r="A14" s="41" t="inlineStr">
        <is>
          <t>Allowed values</t>
        </is>
      </c>
      <c r="B14" s="51" t="inlineStr">
        <is>
          <t>A code of MD-02 Currencies, column Currency code</t>
        </is>
      </c>
      <c r="C14" s="51" t="inlineStr">
        <is>
          <t>SPOT, CLOSING, AVERAGE, BUDGET (list Exchange rate type)</t>
        </is>
      </c>
      <c r="D14" s="43" t="inlineStr">
        <is>
          <t>A date, for example 15-Jan-2028</t>
        </is>
      </c>
      <c r="E14" s="43" t="inlineStr">
        <is>
          <t>A number from 0 to 1000000</t>
        </is>
      </c>
    </row>
    <row r="15" ht="30" customHeight="1">
      <c r="A15" s="41" t="inlineStr">
        <is>
          <t>What to enter</t>
        </is>
      </c>
      <c r="B15" s="43" t="inlineStr">
        <is>
          <t>Currency of the rate (not PHP)</t>
        </is>
      </c>
      <c r="C15" s="43" t="inlineStr">
        <is>
          <t>Kind of rate</t>
        </is>
      </c>
      <c r="D15" s="43" t="inlineStr">
        <is>
          <t>Date from which the rate applies</t>
        </is>
      </c>
      <c r="E15" s="43" t="inlineStr">
        <is>
          <t>Pesos for one unit of the currency</t>
        </is>
      </c>
    </row>
    <row r="16" ht="30" customHeight="1">
      <c r="A16" s="44" t="inlineStr">
        <is>
          <t>Row</t>
        </is>
      </c>
      <c r="B16" s="45" t="inlineStr">
        <is>
          <t>Currency code *</t>
        </is>
      </c>
      <c r="C16" s="45" t="inlineStr">
        <is>
          <t>Rate type *</t>
        </is>
      </c>
      <c r="D16" s="45" t="inlineStr">
        <is>
          <t>Effective date *</t>
        </is>
      </c>
      <c r="E16" s="45" t="inlineStr">
        <is>
          <t>Rate *</t>
        </is>
      </c>
    </row>
    <row r="17" ht="18" customHeight="1">
      <c r="A17" s="46" t="inlineStr">
        <is>
          <t>Example – overwrite or delete</t>
        </is>
      </c>
      <c r="B17" s="47" t="inlineStr">
        <is>
          <t>USD</t>
        </is>
      </c>
      <c r="C17" s="47" t="inlineStr">
        <is>
          <t>SPOT</t>
        </is>
      </c>
      <c r="D17" s="48" t="n">
        <v>46755</v>
      </c>
      <c r="E17" s="52" t="n"/>
    </row>
    <row r="18">
      <c r="B18" s="49" t="n"/>
      <c r="C18" s="49" t="n"/>
      <c r="D18" s="50" t="n"/>
    </row>
    <row r="19">
      <c r="B19" s="49" t="n"/>
      <c r="C19" s="49" t="n"/>
      <c r="D19" s="50" t="n"/>
    </row>
    <row r="20">
      <c r="B20" s="49" t="n"/>
      <c r="C20" s="49" t="n"/>
      <c r="D20" s="50" t="n"/>
    </row>
    <row r="21">
      <c r="B21" s="49" t="n"/>
      <c r="C21" s="49" t="n"/>
      <c r="D21" s="50" t="n"/>
    </row>
    <row r="22">
      <c r="B22" s="49" t="n"/>
      <c r="C22" s="49" t="n"/>
      <c r="D22" s="50" t="n"/>
    </row>
    <row r="23">
      <c r="B23" s="49" t="n"/>
      <c r="C23" s="49" t="n"/>
      <c r="D23" s="50" t="n"/>
    </row>
    <row r="24">
      <c r="B24" s="49" t="n"/>
      <c r="C24" s="49" t="n"/>
      <c r="D24" s="50" t="n"/>
    </row>
    <row r="25">
      <c r="B25" s="49" t="n"/>
      <c r="C25" s="49" t="n"/>
      <c r="D25" s="50" t="n"/>
    </row>
    <row r="26">
      <c r="B26" s="49" t="n"/>
      <c r="C26" s="49" t="n"/>
      <c r="D26" s="50" t="n"/>
    </row>
    <row r="27">
      <c r="B27" s="49" t="n"/>
      <c r="C27" s="49" t="n"/>
      <c r="D27" s="50" t="n"/>
    </row>
    <row r="28">
      <c r="B28" s="49" t="n"/>
      <c r="C28" s="49" t="n"/>
      <c r="D28" s="50" t="n"/>
    </row>
    <row r="29">
      <c r="B29" s="49" t="n"/>
      <c r="C29" s="49" t="n"/>
      <c r="D29" s="50" t="n"/>
    </row>
    <row r="30">
      <c r="B30" s="49" t="n"/>
      <c r="C30" s="49" t="n"/>
      <c r="D30" s="50" t="n"/>
    </row>
    <row r="31">
      <c r="B31" s="49" t="n"/>
      <c r="C31" s="49" t="n"/>
      <c r="D31" s="50" t="n"/>
    </row>
    <row r="32">
      <c r="B32" s="49" t="n"/>
      <c r="C32" s="49" t="n"/>
      <c r="D32" s="50" t="n"/>
    </row>
    <row r="33">
      <c r="B33" s="49" t="n"/>
      <c r="C33" s="49" t="n"/>
      <c r="D33" s="50" t="n"/>
    </row>
    <row r="34">
      <c r="B34" s="49" t="n"/>
      <c r="C34" s="49" t="n"/>
      <c r="D34" s="50" t="n"/>
    </row>
    <row r="35">
      <c r="B35" s="49" t="n"/>
      <c r="C35" s="49" t="n"/>
      <c r="D35" s="50" t="n"/>
    </row>
    <row r="36">
      <c r="B36" s="49" t="n"/>
      <c r="C36" s="49" t="n"/>
      <c r="D36" s="50" t="n"/>
    </row>
    <row r="37">
      <c r="B37" s="49" t="n"/>
      <c r="C37" s="49" t="n"/>
      <c r="D37" s="50" t="n"/>
    </row>
    <row r="38">
      <c r="B38" s="49" t="n"/>
      <c r="C38" s="49" t="n"/>
      <c r="D38" s="50" t="n"/>
    </row>
    <row r="39">
      <c r="B39" s="49" t="n"/>
      <c r="C39" s="49" t="n"/>
      <c r="D39" s="50" t="n"/>
    </row>
    <row r="40">
      <c r="B40" s="49" t="n"/>
      <c r="C40" s="49" t="n"/>
      <c r="D40" s="50" t="n"/>
    </row>
    <row r="41">
      <c r="B41" s="49" t="n"/>
      <c r="C41" s="49" t="n"/>
      <c r="D41" s="50" t="n"/>
    </row>
    <row r="42">
      <c r="B42" s="49" t="n"/>
      <c r="C42" s="49" t="n"/>
      <c r="D42" s="50" t="n"/>
    </row>
    <row r="43">
      <c r="B43" s="49" t="n"/>
      <c r="C43" s="49" t="n"/>
      <c r="D43" s="50" t="n"/>
    </row>
    <row r="44">
      <c r="B44" s="49" t="n"/>
      <c r="C44" s="49" t="n"/>
      <c r="D44" s="50" t="n"/>
    </row>
    <row r="45">
      <c r="B45" s="49" t="n"/>
      <c r="C45" s="49" t="n"/>
      <c r="D45" s="50" t="n"/>
    </row>
    <row r="46">
      <c r="B46" s="49" t="n"/>
      <c r="C46" s="49" t="n"/>
      <c r="D46" s="50" t="n"/>
    </row>
    <row r="47">
      <c r="B47" s="49" t="n"/>
      <c r="C47" s="49" t="n"/>
      <c r="D47" s="50" t="n"/>
    </row>
    <row r="48">
      <c r="B48" s="49" t="n"/>
      <c r="C48" s="49" t="n"/>
      <c r="D48" s="50" t="n"/>
    </row>
    <row r="49">
      <c r="B49" s="49" t="n"/>
      <c r="C49" s="49" t="n"/>
      <c r="D49" s="50" t="n"/>
    </row>
    <row r="50">
      <c r="B50" s="49" t="n"/>
      <c r="C50" s="49" t="n"/>
      <c r="D50" s="50" t="n"/>
    </row>
    <row r="51">
      <c r="B51" s="49" t="n"/>
      <c r="C51" s="49" t="n"/>
      <c r="D51" s="50" t="n"/>
    </row>
    <row r="52">
      <c r="B52" s="49" t="n"/>
      <c r="C52" s="49" t="n"/>
      <c r="D52" s="50" t="n"/>
    </row>
    <row r="53">
      <c r="B53" s="49" t="n"/>
      <c r="C53" s="49" t="n"/>
      <c r="D53" s="50" t="n"/>
    </row>
    <row r="54">
      <c r="B54" s="49" t="n"/>
      <c r="C54" s="49" t="n"/>
      <c r="D54" s="50" t="n"/>
    </row>
    <row r="55">
      <c r="B55" s="49" t="n"/>
      <c r="C55" s="49" t="n"/>
      <c r="D55" s="50" t="n"/>
    </row>
    <row r="56">
      <c r="B56" s="49" t="n"/>
      <c r="C56" s="49" t="n"/>
      <c r="D56" s="50" t="n"/>
    </row>
    <row r="57">
      <c r="B57" s="49" t="n"/>
      <c r="C57" s="49" t="n"/>
      <c r="D57" s="50" t="n"/>
    </row>
    <row r="58">
      <c r="B58" s="49" t="n"/>
      <c r="C58" s="49" t="n"/>
      <c r="D58" s="50" t="n"/>
    </row>
    <row r="59">
      <c r="B59" s="49" t="n"/>
      <c r="C59" s="49" t="n"/>
      <c r="D59" s="50" t="n"/>
    </row>
    <row r="60">
      <c r="B60" s="49" t="n"/>
      <c r="C60" s="49" t="n"/>
      <c r="D60" s="50" t="n"/>
    </row>
    <row r="61">
      <c r="B61" s="49" t="n"/>
      <c r="C61" s="49" t="n"/>
      <c r="D61" s="50" t="n"/>
    </row>
    <row r="62">
      <c r="B62" s="49" t="n"/>
      <c r="C62" s="49" t="n"/>
      <c r="D62" s="50" t="n"/>
    </row>
    <row r="63">
      <c r="B63" s="49" t="n"/>
      <c r="C63" s="49" t="n"/>
      <c r="D63" s="50" t="n"/>
    </row>
    <row r="64">
      <c r="B64" s="49" t="n"/>
      <c r="C64" s="49" t="n"/>
      <c r="D64" s="50" t="n"/>
    </row>
    <row r="65">
      <c r="B65" s="49" t="n"/>
      <c r="C65" s="49" t="n"/>
      <c r="D65" s="50" t="n"/>
    </row>
    <row r="66">
      <c r="B66" s="49" t="n"/>
      <c r="C66" s="49" t="n"/>
      <c r="D66" s="50" t="n"/>
    </row>
    <row r="67">
      <c r="B67" s="49" t="n"/>
      <c r="C67" s="49" t="n"/>
      <c r="D67" s="50" t="n"/>
    </row>
    <row r="68">
      <c r="B68" s="49" t="n"/>
      <c r="C68" s="49" t="n"/>
      <c r="D68" s="50" t="n"/>
    </row>
    <row r="69">
      <c r="B69" s="49" t="n"/>
      <c r="C69" s="49" t="n"/>
      <c r="D69" s="50" t="n"/>
    </row>
    <row r="70">
      <c r="B70" s="49" t="n"/>
      <c r="C70" s="49" t="n"/>
      <c r="D70" s="50" t="n"/>
    </row>
    <row r="71">
      <c r="B71" s="49" t="n"/>
      <c r="C71" s="49" t="n"/>
      <c r="D71" s="50" t="n"/>
    </row>
    <row r="72">
      <c r="B72" s="49" t="n"/>
      <c r="C72" s="49" t="n"/>
      <c r="D72" s="50" t="n"/>
    </row>
    <row r="73">
      <c r="B73" s="49" t="n"/>
      <c r="C73" s="49" t="n"/>
      <c r="D73" s="50" t="n"/>
    </row>
    <row r="74">
      <c r="B74" s="49" t="n"/>
      <c r="C74" s="49" t="n"/>
      <c r="D74" s="50" t="n"/>
    </row>
    <row r="75">
      <c r="B75" s="49" t="n"/>
      <c r="C75" s="49" t="n"/>
      <c r="D75" s="50" t="n"/>
    </row>
    <row r="76">
      <c r="B76" s="49" t="n"/>
      <c r="C76" s="49" t="n"/>
      <c r="D76" s="50" t="n"/>
    </row>
    <row r="77">
      <c r="B77" s="49" t="n"/>
      <c r="C77" s="49" t="n"/>
      <c r="D77" s="50" t="n"/>
    </row>
    <row r="78">
      <c r="B78" s="49" t="n"/>
      <c r="C78" s="49" t="n"/>
      <c r="D78" s="50" t="n"/>
    </row>
    <row r="79">
      <c r="B79" s="49" t="n"/>
      <c r="C79" s="49" t="n"/>
      <c r="D79" s="50" t="n"/>
    </row>
    <row r="80">
      <c r="B80" s="49" t="n"/>
      <c r="C80" s="49" t="n"/>
      <c r="D80" s="50" t="n"/>
    </row>
    <row r="81">
      <c r="B81" s="49" t="n"/>
      <c r="C81" s="49" t="n"/>
      <c r="D81" s="50" t="n"/>
    </row>
    <row r="82">
      <c r="B82" s="49" t="n"/>
      <c r="C82" s="49" t="n"/>
      <c r="D82" s="50" t="n"/>
    </row>
    <row r="83">
      <c r="B83" s="49" t="n"/>
      <c r="C83" s="49" t="n"/>
      <c r="D83" s="50" t="n"/>
    </row>
    <row r="84">
      <c r="B84" s="49" t="n"/>
      <c r="C84" s="49" t="n"/>
      <c r="D84" s="50" t="n"/>
    </row>
    <row r="85">
      <c r="B85" s="49" t="n"/>
      <c r="C85" s="49" t="n"/>
      <c r="D85" s="50" t="n"/>
    </row>
    <row r="86">
      <c r="B86" s="49" t="n"/>
      <c r="C86" s="49" t="n"/>
      <c r="D86" s="50" t="n"/>
    </row>
    <row r="87">
      <c r="B87" s="49" t="n"/>
      <c r="C87" s="49" t="n"/>
      <c r="D87" s="50" t="n"/>
    </row>
    <row r="88">
      <c r="B88" s="49" t="n"/>
      <c r="C88" s="49" t="n"/>
      <c r="D88" s="50" t="n"/>
    </row>
    <row r="89">
      <c r="B89" s="49" t="n"/>
      <c r="C89" s="49" t="n"/>
      <c r="D89" s="50" t="n"/>
    </row>
    <row r="90">
      <c r="B90" s="49" t="n"/>
      <c r="C90" s="49" t="n"/>
      <c r="D90" s="50" t="n"/>
    </row>
    <row r="91">
      <c r="B91" s="49" t="n"/>
      <c r="C91" s="49" t="n"/>
      <c r="D91" s="50" t="n"/>
    </row>
    <row r="92">
      <c r="B92" s="49" t="n"/>
      <c r="C92" s="49" t="n"/>
      <c r="D92" s="50" t="n"/>
    </row>
    <row r="93">
      <c r="B93" s="49" t="n"/>
      <c r="C93" s="49" t="n"/>
      <c r="D93" s="50" t="n"/>
    </row>
    <row r="94">
      <c r="B94" s="49" t="n"/>
      <c r="C94" s="49" t="n"/>
      <c r="D94" s="50" t="n"/>
    </row>
    <row r="95">
      <c r="B95" s="49" t="n"/>
      <c r="C95" s="49" t="n"/>
      <c r="D95" s="50" t="n"/>
    </row>
    <row r="96">
      <c r="B96" s="49" t="n"/>
      <c r="C96" s="49" t="n"/>
      <c r="D96" s="50" t="n"/>
    </row>
    <row r="97">
      <c r="B97" s="49" t="n"/>
      <c r="C97" s="49" t="n"/>
      <c r="D97" s="50" t="n"/>
    </row>
    <row r="98">
      <c r="B98" s="49" t="n"/>
      <c r="C98" s="49" t="n"/>
      <c r="D98" s="50" t="n"/>
    </row>
    <row r="99">
      <c r="B99" s="49" t="n"/>
      <c r="C99" s="49" t="n"/>
      <c r="D99" s="50" t="n"/>
    </row>
    <row r="100">
      <c r="B100" s="49" t="n"/>
      <c r="C100" s="49" t="n"/>
      <c r="D100" s="50" t="n"/>
    </row>
    <row r="101">
      <c r="B101" s="49" t="n"/>
      <c r="C101" s="49" t="n"/>
      <c r="D101" s="50" t="n"/>
    </row>
    <row r="102">
      <c r="B102" s="49" t="n"/>
      <c r="C102" s="49" t="n"/>
      <c r="D102" s="50" t="n"/>
    </row>
    <row r="103">
      <c r="B103" s="49" t="n"/>
      <c r="C103" s="49" t="n"/>
      <c r="D103" s="50" t="n"/>
    </row>
    <row r="104">
      <c r="B104" s="49" t="n"/>
      <c r="C104" s="49" t="n"/>
      <c r="D104" s="50" t="n"/>
    </row>
    <row r="105">
      <c r="B105" s="49" t="n"/>
      <c r="C105" s="49" t="n"/>
      <c r="D105" s="50" t="n"/>
    </row>
    <row r="106">
      <c r="B106" s="49" t="n"/>
      <c r="C106" s="49" t="n"/>
      <c r="D106" s="50" t="n"/>
    </row>
    <row r="107">
      <c r="B107" s="49" t="n"/>
      <c r="C107" s="49" t="n"/>
      <c r="D107" s="50" t="n"/>
    </row>
    <row r="108">
      <c r="B108" s="49" t="n"/>
      <c r="C108" s="49" t="n"/>
      <c r="D108" s="50" t="n"/>
    </row>
    <row r="109">
      <c r="B109" s="49" t="n"/>
      <c r="C109" s="49" t="n"/>
      <c r="D109" s="50" t="n"/>
    </row>
    <row r="110">
      <c r="B110" s="49" t="n"/>
      <c r="C110" s="49" t="n"/>
      <c r="D110" s="50" t="n"/>
    </row>
    <row r="111">
      <c r="B111" s="49" t="n"/>
      <c r="C111" s="49" t="n"/>
      <c r="D111" s="50" t="n"/>
    </row>
    <row r="112">
      <c r="B112" s="49" t="n"/>
      <c r="C112" s="49" t="n"/>
      <c r="D112" s="50" t="n"/>
    </row>
    <row r="113">
      <c r="B113" s="49" t="n"/>
      <c r="C113" s="49" t="n"/>
      <c r="D113" s="50" t="n"/>
    </row>
    <row r="114">
      <c r="B114" s="49" t="n"/>
      <c r="C114" s="49" t="n"/>
      <c r="D114" s="50" t="n"/>
    </row>
    <row r="115">
      <c r="B115" s="49" t="n"/>
      <c r="C115" s="49" t="n"/>
      <c r="D115" s="50" t="n"/>
    </row>
    <row r="116">
      <c r="B116" s="49" t="n"/>
      <c r="C116" s="49" t="n"/>
      <c r="D116" s="50" t="n"/>
    </row>
    <row r="117">
      <c r="B117" s="49" t="n"/>
      <c r="C117" s="49" t="n"/>
      <c r="D117" s="50" t="n"/>
    </row>
    <row r="118">
      <c r="B118" s="49" t="n"/>
      <c r="C118" s="49" t="n"/>
      <c r="D118" s="50" t="n"/>
    </row>
    <row r="119">
      <c r="B119" s="49" t="n"/>
      <c r="C119" s="49" t="n"/>
      <c r="D119" s="50" t="n"/>
    </row>
    <row r="120">
      <c r="B120" s="49" t="n"/>
      <c r="C120" s="49" t="n"/>
      <c r="D120" s="50" t="n"/>
    </row>
    <row r="121">
      <c r="B121" s="49" t="n"/>
      <c r="C121" s="49" t="n"/>
      <c r="D121" s="50" t="n"/>
    </row>
    <row r="122">
      <c r="B122" s="49" t="n"/>
      <c r="C122" s="49" t="n"/>
      <c r="D122" s="50" t="n"/>
    </row>
    <row r="123">
      <c r="B123" s="49" t="n"/>
      <c r="C123" s="49" t="n"/>
      <c r="D123" s="50" t="n"/>
    </row>
    <row r="124">
      <c r="B124" s="49" t="n"/>
      <c r="C124" s="49" t="n"/>
      <c r="D124" s="50" t="n"/>
    </row>
    <row r="125">
      <c r="B125" s="49" t="n"/>
      <c r="C125" s="49" t="n"/>
      <c r="D125" s="50" t="n"/>
    </row>
    <row r="126">
      <c r="B126" s="49" t="n"/>
      <c r="C126" s="49" t="n"/>
      <c r="D126" s="50" t="n"/>
    </row>
    <row r="127">
      <c r="B127" s="49" t="n"/>
      <c r="C127" s="49" t="n"/>
      <c r="D127" s="50" t="n"/>
    </row>
    <row r="128">
      <c r="B128" s="49" t="n"/>
      <c r="C128" s="49" t="n"/>
      <c r="D128" s="50" t="n"/>
    </row>
    <row r="129">
      <c r="B129" s="49" t="n"/>
      <c r="C129" s="49" t="n"/>
      <c r="D129" s="50" t="n"/>
    </row>
    <row r="130">
      <c r="B130" s="49" t="n"/>
      <c r="C130" s="49" t="n"/>
      <c r="D130" s="50" t="n"/>
    </row>
    <row r="131">
      <c r="B131" s="49" t="n"/>
      <c r="C131" s="49" t="n"/>
      <c r="D131" s="50" t="n"/>
    </row>
    <row r="132">
      <c r="B132" s="49" t="n"/>
      <c r="C132" s="49" t="n"/>
      <c r="D132" s="50" t="n"/>
    </row>
    <row r="133">
      <c r="B133" s="49" t="n"/>
      <c r="C133" s="49" t="n"/>
      <c r="D133" s="50" t="n"/>
    </row>
    <row r="134">
      <c r="B134" s="49" t="n"/>
      <c r="C134" s="49" t="n"/>
      <c r="D134" s="50" t="n"/>
    </row>
    <row r="135">
      <c r="B135" s="49" t="n"/>
      <c r="C135" s="49" t="n"/>
      <c r="D135" s="50" t="n"/>
    </row>
    <row r="136">
      <c r="B136" s="49" t="n"/>
      <c r="C136" s="49" t="n"/>
      <c r="D136" s="50" t="n"/>
    </row>
    <row r="137">
      <c r="B137" s="49" t="n"/>
      <c r="C137" s="49" t="n"/>
      <c r="D137" s="50" t="n"/>
    </row>
    <row r="138">
      <c r="B138" s="49" t="n"/>
      <c r="C138" s="49" t="n"/>
      <c r="D138" s="50" t="n"/>
    </row>
    <row r="139">
      <c r="B139" s="49" t="n"/>
      <c r="C139" s="49" t="n"/>
      <c r="D139" s="50" t="n"/>
    </row>
    <row r="140">
      <c r="B140" s="49" t="n"/>
      <c r="C140" s="49" t="n"/>
      <c r="D140" s="50" t="n"/>
    </row>
    <row r="141">
      <c r="B141" s="49" t="n"/>
      <c r="C141" s="49" t="n"/>
      <c r="D141" s="50" t="n"/>
    </row>
    <row r="142">
      <c r="B142" s="49" t="n"/>
      <c r="C142" s="49" t="n"/>
      <c r="D142" s="50" t="n"/>
    </row>
    <row r="143">
      <c r="B143" s="49" t="n"/>
      <c r="C143" s="49" t="n"/>
      <c r="D143" s="50" t="n"/>
    </row>
    <row r="144">
      <c r="B144" s="49" t="n"/>
      <c r="C144" s="49" t="n"/>
      <c r="D144" s="50" t="n"/>
    </row>
    <row r="145">
      <c r="B145" s="49" t="n"/>
      <c r="C145" s="49" t="n"/>
      <c r="D145" s="50" t="n"/>
    </row>
    <row r="146">
      <c r="B146" s="49" t="n"/>
      <c r="C146" s="49" t="n"/>
      <c r="D146" s="50" t="n"/>
    </row>
    <row r="147">
      <c r="B147" s="49" t="n"/>
      <c r="C147" s="49" t="n"/>
      <c r="D147" s="50" t="n"/>
    </row>
    <row r="148">
      <c r="B148" s="49" t="n"/>
      <c r="C148" s="49" t="n"/>
      <c r="D148" s="50" t="n"/>
    </row>
    <row r="149">
      <c r="B149" s="49" t="n"/>
      <c r="C149" s="49" t="n"/>
      <c r="D149" s="50" t="n"/>
    </row>
    <row r="150">
      <c r="B150" s="49" t="n"/>
      <c r="C150" s="49" t="n"/>
      <c r="D150" s="50" t="n"/>
    </row>
    <row r="151">
      <c r="B151" s="49" t="n"/>
      <c r="C151" s="49" t="n"/>
      <c r="D151" s="50" t="n"/>
    </row>
    <row r="152">
      <c r="B152" s="49" t="n"/>
      <c r="C152" s="49" t="n"/>
      <c r="D152" s="50" t="n"/>
    </row>
    <row r="153">
      <c r="B153" s="49" t="n"/>
      <c r="C153" s="49" t="n"/>
      <c r="D153" s="50" t="n"/>
    </row>
    <row r="154">
      <c r="B154" s="49" t="n"/>
      <c r="C154" s="49" t="n"/>
      <c r="D154" s="50" t="n"/>
    </row>
    <row r="155">
      <c r="B155" s="49" t="n"/>
      <c r="C155" s="49" t="n"/>
      <c r="D155" s="50" t="n"/>
    </row>
    <row r="156">
      <c r="B156" s="49" t="n"/>
      <c r="C156" s="49" t="n"/>
      <c r="D156" s="50" t="n"/>
    </row>
    <row r="157">
      <c r="B157" s="49" t="n"/>
      <c r="C157" s="49" t="n"/>
      <c r="D157" s="50" t="n"/>
    </row>
    <row r="158">
      <c r="B158" s="49" t="n"/>
      <c r="C158" s="49" t="n"/>
      <c r="D158" s="50" t="n"/>
    </row>
    <row r="159">
      <c r="B159" s="49" t="n"/>
      <c r="C159" s="49" t="n"/>
      <c r="D159" s="50" t="n"/>
    </row>
    <row r="160">
      <c r="B160" s="49" t="n"/>
      <c r="C160" s="49" t="n"/>
      <c r="D160" s="50" t="n"/>
    </row>
    <row r="161">
      <c r="B161" s="49" t="n"/>
      <c r="C161" s="49" t="n"/>
      <c r="D161" s="50" t="n"/>
    </row>
    <row r="162">
      <c r="B162" s="49" t="n"/>
      <c r="C162" s="49" t="n"/>
      <c r="D162" s="50" t="n"/>
    </row>
    <row r="163">
      <c r="B163" s="49" t="n"/>
      <c r="C163" s="49" t="n"/>
      <c r="D163" s="50" t="n"/>
    </row>
    <row r="164">
      <c r="B164" s="49" t="n"/>
      <c r="C164" s="49" t="n"/>
      <c r="D164" s="50" t="n"/>
    </row>
    <row r="165">
      <c r="B165" s="49" t="n"/>
      <c r="C165" s="49" t="n"/>
      <c r="D165" s="50" t="n"/>
    </row>
    <row r="166">
      <c r="B166" s="49" t="n"/>
      <c r="C166" s="49" t="n"/>
      <c r="D166" s="50" t="n"/>
    </row>
    <row r="167">
      <c r="B167" s="49" t="n"/>
      <c r="C167" s="49" t="n"/>
      <c r="D167" s="50" t="n"/>
    </row>
    <row r="168">
      <c r="B168" s="49" t="n"/>
      <c r="C168" s="49" t="n"/>
      <c r="D168" s="50" t="n"/>
    </row>
    <row r="169">
      <c r="B169" s="49" t="n"/>
      <c r="C169" s="49" t="n"/>
      <c r="D169" s="50" t="n"/>
    </row>
    <row r="170">
      <c r="B170" s="49" t="n"/>
      <c r="C170" s="49" t="n"/>
      <c r="D170" s="50" t="n"/>
    </row>
    <row r="171">
      <c r="B171" s="49" t="n"/>
      <c r="C171" s="49" t="n"/>
      <c r="D171" s="50" t="n"/>
    </row>
    <row r="172">
      <c r="B172" s="49" t="n"/>
      <c r="C172" s="49" t="n"/>
      <c r="D172" s="50" t="n"/>
    </row>
    <row r="173">
      <c r="B173" s="49" t="n"/>
      <c r="C173" s="49" t="n"/>
      <c r="D173" s="50" t="n"/>
    </row>
    <row r="174">
      <c r="B174" s="49" t="n"/>
      <c r="C174" s="49" t="n"/>
      <c r="D174" s="50" t="n"/>
    </row>
    <row r="175">
      <c r="B175" s="49" t="n"/>
      <c r="C175" s="49" t="n"/>
      <c r="D175" s="50" t="n"/>
    </row>
    <row r="176">
      <c r="B176" s="49" t="n"/>
      <c r="C176" s="49" t="n"/>
      <c r="D176" s="50" t="n"/>
    </row>
    <row r="177">
      <c r="B177" s="49" t="n"/>
      <c r="C177" s="49" t="n"/>
      <c r="D177" s="50" t="n"/>
    </row>
    <row r="178">
      <c r="B178" s="49" t="n"/>
      <c r="C178" s="49" t="n"/>
      <c r="D178" s="50" t="n"/>
    </row>
    <row r="179">
      <c r="B179" s="49" t="n"/>
      <c r="C179" s="49" t="n"/>
      <c r="D179" s="50" t="n"/>
    </row>
    <row r="180">
      <c r="B180" s="49" t="n"/>
      <c r="C180" s="49" t="n"/>
      <c r="D180" s="50" t="n"/>
    </row>
    <row r="181">
      <c r="B181" s="49" t="n"/>
      <c r="C181" s="49" t="n"/>
      <c r="D181" s="50" t="n"/>
    </row>
    <row r="182">
      <c r="B182" s="49" t="n"/>
      <c r="C182" s="49" t="n"/>
      <c r="D182" s="50" t="n"/>
    </row>
    <row r="183">
      <c r="B183" s="49" t="n"/>
      <c r="C183" s="49" t="n"/>
      <c r="D183" s="50" t="n"/>
    </row>
    <row r="184">
      <c r="B184" s="49" t="n"/>
      <c r="C184" s="49" t="n"/>
      <c r="D184" s="50" t="n"/>
    </row>
    <row r="185">
      <c r="B185" s="49" t="n"/>
      <c r="C185" s="49" t="n"/>
      <c r="D185" s="50" t="n"/>
    </row>
    <row r="186">
      <c r="B186" s="49" t="n"/>
      <c r="C186" s="49" t="n"/>
      <c r="D186" s="50" t="n"/>
    </row>
    <row r="187">
      <c r="B187" s="49" t="n"/>
      <c r="C187" s="49" t="n"/>
      <c r="D187" s="50" t="n"/>
    </row>
    <row r="188">
      <c r="B188" s="49" t="n"/>
      <c r="C188" s="49" t="n"/>
      <c r="D188" s="50" t="n"/>
    </row>
    <row r="189">
      <c r="B189" s="49" t="n"/>
      <c r="C189" s="49" t="n"/>
      <c r="D189" s="50" t="n"/>
    </row>
    <row r="190">
      <c r="B190" s="49" t="n"/>
      <c r="C190" s="49" t="n"/>
      <c r="D190" s="50" t="n"/>
    </row>
    <row r="191">
      <c r="B191" s="49" t="n"/>
      <c r="C191" s="49" t="n"/>
      <c r="D191" s="50" t="n"/>
    </row>
    <row r="192">
      <c r="B192" s="49" t="n"/>
      <c r="C192" s="49" t="n"/>
      <c r="D192" s="50" t="n"/>
    </row>
    <row r="193">
      <c r="B193" s="49" t="n"/>
      <c r="C193" s="49" t="n"/>
      <c r="D193" s="50" t="n"/>
    </row>
    <row r="194">
      <c r="B194" s="49" t="n"/>
      <c r="C194" s="49" t="n"/>
      <c r="D194" s="50" t="n"/>
    </row>
    <row r="195">
      <c r="B195" s="49" t="n"/>
      <c r="C195" s="49" t="n"/>
      <c r="D195" s="50" t="n"/>
    </row>
    <row r="196">
      <c r="B196" s="49" t="n"/>
      <c r="C196" s="49" t="n"/>
      <c r="D196" s="50" t="n"/>
    </row>
    <row r="197">
      <c r="B197" s="49" t="n"/>
      <c r="C197" s="49" t="n"/>
      <c r="D197" s="50" t="n"/>
    </row>
    <row r="198">
      <c r="B198" s="49" t="n"/>
      <c r="C198" s="49" t="n"/>
      <c r="D198" s="50" t="n"/>
    </row>
    <row r="199">
      <c r="B199" s="49" t="n"/>
      <c r="C199" s="49" t="n"/>
      <c r="D199" s="50" t="n"/>
    </row>
    <row r="200">
      <c r="B200" s="49" t="n"/>
      <c r="C200" s="49" t="n"/>
      <c r="D200" s="50" t="n"/>
    </row>
    <row r="201">
      <c r="B201" s="49" t="n"/>
      <c r="C201" s="49" t="n"/>
      <c r="D201" s="50" t="n"/>
    </row>
    <row r="202">
      <c r="B202" s="49" t="n"/>
      <c r="C202" s="49" t="n"/>
      <c r="D202" s="50" t="n"/>
    </row>
    <row r="203">
      <c r="B203" s="49" t="n"/>
      <c r="C203" s="49" t="n"/>
      <c r="D203" s="50" t="n"/>
    </row>
    <row r="204">
      <c r="B204" s="49" t="n"/>
      <c r="C204" s="49" t="n"/>
      <c r="D204" s="50" t="n"/>
    </row>
    <row r="205">
      <c r="B205" s="49" t="n"/>
      <c r="C205" s="49" t="n"/>
      <c r="D205" s="50" t="n"/>
    </row>
    <row r="206">
      <c r="B206" s="49" t="n"/>
      <c r="C206" s="49" t="n"/>
      <c r="D206" s="50" t="n"/>
    </row>
    <row r="207">
      <c r="B207" s="49" t="n"/>
      <c r="C207" s="49" t="n"/>
      <c r="D207" s="50" t="n"/>
    </row>
    <row r="208">
      <c r="B208" s="49" t="n"/>
      <c r="C208" s="49" t="n"/>
      <c r="D208" s="50" t="n"/>
    </row>
    <row r="209">
      <c r="B209" s="49" t="n"/>
      <c r="C209" s="49" t="n"/>
      <c r="D209" s="50" t="n"/>
    </row>
    <row r="210">
      <c r="B210" s="49" t="n"/>
      <c r="C210" s="49" t="n"/>
      <c r="D210" s="50" t="n"/>
    </row>
    <row r="211">
      <c r="B211" s="49" t="n"/>
      <c r="C211" s="49" t="n"/>
      <c r="D211" s="50" t="n"/>
    </row>
    <row r="212">
      <c r="B212" s="49" t="n"/>
      <c r="C212" s="49" t="n"/>
      <c r="D212" s="50" t="n"/>
    </row>
    <row r="213">
      <c r="B213" s="49" t="n"/>
      <c r="C213" s="49" t="n"/>
      <c r="D213" s="50" t="n"/>
    </row>
    <row r="214">
      <c r="B214" s="49" t="n"/>
      <c r="C214" s="49" t="n"/>
      <c r="D214" s="50" t="n"/>
    </row>
    <row r="215">
      <c r="B215" s="49" t="n"/>
      <c r="C215" s="49" t="n"/>
      <c r="D215" s="50" t="n"/>
    </row>
    <row r="216">
      <c r="B216" s="49" t="n"/>
      <c r="C216" s="49" t="n"/>
      <c r="D216" s="50" t="n"/>
    </row>
    <row r="217">
      <c r="B217" s="49" t="n"/>
      <c r="C217" s="49" t="n"/>
      <c r="D217" s="50" t="n"/>
    </row>
    <row r="218">
      <c r="B218" s="49" t="n"/>
      <c r="C218" s="49" t="n"/>
      <c r="D218" s="50" t="n"/>
    </row>
    <row r="219">
      <c r="B219" s="49" t="n"/>
      <c r="C219" s="49" t="n"/>
      <c r="D219" s="50" t="n"/>
    </row>
    <row r="220">
      <c r="B220" s="49" t="n"/>
      <c r="C220" s="49" t="n"/>
      <c r="D220" s="50" t="n"/>
    </row>
    <row r="221">
      <c r="B221" s="49" t="n"/>
      <c r="C221" s="49" t="n"/>
      <c r="D221" s="50" t="n"/>
    </row>
    <row r="222">
      <c r="B222" s="49" t="n"/>
      <c r="C222" s="49" t="n"/>
      <c r="D222" s="50" t="n"/>
    </row>
    <row r="223">
      <c r="B223" s="49" t="n"/>
      <c r="C223" s="49" t="n"/>
      <c r="D223" s="50" t="n"/>
    </row>
    <row r="224">
      <c r="B224" s="49" t="n"/>
      <c r="C224" s="49" t="n"/>
      <c r="D224" s="50" t="n"/>
    </row>
    <row r="225">
      <c r="B225" s="49" t="n"/>
      <c r="C225" s="49" t="n"/>
      <c r="D225" s="50" t="n"/>
    </row>
    <row r="226">
      <c r="B226" s="49" t="n"/>
      <c r="C226" s="49" t="n"/>
      <c r="D226" s="50" t="n"/>
    </row>
    <row r="227">
      <c r="B227" s="49" t="n"/>
      <c r="C227" s="49" t="n"/>
      <c r="D227" s="50" t="n"/>
    </row>
    <row r="228">
      <c r="B228" s="49" t="n"/>
      <c r="C228" s="49" t="n"/>
      <c r="D228" s="50" t="n"/>
    </row>
    <row r="229">
      <c r="B229" s="49" t="n"/>
      <c r="C229" s="49" t="n"/>
      <c r="D229" s="50" t="n"/>
    </row>
    <row r="230">
      <c r="B230" s="49" t="n"/>
      <c r="C230" s="49" t="n"/>
      <c r="D230" s="50" t="n"/>
    </row>
    <row r="231">
      <c r="B231" s="49" t="n"/>
      <c r="C231" s="49" t="n"/>
      <c r="D231" s="50" t="n"/>
    </row>
    <row r="232">
      <c r="B232" s="49" t="n"/>
      <c r="C232" s="49" t="n"/>
      <c r="D232" s="50" t="n"/>
    </row>
    <row r="233">
      <c r="B233" s="49" t="n"/>
      <c r="C233" s="49" t="n"/>
      <c r="D233" s="50" t="n"/>
    </row>
    <row r="234">
      <c r="B234" s="49" t="n"/>
      <c r="C234" s="49" t="n"/>
      <c r="D234" s="50" t="n"/>
    </row>
    <row r="235">
      <c r="B235" s="49" t="n"/>
      <c r="C235" s="49" t="n"/>
      <c r="D235" s="50" t="n"/>
    </row>
    <row r="236">
      <c r="B236" s="49" t="n"/>
      <c r="C236" s="49" t="n"/>
      <c r="D236" s="50" t="n"/>
    </row>
    <row r="237">
      <c r="B237" s="49" t="n"/>
      <c r="C237" s="49" t="n"/>
      <c r="D237" s="50" t="n"/>
    </row>
    <row r="238">
      <c r="B238" s="49" t="n"/>
      <c r="C238" s="49" t="n"/>
      <c r="D238" s="50" t="n"/>
    </row>
    <row r="239">
      <c r="B239" s="49" t="n"/>
      <c r="C239" s="49" t="n"/>
      <c r="D239" s="50" t="n"/>
    </row>
    <row r="240">
      <c r="B240" s="49" t="n"/>
      <c r="C240" s="49" t="n"/>
      <c r="D240" s="50" t="n"/>
    </row>
    <row r="241">
      <c r="B241" s="49" t="n"/>
      <c r="C241" s="49" t="n"/>
      <c r="D241" s="50" t="n"/>
    </row>
    <row r="242">
      <c r="B242" s="49" t="n"/>
      <c r="C242" s="49" t="n"/>
      <c r="D242" s="50" t="n"/>
    </row>
    <row r="243">
      <c r="B243" s="49" t="n"/>
      <c r="C243" s="49" t="n"/>
      <c r="D243" s="50" t="n"/>
    </row>
    <row r="244">
      <c r="B244" s="49" t="n"/>
      <c r="C244" s="49" t="n"/>
      <c r="D244" s="50" t="n"/>
    </row>
    <row r="245">
      <c r="B245" s="49" t="n"/>
      <c r="C245" s="49" t="n"/>
      <c r="D245" s="50" t="n"/>
    </row>
    <row r="246">
      <c r="B246" s="49" t="n"/>
      <c r="C246" s="49" t="n"/>
      <c r="D246" s="50" t="n"/>
    </row>
    <row r="247">
      <c r="B247" s="49" t="n"/>
      <c r="C247" s="49" t="n"/>
      <c r="D247" s="50" t="n"/>
    </row>
    <row r="248">
      <c r="B248" s="49" t="n"/>
      <c r="C248" s="49" t="n"/>
      <c r="D248" s="50" t="n"/>
    </row>
    <row r="249">
      <c r="B249" s="49" t="n"/>
      <c r="C249" s="49" t="n"/>
      <c r="D249" s="50" t="n"/>
    </row>
    <row r="250">
      <c r="B250" s="49" t="n"/>
      <c r="C250" s="49" t="n"/>
      <c r="D250" s="50" t="n"/>
    </row>
    <row r="251">
      <c r="B251" s="49" t="n"/>
      <c r="C251" s="49" t="n"/>
      <c r="D251" s="50" t="n"/>
    </row>
    <row r="252">
      <c r="B252" s="49" t="n"/>
      <c r="C252" s="49" t="n"/>
      <c r="D252" s="50" t="n"/>
    </row>
    <row r="253">
      <c r="B253" s="49" t="n"/>
      <c r="C253" s="49" t="n"/>
      <c r="D253" s="50" t="n"/>
    </row>
    <row r="254">
      <c r="B254" s="49" t="n"/>
      <c r="C254" s="49" t="n"/>
      <c r="D254" s="50" t="n"/>
    </row>
    <row r="255">
      <c r="B255" s="49" t="n"/>
      <c r="C255" s="49" t="n"/>
      <c r="D255" s="50" t="n"/>
    </row>
    <row r="256">
      <c r="B256" s="49" t="n"/>
      <c r="C256" s="49" t="n"/>
      <c r="D256" s="50" t="n"/>
    </row>
    <row r="257">
      <c r="B257" s="49" t="n"/>
      <c r="C257" s="49" t="n"/>
      <c r="D257" s="50" t="n"/>
    </row>
    <row r="258">
      <c r="B258" s="49" t="n"/>
      <c r="C258" s="49" t="n"/>
      <c r="D258" s="50" t="n"/>
    </row>
    <row r="259">
      <c r="B259" s="49" t="n"/>
      <c r="C259" s="49" t="n"/>
      <c r="D259" s="50" t="n"/>
    </row>
    <row r="260">
      <c r="B260" s="49" t="n"/>
      <c r="C260" s="49" t="n"/>
      <c r="D260" s="50" t="n"/>
    </row>
    <row r="261">
      <c r="B261" s="49" t="n"/>
      <c r="C261" s="49" t="n"/>
      <c r="D261" s="50" t="n"/>
    </row>
    <row r="262">
      <c r="B262" s="49" t="n"/>
      <c r="C262" s="49" t="n"/>
      <c r="D262" s="50" t="n"/>
    </row>
    <row r="263">
      <c r="B263" s="49" t="n"/>
      <c r="C263" s="49" t="n"/>
      <c r="D263" s="50" t="n"/>
    </row>
    <row r="264">
      <c r="B264" s="49" t="n"/>
      <c r="C264" s="49" t="n"/>
      <c r="D264" s="50" t="n"/>
    </row>
    <row r="265">
      <c r="B265" s="49" t="n"/>
      <c r="C265" s="49" t="n"/>
      <c r="D265" s="50" t="n"/>
    </row>
    <row r="266">
      <c r="B266" s="49" t="n"/>
      <c r="C266" s="49" t="n"/>
      <c r="D266" s="50" t="n"/>
    </row>
    <row r="267">
      <c r="B267" s="49" t="n"/>
      <c r="C267" s="49" t="n"/>
      <c r="D267" s="50" t="n"/>
    </row>
    <row r="268">
      <c r="B268" s="49" t="n"/>
      <c r="C268" s="49" t="n"/>
      <c r="D268" s="50" t="n"/>
    </row>
    <row r="269">
      <c r="B269" s="49" t="n"/>
      <c r="C269" s="49" t="n"/>
      <c r="D269" s="50" t="n"/>
    </row>
    <row r="270">
      <c r="B270" s="49" t="n"/>
      <c r="C270" s="49" t="n"/>
      <c r="D270" s="50" t="n"/>
    </row>
    <row r="271">
      <c r="B271" s="49" t="n"/>
      <c r="C271" s="49" t="n"/>
      <c r="D271" s="50" t="n"/>
    </row>
    <row r="272">
      <c r="B272" s="49" t="n"/>
      <c r="C272" s="49" t="n"/>
      <c r="D272" s="50" t="n"/>
    </row>
    <row r="273">
      <c r="B273" s="49" t="n"/>
      <c r="C273" s="49" t="n"/>
      <c r="D273" s="50" t="n"/>
    </row>
    <row r="274">
      <c r="B274" s="49" t="n"/>
      <c r="C274" s="49" t="n"/>
      <c r="D274" s="50" t="n"/>
    </row>
    <row r="275">
      <c r="B275" s="49" t="n"/>
      <c r="C275" s="49" t="n"/>
      <c r="D275" s="50" t="n"/>
    </row>
    <row r="276">
      <c r="B276" s="49" t="n"/>
      <c r="C276" s="49" t="n"/>
      <c r="D276" s="50" t="n"/>
    </row>
    <row r="277">
      <c r="B277" s="49" t="n"/>
      <c r="C277" s="49" t="n"/>
      <c r="D277" s="50" t="n"/>
    </row>
    <row r="278">
      <c r="B278" s="49" t="n"/>
      <c r="C278" s="49" t="n"/>
      <c r="D278" s="50" t="n"/>
    </row>
    <row r="279">
      <c r="B279" s="49" t="n"/>
      <c r="C279" s="49" t="n"/>
      <c r="D279" s="50" t="n"/>
    </row>
    <row r="280">
      <c r="B280" s="49" t="n"/>
      <c r="C280" s="49" t="n"/>
      <c r="D280" s="50" t="n"/>
    </row>
    <row r="281">
      <c r="B281" s="49" t="n"/>
      <c r="C281" s="49" t="n"/>
      <c r="D281" s="50" t="n"/>
    </row>
    <row r="282">
      <c r="B282" s="49" t="n"/>
      <c r="C282" s="49" t="n"/>
      <c r="D282" s="50" t="n"/>
    </row>
    <row r="283">
      <c r="B283" s="49" t="n"/>
      <c r="C283" s="49" t="n"/>
      <c r="D283" s="50" t="n"/>
    </row>
    <row r="284">
      <c r="B284" s="49" t="n"/>
      <c r="C284" s="49" t="n"/>
      <c r="D284" s="50" t="n"/>
    </row>
    <row r="285">
      <c r="B285" s="49" t="n"/>
      <c r="C285" s="49" t="n"/>
      <c r="D285" s="50" t="n"/>
    </row>
    <row r="286">
      <c r="B286" s="49" t="n"/>
      <c r="C286" s="49" t="n"/>
      <c r="D286" s="50" t="n"/>
    </row>
    <row r="287">
      <c r="B287" s="49" t="n"/>
      <c r="C287" s="49" t="n"/>
      <c r="D287" s="50" t="n"/>
    </row>
    <row r="288">
      <c r="B288" s="49" t="n"/>
      <c r="C288" s="49" t="n"/>
      <c r="D288" s="50" t="n"/>
    </row>
    <row r="289">
      <c r="B289" s="49" t="n"/>
      <c r="C289" s="49" t="n"/>
      <c r="D289" s="50" t="n"/>
    </row>
    <row r="290">
      <c r="B290" s="49" t="n"/>
      <c r="C290" s="49" t="n"/>
      <c r="D290" s="50" t="n"/>
    </row>
    <row r="291">
      <c r="B291" s="49" t="n"/>
      <c r="C291" s="49" t="n"/>
      <c r="D291" s="50" t="n"/>
    </row>
    <row r="292">
      <c r="B292" s="49" t="n"/>
      <c r="C292" s="49" t="n"/>
      <c r="D292" s="50" t="n"/>
    </row>
    <row r="293">
      <c r="B293" s="49" t="n"/>
      <c r="C293" s="49" t="n"/>
      <c r="D293" s="50" t="n"/>
    </row>
    <row r="294">
      <c r="B294" s="49" t="n"/>
      <c r="C294" s="49" t="n"/>
      <c r="D294" s="50" t="n"/>
    </row>
    <row r="295">
      <c r="B295" s="49" t="n"/>
      <c r="C295" s="49" t="n"/>
      <c r="D295" s="50" t="n"/>
    </row>
    <row r="296">
      <c r="B296" s="49" t="n"/>
      <c r="C296" s="49" t="n"/>
      <c r="D296" s="50" t="n"/>
    </row>
    <row r="297">
      <c r="B297" s="49" t="n"/>
      <c r="C297" s="49" t="n"/>
      <c r="D297" s="50" t="n"/>
    </row>
    <row r="298">
      <c r="B298" s="49" t="n"/>
      <c r="C298" s="49" t="n"/>
      <c r="D298" s="50" t="n"/>
    </row>
    <row r="299">
      <c r="B299" s="49" t="n"/>
      <c r="C299" s="49" t="n"/>
      <c r="D299" s="50" t="n"/>
    </row>
    <row r="300">
      <c r="B300" s="49" t="n"/>
      <c r="C300" s="49" t="n"/>
      <c r="D300" s="50" t="n"/>
    </row>
    <row r="301">
      <c r="B301" s="49" t="n"/>
      <c r="C301" s="49" t="n"/>
      <c r="D301" s="50" t="n"/>
    </row>
    <row r="302">
      <c r="B302" s="49" t="n"/>
      <c r="C302" s="49" t="n"/>
      <c r="D302" s="50" t="n"/>
    </row>
    <row r="303">
      <c r="B303" s="49" t="n"/>
      <c r="C303" s="49" t="n"/>
      <c r="D303" s="50" t="n"/>
    </row>
    <row r="304">
      <c r="B304" s="49" t="n"/>
      <c r="C304" s="49" t="n"/>
      <c r="D304" s="50" t="n"/>
    </row>
    <row r="305">
      <c r="B305" s="49" t="n"/>
      <c r="C305" s="49" t="n"/>
      <c r="D305" s="50" t="n"/>
    </row>
    <row r="306">
      <c r="B306" s="49" t="n"/>
      <c r="C306" s="49" t="n"/>
      <c r="D306" s="50" t="n"/>
    </row>
    <row r="307">
      <c r="B307" s="49" t="n"/>
      <c r="C307" s="49" t="n"/>
      <c r="D307" s="50" t="n"/>
    </row>
    <row r="308">
      <c r="B308" s="49" t="n"/>
      <c r="C308" s="49" t="n"/>
      <c r="D308" s="50" t="n"/>
    </row>
    <row r="309">
      <c r="B309" s="49" t="n"/>
      <c r="C309" s="49" t="n"/>
      <c r="D309" s="50" t="n"/>
    </row>
    <row r="310">
      <c r="B310" s="49" t="n"/>
      <c r="C310" s="49" t="n"/>
      <c r="D310" s="50" t="n"/>
    </row>
    <row r="311">
      <c r="B311" s="49" t="n"/>
      <c r="C311" s="49" t="n"/>
      <c r="D311" s="50" t="n"/>
    </row>
    <row r="312">
      <c r="B312" s="49" t="n"/>
      <c r="C312" s="49" t="n"/>
      <c r="D312" s="50" t="n"/>
    </row>
    <row r="313">
      <c r="B313" s="49" t="n"/>
      <c r="C313" s="49" t="n"/>
      <c r="D313" s="50" t="n"/>
    </row>
    <row r="314">
      <c r="B314" s="49" t="n"/>
      <c r="C314" s="49" t="n"/>
      <c r="D314" s="50" t="n"/>
    </row>
    <row r="315">
      <c r="B315" s="49" t="n"/>
      <c r="C315" s="49" t="n"/>
      <c r="D315" s="50" t="n"/>
    </row>
    <row r="316">
      <c r="B316" s="49" t="n"/>
      <c r="C316" s="49" t="n"/>
      <c r="D316" s="50" t="n"/>
    </row>
    <row r="317">
      <c r="B317" s="49" t="n"/>
      <c r="C317" s="49" t="n"/>
      <c r="D3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317">
    <cfRule type="expression" priority="2" dxfId="6">
      <formula>AND(LEN($B17&amp;$C17&amp;$D17&amp;$E17)&gt;0,B17="")</formula>
    </cfRule>
  </conditionalFormatting>
  <conditionalFormatting sqref="C17:C317">
    <cfRule type="expression" priority="3" dxfId="6">
      <formula>AND(LEN($B17&amp;$C17&amp;$D17&amp;$E17)&gt;0,C17="")</formula>
    </cfRule>
  </conditionalFormatting>
  <conditionalFormatting sqref="D17:D317">
    <cfRule type="expression" priority="4" dxfId="6">
      <formula>AND(LEN($B17&amp;$C17&amp;$D17&amp;$E17)&gt;0,D17="")</formula>
    </cfRule>
  </conditionalFormatting>
  <conditionalFormatting sqref="E17:E317">
    <cfRule type="expression" priority="5" dxfId="6">
      <formula>AND(LEN($B17&amp;$C17&amp;$D17&amp;$E17)&gt;0,E17="")</formula>
    </cfRule>
  </conditionalFormatting>
  <dataValidations count="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1" allowBlank="1" errorTitle="Currency code" error="The code is not in MD-02, column Currency code. Enter it there first, or keep it if it is a code BIBS already holds." promptTitle="Currency code" prompt="Yes. Currency of the rate (not PHP) Allowed: A code of MD-02 Currencies, column Currency code" type="list" errorStyle="warning">
      <formula1>=CODES_MD_02_CURRENCY_CODE</formula1>
    </dataValidation>
    <dataValidation sqref="C17:C317" showDropDown="0" showInputMessage="1" showErrorMessage="1" allowBlank="1" errorTitle="Rate type" error="Choose a value of the list Exchange rate type (sheet Reference lists)." promptTitle="Rate type" prompt="Yes. Kind of rate Allowed: SPOT, CLOSING, AVERAGE, BUDGET (list Exchange rate type)" type="list" errorStyle="stop">
      <formula1>=LIST_FX_RATE_TYPE</formula1>
    </dataValidation>
    <dataValidation sqref="D17:D317" showDropDown="0" showInputMessage="1" showErrorMessage="1" allowBlank="1" errorTitle="Effective date" error="Enter a date, for example 15-Jan-2028." promptTitle="Effective date" prompt="Yes. Date from which the rate applies Allowed: A date, for example 15-Jan-2028" type="date" operator="greaterThan">
      <formula1>DATE(1900,1,1)</formula1>
    </dataValidation>
    <dataValidation sqref="E17:E317" showDropDown="0" showInputMessage="1" showErrorMessage="1" allowBlank="1" errorTitle="Rate" error="Enter a number from 0 to 1000000." promptTitle="Rate" prompt="Yes. Pesos for one unit of the currency Allowed: A number from 0 to 1000000" type="decimal" operator="between">
      <formula1>0</formula1>
      <formula2>1000000</formula2>
    </dataValidation>
  </dataValidations>
  <hyperlinks>
    <hyperlink ref="A2" location="'Start here'!A1"/>
    <hyperlink ref="G2" location="'Questions and comments'!A1"/>
    <hyperlink ref="B8" location="'MD-02 Currencies'!A1"/>
    <hyperlink ref="B14" location="'MD-02 Currencies'!B16"/>
    <hyperlink ref="C14" location="'Reference lists'!A392"/>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9.xml><?xml version="1.0" encoding="utf-8"?>
<worksheet xmlns="http://schemas.openxmlformats.org/spreadsheetml/2006/main">
  <sheetPr>
    <tabColor rgb="00004EA8"/>
    <outlinePr summaryBelow="0" summaryRight="1"/>
    <pageSetUpPr fitToPage="1"/>
  </sheetPr>
  <dimension ref="A1:G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0" customWidth="1" min="3" max="3"/>
    <col width="26" customWidth="1" min="4" max="4"/>
    <col width="13" customWidth="1" min="5" max="5"/>
    <col width="16" customWidth="1" min="6" max="6"/>
    <col width="12" customWidth="1" min="7" max="7"/>
  </cols>
  <sheetData>
    <row r="1" ht="26" customHeight="1">
      <c r="A1" s="25" t="inlineStr">
        <is>
          <t>R02 Branches and invoicing branches</t>
        </is>
      </c>
      <c r="G1" s="26" t="inlineStr">
        <is>
          <t>Step 18 of 52</t>
        </is>
      </c>
    </row>
    <row r="2">
      <c r="A2" s="27" t="inlineStr">
        <is>
          <t>← Back to Start here</t>
        </is>
      </c>
      <c r="B2" s="28" t="inlineStr">
        <is>
          <t>Step 18 of 52. Fill in one row per record below the column headers; the guide above each column says what to enter.</t>
        </is>
      </c>
      <c r="G2" s="29" t="inlineStr">
        <is>
          <t>Ask a question →</t>
        </is>
      </c>
    </row>
    <row r="3" outlineLevel="1" ht="28" customHeight="1">
      <c r="A3" s="30" t="inlineStr">
        <is>
          <t>Purpose</t>
        </is>
      </c>
      <c r="B3" s="31" t="inlineStr">
        <is>
          <t>One row per record of Branches and invoicing branches as extracted from EBIX. Key branch_code. Sent as the file R02_template.csv (CSV, header row as below) with its control file (row count, count of distinct keys).</t>
        </is>
      </c>
    </row>
    <row r="4" outlineLevel="1" ht="15.5" customHeight="1">
      <c r="A4" s="30" t="inlineStr">
        <is>
          <t>Provided by</t>
        </is>
      </c>
      <c r="B4" s="31" t="inlineStr">
        <is>
          <t>Comptrollership data steward (to name); approved by Head, Comptrollership;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R02_template.csv (the header row as below) and its control file are received on Data Migration › Data Migration › Extracts and loaded by a batch of object R02; lands in: Branches (check only, code map BRANCH)</t>
        </is>
      </c>
    </row>
    <row r="7" outlineLevel="1" ht="15.5" customHeight="1">
      <c r="A7" s="30" t="inlineStr">
        <is>
          <t>Source</t>
        </is>
      </c>
      <c r="B7" s="31" t="inlineStr">
        <is>
          <t>EBIX</t>
        </is>
      </c>
    </row>
    <row r="8" outlineLevel="1" ht="15" customHeight="1">
      <c r="A8" s="30" t="inlineStr">
        <is>
          <t>Depends on</t>
        </is>
      </c>
      <c r="B8" s="53" t="inlineStr">
        <is>
          <t>D0-02 Branches →</t>
        </is>
      </c>
    </row>
    <row r="9" ht="26" customHeight="1">
      <c r="A9" s="34" t="inlineStr">
        <is>
          <t>Progress</t>
        </is>
      </c>
      <c r="B9" s="35" t="inlineStr">
        <is>
          <t>Rows entered</t>
        </is>
      </c>
      <c r="C9" s="36">
        <f>SUMPRODUCT(((ROW($B$18:$B$218)&gt;18)+($B$18&lt;&gt;"MKT01")&gt;0)*(LEN($B$18:$B$218&amp;$C$18:$C$218&amp;$D$18:$D$218&amp;$E$18:$E$218&amp;$F$18:$F$218)&gt;0))</f>
        <v/>
      </c>
      <c r="D9" s="35" t="inlineStr">
        <is>
          <t>Mandatory cells missing</t>
        </is>
      </c>
      <c r="E9" s="36">
        <f>SUMPRODUCT(((ROW($B$18:$B$218)&gt;18)+($B$18&lt;&gt;"MKT01")&gt;0)*(LEN($B$18:$B$218&amp;$C$18:$C$218&amp;$D$18:$D$218&amp;$E$18:$E$218&amp;$F$18:$F$218)&gt;0)*(($B$18:$B$218="")+($C$18:$C$218="")+($D$18:$D$218="")+($F$18:$F$218="")))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Check when loaded</t>
        </is>
      </c>
      <c r="B12" s="43" t="inlineStr">
        <is>
          <t>Unique</t>
        </is>
      </c>
      <c r="C12" s="43" t="inlineStr">
        <is>
          <t>Not blank</t>
        </is>
      </c>
      <c r="D12" s="43" t="inlineStr">
        <is>
          <t>Y or N</t>
        </is>
      </c>
      <c r="E12" s="43" t="inlineStr">
        <is>
          <t>-</t>
        </is>
      </c>
      <c r="F12" s="43" t="inlineStr">
        <is>
          <t>Y or N</t>
        </is>
      </c>
    </row>
    <row r="13" ht="17" customHeight="1">
      <c r="A13" s="41" t="inlineStr">
        <is>
          <t>Mandatory</t>
        </is>
      </c>
      <c r="B13" s="42" t="inlineStr">
        <is>
          <t>Yes</t>
        </is>
      </c>
      <c r="C13" s="42" t="inlineStr">
        <is>
          <t>Yes</t>
        </is>
      </c>
      <c r="D13" s="42" t="inlineStr">
        <is>
          <t>Yes</t>
        </is>
      </c>
      <c r="E13" s="43" t="inlineStr">
        <is>
          <t>No</t>
        </is>
      </c>
      <c r="F13" s="42" t="inlineStr">
        <is>
          <t>Yes</t>
        </is>
      </c>
    </row>
    <row r="14" ht="30" customHeight="1">
      <c r="A14" s="41" t="inlineStr">
        <is>
          <t>Format</t>
        </is>
      </c>
      <c r="B14" s="43" t="inlineStr">
        <is>
          <t>Code, up to 20; As stored in legacy</t>
        </is>
      </c>
      <c r="C14" s="43" t="inlineStr">
        <is>
          <t>Text, up to 120; Free text</t>
        </is>
      </c>
      <c r="D14" s="43" t="inlineStr">
        <is>
          <t>Flag, up to 1; Y or N</t>
        </is>
      </c>
      <c r="E14" s="43" t="inlineStr">
        <is>
          <t>Text, up to 80; Free text</t>
        </is>
      </c>
      <c r="F14" s="43" t="inlineStr">
        <is>
          <t>Flag, up to 1; Y or N</t>
        </is>
      </c>
    </row>
    <row r="15" ht="43" customHeight="1">
      <c r="A15" s="41" t="inlineStr">
        <is>
          <t>Allowed values</t>
        </is>
      </c>
      <c r="B15" s="43" t="inlineStr">
        <is>
          <t>Free entry, up to 20 characters</t>
        </is>
      </c>
      <c r="C15" s="43" t="inlineStr">
        <is>
          <t>Free entry, up to 120 characters</t>
        </is>
      </c>
      <c r="D15" s="43" t="inlineStr">
        <is>
          <t>Y or N</t>
        </is>
      </c>
      <c r="E15" s="43" t="inlineStr">
        <is>
          <t>Free entry, up to 80 characters</t>
        </is>
      </c>
      <c r="F15" s="43" t="inlineStr">
        <is>
          <t>Y or N</t>
        </is>
      </c>
    </row>
    <row r="16" ht="30" customHeight="1">
      <c r="A16" s="41" t="inlineStr">
        <is>
          <t>What to enter</t>
        </is>
      </c>
      <c r="B16" s="43" t="inlineStr">
        <is>
          <t>Legacy branch code</t>
        </is>
      </c>
      <c r="C16" s="43" t="inlineStr">
        <is>
          <t>Branch name</t>
        </is>
      </c>
      <c r="D16" s="43" t="inlineStr">
        <is>
          <t>Branch issues invoices and receipts</t>
        </is>
      </c>
      <c r="E16" s="43" t="inlineStr">
        <is>
          <t>City of the branch</t>
        </is>
      </c>
      <c r="F16" s="43" t="inlineStr">
        <is>
          <t>Branch active in legacy</t>
        </is>
      </c>
    </row>
    <row r="17" ht="30" customHeight="1">
      <c r="A17" s="44" t="inlineStr">
        <is>
          <t>Row</t>
        </is>
      </c>
      <c r="B17" s="45" t="inlineStr">
        <is>
          <t>branch_code *</t>
        </is>
      </c>
      <c r="C17" s="45" t="inlineStr">
        <is>
          <t>branch_name *</t>
        </is>
      </c>
      <c r="D17" s="45" t="inlineStr">
        <is>
          <t>invoicing_branch_flag *</t>
        </is>
      </c>
      <c r="E17" s="45" t="inlineStr">
        <is>
          <t>city</t>
        </is>
      </c>
      <c r="F17" s="45" t="inlineStr">
        <is>
          <t>active_flag *</t>
        </is>
      </c>
    </row>
    <row r="18" ht="18" customHeight="1">
      <c r="A18" s="46" t="inlineStr">
        <is>
          <t>Example – overwrite or delete</t>
        </is>
      </c>
      <c r="B18" s="47" t="inlineStr">
        <is>
          <t>MKT01</t>
        </is>
      </c>
      <c r="C18" s="47" t="inlineStr">
        <is>
          <t>Makati Head Office</t>
        </is>
      </c>
      <c r="D18" s="47" t="inlineStr">
        <is>
          <t>Y</t>
        </is>
      </c>
      <c r="E18" s="47" t="inlineStr">
        <is>
          <t>Makati City</t>
        </is>
      </c>
      <c r="F18" s="47" t="inlineStr">
        <is>
          <t>Y</t>
        </is>
      </c>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8:B218">
    <cfRule type="expression" priority="2" dxfId="6">
      <formula>AND(LEN($B18&amp;$C18&amp;$D18&amp;$E18&amp;$F18)&gt;0,B18="")</formula>
    </cfRule>
  </conditionalFormatting>
  <conditionalFormatting sqref="C18:C218">
    <cfRule type="expression" priority="3" dxfId="6">
      <formula>AND(LEN($B18&amp;$C18&amp;$D18&amp;$E18&amp;$F18)&gt;0,C18="")</formula>
    </cfRule>
  </conditionalFormatting>
  <conditionalFormatting sqref="D18:D218">
    <cfRule type="expression" priority="4" dxfId="6">
      <formula>AND(LEN($B18&amp;$C18&amp;$D18&amp;$E18&amp;$F18)&gt;0,D18="")</formula>
    </cfRule>
  </conditionalFormatting>
  <conditionalFormatting sqref="F18:F218">
    <cfRule type="expression" priority="5" dxfId="6">
      <formula>AND(LEN($B18&amp;$C18&amp;$D18&amp;$E18&amp;$F18)&gt;0,F18="")</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branch_code" error="At most 20 characters." promptTitle="branch_code" prompt="Yes. Legacy branch code Allowed: Free entry, up to 20 characters" type="textLength" operator="lessThanOrEqual">
      <formula1>20</formula1>
    </dataValidation>
    <dataValidation sqref="C18:C218" showDropDown="0" showInputMessage="1" showErrorMessage="1" allowBlank="1" errorTitle="branch_name" error="At most 120 characters." promptTitle="branch_name" prompt="Yes. Branch name Allowed: Free entry, up to 120 characters" type="textLength" operator="lessThanOrEqual">
      <formula1>120</formula1>
    </dataValidation>
    <dataValidation sqref="D18:D218" showDropDown="0" showInputMessage="1" showErrorMessage="1" allowBlank="1" errorTitle="invoicing_branch_flag" error="Choose a value of the list Yes or no (sheet Reference lists)." promptTitle="invoicing_branch_flag" prompt="Yes. Branch issues invoices and receipts Allowed: Y or N" type="list" errorStyle="stop">
      <formula1>=LIST_YES_NO</formula1>
    </dataValidation>
    <dataValidation sqref="E18:E218" showDropDown="0" showInputMessage="1" showErrorMessage="1" allowBlank="1" errorTitle="city" error="At most 80 characters." promptTitle="city" prompt="No. City of the branch Allowed: Free entry, up to 80 characters" type="textLength" operator="lessThanOrEqual">
      <formula1>80</formula1>
    </dataValidation>
    <dataValidation sqref="F18:F218" showDropDown="0" showInputMessage="1" showErrorMessage="1" allowBlank="1" errorTitle="active_flag" error="Choose a value of the list Yes or no (sheet Reference lists)." promptTitle="active_flag" prompt="Yes. Branch active in legacy Allowed: Y or N" type="list" errorStyle="stop">
      <formula1>=LIST_YES_NO</formula1>
    </dataValidation>
  </dataValidations>
  <hyperlinks>
    <hyperlink ref="A2" location="'Start here'!A1"/>
    <hyperlink ref="G2" location="'Questions and comments'!A1"/>
    <hyperlink ref="B8" location="'D0-02 Branche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tabColor rgb="00004EA8"/>
    <outlinePr summaryBelow="0" summaryRight="1"/>
    <pageSetUpPr fitToPage="1"/>
  </sheetPr>
  <dimension ref="A1:H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6" customWidth="1" min="3" max="3"/>
    <col width="16" customWidth="1" min="4" max="4"/>
    <col width="12" customWidth="1" min="5" max="5"/>
    <col width="14.09090909090909" customWidth="1" min="6" max="6"/>
    <col width="22" customWidth="1" min="7" max="7"/>
    <col width="15.90909090909091" customWidth="1" min="8" max="8"/>
  </cols>
  <sheetData>
    <row r="1" ht="26" customHeight="1">
      <c r="A1" s="25" t="inlineStr">
        <is>
          <t>R04B Insurer branches</t>
        </is>
      </c>
      <c r="H1" s="26" t="inlineStr">
        <is>
          <t>Step 19 of 52</t>
        </is>
      </c>
    </row>
    <row r="2">
      <c r="A2" s="27" t="inlineStr">
        <is>
          <t>← Back to Start here</t>
        </is>
      </c>
      <c r="B2" s="28" t="inlineStr">
        <is>
          <t>Step 19 of 52. Fill in one row per record below the column headers; the guide above each column says what to enter.</t>
        </is>
      </c>
      <c r="H2" s="29" t="inlineStr">
        <is>
          <t>Ask a question →</t>
        </is>
      </c>
    </row>
    <row r="3" outlineLevel="1" ht="28" customHeight="1">
      <c r="A3" s="30" t="inlineStr">
        <is>
          <t>Purpose</t>
        </is>
      </c>
      <c r="B3" s="31" t="inlineStr">
        <is>
          <t>One row per record of Insurers and insurer branches as extracted from QPS, EBIX. Key insurer_code, branch_code. Sent as the file R04B_template.csv (CSV, header row as below) with its control file (row count, count of distinct keys).</t>
        </is>
      </c>
    </row>
    <row r="4" outlineLevel="1" ht="15.5" customHeight="1">
      <c r="A4" s="30" t="inlineStr">
        <is>
          <t>Provided by</t>
        </is>
      </c>
      <c r="B4" s="31" t="inlineStr">
        <is>
          <t>Operations data steward (to name); approved by Head, Operations;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R04B_template.csv (the header row as below) and its control file are received on Data Migration › Data Migration › Extracts and loaded by a batch of object R04; lands in: Insurers and insurer branches (insurer and party records)</t>
        </is>
      </c>
    </row>
    <row r="7" outlineLevel="1" ht="15.5" customHeight="1">
      <c r="A7" s="30" t="inlineStr">
        <is>
          <t>Source</t>
        </is>
      </c>
      <c r="B7" s="31" t="inlineStr">
        <is>
          <t>QPS, EBIX</t>
        </is>
      </c>
    </row>
    <row r="8" outlineLevel="1" ht="15" customHeight="1">
      <c r="A8" s="30" t="inlineStr">
        <is>
          <t>Depends on</t>
        </is>
      </c>
      <c r="B8" s="53" t="inlineStr">
        <is>
          <t>R04 Insurers →</t>
        </is>
      </c>
    </row>
    <row r="9" ht="26" customHeight="1">
      <c r="A9" s="34" t="inlineStr">
        <is>
          <t>Progress</t>
        </is>
      </c>
      <c r="B9" s="35" t="inlineStr">
        <is>
          <t>Rows entered</t>
        </is>
      </c>
      <c r="C9" s="36">
        <f>SUMPRODUCT(((ROW($B$18:$B$218)&gt;18)+($B$18&lt;&gt;"MAL")&gt;0)*(LEN($B$18:$B$218&amp;$C$18:$C$218&amp;$D$18:$D$218&amp;$E$18:$E$218&amp;$F$18:$F$218&amp;$G$18:$G$218&amp;$H$18:$H$218)&gt;0))</f>
        <v/>
      </c>
      <c r="D9" s="35" t="inlineStr">
        <is>
          <t>Mandatory cells missing</t>
        </is>
      </c>
      <c r="E9" s="36">
        <f>SUMPRODUCT(((ROW($B$18:$B$218)&gt;18)+($B$18&lt;&gt;"MAL")&gt;0)*(LEN($B$18:$B$218&amp;$C$18:$C$218&amp;$D$18:$D$218&amp;$E$18:$E$218&amp;$F$18:$F$218&amp;$G$18:$G$218&amp;$H$18:$H$218)&gt;0)*(($B$18:$B$218="")+($C$18:$C$218="")+($D$18:$D$218="")+($H$18:$H$218="")))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17" customHeight="1">
      <c r="A12" s="41" t="inlineStr">
        <is>
          <t>Check when loaded</t>
        </is>
      </c>
      <c r="B12" s="43" t="inlineStr">
        <is>
          <t>Exists in R04</t>
        </is>
      </c>
      <c r="C12" s="43" t="inlineStr">
        <is>
          <t>Unique per insurer</t>
        </is>
      </c>
      <c r="D12" s="43" t="inlineStr">
        <is>
          <t>Not blank</t>
        </is>
      </c>
      <c r="E12" s="43" t="inlineStr">
        <is>
          <t>-</t>
        </is>
      </c>
      <c r="F12" s="43" t="inlineStr">
        <is>
          <t>0 to 5</t>
        </is>
      </c>
      <c r="G12" s="43" t="inlineStr">
        <is>
          <t>Valid e-mail</t>
        </is>
      </c>
      <c r="H12" s="43" t="inlineStr">
        <is>
          <t>Mapped</t>
        </is>
      </c>
    </row>
    <row r="13" ht="17" customHeight="1">
      <c r="A13" s="41" t="inlineStr">
        <is>
          <t>Mandatory</t>
        </is>
      </c>
      <c r="B13" s="42" t="inlineStr">
        <is>
          <t>Yes</t>
        </is>
      </c>
      <c r="C13" s="42" t="inlineStr">
        <is>
          <t>Yes</t>
        </is>
      </c>
      <c r="D13" s="42" t="inlineStr">
        <is>
          <t>Yes</t>
        </is>
      </c>
      <c r="E13" s="43" t="inlineStr">
        <is>
          <t>No</t>
        </is>
      </c>
      <c r="F13" s="43" t="inlineStr">
        <is>
          <t>No</t>
        </is>
      </c>
      <c r="G13" s="43" t="inlineStr">
        <is>
          <t>No</t>
        </is>
      </c>
      <c r="H13" s="42" t="inlineStr">
        <is>
          <t>Yes</t>
        </is>
      </c>
    </row>
    <row r="14" ht="30" customHeight="1">
      <c r="A14" s="41" t="inlineStr">
        <is>
          <t>Format</t>
        </is>
      </c>
      <c r="B14" s="43" t="inlineStr">
        <is>
          <t>Code, up to 30; As stored in legacy</t>
        </is>
      </c>
      <c r="C14" s="43" t="inlineStr">
        <is>
          <t>Code, up to 20; As stored in legacy</t>
        </is>
      </c>
      <c r="D14" s="43" t="inlineStr">
        <is>
          <t>Text, up to 120; Free text</t>
        </is>
      </c>
      <c r="E14" s="43" t="inlineStr">
        <is>
          <t>Text, up to 80; Free text</t>
        </is>
      </c>
      <c r="F14" s="43" t="inlineStr">
        <is>
          <t>Decimal, up to 9,4; Dot decimal</t>
        </is>
      </c>
      <c r="G14" s="43" t="inlineStr">
        <is>
          <t>Text, up to 120; name@domain</t>
        </is>
      </c>
      <c r="H14" s="43" t="inlineStr">
        <is>
          <t>Code, up to 20; As stored in legacy</t>
        </is>
      </c>
    </row>
    <row r="15" ht="121" customHeight="1">
      <c r="A15" s="41" t="inlineStr">
        <is>
          <t>Allowed values</t>
        </is>
      </c>
      <c r="B15" s="43" t="inlineStr">
        <is>
          <t>The legacy code; mapped by the code map INSURER (Code Maps screen of the Data Migration Console; maps prepared in the Migration Workbook of BRD-13)</t>
        </is>
      </c>
      <c r="C15" s="43" t="inlineStr">
        <is>
          <t>Free entry, up to 20 characters</t>
        </is>
      </c>
      <c r="D15" s="43" t="inlineStr">
        <is>
          <t>Free entry, up to 120 characters</t>
        </is>
      </c>
      <c r="E15" s="43" t="inlineStr">
        <is>
          <t>Free entry, up to 80 characters</t>
        </is>
      </c>
      <c r="F15" s="43" t="inlineStr">
        <is>
          <t>A number</t>
        </is>
      </c>
      <c r="G15" s="43" t="inlineStr">
        <is>
          <t>Free entry, up to 120 characters</t>
        </is>
      </c>
      <c r="H15" s="43" t="inlineStr">
        <is>
          <t>The legacy code; mapped by the code map STATUS:INSURER (Code Maps screen of the Data Migration Console; maps prepared in the Migration Workbook of BRD-13)</t>
        </is>
      </c>
    </row>
    <row r="16" ht="56" customHeight="1">
      <c r="A16" s="41" t="inlineStr">
        <is>
          <t>What to enter</t>
        </is>
      </c>
      <c r="B16" s="43" t="inlineStr">
        <is>
          <t>Legacy insurer code</t>
        </is>
      </c>
      <c r="C16" s="43" t="inlineStr">
        <is>
          <t>Legacy insurer branch code</t>
        </is>
      </c>
      <c r="D16" s="43" t="inlineStr">
        <is>
          <t>Branch name</t>
        </is>
      </c>
      <c r="E16" s="43" t="inlineStr">
        <is>
          <t>City</t>
        </is>
      </c>
      <c r="F16" s="43" t="inlineStr">
        <is>
          <t>Local government tax rate of the branch location, in percent</t>
        </is>
      </c>
      <c r="G16" s="43" t="inlineStr">
        <is>
          <t>Branch placement e-mail</t>
        </is>
      </c>
      <c r="H16" s="43" t="inlineStr">
        <is>
          <t>Branch status</t>
        </is>
      </c>
    </row>
    <row r="17" ht="30" customHeight="1">
      <c r="A17" s="44" t="inlineStr">
        <is>
          <t>Row</t>
        </is>
      </c>
      <c r="B17" s="45" t="inlineStr">
        <is>
          <t>insurer_code *</t>
        </is>
      </c>
      <c r="C17" s="45" t="inlineStr">
        <is>
          <t>branch_code *</t>
        </is>
      </c>
      <c r="D17" s="45" t="inlineStr">
        <is>
          <t>branch_name *</t>
        </is>
      </c>
      <c r="E17" s="45" t="inlineStr">
        <is>
          <t>city</t>
        </is>
      </c>
      <c r="F17" s="45" t="inlineStr">
        <is>
          <t>lgt_rate</t>
        </is>
      </c>
      <c r="G17" s="45" t="inlineStr">
        <is>
          <t>placement_email</t>
        </is>
      </c>
      <c r="H17" s="45" t="inlineStr">
        <is>
          <t>status *</t>
        </is>
      </c>
    </row>
    <row r="18" ht="18" customHeight="1">
      <c r="A18" s="46" t="inlineStr">
        <is>
          <t>Example – overwrite or delete</t>
        </is>
      </c>
      <c r="B18" s="47" t="inlineStr">
        <is>
          <t>MAL</t>
        </is>
      </c>
      <c r="C18" s="47" t="inlineStr">
        <is>
          <t>MAL-CEB</t>
        </is>
      </c>
      <c r="D18" s="47" t="inlineStr">
        <is>
          <t>Malayan Cebu</t>
        </is>
      </c>
      <c r="E18" s="47" t="inlineStr">
        <is>
          <t>Cebu City</t>
        </is>
      </c>
      <c r="F18" s="52" t="n">
        <v>0.75</v>
      </c>
      <c r="G18" s="47" t="inlineStr">
        <is>
          <t>cebu@insurer.example</t>
        </is>
      </c>
      <c r="H18" s="47" t="inlineStr">
        <is>
          <t>ACTIVE</t>
        </is>
      </c>
    </row>
    <row r="19">
      <c r="B19" s="49" t="n"/>
      <c r="C19" s="49" t="n"/>
      <c r="D19" s="49" t="n"/>
      <c r="E19" s="49" t="n"/>
      <c r="G19" s="49" t="n"/>
      <c r="H19" s="49" t="n"/>
    </row>
    <row r="20">
      <c r="B20" s="49" t="n"/>
      <c r="C20" s="49" t="n"/>
      <c r="D20" s="49" t="n"/>
      <c r="E20" s="49" t="n"/>
      <c r="G20" s="49" t="n"/>
      <c r="H20" s="49" t="n"/>
    </row>
    <row r="21">
      <c r="B21" s="49" t="n"/>
      <c r="C21" s="49" t="n"/>
      <c r="D21" s="49" t="n"/>
      <c r="E21" s="49" t="n"/>
      <c r="G21" s="49" t="n"/>
      <c r="H21" s="49" t="n"/>
    </row>
    <row r="22">
      <c r="B22" s="49" t="n"/>
      <c r="C22" s="49" t="n"/>
      <c r="D22" s="49" t="n"/>
      <c r="E22" s="49" t="n"/>
      <c r="G22" s="49" t="n"/>
      <c r="H22" s="49" t="n"/>
    </row>
    <row r="23">
      <c r="B23" s="49" t="n"/>
      <c r="C23" s="49" t="n"/>
      <c r="D23" s="49" t="n"/>
      <c r="E23" s="49" t="n"/>
      <c r="G23" s="49" t="n"/>
      <c r="H23" s="49" t="n"/>
    </row>
    <row r="24">
      <c r="B24" s="49" t="n"/>
      <c r="C24" s="49" t="n"/>
      <c r="D24" s="49" t="n"/>
      <c r="E24" s="49" t="n"/>
      <c r="G24" s="49" t="n"/>
      <c r="H24" s="49" t="n"/>
    </row>
    <row r="25">
      <c r="B25" s="49" t="n"/>
      <c r="C25" s="49" t="n"/>
      <c r="D25" s="49" t="n"/>
      <c r="E25" s="49" t="n"/>
      <c r="G25" s="49" t="n"/>
      <c r="H25" s="49" t="n"/>
    </row>
    <row r="26">
      <c r="B26" s="49" t="n"/>
      <c r="C26" s="49" t="n"/>
      <c r="D26" s="49" t="n"/>
      <c r="E26" s="49" t="n"/>
      <c r="G26" s="49" t="n"/>
      <c r="H26" s="49" t="n"/>
    </row>
    <row r="27">
      <c r="B27" s="49" t="n"/>
      <c r="C27" s="49" t="n"/>
      <c r="D27" s="49" t="n"/>
      <c r="E27" s="49" t="n"/>
      <c r="G27" s="49" t="n"/>
      <c r="H27" s="49" t="n"/>
    </row>
    <row r="28">
      <c r="B28" s="49" t="n"/>
      <c r="C28" s="49" t="n"/>
      <c r="D28" s="49" t="n"/>
      <c r="E28" s="49" t="n"/>
      <c r="G28" s="49" t="n"/>
      <c r="H28" s="49" t="n"/>
    </row>
    <row r="29">
      <c r="B29" s="49" t="n"/>
      <c r="C29" s="49" t="n"/>
      <c r="D29" s="49" t="n"/>
      <c r="E29" s="49" t="n"/>
      <c r="G29" s="49" t="n"/>
      <c r="H29" s="49" t="n"/>
    </row>
    <row r="30">
      <c r="B30" s="49" t="n"/>
      <c r="C30" s="49" t="n"/>
      <c r="D30" s="49" t="n"/>
      <c r="E30" s="49" t="n"/>
      <c r="G30" s="49" t="n"/>
      <c r="H30" s="49" t="n"/>
    </row>
    <row r="31">
      <c r="B31" s="49" t="n"/>
      <c r="C31" s="49" t="n"/>
      <c r="D31" s="49" t="n"/>
      <c r="E31" s="49" t="n"/>
      <c r="G31" s="49" t="n"/>
      <c r="H31" s="49" t="n"/>
    </row>
    <row r="32">
      <c r="B32" s="49" t="n"/>
      <c r="C32" s="49" t="n"/>
      <c r="D32" s="49" t="n"/>
      <c r="E32" s="49" t="n"/>
      <c r="G32" s="49" t="n"/>
      <c r="H32" s="49" t="n"/>
    </row>
    <row r="33">
      <c r="B33" s="49" t="n"/>
      <c r="C33" s="49" t="n"/>
      <c r="D33" s="49" t="n"/>
      <c r="E33" s="49" t="n"/>
      <c r="G33" s="49" t="n"/>
      <c r="H33" s="49" t="n"/>
    </row>
    <row r="34">
      <c r="B34" s="49" t="n"/>
      <c r="C34" s="49" t="n"/>
      <c r="D34" s="49" t="n"/>
      <c r="E34" s="49" t="n"/>
      <c r="G34" s="49" t="n"/>
      <c r="H34" s="49" t="n"/>
    </row>
    <row r="35">
      <c r="B35" s="49" t="n"/>
      <c r="C35" s="49" t="n"/>
      <c r="D35" s="49" t="n"/>
      <c r="E35" s="49" t="n"/>
      <c r="G35" s="49" t="n"/>
      <c r="H35" s="49" t="n"/>
    </row>
    <row r="36">
      <c r="B36" s="49" t="n"/>
      <c r="C36" s="49" t="n"/>
      <c r="D36" s="49" t="n"/>
      <c r="E36" s="49" t="n"/>
      <c r="G36" s="49" t="n"/>
      <c r="H36" s="49" t="n"/>
    </row>
    <row r="37">
      <c r="B37" s="49" t="n"/>
      <c r="C37" s="49" t="n"/>
      <c r="D37" s="49" t="n"/>
      <c r="E37" s="49" t="n"/>
      <c r="G37" s="49" t="n"/>
      <c r="H37" s="49" t="n"/>
    </row>
    <row r="38">
      <c r="B38" s="49" t="n"/>
      <c r="C38" s="49" t="n"/>
      <c r="D38" s="49" t="n"/>
      <c r="E38" s="49" t="n"/>
      <c r="G38" s="49" t="n"/>
      <c r="H38" s="49" t="n"/>
    </row>
    <row r="39">
      <c r="B39" s="49" t="n"/>
      <c r="C39" s="49" t="n"/>
      <c r="D39" s="49" t="n"/>
      <c r="E39" s="49" t="n"/>
      <c r="G39" s="49" t="n"/>
      <c r="H39" s="49" t="n"/>
    </row>
    <row r="40">
      <c r="B40" s="49" t="n"/>
      <c r="C40" s="49" t="n"/>
      <c r="D40" s="49" t="n"/>
      <c r="E40" s="49" t="n"/>
      <c r="G40" s="49" t="n"/>
      <c r="H40" s="49" t="n"/>
    </row>
    <row r="41">
      <c r="B41" s="49" t="n"/>
      <c r="C41" s="49" t="n"/>
      <c r="D41" s="49" t="n"/>
      <c r="E41" s="49" t="n"/>
      <c r="G41" s="49" t="n"/>
      <c r="H41" s="49" t="n"/>
    </row>
    <row r="42">
      <c r="B42" s="49" t="n"/>
      <c r="C42" s="49" t="n"/>
      <c r="D42" s="49" t="n"/>
      <c r="E42" s="49" t="n"/>
      <c r="G42" s="49" t="n"/>
      <c r="H42" s="49" t="n"/>
    </row>
    <row r="43">
      <c r="B43" s="49" t="n"/>
      <c r="C43" s="49" t="n"/>
      <c r="D43" s="49" t="n"/>
      <c r="E43" s="49" t="n"/>
      <c r="G43" s="49" t="n"/>
      <c r="H43" s="49" t="n"/>
    </row>
    <row r="44">
      <c r="B44" s="49" t="n"/>
      <c r="C44" s="49" t="n"/>
      <c r="D44" s="49" t="n"/>
      <c r="E44" s="49" t="n"/>
      <c r="G44" s="49" t="n"/>
      <c r="H44" s="49" t="n"/>
    </row>
    <row r="45">
      <c r="B45" s="49" t="n"/>
      <c r="C45" s="49" t="n"/>
      <c r="D45" s="49" t="n"/>
      <c r="E45" s="49" t="n"/>
      <c r="G45" s="49" t="n"/>
      <c r="H45" s="49" t="n"/>
    </row>
    <row r="46">
      <c r="B46" s="49" t="n"/>
      <c r="C46" s="49" t="n"/>
      <c r="D46" s="49" t="n"/>
      <c r="E46" s="49" t="n"/>
      <c r="G46" s="49" t="n"/>
      <c r="H46" s="49" t="n"/>
    </row>
    <row r="47">
      <c r="B47" s="49" t="n"/>
      <c r="C47" s="49" t="n"/>
      <c r="D47" s="49" t="n"/>
      <c r="E47" s="49" t="n"/>
      <c r="G47" s="49" t="n"/>
      <c r="H47" s="49" t="n"/>
    </row>
    <row r="48">
      <c r="B48" s="49" t="n"/>
      <c r="C48" s="49" t="n"/>
      <c r="D48" s="49" t="n"/>
      <c r="E48" s="49" t="n"/>
      <c r="G48" s="49" t="n"/>
      <c r="H48" s="49" t="n"/>
    </row>
    <row r="49">
      <c r="B49" s="49" t="n"/>
      <c r="C49" s="49" t="n"/>
      <c r="D49" s="49" t="n"/>
      <c r="E49" s="49" t="n"/>
      <c r="G49" s="49" t="n"/>
      <c r="H49" s="49" t="n"/>
    </row>
    <row r="50">
      <c r="B50" s="49" t="n"/>
      <c r="C50" s="49" t="n"/>
      <c r="D50" s="49" t="n"/>
      <c r="E50" s="49" t="n"/>
      <c r="G50" s="49" t="n"/>
      <c r="H50" s="49" t="n"/>
    </row>
    <row r="51">
      <c r="B51" s="49" t="n"/>
      <c r="C51" s="49" t="n"/>
      <c r="D51" s="49" t="n"/>
      <c r="E51" s="49" t="n"/>
      <c r="G51" s="49" t="n"/>
      <c r="H51" s="49" t="n"/>
    </row>
    <row r="52">
      <c r="B52" s="49" t="n"/>
      <c r="C52" s="49" t="n"/>
      <c r="D52" s="49" t="n"/>
      <c r="E52" s="49" t="n"/>
      <c r="G52" s="49" t="n"/>
      <c r="H52" s="49" t="n"/>
    </row>
    <row r="53">
      <c r="B53" s="49" t="n"/>
      <c r="C53" s="49" t="n"/>
      <c r="D53" s="49" t="n"/>
      <c r="E53" s="49" t="n"/>
      <c r="G53" s="49" t="n"/>
      <c r="H53" s="49" t="n"/>
    </row>
    <row r="54">
      <c r="B54" s="49" t="n"/>
      <c r="C54" s="49" t="n"/>
      <c r="D54" s="49" t="n"/>
      <c r="E54" s="49" t="n"/>
      <c r="G54" s="49" t="n"/>
      <c r="H54" s="49" t="n"/>
    </row>
    <row r="55">
      <c r="B55" s="49" t="n"/>
      <c r="C55" s="49" t="n"/>
      <c r="D55" s="49" t="n"/>
      <c r="E55" s="49" t="n"/>
      <c r="G55" s="49" t="n"/>
      <c r="H55" s="49" t="n"/>
    </row>
    <row r="56">
      <c r="B56" s="49" t="n"/>
      <c r="C56" s="49" t="n"/>
      <c r="D56" s="49" t="n"/>
      <c r="E56" s="49" t="n"/>
      <c r="G56" s="49" t="n"/>
      <c r="H56" s="49" t="n"/>
    </row>
    <row r="57">
      <c r="B57" s="49" t="n"/>
      <c r="C57" s="49" t="n"/>
      <c r="D57" s="49" t="n"/>
      <c r="E57" s="49" t="n"/>
      <c r="G57" s="49" t="n"/>
      <c r="H57" s="49" t="n"/>
    </row>
    <row r="58">
      <c r="B58" s="49" t="n"/>
      <c r="C58" s="49" t="n"/>
      <c r="D58" s="49" t="n"/>
      <c r="E58" s="49" t="n"/>
      <c r="G58" s="49" t="n"/>
      <c r="H58" s="49" t="n"/>
    </row>
    <row r="59">
      <c r="B59" s="49" t="n"/>
      <c r="C59" s="49" t="n"/>
      <c r="D59" s="49" t="n"/>
      <c r="E59" s="49" t="n"/>
      <c r="G59" s="49" t="n"/>
      <c r="H59" s="49" t="n"/>
    </row>
    <row r="60">
      <c r="B60" s="49" t="n"/>
      <c r="C60" s="49" t="n"/>
      <c r="D60" s="49" t="n"/>
      <c r="E60" s="49" t="n"/>
      <c r="G60" s="49" t="n"/>
      <c r="H60" s="49" t="n"/>
    </row>
    <row r="61">
      <c r="B61" s="49" t="n"/>
      <c r="C61" s="49" t="n"/>
      <c r="D61" s="49" t="n"/>
      <c r="E61" s="49" t="n"/>
      <c r="G61" s="49" t="n"/>
      <c r="H61" s="49" t="n"/>
    </row>
    <row r="62">
      <c r="B62" s="49" t="n"/>
      <c r="C62" s="49" t="n"/>
      <c r="D62" s="49" t="n"/>
      <c r="E62" s="49" t="n"/>
      <c r="G62" s="49" t="n"/>
      <c r="H62" s="49" t="n"/>
    </row>
    <row r="63">
      <c r="B63" s="49" t="n"/>
      <c r="C63" s="49" t="n"/>
      <c r="D63" s="49" t="n"/>
      <c r="E63" s="49" t="n"/>
      <c r="G63" s="49" t="n"/>
      <c r="H63" s="49" t="n"/>
    </row>
    <row r="64">
      <c r="B64" s="49" t="n"/>
      <c r="C64" s="49" t="n"/>
      <c r="D64" s="49" t="n"/>
      <c r="E64" s="49" t="n"/>
      <c r="G64" s="49" t="n"/>
      <c r="H64" s="49" t="n"/>
    </row>
    <row r="65">
      <c r="B65" s="49" t="n"/>
      <c r="C65" s="49" t="n"/>
      <c r="D65" s="49" t="n"/>
      <c r="E65" s="49" t="n"/>
      <c r="G65" s="49" t="n"/>
      <c r="H65" s="49" t="n"/>
    </row>
    <row r="66">
      <c r="B66" s="49" t="n"/>
      <c r="C66" s="49" t="n"/>
      <c r="D66" s="49" t="n"/>
      <c r="E66" s="49" t="n"/>
      <c r="G66" s="49" t="n"/>
      <c r="H66" s="49" t="n"/>
    </row>
    <row r="67">
      <c r="B67" s="49" t="n"/>
      <c r="C67" s="49" t="n"/>
      <c r="D67" s="49" t="n"/>
      <c r="E67" s="49" t="n"/>
      <c r="G67" s="49" t="n"/>
      <c r="H67" s="49" t="n"/>
    </row>
    <row r="68">
      <c r="B68" s="49" t="n"/>
      <c r="C68" s="49" t="n"/>
      <c r="D68" s="49" t="n"/>
      <c r="E68" s="49" t="n"/>
      <c r="G68" s="49" t="n"/>
      <c r="H68" s="49" t="n"/>
    </row>
    <row r="69">
      <c r="B69" s="49" t="n"/>
      <c r="C69" s="49" t="n"/>
      <c r="D69" s="49" t="n"/>
      <c r="E69" s="49" t="n"/>
      <c r="G69" s="49" t="n"/>
      <c r="H69" s="49" t="n"/>
    </row>
    <row r="70">
      <c r="B70" s="49" t="n"/>
      <c r="C70" s="49" t="n"/>
      <c r="D70" s="49" t="n"/>
      <c r="E70" s="49" t="n"/>
      <c r="G70" s="49" t="n"/>
      <c r="H70" s="49" t="n"/>
    </row>
    <row r="71">
      <c r="B71" s="49" t="n"/>
      <c r="C71" s="49" t="n"/>
      <c r="D71" s="49" t="n"/>
      <c r="E71" s="49" t="n"/>
      <c r="G71" s="49" t="n"/>
      <c r="H71" s="49" t="n"/>
    </row>
    <row r="72">
      <c r="B72" s="49" t="n"/>
      <c r="C72" s="49" t="n"/>
      <c r="D72" s="49" t="n"/>
      <c r="E72" s="49" t="n"/>
      <c r="G72" s="49" t="n"/>
      <c r="H72" s="49" t="n"/>
    </row>
    <row r="73">
      <c r="B73" s="49" t="n"/>
      <c r="C73" s="49" t="n"/>
      <c r="D73" s="49" t="n"/>
      <c r="E73" s="49" t="n"/>
      <c r="G73" s="49" t="n"/>
      <c r="H73" s="49" t="n"/>
    </row>
    <row r="74">
      <c r="B74" s="49" t="n"/>
      <c r="C74" s="49" t="n"/>
      <c r="D74" s="49" t="n"/>
      <c r="E74" s="49" t="n"/>
      <c r="G74" s="49" t="n"/>
      <c r="H74" s="49" t="n"/>
    </row>
    <row r="75">
      <c r="B75" s="49" t="n"/>
      <c r="C75" s="49" t="n"/>
      <c r="D75" s="49" t="n"/>
      <c r="E75" s="49" t="n"/>
      <c r="G75" s="49" t="n"/>
      <c r="H75" s="49" t="n"/>
    </row>
    <row r="76">
      <c r="B76" s="49" t="n"/>
      <c r="C76" s="49" t="n"/>
      <c r="D76" s="49" t="n"/>
      <c r="E76" s="49" t="n"/>
      <c r="G76" s="49" t="n"/>
      <c r="H76" s="49" t="n"/>
    </row>
    <row r="77">
      <c r="B77" s="49" t="n"/>
      <c r="C77" s="49" t="n"/>
      <c r="D77" s="49" t="n"/>
      <c r="E77" s="49" t="n"/>
      <c r="G77" s="49" t="n"/>
      <c r="H77" s="49" t="n"/>
    </row>
    <row r="78">
      <c r="B78" s="49" t="n"/>
      <c r="C78" s="49" t="n"/>
      <c r="D78" s="49" t="n"/>
      <c r="E78" s="49" t="n"/>
      <c r="G78" s="49" t="n"/>
      <c r="H78" s="49" t="n"/>
    </row>
    <row r="79">
      <c r="B79" s="49" t="n"/>
      <c r="C79" s="49" t="n"/>
      <c r="D79" s="49" t="n"/>
      <c r="E79" s="49" t="n"/>
      <c r="G79" s="49" t="n"/>
      <c r="H79" s="49" t="n"/>
    </row>
    <row r="80">
      <c r="B80" s="49" t="n"/>
      <c r="C80" s="49" t="n"/>
      <c r="D80" s="49" t="n"/>
      <c r="E80" s="49" t="n"/>
      <c r="G80" s="49" t="n"/>
      <c r="H80" s="49" t="n"/>
    </row>
    <row r="81">
      <c r="B81" s="49" t="n"/>
      <c r="C81" s="49" t="n"/>
      <c r="D81" s="49" t="n"/>
      <c r="E81" s="49" t="n"/>
      <c r="G81" s="49" t="n"/>
      <c r="H81" s="49" t="n"/>
    </row>
    <row r="82">
      <c r="B82" s="49" t="n"/>
      <c r="C82" s="49" t="n"/>
      <c r="D82" s="49" t="n"/>
      <c r="E82" s="49" t="n"/>
      <c r="G82" s="49" t="n"/>
      <c r="H82" s="49" t="n"/>
    </row>
    <row r="83">
      <c r="B83" s="49" t="n"/>
      <c r="C83" s="49" t="n"/>
      <c r="D83" s="49" t="n"/>
      <c r="E83" s="49" t="n"/>
      <c r="G83" s="49" t="n"/>
      <c r="H83" s="49" t="n"/>
    </row>
    <row r="84">
      <c r="B84" s="49" t="n"/>
      <c r="C84" s="49" t="n"/>
      <c r="D84" s="49" t="n"/>
      <c r="E84" s="49" t="n"/>
      <c r="G84" s="49" t="n"/>
      <c r="H84" s="49" t="n"/>
    </row>
    <row r="85">
      <c r="B85" s="49" t="n"/>
      <c r="C85" s="49" t="n"/>
      <c r="D85" s="49" t="n"/>
      <c r="E85" s="49" t="n"/>
      <c r="G85" s="49" t="n"/>
      <c r="H85" s="49" t="n"/>
    </row>
    <row r="86">
      <c r="B86" s="49" t="n"/>
      <c r="C86" s="49" t="n"/>
      <c r="D86" s="49" t="n"/>
      <c r="E86" s="49" t="n"/>
      <c r="G86" s="49" t="n"/>
      <c r="H86" s="49" t="n"/>
    </row>
    <row r="87">
      <c r="B87" s="49" t="n"/>
      <c r="C87" s="49" t="n"/>
      <c r="D87" s="49" t="n"/>
      <c r="E87" s="49" t="n"/>
      <c r="G87" s="49" t="n"/>
      <c r="H87" s="49" t="n"/>
    </row>
    <row r="88">
      <c r="B88" s="49" t="n"/>
      <c r="C88" s="49" t="n"/>
      <c r="D88" s="49" t="n"/>
      <c r="E88" s="49" t="n"/>
      <c r="G88" s="49" t="n"/>
      <c r="H88" s="49" t="n"/>
    </row>
    <row r="89">
      <c r="B89" s="49" t="n"/>
      <c r="C89" s="49" t="n"/>
      <c r="D89" s="49" t="n"/>
      <c r="E89" s="49" t="n"/>
      <c r="G89" s="49" t="n"/>
      <c r="H89" s="49" t="n"/>
    </row>
    <row r="90">
      <c r="B90" s="49" t="n"/>
      <c r="C90" s="49" t="n"/>
      <c r="D90" s="49" t="n"/>
      <c r="E90" s="49" t="n"/>
      <c r="G90" s="49" t="n"/>
      <c r="H90" s="49" t="n"/>
    </row>
    <row r="91">
      <c r="B91" s="49" t="n"/>
      <c r="C91" s="49" t="n"/>
      <c r="D91" s="49" t="n"/>
      <c r="E91" s="49" t="n"/>
      <c r="G91" s="49" t="n"/>
      <c r="H91" s="49" t="n"/>
    </row>
    <row r="92">
      <c r="B92" s="49" t="n"/>
      <c r="C92" s="49" t="n"/>
      <c r="D92" s="49" t="n"/>
      <c r="E92" s="49" t="n"/>
      <c r="G92" s="49" t="n"/>
      <c r="H92" s="49" t="n"/>
    </row>
    <row r="93">
      <c r="B93" s="49" t="n"/>
      <c r="C93" s="49" t="n"/>
      <c r="D93" s="49" t="n"/>
      <c r="E93" s="49" t="n"/>
      <c r="G93" s="49" t="n"/>
      <c r="H93" s="49" t="n"/>
    </row>
    <row r="94">
      <c r="B94" s="49" t="n"/>
      <c r="C94" s="49" t="n"/>
      <c r="D94" s="49" t="n"/>
      <c r="E94" s="49" t="n"/>
      <c r="G94" s="49" t="n"/>
      <c r="H94" s="49" t="n"/>
    </row>
    <row r="95">
      <c r="B95" s="49" t="n"/>
      <c r="C95" s="49" t="n"/>
      <c r="D95" s="49" t="n"/>
      <c r="E95" s="49" t="n"/>
      <c r="G95" s="49" t="n"/>
      <c r="H95" s="49" t="n"/>
    </row>
    <row r="96">
      <c r="B96" s="49" t="n"/>
      <c r="C96" s="49" t="n"/>
      <c r="D96" s="49" t="n"/>
      <c r="E96" s="49" t="n"/>
      <c r="G96" s="49" t="n"/>
      <c r="H96" s="49" t="n"/>
    </row>
    <row r="97">
      <c r="B97" s="49" t="n"/>
      <c r="C97" s="49" t="n"/>
      <c r="D97" s="49" t="n"/>
      <c r="E97" s="49" t="n"/>
      <c r="G97" s="49" t="n"/>
      <c r="H97" s="49" t="n"/>
    </row>
    <row r="98">
      <c r="B98" s="49" t="n"/>
      <c r="C98" s="49" t="n"/>
      <c r="D98" s="49" t="n"/>
      <c r="E98" s="49" t="n"/>
      <c r="G98" s="49" t="n"/>
      <c r="H98" s="49" t="n"/>
    </row>
    <row r="99">
      <c r="B99" s="49" t="n"/>
      <c r="C99" s="49" t="n"/>
      <c r="D99" s="49" t="n"/>
      <c r="E99" s="49" t="n"/>
      <c r="G99" s="49" t="n"/>
      <c r="H99" s="49" t="n"/>
    </row>
    <row r="100">
      <c r="B100" s="49" t="n"/>
      <c r="C100" s="49" t="n"/>
      <c r="D100" s="49" t="n"/>
      <c r="E100" s="49" t="n"/>
      <c r="G100" s="49" t="n"/>
      <c r="H100" s="49" t="n"/>
    </row>
    <row r="101">
      <c r="B101" s="49" t="n"/>
      <c r="C101" s="49" t="n"/>
      <c r="D101" s="49" t="n"/>
      <c r="E101" s="49" t="n"/>
      <c r="G101" s="49" t="n"/>
      <c r="H101" s="49" t="n"/>
    </row>
    <row r="102">
      <c r="B102" s="49" t="n"/>
      <c r="C102" s="49" t="n"/>
      <c r="D102" s="49" t="n"/>
      <c r="E102" s="49" t="n"/>
      <c r="G102" s="49" t="n"/>
      <c r="H102" s="49" t="n"/>
    </row>
    <row r="103">
      <c r="B103" s="49" t="n"/>
      <c r="C103" s="49" t="n"/>
      <c r="D103" s="49" t="n"/>
      <c r="E103" s="49" t="n"/>
      <c r="G103" s="49" t="n"/>
      <c r="H103" s="49" t="n"/>
    </row>
    <row r="104">
      <c r="B104" s="49" t="n"/>
      <c r="C104" s="49" t="n"/>
      <c r="D104" s="49" t="n"/>
      <c r="E104" s="49" t="n"/>
      <c r="G104" s="49" t="n"/>
      <c r="H104" s="49" t="n"/>
    </row>
    <row r="105">
      <c r="B105" s="49" t="n"/>
      <c r="C105" s="49" t="n"/>
      <c r="D105" s="49" t="n"/>
      <c r="E105" s="49" t="n"/>
      <c r="G105" s="49" t="n"/>
      <c r="H105" s="49" t="n"/>
    </row>
    <row r="106">
      <c r="B106" s="49" t="n"/>
      <c r="C106" s="49" t="n"/>
      <c r="D106" s="49" t="n"/>
      <c r="E106" s="49" t="n"/>
      <c r="G106" s="49" t="n"/>
      <c r="H106" s="49" t="n"/>
    </row>
    <row r="107">
      <c r="B107" s="49" t="n"/>
      <c r="C107" s="49" t="n"/>
      <c r="D107" s="49" t="n"/>
      <c r="E107" s="49" t="n"/>
      <c r="G107" s="49" t="n"/>
      <c r="H107" s="49" t="n"/>
    </row>
    <row r="108">
      <c r="B108" s="49" t="n"/>
      <c r="C108" s="49" t="n"/>
      <c r="D108" s="49" t="n"/>
      <c r="E108" s="49" t="n"/>
      <c r="G108" s="49" t="n"/>
      <c r="H108" s="49" t="n"/>
    </row>
    <row r="109">
      <c r="B109" s="49" t="n"/>
      <c r="C109" s="49" t="n"/>
      <c r="D109" s="49" t="n"/>
      <c r="E109" s="49" t="n"/>
      <c r="G109" s="49" t="n"/>
      <c r="H109" s="49" t="n"/>
    </row>
    <row r="110">
      <c r="B110" s="49" t="n"/>
      <c r="C110" s="49" t="n"/>
      <c r="D110" s="49" t="n"/>
      <c r="E110" s="49" t="n"/>
      <c r="G110" s="49" t="n"/>
      <c r="H110" s="49" t="n"/>
    </row>
    <row r="111">
      <c r="B111" s="49" t="n"/>
      <c r="C111" s="49" t="n"/>
      <c r="D111" s="49" t="n"/>
      <c r="E111" s="49" t="n"/>
      <c r="G111" s="49" t="n"/>
      <c r="H111" s="49" t="n"/>
    </row>
    <row r="112">
      <c r="B112" s="49" t="n"/>
      <c r="C112" s="49" t="n"/>
      <c r="D112" s="49" t="n"/>
      <c r="E112" s="49" t="n"/>
      <c r="G112" s="49" t="n"/>
      <c r="H112" s="49" t="n"/>
    </row>
    <row r="113">
      <c r="B113" s="49" t="n"/>
      <c r="C113" s="49" t="n"/>
      <c r="D113" s="49" t="n"/>
      <c r="E113" s="49" t="n"/>
      <c r="G113" s="49" t="n"/>
      <c r="H113" s="49" t="n"/>
    </row>
    <row r="114">
      <c r="B114" s="49" t="n"/>
      <c r="C114" s="49" t="n"/>
      <c r="D114" s="49" t="n"/>
      <c r="E114" s="49" t="n"/>
      <c r="G114" s="49" t="n"/>
      <c r="H114" s="49" t="n"/>
    </row>
    <row r="115">
      <c r="B115" s="49" t="n"/>
      <c r="C115" s="49" t="n"/>
      <c r="D115" s="49" t="n"/>
      <c r="E115" s="49" t="n"/>
      <c r="G115" s="49" t="n"/>
      <c r="H115" s="49" t="n"/>
    </row>
    <row r="116">
      <c r="B116" s="49" t="n"/>
      <c r="C116" s="49" t="n"/>
      <c r="D116" s="49" t="n"/>
      <c r="E116" s="49" t="n"/>
      <c r="G116" s="49" t="n"/>
      <c r="H116" s="49" t="n"/>
    </row>
    <row r="117">
      <c r="B117" s="49" t="n"/>
      <c r="C117" s="49" t="n"/>
      <c r="D117" s="49" t="n"/>
      <c r="E117" s="49" t="n"/>
      <c r="G117" s="49" t="n"/>
      <c r="H117" s="49" t="n"/>
    </row>
    <row r="118">
      <c r="B118" s="49" t="n"/>
      <c r="C118" s="49" t="n"/>
      <c r="D118" s="49" t="n"/>
      <c r="E118" s="49" t="n"/>
      <c r="G118" s="49" t="n"/>
      <c r="H118" s="49" t="n"/>
    </row>
    <row r="119">
      <c r="B119" s="49" t="n"/>
      <c r="C119" s="49" t="n"/>
      <c r="D119" s="49" t="n"/>
      <c r="E119" s="49" t="n"/>
      <c r="G119" s="49" t="n"/>
      <c r="H119" s="49" t="n"/>
    </row>
    <row r="120">
      <c r="B120" s="49" t="n"/>
      <c r="C120" s="49" t="n"/>
      <c r="D120" s="49" t="n"/>
      <c r="E120" s="49" t="n"/>
      <c r="G120" s="49" t="n"/>
      <c r="H120" s="49" t="n"/>
    </row>
    <row r="121">
      <c r="B121" s="49" t="n"/>
      <c r="C121" s="49" t="n"/>
      <c r="D121" s="49" t="n"/>
      <c r="E121" s="49" t="n"/>
      <c r="G121" s="49" t="n"/>
      <c r="H121" s="49" t="n"/>
    </row>
    <row r="122">
      <c r="B122" s="49" t="n"/>
      <c r="C122" s="49" t="n"/>
      <c r="D122" s="49" t="n"/>
      <c r="E122" s="49" t="n"/>
      <c r="G122" s="49" t="n"/>
      <c r="H122" s="49" t="n"/>
    </row>
    <row r="123">
      <c r="B123" s="49" t="n"/>
      <c r="C123" s="49" t="n"/>
      <c r="D123" s="49" t="n"/>
      <c r="E123" s="49" t="n"/>
      <c r="G123" s="49" t="n"/>
      <c r="H123" s="49" t="n"/>
    </row>
    <row r="124">
      <c r="B124" s="49" t="n"/>
      <c r="C124" s="49" t="n"/>
      <c r="D124" s="49" t="n"/>
      <c r="E124" s="49" t="n"/>
      <c r="G124" s="49" t="n"/>
      <c r="H124" s="49" t="n"/>
    </row>
    <row r="125">
      <c r="B125" s="49" t="n"/>
      <c r="C125" s="49" t="n"/>
      <c r="D125" s="49" t="n"/>
      <c r="E125" s="49" t="n"/>
      <c r="G125" s="49" t="n"/>
      <c r="H125" s="49" t="n"/>
    </row>
    <row r="126">
      <c r="B126" s="49" t="n"/>
      <c r="C126" s="49" t="n"/>
      <c r="D126" s="49" t="n"/>
      <c r="E126" s="49" t="n"/>
      <c r="G126" s="49" t="n"/>
      <c r="H126" s="49" t="n"/>
    </row>
    <row r="127">
      <c r="B127" s="49" t="n"/>
      <c r="C127" s="49" t="n"/>
      <c r="D127" s="49" t="n"/>
      <c r="E127" s="49" t="n"/>
      <c r="G127" s="49" t="n"/>
      <c r="H127" s="49" t="n"/>
    </row>
    <row r="128">
      <c r="B128" s="49" t="n"/>
      <c r="C128" s="49" t="n"/>
      <c r="D128" s="49" t="n"/>
      <c r="E128" s="49" t="n"/>
      <c r="G128" s="49" t="n"/>
      <c r="H128" s="49" t="n"/>
    </row>
    <row r="129">
      <c r="B129" s="49" t="n"/>
      <c r="C129" s="49" t="n"/>
      <c r="D129" s="49" t="n"/>
      <c r="E129" s="49" t="n"/>
      <c r="G129" s="49" t="n"/>
      <c r="H129" s="49" t="n"/>
    </row>
    <row r="130">
      <c r="B130" s="49" t="n"/>
      <c r="C130" s="49" t="n"/>
      <c r="D130" s="49" t="n"/>
      <c r="E130" s="49" t="n"/>
      <c r="G130" s="49" t="n"/>
      <c r="H130" s="49" t="n"/>
    </row>
    <row r="131">
      <c r="B131" s="49" t="n"/>
      <c r="C131" s="49" t="n"/>
      <c r="D131" s="49" t="n"/>
      <c r="E131" s="49" t="n"/>
      <c r="G131" s="49" t="n"/>
      <c r="H131" s="49" t="n"/>
    </row>
    <row r="132">
      <c r="B132" s="49" t="n"/>
      <c r="C132" s="49" t="n"/>
      <c r="D132" s="49" t="n"/>
      <c r="E132" s="49" t="n"/>
      <c r="G132" s="49" t="n"/>
      <c r="H132" s="49" t="n"/>
    </row>
    <row r="133">
      <c r="B133" s="49" t="n"/>
      <c r="C133" s="49" t="n"/>
      <c r="D133" s="49" t="n"/>
      <c r="E133" s="49" t="n"/>
      <c r="G133" s="49" t="n"/>
      <c r="H133" s="49" t="n"/>
    </row>
    <row r="134">
      <c r="B134" s="49" t="n"/>
      <c r="C134" s="49" t="n"/>
      <c r="D134" s="49" t="n"/>
      <c r="E134" s="49" t="n"/>
      <c r="G134" s="49" t="n"/>
      <c r="H134" s="49" t="n"/>
    </row>
    <row r="135">
      <c r="B135" s="49" t="n"/>
      <c r="C135" s="49" t="n"/>
      <c r="D135" s="49" t="n"/>
      <c r="E135" s="49" t="n"/>
      <c r="G135" s="49" t="n"/>
      <c r="H135" s="49" t="n"/>
    </row>
    <row r="136">
      <c r="B136" s="49" t="n"/>
      <c r="C136" s="49" t="n"/>
      <c r="D136" s="49" t="n"/>
      <c r="E136" s="49" t="n"/>
      <c r="G136" s="49" t="n"/>
      <c r="H136" s="49" t="n"/>
    </row>
    <row r="137">
      <c r="B137" s="49" t="n"/>
      <c r="C137" s="49" t="n"/>
      <c r="D137" s="49" t="n"/>
      <c r="E137" s="49" t="n"/>
      <c r="G137" s="49" t="n"/>
      <c r="H137" s="49" t="n"/>
    </row>
    <row r="138">
      <c r="B138" s="49" t="n"/>
      <c r="C138" s="49" t="n"/>
      <c r="D138" s="49" t="n"/>
      <c r="E138" s="49" t="n"/>
      <c r="G138" s="49" t="n"/>
      <c r="H138" s="49" t="n"/>
    </row>
    <row r="139">
      <c r="B139" s="49" t="n"/>
      <c r="C139" s="49" t="n"/>
      <c r="D139" s="49" t="n"/>
      <c r="E139" s="49" t="n"/>
      <c r="G139" s="49" t="n"/>
      <c r="H139" s="49" t="n"/>
    </row>
    <row r="140">
      <c r="B140" s="49" t="n"/>
      <c r="C140" s="49" t="n"/>
      <c r="D140" s="49" t="n"/>
      <c r="E140" s="49" t="n"/>
      <c r="G140" s="49" t="n"/>
      <c r="H140" s="49" t="n"/>
    </row>
    <row r="141">
      <c r="B141" s="49" t="n"/>
      <c r="C141" s="49" t="n"/>
      <c r="D141" s="49" t="n"/>
      <c r="E141" s="49" t="n"/>
      <c r="G141" s="49" t="n"/>
      <c r="H141" s="49" t="n"/>
    </row>
    <row r="142">
      <c r="B142" s="49" t="n"/>
      <c r="C142" s="49" t="n"/>
      <c r="D142" s="49" t="n"/>
      <c r="E142" s="49" t="n"/>
      <c r="G142" s="49" t="n"/>
      <c r="H142" s="49" t="n"/>
    </row>
    <row r="143">
      <c r="B143" s="49" t="n"/>
      <c r="C143" s="49" t="n"/>
      <c r="D143" s="49" t="n"/>
      <c r="E143" s="49" t="n"/>
      <c r="G143" s="49" t="n"/>
      <c r="H143" s="49" t="n"/>
    </row>
    <row r="144">
      <c r="B144" s="49" t="n"/>
      <c r="C144" s="49" t="n"/>
      <c r="D144" s="49" t="n"/>
      <c r="E144" s="49" t="n"/>
      <c r="G144" s="49" t="n"/>
      <c r="H144" s="49" t="n"/>
    </row>
    <row r="145">
      <c r="B145" s="49" t="n"/>
      <c r="C145" s="49" t="n"/>
      <c r="D145" s="49" t="n"/>
      <c r="E145" s="49" t="n"/>
      <c r="G145" s="49" t="n"/>
      <c r="H145" s="49" t="n"/>
    </row>
    <row r="146">
      <c r="B146" s="49" t="n"/>
      <c r="C146" s="49" t="n"/>
      <c r="D146" s="49" t="n"/>
      <c r="E146" s="49" t="n"/>
      <c r="G146" s="49" t="n"/>
      <c r="H146" s="49" t="n"/>
    </row>
    <row r="147">
      <c r="B147" s="49" t="n"/>
      <c r="C147" s="49" t="n"/>
      <c r="D147" s="49" t="n"/>
      <c r="E147" s="49" t="n"/>
      <c r="G147" s="49" t="n"/>
      <c r="H147" s="49" t="n"/>
    </row>
    <row r="148">
      <c r="B148" s="49" t="n"/>
      <c r="C148" s="49" t="n"/>
      <c r="D148" s="49" t="n"/>
      <c r="E148" s="49" t="n"/>
      <c r="G148" s="49" t="n"/>
      <c r="H148" s="49" t="n"/>
    </row>
    <row r="149">
      <c r="B149" s="49" t="n"/>
      <c r="C149" s="49" t="n"/>
      <c r="D149" s="49" t="n"/>
      <c r="E149" s="49" t="n"/>
      <c r="G149" s="49" t="n"/>
      <c r="H149" s="49" t="n"/>
    </row>
    <row r="150">
      <c r="B150" s="49" t="n"/>
      <c r="C150" s="49" t="n"/>
      <c r="D150" s="49" t="n"/>
      <c r="E150" s="49" t="n"/>
      <c r="G150" s="49" t="n"/>
      <c r="H150" s="49" t="n"/>
    </row>
    <row r="151">
      <c r="B151" s="49" t="n"/>
      <c r="C151" s="49" t="n"/>
      <c r="D151" s="49" t="n"/>
      <c r="E151" s="49" t="n"/>
      <c r="G151" s="49" t="n"/>
      <c r="H151" s="49" t="n"/>
    </row>
    <row r="152">
      <c r="B152" s="49" t="n"/>
      <c r="C152" s="49" t="n"/>
      <c r="D152" s="49" t="n"/>
      <c r="E152" s="49" t="n"/>
      <c r="G152" s="49" t="n"/>
      <c r="H152" s="49" t="n"/>
    </row>
    <row r="153">
      <c r="B153" s="49" t="n"/>
      <c r="C153" s="49" t="n"/>
      <c r="D153" s="49" t="n"/>
      <c r="E153" s="49" t="n"/>
      <c r="G153" s="49" t="n"/>
      <c r="H153" s="49" t="n"/>
    </row>
    <row r="154">
      <c r="B154" s="49" t="n"/>
      <c r="C154" s="49" t="n"/>
      <c r="D154" s="49" t="n"/>
      <c r="E154" s="49" t="n"/>
      <c r="G154" s="49" t="n"/>
      <c r="H154" s="49" t="n"/>
    </row>
    <row r="155">
      <c r="B155" s="49" t="n"/>
      <c r="C155" s="49" t="n"/>
      <c r="D155" s="49" t="n"/>
      <c r="E155" s="49" t="n"/>
      <c r="G155" s="49" t="n"/>
      <c r="H155" s="49" t="n"/>
    </row>
    <row r="156">
      <c r="B156" s="49" t="n"/>
      <c r="C156" s="49" t="n"/>
      <c r="D156" s="49" t="n"/>
      <c r="E156" s="49" t="n"/>
      <c r="G156" s="49" t="n"/>
      <c r="H156" s="49" t="n"/>
    </row>
    <row r="157">
      <c r="B157" s="49" t="n"/>
      <c r="C157" s="49" t="n"/>
      <c r="D157" s="49" t="n"/>
      <c r="E157" s="49" t="n"/>
      <c r="G157" s="49" t="n"/>
      <c r="H157" s="49" t="n"/>
    </row>
    <row r="158">
      <c r="B158" s="49" t="n"/>
      <c r="C158" s="49" t="n"/>
      <c r="D158" s="49" t="n"/>
      <c r="E158" s="49" t="n"/>
      <c r="G158" s="49" t="n"/>
      <c r="H158" s="49" t="n"/>
    </row>
    <row r="159">
      <c r="B159" s="49" t="n"/>
      <c r="C159" s="49" t="n"/>
      <c r="D159" s="49" t="n"/>
      <c r="E159" s="49" t="n"/>
      <c r="G159" s="49" t="n"/>
      <c r="H159" s="49" t="n"/>
    </row>
    <row r="160">
      <c r="B160" s="49" t="n"/>
      <c r="C160" s="49" t="n"/>
      <c r="D160" s="49" t="n"/>
      <c r="E160" s="49" t="n"/>
      <c r="G160" s="49" t="n"/>
      <c r="H160" s="49" t="n"/>
    </row>
    <row r="161">
      <c r="B161" s="49" t="n"/>
      <c r="C161" s="49" t="n"/>
      <c r="D161" s="49" t="n"/>
      <c r="E161" s="49" t="n"/>
      <c r="G161" s="49" t="n"/>
      <c r="H161" s="49" t="n"/>
    </row>
    <row r="162">
      <c r="B162" s="49" t="n"/>
      <c r="C162" s="49" t="n"/>
      <c r="D162" s="49" t="n"/>
      <c r="E162" s="49" t="n"/>
      <c r="G162" s="49" t="n"/>
      <c r="H162" s="49" t="n"/>
    </row>
    <row r="163">
      <c r="B163" s="49" t="n"/>
      <c r="C163" s="49" t="n"/>
      <c r="D163" s="49" t="n"/>
      <c r="E163" s="49" t="n"/>
      <c r="G163" s="49" t="n"/>
      <c r="H163" s="49" t="n"/>
    </row>
    <row r="164">
      <c r="B164" s="49" t="n"/>
      <c r="C164" s="49" t="n"/>
      <c r="D164" s="49" t="n"/>
      <c r="E164" s="49" t="n"/>
      <c r="G164" s="49" t="n"/>
      <c r="H164" s="49" t="n"/>
    </row>
    <row r="165">
      <c r="B165" s="49" t="n"/>
      <c r="C165" s="49" t="n"/>
      <c r="D165" s="49" t="n"/>
      <c r="E165" s="49" t="n"/>
      <c r="G165" s="49" t="n"/>
      <c r="H165" s="49" t="n"/>
    </row>
    <row r="166">
      <c r="B166" s="49" t="n"/>
      <c r="C166" s="49" t="n"/>
      <c r="D166" s="49" t="n"/>
      <c r="E166" s="49" t="n"/>
      <c r="G166" s="49" t="n"/>
      <c r="H166" s="49" t="n"/>
    </row>
    <row r="167">
      <c r="B167" s="49" t="n"/>
      <c r="C167" s="49" t="n"/>
      <c r="D167" s="49" t="n"/>
      <c r="E167" s="49" t="n"/>
      <c r="G167" s="49" t="n"/>
      <c r="H167" s="49" t="n"/>
    </row>
    <row r="168">
      <c r="B168" s="49" t="n"/>
      <c r="C168" s="49" t="n"/>
      <c r="D168" s="49" t="n"/>
      <c r="E168" s="49" t="n"/>
      <c r="G168" s="49" t="n"/>
      <c r="H168" s="49" t="n"/>
    </row>
    <row r="169">
      <c r="B169" s="49" t="n"/>
      <c r="C169" s="49" t="n"/>
      <c r="D169" s="49" t="n"/>
      <c r="E169" s="49" t="n"/>
      <c r="G169" s="49" t="n"/>
      <c r="H169" s="49" t="n"/>
    </row>
    <row r="170">
      <c r="B170" s="49" t="n"/>
      <c r="C170" s="49" t="n"/>
      <c r="D170" s="49" t="n"/>
      <c r="E170" s="49" t="n"/>
      <c r="G170" s="49" t="n"/>
      <c r="H170" s="49" t="n"/>
    </row>
    <row r="171">
      <c r="B171" s="49" t="n"/>
      <c r="C171" s="49" t="n"/>
      <c r="D171" s="49" t="n"/>
      <c r="E171" s="49" t="n"/>
      <c r="G171" s="49" t="n"/>
      <c r="H171" s="49" t="n"/>
    </row>
    <row r="172">
      <c r="B172" s="49" t="n"/>
      <c r="C172" s="49" t="n"/>
      <c r="D172" s="49" t="n"/>
      <c r="E172" s="49" t="n"/>
      <c r="G172" s="49" t="n"/>
      <c r="H172" s="49" t="n"/>
    </row>
    <row r="173">
      <c r="B173" s="49" t="n"/>
      <c r="C173" s="49" t="n"/>
      <c r="D173" s="49" t="n"/>
      <c r="E173" s="49" t="n"/>
      <c r="G173" s="49" t="n"/>
      <c r="H173" s="49" t="n"/>
    </row>
    <row r="174">
      <c r="B174" s="49" t="n"/>
      <c r="C174" s="49" t="n"/>
      <c r="D174" s="49" t="n"/>
      <c r="E174" s="49" t="n"/>
      <c r="G174" s="49" t="n"/>
      <c r="H174" s="49" t="n"/>
    </row>
    <row r="175">
      <c r="B175" s="49" t="n"/>
      <c r="C175" s="49" t="n"/>
      <c r="D175" s="49" t="n"/>
      <c r="E175" s="49" t="n"/>
      <c r="G175" s="49" t="n"/>
      <c r="H175" s="49" t="n"/>
    </row>
    <row r="176">
      <c r="B176" s="49" t="n"/>
      <c r="C176" s="49" t="n"/>
      <c r="D176" s="49" t="n"/>
      <c r="E176" s="49" t="n"/>
      <c r="G176" s="49" t="n"/>
      <c r="H176" s="49" t="n"/>
    </row>
    <row r="177">
      <c r="B177" s="49" t="n"/>
      <c r="C177" s="49" t="n"/>
      <c r="D177" s="49" t="n"/>
      <c r="E177" s="49" t="n"/>
      <c r="G177" s="49" t="n"/>
      <c r="H177" s="49" t="n"/>
    </row>
    <row r="178">
      <c r="B178" s="49" t="n"/>
      <c r="C178" s="49" t="n"/>
      <c r="D178" s="49" t="n"/>
      <c r="E178" s="49" t="n"/>
      <c r="G178" s="49" t="n"/>
      <c r="H178" s="49" t="n"/>
    </row>
    <row r="179">
      <c r="B179" s="49" t="n"/>
      <c r="C179" s="49" t="n"/>
      <c r="D179" s="49" t="n"/>
      <c r="E179" s="49" t="n"/>
      <c r="G179" s="49" t="n"/>
      <c r="H179" s="49" t="n"/>
    </row>
    <row r="180">
      <c r="B180" s="49" t="n"/>
      <c r="C180" s="49" t="n"/>
      <c r="D180" s="49" t="n"/>
      <c r="E180" s="49" t="n"/>
      <c r="G180" s="49" t="n"/>
      <c r="H180" s="49" t="n"/>
    </row>
    <row r="181">
      <c r="B181" s="49" t="n"/>
      <c r="C181" s="49" t="n"/>
      <c r="D181" s="49" t="n"/>
      <c r="E181" s="49" t="n"/>
      <c r="G181" s="49" t="n"/>
      <c r="H181" s="49" t="n"/>
    </row>
    <row r="182">
      <c r="B182" s="49" t="n"/>
      <c r="C182" s="49" t="n"/>
      <c r="D182" s="49" t="n"/>
      <c r="E182" s="49" t="n"/>
      <c r="G182" s="49" t="n"/>
      <c r="H182" s="49" t="n"/>
    </row>
    <row r="183">
      <c r="B183" s="49" t="n"/>
      <c r="C183" s="49" t="n"/>
      <c r="D183" s="49" t="n"/>
      <c r="E183" s="49" t="n"/>
      <c r="G183" s="49" t="n"/>
      <c r="H183" s="49" t="n"/>
    </row>
    <row r="184">
      <c r="B184" s="49" t="n"/>
      <c r="C184" s="49" t="n"/>
      <c r="D184" s="49" t="n"/>
      <c r="E184" s="49" t="n"/>
      <c r="G184" s="49" t="n"/>
      <c r="H184" s="49" t="n"/>
    </row>
    <row r="185">
      <c r="B185" s="49" t="n"/>
      <c r="C185" s="49" t="n"/>
      <c r="D185" s="49" t="n"/>
      <c r="E185" s="49" t="n"/>
      <c r="G185" s="49" t="n"/>
      <c r="H185" s="49" t="n"/>
    </row>
    <row r="186">
      <c r="B186" s="49" t="n"/>
      <c r="C186" s="49" t="n"/>
      <c r="D186" s="49" t="n"/>
      <c r="E186" s="49" t="n"/>
      <c r="G186" s="49" t="n"/>
      <c r="H186" s="49" t="n"/>
    </row>
    <row r="187">
      <c r="B187" s="49" t="n"/>
      <c r="C187" s="49" t="n"/>
      <c r="D187" s="49" t="n"/>
      <c r="E187" s="49" t="n"/>
      <c r="G187" s="49" t="n"/>
      <c r="H187" s="49" t="n"/>
    </row>
    <row r="188">
      <c r="B188" s="49" t="n"/>
      <c r="C188" s="49" t="n"/>
      <c r="D188" s="49" t="n"/>
      <c r="E188" s="49" t="n"/>
      <c r="G188" s="49" t="n"/>
      <c r="H188" s="49" t="n"/>
    </row>
    <row r="189">
      <c r="B189" s="49" t="n"/>
      <c r="C189" s="49" t="n"/>
      <c r="D189" s="49" t="n"/>
      <c r="E189" s="49" t="n"/>
      <c r="G189" s="49" t="n"/>
      <c r="H189" s="49" t="n"/>
    </row>
    <row r="190">
      <c r="B190" s="49" t="n"/>
      <c r="C190" s="49" t="n"/>
      <c r="D190" s="49" t="n"/>
      <c r="E190" s="49" t="n"/>
      <c r="G190" s="49" t="n"/>
      <c r="H190" s="49" t="n"/>
    </row>
    <row r="191">
      <c r="B191" s="49" t="n"/>
      <c r="C191" s="49" t="n"/>
      <c r="D191" s="49" t="n"/>
      <c r="E191" s="49" t="n"/>
      <c r="G191" s="49" t="n"/>
      <c r="H191" s="49" t="n"/>
    </row>
    <row r="192">
      <c r="B192" s="49" t="n"/>
      <c r="C192" s="49" t="n"/>
      <c r="D192" s="49" t="n"/>
      <c r="E192" s="49" t="n"/>
      <c r="G192" s="49" t="n"/>
      <c r="H192" s="49" t="n"/>
    </row>
    <row r="193">
      <c r="B193" s="49" t="n"/>
      <c r="C193" s="49" t="n"/>
      <c r="D193" s="49" t="n"/>
      <c r="E193" s="49" t="n"/>
      <c r="G193" s="49" t="n"/>
      <c r="H193" s="49" t="n"/>
    </row>
    <row r="194">
      <c r="B194" s="49" t="n"/>
      <c r="C194" s="49" t="n"/>
      <c r="D194" s="49" t="n"/>
      <c r="E194" s="49" t="n"/>
      <c r="G194" s="49" t="n"/>
      <c r="H194" s="49" t="n"/>
    </row>
    <row r="195">
      <c r="B195" s="49" t="n"/>
      <c r="C195" s="49" t="n"/>
      <c r="D195" s="49" t="n"/>
      <c r="E195" s="49" t="n"/>
      <c r="G195" s="49" t="n"/>
      <c r="H195" s="49" t="n"/>
    </row>
    <row r="196">
      <c r="B196" s="49" t="n"/>
      <c r="C196" s="49" t="n"/>
      <c r="D196" s="49" t="n"/>
      <c r="E196" s="49" t="n"/>
      <c r="G196" s="49" t="n"/>
      <c r="H196" s="49" t="n"/>
    </row>
    <row r="197">
      <c r="B197" s="49" t="n"/>
      <c r="C197" s="49" t="n"/>
      <c r="D197" s="49" t="n"/>
      <c r="E197" s="49" t="n"/>
      <c r="G197" s="49" t="n"/>
      <c r="H197" s="49" t="n"/>
    </row>
    <row r="198">
      <c r="B198" s="49" t="n"/>
      <c r="C198" s="49" t="n"/>
      <c r="D198" s="49" t="n"/>
      <c r="E198" s="49" t="n"/>
      <c r="G198" s="49" t="n"/>
      <c r="H198" s="49" t="n"/>
    </row>
    <row r="199">
      <c r="B199" s="49" t="n"/>
      <c r="C199" s="49" t="n"/>
      <c r="D199" s="49" t="n"/>
      <c r="E199" s="49" t="n"/>
      <c r="G199" s="49" t="n"/>
      <c r="H199" s="49" t="n"/>
    </row>
    <row r="200">
      <c r="B200" s="49" t="n"/>
      <c r="C200" s="49" t="n"/>
      <c r="D200" s="49" t="n"/>
      <c r="E200" s="49" t="n"/>
      <c r="G200" s="49" t="n"/>
      <c r="H200" s="49" t="n"/>
    </row>
    <row r="201">
      <c r="B201" s="49" t="n"/>
      <c r="C201" s="49" t="n"/>
      <c r="D201" s="49" t="n"/>
      <c r="E201" s="49" t="n"/>
      <c r="G201" s="49" t="n"/>
      <c r="H201" s="49" t="n"/>
    </row>
    <row r="202">
      <c r="B202" s="49" t="n"/>
      <c r="C202" s="49" t="n"/>
      <c r="D202" s="49" t="n"/>
      <c r="E202" s="49" t="n"/>
      <c r="G202" s="49" t="n"/>
      <c r="H202" s="49" t="n"/>
    </row>
    <row r="203">
      <c r="B203" s="49" t="n"/>
      <c r="C203" s="49" t="n"/>
      <c r="D203" s="49" t="n"/>
      <c r="E203" s="49" t="n"/>
      <c r="G203" s="49" t="n"/>
      <c r="H203" s="49" t="n"/>
    </row>
    <row r="204">
      <c r="B204" s="49" t="n"/>
      <c r="C204" s="49" t="n"/>
      <c r="D204" s="49" t="n"/>
      <c r="E204" s="49" t="n"/>
      <c r="G204" s="49" t="n"/>
      <c r="H204" s="49" t="n"/>
    </row>
    <row r="205">
      <c r="B205" s="49" t="n"/>
      <c r="C205" s="49" t="n"/>
      <c r="D205" s="49" t="n"/>
      <c r="E205" s="49" t="n"/>
      <c r="G205" s="49" t="n"/>
      <c r="H205" s="49" t="n"/>
    </row>
    <row r="206">
      <c r="B206" s="49" t="n"/>
      <c r="C206" s="49" t="n"/>
      <c r="D206" s="49" t="n"/>
      <c r="E206" s="49" t="n"/>
      <c r="G206" s="49" t="n"/>
      <c r="H206" s="49" t="n"/>
    </row>
    <row r="207">
      <c r="B207" s="49" t="n"/>
      <c r="C207" s="49" t="n"/>
      <c r="D207" s="49" t="n"/>
      <c r="E207" s="49" t="n"/>
      <c r="G207" s="49" t="n"/>
      <c r="H207" s="49" t="n"/>
    </row>
    <row r="208">
      <c r="B208" s="49" t="n"/>
      <c r="C208" s="49" t="n"/>
      <c r="D208" s="49" t="n"/>
      <c r="E208" s="49" t="n"/>
      <c r="G208" s="49" t="n"/>
      <c r="H208" s="49" t="n"/>
    </row>
    <row r="209">
      <c r="B209" s="49" t="n"/>
      <c r="C209" s="49" t="n"/>
      <c r="D209" s="49" t="n"/>
      <c r="E209" s="49" t="n"/>
      <c r="G209" s="49" t="n"/>
      <c r="H209" s="49" t="n"/>
    </row>
    <row r="210">
      <c r="B210" s="49" t="n"/>
      <c r="C210" s="49" t="n"/>
      <c r="D210" s="49" t="n"/>
      <c r="E210" s="49" t="n"/>
      <c r="G210" s="49" t="n"/>
      <c r="H210" s="49" t="n"/>
    </row>
    <row r="211">
      <c r="B211" s="49" t="n"/>
      <c r="C211" s="49" t="n"/>
      <c r="D211" s="49" t="n"/>
      <c r="E211" s="49" t="n"/>
      <c r="G211" s="49" t="n"/>
      <c r="H211" s="49" t="n"/>
    </row>
    <row r="212">
      <c r="B212" s="49" t="n"/>
      <c r="C212" s="49" t="n"/>
      <c r="D212" s="49" t="n"/>
      <c r="E212" s="49" t="n"/>
      <c r="G212" s="49" t="n"/>
      <c r="H212" s="49" t="n"/>
    </row>
    <row r="213">
      <c r="B213" s="49" t="n"/>
      <c r="C213" s="49" t="n"/>
      <c r="D213" s="49" t="n"/>
      <c r="E213" s="49" t="n"/>
      <c r="G213" s="49" t="n"/>
      <c r="H213" s="49" t="n"/>
    </row>
    <row r="214">
      <c r="B214" s="49" t="n"/>
      <c r="C214" s="49" t="n"/>
      <c r="D214" s="49" t="n"/>
      <c r="E214" s="49" t="n"/>
      <c r="G214" s="49" t="n"/>
      <c r="H214" s="49" t="n"/>
    </row>
    <row r="215">
      <c r="B215" s="49" t="n"/>
      <c r="C215" s="49" t="n"/>
      <c r="D215" s="49" t="n"/>
      <c r="E215" s="49" t="n"/>
      <c r="G215" s="49" t="n"/>
      <c r="H215" s="49" t="n"/>
    </row>
    <row r="216">
      <c r="B216" s="49" t="n"/>
      <c r="C216" s="49" t="n"/>
      <c r="D216" s="49" t="n"/>
      <c r="E216" s="49" t="n"/>
      <c r="G216" s="49" t="n"/>
      <c r="H216" s="49" t="n"/>
    </row>
    <row r="217">
      <c r="B217" s="49" t="n"/>
      <c r="C217" s="49" t="n"/>
      <c r="D217" s="49" t="n"/>
      <c r="E217" s="49" t="n"/>
      <c r="G217" s="49" t="n"/>
      <c r="H217" s="49" t="n"/>
    </row>
    <row r="218">
      <c r="B218" s="49" t="n"/>
      <c r="C218" s="49" t="n"/>
      <c r="D218" s="49" t="n"/>
      <c r="E218" s="49" t="n"/>
      <c r="G218" s="49" t="n"/>
      <c r="H218" s="49" t="n"/>
    </row>
  </sheetData>
  <mergeCells count="7">
    <mergeCell ref="B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8:B218">
    <cfRule type="expression" priority="2" dxfId="6">
      <formula>AND(LEN($B18&amp;$C18&amp;$D18&amp;$E18&amp;$F18&amp;$G18&amp;$H18)&gt;0,B18="")</formula>
    </cfRule>
  </conditionalFormatting>
  <conditionalFormatting sqref="C18:C218">
    <cfRule type="expression" priority="3" dxfId="6">
      <formula>AND(LEN($B18&amp;$C18&amp;$D18&amp;$E18&amp;$F18&amp;$G18&amp;$H18)&gt;0,C18="")</formula>
    </cfRule>
  </conditionalFormatting>
  <conditionalFormatting sqref="D18:D218">
    <cfRule type="expression" priority="4" dxfId="6">
      <formula>AND(LEN($B18&amp;$C18&amp;$D18&amp;$E18&amp;$F18&amp;$G18&amp;$H18)&gt;0,D18="")</formula>
    </cfRule>
  </conditionalFormatting>
  <conditionalFormatting sqref="H18:H218">
    <cfRule type="expression" priority="5" dxfId="6">
      <formula>AND(LEN($B18&amp;$C18&amp;$D18&amp;$E18&amp;$F18&amp;$G18&amp;$H18)&gt;0,H18="")</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insurer_code" error="At most 30 characters." promptTitle="insurer_code" prompt="Yes. Legacy insurer code Allowed: The legacy code; mapped by the code map INSURER (Code Maps screen of the Data Migration Console; maps prepared in the Migration Workbook of BRD-13)" type="textLength" operator="lessThanOrEqual">
      <formula1>30</formula1>
    </dataValidation>
    <dataValidation sqref="C18:C218" showDropDown="0" showInputMessage="1" showErrorMessage="1" allowBlank="1" errorTitle="branch_code" error="At most 20 characters." promptTitle="branch_code" prompt="Yes. Legacy insurer branch code Allowed: Free entry, up to 20 characters" type="textLength" operator="lessThanOrEqual">
      <formula1>20</formula1>
    </dataValidation>
    <dataValidation sqref="D18:D218" showDropDown="0" showInputMessage="1" showErrorMessage="1" allowBlank="1" errorTitle="branch_name" error="At most 120 characters." promptTitle="branch_name" prompt="Yes. Branch name Allowed: Free entry, up to 120 characters" type="textLength" operator="lessThanOrEqual">
      <formula1>120</formula1>
    </dataValidation>
    <dataValidation sqref="E18:E218" showDropDown="0" showInputMessage="1" showErrorMessage="1" allowBlank="1" errorTitle="city" error="At most 80 characters." promptTitle="city" prompt="No. City Allowed: Free entry, up to 80 characters" type="textLength" operator="lessThanOrEqual">
      <formula1>80</formula1>
    </dataValidation>
    <dataValidation sqref="F18:F218" showDropDown="0" showInputMessage="1" showErrorMessage="1" allowBlank="1" errorTitle="lgt_rate" error="Enter a number." promptTitle="lgt_rate" prompt="No. Local government tax rate of the branch location, in percent Allowed: A number" type="decimal" operator="greaterThanOrEqual">
      <formula1>-1E+15</formula1>
    </dataValidation>
    <dataValidation sqref="G18:G218" showDropDown="0" showInputMessage="1" showErrorMessage="1" allowBlank="1" errorTitle="placement_email" error="At most 120 characters." promptTitle="placement_email" prompt="No. Branch placement e-mail Allowed: Free entry, up to 120 characters" type="textLength" operator="lessThanOrEqual">
      <formula1>120</formula1>
    </dataValidation>
    <dataValidation sqref="H18:H218" showDropDown="0" showInputMessage="1" showErrorMessage="1" allowBlank="1" errorTitle="status" error="At most 20 characters." promptTitle="status" prompt="Yes. Branch status Allowed: The legacy code; mapped by the code map STATUS:INSURER (Code Maps screen of the Data Migration Console; maps prepared in the Migration Workbook of BRD-13)" type="textLength" operator="lessThanOrEqual">
      <formula1>20</formula1>
    </dataValidation>
  </dataValidations>
  <hyperlinks>
    <hyperlink ref="A2" location="'Start here'!A1"/>
    <hyperlink ref="H2" location="'Questions and comments'!A1"/>
    <hyperlink ref="B8" location="'R04 Insurer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2" customWidth="1" min="3" max="3"/>
    <col width="21" customWidth="1" min="4" max="4"/>
    <col width="12" customWidth="1" min="5" max="5"/>
    <col width="12" customWidth="1" min="6" max="6"/>
    <col width="12" customWidth="1" min="7" max="7"/>
    <col width="17" customWidth="1" min="8" max="8"/>
    <col width="12" customWidth="1" min="9" max="9"/>
  </cols>
  <sheetData>
    <row r="1" ht="26" customHeight="1">
      <c r="A1" s="25" t="inlineStr">
        <is>
          <t>R11 Receipt series in use</t>
        </is>
      </c>
      <c r="I1" s="26" t="inlineStr">
        <is>
          <t>Step 20 of 52</t>
        </is>
      </c>
    </row>
    <row r="2">
      <c r="A2" s="27" t="inlineStr">
        <is>
          <t>← Back to Start here</t>
        </is>
      </c>
      <c r="B2" s="28" t="inlineStr">
        <is>
          <t>Step 20 of 52.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Receipt series in use (AR and OR, ATP and next number) as extracted from EBIX. Key branch_code, kind, prefix. Sent as the file R11_template.csv (CSV, header row as below) with its control file (row count, row count).</t>
        </is>
      </c>
    </row>
    <row r="4" outlineLevel="1" ht="15.5" customHeight="1">
      <c r="A4" s="30" t="inlineStr">
        <is>
          <t>Provided by</t>
        </is>
      </c>
      <c r="B4" s="31" t="inlineStr">
        <is>
          <t>Cashiering data steward (to name); approved by Operations - Financial Transactions; extracted by BDOI IT</t>
        </is>
      </c>
    </row>
    <row r="5" outlineLevel="1" ht="15.5" customHeight="1">
      <c r="A5" s="30" t="inlineStr">
        <is>
          <t>Due</t>
        </is>
      </c>
      <c r="B5" s="32" t="inlineStr">
        <is>
          <t>M3 (29 Jan 2027); final at T-3</t>
        </is>
      </c>
    </row>
    <row r="6" outlineLevel="1" ht="28" customHeight="1">
      <c r="A6" s="30" t="inlineStr">
        <is>
          <t>How it is loaded</t>
        </is>
      </c>
      <c r="B6" s="31" t="inlineStr">
        <is>
          <t>Migration Console: the file R11_template.csv (the header row as below) and its control file are received on Data Migration › Data Migration › Extracts and loaded by a batch of object R11; lands in: Receipt series of Cashiering</t>
        </is>
      </c>
    </row>
    <row r="7" outlineLevel="1" ht="15.5" customHeight="1">
      <c r="A7" s="30" t="inlineStr">
        <is>
          <t>Source</t>
        </is>
      </c>
      <c r="B7" s="31" t="inlineStr">
        <is>
          <t>EBIX</t>
        </is>
      </c>
    </row>
    <row r="8" outlineLevel="1" ht="15" customHeight="1">
      <c r="A8" s="30" t="inlineStr">
        <is>
          <t>Depends on</t>
        </is>
      </c>
      <c r="B8" s="53" t="inlineStr">
        <is>
          <t>D0-02 Branches →</t>
        </is>
      </c>
    </row>
    <row r="9" ht="26" customHeight="1">
      <c r="A9" s="34" t="inlineStr">
        <is>
          <t>Progress</t>
        </is>
      </c>
      <c r="B9" s="35" t="inlineStr">
        <is>
          <t>Rows entered</t>
        </is>
      </c>
      <c r="C9" s="36">
        <f>SUMPRODUCT(((ROW($B$18:$B$218)&gt;18)+($B$18&lt;&gt;"MKT01")&gt;0)*(LEN($B$18:$B$218&amp;$C$18:$C$218&amp;$D$18:$D$218&amp;$E$18:$E$218&amp;$F$18:$F$218&amp;$G$18:$G$218&amp;$H$18:$H$218&amp;$I$18:$I$218)&gt;0))</f>
        <v/>
      </c>
      <c r="D9" s="35" t="inlineStr">
        <is>
          <t>Mandatory cells missing</t>
        </is>
      </c>
      <c r="E9" s="36">
        <f>SUMPRODUCT(((ROW($B$18:$B$218)&gt;18)+($B$18&lt;&gt;"MKT01")&gt;0)*(LEN($B$18:$B$218&amp;$C$18:$C$218&amp;$D$18:$D$218&amp;$E$18:$E$218&amp;$F$18:$F$218&amp;$G$18:$G$218&amp;$H$18:$H$218&amp;$I$18:$I$218)&gt;0)*(($B$18:$B$218="")+($C$18:$C$218="")+($D$18:$D$218="")+($F$18:$F$218="")+($G$18:$G$218="")+($H$18:$H$218="")+($I$18:$I$218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Check when loaded</t>
        </is>
      </c>
      <c r="B12" s="43" t="inlineStr">
        <is>
          <t>Mapped</t>
        </is>
      </c>
      <c r="C12" s="43" t="inlineStr">
        <is>
          <t>In the list</t>
        </is>
      </c>
      <c r="D12" s="43" t="inlineStr">
        <is>
          <t>Not blank</t>
        </is>
      </c>
      <c r="E12" s="43" t="inlineStr">
        <is>
          <t>Unique per branch and kind</t>
        </is>
      </c>
      <c r="F12" s="43" t="inlineStr">
        <is>
          <t>Less than to_no</t>
        </is>
      </c>
      <c r="G12" s="43" t="inlineStr">
        <is>
          <t>More than from_no</t>
        </is>
      </c>
      <c r="H12" s="43" t="inlineStr">
        <is>
          <t>Between from_no and to_no</t>
        </is>
      </c>
      <c r="I12" s="43">
        <f> last_used_no + 1</f>
        <v/>
      </c>
    </row>
    <row r="13" ht="17" customHeight="1">
      <c r="A13" s="41" t="inlineStr">
        <is>
          <t>Mandatory</t>
        </is>
      </c>
      <c r="B13" s="42" t="inlineStr">
        <is>
          <t>Yes</t>
        </is>
      </c>
      <c r="C13" s="42" t="inlineStr">
        <is>
          <t>Yes</t>
        </is>
      </c>
      <c r="D13" s="42" t="inlineStr">
        <is>
          <t>Yes</t>
        </is>
      </c>
      <c r="E13" s="43" t="inlineStr">
        <is>
          <t>No</t>
        </is>
      </c>
      <c r="F13" s="42" t="inlineStr">
        <is>
          <t>Yes</t>
        </is>
      </c>
      <c r="G13" s="42" t="inlineStr">
        <is>
          <t>Yes</t>
        </is>
      </c>
      <c r="H13" s="42" t="inlineStr">
        <is>
          <t>Yes</t>
        </is>
      </c>
      <c r="I13" s="42" t="inlineStr">
        <is>
          <t>Yes</t>
        </is>
      </c>
    </row>
    <row r="14" ht="30" customHeight="1">
      <c r="A14" s="41" t="inlineStr">
        <is>
          <t>Format</t>
        </is>
      </c>
      <c r="B14" s="43" t="inlineStr">
        <is>
          <t>Code, up to 20; As stored in legacy</t>
        </is>
      </c>
      <c r="C14" s="43" t="inlineStr">
        <is>
          <t>Code, up to 2; Upper case</t>
        </is>
      </c>
      <c r="D14" s="43" t="inlineStr">
        <is>
          <t>Text, up to 40; As printed</t>
        </is>
      </c>
      <c r="E14" s="43" t="inlineStr">
        <is>
          <t>Text, up to 20; As printed</t>
        </is>
      </c>
      <c r="F14" s="43" t="inlineStr">
        <is>
          <t>Integer, up to 12; Digits</t>
        </is>
      </c>
      <c r="G14" s="43" t="inlineStr">
        <is>
          <t>Integer, up to 12; Digits</t>
        </is>
      </c>
      <c r="H14" s="43" t="inlineStr">
        <is>
          <t>Integer, up to 12; Digits</t>
        </is>
      </c>
      <c r="I14" s="43" t="inlineStr">
        <is>
          <t>Integer, up to 12; Digits</t>
        </is>
      </c>
    </row>
    <row r="15" ht="121" customHeight="1">
      <c r="A15" s="41" t="inlineStr">
        <is>
          <t>Allowed values</t>
        </is>
      </c>
      <c r="B15" s="43" t="inlineStr">
        <is>
          <t>The legacy code; mapped by the code map BRANCH (Code Maps screen of the Data Migration Console; maps prepared in the Migration Workbook of BRD-13)</t>
        </is>
      </c>
      <c r="C15" s="51" t="inlineStr">
        <is>
          <t>AR, OR (list R11 kind)</t>
        </is>
      </c>
      <c r="D15" s="43" t="inlineStr">
        <is>
          <t>Free entry, up to 40 characters</t>
        </is>
      </c>
      <c r="E15" s="43" t="inlineStr">
        <is>
          <t>Free entry, up to 20 characters</t>
        </is>
      </c>
      <c r="F15" s="43" t="inlineStr">
        <is>
          <t>A whole number</t>
        </is>
      </c>
      <c r="G15" s="43" t="inlineStr">
        <is>
          <t>A whole number</t>
        </is>
      </c>
      <c r="H15" s="43" t="inlineStr">
        <is>
          <t>A whole number</t>
        </is>
      </c>
      <c r="I15" s="43" t="inlineStr">
        <is>
          <t>A whole number</t>
        </is>
      </c>
    </row>
    <row r="16" ht="43" customHeight="1">
      <c r="A16" s="41" t="inlineStr">
        <is>
          <t>What to enter</t>
        </is>
      </c>
      <c r="B16" s="43" t="inlineStr">
        <is>
          <t>Issuing branch</t>
        </is>
      </c>
      <c r="C16" s="43" t="inlineStr">
        <is>
          <t>Receipt kind</t>
        </is>
      </c>
      <c r="D16" s="43" t="inlineStr">
        <is>
          <t>BIR Authority to Print number</t>
        </is>
      </c>
      <c r="E16" s="43" t="inlineStr">
        <is>
          <t>Series prefix</t>
        </is>
      </c>
      <c r="F16" s="43" t="inlineStr">
        <is>
          <t>First number of the series</t>
        </is>
      </c>
      <c r="G16" s="43" t="inlineStr">
        <is>
          <t>Last number of the series</t>
        </is>
      </c>
      <c r="H16" s="43" t="inlineStr">
        <is>
          <t>Last number issued in legacy at the freeze</t>
        </is>
      </c>
      <c r="I16" s="43" t="inlineStr">
        <is>
          <t>Next number BIBS issues</t>
        </is>
      </c>
    </row>
    <row r="17" ht="30" customHeight="1">
      <c r="A17" s="44" t="inlineStr">
        <is>
          <t>Row</t>
        </is>
      </c>
      <c r="B17" s="45" t="inlineStr">
        <is>
          <t>branch_code *</t>
        </is>
      </c>
      <c r="C17" s="45" t="inlineStr">
        <is>
          <t>kind *</t>
        </is>
      </c>
      <c r="D17" s="45" t="inlineStr">
        <is>
          <t>atp_no *</t>
        </is>
      </c>
      <c r="E17" s="45" t="inlineStr">
        <is>
          <t>prefix</t>
        </is>
      </c>
      <c r="F17" s="45" t="inlineStr">
        <is>
          <t>from_no *</t>
        </is>
      </c>
      <c r="G17" s="45" t="inlineStr">
        <is>
          <t>to_no *</t>
        </is>
      </c>
      <c r="H17" s="45" t="inlineStr">
        <is>
          <t>last_used_no *</t>
        </is>
      </c>
      <c r="I17" s="45" t="inlineStr">
        <is>
          <t>next_no *</t>
        </is>
      </c>
    </row>
    <row r="18" ht="18" customHeight="1">
      <c r="A18" s="46" t="inlineStr">
        <is>
          <t>Example – overwrite or delete</t>
        </is>
      </c>
      <c r="B18" s="47" t="inlineStr">
        <is>
          <t>MKT01</t>
        </is>
      </c>
      <c r="C18" s="47" t="inlineStr">
        <is>
          <t>AR</t>
        </is>
      </c>
      <c r="D18" s="47" t="inlineStr">
        <is>
          <t>ATP-OCN-2025-000123</t>
        </is>
      </c>
      <c r="E18" s="47" t="inlineStr">
        <is>
          <t>AR-MKT</t>
        </is>
      </c>
      <c r="F18" s="52" t="n">
        <v>100001</v>
      </c>
      <c r="G18" s="52" t="n">
        <v>150000</v>
      </c>
      <c r="H18" s="52" t="n">
        <v>131245</v>
      </c>
      <c r="I18" s="52" t="n">
        <v>131246</v>
      </c>
    </row>
    <row r="19">
      <c r="B19" s="49" t="n"/>
      <c r="C19" s="49" t="n"/>
      <c r="D19" s="49" t="n"/>
      <c r="E19" s="49" t="n"/>
    </row>
    <row r="20">
      <c r="B20" s="49" t="n"/>
      <c r="C20" s="49" t="n"/>
      <c r="D20" s="49" t="n"/>
      <c r="E20" s="49" t="n"/>
    </row>
    <row r="21">
      <c r="B21" s="49" t="n"/>
      <c r="C21" s="49" t="n"/>
      <c r="D21" s="49" t="n"/>
      <c r="E21" s="49" t="n"/>
    </row>
    <row r="22">
      <c r="B22" s="49" t="n"/>
      <c r="C22" s="49" t="n"/>
      <c r="D22" s="49" t="n"/>
      <c r="E22" s="49" t="n"/>
    </row>
    <row r="23">
      <c r="B23" s="49" t="n"/>
      <c r="C23" s="49" t="n"/>
      <c r="D23" s="49" t="n"/>
      <c r="E23" s="49" t="n"/>
    </row>
    <row r="24">
      <c r="B24" s="49" t="n"/>
      <c r="C24" s="49" t="n"/>
      <c r="D24" s="49" t="n"/>
      <c r="E24" s="49" t="n"/>
    </row>
    <row r="25">
      <c r="B25" s="49" t="n"/>
      <c r="C25" s="49" t="n"/>
      <c r="D25" s="49" t="n"/>
      <c r="E25" s="49" t="n"/>
    </row>
    <row r="26">
      <c r="B26" s="49" t="n"/>
      <c r="C26" s="49" t="n"/>
      <c r="D26" s="49" t="n"/>
      <c r="E26" s="49" t="n"/>
    </row>
    <row r="27">
      <c r="B27" s="49" t="n"/>
      <c r="C27" s="49" t="n"/>
      <c r="D27" s="49" t="n"/>
      <c r="E27" s="49" t="n"/>
    </row>
    <row r="28">
      <c r="B28" s="49" t="n"/>
      <c r="C28" s="49" t="n"/>
      <c r="D28" s="49" t="n"/>
      <c r="E28" s="49" t="n"/>
    </row>
    <row r="29">
      <c r="B29" s="49" t="n"/>
      <c r="C29" s="49" t="n"/>
      <c r="D29" s="49" t="n"/>
      <c r="E29" s="49" t="n"/>
    </row>
    <row r="30">
      <c r="B30" s="49" t="n"/>
      <c r="C30" s="49" t="n"/>
      <c r="D30" s="49" t="n"/>
      <c r="E30" s="49" t="n"/>
    </row>
    <row r="31">
      <c r="B31" s="49" t="n"/>
      <c r="C31" s="49" t="n"/>
      <c r="D31" s="49" t="n"/>
      <c r="E31" s="49" t="n"/>
    </row>
    <row r="32">
      <c r="B32" s="49" t="n"/>
      <c r="C32" s="49" t="n"/>
      <c r="D32" s="49" t="n"/>
      <c r="E32" s="49" t="n"/>
    </row>
    <row r="33">
      <c r="B33" s="49" t="n"/>
      <c r="C33" s="49" t="n"/>
      <c r="D33" s="49" t="n"/>
      <c r="E33" s="49" t="n"/>
    </row>
    <row r="34">
      <c r="B34" s="49" t="n"/>
      <c r="C34" s="49" t="n"/>
      <c r="D34" s="49" t="n"/>
      <c r="E34" s="49" t="n"/>
    </row>
    <row r="35">
      <c r="B35" s="49" t="n"/>
      <c r="C35" s="49" t="n"/>
      <c r="D35" s="49" t="n"/>
      <c r="E35" s="49" t="n"/>
    </row>
    <row r="36">
      <c r="B36" s="49" t="n"/>
      <c r="C36" s="49" t="n"/>
      <c r="D36" s="49" t="n"/>
      <c r="E36" s="49" t="n"/>
    </row>
    <row r="37">
      <c r="B37" s="49" t="n"/>
      <c r="C37" s="49" t="n"/>
      <c r="D37" s="49" t="n"/>
      <c r="E37" s="49" t="n"/>
    </row>
    <row r="38">
      <c r="B38" s="49" t="n"/>
      <c r="C38" s="49" t="n"/>
      <c r="D38" s="49" t="n"/>
      <c r="E38" s="49" t="n"/>
    </row>
    <row r="39">
      <c r="B39" s="49" t="n"/>
      <c r="C39" s="49" t="n"/>
      <c r="D39" s="49" t="n"/>
      <c r="E39" s="49" t="n"/>
    </row>
    <row r="40">
      <c r="B40" s="49" t="n"/>
      <c r="C40" s="49" t="n"/>
      <c r="D40" s="49" t="n"/>
      <c r="E40" s="49" t="n"/>
    </row>
    <row r="41">
      <c r="B41" s="49" t="n"/>
      <c r="C41" s="49" t="n"/>
      <c r="D41" s="49" t="n"/>
      <c r="E41" s="49" t="n"/>
    </row>
    <row r="42">
      <c r="B42" s="49" t="n"/>
      <c r="C42" s="49" t="n"/>
      <c r="D42" s="49" t="n"/>
      <c r="E42" s="49" t="n"/>
    </row>
    <row r="43">
      <c r="B43" s="49" t="n"/>
      <c r="C43" s="49" t="n"/>
      <c r="D43" s="49" t="n"/>
      <c r="E43" s="49" t="n"/>
    </row>
    <row r="44">
      <c r="B44" s="49" t="n"/>
      <c r="C44" s="49" t="n"/>
      <c r="D44" s="49" t="n"/>
      <c r="E44" s="49" t="n"/>
    </row>
    <row r="45">
      <c r="B45" s="49" t="n"/>
      <c r="C45" s="49" t="n"/>
      <c r="D45" s="49" t="n"/>
      <c r="E45" s="49" t="n"/>
    </row>
    <row r="46">
      <c r="B46" s="49" t="n"/>
      <c r="C46" s="49" t="n"/>
      <c r="D46" s="49" t="n"/>
      <c r="E46" s="49" t="n"/>
    </row>
    <row r="47">
      <c r="B47" s="49" t="n"/>
      <c r="C47" s="49" t="n"/>
      <c r="D47" s="49" t="n"/>
      <c r="E47" s="49" t="n"/>
    </row>
    <row r="48">
      <c r="B48" s="49" t="n"/>
      <c r="C48" s="49" t="n"/>
      <c r="D48" s="49" t="n"/>
      <c r="E48" s="49" t="n"/>
    </row>
    <row r="49">
      <c r="B49" s="49" t="n"/>
      <c r="C49" s="49" t="n"/>
      <c r="D49" s="49" t="n"/>
      <c r="E49" s="49" t="n"/>
    </row>
    <row r="50">
      <c r="B50" s="49" t="n"/>
      <c r="C50" s="49" t="n"/>
      <c r="D50" s="49" t="n"/>
      <c r="E50" s="49" t="n"/>
    </row>
    <row r="51">
      <c r="B51" s="49" t="n"/>
      <c r="C51" s="49" t="n"/>
      <c r="D51" s="49" t="n"/>
      <c r="E51" s="49" t="n"/>
    </row>
    <row r="52">
      <c r="B52" s="49" t="n"/>
      <c r="C52" s="49" t="n"/>
      <c r="D52" s="49" t="n"/>
      <c r="E52" s="49" t="n"/>
    </row>
    <row r="53">
      <c r="B53" s="49" t="n"/>
      <c r="C53" s="49" t="n"/>
      <c r="D53" s="49" t="n"/>
      <c r="E53" s="49" t="n"/>
    </row>
    <row r="54">
      <c r="B54" s="49" t="n"/>
      <c r="C54" s="49" t="n"/>
      <c r="D54" s="49" t="n"/>
      <c r="E54" s="49" t="n"/>
    </row>
    <row r="55">
      <c r="B55" s="49" t="n"/>
      <c r="C55" s="49" t="n"/>
      <c r="D55" s="49" t="n"/>
      <c r="E55" s="49" t="n"/>
    </row>
    <row r="56">
      <c r="B56" s="49" t="n"/>
      <c r="C56" s="49" t="n"/>
      <c r="D56" s="49" t="n"/>
      <c r="E56" s="49" t="n"/>
    </row>
    <row r="57">
      <c r="B57" s="49" t="n"/>
      <c r="C57" s="49" t="n"/>
      <c r="D57" s="49" t="n"/>
      <c r="E57" s="49" t="n"/>
    </row>
    <row r="58">
      <c r="B58" s="49" t="n"/>
      <c r="C58" s="49" t="n"/>
      <c r="D58" s="49" t="n"/>
      <c r="E58" s="49" t="n"/>
    </row>
    <row r="59">
      <c r="B59" s="49" t="n"/>
      <c r="C59" s="49" t="n"/>
      <c r="D59" s="49" t="n"/>
      <c r="E59" s="49" t="n"/>
    </row>
    <row r="60">
      <c r="B60" s="49" t="n"/>
      <c r="C60" s="49" t="n"/>
      <c r="D60" s="49" t="n"/>
      <c r="E60" s="49" t="n"/>
    </row>
    <row r="61">
      <c r="B61" s="49" t="n"/>
      <c r="C61" s="49" t="n"/>
      <c r="D61" s="49" t="n"/>
      <c r="E61" s="49" t="n"/>
    </row>
    <row r="62">
      <c r="B62" s="49" t="n"/>
      <c r="C62" s="49" t="n"/>
      <c r="D62" s="49" t="n"/>
      <c r="E62" s="49" t="n"/>
    </row>
    <row r="63">
      <c r="B63" s="49" t="n"/>
      <c r="C63" s="49" t="n"/>
      <c r="D63" s="49" t="n"/>
      <c r="E63" s="49" t="n"/>
    </row>
    <row r="64">
      <c r="B64" s="49" t="n"/>
      <c r="C64" s="49" t="n"/>
      <c r="D64" s="49" t="n"/>
      <c r="E64" s="49" t="n"/>
    </row>
    <row r="65">
      <c r="B65" s="49" t="n"/>
      <c r="C65" s="49" t="n"/>
      <c r="D65" s="49" t="n"/>
      <c r="E65" s="49" t="n"/>
    </row>
    <row r="66">
      <c r="B66" s="49" t="n"/>
      <c r="C66" s="49" t="n"/>
      <c r="D66" s="49" t="n"/>
      <c r="E66" s="49" t="n"/>
    </row>
    <row r="67">
      <c r="B67" s="49" t="n"/>
      <c r="C67" s="49" t="n"/>
      <c r="D67" s="49" t="n"/>
      <c r="E67" s="49" t="n"/>
    </row>
    <row r="68">
      <c r="B68" s="49" t="n"/>
      <c r="C68" s="49" t="n"/>
      <c r="D68" s="49" t="n"/>
      <c r="E68" s="49" t="n"/>
    </row>
    <row r="69">
      <c r="B69" s="49" t="n"/>
      <c r="C69" s="49" t="n"/>
      <c r="D69" s="49" t="n"/>
      <c r="E69" s="49" t="n"/>
    </row>
    <row r="70">
      <c r="B70" s="49" t="n"/>
      <c r="C70" s="49" t="n"/>
      <c r="D70" s="49" t="n"/>
      <c r="E70" s="49" t="n"/>
    </row>
    <row r="71">
      <c r="B71" s="49" t="n"/>
      <c r="C71" s="49" t="n"/>
      <c r="D71" s="49" t="n"/>
      <c r="E71" s="49" t="n"/>
    </row>
    <row r="72">
      <c r="B72" s="49" t="n"/>
      <c r="C72" s="49" t="n"/>
      <c r="D72" s="49" t="n"/>
      <c r="E72" s="49" t="n"/>
    </row>
    <row r="73">
      <c r="B73" s="49" t="n"/>
      <c r="C73" s="49" t="n"/>
      <c r="D73" s="49" t="n"/>
      <c r="E73" s="49" t="n"/>
    </row>
    <row r="74">
      <c r="B74" s="49" t="n"/>
      <c r="C74" s="49" t="n"/>
      <c r="D74" s="49" t="n"/>
      <c r="E74" s="49" t="n"/>
    </row>
    <row r="75">
      <c r="B75" s="49" t="n"/>
      <c r="C75" s="49" t="n"/>
      <c r="D75" s="49" t="n"/>
      <c r="E75" s="49" t="n"/>
    </row>
    <row r="76">
      <c r="B76" s="49" t="n"/>
      <c r="C76" s="49" t="n"/>
      <c r="D76" s="49" t="n"/>
      <c r="E76" s="49" t="n"/>
    </row>
    <row r="77">
      <c r="B77" s="49" t="n"/>
      <c r="C77" s="49" t="n"/>
      <c r="D77" s="49" t="n"/>
      <c r="E77" s="49" t="n"/>
    </row>
    <row r="78">
      <c r="B78" s="49" t="n"/>
      <c r="C78" s="49" t="n"/>
      <c r="D78" s="49" t="n"/>
      <c r="E78" s="49" t="n"/>
    </row>
    <row r="79">
      <c r="B79" s="49" t="n"/>
      <c r="C79" s="49" t="n"/>
      <c r="D79" s="49" t="n"/>
      <c r="E79" s="49" t="n"/>
    </row>
    <row r="80">
      <c r="B80" s="49" t="n"/>
      <c r="C80" s="49" t="n"/>
      <c r="D80" s="49" t="n"/>
      <c r="E80" s="49" t="n"/>
    </row>
    <row r="81">
      <c r="B81" s="49" t="n"/>
      <c r="C81" s="49" t="n"/>
      <c r="D81" s="49" t="n"/>
      <c r="E81" s="49" t="n"/>
    </row>
    <row r="82">
      <c r="B82" s="49" t="n"/>
      <c r="C82" s="49" t="n"/>
      <c r="D82" s="49" t="n"/>
      <c r="E82" s="49" t="n"/>
    </row>
    <row r="83">
      <c r="B83" s="49" t="n"/>
      <c r="C83" s="49" t="n"/>
      <c r="D83" s="49" t="n"/>
      <c r="E83" s="49" t="n"/>
    </row>
    <row r="84">
      <c r="B84" s="49" t="n"/>
      <c r="C84" s="49" t="n"/>
      <c r="D84" s="49" t="n"/>
      <c r="E84" s="49" t="n"/>
    </row>
    <row r="85">
      <c r="B85" s="49" t="n"/>
      <c r="C85" s="49" t="n"/>
      <c r="D85" s="49" t="n"/>
      <c r="E85" s="49" t="n"/>
    </row>
    <row r="86">
      <c r="B86" s="49" t="n"/>
      <c r="C86" s="49" t="n"/>
      <c r="D86" s="49" t="n"/>
      <c r="E86" s="49" t="n"/>
    </row>
    <row r="87">
      <c r="B87" s="49" t="n"/>
      <c r="C87" s="49" t="n"/>
      <c r="D87" s="49" t="n"/>
      <c r="E87" s="49" t="n"/>
    </row>
    <row r="88">
      <c r="B88" s="49" t="n"/>
      <c r="C88" s="49" t="n"/>
      <c r="D88" s="49" t="n"/>
      <c r="E88" s="49" t="n"/>
    </row>
    <row r="89">
      <c r="B89" s="49" t="n"/>
      <c r="C89" s="49" t="n"/>
      <c r="D89" s="49" t="n"/>
      <c r="E89" s="49" t="n"/>
    </row>
    <row r="90">
      <c r="B90" s="49" t="n"/>
      <c r="C90" s="49" t="n"/>
      <c r="D90" s="49" t="n"/>
      <c r="E90" s="49" t="n"/>
    </row>
    <row r="91">
      <c r="B91" s="49" t="n"/>
      <c r="C91" s="49" t="n"/>
      <c r="D91" s="49" t="n"/>
      <c r="E91" s="49" t="n"/>
    </row>
    <row r="92">
      <c r="B92" s="49" t="n"/>
      <c r="C92" s="49" t="n"/>
      <c r="D92" s="49" t="n"/>
      <c r="E92" s="49" t="n"/>
    </row>
    <row r="93">
      <c r="B93" s="49" t="n"/>
      <c r="C93" s="49" t="n"/>
      <c r="D93" s="49" t="n"/>
      <c r="E93" s="49" t="n"/>
    </row>
    <row r="94">
      <c r="B94" s="49" t="n"/>
      <c r="C94" s="49" t="n"/>
      <c r="D94" s="49" t="n"/>
      <c r="E94" s="49" t="n"/>
    </row>
    <row r="95">
      <c r="B95" s="49" t="n"/>
      <c r="C95" s="49" t="n"/>
      <c r="D95" s="49" t="n"/>
      <c r="E95" s="49" t="n"/>
    </row>
    <row r="96">
      <c r="B96" s="49" t="n"/>
      <c r="C96" s="49" t="n"/>
      <c r="D96" s="49" t="n"/>
      <c r="E96" s="49" t="n"/>
    </row>
    <row r="97">
      <c r="B97" s="49" t="n"/>
      <c r="C97" s="49" t="n"/>
      <c r="D97" s="49" t="n"/>
      <c r="E97" s="49" t="n"/>
    </row>
    <row r="98">
      <c r="B98" s="49" t="n"/>
      <c r="C98" s="49" t="n"/>
      <c r="D98" s="49" t="n"/>
      <c r="E98" s="49" t="n"/>
    </row>
    <row r="99">
      <c r="B99" s="49" t="n"/>
      <c r="C99" s="49" t="n"/>
      <c r="D99" s="49" t="n"/>
      <c r="E99" s="49" t="n"/>
    </row>
    <row r="100">
      <c r="B100" s="49" t="n"/>
      <c r="C100" s="49" t="n"/>
      <c r="D100" s="49" t="n"/>
      <c r="E100" s="49" t="n"/>
    </row>
    <row r="101">
      <c r="B101" s="49" t="n"/>
      <c r="C101" s="49" t="n"/>
      <c r="D101" s="49" t="n"/>
      <c r="E101" s="49" t="n"/>
    </row>
    <row r="102">
      <c r="B102" s="49" t="n"/>
      <c r="C102" s="49" t="n"/>
      <c r="D102" s="49" t="n"/>
      <c r="E102" s="49" t="n"/>
    </row>
    <row r="103">
      <c r="B103" s="49" t="n"/>
      <c r="C103" s="49" t="n"/>
      <c r="D103" s="49" t="n"/>
      <c r="E103" s="49" t="n"/>
    </row>
    <row r="104">
      <c r="B104" s="49" t="n"/>
      <c r="C104" s="49" t="n"/>
      <c r="D104" s="49" t="n"/>
      <c r="E104" s="49" t="n"/>
    </row>
    <row r="105">
      <c r="B105" s="49" t="n"/>
      <c r="C105" s="49" t="n"/>
      <c r="D105" s="49" t="n"/>
      <c r="E105" s="49" t="n"/>
    </row>
    <row r="106">
      <c r="B106" s="49" t="n"/>
      <c r="C106" s="49" t="n"/>
      <c r="D106" s="49" t="n"/>
      <c r="E106" s="49" t="n"/>
    </row>
    <row r="107">
      <c r="B107" s="49" t="n"/>
      <c r="C107" s="49" t="n"/>
      <c r="D107" s="49" t="n"/>
      <c r="E107" s="49" t="n"/>
    </row>
    <row r="108">
      <c r="B108" s="49" t="n"/>
      <c r="C108" s="49" t="n"/>
      <c r="D108" s="49" t="n"/>
      <c r="E108" s="49" t="n"/>
    </row>
    <row r="109">
      <c r="B109" s="49" t="n"/>
      <c r="C109" s="49" t="n"/>
      <c r="D109" s="49" t="n"/>
      <c r="E109" s="49" t="n"/>
    </row>
    <row r="110">
      <c r="B110" s="49" t="n"/>
      <c r="C110" s="49" t="n"/>
      <c r="D110" s="49" t="n"/>
      <c r="E110" s="49" t="n"/>
    </row>
    <row r="111">
      <c r="B111" s="49" t="n"/>
      <c r="C111" s="49" t="n"/>
      <c r="D111" s="49" t="n"/>
      <c r="E111" s="49" t="n"/>
    </row>
    <row r="112">
      <c r="B112" s="49" t="n"/>
      <c r="C112" s="49" t="n"/>
      <c r="D112" s="49" t="n"/>
      <c r="E112" s="49" t="n"/>
    </row>
    <row r="113">
      <c r="B113" s="49" t="n"/>
      <c r="C113" s="49" t="n"/>
      <c r="D113" s="49" t="n"/>
      <c r="E113" s="49" t="n"/>
    </row>
    <row r="114">
      <c r="B114" s="49" t="n"/>
      <c r="C114" s="49" t="n"/>
      <c r="D114" s="49" t="n"/>
      <c r="E114" s="49" t="n"/>
    </row>
    <row r="115">
      <c r="B115" s="49" t="n"/>
      <c r="C115" s="49" t="n"/>
      <c r="D115" s="49" t="n"/>
      <c r="E115" s="49" t="n"/>
    </row>
    <row r="116">
      <c r="B116" s="49" t="n"/>
      <c r="C116" s="49" t="n"/>
      <c r="D116" s="49" t="n"/>
      <c r="E116" s="49" t="n"/>
    </row>
    <row r="117">
      <c r="B117" s="49" t="n"/>
      <c r="C117" s="49" t="n"/>
      <c r="D117" s="49" t="n"/>
      <c r="E117" s="49" t="n"/>
    </row>
    <row r="118">
      <c r="B118" s="49" t="n"/>
      <c r="C118" s="49" t="n"/>
      <c r="D118" s="49" t="n"/>
      <c r="E118" s="49" t="n"/>
    </row>
    <row r="119">
      <c r="B119" s="49" t="n"/>
      <c r="C119" s="49" t="n"/>
      <c r="D119" s="49" t="n"/>
      <c r="E119" s="49" t="n"/>
    </row>
    <row r="120">
      <c r="B120" s="49" t="n"/>
      <c r="C120" s="49" t="n"/>
      <c r="D120" s="49" t="n"/>
      <c r="E120" s="49" t="n"/>
    </row>
    <row r="121">
      <c r="B121" s="49" t="n"/>
      <c r="C121" s="49" t="n"/>
      <c r="D121" s="49" t="n"/>
      <c r="E121" s="49" t="n"/>
    </row>
    <row r="122">
      <c r="B122" s="49" t="n"/>
      <c r="C122" s="49" t="n"/>
      <c r="D122" s="49" t="n"/>
      <c r="E122" s="49" t="n"/>
    </row>
    <row r="123">
      <c r="B123" s="49" t="n"/>
      <c r="C123" s="49" t="n"/>
      <c r="D123" s="49" t="n"/>
      <c r="E123" s="49" t="n"/>
    </row>
    <row r="124">
      <c r="B124" s="49" t="n"/>
      <c r="C124" s="49" t="n"/>
      <c r="D124" s="49" t="n"/>
      <c r="E124" s="49" t="n"/>
    </row>
    <row r="125">
      <c r="B125" s="49" t="n"/>
      <c r="C125" s="49" t="n"/>
      <c r="D125" s="49" t="n"/>
      <c r="E125" s="49" t="n"/>
    </row>
    <row r="126">
      <c r="B126" s="49" t="n"/>
      <c r="C126" s="49" t="n"/>
      <c r="D126" s="49" t="n"/>
      <c r="E126" s="49" t="n"/>
    </row>
    <row r="127">
      <c r="B127" s="49" t="n"/>
      <c r="C127" s="49" t="n"/>
      <c r="D127" s="49" t="n"/>
      <c r="E127" s="49" t="n"/>
    </row>
    <row r="128">
      <c r="B128" s="49" t="n"/>
      <c r="C128" s="49" t="n"/>
      <c r="D128" s="49" t="n"/>
      <c r="E128" s="49" t="n"/>
    </row>
    <row r="129">
      <c r="B129" s="49" t="n"/>
      <c r="C129" s="49" t="n"/>
      <c r="D129" s="49" t="n"/>
      <c r="E129" s="49" t="n"/>
    </row>
    <row r="130">
      <c r="B130" s="49" t="n"/>
      <c r="C130" s="49" t="n"/>
      <c r="D130" s="49" t="n"/>
      <c r="E130" s="49" t="n"/>
    </row>
    <row r="131">
      <c r="B131" s="49" t="n"/>
      <c r="C131" s="49" t="n"/>
      <c r="D131" s="49" t="n"/>
      <c r="E131" s="49" t="n"/>
    </row>
    <row r="132">
      <c r="B132" s="49" t="n"/>
      <c r="C132" s="49" t="n"/>
      <c r="D132" s="49" t="n"/>
      <c r="E132" s="49" t="n"/>
    </row>
    <row r="133">
      <c r="B133" s="49" t="n"/>
      <c r="C133" s="49" t="n"/>
      <c r="D133" s="49" t="n"/>
      <c r="E133" s="49" t="n"/>
    </row>
    <row r="134">
      <c r="B134" s="49" t="n"/>
      <c r="C134" s="49" t="n"/>
      <c r="D134" s="49" t="n"/>
      <c r="E134" s="49" t="n"/>
    </row>
    <row r="135">
      <c r="B135" s="49" t="n"/>
      <c r="C135" s="49" t="n"/>
      <c r="D135" s="49" t="n"/>
      <c r="E135" s="49" t="n"/>
    </row>
    <row r="136">
      <c r="B136" s="49" t="n"/>
      <c r="C136" s="49" t="n"/>
      <c r="D136" s="49" t="n"/>
      <c r="E136" s="49" t="n"/>
    </row>
    <row r="137">
      <c r="B137" s="49" t="n"/>
      <c r="C137" s="49" t="n"/>
      <c r="D137" s="49" t="n"/>
      <c r="E137" s="49" t="n"/>
    </row>
    <row r="138">
      <c r="B138" s="49" t="n"/>
      <c r="C138" s="49" t="n"/>
      <c r="D138" s="49" t="n"/>
      <c r="E138" s="49" t="n"/>
    </row>
    <row r="139">
      <c r="B139" s="49" t="n"/>
      <c r="C139" s="49" t="n"/>
      <c r="D139" s="49" t="n"/>
      <c r="E139" s="49" t="n"/>
    </row>
    <row r="140">
      <c r="B140" s="49" t="n"/>
      <c r="C140" s="49" t="n"/>
      <c r="D140" s="49" t="n"/>
      <c r="E140" s="49" t="n"/>
    </row>
    <row r="141">
      <c r="B141" s="49" t="n"/>
      <c r="C141" s="49" t="n"/>
      <c r="D141" s="49" t="n"/>
      <c r="E141" s="49" t="n"/>
    </row>
    <row r="142">
      <c r="B142" s="49" t="n"/>
      <c r="C142" s="49" t="n"/>
      <c r="D142" s="49" t="n"/>
      <c r="E142" s="49" t="n"/>
    </row>
    <row r="143">
      <c r="B143" s="49" t="n"/>
      <c r="C143" s="49" t="n"/>
      <c r="D143" s="49" t="n"/>
      <c r="E143" s="49" t="n"/>
    </row>
    <row r="144">
      <c r="B144" s="49" t="n"/>
      <c r="C144" s="49" t="n"/>
      <c r="D144" s="49" t="n"/>
      <c r="E144" s="49" t="n"/>
    </row>
    <row r="145">
      <c r="B145" s="49" t="n"/>
      <c r="C145" s="49" t="n"/>
      <c r="D145" s="49" t="n"/>
      <c r="E145" s="49" t="n"/>
    </row>
    <row r="146">
      <c r="B146" s="49" t="n"/>
      <c r="C146" s="49" t="n"/>
      <c r="D146" s="49" t="n"/>
      <c r="E146" s="49" t="n"/>
    </row>
    <row r="147">
      <c r="B147" s="49" t="n"/>
      <c r="C147" s="49" t="n"/>
      <c r="D147" s="49" t="n"/>
      <c r="E147" s="49" t="n"/>
    </row>
    <row r="148">
      <c r="B148" s="49" t="n"/>
      <c r="C148" s="49" t="n"/>
      <c r="D148" s="49" t="n"/>
      <c r="E148" s="49" t="n"/>
    </row>
    <row r="149">
      <c r="B149" s="49" t="n"/>
      <c r="C149" s="49" t="n"/>
      <c r="D149" s="49" t="n"/>
      <c r="E149" s="49" t="n"/>
    </row>
    <row r="150">
      <c r="B150" s="49" t="n"/>
      <c r="C150" s="49" t="n"/>
      <c r="D150" s="49" t="n"/>
      <c r="E150" s="49" t="n"/>
    </row>
    <row r="151">
      <c r="B151" s="49" t="n"/>
      <c r="C151" s="49" t="n"/>
      <c r="D151" s="49" t="n"/>
      <c r="E151" s="49" t="n"/>
    </row>
    <row r="152">
      <c r="B152" s="49" t="n"/>
      <c r="C152" s="49" t="n"/>
      <c r="D152" s="49" t="n"/>
      <c r="E152" s="49" t="n"/>
    </row>
    <row r="153">
      <c r="B153" s="49" t="n"/>
      <c r="C153" s="49" t="n"/>
      <c r="D153" s="49" t="n"/>
      <c r="E153" s="49" t="n"/>
    </row>
    <row r="154">
      <c r="B154" s="49" t="n"/>
      <c r="C154" s="49" t="n"/>
      <c r="D154" s="49" t="n"/>
      <c r="E154" s="49" t="n"/>
    </row>
    <row r="155">
      <c r="B155" s="49" t="n"/>
      <c r="C155" s="49" t="n"/>
      <c r="D155" s="49" t="n"/>
      <c r="E155" s="49" t="n"/>
    </row>
    <row r="156">
      <c r="B156" s="49" t="n"/>
      <c r="C156" s="49" t="n"/>
      <c r="D156" s="49" t="n"/>
      <c r="E156" s="49" t="n"/>
    </row>
    <row r="157">
      <c r="B157" s="49" t="n"/>
      <c r="C157" s="49" t="n"/>
      <c r="D157" s="49" t="n"/>
      <c r="E157" s="49" t="n"/>
    </row>
    <row r="158">
      <c r="B158" s="49" t="n"/>
      <c r="C158" s="49" t="n"/>
      <c r="D158" s="49" t="n"/>
      <c r="E158" s="49" t="n"/>
    </row>
    <row r="159">
      <c r="B159" s="49" t="n"/>
      <c r="C159" s="49" t="n"/>
      <c r="D159" s="49" t="n"/>
      <c r="E159" s="49" t="n"/>
    </row>
    <row r="160">
      <c r="B160" s="49" t="n"/>
      <c r="C160" s="49" t="n"/>
      <c r="D160" s="49" t="n"/>
      <c r="E160" s="49" t="n"/>
    </row>
    <row r="161">
      <c r="B161" s="49" t="n"/>
      <c r="C161" s="49" t="n"/>
      <c r="D161" s="49" t="n"/>
      <c r="E161" s="49" t="n"/>
    </row>
    <row r="162">
      <c r="B162" s="49" t="n"/>
      <c r="C162" s="49" t="n"/>
      <c r="D162" s="49" t="n"/>
      <c r="E162" s="49" t="n"/>
    </row>
    <row r="163">
      <c r="B163" s="49" t="n"/>
      <c r="C163" s="49" t="n"/>
      <c r="D163" s="49" t="n"/>
      <c r="E163" s="49" t="n"/>
    </row>
    <row r="164">
      <c r="B164" s="49" t="n"/>
      <c r="C164" s="49" t="n"/>
      <c r="D164" s="49" t="n"/>
      <c r="E164" s="49" t="n"/>
    </row>
    <row r="165">
      <c r="B165" s="49" t="n"/>
      <c r="C165" s="49" t="n"/>
      <c r="D165" s="49" t="n"/>
      <c r="E165" s="49" t="n"/>
    </row>
    <row r="166">
      <c r="B166" s="49" t="n"/>
      <c r="C166" s="49" t="n"/>
      <c r="D166" s="49" t="n"/>
      <c r="E166" s="49" t="n"/>
    </row>
    <row r="167">
      <c r="B167" s="49" t="n"/>
      <c r="C167" s="49" t="n"/>
      <c r="D167" s="49" t="n"/>
      <c r="E167" s="49" t="n"/>
    </row>
    <row r="168">
      <c r="B168" s="49" t="n"/>
      <c r="C168" s="49" t="n"/>
      <c r="D168" s="49" t="n"/>
      <c r="E168" s="49" t="n"/>
    </row>
    <row r="169">
      <c r="B169" s="49" t="n"/>
      <c r="C169" s="49" t="n"/>
      <c r="D169" s="49" t="n"/>
      <c r="E169" s="49" t="n"/>
    </row>
    <row r="170">
      <c r="B170" s="49" t="n"/>
      <c r="C170" s="49" t="n"/>
      <c r="D170" s="49" t="n"/>
      <c r="E170" s="49" t="n"/>
    </row>
    <row r="171">
      <c r="B171" s="49" t="n"/>
      <c r="C171" s="49" t="n"/>
      <c r="D171" s="49" t="n"/>
      <c r="E171" s="49" t="n"/>
    </row>
    <row r="172">
      <c r="B172" s="49" t="n"/>
      <c r="C172" s="49" t="n"/>
      <c r="D172" s="49" t="n"/>
      <c r="E172" s="49" t="n"/>
    </row>
    <row r="173">
      <c r="B173" s="49" t="n"/>
      <c r="C173" s="49" t="n"/>
      <c r="D173" s="49" t="n"/>
      <c r="E173" s="49" t="n"/>
    </row>
    <row r="174">
      <c r="B174" s="49" t="n"/>
      <c r="C174" s="49" t="n"/>
      <c r="D174" s="49" t="n"/>
      <c r="E174" s="49" t="n"/>
    </row>
    <row r="175">
      <c r="B175" s="49" t="n"/>
      <c r="C175" s="49" t="n"/>
      <c r="D175" s="49" t="n"/>
      <c r="E175" s="49" t="n"/>
    </row>
    <row r="176">
      <c r="B176" s="49" t="n"/>
      <c r="C176" s="49" t="n"/>
      <c r="D176" s="49" t="n"/>
      <c r="E176" s="49" t="n"/>
    </row>
    <row r="177">
      <c r="B177" s="49" t="n"/>
      <c r="C177" s="49" t="n"/>
      <c r="D177" s="49" t="n"/>
      <c r="E177" s="49" t="n"/>
    </row>
    <row r="178">
      <c r="B178" s="49" t="n"/>
      <c r="C178" s="49" t="n"/>
      <c r="D178" s="49" t="n"/>
      <c r="E178" s="49" t="n"/>
    </row>
    <row r="179">
      <c r="B179" s="49" t="n"/>
      <c r="C179" s="49" t="n"/>
      <c r="D179" s="49" t="n"/>
      <c r="E179" s="49" t="n"/>
    </row>
    <row r="180">
      <c r="B180" s="49" t="n"/>
      <c r="C180" s="49" t="n"/>
      <c r="D180" s="49" t="n"/>
      <c r="E180" s="49" t="n"/>
    </row>
    <row r="181">
      <c r="B181" s="49" t="n"/>
      <c r="C181" s="49" t="n"/>
      <c r="D181" s="49" t="n"/>
      <c r="E181" s="49" t="n"/>
    </row>
    <row r="182">
      <c r="B182" s="49" t="n"/>
      <c r="C182" s="49" t="n"/>
      <c r="D182" s="49" t="n"/>
      <c r="E182" s="49" t="n"/>
    </row>
    <row r="183">
      <c r="B183" s="49" t="n"/>
      <c r="C183" s="49" t="n"/>
      <c r="D183" s="49" t="n"/>
      <c r="E183" s="49" t="n"/>
    </row>
    <row r="184">
      <c r="B184" s="49" t="n"/>
      <c r="C184" s="49" t="n"/>
      <c r="D184" s="49" t="n"/>
      <c r="E184" s="49" t="n"/>
    </row>
    <row r="185">
      <c r="B185" s="49" t="n"/>
      <c r="C185" s="49" t="n"/>
      <c r="D185" s="49" t="n"/>
      <c r="E185" s="49" t="n"/>
    </row>
    <row r="186">
      <c r="B186" s="49" t="n"/>
      <c r="C186" s="49" t="n"/>
      <c r="D186" s="49" t="n"/>
      <c r="E186" s="49" t="n"/>
    </row>
    <row r="187">
      <c r="B187" s="49" t="n"/>
      <c r="C187" s="49" t="n"/>
      <c r="D187" s="49" t="n"/>
      <c r="E187" s="49" t="n"/>
    </row>
    <row r="188">
      <c r="B188" s="49" t="n"/>
      <c r="C188" s="49" t="n"/>
      <c r="D188" s="49" t="n"/>
      <c r="E188" s="49" t="n"/>
    </row>
    <row r="189">
      <c r="B189" s="49" t="n"/>
      <c r="C189" s="49" t="n"/>
      <c r="D189" s="49" t="n"/>
      <c r="E189" s="49" t="n"/>
    </row>
    <row r="190">
      <c r="B190" s="49" t="n"/>
      <c r="C190" s="49" t="n"/>
      <c r="D190" s="49" t="n"/>
      <c r="E190" s="49" t="n"/>
    </row>
    <row r="191">
      <c r="B191" s="49" t="n"/>
      <c r="C191" s="49" t="n"/>
      <c r="D191" s="49" t="n"/>
      <c r="E191" s="49" t="n"/>
    </row>
    <row r="192">
      <c r="B192" s="49" t="n"/>
      <c r="C192" s="49" t="n"/>
      <c r="D192" s="49" t="n"/>
      <c r="E192" s="49" t="n"/>
    </row>
    <row r="193">
      <c r="B193" s="49" t="n"/>
      <c r="C193" s="49" t="n"/>
      <c r="D193" s="49" t="n"/>
      <c r="E193" s="49" t="n"/>
    </row>
    <row r="194">
      <c r="B194" s="49" t="n"/>
      <c r="C194" s="49" t="n"/>
      <c r="D194" s="49" t="n"/>
      <c r="E194" s="49" t="n"/>
    </row>
    <row r="195">
      <c r="B195" s="49" t="n"/>
      <c r="C195" s="49" t="n"/>
      <c r="D195" s="49" t="n"/>
      <c r="E195" s="49" t="n"/>
    </row>
    <row r="196">
      <c r="B196" s="49" t="n"/>
      <c r="C196" s="49" t="n"/>
      <c r="D196" s="49" t="n"/>
      <c r="E196" s="49" t="n"/>
    </row>
    <row r="197">
      <c r="B197" s="49" t="n"/>
      <c r="C197" s="49" t="n"/>
      <c r="D197" s="49" t="n"/>
      <c r="E197" s="49" t="n"/>
    </row>
    <row r="198">
      <c r="B198" s="49" t="n"/>
      <c r="C198" s="49" t="n"/>
      <c r="D198" s="49" t="n"/>
      <c r="E198" s="49" t="n"/>
    </row>
    <row r="199">
      <c r="B199" s="49" t="n"/>
      <c r="C199" s="49" t="n"/>
      <c r="D199" s="49" t="n"/>
      <c r="E199" s="49" t="n"/>
    </row>
    <row r="200">
      <c r="B200" s="49" t="n"/>
      <c r="C200" s="49" t="n"/>
      <c r="D200" s="49" t="n"/>
      <c r="E200" s="49" t="n"/>
    </row>
    <row r="201">
      <c r="B201" s="49" t="n"/>
      <c r="C201" s="49" t="n"/>
      <c r="D201" s="49" t="n"/>
      <c r="E201" s="49" t="n"/>
    </row>
    <row r="202">
      <c r="B202" s="49" t="n"/>
      <c r="C202" s="49" t="n"/>
      <c r="D202" s="49" t="n"/>
      <c r="E202" s="49" t="n"/>
    </row>
    <row r="203">
      <c r="B203" s="49" t="n"/>
      <c r="C203" s="49" t="n"/>
      <c r="D203" s="49" t="n"/>
      <c r="E203" s="49" t="n"/>
    </row>
    <row r="204">
      <c r="B204" s="49" t="n"/>
      <c r="C204" s="49" t="n"/>
      <c r="D204" s="49" t="n"/>
      <c r="E204" s="49" t="n"/>
    </row>
    <row r="205">
      <c r="B205" s="49" t="n"/>
      <c r="C205" s="49" t="n"/>
      <c r="D205" s="49" t="n"/>
      <c r="E205" s="49" t="n"/>
    </row>
    <row r="206">
      <c r="B206" s="49" t="n"/>
      <c r="C206" s="49" t="n"/>
      <c r="D206" s="49" t="n"/>
      <c r="E206" s="49" t="n"/>
    </row>
    <row r="207">
      <c r="B207" s="49" t="n"/>
      <c r="C207" s="49" t="n"/>
      <c r="D207" s="49" t="n"/>
      <c r="E207" s="49" t="n"/>
    </row>
    <row r="208">
      <c r="B208" s="49" t="n"/>
      <c r="C208" s="49" t="n"/>
      <c r="D208" s="49" t="n"/>
      <c r="E208" s="49" t="n"/>
    </row>
    <row r="209">
      <c r="B209" s="49" t="n"/>
      <c r="C209" s="49" t="n"/>
      <c r="D209" s="49" t="n"/>
      <c r="E209" s="49" t="n"/>
    </row>
    <row r="210">
      <c r="B210" s="49" t="n"/>
      <c r="C210" s="49" t="n"/>
      <c r="D210" s="49" t="n"/>
      <c r="E210" s="49" t="n"/>
    </row>
    <row r="211">
      <c r="B211" s="49" t="n"/>
      <c r="C211" s="49" t="n"/>
      <c r="D211" s="49" t="n"/>
      <c r="E211" s="49" t="n"/>
    </row>
    <row r="212">
      <c r="B212" s="49" t="n"/>
      <c r="C212" s="49" t="n"/>
      <c r="D212" s="49" t="n"/>
      <c r="E212" s="49" t="n"/>
    </row>
    <row r="213">
      <c r="B213" s="49" t="n"/>
      <c r="C213" s="49" t="n"/>
      <c r="D213" s="49" t="n"/>
      <c r="E213" s="49" t="n"/>
    </row>
    <row r="214">
      <c r="B214" s="49" t="n"/>
      <c r="C214" s="49" t="n"/>
      <c r="D214" s="49" t="n"/>
      <c r="E214" s="49" t="n"/>
    </row>
    <row r="215">
      <c r="B215" s="49" t="n"/>
      <c r="C215" s="49" t="n"/>
      <c r="D215" s="49" t="n"/>
      <c r="E215" s="49" t="n"/>
    </row>
    <row r="216">
      <c r="B216" s="49" t="n"/>
      <c r="C216" s="49" t="n"/>
      <c r="D216" s="49" t="n"/>
      <c r="E216" s="49" t="n"/>
    </row>
    <row r="217">
      <c r="B217" s="49" t="n"/>
      <c r="C217" s="49" t="n"/>
      <c r="D217" s="49" t="n"/>
      <c r="E217" s="49" t="n"/>
    </row>
    <row r="218">
      <c r="B218" s="49" t="n"/>
      <c r="C218" s="49" t="n"/>
      <c r="D218" s="49" t="n"/>
      <c r="E218"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F18:F218">
    <cfRule type="expression" priority="5" dxfId="6">
      <formula>AND(LEN($B18&amp;$C18&amp;$D18&amp;$E18&amp;$F18&amp;$G18&amp;$H18&amp;$I18)&gt;0,F18="")</formula>
    </cfRule>
  </conditionalFormatting>
  <conditionalFormatting sqref="G18:G218">
    <cfRule type="expression" priority="6" dxfId="6">
      <formula>AND(LEN($B18&amp;$C18&amp;$D18&amp;$E18&amp;$F18&amp;$G18&amp;$H18&amp;$I18)&gt;0,G18="")</formula>
    </cfRule>
  </conditionalFormatting>
  <conditionalFormatting sqref="H18:H218">
    <cfRule type="expression" priority="7" dxfId="6">
      <formula>AND(LEN($B18&amp;$C18&amp;$D18&amp;$E18&amp;$F18&amp;$G18&amp;$H18&amp;$I18)&gt;0,H18="")</formula>
    </cfRule>
  </conditionalFormatting>
  <conditionalFormatting sqref="I18:I218">
    <cfRule type="expression" priority="8" dxfId="6">
      <formula>AND(LEN($B18&amp;$C18&amp;$D18&amp;$E18&amp;$F18&amp;$G18&amp;$H18&amp;$I18)&gt;0,I18="")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branch_code" error="At most 20 characters." promptTitle="branch_code" prompt="Yes. Issuing branch Allowed: The legacy code; mapped by the code map BRANCH (Code Maps screen of the Data Migration Console; maps prepared in the Migration Workbook of BRD-13)" type="textLength" operator="lessThanOrEqual">
      <formula1>20</formula1>
    </dataValidation>
    <dataValidation sqref="C18:C218" showDropDown="0" showInputMessage="1" showErrorMessage="1" allowBlank="1" errorTitle="kind" error="Choose a value of the list R11 kind (sheet Reference lists)." promptTitle="kind" prompt="Yes. Receipt kind Allowed: AR, OR (list R11 kind)" type="list" errorStyle="stop">
      <formula1>=LIST_R11_KIND</formula1>
    </dataValidation>
    <dataValidation sqref="D18:D218" showDropDown="0" showInputMessage="1" showErrorMessage="1" allowBlank="1" errorTitle="atp_no" error="At most 40 characters." promptTitle="atp_no" prompt="Yes. BIR Authority to Print number Allowed: Free entry, up to 40 characters" type="textLength" operator="lessThanOrEqual">
      <formula1>40</formula1>
    </dataValidation>
    <dataValidation sqref="E18:E218" showDropDown="0" showInputMessage="1" showErrorMessage="1" allowBlank="1" errorTitle="prefix" error="At most 20 characters." promptTitle="prefix" prompt="No. Series prefix Allowed: Free entry, up to 20 characters" type="textLength" operator="lessThanOrEqual">
      <formula1>20</formula1>
    </dataValidation>
    <dataValidation sqref="F18:F218" showDropDown="0" showInputMessage="1" showErrorMessage="1" allowBlank="1" errorTitle="from_no" error="Enter a whole number." promptTitle="from_no" prompt="Yes. First number of the series Allowed: A whole number" type="whole" operator="greaterThanOrEqual">
      <formula1>-1E+15</formula1>
    </dataValidation>
    <dataValidation sqref="G18:G218" showDropDown="0" showInputMessage="1" showErrorMessage="1" allowBlank="1" errorTitle="to_no" error="Enter a whole number." promptTitle="to_no" prompt="Yes. Last number of the series Allowed: A whole number" type="whole" operator="greaterThanOrEqual">
      <formula1>-1E+15</formula1>
    </dataValidation>
    <dataValidation sqref="H18:H218" showDropDown="0" showInputMessage="1" showErrorMessage="1" allowBlank="1" errorTitle="last_used_no" error="Enter a whole number." promptTitle="last_used_no" prompt="Yes. Last number issued in legacy at the freeze Allowed: A whole number" type="whole" operator="greaterThanOrEqual">
      <formula1>-1E+15</formula1>
    </dataValidation>
    <dataValidation sqref="I18:I218" showDropDown="0" showInputMessage="1" showErrorMessage="1" allowBlank="1" errorTitle="next_no" error="Enter a whole number." promptTitle="next_no" prompt="Yes. Next number BIBS issues Allowed: A whole number" type="whole" operator="greaterThanOrEqual">
      <formula1>-1E+15</formula1>
    </dataValidation>
  </dataValidations>
  <hyperlinks>
    <hyperlink ref="A2" location="'Start here'!A1"/>
    <hyperlink ref="I2" location="'Questions and comments'!A1"/>
    <hyperlink ref="B8" location="'D0-02 Branches'!A1"/>
    <hyperlink ref="C15" location="'Reference lists'!A404"/>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tabColor rgb="00004EA8"/>
    <outlinePr summaryBelow="0" summaryRight="1"/>
    <pageSetUpPr fitToPage="1"/>
  </sheetPr>
  <dimension ref="A1:H5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40" customWidth="1" min="3" max="3"/>
    <col width="12" customWidth="1" min="4" max="4"/>
    <col width="28" customWidth="1" min="5" max="5"/>
    <col width="28" customWidth="1" min="6" max="6"/>
    <col width="12" customWidth="1" min="7" max="7"/>
    <col width="21" customWidth="1" min="8" max="8"/>
  </cols>
  <sheetData>
    <row r="1" ht="26" customHeight="1">
      <c r="A1" s="25" t="inlineStr">
        <is>
          <t>UA-04 Separation-of-duties rules</t>
        </is>
      </c>
      <c r="H1" s="26" t="inlineStr">
        <is>
          <t>Step 21 of 52</t>
        </is>
      </c>
    </row>
    <row r="2">
      <c r="A2" s="27" t="inlineStr">
        <is>
          <t>← Back to Start here</t>
        </is>
      </c>
      <c r="B2" s="28" t="inlineStr">
        <is>
          <t>Step 21 of 52. Fill in one row per record below the column headers; the guide above each column says what to enter.</t>
        </is>
      </c>
      <c r="H2" s="29" t="inlineStr">
        <is>
          <t>Ask a question →</t>
        </is>
      </c>
    </row>
    <row r="3" outlineLevel="1" ht="15.5" customHeight="1">
      <c r="A3" s="30" t="inlineStr">
        <is>
          <t>Purpose</t>
        </is>
      </c>
      <c r="B3" s="31" t="inlineStr">
        <is>
          <t>The rules BIBS enforces, for confirmation, and the combinations of profiles or permissions that BDOI Information Security does not allow one user to hold</t>
        </is>
      </c>
    </row>
    <row r="4" outlineLevel="1" ht="15.5" customHeight="1">
      <c r="A4" s="30" t="inlineStr">
        <is>
          <t>Provided by</t>
        </is>
      </c>
      <c r="B4" s="31" t="inlineStr">
        <is>
          <t>BDOI Information Security</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Setup &amp; Administration › User Access › Separation of Duties,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UA-02 Role-to-permission matrix →</t>
        </is>
      </c>
    </row>
    <row r="9" outlineLevel="1" ht="28" customHeight="1">
      <c r="A9" s="30" t="inlineStr">
        <is>
          <t>Refused rows</t>
        </is>
      </c>
      <c r="B9" s="31" t="inlineStr">
        <is>
          <t>Only rules with the control Prevent between two group profiles are loaded; rules with the control Detect by review or Second approval are refused by the upload and are followed with the access reports. Keep them in this sheet for the review</t>
        </is>
      </c>
    </row>
    <row r="10" ht="26" customHeight="1">
      <c r="A10" s="34" t="inlineStr">
        <is>
          <t>Progress</t>
        </is>
      </c>
      <c r="B10" s="35" t="inlineStr">
        <is>
          <t>Rows entered</t>
        </is>
      </c>
      <c r="C10" s="36">
        <f>SUMPRODUCT(((ROW($B$18:$B$518)&gt;18)+($B$18&lt;&gt;"SOD-01")&gt;0)*(LEN($B$18:$B$518&amp;$C$18:$C$518&amp;$D$18:$D$518&amp;$E$18:$E$518&amp;$F$18:$F$518&amp;$G$18:$G$518&amp;$H$18:$H$518)&gt;0))</f>
        <v/>
      </c>
      <c r="D10" s="35" t="inlineStr">
        <is>
          <t>Mandatory cells missing</t>
        </is>
      </c>
      <c r="E10" s="36">
        <f>SUMPRODUCT(((ROW($B$18:$B$518)&gt;18)+($B$18&lt;&gt;"SOD-01")&gt;0)*(LEN($B$18:$B$518&amp;$C$18:$C$518&amp;$D$18:$D$518&amp;$E$18:$E$518&amp;$F$18:$F$518&amp;$G$18:$G$518&amp;$H$18:$H$518)&gt;0)*(($B$18:$B$518="")+($C$18:$C$518="")+($D$18:$D$518="")+($G$18:$G$518="")))</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row>
    <row r="13" ht="17" customHeight="1">
      <c r="A13" s="41" t="inlineStr">
        <is>
          <t>Mandatory</t>
        </is>
      </c>
      <c r="B13" s="42" t="inlineStr">
        <is>
          <t>Yes</t>
        </is>
      </c>
      <c r="C13" s="42" t="inlineStr">
        <is>
          <t>Yes</t>
        </is>
      </c>
      <c r="D13" s="42" t="inlineStr">
        <is>
          <t>Yes</t>
        </is>
      </c>
      <c r="E13" s="43" t="inlineStr">
        <is>
          <t>Conditional: combination rule</t>
        </is>
      </c>
      <c r="F13" s="43" t="inlineStr">
        <is>
          <t>Conditional: combination rule</t>
        </is>
      </c>
      <c r="G13" s="42" t="inlineStr">
        <is>
          <t>Yes</t>
        </is>
      </c>
      <c r="H13" s="43" t="inlineStr">
        <is>
          <t>No</t>
        </is>
      </c>
    </row>
    <row r="14" ht="30" customHeight="1">
      <c r="A14" s="41" t="inlineStr">
        <is>
          <t>Format</t>
        </is>
      </c>
      <c r="B14" s="43" t="inlineStr">
        <is>
          <t>SOD-nn</t>
        </is>
      </c>
      <c r="C14" s="43" t="inlineStr">
        <is>
          <t>Text</t>
        </is>
      </c>
      <c r="D14" s="43" t="inlineStr">
        <is>
          <t>Code from the drop-down</t>
        </is>
      </c>
      <c r="E14" s="43" t="inlineStr">
        <is>
          <t>Group profile codes separated by commas</t>
        </is>
      </c>
      <c r="F14" s="43" t="inlineStr">
        <is>
          <t>Group profile codes separated by commas</t>
        </is>
      </c>
      <c r="G14" s="43" t="inlineStr">
        <is>
          <t>Code from the drop-down</t>
        </is>
      </c>
      <c r="H14" s="43" t="inlineStr">
        <is>
          <t>Code from the drop-down</t>
        </is>
      </c>
    </row>
    <row r="15" ht="69" customHeight="1">
      <c r="A15" s="41" t="inlineStr">
        <is>
          <t>Allowed values</t>
        </is>
      </c>
      <c r="B15" s="43" t="inlineStr">
        <is>
          <t>Free entry</t>
        </is>
      </c>
      <c r="C15" s="43" t="inlineStr">
        <is>
          <t>Free entry</t>
        </is>
      </c>
      <c r="D15" s="51" t="inlineStr">
        <is>
          <t>Enforced, To confirm, New (list Status (UA-04))</t>
        </is>
      </c>
      <c r="E15" s="51" t="inlineStr">
        <is>
          <t>Codes of UA-02 Role-to-permission matrix, column Group profile code (one or more)</t>
        </is>
      </c>
      <c r="F15" s="51" t="inlineStr">
        <is>
          <t>Codes of UA-02 Role-to-permission matrix, column Group profile code (one or more)</t>
        </is>
      </c>
      <c r="G15" s="51" t="inlineStr">
        <is>
          <t>Prevent, Detect by review, Second approval (list Control (UA-04))</t>
        </is>
      </c>
      <c r="H15" s="51" t="inlineStr">
        <is>
          <t>Monthly, Quarterly (list Review frequency (UA-04))</t>
        </is>
      </c>
    </row>
    <row r="16" ht="43" customHeight="1">
      <c r="A16" s="41" t="inlineStr">
        <is>
          <t>What to enter</t>
        </is>
      </c>
      <c r="B16" s="43" t="inlineStr">
        <is>
          <t>Identifier of the rule</t>
        </is>
      </c>
      <c r="C16" s="43" t="inlineStr">
        <is>
          <t>The rule</t>
        </is>
      </c>
      <c r="D16" s="43" t="inlineStr">
        <is>
          <t>Enforced = a fixed rule of BIBS</t>
        </is>
      </c>
      <c r="E16" s="43" t="inlineStr">
        <is>
          <t>First profile of the combination</t>
        </is>
      </c>
      <c r="F16" s="43" t="inlineStr">
        <is>
          <t>Profile that may not be held with A</t>
        </is>
      </c>
      <c r="G16" s="43" t="inlineStr">
        <is>
          <t>How the rule is controlled</t>
        </is>
      </c>
      <c r="H16" s="43" t="inlineStr">
        <is>
          <t>How often the reports are reviewed</t>
        </is>
      </c>
    </row>
    <row r="17" ht="30" customHeight="1">
      <c r="A17" s="44" t="inlineStr">
        <is>
          <t>Row</t>
        </is>
      </c>
      <c r="B17" s="45" t="inlineStr">
        <is>
          <t>Rule ID *</t>
        </is>
      </c>
      <c r="C17" s="45" t="inlineStr">
        <is>
          <t>Rule *</t>
        </is>
      </c>
      <c r="D17" s="45" t="inlineStr">
        <is>
          <t>Status *</t>
        </is>
      </c>
      <c r="E17" s="45" t="inlineStr">
        <is>
          <t>Profile or permission A</t>
        </is>
      </c>
      <c r="F17" s="45" t="inlineStr">
        <is>
          <t>Profile or permission B</t>
        </is>
      </c>
      <c r="G17" s="45" t="inlineStr">
        <is>
          <t>Control *</t>
        </is>
      </c>
      <c r="H17" s="45" t="inlineStr">
        <is>
          <t>Review frequency</t>
        </is>
      </c>
    </row>
    <row r="18" ht="30" customHeight="1">
      <c r="A18" s="46" t="inlineStr">
        <is>
          <t>Example – overwrite or delete</t>
        </is>
      </c>
      <c r="B18" s="47" t="inlineStr">
        <is>
          <t>SOD-01</t>
        </is>
      </c>
      <c r="C18" s="47" t="inlineStr">
        <is>
          <t>The requester never decides his own request</t>
        </is>
      </c>
      <c r="D18" s="47" t="inlineStr">
        <is>
          <t>Enforced</t>
        </is>
      </c>
      <c r="E18" s="47" t="inlineStr">
        <is>
          <t>UAM_REQUESTOR</t>
        </is>
      </c>
      <c r="F18" s="47" t="inlineStr">
        <is>
          <t>UAM_APPROVER</t>
        </is>
      </c>
      <c r="G18" s="47" t="inlineStr">
        <is>
          <t>Prevent</t>
        </is>
      </c>
      <c r="H18" s="47" t="inlineStr">
        <is>
          <t>Quarterly</t>
        </is>
      </c>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row r="518">
      <c r="B518" s="49" t="n"/>
      <c r="C518" s="49" t="n"/>
      <c r="D518" s="49" t="n"/>
      <c r="E518" s="49" t="n"/>
      <c r="F518" s="49" t="n"/>
      <c r="G518" s="49" t="n"/>
      <c r="H518" s="49" t="n"/>
    </row>
  </sheetData>
  <mergeCells count="8">
    <mergeCell ref="B8:H8"/>
    <mergeCell ref="B9:H9"/>
    <mergeCell ref="B11:C11"/>
    <mergeCell ref="B4:H4"/>
    <mergeCell ref="B6:H6"/>
    <mergeCell ref="B7:H7"/>
    <mergeCell ref="B3:H3"/>
    <mergeCell ref="B5:H5"/>
  </mergeCells>
  <conditionalFormatting sqref="E10">
    <cfRule type="cellIs" priority="1" operator="greaterThan" dxfId="5">
      <formula>0</formula>
    </cfRule>
  </conditionalFormatting>
  <conditionalFormatting sqref="B18:B518">
    <cfRule type="expression" priority="2" dxfId="6">
      <formula>AND(LEN($B18&amp;$C18&amp;$D18&amp;$E18&amp;$F18&amp;$G18&amp;$H18)&gt;0,B18="")</formula>
    </cfRule>
  </conditionalFormatting>
  <conditionalFormatting sqref="C18:C518">
    <cfRule type="expression" priority="3" dxfId="6">
      <formula>AND(LEN($B18&amp;$C18&amp;$D18&amp;$E18&amp;$F18&amp;$G18&amp;$H18)&gt;0,C18="")</formula>
    </cfRule>
  </conditionalFormatting>
  <conditionalFormatting sqref="D18:D518">
    <cfRule type="expression" priority="4" dxfId="6">
      <formula>AND(LEN($B18&amp;$C18&amp;$D18&amp;$E18&amp;$F18&amp;$G18&amp;$H18)&gt;0,D18="")</formula>
    </cfRule>
  </conditionalFormatting>
  <conditionalFormatting sqref="G18:G518">
    <cfRule type="expression" priority="5" dxfId="6">
      <formula>AND(LEN($B18&amp;$C18&amp;$D18&amp;$E18&amp;$F18&amp;$G18&amp;$H18)&gt;0,G18="")</formula>
    </cfRule>
  </conditionalFormatting>
  <dataValidations count="8">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8:B518" showDropDown="0" showInputMessage="1" showErrorMessage="0" allowBlank="1" promptTitle="Rule ID" prompt="Yes. Identifier of the rule"/>
    <dataValidation sqref="C18:C518" showDropDown="0" showInputMessage="1" showErrorMessage="0" allowBlank="1" promptTitle="Rule" prompt="Yes. The rule"/>
    <dataValidation sqref="D18:D518" showDropDown="0" showInputMessage="1" showErrorMessage="1" allowBlank="1" errorTitle="Status" error="Choose a value of the list Status (UA-04) (sheet Reference lists)." promptTitle="Status" prompt="Yes. Enforced = a fixed rule of BIBS Allowed: Enforced, To confirm, New (list Status (UA-04))" type="list" errorStyle="stop">
      <formula1>=LIST_UA_04_STATUS</formula1>
    </dataValidation>
    <dataValidation sqref="E18:E518" showDropDown="0" showInputMessage="1" showErrorMessage="0" allowBlank="1" promptTitle="Profile or permission A" prompt="Conditional: combination rule. First profile of the combination Allowed: Codes of UA-02 Role-to-permission matrix, column Group profile code (one or more)"/>
    <dataValidation sqref="F18:F518" showDropDown="0" showInputMessage="1" showErrorMessage="0" allowBlank="1" promptTitle="Profile or permission B" prompt="Conditional: combination rule. Profile that may not be held with A Allowed: Codes of UA-02 Role-to-permission matrix, column Group profile code (one or more)"/>
    <dataValidation sqref="G18:G518" showDropDown="0" showInputMessage="1" showErrorMessage="1" allowBlank="1" errorTitle="Control" error="Choose a value of the list Control (UA-04) (sheet Reference lists)." promptTitle="Control" prompt="Yes. How the rule is controlled Allowed: Prevent, Detect by review, Second approval (list Control (UA-04))" type="list" errorStyle="stop">
      <formula1>=LIST_UA_04_CONTROL</formula1>
    </dataValidation>
    <dataValidation sqref="H18:H518" showDropDown="0" showInputMessage="1" showErrorMessage="1" allowBlank="1" errorTitle="Review frequency" error="Choose a value of the list Review frequency (UA-04) (sheet Reference lists)." promptTitle="Review frequency" prompt="No. How often the reports are reviewed Allowed: Monthly, Quarterly (list Review frequency (UA-04))" type="list" errorStyle="stop">
      <formula1>=LIST_UA_04_REVIEW_FREQUENCY</formula1>
    </dataValidation>
  </dataValidations>
  <hyperlinks>
    <hyperlink ref="A2" location="'Start here'!A1"/>
    <hyperlink ref="H2" location="'Questions and comments'!A1"/>
    <hyperlink ref="B8" location="'UA-02 Role matrix'!A1"/>
    <hyperlink ref="D15" location="'Reference lists'!A299"/>
    <hyperlink ref="E15" location="'UA-02 Role matrix'!B16"/>
    <hyperlink ref="F15" location="'UA-02 Role matrix'!B16"/>
    <hyperlink ref="G15" location="'Reference lists'!A302"/>
    <hyperlink ref="H15" location="'Reference lists'!A305"/>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tabColor rgb="00004EA8"/>
    <outlinePr summaryBelow="0" summaryRight="1"/>
    <pageSetUpPr fitToPage="1"/>
  </sheetPr>
  <dimension ref="A1:W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4" customWidth="1" min="4" max="4"/>
    <col width="15" customWidth="1" min="5" max="5"/>
    <col width="16" customWidth="1" min="6" max="6"/>
    <col width="19" customWidth="1" min="7" max="7"/>
    <col width="15" customWidth="1" min="8" max="8"/>
    <col width="17" customWidth="1" min="9" max="9"/>
    <col width="12" customWidth="1" min="10" max="10"/>
    <col width="14" customWidth="1" min="11" max="11"/>
    <col width="22" customWidth="1" min="12" max="12"/>
    <col width="13" customWidth="1" min="13" max="13"/>
    <col width="14" customWidth="1" min="14" max="14"/>
    <col width="12" customWidth="1" min="15" max="15"/>
    <col width="14" customWidth="1" min="16" max="16"/>
    <col width="16" customWidth="1" min="17" max="17"/>
    <col width="19" customWidth="1" min="18" max="18"/>
    <col width="16" customWidth="1" min="19" max="19"/>
    <col width="13" customWidth="1" min="20" max="20"/>
    <col width="16" customWidth="1" min="21" max="21"/>
    <col width="20" customWidth="1" min="22" max="22"/>
    <col width="16" customWidth="1" min="23" max="23"/>
  </cols>
  <sheetData>
    <row r="1" ht="26" customHeight="1">
      <c r="A1" s="25" t="inlineStr">
        <is>
          <t>UP-01 Clients not held in the legacy systems</t>
        </is>
      </c>
      <c r="W1" s="26" t="inlineStr">
        <is>
          <t>Step 22 of 52</t>
        </is>
      </c>
    </row>
    <row r="2">
      <c r="A2" s="27" t="inlineStr">
        <is>
          <t>← Back to Start here</t>
        </is>
      </c>
      <c r="B2" s="28" t="inlineStr">
        <is>
          <t>Step 22 of 52. Fill in one row per record below the column headers; the guide above each column says what to enter.</t>
        </is>
      </c>
      <c r="W2" s="29" t="inlineStr">
        <is>
          <t>Ask a question →</t>
        </is>
      </c>
    </row>
    <row r="3" outlineLevel="1" ht="15.5" customHeight="1">
      <c r="A3" s="30" t="inlineStr">
        <is>
          <t>Purpose</t>
        </is>
      </c>
      <c r="B3" s="31" t="inlineStr">
        <is>
          <t>One row per individual or corporate client that is not in the legacy client master (for example a bank-referred prospect), with the KYC values BIBS keeps on the client: ID type and number, nationality, source of funds and risk rating. The legacy clients come through the Migration Console (C01 to C03); this upload also updates a client found by code, TIN, ID or name and birth date.</t>
        </is>
      </c>
    </row>
    <row r="4" outlineLevel="1" ht="15.5" customHeight="1">
      <c r="A4" s="30" t="inlineStr">
        <is>
          <t>Provided by</t>
        </is>
      </c>
      <c r="B4" s="31" t="inlineStr">
        <is>
          <t>Heads, Retail and Corporate Marketing; Product Owner, MBS</t>
        </is>
      </c>
    </row>
    <row r="5" outlineLevel="1" ht="15.5" customHeight="1">
      <c r="A5" s="30" t="inlineStr">
        <is>
          <t>Due</t>
        </is>
      </c>
      <c r="B5" s="32" t="inlineStr">
        <is>
          <t>16-Jul-2027 – Values for UAT</t>
        </is>
      </c>
    </row>
    <row r="6" outlineLevel="1" ht="15.5" customHeight="1">
      <c r="A6" s="30" t="inlineStr">
        <is>
          <t>How it is loaded</t>
        </is>
      </c>
      <c r="B6" s="31" t="inlineStr">
        <is>
          <t>Screen upload: Client &amp; Policy › Clients › Clients, button Bulk Upload (upload type Bulk client creation and update); every row is checked and the result is shown per row</t>
        </is>
      </c>
    </row>
    <row r="7" outlineLevel="1" ht="15.5" customHeight="1">
      <c r="A7" s="30" t="inlineStr">
        <is>
          <t>Source</t>
        </is>
      </c>
      <c r="B7" s="31" t="inlineStr">
        <is>
          <t>Platform upload definition (column layout as the screen loads it)</t>
        </is>
      </c>
    </row>
    <row r="8" outlineLevel="1" ht="26" customHeight="1">
      <c r="A8" s="30" t="inlineStr">
        <is>
          <t>Depends on</t>
        </is>
      </c>
      <c r="B8" s="53" t="inlineStr">
        <is>
          <t>R01 Lists of values and MIS values →</t>
        </is>
      </c>
    </row>
    <row r="9" ht="26" customHeight="1">
      <c r="A9" s="34" t="inlineStr">
        <is>
          <t>Progress</t>
        </is>
      </c>
      <c r="B9" s="35" t="inlineStr">
        <is>
          <t>Rows entered</t>
        </is>
      </c>
      <c r="C9" s="36">
        <f>SUMPRODUCT(((ROW($C$17:$C$317)&gt;17)+($C$17&lt;&gt;"INDIVIDUAL")&gt;0)*(LEN($B$17:$B$317&amp;$C$17:$C$317&amp;$D$17:$D$317&amp;$E$17:$E$317&amp;$F$17:$F$317&amp;$G$17:$G$317&amp;$H$17:$H$317&amp;$I$17:$I$317&amp;$J$17:$J$317&amp;$K$17:$K$317&amp;$L$17:$L$317&amp;$M$17:$M$317&amp;$N$17:$N$317&amp;$O$17:$O$317&amp;$P$17:$P$317&amp;$Q$17:$Q$317&amp;$R$17:$R$317&amp;$S$17:$S$317&amp;$T$17:$T$317&amp;$U$17:$U$317&amp;$V$17:$V$317&amp;$W$17:$W$317)&gt;0))</f>
        <v/>
      </c>
      <c r="D9" s="35" t="inlineStr">
        <is>
          <t>Mandatory cells missing</t>
        </is>
      </c>
      <c r="E9" s="36">
        <f>SUMPRODUCT(((ROW($C$17:$C$317)&gt;17)+($C$17&lt;&gt;"INDIVIDUAL")&gt;0)*(LEN($B$17:$B$317&amp;$C$17:$C$317&amp;$D$17:$D$317&amp;$E$17:$E$317&amp;$F$17:$F$317&amp;$G$17:$G$317&amp;$H$17:$H$317&amp;$I$17:$I$317&amp;$J$17:$J$317&amp;$K$17:$K$317&amp;$L$17:$L$317&amp;$M$17:$M$317&amp;$N$17:$N$317&amp;$O$17:$O$317&amp;$P$17:$P$317&amp;$Q$17:$Q$317&amp;$R$17:$R$317&amp;$S$17:$S$317&amp;$T$17:$T$317&amp;$U$17:$U$317&amp;$V$17:$V$317&amp;$W$17:$W$317)&gt;0)*(($C$17:$C$317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row>
    <row r="12" ht="43" customHeight="1">
      <c r="A12" s="41" t="inlineStr">
        <is>
          <t>Mandatory</t>
        </is>
      </c>
      <c r="B12" s="43" t="inlineStr">
        <is>
          <t>No</t>
        </is>
      </c>
      <c r="C12" s="42" t="inlineStr">
        <is>
          <t>Yes</t>
        </is>
      </c>
      <c r="D12" s="43" t="inlineStr">
        <is>
          <t>Conditional: Client Type is INDIVIDUAL</t>
        </is>
      </c>
      <c r="E12" s="43" t="inlineStr">
        <is>
          <t>Conditional: Client Type is INDIVIDUAL</t>
        </is>
      </c>
      <c r="F12" s="43" t="inlineStr">
        <is>
          <t>No</t>
        </is>
      </c>
      <c r="G12" s="43" t="inlineStr">
        <is>
          <t>Conditional: Client Type is CORPORATE</t>
        </is>
      </c>
      <c r="H12" s="43" t="inlineStr">
        <is>
          <t>No</t>
        </is>
      </c>
      <c r="I12" s="43" t="inlineStr">
        <is>
          <t>No</t>
        </is>
      </c>
      <c r="J12" s="43" t="inlineStr">
        <is>
          <t>No</t>
        </is>
      </c>
      <c r="K12" s="43" t="inlineStr">
        <is>
          <t>Conditional: ID Type is given</t>
        </is>
      </c>
      <c r="L12" s="43" t="inlineStr">
        <is>
          <t>No</t>
        </is>
      </c>
      <c r="M12" s="43" t="inlineStr">
        <is>
          <t>No</t>
        </is>
      </c>
      <c r="N12" s="43" t="inlineStr">
        <is>
          <t>No</t>
        </is>
      </c>
      <c r="O12" s="43" t="inlineStr">
        <is>
          <t>No</t>
        </is>
      </c>
      <c r="P12" s="43" t="inlineStr">
        <is>
          <t>No</t>
        </is>
      </c>
      <c r="Q12" s="43" t="inlineStr">
        <is>
          <t>No</t>
        </is>
      </c>
      <c r="R12" s="43" t="inlineStr">
        <is>
          <t>No</t>
        </is>
      </c>
      <c r="S12" s="43" t="inlineStr">
        <is>
          <t>No</t>
        </is>
      </c>
      <c r="T12" s="43" t="inlineStr">
        <is>
          <t>Conditional: Bank Client is Y</t>
        </is>
      </c>
      <c r="U12" s="43" t="inlineStr">
        <is>
          <t>No</t>
        </is>
      </c>
      <c r="V12" s="43" t="inlineStr">
        <is>
          <t>No</t>
        </is>
      </c>
      <c r="W12" s="43" t="inlineStr">
        <is>
          <t>No</t>
        </is>
      </c>
    </row>
    <row r="13" ht="30" customHeight="1">
      <c r="A13" s="41" t="inlineStr">
        <is>
          <t>Format</t>
        </is>
      </c>
      <c r="B13" s="43" t="inlineStr">
        <is>
          <t>Text</t>
        </is>
      </c>
      <c r="C13" s="43" t="inlineStr">
        <is>
          <t>Text</t>
        </is>
      </c>
      <c r="D13" s="43" t="inlineStr">
        <is>
          <t>Text</t>
        </is>
      </c>
      <c r="E13" s="43" t="inlineStr">
        <is>
          <t>Text</t>
        </is>
      </c>
      <c r="F13" s="43" t="inlineStr">
        <is>
          <t>Text</t>
        </is>
      </c>
      <c r="G13" s="43" t="inlineStr">
        <is>
          <t>Text</t>
        </is>
      </c>
      <c r="H13" s="43" t="inlineStr">
        <is>
          <t>Date (dd-mmm-yyyy or yyyy-mm-dd)</t>
        </is>
      </c>
      <c r="I13" s="43" t="inlineStr">
        <is>
          <t>000-000-000-000</t>
        </is>
      </c>
      <c r="J13" s="43" t="inlineStr">
        <is>
          <t>Text</t>
        </is>
      </c>
      <c r="K13" s="43" t="inlineStr">
        <is>
          <t>Text</t>
        </is>
      </c>
      <c r="L13" s="43" t="inlineStr">
        <is>
          <t>Text</t>
        </is>
      </c>
      <c r="M13" s="43" t="inlineStr">
        <is>
          <t>09xxxxxxxxx or +639xxxxxxxxx</t>
        </is>
      </c>
      <c r="N13" s="43" t="inlineStr">
        <is>
          <t>Text</t>
        </is>
      </c>
      <c r="O13" s="43" t="inlineStr">
        <is>
          <t>Text</t>
        </is>
      </c>
      <c r="P13" s="43" t="inlineStr">
        <is>
          <t>Text</t>
        </is>
      </c>
      <c r="Q13" s="43" t="inlineStr">
        <is>
          <t>Text</t>
        </is>
      </c>
      <c r="R13" s="43" t="inlineStr">
        <is>
          <t>Text</t>
        </is>
      </c>
      <c r="S13" s="43" t="inlineStr">
        <is>
          <t>Y or N</t>
        </is>
      </c>
      <c r="T13" s="43" t="inlineStr">
        <is>
          <t>Text</t>
        </is>
      </c>
      <c r="U13" s="43" t="inlineStr">
        <is>
          <t>Text</t>
        </is>
      </c>
      <c r="V13" s="43" t="inlineStr">
        <is>
          <t>Text</t>
        </is>
      </c>
      <c r="W13" s="43" t="inlineStr">
        <is>
          <t>Text</t>
        </is>
      </c>
    </row>
    <row r="14" ht="69" customHeight="1">
      <c r="A14" s="41" t="inlineStr">
        <is>
          <t>Allowed values</t>
        </is>
      </c>
      <c r="B14" s="43" t="inlineStr">
        <is>
          <t>Free entry</t>
        </is>
      </c>
      <c r="C14" s="51" t="inlineStr">
        <is>
          <t>INDIVIDUAL, CORPORATE (list Client Type (UP-01))</t>
        </is>
      </c>
      <c r="D14" s="43" t="inlineStr">
        <is>
          <t>Free entry</t>
        </is>
      </c>
      <c r="E14" s="43" t="inlineStr">
        <is>
          <t>Free entry</t>
        </is>
      </c>
      <c r="F14" s="43" t="inlineStr">
        <is>
          <t>Free entry</t>
        </is>
      </c>
      <c r="G14" s="43" t="inlineStr">
        <is>
          <t>Free entry</t>
        </is>
      </c>
      <c r="H14" s="43" t="inlineStr">
        <is>
          <t>A date, for example 15-Jan-2028</t>
        </is>
      </c>
      <c r="I14" s="43" t="inlineStr">
        <is>
          <t>Free entry</t>
        </is>
      </c>
      <c r="J14" s="51" t="inlineStr">
        <is>
          <t>List Identification document: 10 values, see Reference lists</t>
        </is>
      </c>
      <c r="K14" s="43" t="inlineStr">
        <is>
          <t>Free entry</t>
        </is>
      </c>
      <c r="L14" s="43" t="inlineStr">
        <is>
          <t>Free entry</t>
        </is>
      </c>
      <c r="M14" s="43" t="inlineStr">
        <is>
          <t>Free entry</t>
        </is>
      </c>
      <c r="N14" s="43" t="inlineStr">
        <is>
          <t>Free entry</t>
        </is>
      </c>
      <c r="O14" s="43" t="inlineStr">
        <is>
          <t>Free entry</t>
        </is>
      </c>
      <c r="P14" s="43" t="inlineStr">
        <is>
          <t>Free entry</t>
        </is>
      </c>
      <c r="Q14" s="43" t="inlineStr">
        <is>
          <t>Free entry</t>
        </is>
      </c>
      <c r="R14" s="51" t="inlineStr">
        <is>
          <t>CBG, COMBANK, CORBANK, RETAIL, INSTITUTIONAL (list Market segment)</t>
        </is>
      </c>
      <c r="S14" s="43" t="inlineStr">
        <is>
          <t>Y or N</t>
        </is>
      </c>
      <c r="T14" s="43" t="inlineStr">
        <is>
          <t>Free entry</t>
        </is>
      </c>
      <c r="U14" s="51" t="inlineStr">
        <is>
          <t>FILIPINO, AMERICAN, CHINESE, JAPANESE, KOREAN, OTHERS (list Nationality)</t>
        </is>
      </c>
      <c r="V14" s="51" t="inlineStr">
        <is>
          <t>SALARY, BUSINESS, REMITTANCE, INVESTMENT, PENSION, OTHERS (list Source of funds)</t>
        </is>
      </c>
      <c r="W14" s="51" t="inlineStr">
        <is>
          <t>LOW, STANDARD, HIGH (list KYC risk rating)</t>
        </is>
      </c>
    </row>
    <row r="15" ht="82" customHeight="1">
      <c r="A15" s="41" t="inlineStr">
        <is>
          <t>What to enter</t>
        </is>
      </c>
      <c r="B15" s="43" t="inlineStr">
        <is>
          <t>Prospect or client code to update; blank to create or match (a client or prospect known to BIBS)</t>
        </is>
      </c>
      <c r="C15" s="43" t="inlineStr">
        <is>
          <t>Individual or corporate client</t>
        </is>
      </c>
      <c r="D15" s="43" t="inlineStr">
        <is>
          <t>Last name of an individual</t>
        </is>
      </c>
      <c r="E15" s="43" t="inlineStr">
        <is>
          <t>First name of an individual</t>
        </is>
      </c>
      <c r="F15" s="43" t="inlineStr">
        <is>
          <t>Middle name</t>
        </is>
      </c>
      <c r="G15" s="43" t="inlineStr">
        <is>
          <t>Registered name of a corporate client</t>
        </is>
      </c>
      <c r="H15" s="43" t="inlineStr">
        <is>
          <t>Birth date of an individual</t>
        </is>
      </c>
      <c r="I15" s="43" t="inlineStr">
        <is>
          <t>Tax identification number</t>
        </is>
      </c>
      <c r="J15" s="43" t="inlineStr">
        <is>
          <t>Type of the identity document</t>
        </is>
      </c>
      <c r="K15" s="43" t="inlineStr">
        <is>
          <t>Number of the identity document</t>
        </is>
      </c>
      <c r="L15" s="43" t="inlineStr">
        <is>
          <t>E-mail address</t>
        </is>
      </c>
      <c r="M15" s="43" t="inlineStr">
        <is>
          <t>Mobile number</t>
        </is>
      </c>
      <c r="N15" s="43" t="inlineStr">
        <is>
          <t>Street address</t>
        </is>
      </c>
      <c r="O15" s="43" t="inlineStr">
        <is>
          <t>City / municipality</t>
        </is>
      </c>
      <c r="P15" s="43" t="inlineStr">
        <is>
          <t>Province</t>
        </is>
      </c>
      <c r="Q15" s="43" t="inlineStr">
        <is>
          <t>Postal code</t>
        </is>
      </c>
      <c r="R15" s="43" t="inlineStr">
        <is>
          <t>Market segment</t>
        </is>
      </c>
      <c r="S15" s="43" t="inlineStr">
        <is>
          <t>Client of the group's bank</t>
        </is>
      </c>
      <c r="T15" s="43" t="inlineStr">
        <is>
          <t>Customer information file number at the group's bank</t>
        </is>
      </c>
      <c r="U15" s="43" t="inlineStr">
        <is>
          <t>Nationality</t>
        </is>
      </c>
      <c r="V15" s="43" t="inlineStr">
        <is>
          <t>Source of funds</t>
        </is>
      </c>
      <c r="W15" s="43" t="inlineStr">
        <is>
          <t>Know-your-client risk rating</t>
        </is>
      </c>
    </row>
    <row r="16" ht="30" customHeight="1">
      <c r="A16" s="44" t="inlineStr">
        <is>
          <t>Row</t>
        </is>
      </c>
      <c r="B16" s="45" t="inlineStr">
        <is>
          <t>Client Code</t>
        </is>
      </c>
      <c r="C16" s="45" t="inlineStr">
        <is>
          <t>Client Type *</t>
        </is>
      </c>
      <c r="D16" s="45" t="inlineStr">
        <is>
          <t>Last Name</t>
        </is>
      </c>
      <c r="E16" s="45" t="inlineStr">
        <is>
          <t>First Name</t>
        </is>
      </c>
      <c r="F16" s="45" t="inlineStr">
        <is>
          <t>Middle Name</t>
        </is>
      </c>
      <c r="G16" s="45" t="inlineStr">
        <is>
          <t>Corporate Name</t>
        </is>
      </c>
      <c r="H16" s="45" t="inlineStr">
        <is>
          <t>Birth Date</t>
        </is>
      </c>
      <c r="I16" s="45" t="inlineStr">
        <is>
          <t>TIN</t>
        </is>
      </c>
      <c r="J16" s="45" t="inlineStr">
        <is>
          <t>ID Type</t>
        </is>
      </c>
      <c r="K16" s="45" t="inlineStr">
        <is>
          <t>ID Number</t>
        </is>
      </c>
      <c r="L16" s="45" t="inlineStr">
        <is>
          <t>E-mail</t>
        </is>
      </c>
      <c r="M16" s="45" t="inlineStr">
        <is>
          <t>Mobile</t>
        </is>
      </c>
      <c r="N16" s="45" t="inlineStr">
        <is>
          <t>Address</t>
        </is>
      </c>
      <c r="O16" s="45" t="inlineStr">
        <is>
          <t>City</t>
        </is>
      </c>
      <c r="P16" s="45" t="inlineStr">
        <is>
          <t>Province</t>
        </is>
      </c>
      <c r="Q16" s="45" t="inlineStr">
        <is>
          <t>Postal Code</t>
        </is>
      </c>
      <c r="R16" s="45" t="inlineStr">
        <is>
          <t>Market Segment</t>
        </is>
      </c>
      <c r="S16" s="45" t="inlineStr">
        <is>
          <t>Bank Client</t>
        </is>
      </c>
      <c r="T16" s="45" t="inlineStr">
        <is>
          <t>Bank CIF</t>
        </is>
      </c>
      <c r="U16" s="45" t="inlineStr">
        <is>
          <t>Nationality</t>
        </is>
      </c>
      <c r="V16" s="45" t="inlineStr">
        <is>
          <t>Source of Funds</t>
        </is>
      </c>
      <c r="W16" s="45" t="inlineStr">
        <is>
          <t>Risk Rating</t>
        </is>
      </c>
    </row>
    <row r="17" ht="18" customHeight="1">
      <c r="A17" s="46" t="inlineStr">
        <is>
          <t>Example – overwrite or delete</t>
        </is>
      </c>
      <c r="B17" s="47" t="n"/>
      <c r="C17" s="47" t="inlineStr">
        <is>
          <t>INDIVIDUAL</t>
        </is>
      </c>
      <c r="D17" s="47" t="inlineStr">
        <is>
          <t>Reyes</t>
        </is>
      </c>
      <c r="E17" s="47" t="inlineStr">
        <is>
          <t>Ana</t>
        </is>
      </c>
      <c r="F17" s="47" t="inlineStr">
        <is>
          <t>Cruz</t>
        </is>
      </c>
      <c r="G17" s="47" t="n"/>
      <c r="H17" s="48" t="n">
        <v>32978</v>
      </c>
      <c r="I17" s="47" t="inlineStr">
        <is>
          <t>123-456-789-000</t>
        </is>
      </c>
      <c r="J17" s="47" t="inlineStr">
        <is>
          <t>PASSPORT</t>
        </is>
      </c>
      <c r="K17" s="47" t="inlineStr">
        <is>
          <t>P1234567A</t>
        </is>
      </c>
      <c r="L17" s="47" t="inlineStr">
        <is>
          <t>ana.reyes@example.ph</t>
        </is>
      </c>
      <c r="M17" s="47" t="inlineStr">
        <is>
          <t>09171234567</t>
        </is>
      </c>
      <c r="N17" s="47" t="inlineStr">
        <is>
          <t>12 Rizal St.</t>
        </is>
      </c>
      <c r="O17" s="47" t="inlineStr">
        <is>
          <t>Pasig</t>
        </is>
      </c>
      <c r="P17" s="47" t="inlineStr">
        <is>
          <t>Metro Manila</t>
        </is>
      </c>
      <c r="Q17" s="47" t="inlineStr">
        <is>
          <t>1600</t>
        </is>
      </c>
      <c r="R17" s="47" t="inlineStr">
        <is>
          <t>CBG</t>
        </is>
      </c>
      <c r="S17" s="47" t="inlineStr">
        <is>
          <t>Y</t>
        </is>
      </c>
      <c r="T17" s="47" t="n"/>
      <c r="U17" s="47" t="inlineStr">
        <is>
          <t>FILIPINO</t>
        </is>
      </c>
      <c r="V17" s="47" t="inlineStr">
        <is>
          <t>SALARY</t>
        </is>
      </c>
      <c r="W17" s="47" t="inlineStr">
        <is>
          <t>STANDARD</t>
        </is>
      </c>
    </row>
    <row r="18">
      <c r="B18" s="49" t="n"/>
      <c r="C18" s="49" t="n"/>
      <c r="D18" s="49" t="n"/>
      <c r="E18" s="49" t="n"/>
      <c r="F18" s="49" t="n"/>
      <c r="G18" s="49" t="n"/>
      <c r="H18" s="50" t="n"/>
      <c r="I18" s="49" t="n"/>
      <c r="J18" s="49" t="n"/>
      <c r="K18" s="49" t="n"/>
      <c r="L18" s="49" t="n"/>
      <c r="M18" s="49" t="n"/>
      <c r="N18" s="49" t="n"/>
      <c r="O18" s="49" t="n"/>
      <c r="P18" s="49" t="n"/>
      <c r="Q18" s="49" t="n"/>
      <c r="R18" s="49" t="n"/>
      <c r="S18" s="49" t="n"/>
      <c r="T18" s="49" t="n"/>
      <c r="U18" s="49" t="n"/>
      <c r="V18" s="49" t="n"/>
      <c r="W18" s="49" t="n"/>
    </row>
    <row r="19">
      <c r="B19" s="49" t="n"/>
      <c r="C19" s="49" t="n"/>
      <c r="D19" s="49" t="n"/>
      <c r="E19" s="49" t="n"/>
      <c r="F19" s="49" t="n"/>
      <c r="G19" s="49" t="n"/>
      <c r="H19" s="50" t="n"/>
      <c r="I19" s="49" t="n"/>
      <c r="J19" s="49" t="n"/>
      <c r="K19" s="49" t="n"/>
      <c r="L19" s="49" t="n"/>
      <c r="M19" s="49" t="n"/>
      <c r="N19" s="49" t="n"/>
      <c r="O19" s="49" t="n"/>
      <c r="P19" s="49" t="n"/>
      <c r="Q19" s="49" t="n"/>
      <c r="R19" s="49" t="n"/>
      <c r="S19" s="49" t="n"/>
      <c r="T19" s="49" t="n"/>
      <c r="U19" s="49" t="n"/>
      <c r="V19" s="49" t="n"/>
      <c r="W19" s="49" t="n"/>
    </row>
    <row r="20">
      <c r="B20" s="49" t="n"/>
      <c r="C20" s="49" t="n"/>
      <c r="D20" s="49" t="n"/>
      <c r="E20" s="49" t="n"/>
      <c r="F20" s="49" t="n"/>
      <c r="G20" s="49" t="n"/>
      <c r="H20" s="50" t="n"/>
      <c r="I20" s="49" t="n"/>
      <c r="J20" s="49" t="n"/>
      <c r="K20" s="49" t="n"/>
      <c r="L20" s="49" t="n"/>
      <c r="M20" s="49" t="n"/>
      <c r="N20" s="49" t="n"/>
      <c r="O20" s="49" t="n"/>
      <c r="P20" s="49" t="n"/>
      <c r="Q20" s="49" t="n"/>
      <c r="R20" s="49" t="n"/>
      <c r="S20" s="49" t="n"/>
      <c r="T20" s="49" t="n"/>
      <c r="U20" s="49" t="n"/>
      <c r="V20" s="49" t="n"/>
      <c r="W20" s="49" t="n"/>
    </row>
    <row r="21">
      <c r="B21" s="49" t="n"/>
      <c r="C21" s="49" t="n"/>
      <c r="D21" s="49" t="n"/>
      <c r="E21" s="49" t="n"/>
      <c r="F21" s="49" t="n"/>
      <c r="G21" s="49" t="n"/>
      <c r="H21" s="50" t="n"/>
      <c r="I21" s="49" t="n"/>
      <c r="J21" s="49" t="n"/>
      <c r="K21" s="49" t="n"/>
      <c r="L21" s="49" t="n"/>
      <c r="M21" s="49" t="n"/>
      <c r="N21" s="49" t="n"/>
      <c r="O21" s="49" t="n"/>
      <c r="P21" s="49" t="n"/>
      <c r="Q21" s="49" t="n"/>
      <c r="R21" s="49" t="n"/>
      <c r="S21" s="49" t="n"/>
      <c r="T21" s="49" t="n"/>
      <c r="U21" s="49" t="n"/>
      <c r="V21" s="49" t="n"/>
      <c r="W21" s="49" t="n"/>
    </row>
    <row r="22">
      <c r="B22" s="49" t="n"/>
      <c r="C22" s="49" t="n"/>
      <c r="D22" s="49" t="n"/>
      <c r="E22" s="49" t="n"/>
      <c r="F22" s="49" t="n"/>
      <c r="G22" s="49" t="n"/>
      <c r="H22" s="50" t="n"/>
      <c r="I22" s="49" t="n"/>
      <c r="J22" s="49" t="n"/>
      <c r="K22" s="49" t="n"/>
      <c r="L22" s="49" t="n"/>
      <c r="M22" s="49" t="n"/>
      <c r="N22" s="49" t="n"/>
      <c r="O22" s="49" t="n"/>
      <c r="P22" s="49" t="n"/>
      <c r="Q22" s="49" t="n"/>
      <c r="R22" s="49" t="n"/>
      <c r="S22" s="49" t="n"/>
      <c r="T22" s="49" t="n"/>
      <c r="U22" s="49" t="n"/>
      <c r="V22" s="49" t="n"/>
      <c r="W22" s="49" t="n"/>
    </row>
    <row r="23">
      <c r="B23" s="49" t="n"/>
      <c r="C23" s="49" t="n"/>
      <c r="D23" s="49" t="n"/>
      <c r="E23" s="49" t="n"/>
      <c r="F23" s="49" t="n"/>
      <c r="G23" s="49" t="n"/>
      <c r="H23" s="50" t="n"/>
      <c r="I23" s="49" t="n"/>
      <c r="J23" s="49" t="n"/>
      <c r="K23" s="49" t="n"/>
      <c r="L23" s="49" t="n"/>
      <c r="M23" s="49" t="n"/>
      <c r="N23" s="49" t="n"/>
      <c r="O23" s="49" t="n"/>
      <c r="P23" s="49" t="n"/>
      <c r="Q23" s="49" t="n"/>
      <c r="R23" s="49" t="n"/>
      <c r="S23" s="49" t="n"/>
      <c r="T23" s="49" t="n"/>
      <c r="U23" s="49" t="n"/>
      <c r="V23" s="49" t="n"/>
      <c r="W23" s="49" t="n"/>
    </row>
    <row r="24">
      <c r="B24" s="49" t="n"/>
      <c r="C24" s="49" t="n"/>
      <c r="D24" s="49" t="n"/>
      <c r="E24" s="49" t="n"/>
      <c r="F24" s="49" t="n"/>
      <c r="G24" s="49" t="n"/>
      <c r="H24" s="50" t="n"/>
      <c r="I24" s="49" t="n"/>
      <c r="J24" s="49" t="n"/>
      <c r="K24" s="49" t="n"/>
      <c r="L24" s="49" t="n"/>
      <c r="M24" s="49" t="n"/>
      <c r="N24" s="49" t="n"/>
      <c r="O24" s="49" t="n"/>
      <c r="P24" s="49" t="n"/>
      <c r="Q24" s="49" t="n"/>
      <c r="R24" s="49" t="n"/>
      <c r="S24" s="49" t="n"/>
      <c r="T24" s="49" t="n"/>
      <c r="U24" s="49" t="n"/>
      <c r="V24" s="49" t="n"/>
      <c r="W24" s="49" t="n"/>
    </row>
    <row r="25">
      <c r="B25" s="49" t="n"/>
      <c r="C25" s="49" t="n"/>
      <c r="D25" s="49" t="n"/>
      <c r="E25" s="49" t="n"/>
      <c r="F25" s="49" t="n"/>
      <c r="G25" s="49" t="n"/>
      <c r="H25" s="50" t="n"/>
      <c r="I25" s="49" t="n"/>
      <c r="J25" s="49" t="n"/>
      <c r="K25" s="49" t="n"/>
      <c r="L25" s="49" t="n"/>
      <c r="M25" s="49" t="n"/>
      <c r="N25" s="49" t="n"/>
      <c r="O25" s="49" t="n"/>
      <c r="P25" s="49" t="n"/>
      <c r="Q25" s="49" t="n"/>
      <c r="R25" s="49" t="n"/>
      <c r="S25" s="49" t="n"/>
      <c r="T25" s="49" t="n"/>
      <c r="U25" s="49" t="n"/>
      <c r="V25" s="49" t="n"/>
      <c r="W25" s="49" t="n"/>
    </row>
    <row r="26">
      <c r="B26" s="49" t="n"/>
      <c r="C26" s="49" t="n"/>
      <c r="D26" s="49" t="n"/>
      <c r="E26" s="49" t="n"/>
      <c r="F26" s="49" t="n"/>
      <c r="G26" s="49" t="n"/>
      <c r="H26" s="50" t="n"/>
      <c r="I26" s="49" t="n"/>
      <c r="J26" s="49" t="n"/>
      <c r="K26" s="49" t="n"/>
      <c r="L26" s="49" t="n"/>
      <c r="M26" s="49" t="n"/>
      <c r="N26" s="49" t="n"/>
      <c r="O26" s="49" t="n"/>
      <c r="P26" s="49" t="n"/>
      <c r="Q26" s="49" t="n"/>
      <c r="R26" s="49" t="n"/>
      <c r="S26" s="49" t="n"/>
      <c r="T26" s="49" t="n"/>
      <c r="U26" s="49" t="n"/>
      <c r="V26" s="49" t="n"/>
      <c r="W26" s="49" t="n"/>
    </row>
    <row r="27">
      <c r="B27" s="49" t="n"/>
      <c r="C27" s="49" t="n"/>
      <c r="D27" s="49" t="n"/>
      <c r="E27" s="49" t="n"/>
      <c r="F27" s="49" t="n"/>
      <c r="G27" s="49" t="n"/>
      <c r="H27" s="50" t="n"/>
      <c r="I27" s="49" t="n"/>
      <c r="J27" s="49" t="n"/>
      <c r="K27" s="49" t="n"/>
      <c r="L27" s="49" t="n"/>
      <c r="M27" s="49" t="n"/>
      <c r="N27" s="49" t="n"/>
      <c r="O27" s="49" t="n"/>
      <c r="P27" s="49" t="n"/>
      <c r="Q27" s="49" t="n"/>
      <c r="R27" s="49" t="n"/>
      <c r="S27" s="49" t="n"/>
      <c r="T27" s="49" t="n"/>
      <c r="U27" s="49" t="n"/>
      <c r="V27" s="49" t="n"/>
      <c r="W27" s="49" t="n"/>
    </row>
    <row r="28">
      <c r="B28" s="49" t="n"/>
      <c r="C28" s="49" t="n"/>
      <c r="D28" s="49" t="n"/>
      <c r="E28" s="49" t="n"/>
      <c r="F28" s="49" t="n"/>
      <c r="G28" s="49" t="n"/>
      <c r="H28" s="50" t="n"/>
      <c r="I28" s="49" t="n"/>
      <c r="J28" s="49" t="n"/>
      <c r="K28" s="49" t="n"/>
      <c r="L28" s="49" t="n"/>
      <c r="M28" s="49" t="n"/>
      <c r="N28" s="49" t="n"/>
      <c r="O28" s="49" t="n"/>
      <c r="P28" s="49" t="n"/>
      <c r="Q28" s="49" t="n"/>
      <c r="R28" s="49" t="n"/>
      <c r="S28" s="49" t="n"/>
      <c r="T28" s="49" t="n"/>
      <c r="U28" s="49" t="n"/>
      <c r="V28" s="49" t="n"/>
      <c r="W28" s="49" t="n"/>
    </row>
    <row r="29">
      <c r="B29" s="49" t="n"/>
      <c r="C29" s="49" t="n"/>
      <c r="D29" s="49" t="n"/>
      <c r="E29" s="49" t="n"/>
      <c r="F29" s="49" t="n"/>
      <c r="G29" s="49" t="n"/>
      <c r="H29" s="50" t="n"/>
      <c r="I29" s="49" t="n"/>
      <c r="J29" s="49" t="n"/>
      <c r="K29" s="49" t="n"/>
      <c r="L29" s="49" t="n"/>
      <c r="M29" s="49" t="n"/>
      <c r="N29" s="49" t="n"/>
      <c r="O29" s="49" t="n"/>
      <c r="P29" s="49" t="n"/>
      <c r="Q29" s="49" t="n"/>
      <c r="R29" s="49" t="n"/>
      <c r="S29" s="49" t="n"/>
      <c r="T29" s="49" t="n"/>
      <c r="U29" s="49" t="n"/>
      <c r="V29" s="49" t="n"/>
      <c r="W29" s="49" t="n"/>
    </row>
    <row r="30">
      <c r="B30" s="49" t="n"/>
      <c r="C30" s="49" t="n"/>
      <c r="D30" s="49" t="n"/>
      <c r="E30" s="49" t="n"/>
      <c r="F30" s="49" t="n"/>
      <c r="G30" s="49" t="n"/>
      <c r="H30" s="50" t="n"/>
      <c r="I30" s="49" t="n"/>
      <c r="J30" s="49" t="n"/>
      <c r="K30" s="49" t="n"/>
      <c r="L30" s="49" t="n"/>
      <c r="M30" s="49" t="n"/>
      <c r="N30" s="49" t="n"/>
      <c r="O30" s="49" t="n"/>
      <c r="P30" s="49" t="n"/>
      <c r="Q30" s="49" t="n"/>
      <c r="R30" s="49" t="n"/>
      <c r="S30" s="49" t="n"/>
      <c r="T30" s="49" t="n"/>
      <c r="U30" s="49" t="n"/>
      <c r="V30" s="49" t="n"/>
      <c r="W30" s="49" t="n"/>
    </row>
    <row r="31">
      <c r="B31" s="49" t="n"/>
      <c r="C31" s="49" t="n"/>
      <c r="D31" s="49" t="n"/>
      <c r="E31" s="49" t="n"/>
      <c r="F31" s="49" t="n"/>
      <c r="G31" s="49" t="n"/>
      <c r="H31" s="50" t="n"/>
      <c r="I31" s="49" t="n"/>
      <c r="J31" s="49" t="n"/>
      <c r="K31" s="49" t="n"/>
      <c r="L31" s="49" t="n"/>
      <c r="M31" s="49" t="n"/>
      <c r="N31" s="49" t="n"/>
      <c r="O31" s="49" t="n"/>
      <c r="P31" s="49" t="n"/>
      <c r="Q31" s="49" t="n"/>
      <c r="R31" s="49" t="n"/>
      <c r="S31" s="49" t="n"/>
      <c r="T31" s="49" t="n"/>
      <c r="U31" s="49" t="n"/>
      <c r="V31" s="49" t="n"/>
      <c r="W31" s="49" t="n"/>
    </row>
    <row r="32">
      <c r="B32" s="49" t="n"/>
      <c r="C32" s="49" t="n"/>
      <c r="D32" s="49" t="n"/>
      <c r="E32" s="49" t="n"/>
      <c r="F32" s="49" t="n"/>
      <c r="G32" s="49" t="n"/>
      <c r="H32" s="50" t="n"/>
      <c r="I32" s="49" t="n"/>
      <c r="J32" s="49" t="n"/>
      <c r="K32" s="49" t="n"/>
      <c r="L32" s="49" t="n"/>
      <c r="M32" s="49" t="n"/>
      <c r="N32" s="49" t="n"/>
      <c r="O32" s="49" t="n"/>
      <c r="P32" s="49" t="n"/>
      <c r="Q32" s="49" t="n"/>
      <c r="R32" s="49" t="n"/>
      <c r="S32" s="49" t="n"/>
      <c r="T32" s="49" t="n"/>
      <c r="U32" s="49" t="n"/>
      <c r="V32" s="49" t="n"/>
      <c r="W32" s="49" t="n"/>
    </row>
    <row r="33">
      <c r="B33" s="49" t="n"/>
      <c r="C33" s="49" t="n"/>
      <c r="D33" s="49" t="n"/>
      <c r="E33" s="49" t="n"/>
      <c r="F33" s="49" t="n"/>
      <c r="G33" s="49" t="n"/>
      <c r="H33" s="50" t="n"/>
      <c r="I33" s="49" t="n"/>
      <c r="J33" s="49" t="n"/>
      <c r="K33" s="49" t="n"/>
      <c r="L33" s="49" t="n"/>
      <c r="M33" s="49" t="n"/>
      <c r="N33" s="49" t="n"/>
      <c r="O33" s="49" t="n"/>
      <c r="P33" s="49" t="n"/>
      <c r="Q33" s="49" t="n"/>
      <c r="R33" s="49" t="n"/>
      <c r="S33" s="49" t="n"/>
      <c r="T33" s="49" t="n"/>
      <c r="U33" s="49" t="n"/>
      <c r="V33" s="49" t="n"/>
      <c r="W33" s="49" t="n"/>
    </row>
    <row r="34">
      <c r="B34" s="49" t="n"/>
      <c r="C34" s="49" t="n"/>
      <c r="D34" s="49" t="n"/>
      <c r="E34" s="49" t="n"/>
      <c r="F34" s="49" t="n"/>
      <c r="G34" s="49" t="n"/>
      <c r="H34" s="50" t="n"/>
      <c r="I34" s="49" t="n"/>
      <c r="J34" s="49" t="n"/>
      <c r="K34" s="49" t="n"/>
      <c r="L34" s="49" t="n"/>
      <c r="M34" s="49" t="n"/>
      <c r="N34" s="49" t="n"/>
      <c r="O34" s="49" t="n"/>
      <c r="P34" s="49" t="n"/>
      <c r="Q34" s="49" t="n"/>
      <c r="R34" s="49" t="n"/>
      <c r="S34" s="49" t="n"/>
      <c r="T34" s="49" t="n"/>
      <c r="U34" s="49" t="n"/>
      <c r="V34" s="49" t="n"/>
      <c r="W34" s="49" t="n"/>
    </row>
    <row r="35">
      <c r="B35" s="49" t="n"/>
      <c r="C35" s="49" t="n"/>
      <c r="D35" s="49" t="n"/>
      <c r="E35" s="49" t="n"/>
      <c r="F35" s="49" t="n"/>
      <c r="G35" s="49" t="n"/>
      <c r="H35" s="50" t="n"/>
      <c r="I35" s="49" t="n"/>
      <c r="J35" s="49" t="n"/>
      <c r="K35" s="49" t="n"/>
      <c r="L35" s="49" t="n"/>
      <c r="M35" s="49" t="n"/>
      <c r="N35" s="49" t="n"/>
      <c r="O35" s="49" t="n"/>
      <c r="P35" s="49" t="n"/>
      <c r="Q35" s="49" t="n"/>
      <c r="R35" s="49" t="n"/>
      <c r="S35" s="49" t="n"/>
      <c r="T35" s="49" t="n"/>
      <c r="U35" s="49" t="n"/>
      <c r="V35" s="49" t="n"/>
      <c r="W35" s="49" t="n"/>
    </row>
    <row r="36">
      <c r="B36" s="49" t="n"/>
      <c r="C36" s="49" t="n"/>
      <c r="D36" s="49" t="n"/>
      <c r="E36" s="49" t="n"/>
      <c r="F36" s="49" t="n"/>
      <c r="G36" s="49" t="n"/>
      <c r="H36" s="50" t="n"/>
      <c r="I36" s="49" t="n"/>
      <c r="J36" s="49" t="n"/>
      <c r="K36" s="49" t="n"/>
      <c r="L36" s="49" t="n"/>
      <c r="M36" s="49" t="n"/>
      <c r="N36" s="49" t="n"/>
      <c r="O36" s="49" t="n"/>
      <c r="P36" s="49" t="n"/>
      <c r="Q36" s="49" t="n"/>
      <c r="R36" s="49" t="n"/>
      <c r="S36" s="49" t="n"/>
      <c r="T36" s="49" t="n"/>
      <c r="U36" s="49" t="n"/>
      <c r="V36" s="49" t="n"/>
      <c r="W36" s="49" t="n"/>
    </row>
    <row r="37">
      <c r="B37" s="49" t="n"/>
      <c r="C37" s="49" t="n"/>
      <c r="D37" s="49" t="n"/>
      <c r="E37" s="49" t="n"/>
      <c r="F37" s="49" t="n"/>
      <c r="G37" s="49" t="n"/>
      <c r="H37" s="50" t="n"/>
      <c r="I37" s="49" t="n"/>
      <c r="J37" s="49" t="n"/>
      <c r="K37" s="49" t="n"/>
      <c r="L37" s="49" t="n"/>
      <c r="M37" s="49" t="n"/>
      <c r="N37" s="49" t="n"/>
      <c r="O37" s="49" t="n"/>
      <c r="P37" s="49" t="n"/>
      <c r="Q37" s="49" t="n"/>
      <c r="R37" s="49" t="n"/>
      <c r="S37" s="49" t="n"/>
      <c r="T37" s="49" t="n"/>
      <c r="U37" s="49" t="n"/>
      <c r="V37" s="49" t="n"/>
      <c r="W37" s="49" t="n"/>
    </row>
    <row r="38">
      <c r="B38" s="49" t="n"/>
      <c r="C38" s="49" t="n"/>
      <c r="D38" s="49" t="n"/>
      <c r="E38" s="49" t="n"/>
      <c r="F38" s="49" t="n"/>
      <c r="G38" s="49" t="n"/>
      <c r="H38" s="50" t="n"/>
      <c r="I38" s="49" t="n"/>
      <c r="J38" s="49" t="n"/>
      <c r="K38" s="49" t="n"/>
      <c r="L38" s="49" t="n"/>
      <c r="M38" s="49" t="n"/>
      <c r="N38" s="49" t="n"/>
      <c r="O38" s="49" t="n"/>
      <c r="P38" s="49" t="n"/>
      <c r="Q38" s="49" t="n"/>
      <c r="R38" s="49" t="n"/>
      <c r="S38" s="49" t="n"/>
      <c r="T38" s="49" t="n"/>
      <c r="U38" s="49" t="n"/>
      <c r="V38" s="49" t="n"/>
      <c r="W38" s="49" t="n"/>
    </row>
    <row r="39">
      <c r="B39" s="49" t="n"/>
      <c r="C39" s="49" t="n"/>
      <c r="D39" s="49" t="n"/>
      <c r="E39" s="49" t="n"/>
      <c r="F39" s="49" t="n"/>
      <c r="G39" s="49" t="n"/>
      <c r="H39" s="50" t="n"/>
      <c r="I39" s="49" t="n"/>
      <c r="J39" s="49" t="n"/>
      <c r="K39" s="49" t="n"/>
      <c r="L39" s="49" t="n"/>
      <c r="M39" s="49" t="n"/>
      <c r="N39" s="49" t="n"/>
      <c r="O39" s="49" t="n"/>
      <c r="P39" s="49" t="n"/>
      <c r="Q39" s="49" t="n"/>
      <c r="R39" s="49" t="n"/>
      <c r="S39" s="49" t="n"/>
      <c r="T39" s="49" t="n"/>
      <c r="U39" s="49" t="n"/>
      <c r="V39" s="49" t="n"/>
      <c r="W39" s="49" t="n"/>
    </row>
    <row r="40">
      <c r="B40" s="49" t="n"/>
      <c r="C40" s="49" t="n"/>
      <c r="D40" s="49" t="n"/>
      <c r="E40" s="49" t="n"/>
      <c r="F40" s="49" t="n"/>
      <c r="G40" s="49" t="n"/>
      <c r="H40" s="50" t="n"/>
      <c r="I40" s="49" t="n"/>
      <c r="J40" s="49" t="n"/>
      <c r="K40" s="49" t="n"/>
      <c r="L40" s="49" t="n"/>
      <c r="M40" s="49" t="n"/>
      <c r="N40" s="49" t="n"/>
      <c r="O40" s="49" t="n"/>
      <c r="P40" s="49" t="n"/>
      <c r="Q40" s="49" t="n"/>
      <c r="R40" s="49" t="n"/>
      <c r="S40" s="49" t="n"/>
      <c r="T40" s="49" t="n"/>
      <c r="U40" s="49" t="n"/>
      <c r="V40" s="49" t="n"/>
      <c r="W40" s="49" t="n"/>
    </row>
    <row r="41">
      <c r="B41" s="49" t="n"/>
      <c r="C41" s="49" t="n"/>
      <c r="D41" s="49" t="n"/>
      <c r="E41" s="49" t="n"/>
      <c r="F41" s="49" t="n"/>
      <c r="G41" s="49" t="n"/>
      <c r="H41" s="50" t="n"/>
      <c r="I41" s="49" t="n"/>
      <c r="J41" s="49" t="n"/>
      <c r="K41" s="49" t="n"/>
      <c r="L41" s="49" t="n"/>
      <c r="M41" s="49" t="n"/>
      <c r="N41" s="49" t="n"/>
      <c r="O41" s="49" t="n"/>
      <c r="P41" s="49" t="n"/>
      <c r="Q41" s="49" t="n"/>
      <c r="R41" s="49" t="n"/>
      <c r="S41" s="49" t="n"/>
      <c r="T41" s="49" t="n"/>
      <c r="U41" s="49" t="n"/>
      <c r="V41" s="49" t="n"/>
      <c r="W41" s="49" t="n"/>
    </row>
    <row r="42">
      <c r="B42" s="49" t="n"/>
      <c r="C42" s="49" t="n"/>
      <c r="D42" s="49" t="n"/>
      <c r="E42" s="49" t="n"/>
      <c r="F42" s="49" t="n"/>
      <c r="G42" s="49" t="n"/>
      <c r="H42" s="50" t="n"/>
      <c r="I42" s="49" t="n"/>
      <c r="J42" s="49" t="n"/>
      <c r="K42" s="49" t="n"/>
      <c r="L42" s="49" t="n"/>
      <c r="M42" s="49" t="n"/>
      <c r="N42" s="49" t="n"/>
      <c r="O42" s="49" t="n"/>
      <c r="P42" s="49" t="n"/>
      <c r="Q42" s="49" t="n"/>
      <c r="R42" s="49" t="n"/>
      <c r="S42" s="49" t="n"/>
      <c r="T42" s="49" t="n"/>
      <c r="U42" s="49" t="n"/>
      <c r="V42" s="49" t="n"/>
      <c r="W42" s="49" t="n"/>
    </row>
    <row r="43">
      <c r="B43" s="49" t="n"/>
      <c r="C43" s="49" t="n"/>
      <c r="D43" s="49" t="n"/>
      <c r="E43" s="49" t="n"/>
      <c r="F43" s="49" t="n"/>
      <c r="G43" s="49" t="n"/>
      <c r="H43" s="50" t="n"/>
      <c r="I43" s="49" t="n"/>
      <c r="J43" s="49" t="n"/>
      <c r="K43" s="49" t="n"/>
      <c r="L43" s="49" t="n"/>
      <c r="M43" s="49" t="n"/>
      <c r="N43" s="49" t="n"/>
      <c r="O43" s="49" t="n"/>
      <c r="P43" s="49" t="n"/>
      <c r="Q43" s="49" t="n"/>
      <c r="R43" s="49" t="n"/>
      <c r="S43" s="49" t="n"/>
      <c r="T43" s="49" t="n"/>
      <c r="U43" s="49" t="n"/>
      <c r="V43" s="49" t="n"/>
      <c r="W43" s="49" t="n"/>
    </row>
    <row r="44">
      <c r="B44" s="49" t="n"/>
      <c r="C44" s="49" t="n"/>
      <c r="D44" s="49" t="n"/>
      <c r="E44" s="49" t="n"/>
      <c r="F44" s="49" t="n"/>
      <c r="G44" s="49" t="n"/>
      <c r="H44" s="50" t="n"/>
      <c r="I44" s="49" t="n"/>
      <c r="J44" s="49" t="n"/>
      <c r="K44" s="49" t="n"/>
      <c r="L44" s="49" t="n"/>
      <c r="M44" s="49" t="n"/>
      <c r="N44" s="49" t="n"/>
      <c r="O44" s="49" t="n"/>
      <c r="P44" s="49" t="n"/>
      <c r="Q44" s="49" t="n"/>
      <c r="R44" s="49" t="n"/>
      <c r="S44" s="49" t="n"/>
      <c r="T44" s="49" t="n"/>
      <c r="U44" s="49" t="n"/>
      <c r="V44" s="49" t="n"/>
      <c r="W44" s="49" t="n"/>
    </row>
    <row r="45">
      <c r="B45" s="49" t="n"/>
      <c r="C45" s="49" t="n"/>
      <c r="D45" s="49" t="n"/>
      <c r="E45" s="49" t="n"/>
      <c r="F45" s="49" t="n"/>
      <c r="G45" s="49" t="n"/>
      <c r="H45" s="50" t="n"/>
      <c r="I45" s="49" t="n"/>
      <c r="J45" s="49" t="n"/>
      <c r="K45" s="49" t="n"/>
      <c r="L45" s="49" t="n"/>
      <c r="M45" s="49" t="n"/>
      <c r="N45" s="49" t="n"/>
      <c r="O45" s="49" t="n"/>
      <c r="P45" s="49" t="n"/>
      <c r="Q45" s="49" t="n"/>
      <c r="R45" s="49" t="n"/>
      <c r="S45" s="49" t="n"/>
      <c r="T45" s="49" t="n"/>
      <c r="U45" s="49" t="n"/>
      <c r="V45" s="49" t="n"/>
      <c r="W45" s="49" t="n"/>
    </row>
    <row r="46">
      <c r="B46" s="49" t="n"/>
      <c r="C46" s="49" t="n"/>
      <c r="D46" s="49" t="n"/>
      <c r="E46" s="49" t="n"/>
      <c r="F46" s="49" t="n"/>
      <c r="G46" s="49" t="n"/>
      <c r="H46" s="50" t="n"/>
      <c r="I46" s="49" t="n"/>
      <c r="J46" s="49" t="n"/>
      <c r="K46" s="49" t="n"/>
      <c r="L46" s="49" t="n"/>
      <c r="M46" s="49" t="n"/>
      <c r="N46" s="49" t="n"/>
      <c r="O46" s="49" t="n"/>
      <c r="P46" s="49" t="n"/>
      <c r="Q46" s="49" t="n"/>
      <c r="R46" s="49" t="n"/>
      <c r="S46" s="49" t="n"/>
      <c r="T46" s="49" t="n"/>
      <c r="U46" s="49" t="n"/>
      <c r="V46" s="49" t="n"/>
      <c r="W46" s="49" t="n"/>
    </row>
    <row r="47">
      <c r="B47" s="49" t="n"/>
      <c r="C47" s="49" t="n"/>
      <c r="D47" s="49" t="n"/>
      <c r="E47" s="49" t="n"/>
      <c r="F47" s="49" t="n"/>
      <c r="G47" s="49" t="n"/>
      <c r="H47" s="50" t="n"/>
      <c r="I47" s="49" t="n"/>
      <c r="J47" s="49" t="n"/>
      <c r="K47" s="49" t="n"/>
      <c r="L47" s="49" t="n"/>
      <c r="M47" s="49" t="n"/>
      <c r="N47" s="49" t="n"/>
      <c r="O47" s="49" t="n"/>
      <c r="P47" s="49" t="n"/>
      <c r="Q47" s="49" t="n"/>
      <c r="R47" s="49" t="n"/>
      <c r="S47" s="49" t="n"/>
      <c r="T47" s="49" t="n"/>
      <c r="U47" s="49" t="n"/>
      <c r="V47" s="49" t="n"/>
      <c r="W47" s="49" t="n"/>
    </row>
    <row r="48">
      <c r="B48" s="49" t="n"/>
      <c r="C48" s="49" t="n"/>
      <c r="D48" s="49" t="n"/>
      <c r="E48" s="49" t="n"/>
      <c r="F48" s="49" t="n"/>
      <c r="G48" s="49" t="n"/>
      <c r="H48" s="50" t="n"/>
      <c r="I48" s="49" t="n"/>
      <c r="J48" s="49" t="n"/>
      <c r="K48" s="49" t="n"/>
      <c r="L48" s="49" t="n"/>
      <c r="M48" s="49" t="n"/>
      <c r="N48" s="49" t="n"/>
      <c r="O48" s="49" t="n"/>
      <c r="P48" s="49" t="n"/>
      <c r="Q48" s="49" t="n"/>
      <c r="R48" s="49" t="n"/>
      <c r="S48" s="49" t="n"/>
      <c r="T48" s="49" t="n"/>
      <c r="U48" s="49" t="n"/>
      <c r="V48" s="49" t="n"/>
      <c r="W48" s="49" t="n"/>
    </row>
    <row r="49">
      <c r="B49" s="49" t="n"/>
      <c r="C49" s="49" t="n"/>
      <c r="D49" s="49" t="n"/>
      <c r="E49" s="49" t="n"/>
      <c r="F49" s="49" t="n"/>
      <c r="G49" s="49" t="n"/>
      <c r="H49" s="50" t="n"/>
      <c r="I49" s="49" t="n"/>
      <c r="J49" s="49" t="n"/>
      <c r="K49" s="49" t="n"/>
      <c r="L49" s="49" t="n"/>
      <c r="M49" s="49" t="n"/>
      <c r="N49" s="49" t="n"/>
      <c r="O49" s="49" t="n"/>
      <c r="P49" s="49" t="n"/>
      <c r="Q49" s="49" t="n"/>
      <c r="R49" s="49" t="n"/>
      <c r="S49" s="49" t="n"/>
      <c r="T49" s="49" t="n"/>
      <c r="U49" s="49" t="n"/>
      <c r="V49" s="49" t="n"/>
      <c r="W49" s="49" t="n"/>
    </row>
    <row r="50">
      <c r="B50" s="49" t="n"/>
      <c r="C50" s="49" t="n"/>
      <c r="D50" s="49" t="n"/>
      <c r="E50" s="49" t="n"/>
      <c r="F50" s="49" t="n"/>
      <c r="G50" s="49" t="n"/>
      <c r="H50" s="50" t="n"/>
      <c r="I50" s="49" t="n"/>
      <c r="J50" s="49" t="n"/>
      <c r="K50" s="49" t="n"/>
      <c r="L50" s="49" t="n"/>
      <c r="M50" s="49" t="n"/>
      <c r="N50" s="49" t="n"/>
      <c r="O50" s="49" t="n"/>
      <c r="P50" s="49" t="n"/>
      <c r="Q50" s="49" t="n"/>
      <c r="R50" s="49" t="n"/>
      <c r="S50" s="49" t="n"/>
      <c r="T50" s="49" t="n"/>
      <c r="U50" s="49" t="n"/>
      <c r="V50" s="49" t="n"/>
      <c r="W50" s="49" t="n"/>
    </row>
    <row r="51">
      <c r="B51" s="49" t="n"/>
      <c r="C51" s="49" t="n"/>
      <c r="D51" s="49" t="n"/>
      <c r="E51" s="49" t="n"/>
      <c r="F51" s="49" t="n"/>
      <c r="G51" s="49" t="n"/>
      <c r="H51" s="50" t="n"/>
      <c r="I51" s="49" t="n"/>
      <c r="J51" s="49" t="n"/>
      <c r="K51" s="49" t="n"/>
      <c r="L51" s="49" t="n"/>
      <c r="M51" s="49" t="n"/>
      <c r="N51" s="49" t="n"/>
      <c r="O51" s="49" t="n"/>
      <c r="P51" s="49" t="n"/>
      <c r="Q51" s="49" t="n"/>
      <c r="R51" s="49" t="n"/>
      <c r="S51" s="49" t="n"/>
      <c r="T51" s="49" t="n"/>
      <c r="U51" s="49" t="n"/>
      <c r="V51" s="49" t="n"/>
      <c r="W51" s="49" t="n"/>
    </row>
    <row r="52">
      <c r="B52" s="49" t="n"/>
      <c r="C52" s="49" t="n"/>
      <c r="D52" s="49" t="n"/>
      <c r="E52" s="49" t="n"/>
      <c r="F52" s="49" t="n"/>
      <c r="G52" s="49" t="n"/>
      <c r="H52" s="50" t="n"/>
      <c r="I52" s="49" t="n"/>
      <c r="J52" s="49" t="n"/>
      <c r="K52" s="49" t="n"/>
      <c r="L52" s="49" t="n"/>
      <c r="M52" s="49" t="n"/>
      <c r="N52" s="49" t="n"/>
      <c r="O52" s="49" t="n"/>
      <c r="P52" s="49" t="n"/>
      <c r="Q52" s="49" t="n"/>
      <c r="R52" s="49" t="n"/>
      <c r="S52" s="49" t="n"/>
      <c r="T52" s="49" t="n"/>
      <c r="U52" s="49" t="n"/>
      <c r="V52" s="49" t="n"/>
      <c r="W52" s="49" t="n"/>
    </row>
    <row r="53">
      <c r="B53" s="49" t="n"/>
      <c r="C53" s="49" t="n"/>
      <c r="D53" s="49" t="n"/>
      <c r="E53" s="49" t="n"/>
      <c r="F53" s="49" t="n"/>
      <c r="G53" s="49" t="n"/>
      <c r="H53" s="50" t="n"/>
      <c r="I53" s="49" t="n"/>
      <c r="J53" s="49" t="n"/>
      <c r="K53" s="49" t="n"/>
      <c r="L53" s="49" t="n"/>
      <c r="M53" s="49" t="n"/>
      <c r="N53" s="49" t="n"/>
      <c r="O53" s="49" t="n"/>
      <c r="P53" s="49" t="n"/>
      <c r="Q53" s="49" t="n"/>
      <c r="R53" s="49" t="n"/>
      <c r="S53" s="49" t="n"/>
      <c r="T53" s="49" t="n"/>
      <c r="U53" s="49" t="n"/>
      <c r="V53" s="49" t="n"/>
      <c r="W53" s="49" t="n"/>
    </row>
    <row r="54">
      <c r="B54" s="49" t="n"/>
      <c r="C54" s="49" t="n"/>
      <c r="D54" s="49" t="n"/>
      <c r="E54" s="49" t="n"/>
      <c r="F54" s="49" t="n"/>
      <c r="G54" s="49" t="n"/>
      <c r="H54" s="50" t="n"/>
      <c r="I54" s="49" t="n"/>
      <c r="J54" s="49" t="n"/>
      <c r="K54" s="49" t="n"/>
      <c r="L54" s="49" t="n"/>
      <c r="M54" s="49" t="n"/>
      <c r="N54" s="49" t="n"/>
      <c r="O54" s="49" t="n"/>
      <c r="P54" s="49" t="n"/>
      <c r="Q54" s="49" t="n"/>
      <c r="R54" s="49" t="n"/>
      <c r="S54" s="49" t="n"/>
      <c r="T54" s="49" t="n"/>
      <c r="U54" s="49" t="n"/>
      <c r="V54" s="49" t="n"/>
      <c r="W54" s="49" t="n"/>
    </row>
    <row r="55">
      <c r="B55" s="49" t="n"/>
      <c r="C55" s="49" t="n"/>
      <c r="D55" s="49" t="n"/>
      <c r="E55" s="49" t="n"/>
      <c r="F55" s="49" t="n"/>
      <c r="G55" s="49" t="n"/>
      <c r="H55" s="50" t="n"/>
      <c r="I55" s="49" t="n"/>
      <c r="J55" s="49" t="n"/>
      <c r="K55" s="49" t="n"/>
      <c r="L55" s="49" t="n"/>
      <c r="M55" s="49" t="n"/>
      <c r="N55" s="49" t="n"/>
      <c r="O55" s="49" t="n"/>
      <c r="P55" s="49" t="n"/>
      <c r="Q55" s="49" t="n"/>
      <c r="R55" s="49" t="n"/>
      <c r="S55" s="49" t="n"/>
      <c r="T55" s="49" t="n"/>
      <c r="U55" s="49" t="n"/>
      <c r="V55" s="49" t="n"/>
      <c r="W55" s="49" t="n"/>
    </row>
    <row r="56">
      <c r="B56" s="49" t="n"/>
      <c r="C56" s="49" t="n"/>
      <c r="D56" s="49" t="n"/>
      <c r="E56" s="49" t="n"/>
      <c r="F56" s="49" t="n"/>
      <c r="G56" s="49" t="n"/>
      <c r="H56" s="50" t="n"/>
      <c r="I56" s="49" t="n"/>
      <c r="J56" s="49" t="n"/>
      <c r="K56" s="49" t="n"/>
      <c r="L56" s="49" t="n"/>
      <c r="M56" s="49" t="n"/>
      <c r="N56" s="49" t="n"/>
      <c r="O56" s="49" t="n"/>
      <c r="P56" s="49" t="n"/>
      <c r="Q56" s="49" t="n"/>
      <c r="R56" s="49" t="n"/>
      <c r="S56" s="49" t="n"/>
      <c r="T56" s="49" t="n"/>
      <c r="U56" s="49" t="n"/>
      <c r="V56" s="49" t="n"/>
      <c r="W56" s="49" t="n"/>
    </row>
    <row r="57">
      <c r="B57" s="49" t="n"/>
      <c r="C57" s="49" t="n"/>
      <c r="D57" s="49" t="n"/>
      <c r="E57" s="49" t="n"/>
      <c r="F57" s="49" t="n"/>
      <c r="G57" s="49" t="n"/>
      <c r="H57" s="50" t="n"/>
      <c r="I57" s="49" t="n"/>
      <c r="J57" s="49" t="n"/>
      <c r="K57" s="49" t="n"/>
      <c r="L57" s="49" t="n"/>
      <c r="M57" s="49" t="n"/>
      <c r="N57" s="49" t="n"/>
      <c r="O57" s="49" t="n"/>
      <c r="P57" s="49" t="n"/>
      <c r="Q57" s="49" t="n"/>
      <c r="R57" s="49" t="n"/>
      <c r="S57" s="49" t="n"/>
      <c r="T57" s="49" t="n"/>
      <c r="U57" s="49" t="n"/>
      <c r="V57" s="49" t="n"/>
      <c r="W57" s="49" t="n"/>
    </row>
    <row r="58">
      <c r="B58" s="49" t="n"/>
      <c r="C58" s="49" t="n"/>
      <c r="D58" s="49" t="n"/>
      <c r="E58" s="49" t="n"/>
      <c r="F58" s="49" t="n"/>
      <c r="G58" s="49" t="n"/>
      <c r="H58" s="50" t="n"/>
      <c r="I58" s="49" t="n"/>
      <c r="J58" s="49" t="n"/>
      <c r="K58" s="49" t="n"/>
      <c r="L58" s="49" t="n"/>
      <c r="M58" s="49" t="n"/>
      <c r="N58" s="49" t="n"/>
      <c r="O58" s="49" t="n"/>
      <c r="P58" s="49" t="n"/>
      <c r="Q58" s="49" t="n"/>
      <c r="R58" s="49" t="n"/>
      <c r="S58" s="49" t="n"/>
      <c r="T58" s="49" t="n"/>
      <c r="U58" s="49" t="n"/>
      <c r="V58" s="49" t="n"/>
      <c r="W58" s="49" t="n"/>
    </row>
    <row r="59">
      <c r="B59" s="49" t="n"/>
      <c r="C59" s="49" t="n"/>
      <c r="D59" s="49" t="n"/>
      <c r="E59" s="49" t="n"/>
      <c r="F59" s="49" t="n"/>
      <c r="G59" s="49" t="n"/>
      <c r="H59" s="50" t="n"/>
      <c r="I59" s="49" t="n"/>
      <c r="J59" s="49" t="n"/>
      <c r="K59" s="49" t="n"/>
      <c r="L59" s="49" t="n"/>
      <c r="M59" s="49" t="n"/>
      <c r="N59" s="49" t="n"/>
      <c r="O59" s="49" t="n"/>
      <c r="P59" s="49" t="n"/>
      <c r="Q59" s="49" t="n"/>
      <c r="R59" s="49" t="n"/>
      <c r="S59" s="49" t="n"/>
      <c r="T59" s="49" t="n"/>
      <c r="U59" s="49" t="n"/>
      <c r="V59" s="49" t="n"/>
      <c r="W59" s="49" t="n"/>
    </row>
    <row r="60">
      <c r="B60" s="49" t="n"/>
      <c r="C60" s="49" t="n"/>
      <c r="D60" s="49" t="n"/>
      <c r="E60" s="49" t="n"/>
      <c r="F60" s="49" t="n"/>
      <c r="G60" s="49" t="n"/>
      <c r="H60" s="50" t="n"/>
      <c r="I60" s="49" t="n"/>
      <c r="J60" s="49" t="n"/>
      <c r="K60" s="49" t="n"/>
      <c r="L60" s="49" t="n"/>
      <c r="M60" s="49" t="n"/>
      <c r="N60" s="49" t="n"/>
      <c r="O60" s="49" t="n"/>
      <c r="P60" s="49" t="n"/>
      <c r="Q60" s="49" t="n"/>
      <c r="R60" s="49" t="n"/>
      <c r="S60" s="49" t="n"/>
      <c r="T60" s="49" t="n"/>
      <c r="U60" s="49" t="n"/>
      <c r="V60" s="49" t="n"/>
      <c r="W60" s="49" t="n"/>
    </row>
    <row r="61">
      <c r="B61" s="49" t="n"/>
      <c r="C61" s="49" t="n"/>
      <c r="D61" s="49" t="n"/>
      <c r="E61" s="49" t="n"/>
      <c r="F61" s="49" t="n"/>
      <c r="G61" s="49" t="n"/>
      <c r="H61" s="50" t="n"/>
      <c r="I61" s="49" t="n"/>
      <c r="J61" s="49" t="n"/>
      <c r="K61" s="49" t="n"/>
      <c r="L61" s="49" t="n"/>
      <c r="M61" s="49" t="n"/>
      <c r="N61" s="49" t="n"/>
      <c r="O61" s="49" t="n"/>
      <c r="P61" s="49" t="n"/>
      <c r="Q61" s="49" t="n"/>
      <c r="R61" s="49" t="n"/>
      <c r="S61" s="49" t="n"/>
      <c r="T61" s="49" t="n"/>
      <c r="U61" s="49" t="n"/>
      <c r="V61" s="49" t="n"/>
      <c r="W61" s="49" t="n"/>
    </row>
    <row r="62">
      <c r="B62" s="49" t="n"/>
      <c r="C62" s="49" t="n"/>
      <c r="D62" s="49" t="n"/>
      <c r="E62" s="49" t="n"/>
      <c r="F62" s="49" t="n"/>
      <c r="G62" s="49" t="n"/>
      <c r="H62" s="50" t="n"/>
      <c r="I62" s="49" t="n"/>
      <c r="J62" s="49" t="n"/>
      <c r="K62" s="49" t="n"/>
      <c r="L62" s="49" t="n"/>
      <c r="M62" s="49" t="n"/>
      <c r="N62" s="49" t="n"/>
      <c r="O62" s="49" t="n"/>
      <c r="P62" s="49" t="n"/>
      <c r="Q62" s="49" t="n"/>
      <c r="R62" s="49" t="n"/>
      <c r="S62" s="49" t="n"/>
      <c r="T62" s="49" t="n"/>
      <c r="U62" s="49" t="n"/>
      <c r="V62" s="49" t="n"/>
      <c r="W62" s="49" t="n"/>
    </row>
    <row r="63">
      <c r="B63" s="49" t="n"/>
      <c r="C63" s="49" t="n"/>
      <c r="D63" s="49" t="n"/>
      <c r="E63" s="49" t="n"/>
      <c r="F63" s="49" t="n"/>
      <c r="G63" s="49" t="n"/>
      <c r="H63" s="50" t="n"/>
      <c r="I63" s="49" t="n"/>
      <c r="J63" s="49" t="n"/>
      <c r="K63" s="49" t="n"/>
      <c r="L63" s="49" t="n"/>
      <c r="M63" s="49" t="n"/>
      <c r="N63" s="49" t="n"/>
      <c r="O63" s="49" t="n"/>
      <c r="P63" s="49" t="n"/>
      <c r="Q63" s="49" t="n"/>
      <c r="R63" s="49" t="n"/>
      <c r="S63" s="49" t="n"/>
      <c r="T63" s="49" t="n"/>
      <c r="U63" s="49" t="n"/>
      <c r="V63" s="49" t="n"/>
      <c r="W63" s="49" t="n"/>
    </row>
    <row r="64">
      <c r="B64" s="49" t="n"/>
      <c r="C64" s="49" t="n"/>
      <c r="D64" s="49" t="n"/>
      <c r="E64" s="49" t="n"/>
      <c r="F64" s="49" t="n"/>
      <c r="G64" s="49" t="n"/>
      <c r="H64" s="50" t="n"/>
      <c r="I64" s="49" t="n"/>
      <c r="J64" s="49" t="n"/>
      <c r="K64" s="49" t="n"/>
      <c r="L64" s="49" t="n"/>
      <c r="M64" s="49" t="n"/>
      <c r="N64" s="49" t="n"/>
      <c r="O64" s="49" t="n"/>
      <c r="P64" s="49" t="n"/>
      <c r="Q64" s="49" t="n"/>
      <c r="R64" s="49" t="n"/>
      <c r="S64" s="49" t="n"/>
      <c r="T64" s="49" t="n"/>
      <c r="U64" s="49" t="n"/>
      <c r="V64" s="49" t="n"/>
      <c r="W64" s="49" t="n"/>
    </row>
    <row r="65">
      <c r="B65" s="49" t="n"/>
      <c r="C65" s="49" t="n"/>
      <c r="D65" s="49" t="n"/>
      <c r="E65" s="49" t="n"/>
      <c r="F65" s="49" t="n"/>
      <c r="G65" s="49" t="n"/>
      <c r="H65" s="50" t="n"/>
      <c r="I65" s="49" t="n"/>
      <c r="J65" s="49" t="n"/>
      <c r="K65" s="49" t="n"/>
      <c r="L65" s="49" t="n"/>
      <c r="M65" s="49" t="n"/>
      <c r="N65" s="49" t="n"/>
      <c r="O65" s="49" t="n"/>
      <c r="P65" s="49" t="n"/>
      <c r="Q65" s="49" t="n"/>
      <c r="R65" s="49" t="n"/>
      <c r="S65" s="49" t="n"/>
      <c r="T65" s="49" t="n"/>
      <c r="U65" s="49" t="n"/>
      <c r="V65" s="49" t="n"/>
      <c r="W65" s="49" t="n"/>
    </row>
    <row r="66">
      <c r="B66" s="49" t="n"/>
      <c r="C66" s="49" t="n"/>
      <c r="D66" s="49" t="n"/>
      <c r="E66" s="49" t="n"/>
      <c r="F66" s="49" t="n"/>
      <c r="G66" s="49" t="n"/>
      <c r="H66" s="50" t="n"/>
      <c r="I66" s="49" t="n"/>
      <c r="J66" s="49" t="n"/>
      <c r="K66" s="49" t="n"/>
      <c r="L66" s="49" t="n"/>
      <c r="M66" s="49" t="n"/>
      <c r="N66" s="49" t="n"/>
      <c r="O66" s="49" t="n"/>
      <c r="P66" s="49" t="n"/>
      <c r="Q66" s="49" t="n"/>
      <c r="R66" s="49" t="n"/>
      <c r="S66" s="49" t="n"/>
      <c r="T66" s="49" t="n"/>
      <c r="U66" s="49" t="n"/>
      <c r="V66" s="49" t="n"/>
      <c r="W66" s="49" t="n"/>
    </row>
    <row r="67">
      <c r="B67" s="49" t="n"/>
      <c r="C67" s="49" t="n"/>
      <c r="D67" s="49" t="n"/>
      <c r="E67" s="49" t="n"/>
      <c r="F67" s="49" t="n"/>
      <c r="G67" s="49" t="n"/>
      <c r="H67" s="50" t="n"/>
      <c r="I67" s="49" t="n"/>
      <c r="J67" s="49" t="n"/>
      <c r="K67" s="49" t="n"/>
      <c r="L67" s="49" t="n"/>
      <c r="M67" s="49" t="n"/>
      <c r="N67" s="49" t="n"/>
      <c r="O67" s="49" t="n"/>
      <c r="P67" s="49" t="n"/>
      <c r="Q67" s="49" t="n"/>
      <c r="R67" s="49" t="n"/>
      <c r="S67" s="49" t="n"/>
      <c r="T67" s="49" t="n"/>
      <c r="U67" s="49" t="n"/>
      <c r="V67" s="49" t="n"/>
      <c r="W67" s="49" t="n"/>
    </row>
    <row r="68">
      <c r="B68" s="49" t="n"/>
      <c r="C68" s="49" t="n"/>
      <c r="D68" s="49" t="n"/>
      <c r="E68" s="49" t="n"/>
      <c r="F68" s="49" t="n"/>
      <c r="G68" s="49" t="n"/>
      <c r="H68" s="50" t="n"/>
      <c r="I68" s="49" t="n"/>
      <c r="J68" s="49" t="n"/>
      <c r="K68" s="49" t="n"/>
      <c r="L68" s="49" t="n"/>
      <c r="M68" s="49" t="n"/>
      <c r="N68" s="49" t="n"/>
      <c r="O68" s="49" t="n"/>
      <c r="P68" s="49" t="n"/>
      <c r="Q68" s="49" t="n"/>
      <c r="R68" s="49" t="n"/>
      <c r="S68" s="49" t="n"/>
      <c r="T68" s="49" t="n"/>
      <c r="U68" s="49" t="n"/>
      <c r="V68" s="49" t="n"/>
      <c r="W68" s="49" t="n"/>
    </row>
    <row r="69">
      <c r="B69" s="49" t="n"/>
      <c r="C69" s="49" t="n"/>
      <c r="D69" s="49" t="n"/>
      <c r="E69" s="49" t="n"/>
      <c r="F69" s="49" t="n"/>
      <c r="G69" s="49" t="n"/>
      <c r="H69" s="50" t="n"/>
      <c r="I69" s="49" t="n"/>
      <c r="J69" s="49" t="n"/>
      <c r="K69" s="49" t="n"/>
      <c r="L69" s="49" t="n"/>
      <c r="M69" s="49" t="n"/>
      <c r="N69" s="49" t="n"/>
      <c r="O69" s="49" t="n"/>
      <c r="P69" s="49" t="n"/>
      <c r="Q69" s="49" t="n"/>
      <c r="R69" s="49" t="n"/>
      <c r="S69" s="49" t="n"/>
      <c r="T69" s="49" t="n"/>
      <c r="U69" s="49" t="n"/>
      <c r="V69" s="49" t="n"/>
      <c r="W69" s="49" t="n"/>
    </row>
    <row r="70">
      <c r="B70" s="49" t="n"/>
      <c r="C70" s="49" t="n"/>
      <c r="D70" s="49" t="n"/>
      <c r="E70" s="49" t="n"/>
      <c r="F70" s="49" t="n"/>
      <c r="G70" s="49" t="n"/>
      <c r="H70" s="50" t="n"/>
      <c r="I70" s="49" t="n"/>
      <c r="J70" s="49" t="n"/>
      <c r="K70" s="49" t="n"/>
      <c r="L70" s="49" t="n"/>
      <c r="M70" s="49" t="n"/>
      <c r="N70" s="49" t="n"/>
      <c r="O70" s="49" t="n"/>
      <c r="P70" s="49" t="n"/>
      <c r="Q70" s="49" t="n"/>
      <c r="R70" s="49" t="n"/>
      <c r="S70" s="49" t="n"/>
      <c r="T70" s="49" t="n"/>
      <c r="U70" s="49" t="n"/>
      <c r="V70" s="49" t="n"/>
      <c r="W70" s="49" t="n"/>
    </row>
    <row r="71">
      <c r="B71" s="49" t="n"/>
      <c r="C71" s="49" t="n"/>
      <c r="D71" s="49" t="n"/>
      <c r="E71" s="49" t="n"/>
      <c r="F71" s="49" t="n"/>
      <c r="G71" s="49" t="n"/>
      <c r="H71" s="50" t="n"/>
      <c r="I71" s="49" t="n"/>
      <c r="J71" s="49" t="n"/>
      <c r="K71" s="49" t="n"/>
      <c r="L71" s="49" t="n"/>
      <c r="M71" s="49" t="n"/>
      <c r="N71" s="49" t="n"/>
      <c r="O71" s="49" t="n"/>
      <c r="P71" s="49" t="n"/>
      <c r="Q71" s="49" t="n"/>
      <c r="R71" s="49" t="n"/>
      <c r="S71" s="49" t="n"/>
      <c r="T71" s="49" t="n"/>
      <c r="U71" s="49" t="n"/>
      <c r="V71" s="49" t="n"/>
      <c r="W71" s="49" t="n"/>
    </row>
    <row r="72">
      <c r="B72" s="49" t="n"/>
      <c r="C72" s="49" t="n"/>
      <c r="D72" s="49" t="n"/>
      <c r="E72" s="49" t="n"/>
      <c r="F72" s="49" t="n"/>
      <c r="G72" s="49" t="n"/>
      <c r="H72" s="50" t="n"/>
      <c r="I72" s="49" t="n"/>
      <c r="J72" s="49" t="n"/>
      <c r="K72" s="49" t="n"/>
      <c r="L72" s="49" t="n"/>
      <c r="M72" s="49" t="n"/>
      <c r="N72" s="49" t="n"/>
      <c r="O72" s="49" t="n"/>
      <c r="P72" s="49" t="n"/>
      <c r="Q72" s="49" t="n"/>
      <c r="R72" s="49" t="n"/>
      <c r="S72" s="49" t="n"/>
      <c r="T72" s="49" t="n"/>
      <c r="U72" s="49" t="n"/>
      <c r="V72" s="49" t="n"/>
      <c r="W72" s="49" t="n"/>
    </row>
    <row r="73">
      <c r="B73" s="49" t="n"/>
      <c r="C73" s="49" t="n"/>
      <c r="D73" s="49" t="n"/>
      <c r="E73" s="49" t="n"/>
      <c r="F73" s="49" t="n"/>
      <c r="G73" s="49" t="n"/>
      <c r="H73" s="50" t="n"/>
      <c r="I73" s="49" t="n"/>
      <c r="J73" s="49" t="n"/>
      <c r="K73" s="49" t="n"/>
      <c r="L73" s="49" t="n"/>
      <c r="M73" s="49" t="n"/>
      <c r="N73" s="49" t="n"/>
      <c r="O73" s="49" t="n"/>
      <c r="P73" s="49" t="n"/>
      <c r="Q73" s="49" t="n"/>
      <c r="R73" s="49" t="n"/>
      <c r="S73" s="49" t="n"/>
      <c r="T73" s="49" t="n"/>
      <c r="U73" s="49" t="n"/>
      <c r="V73" s="49" t="n"/>
      <c r="W73" s="49" t="n"/>
    </row>
    <row r="74">
      <c r="B74" s="49" t="n"/>
      <c r="C74" s="49" t="n"/>
      <c r="D74" s="49" t="n"/>
      <c r="E74" s="49" t="n"/>
      <c r="F74" s="49" t="n"/>
      <c r="G74" s="49" t="n"/>
      <c r="H74" s="50" t="n"/>
      <c r="I74" s="49" t="n"/>
      <c r="J74" s="49" t="n"/>
      <c r="K74" s="49" t="n"/>
      <c r="L74" s="49" t="n"/>
      <c r="M74" s="49" t="n"/>
      <c r="N74" s="49" t="n"/>
      <c r="O74" s="49" t="n"/>
      <c r="P74" s="49" t="n"/>
      <c r="Q74" s="49" t="n"/>
      <c r="R74" s="49" t="n"/>
      <c r="S74" s="49" t="n"/>
      <c r="T74" s="49" t="n"/>
      <c r="U74" s="49" t="n"/>
      <c r="V74" s="49" t="n"/>
      <c r="W74" s="49" t="n"/>
    </row>
    <row r="75">
      <c r="B75" s="49" t="n"/>
      <c r="C75" s="49" t="n"/>
      <c r="D75" s="49" t="n"/>
      <c r="E75" s="49" t="n"/>
      <c r="F75" s="49" t="n"/>
      <c r="G75" s="49" t="n"/>
      <c r="H75" s="50" t="n"/>
      <c r="I75" s="49" t="n"/>
      <c r="J75" s="49" t="n"/>
      <c r="K75" s="49" t="n"/>
      <c r="L75" s="49" t="n"/>
      <c r="M75" s="49" t="n"/>
      <c r="N75" s="49" t="n"/>
      <c r="O75" s="49" t="n"/>
      <c r="P75" s="49" t="n"/>
      <c r="Q75" s="49" t="n"/>
      <c r="R75" s="49" t="n"/>
      <c r="S75" s="49" t="n"/>
      <c r="T75" s="49" t="n"/>
      <c r="U75" s="49" t="n"/>
      <c r="V75" s="49" t="n"/>
      <c r="W75" s="49" t="n"/>
    </row>
    <row r="76">
      <c r="B76" s="49" t="n"/>
      <c r="C76" s="49" t="n"/>
      <c r="D76" s="49" t="n"/>
      <c r="E76" s="49" t="n"/>
      <c r="F76" s="49" t="n"/>
      <c r="G76" s="49" t="n"/>
      <c r="H76" s="50" t="n"/>
      <c r="I76" s="49" t="n"/>
      <c r="J76" s="49" t="n"/>
      <c r="K76" s="49" t="n"/>
      <c r="L76" s="49" t="n"/>
      <c r="M76" s="49" t="n"/>
      <c r="N76" s="49" t="n"/>
      <c r="O76" s="49" t="n"/>
      <c r="P76" s="49" t="n"/>
      <c r="Q76" s="49" t="n"/>
      <c r="R76" s="49" t="n"/>
      <c r="S76" s="49" t="n"/>
      <c r="T76" s="49" t="n"/>
      <c r="U76" s="49" t="n"/>
      <c r="V76" s="49" t="n"/>
      <c r="W76" s="49" t="n"/>
    </row>
    <row r="77">
      <c r="B77" s="49" t="n"/>
      <c r="C77" s="49" t="n"/>
      <c r="D77" s="49" t="n"/>
      <c r="E77" s="49" t="n"/>
      <c r="F77" s="49" t="n"/>
      <c r="G77" s="49" t="n"/>
      <c r="H77" s="50" t="n"/>
      <c r="I77" s="49" t="n"/>
      <c r="J77" s="49" t="n"/>
      <c r="K77" s="49" t="n"/>
      <c r="L77" s="49" t="n"/>
      <c r="M77" s="49" t="n"/>
      <c r="N77" s="49" t="n"/>
      <c r="O77" s="49" t="n"/>
      <c r="P77" s="49" t="n"/>
      <c r="Q77" s="49" t="n"/>
      <c r="R77" s="49" t="n"/>
      <c r="S77" s="49" t="n"/>
      <c r="T77" s="49" t="n"/>
      <c r="U77" s="49" t="n"/>
      <c r="V77" s="49" t="n"/>
      <c r="W77" s="49" t="n"/>
    </row>
    <row r="78">
      <c r="B78" s="49" t="n"/>
      <c r="C78" s="49" t="n"/>
      <c r="D78" s="49" t="n"/>
      <c r="E78" s="49" t="n"/>
      <c r="F78" s="49" t="n"/>
      <c r="G78" s="49" t="n"/>
      <c r="H78" s="50" t="n"/>
      <c r="I78" s="49" t="n"/>
      <c r="J78" s="49" t="n"/>
      <c r="K78" s="49" t="n"/>
      <c r="L78" s="49" t="n"/>
      <c r="M78" s="49" t="n"/>
      <c r="N78" s="49" t="n"/>
      <c r="O78" s="49" t="n"/>
      <c r="P78" s="49" t="n"/>
      <c r="Q78" s="49" t="n"/>
      <c r="R78" s="49" t="n"/>
      <c r="S78" s="49" t="n"/>
      <c r="T78" s="49" t="n"/>
      <c r="U78" s="49" t="n"/>
      <c r="V78" s="49" t="n"/>
      <c r="W78" s="49" t="n"/>
    </row>
    <row r="79">
      <c r="B79" s="49" t="n"/>
      <c r="C79" s="49" t="n"/>
      <c r="D79" s="49" t="n"/>
      <c r="E79" s="49" t="n"/>
      <c r="F79" s="49" t="n"/>
      <c r="G79" s="49" t="n"/>
      <c r="H79" s="50" t="n"/>
      <c r="I79" s="49" t="n"/>
      <c r="J79" s="49" t="n"/>
      <c r="K79" s="49" t="n"/>
      <c r="L79" s="49" t="n"/>
      <c r="M79" s="49" t="n"/>
      <c r="N79" s="49" t="n"/>
      <c r="O79" s="49" t="n"/>
      <c r="P79" s="49" t="n"/>
      <c r="Q79" s="49" t="n"/>
      <c r="R79" s="49" t="n"/>
      <c r="S79" s="49" t="n"/>
      <c r="T79" s="49" t="n"/>
      <c r="U79" s="49" t="n"/>
      <c r="V79" s="49" t="n"/>
      <c r="W79" s="49" t="n"/>
    </row>
    <row r="80">
      <c r="B80" s="49" t="n"/>
      <c r="C80" s="49" t="n"/>
      <c r="D80" s="49" t="n"/>
      <c r="E80" s="49" t="n"/>
      <c r="F80" s="49" t="n"/>
      <c r="G80" s="49" t="n"/>
      <c r="H80" s="50" t="n"/>
      <c r="I80" s="49" t="n"/>
      <c r="J80" s="49" t="n"/>
      <c r="K80" s="49" t="n"/>
      <c r="L80" s="49" t="n"/>
      <c r="M80" s="49" t="n"/>
      <c r="N80" s="49" t="n"/>
      <c r="O80" s="49" t="n"/>
      <c r="P80" s="49" t="n"/>
      <c r="Q80" s="49" t="n"/>
      <c r="R80" s="49" t="n"/>
      <c r="S80" s="49" t="n"/>
      <c r="T80" s="49" t="n"/>
      <c r="U80" s="49" t="n"/>
      <c r="V80" s="49" t="n"/>
      <c r="W80" s="49" t="n"/>
    </row>
    <row r="81">
      <c r="B81" s="49" t="n"/>
      <c r="C81" s="49" t="n"/>
      <c r="D81" s="49" t="n"/>
      <c r="E81" s="49" t="n"/>
      <c r="F81" s="49" t="n"/>
      <c r="G81" s="49" t="n"/>
      <c r="H81" s="50" t="n"/>
      <c r="I81" s="49" t="n"/>
      <c r="J81" s="49" t="n"/>
      <c r="K81" s="49" t="n"/>
      <c r="L81" s="49" t="n"/>
      <c r="M81" s="49" t="n"/>
      <c r="N81" s="49" t="n"/>
      <c r="O81" s="49" t="n"/>
      <c r="P81" s="49" t="n"/>
      <c r="Q81" s="49" t="n"/>
      <c r="R81" s="49" t="n"/>
      <c r="S81" s="49" t="n"/>
      <c r="T81" s="49" t="n"/>
      <c r="U81" s="49" t="n"/>
      <c r="V81" s="49" t="n"/>
      <c r="W81" s="49" t="n"/>
    </row>
    <row r="82">
      <c r="B82" s="49" t="n"/>
      <c r="C82" s="49" t="n"/>
      <c r="D82" s="49" t="n"/>
      <c r="E82" s="49" t="n"/>
      <c r="F82" s="49" t="n"/>
      <c r="G82" s="49" t="n"/>
      <c r="H82" s="50" t="n"/>
      <c r="I82" s="49" t="n"/>
      <c r="J82" s="49" t="n"/>
      <c r="K82" s="49" t="n"/>
      <c r="L82" s="49" t="n"/>
      <c r="M82" s="49" t="n"/>
      <c r="N82" s="49" t="n"/>
      <c r="O82" s="49" t="n"/>
      <c r="P82" s="49" t="n"/>
      <c r="Q82" s="49" t="n"/>
      <c r="R82" s="49" t="n"/>
      <c r="S82" s="49" t="n"/>
      <c r="T82" s="49" t="n"/>
      <c r="U82" s="49" t="n"/>
      <c r="V82" s="49" t="n"/>
      <c r="W82" s="49" t="n"/>
    </row>
    <row r="83">
      <c r="B83" s="49" t="n"/>
      <c r="C83" s="49" t="n"/>
      <c r="D83" s="49" t="n"/>
      <c r="E83" s="49" t="n"/>
      <c r="F83" s="49" t="n"/>
      <c r="G83" s="49" t="n"/>
      <c r="H83" s="50" t="n"/>
      <c r="I83" s="49" t="n"/>
      <c r="J83" s="49" t="n"/>
      <c r="K83" s="49" t="n"/>
      <c r="L83" s="49" t="n"/>
      <c r="M83" s="49" t="n"/>
      <c r="N83" s="49" t="n"/>
      <c r="O83" s="49" t="n"/>
      <c r="P83" s="49" t="n"/>
      <c r="Q83" s="49" t="n"/>
      <c r="R83" s="49" t="n"/>
      <c r="S83" s="49" t="n"/>
      <c r="T83" s="49" t="n"/>
      <c r="U83" s="49" t="n"/>
      <c r="V83" s="49" t="n"/>
      <c r="W83" s="49" t="n"/>
    </row>
    <row r="84">
      <c r="B84" s="49" t="n"/>
      <c r="C84" s="49" t="n"/>
      <c r="D84" s="49" t="n"/>
      <c r="E84" s="49" t="n"/>
      <c r="F84" s="49" t="n"/>
      <c r="G84" s="49" t="n"/>
      <c r="H84" s="50" t="n"/>
      <c r="I84" s="49" t="n"/>
      <c r="J84" s="49" t="n"/>
      <c r="K84" s="49" t="n"/>
      <c r="L84" s="49" t="n"/>
      <c r="M84" s="49" t="n"/>
      <c r="N84" s="49" t="n"/>
      <c r="O84" s="49" t="n"/>
      <c r="P84" s="49" t="n"/>
      <c r="Q84" s="49" t="n"/>
      <c r="R84" s="49" t="n"/>
      <c r="S84" s="49" t="n"/>
      <c r="T84" s="49" t="n"/>
      <c r="U84" s="49" t="n"/>
      <c r="V84" s="49" t="n"/>
      <c r="W84" s="49" t="n"/>
    </row>
    <row r="85">
      <c r="B85" s="49" t="n"/>
      <c r="C85" s="49" t="n"/>
      <c r="D85" s="49" t="n"/>
      <c r="E85" s="49" t="n"/>
      <c r="F85" s="49" t="n"/>
      <c r="G85" s="49" t="n"/>
      <c r="H85" s="50" t="n"/>
      <c r="I85" s="49" t="n"/>
      <c r="J85" s="49" t="n"/>
      <c r="K85" s="49" t="n"/>
      <c r="L85" s="49" t="n"/>
      <c r="M85" s="49" t="n"/>
      <c r="N85" s="49" t="n"/>
      <c r="O85" s="49" t="n"/>
      <c r="P85" s="49" t="n"/>
      <c r="Q85" s="49" t="n"/>
      <c r="R85" s="49" t="n"/>
      <c r="S85" s="49" t="n"/>
      <c r="T85" s="49" t="n"/>
      <c r="U85" s="49" t="n"/>
      <c r="V85" s="49" t="n"/>
      <c r="W85" s="49" t="n"/>
    </row>
    <row r="86">
      <c r="B86" s="49" t="n"/>
      <c r="C86" s="49" t="n"/>
      <c r="D86" s="49" t="n"/>
      <c r="E86" s="49" t="n"/>
      <c r="F86" s="49" t="n"/>
      <c r="G86" s="49" t="n"/>
      <c r="H86" s="50" t="n"/>
      <c r="I86" s="49" t="n"/>
      <c r="J86" s="49" t="n"/>
      <c r="K86" s="49" t="n"/>
      <c r="L86" s="49" t="n"/>
      <c r="M86" s="49" t="n"/>
      <c r="N86" s="49" t="n"/>
      <c r="O86" s="49" t="n"/>
      <c r="P86" s="49" t="n"/>
      <c r="Q86" s="49" t="n"/>
      <c r="R86" s="49" t="n"/>
      <c r="S86" s="49" t="n"/>
      <c r="T86" s="49" t="n"/>
      <c r="U86" s="49" t="n"/>
      <c r="V86" s="49" t="n"/>
      <c r="W86" s="49" t="n"/>
    </row>
    <row r="87">
      <c r="B87" s="49" t="n"/>
      <c r="C87" s="49" t="n"/>
      <c r="D87" s="49" t="n"/>
      <c r="E87" s="49" t="n"/>
      <c r="F87" s="49" t="n"/>
      <c r="G87" s="49" t="n"/>
      <c r="H87" s="50" t="n"/>
      <c r="I87" s="49" t="n"/>
      <c r="J87" s="49" t="n"/>
      <c r="K87" s="49" t="n"/>
      <c r="L87" s="49" t="n"/>
      <c r="M87" s="49" t="n"/>
      <c r="N87" s="49" t="n"/>
      <c r="O87" s="49" t="n"/>
      <c r="P87" s="49" t="n"/>
      <c r="Q87" s="49" t="n"/>
      <c r="R87" s="49" t="n"/>
      <c r="S87" s="49" t="n"/>
      <c r="T87" s="49" t="n"/>
      <c r="U87" s="49" t="n"/>
      <c r="V87" s="49" t="n"/>
      <c r="W87" s="49" t="n"/>
    </row>
    <row r="88">
      <c r="B88" s="49" t="n"/>
      <c r="C88" s="49" t="n"/>
      <c r="D88" s="49" t="n"/>
      <c r="E88" s="49" t="n"/>
      <c r="F88" s="49" t="n"/>
      <c r="G88" s="49" t="n"/>
      <c r="H88" s="50" t="n"/>
      <c r="I88" s="49" t="n"/>
      <c r="J88" s="49" t="n"/>
      <c r="K88" s="49" t="n"/>
      <c r="L88" s="49" t="n"/>
      <c r="M88" s="49" t="n"/>
      <c r="N88" s="49" t="n"/>
      <c r="O88" s="49" t="n"/>
      <c r="P88" s="49" t="n"/>
      <c r="Q88" s="49" t="n"/>
      <c r="R88" s="49" t="n"/>
      <c r="S88" s="49" t="n"/>
      <c r="T88" s="49" t="n"/>
      <c r="U88" s="49" t="n"/>
      <c r="V88" s="49" t="n"/>
      <c r="W88" s="49" t="n"/>
    </row>
    <row r="89">
      <c r="B89" s="49" t="n"/>
      <c r="C89" s="49" t="n"/>
      <c r="D89" s="49" t="n"/>
      <c r="E89" s="49" t="n"/>
      <c r="F89" s="49" t="n"/>
      <c r="G89" s="49" t="n"/>
      <c r="H89" s="50" t="n"/>
      <c r="I89" s="49" t="n"/>
      <c r="J89" s="49" t="n"/>
      <c r="K89" s="49" t="n"/>
      <c r="L89" s="49" t="n"/>
      <c r="M89" s="49" t="n"/>
      <c r="N89" s="49" t="n"/>
      <c r="O89" s="49" t="n"/>
      <c r="P89" s="49" t="n"/>
      <c r="Q89" s="49" t="n"/>
      <c r="R89" s="49" t="n"/>
      <c r="S89" s="49" t="n"/>
      <c r="T89" s="49" t="n"/>
      <c r="U89" s="49" t="n"/>
      <c r="V89" s="49" t="n"/>
      <c r="W89" s="49" t="n"/>
    </row>
    <row r="90">
      <c r="B90" s="49" t="n"/>
      <c r="C90" s="49" t="n"/>
      <c r="D90" s="49" t="n"/>
      <c r="E90" s="49" t="n"/>
      <c r="F90" s="49" t="n"/>
      <c r="G90" s="49" t="n"/>
      <c r="H90" s="50" t="n"/>
      <c r="I90" s="49" t="n"/>
      <c r="J90" s="49" t="n"/>
      <c r="K90" s="49" t="n"/>
      <c r="L90" s="49" t="n"/>
      <c r="M90" s="49" t="n"/>
      <c r="N90" s="49" t="n"/>
      <c r="O90" s="49" t="n"/>
      <c r="P90" s="49" t="n"/>
      <c r="Q90" s="49" t="n"/>
      <c r="R90" s="49" t="n"/>
      <c r="S90" s="49" t="n"/>
      <c r="T90" s="49" t="n"/>
      <c r="U90" s="49" t="n"/>
      <c r="V90" s="49" t="n"/>
      <c r="W90" s="49" t="n"/>
    </row>
    <row r="91">
      <c r="B91" s="49" t="n"/>
      <c r="C91" s="49" t="n"/>
      <c r="D91" s="49" t="n"/>
      <c r="E91" s="49" t="n"/>
      <c r="F91" s="49" t="n"/>
      <c r="G91" s="49" t="n"/>
      <c r="H91" s="50" t="n"/>
      <c r="I91" s="49" t="n"/>
      <c r="J91" s="49" t="n"/>
      <c r="K91" s="49" t="n"/>
      <c r="L91" s="49" t="n"/>
      <c r="M91" s="49" t="n"/>
      <c r="N91" s="49" t="n"/>
      <c r="O91" s="49" t="n"/>
      <c r="P91" s="49" t="n"/>
      <c r="Q91" s="49" t="n"/>
      <c r="R91" s="49" t="n"/>
      <c r="S91" s="49" t="n"/>
      <c r="T91" s="49" t="n"/>
      <c r="U91" s="49" t="n"/>
      <c r="V91" s="49" t="n"/>
      <c r="W91" s="49" t="n"/>
    </row>
    <row r="92">
      <c r="B92" s="49" t="n"/>
      <c r="C92" s="49" t="n"/>
      <c r="D92" s="49" t="n"/>
      <c r="E92" s="49" t="n"/>
      <c r="F92" s="49" t="n"/>
      <c r="G92" s="49" t="n"/>
      <c r="H92" s="50" t="n"/>
      <c r="I92" s="49" t="n"/>
      <c r="J92" s="49" t="n"/>
      <c r="K92" s="49" t="n"/>
      <c r="L92" s="49" t="n"/>
      <c r="M92" s="49" t="n"/>
      <c r="N92" s="49" t="n"/>
      <c r="O92" s="49" t="n"/>
      <c r="P92" s="49" t="n"/>
      <c r="Q92" s="49" t="n"/>
      <c r="R92" s="49" t="n"/>
      <c r="S92" s="49" t="n"/>
      <c r="T92" s="49" t="n"/>
      <c r="U92" s="49" t="n"/>
      <c r="V92" s="49" t="n"/>
      <c r="W92" s="49" t="n"/>
    </row>
    <row r="93">
      <c r="B93" s="49" t="n"/>
      <c r="C93" s="49" t="n"/>
      <c r="D93" s="49" t="n"/>
      <c r="E93" s="49" t="n"/>
      <c r="F93" s="49" t="n"/>
      <c r="G93" s="49" t="n"/>
      <c r="H93" s="50" t="n"/>
      <c r="I93" s="49" t="n"/>
      <c r="J93" s="49" t="n"/>
      <c r="K93" s="49" t="n"/>
      <c r="L93" s="49" t="n"/>
      <c r="M93" s="49" t="n"/>
      <c r="N93" s="49" t="n"/>
      <c r="O93" s="49" t="n"/>
      <c r="P93" s="49" t="n"/>
      <c r="Q93" s="49" t="n"/>
      <c r="R93" s="49" t="n"/>
      <c r="S93" s="49" t="n"/>
      <c r="T93" s="49" t="n"/>
      <c r="U93" s="49" t="n"/>
      <c r="V93" s="49" t="n"/>
      <c r="W93" s="49" t="n"/>
    </row>
    <row r="94">
      <c r="B94" s="49" t="n"/>
      <c r="C94" s="49" t="n"/>
      <c r="D94" s="49" t="n"/>
      <c r="E94" s="49" t="n"/>
      <c r="F94" s="49" t="n"/>
      <c r="G94" s="49" t="n"/>
      <c r="H94" s="50" t="n"/>
      <c r="I94" s="49" t="n"/>
      <c r="J94" s="49" t="n"/>
      <c r="K94" s="49" t="n"/>
      <c r="L94" s="49" t="n"/>
      <c r="M94" s="49" t="n"/>
      <c r="N94" s="49" t="n"/>
      <c r="O94" s="49" t="n"/>
      <c r="P94" s="49" t="n"/>
      <c r="Q94" s="49" t="n"/>
      <c r="R94" s="49" t="n"/>
      <c r="S94" s="49" t="n"/>
      <c r="T94" s="49" t="n"/>
      <c r="U94" s="49" t="n"/>
      <c r="V94" s="49" t="n"/>
      <c r="W94" s="49" t="n"/>
    </row>
    <row r="95">
      <c r="B95" s="49" t="n"/>
      <c r="C95" s="49" t="n"/>
      <c r="D95" s="49" t="n"/>
      <c r="E95" s="49" t="n"/>
      <c r="F95" s="49" t="n"/>
      <c r="G95" s="49" t="n"/>
      <c r="H95" s="50" t="n"/>
      <c r="I95" s="49" t="n"/>
      <c r="J95" s="49" t="n"/>
      <c r="K95" s="49" t="n"/>
      <c r="L95" s="49" t="n"/>
      <c r="M95" s="49" t="n"/>
      <c r="N95" s="49" t="n"/>
      <c r="O95" s="49" t="n"/>
      <c r="P95" s="49" t="n"/>
      <c r="Q95" s="49" t="n"/>
      <c r="R95" s="49" t="n"/>
      <c r="S95" s="49" t="n"/>
      <c r="T95" s="49" t="n"/>
      <c r="U95" s="49" t="n"/>
      <c r="V95" s="49" t="n"/>
      <c r="W95" s="49" t="n"/>
    </row>
    <row r="96">
      <c r="B96" s="49" t="n"/>
      <c r="C96" s="49" t="n"/>
      <c r="D96" s="49" t="n"/>
      <c r="E96" s="49" t="n"/>
      <c r="F96" s="49" t="n"/>
      <c r="G96" s="49" t="n"/>
      <c r="H96" s="50" t="n"/>
      <c r="I96" s="49" t="n"/>
      <c r="J96" s="49" t="n"/>
      <c r="K96" s="49" t="n"/>
      <c r="L96" s="49" t="n"/>
      <c r="M96" s="49" t="n"/>
      <c r="N96" s="49" t="n"/>
      <c r="O96" s="49" t="n"/>
      <c r="P96" s="49" t="n"/>
      <c r="Q96" s="49" t="n"/>
      <c r="R96" s="49" t="n"/>
      <c r="S96" s="49" t="n"/>
      <c r="T96" s="49" t="n"/>
      <c r="U96" s="49" t="n"/>
      <c r="V96" s="49" t="n"/>
      <c r="W96" s="49" t="n"/>
    </row>
    <row r="97">
      <c r="B97" s="49" t="n"/>
      <c r="C97" s="49" t="n"/>
      <c r="D97" s="49" t="n"/>
      <c r="E97" s="49" t="n"/>
      <c r="F97" s="49" t="n"/>
      <c r="G97" s="49" t="n"/>
      <c r="H97" s="50" t="n"/>
      <c r="I97" s="49" t="n"/>
      <c r="J97" s="49" t="n"/>
      <c r="K97" s="49" t="n"/>
      <c r="L97" s="49" t="n"/>
      <c r="M97" s="49" t="n"/>
      <c r="N97" s="49" t="n"/>
      <c r="O97" s="49" t="n"/>
      <c r="P97" s="49" t="n"/>
      <c r="Q97" s="49" t="n"/>
      <c r="R97" s="49" t="n"/>
      <c r="S97" s="49" t="n"/>
      <c r="T97" s="49" t="n"/>
      <c r="U97" s="49" t="n"/>
      <c r="V97" s="49" t="n"/>
      <c r="W97" s="49" t="n"/>
    </row>
    <row r="98">
      <c r="B98" s="49" t="n"/>
      <c r="C98" s="49" t="n"/>
      <c r="D98" s="49" t="n"/>
      <c r="E98" s="49" t="n"/>
      <c r="F98" s="49" t="n"/>
      <c r="G98" s="49" t="n"/>
      <c r="H98" s="50" t="n"/>
      <c r="I98" s="49" t="n"/>
      <c r="J98" s="49" t="n"/>
      <c r="K98" s="49" t="n"/>
      <c r="L98" s="49" t="n"/>
      <c r="M98" s="49" t="n"/>
      <c r="N98" s="49" t="n"/>
      <c r="O98" s="49" t="n"/>
      <c r="P98" s="49" t="n"/>
      <c r="Q98" s="49" t="n"/>
      <c r="R98" s="49" t="n"/>
      <c r="S98" s="49" t="n"/>
      <c r="T98" s="49" t="n"/>
      <c r="U98" s="49" t="n"/>
      <c r="V98" s="49" t="n"/>
      <c r="W98" s="49" t="n"/>
    </row>
    <row r="99">
      <c r="B99" s="49" t="n"/>
      <c r="C99" s="49" t="n"/>
      <c r="D99" s="49" t="n"/>
      <c r="E99" s="49" t="n"/>
      <c r="F99" s="49" t="n"/>
      <c r="G99" s="49" t="n"/>
      <c r="H99" s="50" t="n"/>
      <c r="I99" s="49" t="n"/>
      <c r="J99" s="49" t="n"/>
      <c r="K99" s="49" t="n"/>
      <c r="L99" s="49" t="n"/>
      <c r="M99" s="49" t="n"/>
      <c r="N99" s="49" t="n"/>
      <c r="O99" s="49" t="n"/>
      <c r="P99" s="49" t="n"/>
      <c r="Q99" s="49" t="n"/>
      <c r="R99" s="49" t="n"/>
      <c r="S99" s="49" t="n"/>
      <c r="T99" s="49" t="n"/>
      <c r="U99" s="49" t="n"/>
      <c r="V99" s="49" t="n"/>
      <c r="W99" s="49" t="n"/>
    </row>
    <row r="100">
      <c r="B100" s="49" t="n"/>
      <c r="C100" s="49" t="n"/>
      <c r="D100" s="49" t="n"/>
      <c r="E100" s="49" t="n"/>
      <c r="F100" s="49" t="n"/>
      <c r="G100" s="49" t="n"/>
      <c r="H100" s="50" t="n"/>
      <c r="I100" s="49" t="n"/>
      <c r="J100" s="49" t="n"/>
      <c r="K100" s="49" t="n"/>
      <c r="L100" s="49" t="n"/>
      <c r="M100" s="49" t="n"/>
      <c r="N100" s="49" t="n"/>
      <c r="O100" s="49" t="n"/>
      <c r="P100" s="49" t="n"/>
      <c r="Q100" s="49" t="n"/>
      <c r="R100" s="49" t="n"/>
      <c r="S100" s="49" t="n"/>
      <c r="T100" s="49" t="n"/>
      <c r="U100" s="49" t="n"/>
      <c r="V100" s="49" t="n"/>
      <c r="W100" s="49" t="n"/>
    </row>
    <row r="101">
      <c r="B101" s="49" t="n"/>
      <c r="C101" s="49" t="n"/>
      <c r="D101" s="49" t="n"/>
      <c r="E101" s="49" t="n"/>
      <c r="F101" s="49" t="n"/>
      <c r="G101" s="49" t="n"/>
      <c r="H101" s="50" t="n"/>
      <c r="I101" s="49" t="n"/>
      <c r="J101" s="49" t="n"/>
      <c r="K101" s="49" t="n"/>
      <c r="L101" s="49" t="n"/>
      <c r="M101" s="49" t="n"/>
      <c r="N101" s="49" t="n"/>
      <c r="O101" s="49" t="n"/>
      <c r="P101" s="49" t="n"/>
      <c r="Q101" s="49" t="n"/>
      <c r="R101" s="49" t="n"/>
      <c r="S101" s="49" t="n"/>
      <c r="T101" s="49" t="n"/>
      <c r="U101" s="49" t="n"/>
      <c r="V101" s="49" t="n"/>
      <c r="W101" s="49" t="n"/>
    </row>
    <row r="102">
      <c r="B102" s="49" t="n"/>
      <c r="C102" s="49" t="n"/>
      <c r="D102" s="49" t="n"/>
      <c r="E102" s="49" t="n"/>
      <c r="F102" s="49" t="n"/>
      <c r="G102" s="49" t="n"/>
      <c r="H102" s="50" t="n"/>
      <c r="I102" s="49" t="n"/>
      <c r="J102" s="49" t="n"/>
      <c r="K102" s="49" t="n"/>
      <c r="L102" s="49" t="n"/>
      <c r="M102" s="49" t="n"/>
      <c r="N102" s="49" t="n"/>
      <c r="O102" s="49" t="n"/>
      <c r="P102" s="49" t="n"/>
      <c r="Q102" s="49" t="n"/>
      <c r="R102" s="49" t="n"/>
      <c r="S102" s="49" t="n"/>
      <c r="T102" s="49" t="n"/>
      <c r="U102" s="49" t="n"/>
      <c r="V102" s="49" t="n"/>
      <c r="W102" s="49" t="n"/>
    </row>
    <row r="103">
      <c r="B103" s="49" t="n"/>
      <c r="C103" s="49" t="n"/>
      <c r="D103" s="49" t="n"/>
      <c r="E103" s="49" t="n"/>
      <c r="F103" s="49" t="n"/>
      <c r="G103" s="49" t="n"/>
      <c r="H103" s="50" t="n"/>
      <c r="I103" s="49" t="n"/>
      <c r="J103" s="49" t="n"/>
      <c r="K103" s="49" t="n"/>
      <c r="L103" s="49" t="n"/>
      <c r="M103" s="49" t="n"/>
      <c r="N103" s="49" t="n"/>
      <c r="O103" s="49" t="n"/>
      <c r="P103" s="49" t="n"/>
      <c r="Q103" s="49" t="n"/>
      <c r="R103" s="49" t="n"/>
      <c r="S103" s="49" t="n"/>
      <c r="T103" s="49" t="n"/>
      <c r="U103" s="49" t="n"/>
      <c r="V103" s="49" t="n"/>
      <c r="W103" s="49" t="n"/>
    </row>
    <row r="104">
      <c r="B104" s="49" t="n"/>
      <c r="C104" s="49" t="n"/>
      <c r="D104" s="49" t="n"/>
      <c r="E104" s="49" t="n"/>
      <c r="F104" s="49" t="n"/>
      <c r="G104" s="49" t="n"/>
      <c r="H104" s="50" t="n"/>
      <c r="I104" s="49" t="n"/>
      <c r="J104" s="49" t="n"/>
      <c r="K104" s="49" t="n"/>
      <c r="L104" s="49" t="n"/>
      <c r="M104" s="49" t="n"/>
      <c r="N104" s="49" t="n"/>
      <c r="O104" s="49" t="n"/>
      <c r="P104" s="49" t="n"/>
      <c r="Q104" s="49" t="n"/>
      <c r="R104" s="49" t="n"/>
      <c r="S104" s="49" t="n"/>
      <c r="T104" s="49" t="n"/>
      <c r="U104" s="49" t="n"/>
      <c r="V104" s="49" t="n"/>
      <c r="W104" s="49" t="n"/>
    </row>
    <row r="105">
      <c r="B105" s="49" t="n"/>
      <c r="C105" s="49" t="n"/>
      <c r="D105" s="49" t="n"/>
      <c r="E105" s="49" t="n"/>
      <c r="F105" s="49" t="n"/>
      <c r="G105" s="49" t="n"/>
      <c r="H105" s="50" t="n"/>
      <c r="I105" s="49" t="n"/>
      <c r="J105" s="49" t="n"/>
      <c r="K105" s="49" t="n"/>
      <c r="L105" s="49" t="n"/>
      <c r="M105" s="49" t="n"/>
      <c r="N105" s="49" t="n"/>
      <c r="O105" s="49" t="n"/>
      <c r="P105" s="49" t="n"/>
      <c r="Q105" s="49" t="n"/>
      <c r="R105" s="49" t="n"/>
      <c r="S105" s="49" t="n"/>
      <c r="T105" s="49" t="n"/>
      <c r="U105" s="49" t="n"/>
      <c r="V105" s="49" t="n"/>
      <c r="W105" s="49" t="n"/>
    </row>
    <row r="106">
      <c r="B106" s="49" t="n"/>
      <c r="C106" s="49" t="n"/>
      <c r="D106" s="49" t="n"/>
      <c r="E106" s="49" t="n"/>
      <c r="F106" s="49" t="n"/>
      <c r="G106" s="49" t="n"/>
      <c r="H106" s="50" t="n"/>
      <c r="I106" s="49" t="n"/>
      <c r="J106" s="49" t="n"/>
      <c r="K106" s="49" t="n"/>
      <c r="L106" s="49" t="n"/>
      <c r="M106" s="49" t="n"/>
      <c r="N106" s="49" t="n"/>
      <c r="O106" s="49" t="n"/>
      <c r="P106" s="49" t="n"/>
      <c r="Q106" s="49" t="n"/>
      <c r="R106" s="49" t="n"/>
      <c r="S106" s="49" t="n"/>
      <c r="T106" s="49" t="n"/>
      <c r="U106" s="49" t="n"/>
      <c r="V106" s="49" t="n"/>
      <c r="W106" s="49" t="n"/>
    </row>
    <row r="107">
      <c r="B107" s="49" t="n"/>
      <c r="C107" s="49" t="n"/>
      <c r="D107" s="49" t="n"/>
      <c r="E107" s="49" t="n"/>
      <c r="F107" s="49" t="n"/>
      <c r="G107" s="49" t="n"/>
      <c r="H107" s="50" t="n"/>
      <c r="I107" s="49" t="n"/>
      <c r="J107" s="49" t="n"/>
      <c r="K107" s="49" t="n"/>
      <c r="L107" s="49" t="n"/>
      <c r="M107" s="49" t="n"/>
      <c r="N107" s="49" t="n"/>
      <c r="O107" s="49" t="n"/>
      <c r="P107" s="49" t="n"/>
      <c r="Q107" s="49" t="n"/>
      <c r="R107" s="49" t="n"/>
      <c r="S107" s="49" t="n"/>
      <c r="T107" s="49" t="n"/>
      <c r="U107" s="49" t="n"/>
      <c r="V107" s="49" t="n"/>
      <c r="W107" s="49" t="n"/>
    </row>
    <row r="108">
      <c r="B108" s="49" t="n"/>
      <c r="C108" s="49" t="n"/>
      <c r="D108" s="49" t="n"/>
      <c r="E108" s="49" t="n"/>
      <c r="F108" s="49" t="n"/>
      <c r="G108" s="49" t="n"/>
      <c r="H108" s="50" t="n"/>
      <c r="I108" s="49" t="n"/>
      <c r="J108" s="49" t="n"/>
      <c r="K108" s="49" t="n"/>
      <c r="L108" s="49" t="n"/>
      <c r="M108" s="49" t="n"/>
      <c r="N108" s="49" t="n"/>
      <c r="O108" s="49" t="n"/>
      <c r="P108" s="49" t="n"/>
      <c r="Q108" s="49" t="n"/>
      <c r="R108" s="49" t="n"/>
      <c r="S108" s="49" t="n"/>
      <c r="T108" s="49" t="n"/>
      <c r="U108" s="49" t="n"/>
      <c r="V108" s="49" t="n"/>
      <c r="W108" s="49" t="n"/>
    </row>
    <row r="109">
      <c r="B109" s="49" t="n"/>
      <c r="C109" s="49" t="n"/>
      <c r="D109" s="49" t="n"/>
      <c r="E109" s="49" t="n"/>
      <c r="F109" s="49" t="n"/>
      <c r="G109" s="49" t="n"/>
      <c r="H109" s="50" t="n"/>
      <c r="I109" s="49" t="n"/>
      <c r="J109" s="49" t="n"/>
      <c r="K109" s="49" t="n"/>
      <c r="L109" s="49" t="n"/>
      <c r="M109" s="49" t="n"/>
      <c r="N109" s="49" t="n"/>
      <c r="O109" s="49" t="n"/>
      <c r="P109" s="49" t="n"/>
      <c r="Q109" s="49" t="n"/>
      <c r="R109" s="49" t="n"/>
      <c r="S109" s="49" t="n"/>
      <c r="T109" s="49" t="n"/>
      <c r="U109" s="49" t="n"/>
      <c r="V109" s="49" t="n"/>
      <c r="W109" s="49" t="n"/>
    </row>
    <row r="110">
      <c r="B110" s="49" t="n"/>
      <c r="C110" s="49" t="n"/>
      <c r="D110" s="49" t="n"/>
      <c r="E110" s="49" t="n"/>
      <c r="F110" s="49" t="n"/>
      <c r="G110" s="49" t="n"/>
      <c r="H110" s="50" t="n"/>
      <c r="I110" s="49" t="n"/>
      <c r="J110" s="49" t="n"/>
      <c r="K110" s="49" t="n"/>
      <c r="L110" s="49" t="n"/>
      <c r="M110" s="49" t="n"/>
      <c r="N110" s="49" t="n"/>
      <c r="O110" s="49" t="n"/>
      <c r="P110" s="49" t="n"/>
      <c r="Q110" s="49" t="n"/>
      <c r="R110" s="49" t="n"/>
      <c r="S110" s="49" t="n"/>
      <c r="T110" s="49" t="n"/>
      <c r="U110" s="49" t="n"/>
      <c r="V110" s="49" t="n"/>
      <c r="W110" s="49" t="n"/>
    </row>
    <row r="111">
      <c r="B111" s="49" t="n"/>
      <c r="C111" s="49" t="n"/>
      <c r="D111" s="49" t="n"/>
      <c r="E111" s="49" t="n"/>
      <c r="F111" s="49" t="n"/>
      <c r="G111" s="49" t="n"/>
      <c r="H111" s="50" t="n"/>
      <c r="I111" s="49" t="n"/>
      <c r="J111" s="49" t="n"/>
      <c r="K111" s="49" t="n"/>
      <c r="L111" s="49" t="n"/>
      <c r="M111" s="49" t="n"/>
      <c r="N111" s="49" t="n"/>
      <c r="O111" s="49" t="n"/>
      <c r="P111" s="49" t="n"/>
      <c r="Q111" s="49" t="n"/>
      <c r="R111" s="49" t="n"/>
      <c r="S111" s="49" t="n"/>
      <c r="T111" s="49" t="n"/>
      <c r="U111" s="49" t="n"/>
      <c r="V111" s="49" t="n"/>
      <c r="W111" s="49" t="n"/>
    </row>
    <row r="112">
      <c r="B112" s="49" t="n"/>
      <c r="C112" s="49" t="n"/>
      <c r="D112" s="49" t="n"/>
      <c r="E112" s="49" t="n"/>
      <c r="F112" s="49" t="n"/>
      <c r="G112" s="49" t="n"/>
      <c r="H112" s="50" t="n"/>
      <c r="I112" s="49" t="n"/>
      <c r="J112" s="49" t="n"/>
      <c r="K112" s="49" t="n"/>
      <c r="L112" s="49" t="n"/>
      <c r="M112" s="49" t="n"/>
      <c r="N112" s="49" t="n"/>
      <c r="O112" s="49" t="n"/>
      <c r="P112" s="49" t="n"/>
      <c r="Q112" s="49" t="n"/>
      <c r="R112" s="49" t="n"/>
      <c r="S112" s="49" t="n"/>
      <c r="T112" s="49" t="n"/>
      <c r="U112" s="49" t="n"/>
      <c r="V112" s="49" t="n"/>
      <c r="W112" s="49" t="n"/>
    </row>
    <row r="113">
      <c r="B113" s="49" t="n"/>
      <c r="C113" s="49" t="n"/>
      <c r="D113" s="49" t="n"/>
      <c r="E113" s="49" t="n"/>
      <c r="F113" s="49" t="n"/>
      <c r="G113" s="49" t="n"/>
      <c r="H113" s="50" t="n"/>
      <c r="I113" s="49" t="n"/>
      <c r="J113" s="49" t="n"/>
      <c r="K113" s="49" t="n"/>
      <c r="L113" s="49" t="n"/>
      <c r="M113" s="49" t="n"/>
      <c r="N113" s="49" t="n"/>
      <c r="O113" s="49" t="n"/>
      <c r="P113" s="49" t="n"/>
      <c r="Q113" s="49" t="n"/>
      <c r="R113" s="49" t="n"/>
      <c r="S113" s="49" t="n"/>
      <c r="T113" s="49" t="n"/>
      <c r="U113" s="49" t="n"/>
      <c r="V113" s="49" t="n"/>
      <c r="W113" s="49" t="n"/>
    </row>
    <row r="114">
      <c r="B114" s="49" t="n"/>
      <c r="C114" s="49" t="n"/>
      <c r="D114" s="49" t="n"/>
      <c r="E114" s="49" t="n"/>
      <c r="F114" s="49" t="n"/>
      <c r="G114" s="49" t="n"/>
      <c r="H114" s="50" t="n"/>
      <c r="I114" s="49" t="n"/>
      <c r="J114" s="49" t="n"/>
      <c r="K114" s="49" t="n"/>
      <c r="L114" s="49" t="n"/>
      <c r="M114" s="49" t="n"/>
      <c r="N114" s="49" t="n"/>
      <c r="O114" s="49" t="n"/>
      <c r="P114" s="49" t="n"/>
      <c r="Q114" s="49" t="n"/>
      <c r="R114" s="49" t="n"/>
      <c r="S114" s="49" t="n"/>
      <c r="T114" s="49" t="n"/>
      <c r="U114" s="49" t="n"/>
      <c r="V114" s="49" t="n"/>
      <c r="W114" s="49" t="n"/>
    </row>
    <row r="115">
      <c r="B115" s="49" t="n"/>
      <c r="C115" s="49" t="n"/>
      <c r="D115" s="49" t="n"/>
      <c r="E115" s="49" t="n"/>
      <c r="F115" s="49" t="n"/>
      <c r="G115" s="49" t="n"/>
      <c r="H115" s="50" t="n"/>
      <c r="I115" s="49" t="n"/>
      <c r="J115" s="49" t="n"/>
      <c r="K115" s="49" t="n"/>
      <c r="L115" s="49" t="n"/>
      <c r="M115" s="49" t="n"/>
      <c r="N115" s="49" t="n"/>
      <c r="O115" s="49" t="n"/>
      <c r="P115" s="49" t="n"/>
      <c r="Q115" s="49" t="n"/>
      <c r="R115" s="49" t="n"/>
      <c r="S115" s="49" t="n"/>
      <c r="T115" s="49" t="n"/>
      <c r="U115" s="49" t="n"/>
      <c r="V115" s="49" t="n"/>
      <c r="W115" s="49" t="n"/>
    </row>
    <row r="116">
      <c r="B116" s="49" t="n"/>
      <c r="C116" s="49" t="n"/>
      <c r="D116" s="49" t="n"/>
      <c r="E116" s="49" t="n"/>
      <c r="F116" s="49" t="n"/>
      <c r="G116" s="49" t="n"/>
      <c r="H116" s="50" t="n"/>
      <c r="I116" s="49" t="n"/>
      <c r="J116" s="49" t="n"/>
      <c r="K116" s="49" t="n"/>
      <c r="L116" s="49" t="n"/>
      <c r="M116" s="49" t="n"/>
      <c r="N116" s="49" t="n"/>
      <c r="O116" s="49" t="n"/>
      <c r="P116" s="49" t="n"/>
      <c r="Q116" s="49" t="n"/>
      <c r="R116" s="49" t="n"/>
      <c r="S116" s="49" t="n"/>
      <c r="T116" s="49" t="n"/>
      <c r="U116" s="49" t="n"/>
      <c r="V116" s="49" t="n"/>
      <c r="W116" s="49" t="n"/>
    </row>
    <row r="117">
      <c r="B117" s="49" t="n"/>
      <c r="C117" s="49" t="n"/>
      <c r="D117" s="49" t="n"/>
      <c r="E117" s="49" t="n"/>
      <c r="F117" s="49" t="n"/>
      <c r="G117" s="49" t="n"/>
      <c r="H117" s="50" t="n"/>
      <c r="I117" s="49" t="n"/>
      <c r="J117" s="49" t="n"/>
      <c r="K117" s="49" t="n"/>
      <c r="L117" s="49" t="n"/>
      <c r="M117" s="49" t="n"/>
      <c r="N117" s="49" t="n"/>
      <c r="O117" s="49" t="n"/>
      <c r="P117" s="49" t="n"/>
      <c r="Q117" s="49" t="n"/>
      <c r="R117" s="49" t="n"/>
      <c r="S117" s="49" t="n"/>
      <c r="T117" s="49" t="n"/>
      <c r="U117" s="49" t="n"/>
      <c r="V117" s="49" t="n"/>
      <c r="W117" s="49" t="n"/>
    </row>
    <row r="118">
      <c r="B118" s="49" t="n"/>
      <c r="C118" s="49" t="n"/>
      <c r="D118" s="49" t="n"/>
      <c r="E118" s="49" t="n"/>
      <c r="F118" s="49" t="n"/>
      <c r="G118" s="49" t="n"/>
      <c r="H118" s="50" t="n"/>
      <c r="I118" s="49" t="n"/>
      <c r="J118" s="49" t="n"/>
      <c r="K118" s="49" t="n"/>
      <c r="L118" s="49" t="n"/>
      <c r="M118" s="49" t="n"/>
      <c r="N118" s="49" t="n"/>
      <c r="O118" s="49" t="n"/>
      <c r="P118" s="49" t="n"/>
      <c r="Q118" s="49" t="n"/>
      <c r="R118" s="49" t="n"/>
      <c r="S118" s="49" t="n"/>
      <c r="T118" s="49" t="n"/>
      <c r="U118" s="49" t="n"/>
      <c r="V118" s="49" t="n"/>
      <c r="W118" s="49" t="n"/>
    </row>
    <row r="119">
      <c r="B119" s="49" t="n"/>
      <c r="C119" s="49" t="n"/>
      <c r="D119" s="49" t="n"/>
      <c r="E119" s="49" t="n"/>
      <c r="F119" s="49" t="n"/>
      <c r="G119" s="49" t="n"/>
      <c r="H119" s="50" t="n"/>
      <c r="I119" s="49" t="n"/>
      <c r="J119" s="49" t="n"/>
      <c r="K119" s="49" t="n"/>
      <c r="L119" s="49" t="n"/>
      <c r="M119" s="49" t="n"/>
      <c r="N119" s="49" t="n"/>
      <c r="O119" s="49" t="n"/>
      <c r="P119" s="49" t="n"/>
      <c r="Q119" s="49" t="n"/>
      <c r="R119" s="49" t="n"/>
      <c r="S119" s="49" t="n"/>
      <c r="T119" s="49" t="n"/>
      <c r="U119" s="49" t="n"/>
      <c r="V119" s="49" t="n"/>
      <c r="W119" s="49" t="n"/>
    </row>
    <row r="120">
      <c r="B120" s="49" t="n"/>
      <c r="C120" s="49" t="n"/>
      <c r="D120" s="49" t="n"/>
      <c r="E120" s="49" t="n"/>
      <c r="F120" s="49" t="n"/>
      <c r="G120" s="49" t="n"/>
      <c r="H120" s="50" t="n"/>
      <c r="I120" s="49" t="n"/>
      <c r="J120" s="49" t="n"/>
      <c r="K120" s="49" t="n"/>
      <c r="L120" s="49" t="n"/>
      <c r="M120" s="49" t="n"/>
      <c r="N120" s="49" t="n"/>
      <c r="O120" s="49" t="n"/>
      <c r="P120" s="49" t="n"/>
      <c r="Q120" s="49" t="n"/>
      <c r="R120" s="49" t="n"/>
      <c r="S120" s="49" t="n"/>
      <c r="T120" s="49" t="n"/>
      <c r="U120" s="49" t="n"/>
      <c r="V120" s="49" t="n"/>
      <c r="W120" s="49" t="n"/>
    </row>
    <row r="121">
      <c r="B121" s="49" t="n"/>
      <c r="C121" s="49" t="n"/>
      <c r="D121" s="49" t="n"/>
      <c r="E121" s="49" t="n"/>
      <c r="F121" s="49" t="n"/>
      <c r="G121" s="49" t="n"/>
      <c r="H121" s="50" t="n"/>
      <c r="I121" s="49" t="n"/>
      <c r="J121" s="49" t="n"/>
      <c r="K121" s="49" t="n"/>
      <c r="L121" s="49" t="n"/>
      <c r="M121" s="49" t="n"/>
      <c r="N121" s="49" t="n"/>
      <c r="O121" s="49" t="n"/>
      <c r="P121" s="49" t="n"/>
      <c r="Q121" s="49" t="n"/>
      <c r="R121" s="49" t="n"/>
      <c r="S121" s="49" t="n"/>
      <c r="T121" s="49" t="n"/>
      <c r="U121" s="49" t="n"/>
      <c r="V121" s="49" t="n"/>
      <c r="W121" s="49" t="n"/>
    </row>
    <row r="122">
      <c r="B122" s="49" t="n"/>
      <c r="C122" s="49" t="n"/>
      <c r="D122" s="49" t="n"/>
      <c r="E122" s="49" t="n"/>
      <c r="F122" s="49" t="n"/>
      <c r="G122" s="49" t="n"/>
      <c r="H122" s="50" t="n"/>
      <c r="I122" s="49" t="n"/>
      <c r="J122" s="49" t="n"/>
      <c r="K122" s="49" t="n"/>
      <c r="L122" s="49" t="n"/>
      <c r="M122" s="49" t="n"/>
      <c r="N122" s="49" t="n"/>
      <c r="O122" s="49" t="n"/>
      <c r="P122" s="49" t="n"/>
      <c r="Q122" s="49" t="n"/>
      <c r="R122" s="49" t="n"/>
      <c r="S122" s="49" t="n"/>
      <c r="T122" s="49" t="n"/>
      <c r="U122" s="49" t="n"/>
      <c r="V122" s="49" t="n"/>
      <c r="W122" s="49" t="n"/>
    </row>
    <row r="123">
      <c r="B123" s="49" t="n"/>
      <c r="C123" s="49" t="n"/>
      <c r="D123" s="49" t="n"/>
      <c r="E123" s="49" t="n"/>
      <c r="F123" s="49" t="n"/>
      <c r="G123" s="49" t="n"/>
      <c r="H123" s="50" t="n"/>
      <c r="I123" s="49" t="n"/>
      <c r="J123" s="49" t="n"/>
      <c r="K123" s="49" t="n"/>
      <c r="L123" s="49" t="n"/>
      <c r="M123" s="49" t="n"/>
      <c r="N123" s="49" t="n"/>
      <c r="O123" s="49" t="n"/>
      <c r="P123" s="49" t="n"/>
      <c r="Q123" s="49" t="n"/>
      <c r="R123" s="49" t="n"/>
      <c r="S123" s="49" t="n"/>
      <c r="T123" s="49" t="n"/>
      <c r="U123" s="49" t="n"/>
      <c r="V123" s="49" t="n"/>
      <c r="W123" s="49" t="n"/>
    </row>
    <row r="124">
      <c r="B124" s="49" t="n"/>
      <c r="C124" s="49" t="n"/>
      <c r="D124" s="49" t="n"/>
      <c r="E124" s="49" t="n"/>
      <c r="F124" s="49" t="n"/>
      <c r="G124" s="49" t="n"/>
      <c r="H124" s="50" t="n"/>
      <c r="I124" s="49" t="n"/>
      <c r="J124" s="49" t="n"/>
      <c r="K124" s="49" t="n"/>
      <c r="L124" s="49" t="n"/>
      <c r="M124" s="49" t="n"/>
      <c r="N124" s="49" t="n"/>
      <c r="O124" s="49" t="n"/>
      <c r="P124" s="49" t="n"/>
      <c r="Q124" s="49" t="n"/>
      <c r="R124" s="49" t="n"/>
      <c r="S124" s="49" t="n"/>
      <c r="T124" s="49" t="n"/>
      <c r="U124" s="49" t="n"/>
      <c r="V124" s="49" t="n"/>
      <c r="W124" s="49" t="n"/>
    </row>
    <row r="125">
      <c r="B125" s="49" t="n"/>
      <c r="C125" s="49" t="n"/>
      <c r="D125" s="49" t="n"/>
      <c r="E125" s="49" t="n"/>
      <c r="F125" s="49" t="n"/>
      <c r="G125" s="49" t="n"/>
      <c r="H125" s="50" t="n"/>
      <c r="I125" s="49" t="n"/>
      <c r="J125" s="49" t="n"/>
      <c r="K125" s="49" t="n"/>
      <c r="L125" s="49" t="n"/>
      <c r="M125" s="49" t="n"/>
      <c r="N125" s="49" t="n"/>
      <c r="O125" s="49" t="n"/>
      <c r="P125" s="49" t="n"/>
      <c r="Q125" s="49" t="n"/>
      <c r="R125" s="49" t="n"/>
      <c r="S125" s="49" t="n"/>
      <c r="T125" s="49" t="n"/>
      <c r="U125" s="49" t="n"/>
      <c r="V125" s="49" t="n"/>
      <c r="W125" s="49" t="n"/>
    </row>
    <row r="126">
      <c r="B126" s="49" t="n"/>
      <c r="C126" s="49" t="n"/>
      <c r="D126" s="49" t="n"/>
      <c r="E126" s="49" t="n"/>
      <c r="F126" s="49" t="n"/>
      <c r="G126" s="49" t="n"/>
      <c r="H126" s="50" t="n"/>
      <c r="I126" s="49" t="n"/>
      <c r="J126" s="49" t="n"/>
      <c r="K126" s="49" t="n"/>
      <c r="L126" s="49" t="n"/>
      <c r="M126" s="49" t="n"/>
      <c r="N126" s="49" t="n"/>
      <c r="O126" s="49" t="n"/>
      <c r="P126" s="49" t="n"/>
      <c r="Q126" s="49" t="n"/>
      <c r="R126" s="49" t="n"/>
      <c r="S126" s="49" t="n"/>
      <c r="T126" s="49" t="n"/>
      <c r="U126" s="49" t="n"/>
      <c r="V126" s="49" t="n"/>
      <c r="W126" s="49" t="n"/>
    </row>
    <row r="127">
      <c r="B127" s="49" t="n"/>
      <c r="C127" s="49" t="n"/>
      <c r="D127" s="49" t="n"/>
      <c r="E127" s="49" t="n"/>
      <c r="F127" s="49" t="n"/>
      <c r="G127" s="49" t="n"/>
      <c r="H127" s="50" t="n"/>
      <c r="I127" s="49" t="n"/>
      <c r="J127" s="49" t="n"/>
      <c r="K127" s="49" t="n"/>
      <c r="L127" s="49" t="n"/>
      <c r="M127" s="49" t="n"/>
      <c r="N127" s="49" t="n"/>
      <c r="O127" s="49" t="n"/>
      <c r="P127" s="49" t="n"/>
      <c r="Q127" s="49" t="n"/>
      <c r="R127" s="49" t="n"/>
      <c r="S127" s="49" t="n"/>
      <c r="T127" s="49" t="n"/>
      <c r="U127" s="49" t="n"/>
      <c r="V127" s="49" t="n"/>
      <c r="W127" s="49" t="n"/>
    </row>
    <row r="128">
      <c r="B128" s="49" t="n"/>
      <c r="C128" s="49" t="n"/>
      <c r="D128" s="49" t="n"/>
      <c r="E128" s="49" t="n"/>
      <c r="F128" s="49" t="n"/>
      <c r="G128" s="49" t="n"/>
      <c r="H128" s="50" t="n"/>
      <c r="I128" s="49" t="n"/>
      <c r="J128" s="49" t="n"/>
      <c r="K128" s="49" t="n"/>
      <c r="L128" s="49" t="n"/>
      <c r="M128" s="49" t="n"/>
      <c r="N128" s="49" t="n"/>
      <c r="O128" s="49" t="n"/>
      <c r="P128" s="49" t="n"/>
      <c r="Q128" s="49" t="n"/>
      <c r="R128" s="49" t="n"/>
      <c r="S128" s="49" t="n"/>
      <c r="T128" s="49" t="n"/>
      <c r="U128" s="49" t="n"/>
      <c r="V128" s="49" t="n"/>
      <c r="W128" s="49" t="n"/>
    </row>
    <row r="129">
      <c r="B129" s="49" t="n"/>
      <c r="C129" s="49" t="n"/>
      <c r="D129" s="49" t="n"/>
      <c r="E129" s="49" t="n"/>
      <c r="F129" s="49" t="n"/>
      <c r="G129" s="49" t="n"/>
      <c r="H129" s="50" t="n"/>
      <c r="I129" s="49" t="n"/>
      <c r="J129" s="49" t="n"/>
      <c r="K129" s="49" t="n"/>
      <c r="L129" s="49" t="n"/>
      <c r="M129" s="49" t="n"/>
      <c r="N129" s="49" t="n"/>
      <c r="O129" s="49" t="n"/>
      <c r="P129" s="49" t="n"/>
      <c r="Q129" s="49" t="n"/>
      <c r="R129" s="49" t="n"/>
      <c r="S129" s="49" t="n"/>
      <c r="T129" s="49" t="n"/>
      <c r="U129" s="49" t="n"/>
      <c r="V129" s="49" t="n"/>
      <c r="W129" s="49" t="n"/>
    </row>
    <row r="130">
      <c r="B130" s="49" t="n"/>
      <c r="C130" s="49" t="n"/>
      <c r="D130" s="49" t="n"/>
      <c r="E130" s="49" t="n"/>
      <c r="F130" s="49" t="n"/>
      <c r="G130" s="49" t="n"/>
      <c r="H130" s="50" t="n"/>
      <c r="I130" s="49" t="n"/>
      <c r="J130" s="49" t="n"/>
      <c r="K130" s="49" t="n"/>
      <c r="L130" s="49" t="n"/>
      <c r="M130" s="49" t="n"/>
      <c r="N130" s="49" t="n"/>
      <c r="O130" s="49" t="n"/>
      <c r="P130" s="49" t="n"/>
      <c r="Q130" s="49" t="n"/>
      <c r="R130" s="49" t="n"/>
      <c r="S130" s="49" t="n"/>
      <c r="T130" s="49" t="n"/>
      <c r="U130" s="49" t="n"/>
      <c r="V130" s="49" t="n"/>
      <c r="W130" s="49" t="n"/>
    </row>
    <row r="131">
      <c r="B131" s="49" t="n"/>
      <c r="C131" s="49" t="n"/>
      <c r="D131" s="49" t="n"/>
      <c r="E131" s="49" t="n"/>
      <c r="F131" s="49" t="n"/>
      <c r="G131" s="49" t="n"/>
      <c r="H131" s="50" t="n"/>
      <c r="I131" s="49" t="n"/>
      <c r="J131" s="49" t="n"/>
      <c r="K131" s="49" t="n"/>
      <c r="L131" s="49" t="n"/>
      <c r="M131" s="49" t="n"/>
      <c r="N131" s="49" t="n"/>
      <c r="O131" s="49" t="n"/>
      <c r="P131" s="49" t="n"/>
      <c r="Q131" s="49" t="n"/>
      <c r="R131" s="49" t="n"/>
      <c r="S131" s="49" t="n"/>
      <c r="T131" s="49" t="n"/>
      <c r="U131" s="49" t="n"/>
      <c r="V131" s="49" t="n"/>
      <c r="W131" s="49" t="n"/>
    </row>
    <row r="132">
      <c r="B132" s="49" t="n"/>
      <c r="C132" s="49" t="n"/>
      <c r="D132" s="49" t="n"/>
      <c r="E132" s="49" t="n"/>
      <c r="F132" s="49" t="n"/>
      <c r="G132" s="49" t="n"/>
      <c r="H132" s="50" t="n"/>
      <c r="I132" s="49" t="n"/>
      <c r="J132" s="49" t="n"/>
      <c r="K132" s="49" t="n"/>
      <c r="L132" s="49" t="n"/>
      <c r="M132" s="49" t="n"/>
      <c r="N132" s="49" t="n"/>
      <c r="O132" s="49" t="n"/>
      <c r="P132" s="49" t="n"/>
      <c r="Q132" s="49" t="n"/>
      <c r="R132" s="49" t="n"/>
      <c r="S132" s="49" t="n"/>
      <c r="T132" s="49" t="n"/>
      <c r="U132" s="49" t="n"/>
      <c r="V132" s="49" t="n"/>
      <c r="W132" s="49" t="n"/>
    </row>
    <row r="133">
      <c r="B133" s="49" t="n"/>
      <c r="C133" s="49" t="n"/>
      <c r="D133" s="49" t="n"/>
      <c r="E133" s="49" t="n"/>
      <c r="F133" s="49" t="n"/>
      <c r="G133" s="49" t="n"/>
      <c r="H133" s="50" t="n"/>
      <c r="I133" s="49" t="n"/>
      <c r="J133" s="49" t="n"/>
      <c r="K133" s="49" t="n"/>
      <c r="L133" s="49" t="n"/>
      <c r="M133" s="49" t="n"/>
      <c r="N133" s="49" t="n"/>
      <c r="O133" s="49" t="n"/>
      <c r="P133" s="49" t="n"/>
      <c r="Q133" s="49" t="n"/>
      <c r="R133" s="49" t="n"/>
      <c r="S133" s="49" t="n"/>
      <c r="T133" s="49" t="n"/>
      <c r="U133" s="49" t="n"/>
      <c r="V133" s="49" t="n"/>
      <c r="W133" s="49" t="n"/>
    </row>
    <row r="134">
      <c r="B134" s="49" t="n"/>
      <c r="C134" s="49" t="n"/>
      <c r="D134" s="49" t="n"/>
      <c r="E134" s="49" t="n"/>
      <c r="F134" s="49" t="n"/>
      <c r="G134" s="49" t="n"/>
      <c r="H134" s="50" t="n"/>
      <c r="I134" s="49" t="n"/>
      <c r="J134" s="49" t="n"/>
      <c r="K134" s="49" t="n"/>
      <c r="L134" s="49" t="n"/>
      <c r="M134" s="49" t="n"/>
      <c r="N134" s="49" t="n"/>
      <c r="O134" s="49" t="n"/>
      <c r="P134" s="49" t="n"/>
      <c r="Q134" s="49" t="n"/>
      <c r="R134" s="49" t="n"/>
      <c r="S134" s="49" t="n"/>
      <c r="T134" s="49" t="n"/>
      <c r="U134" s="49" t="n"/>
      <c r="V134" s="49" t="n"/>
      <c r="W134" s="49" t="n"/>
    </row>
    <row r="135">
      <c r="B135" s="49" t="n"/>
      <c r="C135" s="49" t="n"/>
      <c r="D135" s="49" t="n"/>
      <c r="E135" s="49" t="n"/>
      <c r="F135" s="49" t="n"/>
      <c r="G135" s="49" t="n"/>
      <c r="H135" s="50" t="n"/>
      <c r="I135" s="49" t="n"/>
      <c r="J135" s="49" t="n"/>
      <c r="K135" s="49" t="n"/>
      <c r="L135" s="49" t="n"/>
      <c r="M135" s="49" t="n"/>
      <c r="N135" s="49" t="n"/>
      <c r="O135" s="49" t="n"/>
      <c r="P135" s="49" t="n"/>
      <c r="Q135" s="49" t="n"/>
      <c r="R135" s="49" t="n"/>
      <c r="S135" s="49" t="n"/>
      <c r="T135" s="49" t="n"/>
      <c r="U135" s="49" t="n"/>
      <c r="V135" s="49" t="n"/>
      <c r="W135" s="49" t="n"/>
    </row>
    <row r="136">
      <c r="B136" s="49" t="n"/>
      <c r="C136" s="49" t="n"/>
      <c r="D136" s="49" t="n"/>
      <c r="E136" s="49" t="n"/>
      <c r="F136" s="49" t="n"/>
      <c r="G136" s="49" t="n"/>
      <c r="H136" s="50" t="n"/>
      <c r="I136" s="49" t="n"/>
      <c r="J136" s="49" t="n"/>
      <c r="K136" s="49" t="n"/>
      <c r="L136" s="49" t="n"/>
      <c r="M136" s="49" t="n"/>
      <c r="N136" s="49" t="n"/>
      <c r="O136" s="49" t="n"/>
      <c r="P136" s="49" t="n"/>
      <c r="Q136" s="49" t="n"/>
      <c r="R136" s="49" t="n"/>
      <c r="S136" s="49" t="n"/>
      <c r="T136" s="49" t="n"/>
      <c r="U136" s="49" t="n"/>
      <c r="V136" s="49" t="n"/>
      <c r="W136" s="49" t="n"/>
    </row>
    <row r="137">
      <c r="B137" s="49" t="n"/>
      <c r="C137" s="49" t="n"/>
      <c r="D137" s="49" t="n"/>
      <c r="E137" s="49" t="n"/>
      <c r="F137" s="49" t="n"/>
      <c r="G137" s="49" t="n"/>
      <c r="H137" s="50" t="n"/>
      <c r="I137" s="49" t="n"/>
      <c r="J137" s="49" t="n"/>
      <c r="K137" s="49" t="n"/>
      <c r="L137" s="49" t="n"/>
      <c r="M137" s="49" t="n"/>
      <c r="N137" s="49" t="n"/>
      <c r="O137" s="49" t="n"/>
      <c r="P137" s="49" t="n"/>
      <c r="Q137" s="49" t="n"/>
      <c r="R137" s="49" t="n"/>
      <c r="S137" s="49" t="n"/>
      <c r="T137" s="49" t="n"/>
      <c r="U137" s="49" t="n"/>
      <c r="V137" s="49" t="n"/>
      <c r="W137" s="49" t="n"/>
    </row>
    <row r="138">
      <c r="B138" s="49" t="n"/>
      <c r="C138" s="49" t="n"/>
      <c r="D138" s="49" t="n"/>
      <c r="E138" s="49" t="n"/>
      <c r="F138" s="49" t="n"/>
      <c r="G138" s="49" t="n"/>
      <c r="H138" s="50" t="n"/>
      <c r="I138" s="49" t="n"/>
      <c r="J138" s="49" t="n"/>
      <c r="K138" s="49" t="n"/>
      <c r="L138" s="49" t="n"/>
      <c r="M138" s="49" t="n"/>
      <c r="N138" s="49" t="n"/>
      <c r="O138" s="49" t="n"/>
      <c r="P138" s="49" t="n"/>
      <c r="Q138" s="49" t="n"/>
      <c r="R138" s="49" t="n"/>
      <c r="S138" s="49" t="n"/>
      <c r="T138" s="49" t="n"/>
      <c r="U138" s="49" t="n"/>
      <c r="V138" s="49" t="n"/>
      <c r="W138" s="49" t="n"/>
    </row>
    <row r="139">
      <c r="B139" s="49" t="n"/>
      <c r="C139" s="49" t="n"/>
      <c r="D139" s="49" t="n"/>
      <c r="E139" s="49" t="n"/>
      <c r="F139" s="49" t="n"/>
      <c r="G139" s="49" t="n"/>
      <c r="H139" s="50" t="n"/>
      <c r="I139" s="49" t="n"/>
      <c r="J139" s="49" t="n"/>
      <c r="K139" s="49" t="n"/>
      <c r="L139" s="49" t="n"/>
      <c r="M139" s="49" t="n"/>
      <c r="N139" s="49" t="n"/>
      <c r="O139" s="49" t="n"/>
      <c r="P139" s="49" t="n"/>
      <c r="Q139" s="49" t="n"/>
      <c r="R139" s="49" t="n"/>
      <c r="S139" s="49" t="n"/>
      <c r="T139" s="49" t="n"/>
      <c r="U139" s="49" t="n"/>
      <c r="V139" s="49" t="n"/>
      <c r="W139" s="49" t="n"/>
    </row>
    <row r="140">
      <c r="B140" s="49" t="n"/>
      <c r="C140" s="49" t="n"/>
      <c r="D140" s="49" t="n"/>
      <c r="E140" s="49" t="n"/>
      <c r="F140" s="49" t="n"/>
      <c r="G140" s="49" t="n"/>
      <c r="H140" s="50" t="n"/>
      <c r="I140" s="49" t="n"/>
      <c r="J140" s="49" t="n"/>
      <c r="K140" s="49" t="n"/>
      <c r="L140" s="49" t="n"/>
      <c r="M140" s="49" t="n"/>
      <c r="N140" s="49" t="n"/>
      <c r="O140" s="49" t="n"/>
      <c r="P140" s="49" t="n"/>
      <c r="Q140" s="49" t="n"/>
      <c r="R140" s="49" t="n"/>
      <c r="S140" s="49" t="n"/>
      <c r="T140" s="49" t="n"/>
      <c r="U140" s="49" t="n"/>
      <c r="V140" s="49" t="n"/>
      <c r="W140" s="49" t="n"/>
    </row>
    <row r="141">
      <c r="B141" s="49" t="n"/>
      <c r="C141" s="49" t="n"/>
      <c r="D141" s="49" t="n"/>
      <c r="E141" s="49" t="n"/>
      <c r="F141" s="49" t="n"/>
      <c r="G141" s="49" t="n"/>
      <c r="H141" s="50" t="n"/>
      <c r="I141" s="49" t="n"/>
      <c r="J141" s="49" t="n"/>
      <c r="K141" s="49" t="n"/>
      <c r="L141" s="49" t="n"/>
      <c r="M141" s="49" t="n"/>
      <c r="N141" s="49" t="n"/>
      <c r="O141" s="49" t="n"/>
      <c r="P141" s="49" t="n"/>
      <c r="Q141" s="49" t="n"/>
      <c r="R141" s="49" t="n"/>
      <c r="S141" s="49" t="n"/>
      <c r="T141" s="49" t="n"/>
      <c r="U141" s="49" t="n"/>
      <c r="V141" s="49" t="n"/>
      <c r="W141" s="49" t="n"/>
    </row>
    <row r="142">
      <c r="B142" s="49" t="n"/>
      <c r="C142" s="49" t="n"/>
      <c r="D142" s="49" t="n"/>
      <c r="E142" s="49" t="n"/>
      <c r="F142" s="49" t="n"/>
      <c r="G142" s="49" t="n"/>
      <c r="H142" s="50" t="n"/>
      <c r="I142" s="49" t="n"/>
      <c r="J142" s="49" t="n"/>
      <c r="K142" s="49" t="n"/>
      <c r="L142" s="49" t="n"/>
      <c r="M142" s="49" t="n"/>
      <c r="N142" s="49" t="n"/>
      <c r="O142" s="49" t="n"/>
      <c r="P142" s="49" t="n"/>
      <c r="Q142" s="49" t="n"/>
      <c r="R142" s="49" t="n"/>
      <c r="S142" s="49" t="n"/>
      <c r="T142" s="49" t="n"/>
      <c r="U142" s="49" t="n"/>
      <c r="V142" s="49" t="n"/>
      <c r="W142" s="49" t="n"/>
    </row>
    <row r="143">
      <c r="B143" s="49" t="n"/>
      <c r="C143" s="49" t="n"/>
      <c r="D143" s="49" t="n"/>
      <c r="E143" s="49" t="n"/>
      <c r="F143" s="49" t="n"/>
      <c r="G143" s="49" t="n"/>
      <c r="H143" s="50" t="n"/>
      <c r="I143" s="49" t="n"/>
      <c r="J143" s="49" t="n"/>
      <c r="K143" s="49" t="n"/>
      <c r="L143" s="49" t="n"/>
      <c r="M143" s="49" t="n"/>
      <c r="N143" s="49" t="n"/>
      <c r="O143" s="49" t="n"/>
      <c r="P143" s="49" t="n"/>
      <c r="Q143" s="49" t="n"/>
      <c r="R143" s="49" t="n"/>
      <c r="S143" s="49" t="n"/>
      <c r="T143" s="49" t="n"/>
      <c r="U143" s="49" t="n"/>
      <c r="V143" s="49" t="n"/>
      <c r="W143" s="49" t="n"/>
    </row>
    <row r="144">
      <c r="B144" s="49" t="n"/>
      <c r="C144" s="49" t="n"/>
      <c r="D144" s="49" t="n"/>
      <c r="E144" s="49" t="n"/>
      <c r="F144" s="49" t="n"/>
      <c r="G144" s="49" t="n"/>
      <c r="H144" s="50" t="n"/>
      <c r="I144" s="49" t="n"/>
      <c r="J144" s="49" t="n"/>
      <c r="K144" s="49" t="n"/>
      <c r="L144" s="49" t="n"/>
      <c r="M144" s="49" t="n"/>
      <c r="N144" s="49" t="n"/>
      <c r="O144" s="49" t="n"/>
      <c r="P144" s="49" t="n"/>
      <c r="Q144" s="49" t="n"/>
      <c r="R144" s="49" t="n"/>
      <c r="S144" s="49" t="n"/>
      <c r="T144" s="49" t="n"/>
      <c r="U144" s="49" t="n"/>
      <c r="V144" s="49" t="n"/>
      <c r="W144" s="49" t="n"/>
    </row>
    <row r="145">
      <c r="B145" s="49" t="n"/>
      <c r="C145" s="49" t="n"/>
      <c r="D145" s="49" t="n"/>
      <c r="E145" s="49" t="n"/>
      <c r="F145" s="49" t="n"/>
      <c r="G145" s="49" t="n"/>
      <c r="H145" s="50" t="n"/>
      <c r="I145" s="49" t="n"/>
      <c r="J145" s="49" t="n"/>
      <c r="K145" s="49" t="n"/>
      <c r="L145" s="49" t="n"/>
      <c r="M145" s="49" t="n"/>
      <c r="N145" s="49" t="n"/>
      <c r="O145" s="49" t="n"/>
      <c r="P145" s="49" t="n"/>
      <c r="Q145" s="49" t="n"/>
      <c r="R145" s="49" t="n"/>
      <c r="S145" s="49" t="n"/>
      <c r="T145" s="49" t="n"/>
      <c r="U145" s="49" t="n"/>
      <c r="V145" s="49" t="n"/>
      <c r="W145" s="49" t="n"/>
    </row>
    <row r="146">
      <c r="B146" s="49" t="n"/>
      <c r="C146" s="49" t="n"/>
      <c r="D146" s="49" t="n"/>
      <c r="E146" s="49" t="n"/>
      <c r="F146" s="49" t="n"/>
      <c r="G146" s="49" t="n"/>
      <c r="H146" s="50" t="n"/>
      <c r="I146" s="49" t="n"/>
      <c r="J146" s="49" t="n"/>
      <c r="K146" s="49" t="n"/>
      <c r="L146" s="49" t="n"/>
      <c r="M146" s="49" t="n"/>
      <c r="N146" s="49" t="n"/>
      <c r="O146" s="49" t="n"/>
      <c r="P146" s="49" t="n"/>
      <c r="Q146" s="49" t="n"/>
      <c r="R146" s="49" t="n"/>
      <c r="S146" s="49" t="n"/>
      <c r="T146" s="49" t="n"/>
      <c r="U146" s="49" t="n"/>
      <c r="V146" s="49" t="n"/>
      <c r="W146" s="49" t="n"/>
    </row>
    <row r="147">
      <c r="B147" s="49" t="n"/>
      <c r="C147" s="49" t="n"/>
      <c r="D147" s="49" t="n"/>
      <c r="E147" s="49" t="n"/>
      <c r="F147" s="49" t="n"/>
      <c r="G147" s="49" t="n"/>
      <c r="H147" s="50" t="n"/>
      <c r="I147" s="49" t="n"/>
      <c r="J147" s="49" t="n"/>
      <c r="K147" s="49" t="n"/>
      <c r="L147" s="49" t="n"/>
      <c r="M147" s="49" t="n"/>
      <c r="N147" s="49" t="n"/>
      <c r="O147" s="49" t="n"/>
      <c r="P147" s="49" t="n"/>
      <c r="Q147" s="49" t="n"/>
      <c r="R147" s="49" t="n"/>
      <c r="S147" s="49" t="n"/>
      <c r="T147" s="49" t="n"/>
      <c r="U147" s="49" t="n"/>
      <c r="V147" s="49" t="n"/>
      <c r="W147" s="49" t="n"/>
    </row>
    <row r="148">
      <c r="B148" s="49" t="n"/>
      <c r="C148" s="49" t="n"/>
      <c r="D148" s="49" t="n"/>
      <c r="E148" s="49" t="n"/>
      <c r="F148" s="49" t="n"/>
      <c r="G148" s="49" t="n"/>
      <c r="H148" s="50" t="n"/>
      <c r="I148" s="49" t="n"/>
      <c r="J148" s="49" t="n"/>
      <c r="K148" s="49" t="n"/>
      <c r="L148" s="49" t="n"/>
      <c r="M148" s="49" t="n"/>
      <c r="N148" s="49" t="n"/>
      <c r="O148" s="49" t="n"/>
      <c r="P148" s="49" t="n"/>
      <c r="Q148" s="49" t="n"/>
      <c r="R148" s="49" t="n"/>
      <c r="S148" s="49" t="n"/>
      <c r="T148" s="49" t="n"/>
      <c r="U148" s="49" t="n"/>
      <c r="V148" s="49" t="n"/>
      <c r="W148" s="49" t="n"/>
    </row>
    <row r="149">
      <c r="B149" s="49" t="n"/>
      <c r="C149" s="49" t="n"/>
      <c r="D149" s="49" t="n"/>
      <c r="E149" s="49" t="n"/>
      <c r="F149" s="49" t="n"/>
      <c r="G149" s="49" t="n"/>
      <c r="H149" s="50" t="n"/>
      <c r="I149" s="49" t="n"/>
      <c r="J149" s="49" t="n"/>
      <c r="K149" s="49" t="n"/>
      <c r="L149" s="49" t="n"/>
      <c r="M149" s="49" t="n"/>
      <c r="N149" s="49" t="n"/>
      <c r="O149" s="49" t="n"/>
      <c r="P149" s="49" t="n"/>
      <c r="Q149" s="49" t="n"/>
      <c r="R149" s="49" t="n"/>
      <c r="S149" s="49" t="n"/>
      <c r="T149" s="49" t="n"/>
      <c r="U149" s="49" t="n"/>
      <c r="V149" s="49" t="n"/>
      <c r="W149" s="49" t="n"/>
    </row>
    <row r="150">
      <c r="B150" s="49" t="n"/>
      <c r="C150" s="49" t="n"/>
      <c r="D150" s="49" t="n"/>
      <c r="E150" s="49" t="n"/>
      <c r="F150" s="49" t="n"/>
      <c r="G150" s="49" t="n"/>
      <c r="H150" s="50" t="n"/>
      <c r="I150" s="49" t="n"/>
      <c r="J150" s="49" t="n"/>
      <c r="K150" s="49" t="n"/>
      <c r="L150" s="49" t="n"/>
      <c r="M150" s="49" t="n"/>
      <c r="N150" s="49" t="n"/>
      <c r="O150" s="49" t="n"/>
      <c r="P150" s="49" t="n"/>
      <c r="Q150" s="49" t="n"/>
      <c r="R150" s="49" t="n"/>
      <c r="S150" s="49" t="n"/>
      <c r="T150" s="49" t="n"/>
      <c r="U150" s="49" t="n"/>
      <c r="V150" s="49" t="n"/>
      <c r="W150" s="49" t="n"/>
    </row>
    <row r="151">
      <c r="B151" s="49" t="n"/>
      <c r="C151" s="49" t="n"/>
      <c r="D151" s="49" t="n"/>
      <c r="E151" s="49" t="n"/>
      <c r="F151" s="49" t="n"/>
      <c r="G151" s="49" t="n"/>
      <c r="H151" s="50" t="n"/>
      <c r="I151" s="49" t="n"/>
      <c r="J151" s="49" t="n"/>
      <c r="K151" s="49" t="n"/>
      <c r="L151" s="49" t="n"/>
      <c r="M151" s="49" t="n"/>
      <c r="N151" s="49" t="n"/>
      <c r="O151" s="49" t="n"/>
      <c r="P151" s="49" t="n"/>
      <c r="Q151" s="49" t="n"/>
      <c r="R151" s="49" t="n"/>
      <c r="S151" s="49" t="n"/>
      <c r="T151" s="49" t="n"/>
      <c r="U151" s="49" t="n"/>
      <c r="V151" s="49" t="n"/>
      <c r="W151" s="49" t="n"/>
    </row>
    <row r="152">
      <c r="B152" s="49" t="n"/>
      <c r="C152" s="49" t="n"/>
      <c r="D152" s="49" t="n"/>
      <c r="E152" s="49" t="n"/>
      <c r="F152" s="49" t="n"/>
      <c r="G152" s="49" t="n"/>
      <c r="H152" s="50" t="n"/>
      <c r="I152" s="49" t="n"/>
      <c r="J152" s="49" t="n"/>
      <c r="K152" s="49" t="n"/>
      <c r="L152" s="49" t="n"/>
      <c r="M152" s="49" t="n"/>
      <c r="N152" s="49" t="n"/>
      <c r="O152" s="49" t="n"/>
      <c r="P152" s="49" t="n"/>
      <c r="Q152" s="49" t="n"/>
      <c r="R152" s="49" t="n"/>
      <c r="S152" s="49" t="n"/>
      <c r="T152" s="49" t="n"/>
      <c r="U152" s="49" t="n"/>
      <c r="V152" s="49" t="n"/>
      <c r="W152" s="49" t="n"/>
    </row>
    <row r="153">
      <c r="B153" s="49" t="n"/>
      <c r="C153" s="49" t="n"/>
      <c r="D153" s="49" t="n"/>
      <c r="E153" s="49" t="n"/>
      <c r="F153" s="49" t="n"/>
      <c r="G153" s="49" t="n"/>
      <c r="H153" s="50" t="n"/>
      <c r="I153" s="49" t="n"/>
      <c r="J153" s="49" t="n"/>
      <c r="K153" s="49" t="n"/>
      <c r="L153" s="49" t="n"/>
      <c r="M153" s="49" t="n"/>
      <c r="N153" s="49" t="n"/>
      <c r="O153" s="49" t="n"/>
      <c r="P153" s="49" t="n"/>
      <c r="Q153" s="49" t="n"/>
      <c r="R153" s="49" t="n"/>
      <c r="S153" s="49" t="n"/>
      <c r="T153" s="49" t="n"/>
      <c r="U153" s="49" t="n"/>
      <c r="V153" s="49" t="n"/>
      <c r="W153" s="49" t="n"/>
    </row>
    <row r="154">
      <c r="B154" s="49" t="n"/>
      <c r="C154" s="49" t="n"/>
      <c r="D154" s="49" t="n"/>
      <c r="E154" s="49" t="n"/>
      <c r="F154" s="49" t="n"/>
      <c r="G154" s="49" t="n"/>
      <c r="H154" s="50" t="n"/>
      <c r="I154" s="49" t="n"/>
      <c r="J154" s="49" t="n"/>
      <c r="K154" s="49" t="n"/>
      <c r="L154" s="49" t="n"/>
      <c r="M154" s="49" t="n"/>
      <c r="N154" s="49" t="n"/>
      <c r="O154" s="49" t="n"/>
      <c r="P154" s="49" t="n"/>
      <c r="Q154" s="49" t="n"/>
      <c r="R154" s="49" t="n"/>
      <c r="S154" s="49" t="n"/>
      <c r="T154" s="49" t="n"/>
      <c r="U154" s="49" t="n"/>
      <c r="V154" s="49" t="n"/>
      <c r="W154" s="49" t="n"/>
    </row>
    <row r="155">
      <c r="B155" s="49" t="n"/>
      <c r="C155" s="49" t="n"/>
      <c r="D155" s="49" t="n"/>
      <c r="E155" s="49" t="n"/>
      <c r="F155" s="49" t="n"/>
      <c r="G155" s="49" t="n"/>
      <c r="H155" s="50" t="n"/>
      <c r="I155" s="49" t="n"/>
      <c r="J155" s="49" t="n"/>
      <c r="K155" s="49" t="n"/>
      <c r="L155" s="49" t="n"/>
      <c r="M155" s="49" t="n"/>
      <c r="N155" s="49" t="n"/>
      <c r="O155" s="49" t="n"/>
      <c r="P155" s="49" t="n"/>
      <c r="Q155" s="49" t="n"/>
      <c r="R155" s="49" t="n"/>
      <c r="S155" s="49" t="n"/>
      <c r="T155" s="49" t="n"/>
      <c r="U155" s="49" t="n"/>
      <c r="V155" s="49" t="n"/>
      <c r="W155" s="49" t="n"/>
    </row>
    <row r="156">
      <c r="B156" s="49" t="n"/>
      <c r="C156" s="49" t="n"/>
      <c r="D156" s="49" t="n"/>
      <c r="E156" s="49" t="n"/>
      <c r="F156" s="49" t="n"/>
      <c r="G156" s="49" t="n"/>
      <c r="H156" s="50" t="n"/>
      <c r="I156" s="49" t="n"/>
      <c r="J156" s="49" t="n"/>
      <c r="K156" s="49" t="n"/>
      <c r="L156" s="49" t="n"/>
      <c r="M156" s="49" t="n"/>
      <c r="N156" s="49" t="n"/>
      <c r="O156" s="49" t="n"/>
      <c r="P156" s="49" t="n"/>
      <c r="Q156" s="49" t="n"/>
      <c r="R156" s="49" t="n"/>
      <c r="S156" s="49" t="n"/>
      <c r="T156" s="49" t="n"/>
      <c r="U156" s="49" t="n"/>
      <c r="V156" s="49" t="n"/>
      <c r="W156" s="49" t="n"/>
    </row>
    <row r="157">
      <c r="B157" s="49" t="n"/>
      <c r="C157" s="49" t="n"/>
      <c r="D157" s="49" t="n"/>
      <c r="E157" s="49" t="n"/>
      <c r="F157" s="49" t="n"/>
      <c r="G157" s="49" t="n"/>
      <c r="H157" s="50" t="n"/>
      <c r="I157" s="49" t="n"/>
      <c r="J157" s="49" t="n"/>
      <c r="K157" s="49" t="n"/>
      <c r="L157" s="49" t="n"/>
      <c r="M157" s="49" t="n"/>
      <c r="N157" s="49" t="n"/>
      <c r="O157" s="49" t="n"/>
      <c r="P157" s="49" t="n"/>
      <c r="Q157" s="49" t="n"/>
      <c r="R157" s="49" t="n"/>
      <c r="S157" s="49" t="n"/>
      <c r="T157" s="49" t="n"/>
      <c r="U157" s="49" t="n"/>
      <c r="V157" s="49" t="n"/>
      <c r="W157" s="49" t="n"/>
    </row>
    <row r="158">
      <c r="B158" s="49" t="n"/>
      <c r="C158" s="49" t="n"/>
      <c r="D158" s="49" t="n"/>
      <c r="E158" s="49" t="n"/>
      <c r="F158" s="49" t="n"/>
      <c r="G158" s="49" t="n"/>
      <c r="H158" s="50" t="n"/>
      <c r="I158" s="49" t="n"/>
      <c r="J158" s="49" t="n"/>
      <c r="K158" s="49" t="n"/>
      <c r="L158" s="49" t="n"/>
      <c r="M158" s="49" t="n"/>
      <c r="N158" s="49" t="n"/>
      <c r="O158" s="49" t="n"/>
      <c r="P158" s="49" t="n"/>
      <c r="Q158" s="49" t="n"/>
      <c r="R158" s="49" t="n"/>
      <c r="S158" s="49" t="n"/>
      <c r="T158" s="49" t="n"/>
      <c r="U158" s="49" t="n"/>
      <c r="V158" s="49" t="n"/>
      <c r="W158" s="49" t="n"/>
    </row>
    <row r="159">
      <c r="B159" s="49" t="n"/>
      <c r="C159" s="49" t="n"/>
      <c r="D159" s="49" t="n"/>
      <c r="E159" s="49" t="n"/>
      <c r="F159" s="49" t="n"/>
      <c r="G159" s="49" t="n"/>
      <c r="H159" s="50" t="n"/>
      <c r="I159" s="49" t="n"/>
      <c r="J159" s="49" t="n"/>
      <c r="K159" s="49" t="n"/>
      <c r="L159" s="49" t="n"/>
      <c r="M159" s="49" t="n"/>
      <c r="N159" s="49" t="n"/>
      <c r="O159" s="49" t="n"/>
      <c r="P159" s="49" t="n"/>
      <c r="Q159" s="49" t="n"/>
      <c r="R159" s="49" t="n"/>
      <c r="S159" s="49" t="n"/>
      <c r="T159" s="49" t="n"/>
      <c r="U159" s="49" t="n"/>
      <c r="V159" s="49" t="n"/>
      <c r="W159" s="49" t="n"/>
    </row>
    <row r="160">
      <c r="B160" s="49" t="n"/>
      <c r="C160" s="49" t="n"/>
      <c r="D160" s="49" t="n"/>
      <c r="E160" s="49" t="n"/>
      <c r="F160" s="49" t="n"/>
      <c r="G160" s="49" t="n"/>
      <c r="H160" s="50" t="n"/>
      <c r="I160" s="49" t="n"/>
      <c r="J160" s="49" t="n"/>
      <c r="K160" s="49" t="n"/>
      <c r="L160" s="49" t="n"/>
      <c r="M160" s="49" t="n"/>
      <c r="N160" s="49" t="n"/>
      <c r="O160" s="49" t="n"/>
      <c r="P160" s="49" t="n"/>
      <c r="Q160" s="49" t="n"/>
      <c r="R160" s="49" t="n"/>
      <c r="S160" s="49" t="n"/>
      <c r="T160" s="49" t="n"/>
      <c r="U160" s="49" t="n"/>
      <c r="V160" s="49" t="n"/>
      <c r="W160" s="49" t="n"/>
    </row>
    <row r="161">
      <c r="B161" s="49" t="n"/>
      <c r="C161" s="49" t="n"/>
      <c r="D161" s="49" t="n"/>
      <c r="E161" s="49" t="n"/>
      <c r="F161" s="49" t="n"/>
      <c r="G161" s="49" t="n"/>
      <c r="H161" s="50" t="n"/>
      <c r="I161" s="49" t="n"/>
      <c r="J161" s="49" t="n"/>
      <c r="K161" s="49" t="n"/>
      <c r="L161" s="49" t="n"/>
      <c r="M161" s="49" t="n"/>
      <c r="N161" s="49" t="n"/>
      <c r="O161" s="49" t="n"/>
      <c r="P161" s="49" t="n"/>
      <c r="Q161" s="49" t="n"/>
      <c r="R161" s="49" t="n"/>
      <c r="S161" s="49" t="n"/>
      <c r="T161" s="49" t="n"/>
      <c r="U161" s="49" t="n"/>
      <c r="V161" s="49" t="n"/>
      <c r="W161" s="49" t="n"/>
    </row>
    <row r="162">
      <c r="B162" s="49" t="n"/>
      <c r="C162" s="49" t="n"/>
      <c r="D162" s="49" t="n"/>
      <c r="E162" s="49" t="n"/>
      <c r="F162" s="49" t="n"/>
      <c r="G162" s="49" t="n"/>
      <c r="H162" s="50" t="n"/>
      <c r="I162" s="49" t="n"/>
      <c r="J162" s="49" t="n"/>
      <c r="K162" s="49" t="n"/>
      <c r="L162" s="49" t="n"/>
      <c r="M162" s="49" t="n"/>
      <c r="N162" s="49" t="n"/>
      <c r="O162" s="49" t="n"/>
      <c r="P162" s="49" t="n"/>
      <c r="Q162" s="49" t="n"/>
      <c r="R162" s="49" t="n"/>
      <c r="S162" s="49" t="n"/>
      <c r="T162" s="49" t="n"/>
      <c r="U162" s="49" t="n"/>
      <c r="V162" s="49" t="n"/>
      <c r="W162" s="49" t="n"/>
    </row>
    <row r="163">
      <c r="B163" s="49" t="n"/>
      <c r="C163" s="49" t="n"/>
      <c r="D163" s="49" t="n"/>
      <c r="E163" s="49" t="n"/>
      <c r="F163" s="49" t="n"/>
      <c r="G163" s="49" t="n"/>
      <c r="H163" s="50" t="n"/>
      <c r="I163" s="49" t="n"/>
      <c r="J163" s="49" t="n"/>
      <c r="K163" s="49" t="n"/>
      <c r="L163" s="49" t="n"/>
      <c r="M163" s="49" t="n"/>
      <c r="N163" s="49" t="n"/>
      <c r="O163" s="49" t="n"/>
      <c r="P163" s="49" t="n"/>
      <c r="Q163" s="49" t="n"/>
      <c r="R163" s="49" t="n"/>
      <c r="S163" s="49" t="n"/>
      <c r="T163" s="49" t="n"/>
      <c r="U163" s="49" t="n"/>
      <c r="V163" s="49" t="n"/>
      <c r="W163" s="49" t="n"/>
    </row>
    <row r="164">
      <c r="B164" s="49" t="n"/>
      <c r="C164" s="49" t="n"/>
      <c r="D164" s="49" t="n"/>
      <c r="E164" s="49" t="n"/>
      <c r="F164" s="49" t="n"/>
      <c r="G164" s="49" t="n"/>
      <c r="H164" s="50" t="n"/>
      <c r="I164" s="49" t="n"/>
      <c r="J164" s="49" t="n"/>
      <c r="K164" s="49" t="n"/>
      <c r="L164" s="49" t="n"/>
      <c r="M164" s="49" t="n"/>
      <c r="N164" s="49" t="n"/>
      <c r="O164" s="49" t="n"/>
      <c r="P164" s="49" t="n"/>
      <c r="Q164" s="49" t="n"/>
      <c r="R164" s="49" t="n"/>
      <c r="S164" s="49" t="n"/>
      <c r="T164" s="49" t="n"/>
      <c r="U164" s="49" t="n"/>
      <c r="V164" s="49" t="n"/>
      <c r="W164" s="49" t="n"/>
    </row>
    <row r="165">
      <c r="B165" s="49" t="n"/>
      <c r="C165" s="49" t="n"/>
      <c r="D165" s="49" t="n"/>
      <c r="E165" s="49" t="n"/>
      <c r="F165" s="49" t="n"/>
      <c r="G165" s="49" t="n"/>
      <c r="H165" s="50" t="n"/>
      <c r="I165" s="49" t="n"/>
      <c r="J165" s="49" t="n"/>
      <c r="K165" s="49" t="n"/>
      <c r="L165" s="49" t="n"/>
      <c r="M165" s="49" t="n"/>
      <c r="N165" s="49" t="n"/>
      <c r="O165" s="49" t="n"/>
      <c r="P165" s="49" t="n"/>
      <c r="Q165" s="49" t="n"/>
      <c r="R165" s="49" t="n"/>
      <c r="S165" s="49" t="n"/>
      <c r="T165" s="49" t="n"/>
      <c r="U165" s="49" t="n"/>
      <c r="V165" s="49" t="n"/>
      <c r="W165" s="49" t="n"/>
    </row>
    <row r="166">
      <c r="B166" s="49" t="n"/>
      <c r="C166" s="49" t="n"/>
      <c r="D166" s="49" t="n"/>
      <c r="E166" s="49" t="n"/>
      <c r="F166" s="49" t="n"/>
      <c r="G166" s="49" t="n"/>
      <c r="H166" s="50" t="n"/>
      <c r="I166" s="49" t="n"/>
      <c r="J166" s="49" t="n"/>
      <c r="K166" s="49" t="n"/>
      <c r="L166" s="49" t="n"/>
      <c r="M166" s="49" t="n"/>
      <c r="N166" s="49" t="n"/>
      <c r="O166" s="49" t="n"/>
      <c r="P166" s="49" t="n"/>
      <c r="Q166" s="49" t="n"/>
      <c r="R166" s="49" t="n"/>
      <c r="S166" s="49" t="n"/>
      <c r="T166" s="49" t="n"/>
      <c r="U166" s="49" t="n"/>
      <c r="V166" s="49" t="n"/>
      <c r="W166" s="49" t="n"/>
    </row>
    <row r="167">
      <c r="B167" s="49" t="n"/>
      <c r="C167" s="49" t="n"/>
      <c r="D167" s="49" t="n"/>
      <c r="E167" s="49" t="n"/>
      <c r="F167" s="49" t="n"/>
      <c r="G167" s="49" t="n"/>
      <c r="H167" s="50" t="n"/>
      <c r="I167" s="49" t="n"/>
      <c r="J167" s="49" t="n"/>
      <c r="K167" s="49" t="n"/>
      <c r="L167" s="49" t="n"/>
      <c r="M167" s="49" t="n"/>
      <c r="N167" s="49" t="n"/>
      <c r="O167" s="49" t="n"/>
      <c r="P167" s="49" t="n"/>
      <c r="Q167" s="49" t="n"/>
      <c r="R167" s="49" t="n"/>
      <c r="S167" s="49" t="n"/>
      <c r="T167" s="49" t="n"/>
      <c r="U167" s="49" t="n"/>
      <c r="V167" s="49" t="n"/>
      <c r="W167" s="49" t="n"/>
    </row>
    <row r="168">
      <c r="B168" s="49" t="n"/>
      <c r="C168" s="49" t="n"/>
      <c r="D168" s="49" t="n"/>
      <c r="E168" s="49" t="n"/>
      <c r="F168" s="49" t="n"/>
      <c r="G168" s="49" t="n"/>
      <c r="H168" s="50" t="n"/>
      <c r="I168" s="49" t="n"/>
      <c r="J168" s="49" t="n"/>
      <c r="K168" s="49" t="n"/>
      <c r="L168" s="49" t="n"/>
      <c r="M168" s="49" t="n"/>
      <c r="N168" s="49" t="n"/>
      <c r="O168" s="49" t="n"/>
      <c r="P168" s="49" t="n"/>
      <c r="Q168" s="49" t="n"/>
      <c r="R168" s="49" t="n"/>
      <c r="S168" s="49" t="n"/>
      <c r="T168" s="49" t="n"/>
      <c r="U168" s="49" t="n"/>
      <c r="V168" s="49" t="n"/>
      <c r="W168" s="49" t="n"/>
    </row>
    <row r="169">
      <c r="B169" s="49" t="n"/>
      <c r="C169" s="49" t="n"/>
      <c r="D169" s="49" t="n"/>
      <c r="E169" s="49" t="n"/>
      <c r="F169" s="49" t="n"/>
      <c r="G169" s="49" t="n"/>
      <c r="H169" s="50" t="n"/>
      <c r="I169" s="49" t="n"/>
      <c r="J169" s="49" t="n"/>
      <c r="K169" s="49" t="n"/>
      <c r="L169" s="49" t="n"/>
      <c r="M169" s="49" t="n"/>
      <c r="N169" s="49" t="n"/>
      <c r="O169" s="49" t="n"/>
      <c r="P169" s="49" t="n"/>
      <c r="Q169" s="49" t="n"/>
      <c r="R169" s="49" t="n"/>
      <c r="S169" s="49" t="n"/>
      <c r="T169" s="49" t="n"/>
      <c r="U169" s="49" t="n"/>
      <c r="V169" s="49" t="n"/>
      <c r="W169" s="49" t="n"/>
    </row>
    <row r="170">
      <c r="B170" s="49" t="n"/>
      <c r="C170" s="49" t="n"/>
      <c r="D170" s="49" t="n"/>
      <c r="E170" s="49" t="n"/>
      <c r="F170" s="49" t="n"/>
      <c r="G170" s="49" t="n"/>
      <c r="H170" s="50" t="n"/>
      <c r="I170" s="49" t="n"/>
      <c r="J170" s="49" t="n"/>
      <c r="K170" s="49" t="n"/>
      <c r="L170" s="49" t="n"/>
      <c r="M170" s="49" t="n"/>
      <c r="N170" s="49" t="n"/>
      <c r="O170" s="49" t="n"/>
      <c r="P170" s="49" t="n"/>
      <c r="Q170" s="49" t="n"/>
      <c r="R170" s="49" t="n"/>
      <c r="S170" s="49" t="n"/>
      <c r="T170" s="49" t="n"/>
      <c r="U170" s="49" t="n"/>
      <c r="V170" s="49" t="n"/>
      <c r="W170" s="49" t="n"/>
    </row>
    <row r="171">
      <c r="B171" s="49" t="n"/>
      <c r="C171" s="49" t="n"/>
      <c r="D171" s="49" t="n"/>
      <c r="E171" s="49" t="n"/>
      <c r="F171" s="49" t="n"/>
      <c r="G171" s="49" t="n"/>
      <c r="H171" s="50" t="n"/>
      <c r="I171" s="49" t="n"/>
      <c r="J171" s="49" t="n"/>
      <c r="K171" s="49" t="n"/>
      <c r="L171" s="49" t="n"/>
      <c r="M171" s="49" t="n"/>
      <c r="N171" s="49" t="n"/>
      <c r="O171" s="49" t="n"/>
      <c r="P171" s="49" t="n"/>
      <c r="Q171" s="49" t="n"/>
      <c r="R171" s="49" t="n"/>
      <c r="S171" s="49" t="n"/>
      <c r="T171" s="49" t="n"/>
      <c r="U171" s="49" t="n"/>
      <c r="V171" s="49" t="n"/>
      <c r="W171" s="49" t="n"/>
    </row>
    <row r="172">
      <c r="B172" s="49" t="n"/>
      <c r="C172" s="49" t="n"/>
      <c r="D172" s="49" t="n"/>
      <c r="E172" s="49" t="n"/>
      <c r="F172" s="49" t="n"/>
      <c r="G172" s="49" t="n"/>
      <c r="H172" s="50" t="n"/>
      <c r="I172" s="49" t="n"/>
      <c r="J172" s="49" t="n"/>
      <c r="K172" s="49" t="n"/>
      <c r="L172" s="49" t="n"/>
      <c r="M172" s="49" t="n"/>
      <c r="N172" s="49" t="n"/>
      <c r="O172" s="49" t="n"/>
      <c r="P172" s="49" t="n"/>
      <c r="Q172" s="49" t="n"/>
      <c r="R172" s="49" t="n"/>
      <c r="S172" s="49" t="n"/>
      <c r="T172" s="49" t="n"/>
      <c r="U172" s="49" t="n"/>
      <c r="V172" s="49" t="n"/>
      <c r="W172" s="49" t="n"/>
    </row>
    <row r="173">
      <c r="B173" s="49" t="n"/>
      <c r="C173" s="49" t="n"/>
      <c r="D173" s="49" t="n"/>
      <c r="E173" s="49" t="n"/>
      <c r="F173" s="49" t="n"/>
      <c r="G173" s="49" t="n"/>
      <c r="H173" s="50" t="n"/>
      <c r="I173" s="49" t="n"/>
      <c r="J173" s="49" t="n"/>
      <c r="K173" s="49" t="n"/>
      <c r="L173" s="49" t="n"/>
      <c r="M173" s="49" t="n"/>
      <c r="N173" s="49" t="n"/>
      <c r="O173" s="49" t="n"/>
      <c r="P173" s="49" t="n"/>
      <c r="Q173" s="49" t="n"/>
      <c r="R173" s="49" t="n"/>
      <c r="S173" s="49" t="n"/>
      <c r="T173" s="49" t="n"/>
      <c r="U173" s="49" t="n"/>
      <c r="V173" s="49" t="n"/>
      <c r="W173" s="49" t="n"/>
    </row>
    <row r="174">
      <c r="B174" s="49" t="n"/>
      <c r="C174" s="49" t="n"/>
      <c r="D174" s="49" t="n"/>
      <c r="E174" s="49" t="n"/>
      <c r="F174" s="49" t="n"/>
      <c r="G174" s="49" t="n"/>
      <c r="H174" s="50" t="n"/>
      <c r="I174" s="49" t="n"/>
      <c r="J174" s="49" t="n"/>
      <c r="K174" s="49" t="n"/>
      <c r="L174" s="49" t="n"/>
      <c r="M174" s="49" t="n"/>
      <c r="N174" s="49" t="n"/>
      <c r="O174" s="49" t="n"/>
      <c r="P174" s="49" t="n"/>
      <c r="Q174" s="49" t="n"/>
      <c r="R174" s="49" t="n"/>
      <c r="S174" s="49" t="n"/>
      <c r="T174" s="49" t="n"/>
      <c r="U174" s="49" t="n"/>
      <c r="V174" s="49" t="n"/>
      <c r="W174" s="49" t="n"/>
    </row>
    <row r="175">
      <c r="B175" s="49" t="n"/>
      <c r="C175" s="49" t="n"/>
      <c r="D175" s="49" t="n"/>
      <c r="E175" s="49" t="n"/>
      <c r="F175" s="49" t="n"/>
      <c r="G175" s="49" t="n"/>
      <c r="H175" s="50" t="n"/>
      <c r="I175" s="49" t="n"/>
      <c r="J175" s="49" t="n"/>
      <c r="K175" s="49" t="n"/>
      <c r="L175" s="49" t="n"/>
      <c r="M175" s="49" t="n"/>
      <c r="N175" s="49" t="n"/>
      <c r="O175" s="49" t="n"/>
      <c r="P175" s="49" t="n"/>
      <c r="Q175" s="49" t="n"/>
      <c r="R175" s="49" t="n"/>
      <c r="S175" s="49" t="n"/>
      <c r="T175" s="49" t="n"/>
      <c r="U175" s="49" t="n"/>
      <c r="V175" s="49" t="n"/>
      <c r="W175" s="49" t="n"/>
    </row>
    <row r="176">
      <c r="B176" s="49" t="n"/>
      <c r="C176" s="49" t="n"/>
      <c r="D176" s="49" t="n"/>
      <c r="E176" s="49" t="n"/>
      <c r="F176" s="49" t="n"/>
      <c r="G176" s="49" t="n"/>
      <c r="H176" s="50" t="n"/>
      <c r="I176" s="49" t="n"/>
      <c r="J176" s="49" t="n"/>
      <c r="K176" s="49" t="n"/>
      <c r="L176" s="49" t="n"/>
      <c r="M176" s="49" t="n"/>
      <c r="N176" s="49" t="n"/>
      <c r="O176" s="49" t="n"/>
      <c r="P176" s="49" t="n"/>
      <c r="Q176" s="49" t="n"/>
      <c r="R176" s="49" t="n"/>
      <c r="S176" s="49" t="n"/>
      <c r="T176" s="49" t="n"/>
      <c r="U176" s="49" t="n"/>
      <c r="V176" s="49" t="n"/>
      <c r="W176" s="49" t="n"/>
    </row>
    <row r="177">
      <c r="B177" s="49" t="n"/>
      <c r="C177" s="49" t="n"/>
      <c r="D177" s="49" t="n"/>
      <c r="E177" s="49" t="n"/>
      <c r="F177" s="49" t="n"/>
      <c r="G177" s="49" t="n"/>
      <c r="H177" s="50" t="n"/>
      <c r="I177" s="49" t="n"/>
      <c r="J177" s="49" t="n"/>
      <c r="K177" s="49" t="n"/>
      <c r="L177" s="49" t="n"/>
      <c r="M177" s="49" t="n"/>
      <c r="N177" s="49" t="n"/>
      <c r="O177" s="49" t="n"/>
      <c r="P177" s="49" t="n"/>
      <c r="Q177" s="49" t="n"/>
      <c r="R177" s="49" t="n"/>
      <c r="S177" s="49" t="n"/>
      <c r="T177" s="49" t="n"/>
      <c r="U177" s="49" t="n"/>
      <c r="V177" s="49" t="n"/>
      <c r="W177" s="49" t="n"/>
    </row>
    <row r="178">
      <c r="B178" s="49" t="n"/>
      <c r="C178" s="49" t="n"/>
      <c r="D178" s="49" t="n"/>
      <c r="E178" s="49" t="n"/>
      <c r="F178" s="49" t="n"/>
      <c r="G178" s="49" t="n"/>
      <c r="H178" s="50" t="n"/>
      <c r="I178" s="49" t="n"/>
      <c r="J178" s="49" t="n"/>
      <c r="K178" s="49" t="n"/>
      <c r="L178" s="49" t="n"/>
      <c r="M178" s="49" t="n"/>
      <c r="N178" s="49" t="n"/>
      <c r="O178" s="49" t="n"/>
      <c r="P178" s="49" t="n"/>
      <c r="Q178" s="49" t="n"/>
      <c r="R178" s="49" t="n"/>
      <c r="S178" s="49" t="n"/>
      <c r="T178" s="49" t="n"/>
      <c r="U178" s="49" t="n"/>
      <c r="V178" s="49" t="n"/>
      <c r="W178" s="49" t="n"/>
    </row>
    <row r="179">
      <c r="B179" s="49" t="n"/>
      <c r="C179" s="49" t="n"/>
      <c r="D179" s="49" t="n"/>
      <c r="E179" s="49" t="n"/>
      <c r="F179" s="49" t="n"/>
      <c r="G179" s="49" t="n"/>
      <c r="H179" s="50" t="n"/>
      <c r="I179" s="49" t="n"/>
      <c r="J179" s="49" t="n"/>
      <c r="K179" s="49" t="n"/>
      <c r="L179" s="49" t="n"/>
      <c r="M179" s="49" t="n"/>
      <c r="N179" s="49" t="n"/>
      <c r="O179" s="49" t="n"/>
      <c r="P179" s="49" t="n"/>
      <c r="Q179" s="49" t="n"/>
      <c r="R179" s="49" t="n"/>
      <c r="S179" s="49" t="n"/>
      <c r="T179" s="49" t="n"/>
      <c r="U179" s="49" t="n"/>
      <c r="V179" s="49" t="n"/>
      <c r="W179" s="49" t="n"/>
    </row>
    <row r="180">
      <c r="B180" s="49" t="n"/>
      <c r="C180" s="49" t="n"/>
      <c r="D180" s="49" t="n"/>
      <c r="E180" s="49" t="n"/>
      <c r="F180" s="49" t="n"/>
      <c r="G180" s="49" t="n"/>
      <c r="H180" s="50" t="n"/>
      <c r="I180" s="49" t="n"/>
      <c r="J180" s="49" t="n"/>
      <c r="K180" s="49" t="n"/>
      <c r="L180" s="49" t="n"/>
      <c r="M180" s="49" t="n"/>
      <c r="N180" s="49" t="n"/>
      <c r="O180" s="49" t="n"/>
      <c r="P180" s="49" t="n"/>
      <c r="Q180" s="49" t="n"/>
      <c r="R180" s="49" t="n"/>
      <c r="S180" s="49" t="n"/>
      <c r="T180" s="49" t="n"/>
      <c r="U180" s="49" t="n"/>
      <c r="V180" s="49" t="n"/>
      <c r="W180" s="49" t="n"/>
    </row>
    <row r="181">
      <c r="B181" s="49" t="n"/>
      <c r="C181" s="49" t="n"/>
      <c r="D181" s="49" t="n"/>
      <c r="E181" s="49" t="n"/>
      <c r="F181" s="49" t="n"/>
      <c r="G181" s="49" t="n"/>
      <c r="H181" s="50" t="n"/>
      <c r="I181" s="49" t="n"/>
      <c r="J181" s="49" t="n"/>
      <c r="K181" s="49" t="n"/>
      <c r="L181" s="49" t="n"/>
      <c r="M181" s="49" t="n"/>
      <c r="N181" s="49" t="n"/>
      <c r="O181" s="49" t="n"/>
      <c r="P181" s="49" t="n"/>
      <c r="Q181" s="49" t="n"/>
      <c r="R181" s="49" t="n"/>
      <c r="S181" s="49" t="n"/>
      <c r="T181" s="49" t="n"/>
      <c r="U181" s="49" t="n"/>
      <c r="V181" s="49" t="n"/>
      <c r="W181" s="49" t="n"/>
    </row>
    <row r="182">
      <c r="B182" s="49" t="n"/>
      <c r="C182" s="49" t="n"/>
      <c r="D182" s="49" t="n"/>
      <c r="E182" s="49" t="n"/>
      <c r="F182" s="49" t="n"/>
      <c r="G182" s="49" t="n"/>
      <c r="H182" s="50" t="n"/>
      <c r="I182" s="49" t="n"/>
      <c r="J182" s="49" t="n"/>
      <c r="K182" s="49" t="n"/>
      <c r="L182" s="49" t="n"/>
      <c r="M182" s="49" t="n"/>
      <c r="N182" s="49" t="n"/>
      <c r="O182" s="49" t="n"/>
      <c r="P182" s="49" t="n"/>
      <c r="Q182" s="49" t="n"/>
      <c r="R182" s="49" t="n"/>
      <c r="S182" s="49" t="n"/>
      <c r="T182" s="49" t="n"/>
      <c r="U182" s="49" t="n"/>
      <c r="V182" s="49" t="n"/>
      <c r="W182" s="49" t="n"/>
    </row>
    <row r="183">
      <c r="B183" s="49" t="n"/>
      <c r="C183" s="49" t="n"/>
      <c r="D183" s="49" t="n"/>
      <c r="E183" s="49" t="n"/>
      <c r="F183" s="49" t="n"/>
      <c r="G183" s="49" t="n"/>
      <c r="H183" s="50" t="n"/>
      <c r="I183" s="49" t="n"/>
      <c r="J183" s="49" t="n"/>
      <c r="K183" s="49" t="n"/>
      <c r="L183" s="49" t="n"/>
      <c r="M183" s="49" t="n"/>
      <c r="N183" s="49" t="n"/>
      <c r="O183" s="49" t="n"/>
      <c r="P183" s="49" t="n"/>
      <c r="Q183" s="49" t="n"/>
      <c r="R183" s="49" t="n"/>
      <c r="S183" s="49" t="n"/>
      <c r="T183" s="49" t="n"/>
      <c r="U183" s="49" t="n"/>
      <c r="V183" s="49" t="n"/>
      <c r="W183" s="49" t="n"/>
    </row>
    <row r="184">
      <c r="B184" s="49" t="n"/>
      <c r="C184" s="49" t="n"/>
      <c r="D184" s="49" t="n"/>
      <c r="E184" s="49" t="n"/>
      <c r="F184" s="49" t="n"/>
      <c r="G184" s="49" t="n"/>
      <c r="H184" s="50" t="n"/>
      <c r="I184" s="49" t="n"/>
      <c r="J184" s="49" t="n"/>
      <c r="K184" s="49" t="n"/>
      <c r="L184" s="49" t="n"/>
      <c r="M184" s="49" t="n"/>
      <c r="N184" s="49" t="n"/>
      <c r="O184" s="49" t="n"/>
      <c r="P184" s="49" t="n"/>
      <c r="Q184" s="49" t="n"/>
      <c r="R184" s="49" t="n"/>
      <c r="S184" s="49" t="n"/>
      <c r="T184" s="49" t="n"/>
      <c r="U184" s="49" t="n"/>
      <c r="V184" s="49" t="n"/>
      <c r="W184" s="49" t="n"/>
    </row>
    <row r="185">
      <c r="B185" s="49" t="n"/>
      <c r="C185" s="49" t="n"/>
      <c r="D185" s="49" t="n"/>
      <c r="E185" s="49" t="n"/>
      <c r="F185" s="49" t="n"/>
      <c r="G185" s="49" t="n"/>
      <c r="H185" s="50" t="n"/>
      <c r="I185" s="49" t="n"/>
      <c r="J185" s="49" t="n"/>
      <c r="K185" s="49" t="n"/>
      <c r="L185" s="49" t="n"/>
      <c r="M185" s="49" t="n"/>
      <c r="N185" s="49" t="n"/>
      <c r="O185" s="49" t="n"/>
      <c r="P185" s="49" t="n"/>
      <c r="Q185" s="49" t="n"/>
      <c r="R185" s="49" t="n"/>
      <c r="S185" s="49" t="n"/>
      <c r="T185" s="49" t="n"/>
      <c r="U185" s="49" t="n"/>
      <c r="V185" s="49" t="n"/>
      <c r="W185" s="49" t="n"/>
    </row>
    <row r="186">
      <c r="B186" s="49" t="n"/>
      <c r="C186" s="49" t="n"/>
      <c r="D186" s="49" t="n"/>
      <c r="E186" s="49" t="n"/>
      <c r="F186" s="49" t="n"/>
      <c r="G186" s="49" t="n"/>
      <c r="H186" s="50" t="n"/>
      <c r="I186" s="49" t="n"/>
      <c r="J186" s="49" t="n"/>
      <c r="K186" s="49" t="n"/>
      <c r="L186" s="49" t="n"/>
      <c r="M186" s="49" t="n"/>
      <c r="N186" s="49" t="n"/>
      <c r="O186" s="49" t="n"/>
      <c r="P186" s="49" t="n"/>
      <c r="Q186" s="49" t="n"/>
      <c r="R186" s="49" t="n"/>
      <c r="S186" s="49" t="n"/>
      <c r="T186" s="49" t="n"/>
      <c r="U186" s="49" t="n"/>
      <c r="V186" s="49" t="n"/>
      <c r="W186" s="49" t="n"/>
    </row>
    <row r="187">
      <c r="B187" s="49" t="n"/>
      <c r="C187" s="49" t="n"/>
      <c r="D187" s="49" t="n"/>
      <c r="E187" s="49" t="n"/>
      <c r="F187" s="49" t="n"/>
      <c r="G187" s="49" t="n"/>
      <c r="H187" s="50" t="n"/>
      <c r="I187" s="49" t="n"/>
      <c r="J187" s="49" t="n"/>
      <c r="K187" s="49" t="n"/>
      <c r="L187" s="49" t="n"/>
      <c r="M187" s="49" t="n"/>
      <c r="N187" s="49" t="n"/>
      <c r="O187" s="49" t="n"/>
      <c r="P187" s="49" t="n"/>
      <c r="Q187" s="49" t="n"/>
      <c r="R187" s="49" t="n"/>
      <c r="S187" s="49" t="n"/>
      <c r="T187" s="49" t="n"/>
      <c r="U187" s="49" t="n"/>
      <c r="V187" s="49" t="n"/>
      <c r="W187" s="49" t="n"/>
    </row>
    <row r="188">
      <c r="B188" s="49" t="n"/>
      <c r="C188" s="49" t="n"/>
      <c r="D188" s="49" t="n"/>
      <c r="E188" s="49" t="n"/>
      <c r="F188" s="49" t="n"/>
      <c r="G188" s="49" t="n"/>
      <c r="H188" s="50" t="n"/>
      <c r="I188" s="49" t="n"/>
      <c r="J188" s="49" t="n"/>
      <c r="K188" s="49" t="n"/>
      <c r="L188" s="49" t="n"/>
      <c r="M188" s="49" t="n"/>
      <c r="N188" s="49" t="n"/>
      <c r="O188" s="49" t="n"/>
      <c r="P188" s="49" t="n"/>
      <c r="Q188" s="49" t="n"/>
      <c r="R188" s="49" t="n"/>
      <c r="S188" s="49" t="n"/>
      <c r="T188" s="49" t="n"/>
      <c r="U188" s="49" t="n"/>
      <c r="V188" s="49" t="n"/>
      <c r="W188" s="49" t="n"/>
    </row>
    <row r="189">
      <c r="B189" s="49" t="n"/>
      <c r="C189" s="49" t="n"/>
      <c r="D189" s="49" t="n"/>
      <c r="E189" s="49" t="n"/>
      <c r="F189" s="49" t="n"/>
      <c r="G189" s="49" t="n"/>
      <c r="H189" s="50" t="n"/>
      <c r="I189" s="49" t="n"/>
      <c r="J189" s="49" t="n"/>
      <c r="K189" s="49" t="n"/>
      <c r="L189" s="49" t="n"/>
      <c r="M189" s="49" t="n"/>
      <c r="N189" s="49" t="n"/>
      <c r="O189" s="49" t="n"/>
      <c r="P189" s="49" t="n"/>
      <c r="Q189" s="49" t="n"/>
      <c r="R189" s="49" t="n"/>
      <c r="S189" s="49" t="n"/>
      <c r="T189" s="49" t="n"/>
      <c r="U189" s="49" t="n"/>
      <c r="V189" s="49" t="n"/>
      <c r="W189" s="49" t="n"/>
    </row>
    <row r="190">
      <c r="B190" s="49" t="n"/>
      <c r="C190" s="49" t="n"/>
      <c r="D190" s="49" t="n"/>
      <c r="E190" s="49" t="n"/>
      <c r="F190" s="49" t="n"/>
      <c r="G190" s="49" t="n"/>
      <c r="H190" s="50" t="n"/>
      <c r="I190" s="49" t="n"/>
      <c r="J190" s="49" t="n"/>
      <c r="K190" s="49" t="n"/>
      <c r="L190" s="49" t="n"/>
      <c r="M190" s="49" t="n"/>
      <c r="N190" s="49" t="n"/>
      <c r="O190" s="49" t="n"/>
      <c r="P190" s="49" t="n"/>
      <c r="Q190" s="49" t="n"/>
      <c r="R190" s="49" t="n"/>
      <c r="S190" s="49" t="n"/>
      <c r="T190" s="49" t="n"/>
      <c r="U190" s="49" t="n"/>
      <c r="V190" s="49" t="n"/>
      <c r="W190" s="49" t="n"/>
    </row>
    <row r="191">
      <c r="B191" s="49" t="n"/>
      <c r="C191" s="49" t="n"/>
      <c r="D191" s="49" t="n"/>
      <c r="E191" s="49" t="n"/>
      <c r="F191" s="49" t="n"/>
      <c r="G191" s="49" t="n"/>
      <c r="H191" s="50" t="n"/>
      <c r="I191" s="49" t="n"/>
      <c r="J191" s="49" t="n"/>
      <c r="K191" s="49" t="n"/>
      <c r="L191" s="49" t="n"/>
      <c r="M191" s="49" t="n"/>
      <c r="N191" s="49" t="n"/>
      <c r="O191" s="49" t="n"/>
      <c r="P191" s="49" t="n"/>
      <c r="Q191" s="49" t="n"/>
      <c r="R191" s="49" t="n"/>
      <c r="S191" s="49" t="n"/>
      <c r="T191" s="49" t="n"/>
      <c r="U191" s="49" t="n"/>
      <c r="V191" s="49" t="n"/>
      <c r="W191" s="49" t="n"/>
    </row>
    <row r="192">
      <c r="B192" s="49" t="n"/>
      <c r="C192" s="49" t="n"/>
      <c r="D192" s="49" t="n"/>
      <c r="E192" s="49" t="n"/>
      <c r="F192" s="49" t="n"/>
      <c r="G192" s="49" t="n"/>
      <c r="H192" s="50" t="n"/>
      <c r="I192" s="49" t="n"/>
      <c r="J192" s="49" t="n"/>
      <c r="K192" s="49" t="n"/>
      <c r="L192" s="49" t="n"/>
      <c r="M192" s="49" t="n"/>
      <c r="N192" s="49" t="n"/>
      <c r="O192" s="49" t="n"/>
      <c r="P192" s="49" t="n"/>
      <c r="Q192" s="49" t="n"/>
      <c r="R192" s="49" t="n"/>
      <c r="S192" s="49" t="n"/>
      <c r="T192" s="49" t="n"/>
      <c r="U192" s="49" t="n"/>
      <c r="V192" s="49" t="n"/>
      <c r="W192" s="49" t="n"/>
    </row>
    <row r="193">
      <c r="B193" s="49" t="n"/>
      <c r="C193" s="49" t="n"/>
      <c r="D193" s="49" t="n"/>
      <c r="E193" s="49" t="n"/>
      <c r="F193" s="49" t="n"/>
      <c r="G193" s="49" t="n"/>
      <c r="H193" s="50" t="n"/>
      <c r="I193" s="49" t="n"/>
      <c r="J193" s="49" t="n"/>
      <c r="K193" s="49" t="n"/>
      <c r="L193" s="49" t="n"/>
      <c r="M193" s="49" t="n"/>
      <c r="N193" s="49" t="n"/>
      <c r="O193" s="49" t="n"/>
      <c r="P193" s="49" t="n"/>
      <c r="Q193" s="49" t="n"/>
      <c r="R193" s="49" t="n"/>
      <c r="S193" s="49" t="n"/>
      <c r="T193" s="49" t="n"/>
      <c r="U193" s="49" t="n"/>
      <c r="V193" s="49" t="n"/>
      <c r="W193" s="49" t="n"/>
    </row>
    <row r="194">
      <c r="B194" s="49" t="n"/>
      <c r="C194" s="49" t="n"/>
      <c r="D194" s="49" t="n"/>
      <c r="E194" s="49" t="n"/>
      <c r="F194" s="49" t="n"/>
      <c r="G194" s="49" t="n"/>
      <c r="H194" s="50" t="n"/>
      <c r="I194" s="49" t="n"/>
      <c r="J194" s="49" t="n"/>
      <c r="K194" s="49" t="n"/>
      <c r="L194" s="49" t="n"/>
      <c r="M194" s="49" t="n"/>
      <c r="N194" s="49" t="n"/>
      <c r="O194" s="49" t="n"/>
      <c r="P194" s="49" t="n"/>
      <c r="Q194" s="49" t="n"/>
      <c r="R194" s="49" t="n"/>
      <c r="S194" s="49" t="n"/>
      <c r="T194" s="49" t="n"/>
      <c r="U194" s="49" t="n"/>
      <c r="V194" s="49" t="n"/>
      <c r="W194" s="49" t="n"/>
    </row>
    <row r="195">
      <c r="B195" s="49" t="n"/>
      <c r="C195" s="49" t="n"/>
      <c r="D195" s="49" t="n"/>
      <c r="E195" s="49" t="n"/>
      <c r="F195" s="49" t="n"/>
      <c r="G195" s="49" t="n"/>
      <c r="H195" s="50" t="n"/>
      <c r="I195" s="49" t="n"/>
      <c r="J195" s="49" t="n"/>
      <c r="K195" s="49" t="n"/>
      <c r="L195" s="49" t="n"/>
      <c r="M195" s="49" t="n"/>
      <c r="N195" s="49" t="n"/>
      <c r="O195" s="49" t="n"/>
      <c r="P195" s="49" t="n"/>
      <c r="Q195" s="49" t="n"/>
      <c r="R195" s="49" t="n"/>
      <c r="S195" s="49" t="n"/>
      <c r="T195" s="49" t="n"/>
      <c r="U195" s="49" t="n"/>
      <c r="V195" s="49" t="n"/>
      <c r="W195" s="49" t="n"/>
    </row>
    <row r="196">
      <c r="B196" s="49" t="n"/>
      <c r="C196" s="49" t="n"/>
      <c r="D196" s="49" t="n"/>
      <c r="E196" s="49" t="n"/>
      <c r="F196" s="49" t="n"/>
      <c r="G196" s="49" t="n"/>
      <c r="H196" s="50" t="n"/>
      <c r="I196" s="49" t="n"/>
      <c r="J196" s="49" t="n"/>
      <c r="K196" s="49" t="n"/>
      <c r="L196" s="49" t="n"/>
      <c r="M196" s="49" t="n"/>
      <c r="N196" s="49" t="n"/>
      <c r="O196" s="49" t="n"/>
      <c r="P196" s="49" t="n"/>
      <c r="Q196" s="49" t="n"/>
      <c r="R196" s="49" t="n"/>
      <c r="S196" s="49" t="n"/>
      <c r="T196" s="49" t="n"/>
      <c r="U196" s="49" t="n"/>
      <c r="V196" s="49" t="n"/>
      <c r="W196" s="49" t="n"/>
    </row>
    <row r="197">
      <c r="B197" s="49" t="n"/>
      <c r="C197" s="49" t="n"/>
      <c r="D197" s="49" t="n"/>
      <c r="E197" s="49" t="n"/>
      <c r="F197" s="49" t="n"/>
      <c r="G197" s="49" t="n"/>
      <c r="H197" s="50" t="n"/>
      <c r="I197" s="49" t="n"/>
      <c r="J197" s="49" t="n"/>
      <c r="K197" s="49" t="n"/>
      <c r="L197" s="49" t="n"/>
      <c r="M197" s="49" t="n"/>
      <c r="N197" s="49" t="n"/>
      <c r="O197" s="49" t="n"/>
      <c r="P197" s="49" t="n"/>
      <c r="Q197" s="49" t="n"/>
      <c r="R197" s="49" t="n"/>
      <c r="S197" s="49" t="n"/>
      <c r="T197" s="49" t="n"/>
      <c r="U197" s="49" t="n"/>
      <c r="V197" s="49" t="n"/>
      <c r="W197" s="49" t="n"/>
    </row>
    <row r="198">
      <c r="B198" s="49" t="n"/>
      <c r="C198" s="49" t="n"/>
      <c r="D198" s="49" t="n"/>
      <c r="E198" s="49" t="n"/>
      <c r="F198" s="49" t="n"/>
      <c r="G198" s="49" t="n"/>
      <c r="H198" s="50" t="n"/>
      <c r="I198" s="49" t="n"/>
      <c r="J198" s="49" t="n"/>
      <c r="K198" s="49" t="n"/>
      <c r="L198" s="49" t="n"/>
      <c r="M198" s="49" t="n"/>
      <c r="N198" s="49" t="n"/>
      <c r="O198" s="49" t="n"/>
      <c r="P198" s="49" t="n"/>
      <c r="Q198" s="49" t="n"/>
      <c r="R198" s="49" t="n"/>
      <c r="S198" s="49" t="n"/>
      <c r="T198" s="49" t="n"/>
      <c r="U198" s="49" t="n"/>
      <c r="V198" s="49" t="n"/>
      <c r="W198" s="49" t="n"/>
    </row>
    <row r="199">
      <c r="B199" s="49" t="n"/>
      <c r="C199" s="49" t="n"/>
      <c r="D199" s="49" t="n"/>
      <c r="E199" s="49" t="n"/>
      <c r="F199" s="49" t="n"/>
      <c r="G199" s="49" t="n"/>
      <c r="H199" s="50" t="n"/>
      <c r="I199" s="49" t="n"/>
      <c r="J199" s="49" t="n"/>
      <c r="K199" s="49" t="n"/>
      <c r="L199" s="49" t="n"/>
      <c r="M199" s="49" t="n"/>
      <c r="N199" s="49" t="n"/>
      <c r="O199" s="49" t="n"/>
      <c r="P199" s="49" t="n"/>
      <c r="Q199" s="49" t="n"/>
      <c r="R199" s="49" t="n"/>
      <c r="S199" s="49" t="n"/>
      <c r="T199" s="49" t="n"/>
      <c r="U199" s="49" t="n"/>
      <c r="V199" s="49" t="n"/>
      <c r="W199" s="49" t="n"/>
    </row>
    <row r="200">
      <c r="B200" s="49" t="n"/>
      <c r="C200" s="49" t="n"/>
      <c r="D200" s="49" t="n"/>
      <c r="E200" s="49" t="n"/>
      <c r="F200" s="49" t="n"/>
      <c r="G200" s="49" t="n"/>
      <c r="H200" s="50" t="n"/>
      <c r="I200" s="49" t="n"/>
      <c r="J200" s="49" t="n"/>
      <c r="K200" s="49" t="n"/>
      <c r="L200" s="49" t="n"/>
      <c r="M200" s="49" t="n"/>
      <c r="N200" s="49" t="n"/>
      <c r="O200" s="49" t="n"/>
      <c r="P200" s="49" t="n"/>
      <c r="Q200" s="49" t="n"/>
      <c r="R200" s="49" t="n"/>
      <c r="S200" s="49" t="n"/>
      <c r="T200" s="49" t="n"/>
      <c r="U200" s="49" t="n"/>
      <c r="V200" s="49" t="n"/>
      <c r="W200" s="49" t="n"/>
    </row>
    <row r="201">
      <c r="B201" s="49" t="n"/>
      <c r="C201" s="49" t="n"/>
      <c r="D201" s="49" t="n"/>
      <c r="E201" s="49" t="n"/>
      <c r="F201" s="49" t="n"/>
      <c r="G201" s="49" t="n"/>
      <c r="H201" s="50" t="n"/>
      <c r="I201" s="49" t="n"/>
      <c r="J201" s="49" t="n"/>
      <c r="K201" s="49" t="n"/>
      <c r="L201" s="49" t="n"/>
      <c r="M201" s="49" t="n"/>
      <c r="N201" s="49" t="n"/>
      <c r="O201" s="49" t="n"/>
      <c r="P201" s="49" t="n"/>
      <c r="Q201" s="49" t="n"/>
      <c r="R201" s="49" t="n"/>
      <c r="S201" s="49" t="n"/>
      <c r="T201" s="49" t="n"/>
      <c r="U201" s="49" t="n"/>
      <c r="V201" s="49" t="n"/>
      <c r="W201" s="49" t="n"/>
    </row>
    <row r="202">
      <c r="B202" s="49" t="n"/>
      <c r="C202" s="49" t="n"/>
      <c r="D202" s="49" t="n"/>
      <c r="E202" s="49" t="n"/>
      <c r="F202" s="49" t="n"/>
      <c r="G202" s="49" t="n"/>
      <c r="H202" s="50" t="n"/>
      <c r="I202" s="49" t="n"/>
      <c r="J202" s="49" t="n"/>
      <c r="K202" s="49" t="n"/>
      <c r="L202" s="49" t="n"/>
      <c r="M202" s="49" t="n"/>
      <c r="N202" s="49" t="n"/>
      <c r="O202" s="49" t="n"/>
      <c r="P202" s="49" t="n"/>
      <c r="Q202" s="49" t="n"/>
      <c r="R202" s="49" t="n"/>
      <c r="S202" s="49" t="n"/>
      <c r="T202" s="49" t="n"/>
      <c r="U202" s="49" t="n"/>
      <c r="V202" s="49" t="n"/>
      <c r="W202" s="49" t="n"/>
    </row>
    <row r="203">
      <c r="B203" s="49" t="n"/>
      <c r="C203" s="49" t="n"/>
      <c r="D203" s="49" t="n"/>
      <c r="E203" s="49" t="n"/>
      <c r="F203" s="49" t="n"/>
      <c r="G203" s="49" t="n"/>
      <c r="H203" s="50" t="n"/>
      <c r="I203" s="49" t="n"/>
      <c r="J203" s="49" t="n"/>
      <c r="K203" s="49" t="n"/>
      <c r="L203" s="49" t="n"/>
      <c r="M203" s="49" t="n"/>
      <c r="N203" s="49" t="n"/>
      <c r="O203" s="49" t="n"/>
      <c r="P203" s="49" t="n"/>
      <c r="Q203" s="49" t="n"/>
      <c r="R203" s="49" t="n"/>
      <c r="S203" s="49" t="n"/>
      <c r="T203" s="49" t="n"/>
      <c r="U203" s="49" t="n"/>
      <c r="V203" s="49" t="n"/>
      <c r="W203" s="49" t="n"/>
    </row>
    <row r="204">
      <c r="B204" s="49" t="n"/>
      <c r="C204" s="49" t="n"/>
      <c r="D204" s="49" t="n"/>
      <c r="E204" s="49" t="n"/>
      <c r="F204" s="49" t="n"/>
      <c r="G204" s="49" t="n"/>
      <c r="H204" s="50" t="n"/>
      <c r="I204" s="49" t="n"/>
      <c r="J204" s="49" t="n"/>
      <c r="K204" s="49" t="n"/>
      <c r="L204" s="49" t="n"/>
      <c r="M204" s="49" t="n"/>
      <c r="N204" s="49" t="n"/>
      <c r="O204" s="49" t="n"/>
      <c r="P204" s="49" t="n"/>
      <c r="Q204" s="49" t="n"/>
      <c r="R204" s="49" t="n"/>
      <c r="S204" s="49" t="n"/>
      <c r="T204" s="49" t="n"/>
      <c r="U204" s="49" t="n"/>
      <c r="V204" s="49" t="n"/>
      <c r="W204" s="49" t="n"/>
    </row>
    <row r="205">
      <c r="B205" s="49" t="n"/>
      <c r="C205" s="49" t="n"/>
      <c r="D205" s="49" t="n"/>
      <c r="E205" s="49" t="n"/>
      <c r="F205" s="49" t="n"/>
      <c r="G205" s="49" t="n"/>
      <c r="H205" s="50" t="n"/>
      <c r="I205" s="49" t="n"/>
      <c r="J205" s="49" t="n"/>
      <c r="K205" s="49" t="n"/>
      <c r="L205" s="49" t="n"/>
      <c r="M205" s="49" t="n"/>
      <c r="N205" s="49" t="n"/>
      <c r="O205" s="49" t="n"/>
      <c r="P205" s="49" t="n"/>
      <c r="Q205" s="49" t="n"/>
      <c r="R205" s="49" t="n"/>
      <c r="S205" s="49" t="n"/>
      <c r="T205" s="49" t="n"/>
      <c r="U205" s="49" t="n"/>
      <c r="V205" s="49" t="n"/>
      <c r="W205" s="49" t="n"/>
    </row>
    <row r="206">
      <c r="B206" s="49" t="n"/>
      <c r="C206" s="49" t="n"/>
      <c r="D206" s="49" t="n"/>
      <c r="E206" s="49" t="n"/>
      <c r="F206" s="49" t="n"/>
      <c r="G206" s="49" t="n"/>
      <c r="H206" s="50" t="n"/>
      <c r="I206" s="49" t="n"/>
      <c r="J206" s="49" t="n"/>
      <c r="K206" s="49" t="n"/>
      <c r="L206" s="49" t="n"/>
      <c r="M206" s="49" t="n"/>
      <c r="N206" s="49" t="n"/>
      <c r="O206" s="49" t="n"/>
      <c r="P206" s="49" t="n"/>
      <c r="Q206" s="49" t="n"/>
      <c r="R206" s="49" t="n"/>
      <c r="S206" s="49" t="n"/>
      <c r="T206" s="49" t="n"/>
      <c r="U206" s="49" t="n"/>
      <c r="V206" s="49" t="n"/>
      <c r="W206" s="49" t="n"/>
    </row>
    <row r="207">
      <c r="B207" s="49" t="n"/>
      <c r="C207" s="49" t="n"/>
      <c r="D207" s="49" t="n"/>
      <c r="E207" s="49" t="n"/>
      <c r="F207" s="49" t="n"/>
      <c r="G207" s="49" t="n"/>
      <c r="H207" s="50" t="n"/>
      <c r="I207" s="49" t="n"/>
      <c r="J207" s="49" t="n"/>
      <c r="K207" s="49" t="n"/>
      <c r="L207" s="49" t="n"/>
      <c r="M207" s="49" t="n"/>
      <c r="N207" s="49" t="n"/>
      <c r="O207" s="49" t="n"/>
      <c r="P207" s="49" t="n"/>
      <c r="Q207" s="49" t="n"/>
      <c r="R207" s="49" t="n"/>
      <c r="S207" s="49" t="n"/>
      <c r="T207" s="49" t="n"/>
      <c r="U207" s="49" t="n"/>
      <c r="V207" s="49" t="n"/>
      <c r="W207" s="49" t="n"/>
    </row>
    <row r="208">
      <c r="B208" s="49" t="n"/>
      <c r="C208" s="49" t="n"/>
      <c r="D208" s="49" t="n"/>
      <c r="E208" s="49" t="n"/>
      <c r="F208" s="49" t="n"/>
      <c r="G208" s="49" t="n"/>
      <c r="H208" s="50" t="n"/>
      <c r="I208" s="49" t="n"/>
      <c r="J208" s="49" t="n"/>
      <c r="K208" s="49" t="n"/>
      <c r="L208" s="49" t="n"/>
      <c r="M208" s="49" t="n"/>
      <c r="N208" s="49" t="n"/>
      <c r="O208" s="49" t="n"/>
      <c r="P208" s="49" t="n"/>
      <c r="Q208" s="49" t="n"/>
      <c r="R208" s="49" t="n"/>
      <c r="S208" s="49" t="n"/>
      <c r="T208" s="49" t="n"/>
      <c r="U208" s="49" t="n"/>
      <c r="V208" s="49" t="n"/>
      <c r="W208" s="49" t="n"/>
    </row>
    <row r="209">
      <c r="B209" s="49" t="n"/>
      <c r="C209" s="49" t="n"/>
      <c r="D209" s="49" t="n"/>
      <c r="E209" s="49" t="n"/>
      <c r="F209" s="49" t="n"/>
      <c r="G209" s="49" t="n"/>
      <c r="H209" s="50" t="n"/>
      <c r="I209" s="49" t="n"/>
      <c r="J209" s="49" t="n"/>
      <c r="K209" s="49" t="n"/>
      <c r="L209" s="49" t="n"/>
      <c r="M209" s="49" t="n"/>
      <c r="N209" s="49" t="n"/>
      <c r="O209" s="49" t="n"/>
      <c r="P209" s="49" t="n"/>
      <c r="Q209" s="49" t="n"/>
      <c r="R209" s="49" t="n"/>
      <c r="S209" s="49" t="n"/>
      <c r="T209" s="49" t="n"/>
      <c r="U209" s="49" t="n"/>
      <c r="V209" s="49" t="n"/>
      <c r="W209" s="49" t="n"/>
    </row>
    <row r="210">
      <c r="B210" s="49" t="n"/>
      <c r="C210" s="49" t="n"/>
      <c r="D210" s="49" t="n"/>
      <c r="E210" s="49" t="n"/>
      <c r="F210" s="49" t="n"/>
      <c r="G210" s="49" t="n"/>
      <c r="H210" s="50" t="n"/>
      <c r="I210" s="49" t="n"/>
      <c r="J210" s="49" t="n"/>
      <c r="K210" s="49" t="n"/>
      <c r="L210" s="49" t="n"/>
      <c r="M210" s="49" t="n"/>
      <c r="N210" s="49" t="n"/>
      <c r="O210" s="49" t="n"/>
      <c r="P210" s="49" t="n"/>
      <c r="Q210" s="49" t="n"/>
      <c r="R210" s="49" t="n"/>
      <c r="S210" s="49" t="n"/>
      <c r="T210" s="49" t="n"/>
      <c r="U210" s="49" t="n"/>
      <c r="V210" s="49" t="n"/>
      <c r="W210" s="49" t="n"/>
    </row>
    <row r="211">
      <c r="B211" s="49" t="n"/>
      <c r="C211" s="49" t="n"/>
      <c r="D211" s="49" t="n"/>
      <c r="E211" s="49" t="n"/>
      <c r="F211" s="49" t="n"/>
      <c r="G211" s="49" t="n"/>
      <c r="H211" s="50" t="n"/>
      <c r="I211" s="49" t="n"/>
      <c r="J211" s="49" t="n"/>
      <c r="K211" s="49" t="n"/>
      <c r="L211" s="49" t="n"/>
      <c r="M211" s="49" t="n"/>
      <c r="N211" s="49" t="n"/>
      <c r="O211" s="49" t="n"/>
      <c r="P211" s="49" t="n"/>
      <c r="Q211" s="49" t="n"/>
      <c r="R211" s="49" t="n"/>
      <c r="S211" s="49" t="n"/>
      <c r="T211" s="49" t="n"/>
      <c r="U211" s="49" t="n"/>
      <c r="V211" s="49" t="n"/>
      <c r="W211" s="49" t="n"/>
    </row>
    <row r="212">
      <c r="B212" s="49" t="n"/>
      <c r="C212" s="49" t="n"/>
      <c r="D212" s="49" t="n"/>
      <c r="E212" s="49" t="n"/>
      <c r="F212" s="49" t="n"/>
      <c r="G212" s="49" t="n"/>
      <c r="H212" s="50" t="n"/>
      <c r="I212" s="49" t="n"/>
      <c r="J212" s="49" t="n"/>
      <c r="K212" s="49" t="n"/>
      <c r="L212" s="49" t="n"/>
      <c r="M212" s="49" t="n"/>
      <c r="N212" s="49" t="n"/>
      <c r="O212" s="49" t="n"/>
      <c r="P212" s="49" t="n"/>
      <c r="Q212" s="49" t="n"/>
      <c r="R212" s="49" t="n"/>
      <c r="S212" s="49" t="n"/>
      <c r="T212" s="49" t="n"/>
      <c r="U212" s="49" t="n"/>
      <c r="V212" s="49" t="n"/>
      <c r="W212" s="49" t="n"/>
    </row>
    <row r="213">
      <c r="B213" s="49" t="n"/>
      <c r="C213" s="49" t="n"/>
      <c r="D213" s="49" t="n"/>
      <c r="E213" s="49" t="n"/>
      <c r="F213" s="49" t="n"/>
      <c r="G213" s="49" t="n"/>
      <c r="H213" s="50" t="n"/>
      <c r="I213" s="49" t="n"/>
      <c r="J213" s="49" t="n"/>
      <c r="K213" s="49" t="n"/>
      <c r="L213" s="49" t="n"/>
      <c r="M213" s="49" t="n"/>
      <c r="N213" s="49" t="n"/>
      <c r="O213" s="49" t="n"/>
      <c r="P213" s="49" t="n"/>
      <c r="Q213" s="49" t="n"/>
      <c r="R213" s="49" t="n"/>
      <c r="S213" s="49" t="n"/>
      <c r="T213" s="49" t="n"/>
      <c r="U213" s="49" t="n"/>
      <c r="V213" s="49" t="n"/>
      <c r="W213" s="49" t="n"/>
    </row>
    <row r="214">
      <c r="B214" s="49" t="n"/>
      <c r="C214" s="49" t="n"/>
      <c r="D214" s="49" t="n"/>
      <c r="E214" s="49" t="n"/>
      <c r="F214" s="49" t="n"/>
      <c r="G214" s="49" t="n"/>
      <c r="H214" s="50" t="n"/>
      <c r="I214" s="49" t="n"/>
      <c r="J214" s="49" t="n"/>
      <c r="K214" s="49" t="n"/>
      <c r="L214" s="49" t="n"/>
      <c r="M214" s="49" t="n"/>
      <c r="N214" s="49" t="n"/>
      <c r="O214" s="49" t="n"/>
      <c r="P214" s="49" t="n"/>
      <c r="Q214" s="49" t="n"/>
      <c r="R214" s="49" t="n"/>
      <c r="S214" s="49" t="n"/>
      <c r="T214" s="49" t="n"/>
      <c r="U214" s="49" t="n"/>
      <c r="V214" s="49" t="n"/>
      <c r="W214" s="49" t="n"/>
    </row>
    <row r="215">
      <c r="B215" s="49" t="n"/>
      <c r="C215" s="49" t="n"/>
      <c r="D215" s="49" t="n"/>
      <c r="E215" s="49" t="n"/>
      <c r="F215" s="49" t="n"/>
      <c r="G215" s="49" t="n"/>
      <c r="H215" s="50" t="n"/>
      <c r="I215" s="49" t="n"/>
      <c r="J215" s="49" t="n"/>
      <c r="K215" s="49" t="n"/>
      <c r="L215" s="49" t="n"/>
      <c r="M215" s="49" t="n"/>
      <c r="N215" s="49" t="n"/>
      <c r="O215" s="49" t="n"/>
      <c r="P215" s="49" t="n"/>
      <c r="Q215" s="49" t="n"/>
      <c r="R215" s="49" t="n"/>
      <c r="S215" s="49" t="n"/>
      <c r="T215" s="49" t="n"/>
      <c r="U215" s="49" t="n"/>
      <c r="V215" s="49" t="n"/>
      <c r="W215" s="49" t="n"/>
    </row>
    <row r="216">
      <c r="B216" s="49" t="n"/>
      <c r="C216" s="49" t="n"/>
      <c r="D216" s="49" t="n"/>
      <c r="E216" s="49" t="n"/>
      <c r="F216" s="49" t="n"/>
      <c r="G216" s="49" t="n"/>
      <c r="H216" s="50" t="n"/>
      <c r="I216" s="49" t="n"/>
      <c r="J216" s="49" t="n"/>
      <c r="K216" s="49" t="n"/>
      <c r="L216" s="49" t="n"/>
      <c r="M216" s="49" t="n"/>
      <c r="N216" s="49" t="n"/>
      <c r="O216" s="49" t="n"/>
      <c r="P216" s="49" t="n"/>
      <c r="Q216" s="49" t="n"/>
      <c r="R216" s="49" t="n"/>
      <c r="S216" s="49" t="n"/>
      <c r="T216" s="49" t="n"/>
      <c r="U216" s="49" t="n"/>
      <c r="V216" s="49" t="n"/>
      <c r="W216" s="49" t="n"/>
    </row>
    <row r="217">
      <c r="B217" s="49" t="n"/>
      <c r="C217" s="49" t="n"/>
      <c r="D217" s="49" t="n"/>
      <c r="E217" s="49" t="n"/>
      <c r="F217" s="49" t="n"/>
      <c r="G217" s="49" t="n"/>
      <c r="H217" s="50" t="n"/>
      <c r="I217" s="49" t="n"/>
      <c r="J217" s="49" t="n"/>
      <c r="K217" s="49" t="n"/>
      <c r="L217" s="49" t="n"/>
      <c r="M217" s="49" t="n"/>
      <c r="N217" s="49" t="n"/>
      <c r="O217" s="49" t="n"/>
      <c r="P217" s="49" t="n"/>
      <c r="Q217" s="49" t="n"/>
      <c r="R217" s="49" t="n"/>
      <c r="S217" s="49" t="n"/>
      <c r="T217" s="49" t="n"/>
      <c r="U217" s="49" t="n"/>
      <c r="V217" s="49" t="n"/>
      <c r="W217" s="49" t="n"/>
    </row>
    <row r="218">
      <c r="B218" s="49" t="n"/>
      <c r="C218" s="49" t="n"/>
      <c r="D218" s="49" t="n"/>
      <c r="E218" s="49" t="n"/>
      <c r="F218" s="49" t="n"/>
      <c r="G218" s="49" t="n"/>
      <c r="H218" s="50" t="n"/>
      <c r="I218" s="49" t="n"/>
      <c r="J218" s="49" t="n"/>
      <c r="K218" s="49" t="n"/>
      <c r="L218" s="49" t="n"/>
      <c r="M218" s="49" t="n"/>
      <c r="N218" s="49" t="n"/>
      <c r="O218" s="49" t="n"/>
      <c r="P218" s="49" t="n"/>
      <c r="Q218" s="49" t="n"/>
      <c r="R218" s="49" t="n"/>
      <c r="S218" s="49" t="n"/>
      <c r="T218" s="49" t="n"/>
      <c r="U218" s="49" t="n"/>
      <c r="V218" s="49" t="n"/>
      <c r="W218" s="49" t="n"/>
    </row>
    <row r="219">
      <c r="B219" s="49" t="n"/>
      <c r="C219" s="49" t="n"/>
      <c r="D219" s="49" t="n"/>
      <c r="E219" s="49" t="n"/>
      <c r="F219" s="49" t="n"/>
      <c r="G219" s="49" t="n"/>
      <c r="H219" s="50" t="n"/>
      <c r="I219" s="49" t="n"/>
      <c r="J219" s="49" t="n"/>
      <c r="K219" s="49" t="n"/>
      <c r="L219" s="49" t="n"/>
      <c r="M219" s="49" t="n"/>
      <c r="N219" s="49" t="n"/>
      <c r="O219" s="49" t="n"/>
      <c r="P219" s="49" t="n"/>
      <c r="Q219" s="49" t="n"/>
      <c r="R219" s="49" t="n"/>
      <c r="S219" s="49" t="n"/>
      <c r="T219" s="49" t="n"/>
      <c r="U219" s="49" t="n"/>
      <c r="V219" s="49" t="n"/>
      <c r="W219" s="49" t="n"/>
    </row>
    <row r="220">
      <c r="B220" s="49" t="n"/>
      <c r="C220" s="49" t="n"/>
      <c r="D220" s="49" t="n"/>
      <c r="E220" s="49" t="n"/>
      <c r="F220" s="49" t="n"/>
      <c r="G220" s="49" t="n"/>
      <c r="H220" s="50" t="n"/>
      <c r="I220" s="49" t="n"/>
      <c r="J220" s="49" t="n"/>
      <c r="K220" s="49" t="n"/>
      <c r="L220" s="49" t="n"/>
      <c r="M220" s="49" t="n"/>
      <c r="N220" s="49" t="n"/>
      <c r="O220" s="49" t="n"/>
      <c r="P220" s="49" t="n"/>
      <c r="Q220" s="49" t="n"/>
      <c r="R220" s="49" t="n"/>
      <c r="S220" s="49" t="n"/>
      <c r="T220" s="49" t="n"/>
      <c r="U220" s="49" t="n"/>
      <c r="V220" s="49" t="n"/>
      <c r="W220" s="49" t="n"/>
    </row>
    <row r="221">
      <c r="B221" s="49" t="n"/>
      <c r="C221" s="49" t="n"/>
      <c r="D221" s="49" t="n"/>
      <c r="E221" s="49" t="n"/>
      <c r="F221" s="49" t="n"/>
      <c r="G221" s="49" t="n"/>
      <c r="H221" s="50" t="n"/>
      <c r="I221" s="49" t="n"/>
      <c r="J221" s="49" t="n"/>
      <c r="K221" s="49" t="n"/>
      <c r="L221" s="49" t="n"/>
      <c r="M221" s="49" t="n"/>
      <c r="N221" s="49" t="n"/>
      <c r="O221" s="49" t="n"/>
      <c r="P221" s="49" t="n"/>
      <c r="Q221" s="49" t="n"/>
      <c r="R221" s="49" t="n"/>
      <c r="S221" s="49" t="n"/>
      <c r="T221" s="49" t="n"/>
      <c r="U221" s="49" t="n"/>
      <c r="V221" s="49" t="n"/>
      <c r="W221" s="49" t="n"/>
    </row>
    <row r="222">
      <c r="B222" s="49" t="n"/>
      <c r="C222" s="49" t="n"/>
      <c r="D222" s="49" t="n"/>
      <c r="E222" s="49" t="n"/>
      <c r="F222" s="49" t="n"/>
      <c r="G222" s="49" t="n"/>
      <c r="H222" s="50" t="n"/>
      <c r="I222" s="49" t="n"/>
      <c r="J222" s="49" t="n"/>
      <c r="K222" s="49" t="n"/>
      <c r="L222" s="49" t="n"/>
      <c r="M222" s="49" t="n"/>
      <c r="N222" s="49" t="n"/>
      <c r="O222" s="49" t="n"/>
      <c r="P222" s="49" t="n"/>
      <c r="Q222" s="49" t="n"/>
      <c r="R222" s="49" t="n"/>
      <c r="S222" s="49" t="n"/>
      <c r="T222" s="49" t="n"/>
      <c r="U222" s="49" t="n"/>
      <c r="V222" s="49" t="n"/>
      <c r="W222" s="49" t="n"/>
    </row>
    <row r="223">
      <c r="B223" s="49" t="n"/>
      <c r="C223" s="49" t="n"/>
      <c r="D223" s="49" t="n"/>
      <c r="E223" s="49" t="n"/>
      <c r="F223" s="49" t="n"/>
      <c r="G223" s="49" t="n"/>
      <c r="H223" s="50" t="n"/>
      <c r="I223" s="49" t="n"/>
      <c r="J223" s="49" t="n"/>
      <c r="K223" s="49" t="n"/>
      <c r="L223" s="49" t="n"/>
      <c r="M223" s="49" t="n"/>
      <c r="N223" s="49" t="n"/>
      <c r="O223" s="49" t="n"/>
      <c r="P223" s="49" t="n"/>
      <c r="Q223" s="49" t="n"/>
      <c r="R223" s="49" t="n"/>
      <c r="S223" s="49" t="n"/>
      <c r="T223" s="49" t="n"/>
      <c r="U223" s="49" t="n"/>
      <c r="V223" s="49" t="n"/>
      <c r="W223" s="49" t="n"/>
    </row>
    <row r="224">
      <c r="B224" s="49" t="n"/>
      <c r="C224" s="49" t="n"/>
      <c r="D224" s="49" t="n"/>
      <c r="E224" s="49" t="n"/>
      <c r="F224" s="49" t="n"/>
      <c r="G224" s="49" t="n"/>
      <c r="H224" s="50" t="n"/>
      <c r="I224" s="49" t="n"/>
      <c r="J224" s="49" t="n"/>
      <c r="K224" s="49" t="n"/>
      <c r="L224" s="49" t="n"/>
      <c r="M224" s="49" t="n"/>
      <c r="N224" s="49" t="n"/>
      <c r="O224" s="49" t="n"/>
      <c r="P224" s="49" t="n"/>
      <c r="Q224" s="49" t="n"/>
      <c r="R224" s="49" t="n"/>
      <c r="S224" s="49" t="n"/>
      <c r="T224" s="49" t="n"/>
      <c r="U224" s="49" t="n"/>
      <c r="V224" s="49" t="n"/>
      <c r="W224" s="49" t="n"/>
    </row>
    <row r="225">
      <c r="B225" s="49" t="n"/>
      <c r="C225" s="49" t="n"/>
      <c r="D225" s="49" t="n"/>
      <c r="E225" s="49" t="n"/>
      <c r="F225" s="49" t="n"/>
      <c r="G225" s="49" t="n"/>
      <c r="H225" s="50" t="n"/>
      <c r="I225" s="49" t="n"/>
      <c r="J225" s="49" t="n"/>
      <c r="K225" s="49" t="n"/>
      <c r="L225" s="49" t="n"/>
      <c r="M225" s="49" t="n"/>
      <c r="N225" s="49" t="n"/>
      <c r="O225" s="49" t="n"/>
      <c r="P225" s="49" t="n"/>
      <c r="Q225" s="49" t="n"/>
      <c r="R225" s="49" t="n"/>
      <c r="S225" s="49" t="n"/>
      <c r="T225" s="49" t="n"/>
      <c r="U225" s="49" t="n"/>
      <c r="V225" s="49" t="n"/>
      <c r="W225" s="49" t="n"/>
    </row>
    <row r="226">
      <c r="B226" s="49" t="n"/>
      <c r="C226" s="49" t="n"/>
      <c r="D226" s="49" t="n"/>
      <c r="E226" s="49" t="n"/>
      <c r="F226" s="49" t="n"/>
      <c r="G226" s="49" t="n"/>
      <c r="H226" s="50" t="n"/>
      <c r="I226" s="49" t="n"/>
      <c r="J226" s="49" t="n"/>
      <c r="K226" s="49" t="n"/>
      <c r="L226" s="49" t="n"/>
      <c r="M226" s="49" t="n"/>
      <c r="N226" s="49" t="n"/>
      <c r="O226" s="49" t="n"/>
      <c r="P226" s="49" t="n"/>
      <c r="Q226" s="49" t="n"/>
      <c r="R226" s="49" t="n"/>
      <c r="S226" s="49" t="n"/>
      <c r="T226" s="49" t="n"/>
      <c r="U226" s="49" t="n"/>
      <c r="V226" s="49" t="n"/>
      <c r="W226" s="49" t="n"/>
    </row>
    <row r="227">
      <c r="B227" s="49" t="n"/>
      <c r="C227" s="49" t="n"/>
      <c r="D227" s="49" t="n"/>
      <c r="E227" s="49" t="n"/>
      <c r="F227" s="49" t="n"/>
      <c r="G227" s="49" t="n"/>
      <c r="H227" s="50" t="n"/>
      <c r="I227" s="49" t="n"/>
      <c r="J227" s="49" t="n"/>
      <c r="K227" s="49" t="n"/>
      <c r="L227" s="49" t="n"/>
      <c r="M227" s="49" t="n"/>
      <c r="N227" s="49" t="n"/>
      <c r="O227" s="49" t="n"/>
      <c r="P227" s="49" t="n"/>
      <c r="Q227" s="49" t="n"/>
      <c r="R227" s="49" t="n"/>
      <c r="S227" s="49" t="n"/>
      <c r="T227" s="49" t="n"/>
      <c r="U227" s="49" t="n"/>
      <c r="V227" s="49" t="n"/>
      <c r="W227" s="49" t="n"/>
    </row>
    <row r="228">
      <c r="B228" s="49" t="n"/>
      <c r="C228" s="49" t="n"/>
      <c r="D228" s="49" t="n"/>
      <c r="E228" s="49" t="n"/>
      <c r="F228" s="49" t="n"/>
      <c r="G228" s="49" t="n"/>
      <c r="H228" s="50" t="n"/>
      <c r="I228" s="49" t="n"/>
      <c r="J228" s="49" t="n"/>
      <c r="K228" s="49" t="n"/>
      <c r="L228" s="49" t="n"/>
      <c r="M228" s="49" t="n"/>
      <c r="N228" s="49" t="n"/>
      <c r="O228" s="49" t="n"/>
      <c r="P228" s="49" t="n"/>
      <c r="Q228" s="49" t="n"/>
      <c r="R228" s="49" t="n"/>
      <c r="S228" s="49" t="n"/>
      <c r="T228" s="49" t="n"/>
      <c r="U228" s="49" t="n"/>
      <c r="V228" s="49" t="n"/>
      <c r="W228" s="49" t="n"/>
    </row>
    <row r="229">
      <c r="B229" s="49" t="n"/>
      <c r="C229" s="49" t="n"/>
      <c r="D229" s="49" t="n"/>
      <c r="E229" s="49" t="n"/>
      <c r="F229" s="49" t="n"/>
      <c r="G229" s="49" t="n"/>
      <c r="H229" s="50" t="n"/>
      <c r="I229" s="49" t="n"/>
      <c r="J229" s="49" t="n"/>
      <c r="K229" s="49" t="n"/>
      <c r="L229" s="49" t="n"/>
      <c r="M229" s="49" t="n"/>
      <c r="N229" s="49" t="n"/>
      <c r="O229" s="49" t="n"/>
      <c r="P229" s="49" t="n"/>
      <c r="Q229" s="49" t="n"/>
      <c r="R229" s="49" t="n"/>
      <c r="S229" s="49" t="n"/>
      <c r="T229" s="49" t="n"/>
      <c r="U229" s="49" t="n"/>
      <c r="V229" s="49" t="n"/>
      <c r="W229" s="49" t="n"/>
    </row>
    <row r="230">
      <c r="B230" s="49" t="n"/>
      <c r="C230" s="49" t="n"/>
      <c r="D230" s="49" t="n"/>
      <c r="E230" s="49" t="n"/>
      <c r="F230" s="49" t="n"/>
      <c r="G230" s="49" t="n"/>
      <c r="H230" s="50" t="n"/>
      <c r="I230" s="49" t="n"/>
      <c r="J230" s="49" t="n"/>
      <c r="K230" s="49" t="n"/>
      <c r="L230" s="49" t="n"/>
      <c r="M230" s="49" t="n"/>
      <c r="N230" s="49" t="n"/>
      <c r="O230" s="49" t="n"/>
      <c r="P230" s="49" t="n"/>
      <c r="Q230" s="49" t="n"/>
      <c r="R230" s="49" t="n"/>
      <c r="S230" s="49" t="n"/>
      <c r="T230" s="49" t="n"/>
      <c r="U230" s="49" t="n"/>
      <c r="V230" s="49" t="n"/>
      <c r="W230" s="49" t="n"/>
    </row>
    <row r="231">
      <c r="B231" s="49" t="n"/>
      <c r="C231" s="49" t="n"/>
      <c r="D231" s="49" t="n"/>
      <c r="E231" s="49" t="n"/>
      <c r="F231" s="49" t="n"/>
      <c r="G231" s="49" t="n"/>
      <c r="H231" s="50" t="n"/>
      <c r="I231" s="49" t="n"/>
      <c r="J231" s="49" t="n"/>
      <c r="K231" s="49" t="n"/>
      <c r="L231" s="49" t="n"/>
      <c r="M231" s="49" t="n"/>
      <c r="N231" s="49" t="n"/>
      <c r="O231" s="49" t="n"/>
      <c r="P231" s="49" t="n"/>
      <c r="Q231" s="49" t="n"/>
      <c r="R231" s="49" t="n"/>
      <c r="S231" s="49" t="n"/>
      <c r="T231" s="49" t="n"/>
      <c r="U231" s="49" t="n"/>
      <c r="V231" s="49" t="n"/>
      <c r="W231" s="49" t="n"/>
    </row>
    <row r="232">
      <c r="B232" s="49" t="n"/>
      <c r="C232" s="49" t="n"/>
      <c r="D232" s="49" t="n"/>
      <c r="E232" s="49" t="n"/>
      <c r="F232" s="49" t="n"/>
      <c r="G232" s="49" t="n"/>
      <c r="H232" s="50" t="n"/>
      <c r="I232" s="49" t="n"/>
      <c r="J232" s="49" t="n"/>
      <c r="K232" s="49" t="n"/>
      <c r="L232" s="49" t="n"/>
      <c r="M232" s="49" t="n"/>
      <c r="N232" s="49" t="n"/>
      <c r="O232" s="49" t="n"/>
      <c r="P232" s="49" t="n"/>
      <c r="Q232" s="49" t="n"/>
      <c r="R232" s="49" t="n"/>
      <c r="S232" s="49" t="n"/>
      <c r="T232" s="49" t="n"/>
      <c r="U232" s="49" t="n"/>
      <c r="V232" s="49" t="n"/>
      <c r="W232" s="49" t="n"/>
    </row>
    <row r="233">
      <c r="B233" s="49" t="n"/>
      <c r="C233" s="49" t="n"/>
      <c r="D233" s="49" t="n"/>
      <c r="E233" s="49" t="n"/>
      <c r="F233" s="49" t="n"/>
      <c r="G233" s="49" t="n"/>
      <c r="H233" s="50" t="n"/>
      <c r="I233" s="49" t="n"/>
      <c r="J233" s="49" t="n"/>
      <c r="K233" s="49" t="n"/>
      <c r="L233" s="49" t="n"/>
      <c r="M233" s="49" t="n"/>
      <c r="N233" s="49" t="n"/>
      <c r="O233" s="49" t="n"/>
      <c r="P233" s="49" t="n"/>
      <c r="Q233" s="49" t="n"/>
      <c r="R233" s="49" t="n"/>
      <c r="S233" s="49" t="n"/>
      <c r="T233" s="49" t="n"/>
      <c r="U233" s="49" t="n"/>
      <c r="V233" s="49" t="n"/>
      <c r="W233" s="49" t="n"/>
    </row>
    <row r="234">
      <c r="B234" s="49" t="n"/>
      <c r="C234" s="49" t="n"/>
      <c r="D234" s="49" t="n"/>
      <c r="E234" s="49" t="n"/>
      <c r="F234" s="49" t="n"/>
      <c r="G234" s="49" t="n"/>
      <c r="H234" s="50" t="n"/>
      <c r="I234" s="49" t="n"/>
      <c r="J234" s="49" t="n"/>
      <c r="K234" s="49" t="n"/>
      <c r="L234" s="49" t="n"/>
      <c r="M234" s="49" t="n"/>
      <c r="N234" s="49" t="n"/>
      <c r="O234" s="49" t="n"/>
      <c r="P234" s="49" t="n"/>
      <c r="Q234" s="49" t="n"/>
      <c r="R234" s="49" t="n"/>
      <c r="S234" s="49" t="n"/>
      <c r="T234" s="49" t="n"/>
      <c r="U234" s="49" t="n"/>
      <c r="V234" s="49" t="n"/>
      <c r="W234" s="49" t="n"/>
    </row>
    <row r="235">
      <c r="B235" s="49" t="n"/>
      <c r="C235" s="49" t="n"/>
      <c r="D235" s="49" t="n"/>
      <c r="E235" s="49" t="n"/>
      <c r="F235" s="49" t="n"/>
      <c r="G235" s="49" t="n"/>
      <c r="H235" s="50" t="n"/>
      <c r="I235" s="49" t="n"/>
      <c r="J235" s="49" t="n"/>
      <c r="K235" s="49" t="n"/>
      <c r="L235" s="49" t="n"/>
      <c r="M235" s="49" t="n"/>
      <c r="N235" s="49" t="n"/>
      <c r="O235" s="49" t="n"/>
      <c r="P235" s="49" t="n"/>
      <c r="Q235" s="49" t="n"/>
      <c r="R235" s="49" t="n"/>
      <c r="S235" s="49" t="n"/>
      <c r="T235" s="49" t="n"/>
      <c r="U235" s="49" t="n"/>
      <c r="V235" s="49" t="n"/>
      <c r="W235" s="49" t="n"/>
    </row>
    <row r="236">
      <c r="B236" s="49" t="n"/>
      <c r="C236" s="49" t="n"/>
      <c r="D236" s="49" t="n"/>
      <c r="E236" s="49" t="n"/>
      <c r="F236" s="49" t="n"/>
      <c r="G236" s="49" t="n"/>
      <c r="H236" s="50" t="n"/>
      <c r="I236" s="49" t="n"/>
      <c r="J236" s="49" t="n"/>
      <c r="K236" s="49" t="n"/>
      <c r="L236" s="49" t="n"/>
      <c r="M236" s="49" t="n"/>
      <c r="N236" s="49" t="n"/>
      <c r="O236" s="49" t="n"/>
      <c r="P236" s="49" t="n"/>
      <c r="Q236" s="49" t="n"/>
      <c r="R236" s="49" t="n"/>
      <c r="S236" s="49" t="n"/>
      <c r="T236" s="49" t="n"/>
      <c r="U236" s="49" t="n"/>
      <c r="V236" s="49" t="n"/>
      <c r="W236" s="49" t="n"/>
    </row>
    <row r="237">
      <c r="B237" s="49" t="n"/>
      <c r="C237" s="49" t="n"/>
      <c r="D237" s="49" t="n"/>
      <c r="E237" s="49" t="n"/>
      <c r="F237" s="49" t="n"/>
      <c r="G237" s="49" t="n"/>
      <c r="H237" s="50" t="n"/>
      <c r="I237" s="49" t="n"/>
      <c r="J237" s="49" t="n"/>
      <c r="K237" s="49" t="n"/>
      <c r="L237" s="49" t="n"/>
      <c r="M237" s="49" t="n"/>
      <c r="N237" s="49" t="n"/>
      <c r="O237" s="49" t="n"/>
      <c r="P237" s="49" t="n"/>
      <c r="Q237" s="49" t="n"/>
      <c r="R237" s="49" t="n"/>
      <c r="S237" s="49" t="n"/>
      <c r="T237" s="49" t="n"/>
      <c r="U237" s="49" t="n"/>
      <c r="V237" s="49" t="n"/>
      <c r="W237" s="49" t="n"/>
    </row>
    <row r="238">
      <c r="B238" s="49" t="n"/>
      <c r="C238" s="49" t="n"/>
      <c r="D238" s="49" t="n"/>
      <c r="E238" s="49" t="n"/>
      <c r="F238" s="49" t="n"/>
      <c r="G238" s="49" t="n"/>
      <c r="H238" s="50" t="n"/>
      <c r="I238" s="49" t="n"/>
      <c r="J238" s="49" t="n"/>
      <c r="K238" s="49" t="n"/>
      <c r="L238" s="49" t="n"/>
      <c r="M238" s="49" t="n"/>
      <c r="N238" s="49" t="n"/>
      <c r="O238" s="49" t="n"/>
      <c r="P238" s="49" t="n"/>
      <c r="Q238" s="49" t="n"/>
      <c r="R238" s="49" t="n"/>
      <c r="S238" s="49" t="n"/>
      <c r="T238" s="49" t="n"/>
      <c r="U238" s="49" t="n"/>
      <c r="V238" s="49" t="n"/>
      <c r="W238" s="49" t="n"/>
    </row>
    <row r="239">
      <c r="B239" s="49" t="n"/>
      <c r="C239" s="49" t="n"/>
      <c r="D239" s="49" t="n"/>
      <c r="E239" s="49" t="n"/>
      <c r="F239" s="49" t="n"/>
      <c r="G239" s="49" t="n"/>
      <c r="H239" s="50" t="n"/>
      <c r="I239" s="49" t="n"/>
      <c r="J239" s="49" t="n"/>
      <c r="K239" s="49" t="n"/>
      <c r="L239" s="49" t="n"/>
      <c r="M239" s="49" t="n"/>
      <c r="N239" s="49" t="n"/>
      <c r="O239" s="49" t="n"/>
      <c r="P239" s="49" t="n"/>
      <c r="Q239" s="49" t="n"/>
      <c r="R239" s="49" t="n"/>
      <c r="S239" s="49" t="n"/>
      <c r="T239" s="49" t="n"/>
      <c r="U239" s="49" t="n"/>
      <c r="V239" s="49" t="n"/>
      <c r="W239" s="49" t="n"/>
    </row>
    <row r="240">
      <c r="B240" s="49" t="n"/>
      <c r="C240" s="49" t="n"/>
      <c r="D240" s="49" t="n"/>
      <c r="E240" s="49" t="n"/>
      <c r="F240" s="49" t="n"/>
      <c r="G240" s="49" t="n"/>
      <c r="H240" s="50" t="n"/>
      <c r="I240" s="49" t="n"/>
      <c r="J240" s="49" t="n"/>
      <c r="K240" s="49" t="n"/>
      <c r="L240" s="49" t="n"/>
      <c r="M240" s="49" t="n"/>
      <c r="N240" s="49" t="n"/>
      <c r="O240" s="49" t="n"/>
      <c r="P240" s="49" t="n"/>
      <c r="Q240" s="49" t="n"/>
      <c r="R240" s="49" t="n"/>
      <c r="S240" s="49" t="n"/>
      <c r="T240" s="49" t="n"/>
      <c r="U240" s="49" t="n"/>
      <c r="V240" s="49" t="n"/>
      <c r="W240" s="49" t="n"/>
    </row>
    <row r="241">
      <c r="B241" s="49" t="n"/>
      <c r="C241" s="49" t="n"/>
      <c r="D241" s="49" t="n"/>
      <c r="E241" s="49" t="n"/>
      <c r="F241" s="49" t="n"/>
      <c r="G241" s="49" t="n"/>
      <c r="H241" s="50" t="n"/>
      <c r="I241" s="49" t="n"/>
      <c r="J241" s="49" t="n"/>
      <c r="K241" s="49" t="n"/>
      <c r="L241" s="49" t="n"/>
      <c r="M241" s="49" t="n"/>
      <c r="N241" s="49" t="n"/>
      <c r="O241" s="49" t="n"/>
      <c r="P241" s="49" t="n"/>
      <c r="Q241" s="49" t="n"/>
      <c r="R241" s="49" t="n"/>
      <c r="S241" s="49" t="n"/>
      <c r="T241" s="49" t="n"/>
      <c r="U241" s="49" t="n"/>
      <c r="V241" s="49" t="n"/>
      <c r="W241" s="49" t="n"/>
    </row>
    <row r="242">
      <c r="B242" s="49" t="n"/>
      <c r="C242" s="49" t="n"/>
      <c r="D242" s="49" t="n"/>
      <c r="E242" s="49" t="n"/>
      <c r="F242" s="49" t="n"/>
      <c r="G242" s="49" t="n"/>
      <c r="H242" s="50" t="n"/>
      <c r="I242" s="49" t="n"/>
      <c r="J242" s="49" t="n"/>
      <c r="K242" s="49" t="n"/>
      <c r="L242" s="49" t="n"/>
      <c r="M242" s="49" t="n"/>
      <c r="N242" s="49" t="n"/>
      <c r="O242" s="49" t="n"/>
      <c r="P242" s="49" t="n"/>
      <c r="Q242" s="49" t="n"/>
      <c r="R242" s="49" t="n"/>
      <c r="S242" s="49" t="n"/>
      <c r="T242" s="49" t="n"/>
      <c r="U242" s="49" t="n"/>
      <c r="V242" s="49" t="n"/>
      <c r="W242" s="49" t="n"/>
    </row>
    <row r="243">
      <c r="B243" s="49" t="n"/>
      <c r="C243" s="49" t="n"/>
      <c r="D243" s="49" t="n"/>
      <c r="E243" s="49" t="n"/>
      <c r="F243" s="49" t="n"/>
      <c r="G243" s="49" t="n"/>
      <c r="H243" s="50" t="n"/>
      <c r="I243" s="49" t="n"/>
      <c r="J243" s="49" t="n"/>
      <c r="K243" s="49" t="n"/>
      <c r="L243" s="49" t="n"/>
      <c r="M243" s="49" t="n"/>
      <c r="N243" s="49" t="n"/>
      <c r="O243" s="49" t="n"/>
      <c r="P243" s="49" t="n"/>
      <c r="Q243" s="49" t="n"/>
      <c r="R243" s="49" t="n"/>
      <c r="S243" s="49" t="n"/>
      <c r="T243" s="49" t="n"/>
      <c r="U243" s="49" t="n"/>
      <c r="V243" s="49" t="n"/>
      <c r="W243" s="49" t="n"/>
    </row>
    <row r="244">
      <c r="B244" s="49" t="n"/>
      <c r="C244" s="49" t="n"/>
      <c r="D244" s="49" t="n"/>
      <c r="E244" s="49" t="n"/>
      <c r="F244" s="49" t="n"/>
      <c r="G244" s="49" t="n"/>
      <c r="H244" s="50" t="n"/>
      <c r="I244" s="49" t="n"/>
      <c r="J244" s="49" t="n"/>
      <c r="K244" s="49" t="n"/>
      <c r="L244" s="49" t="n"/>
      <c r="M244" s="49" t="n"/>
      <c r="N244" s="49" t="n"/>
      <c r="O244" s="49" t="n"/>
      <c r="P244" s="49" t="n"/>
      <c r="Q244" s="49" t="n"/>
      <c r="R244" s="49" t="n"/>
      <c r="S244" s="49" t="n"/>
      <c r="T244" s="49" t="n"/>
      <c r="U244" s="49" t="n"/>
      <c r="V244" s="49" t="n"/>
      <c r="W244" s="49" t="n"/>
    </row>
    <row r="245">
      <c r="B245" s="49" t="n"/>
      <c r="C245" s="49" t="n"/>
      <c r="D245" s="49" t="n"/>
      <c r="E245" s="49" t="n"/>
      <c r="F245" s="49" t="n"/>
      <c r="G245" s="49" t="n"/>
      <c r="H245" s="50" t="n"/>
      <c r="I245" s="49" t="n"/>
      <c r="J245" s="49" t="n"/>
      <c r="K245" s="49" t="n"/>
      <c r="L245" s="49" t="n"/>
      <c r="M245" s="49" t="n"/>
      <c r="N245" s="49" t="n"/>
      <c r="O245" s="49" t="n"/>
      <c r="P245" s="49" t="n"/>
      <c r="Q245" s="49" t="n"/>
      <c r="R245" s="49" t="n"/>
      <c r="S245" s="49" t="n"/>
      <c r="T245" s="49" t="n"/>
      <c r="U245" s="49" t="n"/>
      <c r="V245" s="49" t="n"/>
      <c r="W245" s="49" t="n"/>
    </row>
    <row r="246">
      <c r="B246" s="49" t="n"/>
      <c r="C246" s="49" t="n"/>
      <c r="D246" s="49" t="n"/>
      <c r="E246" s="49" t="n"/>
      <c r="F246" s="49" t="n"/>
      <c r="G246" s="49" t="n"/>
      <c r="H246" s="50" t="n"/>
      <c r="I246" s="49" t="n"/>
      <c r="J246" s="49" t="n"/>
      <c r="K246" s="49" t="n"/>
      <c r="L246" s="49" t="n"/>
      <c r="M246" s="49" t="n"/>
      <c r="N246" s="49" t="n"/>
      <c r="O246" s="49" t="n"/>
      <c r="P246" s="49" t="n"/>
      <c r="Q246" s="49" t="n"/>
      <c r="R246" s="49" t="n"/>
      <c r="S246" s="49" t="n"/>
      <c r="T246" s="49" t="n"/>
      <c r="U246" s="49" t="n"/>
      <c r="V246" s="49" t="n"/>
      <c r="W246" s="49" t="n"/>
    </row>
    <row r="247">
      <c r="B247" s="49" t="n"/>
      <c r="C247" s="49" t="n"/>
      <c r="D247" s="49" t="n"/>
      <c r="E247" s="49" t="n"/>
      <c r="F247" s="49" t="n"/>
      <c r="G247" s="49" t="n"/>
      <c r="H247" s="50" t="n"/>
      <c r="I247" s="49" t="n"/>
      <c r="J247" s="49" t="n"/>
      <c r="K247" s="49" t="n"/>
      <c r="L247" s="49" t="n"/>
      <c r="M247" s="49" t="n"/>
      <c r="N247" s="49" t="n"/>
      <c r="O247" s="49" t="n"/>
      <c r="P247" s="49" t="n"/>
      <c r="Q247" s="49" t="n"/>
      <c r="R247" s="49" t="n"/>
      <c r="S247" s="49" t="n"/>
      <c r="T247" s="49" t="n"/>
      <c r="U247" s="49" t="n"/>
      <c r="V247" s="49" t="n"/>
      <c r="W247" s="49" t="n"/>
    </row>
    <row r="248">
      <c r="B248" s="49" t="n"/>
      <c r="C248" s="49" t="n"/>
      <c r="D248" s="49" t="n"/>
      <c r="E248" s="49" t="n"/>
      <c r="F248" s="49" t="n"/>
      <c r="G248" s="49" t="n"/>
      <c r="H248" s="50" t="n"/>
      <c r="I248" s="49" t="n"/>
      <c r="J248" s="49" t="n"/>
      <c r="K248" s="49" t="n"/>
      <c r="L248" s="49" t="n"/>
      <c r="M248" s="49" t="n"/>
      <c r="N248" s="49" t="n"/>
      <c r="O248" s="49" t="n"/>
      <c r="P248" s="49" t="n"/>
      <c r="Q248" s="49" t="n"/>
      <c r="R248" s="49" t="n"/>
      <c r="S248" s="49" t="n"/>
      <c r="T248" s="49" t="n"/>
      <c r="U248" s="49" t="n"/>
      <c r="V248" s="49" t="n"/>
      <c r="W248" s="49" t="n"/>
    </row>
    <row r="249">
      <c r="B249" s="49" t="n"/>
      <c r="C249" s="49" t="n"/>
      <c r="D249" s="49" t="n"/>
      <c r="E249" s="49" t="n"/>
      <c r="F249" s="49" t="n"/>
      <c r="G249" s="49" t="n"/>
      <c r="H249" s="50" t="n"/>
      <c r="I249" s="49" t="n"/>
      <c r="J249" s="49" t="n"/>
      <c r="K249" s="49" t="n"/>
      <c r="L249" s="49" t="n"/>
      <c r="M249" s="49" t="n"/>
      <c r="N249" s="49" t="n"/>
      <c r="O249" s="49" t="n"/>
      <c r="P249" s="49" t="n"/>
      <c r="Q249" s="49" t="n"/>
      <c r="R249" s="49" t="n"/>
      <c r="S249" s="49" t="n"/>
      <c r="T249" s="49" t="n"/>
      <c r="U249" s="49" t="n"/>
      <c r="V249" s="49" t="n"/>
      <c r="W249" s="49" t="n"/>
    </row>
    <row r="250">
      <c r="B250" s="49" t="n"/>
      <c r="C250" s="49" t="n"/>
      <c r="D250" s="49" t="n"/>
      <c r="E250" s="49" t="n"/>
      <c r="F250" s="49" t="n"/>
      <c r="G250" s="49" t="n"/>
      <c r="H250" s="50" t="n"/>
      <c r="I250" s="49" t="n"/>
      <c r="J250" s="49" t="n"/>
      <c r="K250" s="49" t="n"/>
      <c r="L250" s="49" t="n"/>
      <c r="M250" s="49" t="n"/>
      <c r="N250" s="49" t="n"/>
      <c r="O250" s="49" t="n"/>
      <c r="P250" s="49" t="n"/>
      <c r="Q250" s="49" t="n"/>
      <c r="R250" s="49" t="n"/>
      <c r="S250" s="49" t="n"/>
      <c r="T250" s="49" t="n"/>
      <c r="U250" s="49" t="n"/>
      <c r="V250" s="49" t="n"/>
      <c r="W250" s="49" t="n"/>
    </row>
    <row r="251">
      <c r="B251" s="49" t="n"/>
      <c r="C251" s="49" t="n"/>
      <c r="D251" s="49" t="n"/>
      <c r="E251" s="49" t="n"/>
      <c r="F251" s="49" t="n"/>
      <c r="G251" s="49" t="n"/>
      <c r="H251" s="50" t="n"/>
      <c r="I251" s="49" t="n"/>
      <c r="J251" s="49" t="n"/>
      <c r="K251" s="49" t="n"/>
      <c r="L251" s="49" t="n"/>
      <c r="M251" s="49" t="n"/>
      <c r="N251" s="49" t="n"/>
      <c r="O251" s="49" t="n"/>
      <c r="P251" s="49" t="n"/>
      <c r="Q251" s="49" t="n"/>
      <c r="R251" s="49" t="n"/>
      <c r="S251" s="49" t="n"/>
      <c r="T251" s="49" t="n"/>
      <c r="U251" s="49" t="n"/>
      <c r="V251" s="49" t="n"/>
      <c r="W251" s="49" t="n"/>
    </row>
    <row r="252">
      <c r="B252" s="49" t="n"/>
      <c r="C252" s="49" t="n"/>
      <c r="D252" s="49" t="n"/>
      <c r="E252" s="49" t="n"/>
      <c r="F252" s="49" t="n"/>
      <c r="G252" s="49" t="n"/>
      <c r="H252" s="50" t="n"/>
      <c r="I252" s="49" t="n"/>
      <c r="J252" s="49" t="n"/>
      <c r="K252" s="49" t="n"/>
      <c r="L252" s="49" t="n"/>
      <c r="M252" s="49" t="n"/>
      <c r="N252" s="49" t="n"/>
      <c r="O252" s="49" t="n"/>
      <c r="P252" s="49" t="n"/>
      <c r="Q252" s="49" t="n"/>
      <c r="R252" s="49" t="n"/>
      <c r="S252" s="49" t="n"/>
      <c r="T252" s="49" t="n"/>
      <c r="U252" s="49" t="n"/>
      <c r="V252" s="49" t="n"/>
      <c r="W252" s="49" t="n"/>
    </row>
    <row r="253">
      <c r="B253" s="49" t="n"/>
      <c r="C253" s="49" t="n"/>
      <c r="D253" s="49" t="n"/>
      <c r="E253" s="49" t="n"/>
      <c r="F253" s="49" t="n"/>
      <c r="G253" s="49" t="n"/>
      <c r="H253" s="50" t="n"/>
      <c r="I253" s="49" t="n"/>
      <c r="J253" s="49" t="n"/>
      <c r="K253" s="49" t="n"/>
      <c r="L253" s="49" t="n"/>
      <c r="M253" s="49" t="n"/>
      <c r="N253" s="49" t="n"/>
      <c r="O253" s="49" t="n"/>
      <c r="P253" s="49" t="n"/>
      <c r="Q253" s="49" t="n"/>
      <c r="R253" s="49" t="n"/>
      <c r="S253" s="49" t="n"/>
      <c r="T253" s="49" t="n"/>
      <c r="U253" s="49" t="n"/>
      <c r="V253" s="49" t="n"/>
      <c r="W253" s="49" t="n"/>
    </row>
    <row r="254">
      <c r="B254" s="49" t="n"/>
      <c r="C254" s="49" t="n"/>
      <c r="D254" s="49" t="n"/>
      <c r="E254" s="49" t="n"/>
      <c r="F254" s="49" t="n"/>
      <c r="G254" s="49" t="n"/>
      <c r="H254" s="50" t="n"/>
      <c r="I254" s="49" t="n"/>
      <c r="J254" s="49" t="n"/>
      <c r="K254" s="49" t="n"/>
      <c r="L254" s="49" t="n"/>
      <c r="M254" s="49" t="n"/>
      <c r="N254" s="49" t="n"/>
      <c r="O254" s="49" t="n"/>
      <c r="P254" s="49" t="n"/>
      <c r="Q254" s="49" t="n"/>
      <c r="R254" s="49" t="n"/>
      <c r="S254" s="49" t="n"/>
      <c r="T254" s="49" t="n"/>
      <c r="U254" s="49" t="n"/>
      <c r="V254" s="49" t="n"/>
      <c r="W254" s="49" t="n"/>
    </row>
    <row r="255">
      <c r="B255" s="49" t="n"/>
      <c r="C255" s="49" t="n"/>
      <c r="D255" s="49" t="n"/>
      <c r="E255" s="49" t="n"/>
      <c r="F255" s="49" t="n"/>
      <c r="G255" s="49" t="n"/>
      <c r="H255" s="50" t="n"/>
      <c r="I255" s="49" t="n"/>
      <c r="J255" s="49" t="n"/>
      <c r="K255" s="49" t="n"/>
      <c r="L255" s="49" t="n"/>
      <c r="M255" s="49" t="n"/>
      <c r="N255" s="49" t="n"/>
      <c r="O255" s="49" t="n"/>
      <c r="P255" s="49" t="n"/>
      <c r="Q255" s="49" t="n"/>
      <c r="R255" s="49" t="n"/>
      <c r="S255" s="49" t="n"/>
      <c r="T255" s="49" t="n"/>
      <c r="U255" s="49" t="n"/>
      <c r="V255" s="49" t="n"/>
      <c r="W255" s="49" t="n"/>
    </row>
    <row r="256">
      <c r="B256" s="49" t="n"/>
      <c r="C256" s="49" t="n"/>
      <c r="D256" s="49" t="n"/>
      <c r="E256" s="49" t="n"/>
      <c r="F256" s="49" t="n"/>
      <c r="G256" s="49" t="n"/>
      <c r="H256" s="50" t="n"/>
      <c r="I256" s="49" t="n"/>
      <c r="J256" s="49" t="n"/>
      <c r="K256" s="49" t="n"/>
      <c r="L256" s="49" t="n"/>
      <c r="M256" s="49" t="n"/>
      <c r="N256" s="49" t="n"/>
      <c r="O256" s="49" t="n"/>
      <c r="P256" s="49" t="n"/>
      <c r="Q256" s="49" t="n"/>
      <c r="R256" s="49" t="n"/>
      <c r="S256" s="49" t="n"/>
      <c r="T256" s="49" t="n"/>
      <c r="U256" s="49" t="n"/>
      <c r="V256" s="49" t="n"/>
      <c r="W256" s="49" t="n"/>
    </row>
    <row r="257">
      <c r="B257" s="49" t="n"/>
      <c r="C257" s="49" t="n"/>
      <c r="D257" s="49" t="n"/>
      <c r="E257" s="49" t="n"/>
      <c r="F257" s="49" t="n"/>
      <c r="G257" s="49" t="n"/>
      <c r="H257" s="50" t="n"/>
      <c r="I257" s="49" t="n"/>
      <c r="J257" s="49" t="n"/>
      <c r="K257" s="49" t="n"/>
      <c r="L257" s="49" t="n"/>
      <c r="M257" s="49" t="n"/>
      <c r="N257" s="49" t="n"/>
      <c r="O257" s="49" t="n"/>
      <c r="P257" s="49" t="n"/>
      <c r="Q257" s="49" t="n"/>
      <c r="R257" s="49" t="n"/>
      <c r="S257" s="49" t="n"/>
      <c r="T257" s="49" t="n"/>
      <c r="U257" s="49" t="n"/>
      <c r="V257" s="49" t="n"/>
      <c r="W257" s="49" t="n"/>
    </row>
    <row r="258">
      <c r="B258" s="49" t="n"/>
      <c r="C258" s="49" t="n"/>
      <c r="D258" s="49" t="n"/>
      <c r="E258" s="49" t="n"/>
      <c r="F258" s="49" t="n"/>
      <c r="G258" s="49" t="n"/>
      <c r="H258" s="50" t="n"/>
      <c r="I258" s="49" t="n"/>
      <c r="J258" s="49" t="n"/>
      <c r="K258" s="49" t="n"/>
      <c r="L258" s="49" t="n"/>
      <c r="M258" s="49" t="n"/>
      <c r="N258" s="49" t="n"/>
      <c r="O258" s="49" t="n"/>
      <c r="P258" s="49" t="n"/>
      <c r="Q258" s="49" t="n"/>
      <c r="R258" s="49" t="n"/>
      <c r="S258" s="49" t="n"/>
      <c r="T258" s="49" t="n"/>
      <c r="U258" s="49" t="n"/>
      <c r="V258" s="49" t="n"/>
      <c r="W258" s="49" t="n"/>
    </row>
    <row r="259">
      <c r="B259" s="49" t="n"/>
      <c r="C259" s="49" t="n"/>
      <c r="D259" s="49" t="n"/>
      <c r="E259" s="49" t="n"/>
      <c r="F259" s="49" t="n"/>
      <c r="G259" s="49" t="n"/>
      <c r="H259" s="50" t="n"/>
      <c r="I259" s="49" t="n"/>
      <c r="J259" s="49" t="n"/>
      <c r="K259" s="49" t="n"/>
      <c r="L259" s="49" t="n"/>
      <c r="M259" s="49" t="n"/>
      <c r="N259" s="49" t="n"/>
      <c r="O259" s="49" t="n"/>
      <c r="P259" s="49" t="n"/>
      <c r="Q259" s="49" t="n"/>
      <c r="R259" s="49" t="n"/>
      <c r="S259" s="49" t="n"/>
      <c r="T259" s="49" t="n"/>
      <c r="U259" s="49" t="n"/>
      <c r="V259" s="49" t="n"/>
      <c r="W259" s="49" t="n"/>
    </row>
    <row r="260">
      <c r="B260" s="49" t="n"/>
      <c r="C260" s="49" t="n"/>
      <c r="D260" s="49" t="n"/>
      <c r="E260" s="49" t="n"/>
      <c r="F260" s="49" t="n"/>
      <c r="G260" s="49" t="n"/>
      <c r="H260" s="50" t="n"/>
      <c r="I260" s="49" t="n"/>
      <c r="J260" s="49" t="n"/>
      <c r="K260" s="49" t="n"/>
      <c r="L260" s="49" t="n"/>
      <c r="M260" s="49" t="n"/>
      <c r="N260" s="49" t="n"/>
      <c r="O260" s="49" t="n"/>
      <c r="P260" s="49" t="n"/>
      <c r="Q260" s="49" t="n"/>
      <c r="R260" s="49" t="n"/>
      <c r="S260" s="49" t="n"/>
      <c r="T260" s="49" t="n"/>
      <c r="U260" s="49" t="n"/>
      <c r="V260" s="49" t="n"/>
      <c r="W260" s="49" t="n"/>
    </row>
    <row r="261">
      <c r="B261" s="49" t="n"/>
      <c r="C261" s="49" t="n"/>
      <c r="D261" s="49" t="n"/>
      <c r="E261" s="49" t="n"/>
      <c r="F261" s="49" t="n"/>
      <c r="G261" s="49" t="n"/>
      <c r="H261" s="50" t="n"/>
      <c r="I261" s="49" t="n"/>
      <c r="J261" s="49" t="n"/>
      <c r="K261" s="49" t="n"/>
      <c r="L261" s="49" t="n"/>
      <c r="M261" s="49" t="n"/>
      <c r="N261" s="49" t="n"/>
      <c r="O261" s="49" t="n"/>
      <c r="P261" s="49" t="n"/>
      <c r="Q261" s="49" t="n"/>
      <c r="R261" s="49" t="n"/>
      <c r="S261" s="49" t="n"/>
      <c r="T261" s="49" t="n"/>
      <c r="U261" s="49" t="n"/>
      <c r="V261" s="49" t="n"/>
      <c r="W261" s="49" t="n"/>
    </row>
    <row r="262">
      <c r="B262" s="49" t="n"/>
      <c r="C262" s="49" t="n"/>
      <c r="D262" s="49" t="n"/>
      <c r="E262" s="49" t="n"/>
      <c r="F262" s="49" t="n"/>
      <c r="G262" s="49" t="n"/>
      <c r="H262" s="50" t="n"/>
      <c r="I262" s="49" t="n"/>
      <c r="J262" s="49" t="n"/>
      <c r="K262" s="49" t="n"/>
      <c r="L262" s="49" t="n"/>
      <c r="M262" s="49" t="n"/>
      <c r="N262" s="49" t="n"/>
      <c r="O262" s="49" t="n"/>
      <c r="P262" s="49" t="n"/>
      <c r="Q262" s="49" t="n"/>
      <c r="R262" s="49" t="n"/>
      <c r="S262" s="49" t="n"/>
      <c r="T262" s="49" t="n"/>
      <c r="U262" s="49" t="n"/>
      <c r="V262" s="49" t="n"/>
      <c r="W262" s="49" t="n"/>
    </row>
    <row r="263">
      <c r="B263" s="49" t="n"/>
      <c r="C263" s="49" t="n"/>
      <c r="D263" s="49" t="n"/>
      <c r="E263" s="49" t="n"/>
      <c r="F263" s="49" t="n"/>
      <c r="G263" s="49" t="n"/>
      <c r="H263" s="50" t="n"/>
      <c r="I263" s="49" t="n"/>
      <c r="J263" s="49" t="n"/>
      <c r="K263" s="49" t="n"/>
      <c r="L263" s="49" t="n"/>
      <c r="M263" s="49" t="n"/>
      <c r="N263" s="49" t="n"/>
      <c r="O263" s="49" t="n"/>
      <c r="P263" s="49" t="n"/>
      <c r="Q263" s="49" t="n"/>
      <c r="R263" s="49" t="n"/>
      <c r="S263" s="49" t="n"/>
      <c r="T263" s="49" t="n"/>
      <c r="U263" s="49" t="n"/>
      <c r="V263" s="49" t="n"/>
      <c r="W263" s="49" t="n"/>
    </row>
    <row r="264">
      <c r="B264" s="49" t="n"/>
      <c r="C264" s="49" t="n"/>
      <c r="D264" s="49" t="n"/>
      <c r="E264" s="49" t="n"/>
      <c r="F264" s="49" t="n"/>
      <c r="G264" s="49" t="n"/>
      <c r="H264" s="50" t="n"/>
      <c r="I264" s="49" t="n"/>
      <c r="J264" s="49" t="n"/>
      <c r="K264" s="49" t="n"/>
      <c r="L264" s="49" t="n"/>
      <c r="M264" s="49" t="n"/>
      <c r="N264" s="49" t="n"/>
      <c r="O264" s="49" t="n"/>
      <c r="P264" s="49" t="n"/>
      <c r="Q264" s="49" t="n"/>
      <c r="R264" s="49" t="n"/>
      <c r="S264" s="49" t="n"/>
      <c r="T264" s="49" t="n"/>
      <c r="U264" s="49" t="n"/>
      <c r="V264" s="49" t="n"/>
      <c r="W264" s="49" t="n"/>
    </row>
    <row r="265">
      <c r="B265" s="49" t="n"/>
      <c r="C265" s="49" t="n"/>
      <c r="D265" s="49" t="n"/>
      <c r="E265" s="49" t="n"/>
      <c r="F265" s="49" t="n"/>
      <c r="G265" s="49" t="n"/>
      <c r="H265" s="50" t="n"/>
      <c r="I265" s="49" t="n"/>
      <c r="J265" s="49" t="n"/>
      <c r="K265" s="49" t="n"/>
      <c r="L265" s="49" t="n"/>
      <c r="M265" s="49" t="n"/>
      <c r="N265" s="49" t="n"/>
      <c r="O265" s="49" t="n"/>
      <c r="P265" s="49" t="n"/>
      <c r="Q265" s="49" t="n"/>
      <c r="R265" s="49" t="n"/>
      <c r="S265" s="49" t="n"/>
      <c r="T265" s="49" t="n"/>
      <c r="U265" s="49" t="n"/>
      <c r="V265" s="49" t="n"/>
      <c r="W265" s="49" t="n"/>
    </row>
    <row r="266">
      <c r="B266" s="49" t="n"/>
      <c r="C266" s="49" t="n"/>
      <c r="D266" s="49" t="n"/>
      <c r="E266" s="49" t="n"/>
      <c r="F266" s="49" t="n"/>
      <c r="G266" s="49" t="n"/>
      <c r="H266" s="50" t="n"/>
      <c r="I266" s="49" t="n"/>
      <c r="J266" s="49" t="n"/>
      <c r="K266" s="49" t="n"/>
      <c r="L266" s="49" t="n"/>
      <c r="M266" s="49" t="n"/>
      <c r="N266" s="49" t="n"/>
      <c r="O266" s="49" t="n"/>
      <c r="P266" s="49" t="n"/>
      <c r="Q266" s="49" t="n"/>
      <c r="R266" s="49" t="n"/>
      <c r="S266" s="49" t="n"/>
      <c r="T266" s="49" t="n"/>
      <c r="U266" s="49" t="n"/>
      <c r="V266" s="49" t="n"/>
      <c r="W266" s="49" t="n"/>
    </row>
    <row r="267">
      <c r="B267" s="49" t="n"/>
      <c r="C267" s="49" t="n"/>
      <c r="D267" s="49" t="n"/>
      <c r="E267" s="49" t="n"/>
      <c r="F267" s="49" t="n"/>
      <c r="G267" s="49" t="n"/>
      <c r="H267" s="50" t="n"/>
      <c r="I267" s="49" t="n"/>
      <c r="J267" s="49" t="n"/>
      <c r="K267" s="49" t="n"/>
      <c r="L267" s="49" t="n"/>
      <c r="M267" s="49" t="n"/>
      <c r="N267" s="49" t="n"/>
      <c r="O267" s="49" t="n"/>
      <c r="P267" s="49" t="n"/>
      <c r="Q267" s="49" t="n"/>
      <c r="R267" s="49" t="n"/>
      <c r="S267" s="49" t="n"/>
      <c r="T267" s="49" t="n"/>
      <c r="U267" s="49" t="n"/>
      <c r="V267" s="49" t="n"/>
      <c r="W267" s="49" t="n"/>
    </row>
    <row r="268">
      <c r="B268" s="49" t="n"/>
      <c r="C268" s="49" t="n"/>
      <c r="D268" s="49" t="n"/>
      <c r="E268" s="49" t="n"/>
      <c r="F268" s="49" t="n"/>
      <c r="G268" s="49" t="n"/>
      <c r="H268" s="50" t="n"/>
      <c r="I268" s="49" t="n"/>
      <c r="J268" s="49" t="n"/>
      <c r="K268" s="49" t="n"/>
      <c r="L268" s="49" t="n"/>
      <c r="M268" s="49" t="n"/>
      <c r="N268" s="49" t="n"/>
      <c r="O268" s="49" t="n"/>
      <c r="P268" s="49" t="n"/>
      <c r="Q268" s="49" t="n"/>
      <c r="R268" s="49" t="n"/>
      <c r="S268" s="49" t="n"/>
      <c r="T268" s="49" t="n"/>
      <c r="U268" s="49" t="n"/>
      <c r="V268" s="49" t="n"/>
      <c r="W268" s="49" t="n"/>
    </row>
    <row r="269">
      <c r="B269" s="49" t="n"/>
      <c r="C269" s="49" t="n"/>
      <c r="D269" s="49" t="n"/>
      <c r="E269" s="49" t="n"/>
      <c r="F269" s="49" t="n"/>
      <c r="G269" s="49" t="n"/>
      <c r="H269" s="50" t="n"/>
      <c r="I269" s="49" t="n"/>
      <c r="J269" s="49" t="n"/>
      <c r="K269" s="49" t="n"/>
      <c r="L269" s="49" t="n"/>
      <c r="M269" s="49" t="n"/>
      <c r="N269" s="49" t="n"/>
      <c r="O269" s="49" t="n"/>
      <c r="P269" s="49" t="n"/>
      <c r="Q269" s="49" t="n"/>
      <c r="R269" s="49" t="n"/>
      <c r="S269" s="49" t="n"/>
      <c r="T269" s="49" t="n"/>
      <c r="U269" s="49" t="n"/>
      <c r="V269" s="49" t="n"/>
      <c r="W269" s="49" t="n"/>
    </row>
    <row r="270">
      <c r="B270" s="49" t="n"/>
      <c r="C270" s="49" t="n"/>
      <c r="D270" s="49" t="n"/>
      <c r="E270" s="49" t="n"/>
      <c r="F270" s="49" t="n"/>
      <c r="G270" s="49" t="n"/>
      <c r="H270" s="50" t="n"/>
      <c r="I270" s="49" t="n"/>
      <c r="J270" s="49" t="n"/>
      <c r="K270" s="49" t="n"/>
      <c r="L270" s="49" t="n"/>
      <c r="M270" s="49" t="n"/>
      <c r="N270" s="49" t="n"/>
      <c r="O270" s="49" t="n"/>
      <c r="P270" s="49" t="n"/>
      <c r="Q270" s="49" t="n"/>
      <c r="R270" s="49" t="n"/>
      <c r="S270" s="49" t="n"/>
      <c r="T270" s="49" t="n"/>
      <c r="U270" s="49" t="n"/>
      <c r="V270" s="49" t="n"/>
      <c r="W270" s="49" t="n"/>
    </row>
    <row r="271">
      <c r="B271" s="49" t="n"/>
      <c r="C271" s="49" t="n"/>
      <c r="D271" s="49" t="n"/>
      <c r="E271" s="49" t="n"/>
      <c r="F271" s="49" t="n"/>
      <c r="G271" s="49" t="n"/>
      <c r="H271" s="50" t="n"/>
      <c r="I271" s="49" t="n"/>
      <c r="J271" s="49" t="n"/>
      <c r="K271" s="49" t="n"/>
      <c r="L271" s="49" t="n"/>
      <c r="M271" s="49" t="n"/>
      <c r="N271" s="49" t="n"/>
      <c r="O271" s="49" t="n"/>
      <c r="P271" s="49" t="n"/>
      <c r="Q271" s="49" t="n"/>
      <c r="R271" s="49" t="n"/>
      <c r="S271" s="49" t="n"/>
      <c r="T271" s="49" t="n"/>
      <c r="U271" s="49" t="n"/>
      <c r="V271" s="49" t="n"/>
      <c r="W271" s="49" t="n"/>
    </row>
    <row r="272">
      <c r="B272" s="49" t="n"/>
      <c r="C272" s="49" t="n"/>
      <c r="D272" s="49" t="n"/>
      <c r="E272" s="49" t="n"/>
      <c r="F272" s="49" t="n"/>
      <c r="G272" s="49" t="n"/>
      <c r="H272" s="50" t="n"/>
      <c r="I272" s="49" t="n"/>
      <c r="J272" s="49" t="n"/>
      <c r="K272" s="49" t="n"/>
      <c r="L272" s="49" t="n"/>
      <c r="M272" s="49" t="n"/>
      <c r="N272" s="49" t="n"/>
      <c r="O272" s="49" t="n"/>
      <c r="P272" s="49" t="n"/>
      <c r="Q272" s="49" t="n"/>
      <c r="R272" s="49" t="n"/>
      <c r="S272" s="49" t="n"/>
      <c r="T272" s="49" t="n"/>
      <c r="U272" s="49" t="n"/>
      <c r="V272" s="49" t="n"/>
      <c r="W272" s="49" t="n"/>
    </row>
    <row r="273">
      <c r="B273" s="49" t="n"/>
      <c r="C273" s="49" t="n"/>
      <c r="D273" s="49" t="n"/>
      <c r="E273" s="49" t="n"/>
      <c r="F273" s="49" t="n"/>
      <c r="G273" s="49" t="n"/>
      <c r="H273" s="50" t="n"/>
      <c r="I273" s="49" t="n"/>
      <c r="J273" s="49" t="n"/>
      <c r="K273" s="49" t="n"/>
      <c r="L273" s="49" t="n"/>
      <c r="M273" s="49" t="n"/>
      <c r="N273" s="49" t="n"/>
      <c r="O273" s="49" t="n"/>
      <c r="P273" s="49" t="n"/>
      <c r="Q273" s="49" t="n"/>
      <c r="R273" s="49" t="n"/>
      <c r="S273" s="49" t="n"/>
      <c r="T273" s="49" t="n"/>
      <c r="U273" s="49" t="n"/>
      <c r="V273" s="49" t="n"/>
      <c r="W273" s="49" t="n"/>
    </row>
    <row r="274">
      <c r="B274" s="49" t="n"/>
      <c r="C274" s="49" t="n"/>
      <c r="D274" s="49" t="n"/>
      <c r="E274" s="49" t="n"/>
      <c r="F274" s="49" t="n"/>
      <c r="G274" s="49" t="n"/>
      <c r="H274" s="50" t="n"/>
      <c r="I274" s="49" t="n"/>
      <c r="J274" s="49" t="n"/>
      <c r="K274" s="49" t="n"/>
      <c r="L274" s="49" t="n"/>
      <c r="M274" s="49" t="n"/>
      <c r="N274" s="49" t="n"/>
      <c r="O274" s="49" t="n"/>
      <c r="P274" s="49" t="n"/>
      <c r="Q274" s="49" t="n"/>
      <c r="R274" s="49" t="n"/>
      <c r="S274" s="49" t="n"/>
      <c r="T274" s="49" t="n"/>
      <c r="U274" s="49" t="n"/>
      <c r="V274" s="49" t="n"/>
      <c r="W274" s="49" t="n"/>
    </row>
    <row r="275">
      <c r="B275" s="49" t="n"/>
      <c r="C275" s="49" t="n"/>
      <c r="D275" s="49" t="n"/>
      <c r="E275" s="49" t="n"/>
      <c r="F275" s="49" t="n"/>
      <c r="G275" s="49" t="n"/>
      <c r="H275" s="50" t="n"/>
      <c r="I275" s="49" t="n"/>
      <c r="J275" s="49" t="n"/>
      <c r="K275" s="49" t="n"/>
      <c r="L275" s="49" t="n"/>
      <c r="M275" s="49" t="n"/>
      <c r="N275" s="49" t="n"/>
      <c r="O275" s="49" t="n"/>
      <c r="P275" s="49" t="n"/>
      <c r="Q275" s="49" t="n"/>
      <c r="R275" s="49" t="n"/>
      <c r="S275" s="49" t="n"/>
      <c r="T275" s="49" t="n"/>
      <c r="U275" s="49" t="n"/>
      <c r="V275" s="49" t="n"/>
      <c r="W275" s="49" t="n"/>
    </row>
    <row r="276">
      <c r="B276" s="49" t="n"/>
      <c r="C276" s="49" t="n"/>
      <c r="D276" s="49" t="n"/>
      <c r="E276" s="49" t="n"/>
      <c r="F276" s="49" t="n"/>
      <c r="G276" s="49" t="n"/>
      <c r="H276" s="50" t="n"/>
      <c r="I276" s="49" t="n"/>
      <c r="J276" s="49" t="n"/>
      <c r="K276" s="49" t="n"/>
      <c r="L276" s="49" t="n"/>
      <c r="M276" s="49" t="n"/>
      <c r="N276" s="49" t="n"/>
      <c r="O276" s="49" t="n"/>
      <c r="P276" s="49" t="n"/>
      <c r="Q276" s="49" t="n"/>
      <c r="R276" s="49" t="n"/>
      <c r="S276" s="49" t="n"/>
      <c r="T276" s="49" t="n"/>
      <c r="U276" s="49" t="n"/>
      <c r="V276" s="49" t="n"/>
      <c r="W276" s="49" t="n"/>
    </row>
    <row r="277">
      <c r="B277" s="49" t="n"/>
      <c r="C277" s="49" t="n"/>
      <c r="D277" s="49" t="n"/>
      <c r="E277" s="49" t="n"/>
      <c r="F277" s="49" t="n"/>
      <c r="G277" s="49" t="n"/>
      <c r="H277" s="50" t="n"/>
      <c r="I277" s="49" t="n"/>
      <c r="J277" s="49" t="n"/>
      <c r="K277" s="49" t="n"/>
      <c r="L277" s="49" t="n"/>
      <c r="M277" s="49" t="n"/>
      <c r="N277" s="49" t="n"/>
      <c r="O277" s="49" t="n"/>
      <c r="P277" s="49" t="n"/>
      <c r="Q277" s="49" t="n"/>
      <c r="R277" s="49" t="n"/>
      <c r="S277" s="49" t="n"/>
      <c r="T277" s="49" t="n"/>
      <c r="U277" s="49" t="n"/>
      <c r="V277" s="49" t="n"/>
      <c r="W277" s="49" t="n"/>
    </row>
    <row r="278">
      <c r="B278" s="49" t="n"/>
      <c r="C278" s="49" t="n"/>
      <c r="D278" s="49" t="n"/>
      <c r="E278" s="49" t="n"/>
      <c r="F278" s="49" t="n"/>
      <c r="G278" s="49" t="n"/>
      <c r="H278" s="50" t="n"/>
      <c r="I278" s="49" t="n"/>
      <c r="J278" s="49" t="n"/>
      <c r="K278" s="49" t="n"/>
      <c r="L278" s="49" t="n"/>
      <c r="M278" s="49" t="n"/>
      <c r="N278" s="49" t="n"/>
      <c r="O278" s="49" t="n"/>
      <c r="P278" s="49" t="n"/>
      <c r="Q278" s="49" t="n"/>
      <c r="R278" s="49" t="n"/>
      <c r="S278" s="49" t="n"/>
      <c r="T278" s="49" t="n"/>
      <c r="U278" s="49" t="n"/>
      <c r="V278" s="49" t="n"/>
      <c r="W278" s="49" t="n"/>
    </row>
    <row r="279">
      <c r="B279" s="49" t="n"/>
      <c r="C279" s="49" t="n"/>
      <c r="D279" s="49" t="n"/>
      <c r="E279" s="49" t="n"/>
      <c r="F279" s="49" t="n"/>
      <c r="G279" s="49" t="n"/>
      <c r="H279" s="50" t="n"/>
      <c r="I279" s="49" t="n"/>
      <c r="J279" s="49" t="n"/>
      <c r="K279" s="49" t="n"/>
      <c r="L279" s="49" t="n"/>
      <c r="M279" s="49" t="n"/>
      <c r="N279" s="49" t="n"/>
      <c r="O279" s="49" t="n"/>
      <c r="P279" s="49" t="n"/>
      <c r="Q279" s="49" t="n"/>
      <c r="R279" s="49" t="n"/>
      <c r="S279" s="49" t="n"/>
      <c r="T279" s="49" t="n"/>
      <c r="U279" s="49" t="n"/>
      <c r="V279" s="49" t="n"/>
      <c r="W279" s="49" t="n"/>
    </row>
    <row r="280">
      <c r="B280" s="49" t="n"/>
      <c r="C280" s="49" t="n"/>
      <c r="D280" s="49" t="n"/>
      <c r="E280" s="49" t="n"/>
      <c r="F280" s="49" t="n"/>
      <c r="G280" s="49" t="n"/>
      <c r="H280" s="50" t="n"/>
      <c r="I280" s="49" t="n"/>
      <c r="J280" s="49" t="n"/>
      <c r="K280" s="49" t="n"/>
      <c r="L280" s="49" t="n"/>
      <c r="M280" s="49" t="n"/>
      <c r="N280" s="49" t="n"/>
      <c r="O280" s="49" t="n"/>
      <c r="P280" s="49" t="n"/>
      <c r="Q280" s="49" t="n"/>
      <c r="R280" s="49" t="n"/>
      <c r="S280" s="49" t="n"/>
      <c r="T280" s="49" t="n"/>
      <c r="U280" s="49" t="n"/>
      <c r="V280" s="49" t="n"/>
      <c r="W280" s="49" t="n"/>
    </row>
    <row r="281">
      <c r="B281" s="49" t="n"/>
      <c r="C281" s="49" t="n"/>
      <c r="D281" s="49" t="n"/>
      <c r="E281" s="49" t="n"/>
      <c r="F281" s="49" t="n"/>
      <c r="G281" s="49" t="n"/>
      <c r="H281" s="50" t="n"/>
      <c r="I281" s="49" t="n"/>
      <c r="J281" s="49" t="n"/>
      <c r="K281" s="49" t="n"/>
      <c r="L281" s="49" t="n"/>
      <c r="M281" s="49" t="n"/>
      <c r="N281" s="49" t="n"/>
      <c r="O281" s="49" t="n"/>
      <c r="P281" s="49" t="n"/>
      <c r="Q281" s="49" t="n"/>
      <c r="R281" s="49" t="n"/>
      <c r="S281" s="49" t="n"/>
      <c r="T281" s="49" t="n"/>
      <c r="U281" s="49" t="n"/>
      <c r="V281" s="49" t="n"/>
      <c r="W281" s="49" t="n"/>
    </row>
    <row r="282">
      <c r="B282" s="49" t="n"/>
      <c r="C282" s="49" t="n"/>
      <c r="D282" s="49" t="n"/>
      <c r="E282" s="49" t="n"/>
      <c r="F282" s="49" t="n"/>
      <c r="G282" s="49" t="n"/>
      <c r="H282" s="50" t="n"/>
      <c r="I282" s="49" t="n"/>
      <c r="J282" s="49" t="n"/>
      <c r="K282" s="49" t="n"/>
      <c r="L282" s="49" t="n"/>
      <c r="M282" s="49" t="n"/>
      <c r="N282" s="49" t="n"/>
      <c r="O282" s="49" t="n"/>
      <c r="P282" s="49" t="n"/>
      <c r="Q282" s="49" t="n"/>
      <c r="R282" s="49" t="n"/>
      <c r="S282" s="49" t="n"/>
      <c r="T282" s="49" t="n"/>
      <c r="U282" s="49" t="n"/>
      <c r="V282" s="49" t="n"/>
      <c r="W282" s="49" t="n"/>
    </row>
    <row r="283">
      <c r="B283" s="49" t="n"/>
      <c r="C283" s="49" t="n"/>
      <c r="D283" s="49" t="n"/>
      <c r="E283" s="49" t="n"/>
      <c r="F283" s="49" t="n"/>
      <c r="G283" s="49" t="n"/>
      <c r="H283" s="50" t="n"/>
      <c r="I283" s="49" t="n"/>
      <c r="J283" s="49" t="n"/>
      <c r="K283" s="49" t="n"/>
      <c r="L283" s="49" t="n"/>
      <c r="M283" s="49" t="n"/>
      <c r="N283" s="49" t="n"/>
      <c r="O283" s="49" t="n"/>
      <c r="P283" s="49" t="n"/>
      <c r="Q283" s="49" t="n"/>
      <c r="R283" s="49" t="n"/>
      <c r="S283" s="49" t="n"/>
      <c r="T283" s="49" t="n"/>
      <c r="U283" s="49" t="n"/>
      <c r="V283" s="49" t="n"/>
      <c r="W283" s="49" t="n"/>
    </row>
    <row r="284">
      <c r="B284" s="49" t="n"/>
      <c r="C284" s="49" t="n"/>
      <c r="D284" s="49" t="n"/>
      <c r="E284" s="49" t="n"/>
      <c r="F284" s="49" t="n"/>
      <c r="G284" s="49" t="n"/>
      <c r="H284" s="50" t="n"/>
      <c r="I284" s="49" t="n"/>
      <c r="J284" s="49" t="n"/>
      <c r="K284" s="49" t="n"/>
      <c r="L284" s="49" t="n"/>
      <c r="M284" s="49" t="n"/>
      <c r="N284" s="49" t="n"/>
      <c r="O284" s="49" t="n"/>
      <c r="P284" s="49" t="n"/>
      <c r="Q284" s="49" t="n"/>
      <c r="R284" s="49" t="n"/>
      <c r="S284" s="49" t="n"/>
      <c r="T284" s="49" t="n"/>
      <c r="U284" s="49" t="n"/>
      <c r="V284" s="49" t="n"/>
      <c r="W284" s="49" t="n"/>
    </row>
    <row r="285">
      <c r="B285" s="49" t="n"/>
      <c r="C285" s="49" t="n"/>
      <c r="D285" s="49" t="n"/>
      <c r="E285" s="49" t="n"/>
      <c r="F285" s="49" t="n"/>
      <c r="G285" s="49" t="n"/>
      <c r="H285" s="50" t="n"/>
      <c r="I285" s="49" t="n"/>
      <c r="J285" s="49" t="n"/>
      <c r="K285" s="49" t="n"/>
      <c r="L285" s="49" t="n"/>
      <c r="M285" s="49" t="n"/>
      <c r="N285" s="49" t="n"/>
      <c r="O285" s="49" t="n"/>
      <c r="P285" s="49" t="n"/>
      <c r="Q285" s="49" t="n"/>
      <c r="R285" s="49" t="n"/>
      <c r="S285" s="49" t="n"/>
      <c r="T285" s="49" t="n"/>
      <c r="U285" s="49" t="n"/>
      <c r="V285" s="49" t="n"/>
      <c r="W285" s="49" t="n"/>
    </row>
    <row r="286">
      <c r="B286" s="49" t="n"/>
      <c r="C286" s="49" t="n"/>
      <c r="D286" s="49" t="n"/>
      <c r="E286" s="49" t="n"/>
      <c r="F286" s="49" t="n"/>
      <c r="G286" s="49" t="n"/>
      <c r="H286" s="50" t="n"/>
      <c r="I286" s="49" t="n"/>
      <c r="J286" s="49" t="n"/>
      <c r="K286" s="49" t="n"/>
      <c r="L286" s="49" t="n"/>
      <c r="M286" s="49" t="n"/>
      <c r="N286" s="49" t="n"/>
      <c r="O286" s="49" t="n"/>
      <c r="P286" s="49" t="n"/>
      <c r="Q286" s="49" t="n"/>
      <c r="R286" s="49" t="n"/>
      <c r="S286" s="49" t="n"/>
      <c r="T286" s="49" t="n"/>
      <c r="U286" s="49" t="n"/>
      <c r="V286" s="49" t="n"/>
      <c r="W286" s="49" t="n"/>
    </row>
    <row r="287">
      <c r="B287" s="49" t="n"/>
      <c r="C287" s="49" t="n"/>
      <c r="D287" s="49" t="n"/>
      <c r="E287" s="49" t="n"/>
      <c r="F287" s="49" t="n"/>
      <c r="G287" s="49" t="n"/>
      <c r="H287" s="50" t="n"/>
      <c r="I287" s="49" t="n"/>
      <c r="J287" s="49" t="n"/>
      <c r="K287" s="49" t="n"/>
      <c r="L287" s="49" t="n"/>
      <c r="M287" s="49" t="n"/>
      <c r="N287" s="49" t="n"/>
      <c r="O287" s="49" t="n"/>
      <c r="P287" s="49" t="n"/>
      <c r="Q287" s="49" t="n"/>
      <c r="R287" s="49" t="n"/>
      <c r="S287" s="49" t="n"/>
      <c r="T287" s="49" t="n"/>
      <c r="U287" s="49" t="n"/>
      <c r="V287" s="49" t="n"/>
      <c r="W287" s="49" t="n"/>
    </row>
    <row r="288">
      <c r="B288" s="49" t="n"/>
      <c r="C288" s="49" t="n"/>
      <c r="D288" s="49" t="n"/>
      <c r="E288" s="49" t="n"/>
      <c r="F288" s="49" t="n"/>
      <c r="G288" s="49" t="n"/>
      <c r="H288" s="50" t="n"/>
      <c r="I288" s="49" t="n"/>
      <c r="J288" s="49" t="n"/>
      <c r="K288" s="49" t="n"/>
      <c r="L288" s="49" t="n"/>
      <c r="M288" s="49" t="n"/>
      <c r="N288" s="49" t="n"/>
      <c r="O288" s="49" t="n"/>
      <c r="P288" s="49" t="n"/>
      <c r="Q288" s="49" t="n"/>
      <c r="R288" s="49" t="n"/>
      <c r="S288" s="49" t="n"/>
      <c r="T288" s="49" t="n"/>
      <c r="U288" s="49" t="n"/>
      <c r="V288" s="49" t="n"/>
      <c r="W288" s="49" t="n"/>
    </row>
    <row r="289">
      <c r="B289" s="49" t="n"/>
      <c r="C289" s="49" t="n"/>
      <c r="D289" s="49" t="n"/>
      <c r="E289" s="49" t="n"/>
      <c r="F289" s="49" t="n"/>
      <c r="G289" s="49" t="n"/>
      <c r="H289" s="50" t="n"/>
      <c r="I289" s="49" t="n"/>
      <c r="J289" s="49" t="n"/>
      <c r="K289" s="49" t="n"/>
      <c r="L289" s="49" t="n"/>
      <c r="M289" s="49" t="n"/>
      <c r="N289" s="49" t="n"/>
      <c r="O289" s="49" t="n"/>
      <c r="P289" s="49" t="n"/>
      <c r="Q289" s="49" t="n"/>
      <c r="R289" s="49" t="n"/>
      <c r="S289" s="49" t="n"/>
      <c r="T289" s="49" t="n"/>
      <c r="U289" s="49" t="n"/>
      <c r="V289" s="49" t="n"/>
      <c r="W289" s="49" t="n"/>
    </row>
    <row r="290">
      <c r="B290" s="49" t="n"/>
      <c r="C290" s="49" t="n"/>
      <c r="D290" s="49" t="n"/>
      <c r="E290" s="49" t="n"/>
      <c r="F290" s="49" t="n"/>
      <c r="G290" s="49" t="n"/>
      <c r="H290" s="50" t="n"/>
      <c r="I290" s="49" t="n"/>
      <c r="J290" s="49" t="n"/>
      <c r="K290" s="49" t="n"/>
      <c r="L290" s="49" t="n"/>
      <c r="M290" s="49" t="n"/>
      <c r="N290" s="49" t="n"/>
      <c r="O290" s="49" t="n"/>
      <c r="P290" s="49" t="n"/>
      <c r="Q290" s="49" t="n"/>
      <c r="R290" s="49" t="n"/>
      <c r="S290" s="49" t="n"/>
      <c r="T290" s="49" t="n"/>
      <c r="U290" s="49" t="n"/>
      <c r="V290" s="49" t="n"/>
      <c r="W290" s="49" t="n"/>
    </row>
    <row r="291">
      <c r="B291" s="49" t="n"/>
      <c r="C291" s="49" t="n"/>
      <c r="D291" s="49" t="n"/>
      <c r="E291" s="49" t="n"/>
      <c r="F291" s="49" t="n"/>
      <c r="G291" s="49" t="n"/>
      <c r="H291" s="50" t="n"/>
      <c r="I291" s="49" t="n"/>
      <c r="J291" s="49" t="n"/>
      <c r="K291" s="49" t="n"/>
      <c r="L291" s="49" t="n"/>
      <c r="M291" s="49" t="n"/>
      <c r="N291" s="49" t="n"/>
      <c r="O291" s="49" t="n"/>
      <c r="P291" s="49" t="n"/>
      <c r="Q291" s="49" t="n"/>
      <c r="R291" s="49" t="n"/>
      <c r="S291" s="49" t="n"/>
      <c r="T291" s="49" t="n"/>
      <c r="U291" s="49" t="n"/>
      <c r="V291" s="49" t="n"/>
      <c r="W291" s="49" t="n"/>
    </row>
    <row r="292">
      <c r="B292" s="49" t="n"/>
      <c r="C292" s="49" t="n"/>
      <c r="D292" s="49" t="n"/>
      <c r="E292" s="49" t="n"/>
      <c r="F292" s="49" t="n"/>
      <c r="G292" s="49" t="n"/>
      <c r="H292" s="50" t="n"/>
      <c r="I292" s="49" t="n"/>
      <c r="J292" s="49" t="n"/>
      <c r="K292" s="49" t="n"/>
      <c r="L292" s="49" t="n"/>
      <c r="M292" s="49" t="n"/>
      <c r="N292" s="49" t="n"/>
      <c r="O292" s="49" t="n"/>
      <c r="P292" s="49" t="n"/>
      <c r="Q292" s="49" t="n"/>
      <c r="R292" s="49" t="n"/>
      <c r="S292" s="49" t="n"/>
      <c r="T292" s="49" t="n"/>
      <c r="U292" s="49" t="n"/>
      <c r="V292" s="49" t="n"/>
      <c r="W292" s="49" t="n"/>
    </row>
    <row r="293">
      <c r="B293" s="49" t="n"/>
      <c r="C293" s="49" t="n"/>
      <c r="D293" s="49" t="n"/>
      <c r="E293" s="49" t="n"/>
      <c r="F293" s="49" t="n"/>
      <c r="G293" s="49" t="n"/>
      <c r="H293" s="50" t="n"/>
      <c r="I293" s="49" t="n"/>
      <c r="J293" s="49" t="n"/>
      <c r="K293" s="49" t="n"/>
      <c r="L293" s="49" t="n"/>
      <c r="M293" s="49" t="n"/>
      <c r="N293" s="49" t="n"/>
      <c r="O293" s="49" t="n"/>
      <c r="P293" s="49" t="n"/>
      <c r="Q293" s="49" t="n"/>
      <c r="R293" s="49" t="n"/>
      <c r="S293" s="49" t="n"/>
      <c r="T293" s="49" t="n"/>
      <c r="U293" s="49" t="n"/>
      <c r="V293" s="49" t="n"/>
      <c r="W293" s="49" t="n"/>
    </row>
    <row r="294">
      <c r="B294" s="49" t="n"/>
      <c r="C294" s="49" t="n"/>
      <c r="D294" s="49" t="n"/>
      <c r="E294" s="49" t="n"/>
      <c r="F294" s="49" t="n"/>
      <c r="G294" s="49" t="n"/>
      <c r="H294" s="50" t="n"/>
      <c r="I294" s="49" t="n"/>
      <c r="J294" s="49" t="n"/>
      <c r="K294" s="49" t="n"/>
      <c r="L294" s="49" t="n"/>
      <c r="M294" s="49" t="n"/>
      <c r="N294" s="49" t="n"/>
      <c r="O294" s="49" t="n"/>
      <c r="P294" s="49" t="n"/>
      <c r="Q294" s="49" t="n"/>
      <c r="R294" s="49" t="n"/>
      <c r="S294" s="49" t="n"/>
      <c r="T294" s="49" t="n"/>
      <c r="U294" s="49" t="n"/>
      <c r="V294" s="49" t="n"/>
      <c r="W294" s="49" t="n"/>
    </row>
    <row r="295">
      <c r="B295" s="49" t="n"/>
      <c r="C295" s="49" t="n"/>
      <c r="D295" s="49" t="n"/>
      <c r="E295" s="49" t="n"/>
      <c r="F295" s="49" t="n"/>
      <c r="G295" s="49" t="n"/>
      <c r="H295" s="50" t="n"/>
      <c r="I295" s="49" t="n"/>
      <c r="J295" s="49" t="n"/>
      <c r="K295" s="49" t="n"/>
      <c r="L295" s="49" t="n"/>
      <c r="M295" s="49" t="n"/>
      <c r="N295" s="49" t="n"/>
      <c r="O295" s="49" t="n"/>
      <c r="P295" s="49" t="n"/>
      <c r="Q295" s="49" t="n"/>
      <c r="R295" s="49" t="n"/>
      <c r="S295" s="49" t="n"/>
      <c r="T295" s="49" t="n"/>
      <c r="U295" s="49" t="n"/>
      <c r="V295" s="49" t="n"/>
      <c r="W295" s="49" t="n"/>
    </row>
    <row r="296">
      <c r="B296" s="49" t="n"/>
      <c r="C296" s="49" t="n"/>
      <c r="D296" s="49" t="n"/>
      <c r="E296" s="49" t="n"/>
      <c r="F296" s="49" t="n"/>
      <c r="G296" s="49" t="n"/>
      <c r="H296" s="50" t="n"/>
      <c r="I296" s="49" t="n"/>
      <c r="J296" s="49" t="n"/>
      <c r="K296" s="49" t="n"/>
      <c r="L296" s="49" t="n"/>
      <c r="M296" s="49" t="n"/>
      <c r="N296" s="49" t="n"/>
      <c r="O296" s="49" t="n"/>
      <c r="P296" s="49" t="n"/>
      <c r="Q296" s="49" t="n"/>
      <c r="R296" s="49" t="n"/>
      <c r="S296" s="49" t="n"/>
      <c r="T296" s="49" t="n"/>
      <c r="U296" s="49" t="n"/>
      <c r="V296" s="49" t="n"/>
      <c r="W296" s="49" t="n"/>
    </row>
    <row r="297">
      <c r="B297" s="49" t="n"/>
      <c r="C297" s="49" t="n"/>
      <c r="D297" s="49" t="n"/>
      <c r="E297" s="49" t="n"/>
      <c r="F297" s="49" t="n"/>
      <c r="G297" s="49" t="n"/>
      <c r="H297" s="50" t="n"/>
      <c r="I297" s="49" t="n"/>
      <c r="J297" s="49" t="n"/>
      <c r="K297" s="49" t="n"/>
      <c r="L297" s="49" t="n"/>
      <c r="M297" s="49" t="n"/>
      <c r="N297" s="49" t="n"/>
      <c r="O297" s="49" t="n"/>
      <c r="P297" s="49" t="n"/>
      <c r="Q297" s="49" t="n"/>
      <c r="R297" s="49" t="n"/>
      <c r="S297" s="49" t="n"/>
      <c r="T297" s="49" t="n"/>
      <c r="U297" s="49" t="n"/>
      <c r="V297" s="49" t="n"/>
      <c r="W297" s="49" t="n"/>
    </row>
    <row r="298">
      <c r="B298" s="49" t="n"/>
      <c r="C298" s="49" t="n"/>
      <c r="D298" s="49" t="n"/>
      <c r="E298" s="49" t="n"/>
      <c r="F298" s="49" t="n"/>
      <c r="G298" s="49" t="n"/>
      <c r="H298" s="50" t="n"/>
      <c r="I298" s="49" t="n"/>
      <c r="J298" s="49" t="n"/>
      <c r="K298" s="49" t="n"/>
      <c r="L298" s="49" t="n"/>
      <c r="M298" s="49" t="n"/>
      <c r="N298" s="49" t="n"/>
      <c r="O298" s="49" t="n"/>
      <c r="P298" s="49" t="n"/>
      <c r="Q298" s="49" t="n"/>
      <c r="R298" s="49" t="n"/>
      <c r="S298" s="49" t="n"/>
      <c r="T298" s="49" t="n"/>
      <c r="U298" s="49" t="n"/>
      <c r="V298" s="49" t="n"/>
      <c r="W298" s="49" t="n"/>
    </row>
    <row r="299">
      <c r="B299" s="49" t="n"/>
      <c r="C299" s="49" t="n"/>
      <c r="D299" s="49" t="n"/>
      <c r="E299" s="49" t="n"/>
      <c r="F299" s="49" t="n"/>
      <c r="G299" s="49" t="n"/>
      <c r="H299" s="50" t="n"/>
      <c r="I299" s="49" t="n"/>
      <c r="J299" s="49" t="n"/>
      <c r="K299" s="49" t="n"/>
      <c r="L299" s="49" t="n"/>
      <c r="M299" s="49" t="n"/>
      <c r="N299" s="49" t="n"/>
      <c r="O299" s="49" t="n"/>
      <c r="P299" s="49" t="n"/>
      <c r="Q299" s="49" t="n"/>
      <c r="R299" s="49" t="n"/>
      <c r="S299" s="49" t="n"/>
      <c r="T299" s="49" t="n"/>
      <c r="U299" s="49" t="n"/>
      <c r="V299" s="49" t="n"/>
      <c r="W299" s="49" t="n"/>
    </row>
    <row r="300">
      <c r="B300" s="49" t="n"/>
      <c r="C300" s="49" t="n"/>
      <c r="D300" s="49" t="n"/>
      <c r="E300" s="49" t="n"/>
      <c r="F300" s="49" t="n"/>
      <c r="G300" s="49" t="n"/>
      <c r="H300" s="50" t="n"/>
      <c r="I300" s="49" t="n"/>
      <c r="J300" s="49" t="n"/>
      <c r="K300" s="49" t="n"/>
      <c r="L300" s="49" t="n"/>
      <c r="M300" s="49" t="n"/>
      <c r="N300" s="49" t="n"/>
      <c r="O300" s="49" t="n"/>
      <c r="P300" s="49" t="n"/>
      <c r="Q300" s="49" t="n"/>
      <c r="R300" s="49" t="n"/>
      <c r="S300" s="49" t="n"/>
      <c r="T300" s="49" t="n"/>
      <c r="U300" s="49" t="n"/>
      <c r="V300" s="49" t="n"/>
      <c r="W300" s="49" t="n"/>
    </row>
    <row r="301">
      <c r="B301" s="49" t="n"/>
      <c r="C301" s="49" t="n"/>
      <c r="D301" s="49" t="n"/>
      <c r="E301" s="49" t="n"/>
      <c r="F301" s="49" t="n"/>
      <c r="G301" s="49" t="n"/>
      <c r="H301" s="50" t="n"/>
      <c r="I301" s="49" t="n"/>
      <c r="J301" s="49" t="n"/>
      <c r="K301" s="49" t="n"/>
      <c r="L301" s="49" t="n"/>
      <c r="M301" s="49" t="n"/>
      <c r="N301" s="49" t="n"/>
      <c r="O301" s="49" t="n"/>
      <c r="P301" s="49" t="n"/>
      <c r="Q301" s="49" t="n"/>
      <c r="R301" s="49" t="n"/>
      <c r="S301" s="49" t="n"/>
      <c r="T301" s="49" t="n"/>
      <c r="U301" s="49" t="n"/>
      <c r="V301" s="49" t="n"/>
      <c r="W301" s="49" t="n"/>
    </row>
    <row r="302">
      <c r="B302" s="49" t="n"/>
      <c r="C302" s="49" t="n"/>
      <c r="D302" s="49" t="n"/>
      <c r="E302" s="49" t="n"/>
      <c r="F302" s="49" t="n"/>
      <c r="G302" s="49" t="n"/>
      <c r="H302" s="50" t="n"/>
      <c r="I302" s="49" t="n"/>
      <c r="J302" s="49" t="n"/>
      <c r="K302" s="49" t="n"/>
      <c r="L302" s="49" t="n"/>
      <c r="M302" s="49" t="n"/>
      <c r="N302" s="49" t="n"/>
      <c r="O302" s="49" t="n"/>
      <c r="P302" s="49" t="n"/>
      <c r="Q302" s="49" t="n"/>
      <c r="R302" s="49" t="n"/>
      <c r="S302" s="49" t="n"/>
      <c r="T302" s="49" t="n"/>
      <c r="U302" s="49" t="n"/>
      <c r="V302" s="49" t="n"/>
      <c r="W302" s="49" t="n"/>
    </row>
    <row r="303">
      <c r="B303" s="49" t="n"/>
      <c r="C303" s="49" t="n"/>
      <c r="D303" s="49" t="n"/>
      <c r="E303" s="49" t="n"/>
      <c r="F303" s="49" t="n"/>
      <c r="G303" s="49" t="n"/>
      <c r="H303" s="50" t="n"/>
      <c r="I303" s="49" t="n"/>
      <c r="J303" s="49" t="n"/>
      <c r="K303" s="49" t="n"/>
      <c r="L303" s="49" t="n"/>
      <c r="M303" s="49" t="n"/>
      <c r="N303" s="49" t="n"/>
      <c r="O303" s="49" t="n"/>
      <c r="P303" s="49" t="n"/>
      <c r="Q303" s="49" t="n"/>
      <c r="R303" s="49" t="n"/>
      <c r="S303" s="49" t="n"/>
      <c r="T303" s="49" t="n"/>
      <c r="U303" s="49" t="n"/>
      <c r="V303" s="49" t="n"/>
      <c r="W303" s="49" t="n"/>
    </row>
    <row r="304">
      <c r="B304" s="49" t="n"/>
      <c r="C304" s="49" t="n"/>
      <c r="D304" s="49" t="n"/>
      <c r="E304" s="49" t="n"/>
      <c r="F304" s="49" t="n"/>
      <c r="G304" s="49" t="n"/>
      <c r="H304" s="50" t="n"/>
      <c r="I304" s="49" t="n"/>
      <c r="J304" s="49" t="n"/>
      <c r="K304" s="49" t="n"/>
      <c r="L304" s="49" t="n"/>
      <c r="M304" s="49" t="n"/>
      <c r="N304" s="49" t="n"/>
      <c r="O304" s="49" t="n"/>
      <c r="P304" s="49" t="n"/>
      <c r="Q304" s="49" t="n"/>
      <c r="R304" s="49" t="n"/>
      <c r="S304" s="49" t="n"/>
      <c r="T304" s="49" t="n"/>
      <c r="U304" s="49" t="n"/>
      <c r="V304" s="49" t="n"/>
      <c r="W304" s="49" t="n"/>
    </row>
    <row r="305">
      <c r="B305" s="49" t="n"/>
      <c r="C305" s="49" t="n"/>
      <c r="D305" s="49" t="n"/>
      <c r="E305" s="49" t="n"/>
      <c r="F305" s="49" t="n"/>
      <c r="G305" s="49" t="n"/>
      <c r="H305" s="50" t="n"/>
      <c r="I305" s="49" t="n"/>
      <c r="J305" s="49" t="n"/>
      <c r="K305" s="49" t="n"/>
      <c r="L305" s="49" t="n"/>
      <c r="M305" s="49" t="n"/>
      <c r="N305" s="49" t="n"/>
      <c r="O305" s="49" t="n"/>
      <c r="P305" s="49" t="n"/>
      <c r="Q305" s="49" t="n"/>
      <c r="R305" s="49" t="n"/>
      <c r="S305" s="49" t="n"/>
      <c r="T305" s="49" t="n"/>
      <c r="U305" s="49" t="n"/>
      <c r="V305" s="49" t="n"/>
      <c r="W305" s="49" t="n"/>
    </row>
    <row r="306">
      <c r="B306" s="49" t="n"/>
      <c r="C306" s="49" t="n"/>
      <c r="D306" s="49" t="n"/>
      <c r="E306" s="49" t="n"/>
      <c r="F306" s="49" t="n"/>
      <c r="G306" s="49" t="n"/>
      <c r="H306" s="50" t="n"/>
      <c r="I306" s="49" t="n"/>
      <c r="J306" s="49" t="n"/>
      <c r="K306" s="49" t="n"/>
      <c r="L306" s="49" t="n"/>
      <c r="M306" s="49" t="n"/>
      <c r="N306" s="49" t="n"/>
      <c r="O306" s="49" t="n"/>
      <c r="P306" s="49" t="n"/>
      <c r="Q306" s="49" t="n"/>
      <c r="R306" s="49" t="n"/>
      <c r="S306" s="49" t="n"/>
      <c r="T306" s="49" t="n"/>
      <c r="U306" s="49" t="n"/>
      <c r="V306" s="49" t="n"/>
      <c r="W306" s="49" t="n"/>
    </row>
    <row r="307">
      <c r="B307" s="49" t="n"/>
      <c r="C307" s="49" t="n"/>
      <c r="D307" s="49" t="n"/>
      <c r="E307" s="49" t="n"/>
      <c r="F307" s="49" t="n"/>
      <c r="G307" s="49" t="n"/>
      <c r="H307" s="50" t="n"/>
      <c r="I307" s="49" t="n"/>
      <c r="J307" s="49" t="n"/>
      <c r="K307" s="49" t="n"/>
      <c r="L307" s="49" t="n"/>
      <c r="M307" s="49" t="n"/>
      <c r="N307" s="49" t="n"/>
      <c r="O307" s="49" t="n"/>
      <c r="P307" s="49" t="n"/>
      <c r="Q307" s="49" t="n"/>
      <c r="R307" s="49" t="n"/>
      <c r="S307" s="49" t="n"/>
      <c r="T307" s="49" t="n"/>
      <c r="U307" s="49" t="n"/>
      <c r="V307" s="49" t="n"/>
      <c r="W307" s="49" t="n"/>
    </row>
    <row r="308">
      <c r="B308" s="49" t="n"/>
      <c r="C308" s="49" t="n"/>
      <c r="D308" s="49" t="n"/>
      <c r="E308" s="49" t="n"/>
      <c r="F308" s="49" t="n"/>
      <c r="G308" s="49" t="n"/>
      <c r="H308" s="50" t="n"/>
      <c r="I308" s="49" t="n"/>
      <c r="J308" s="49" t="n"/>
      <c r="K308" s="49" t="n"/>
      <c r="L308" s="49" t="n"/>
      <c r="M308" s="49" t="n"/>
      <c r="N308" s="49" t="n"/>
      <c r="O308" s="49" t="n"/>
      <c r="P308" s="49" t="n"/>
      <c r="Q308" s="49" t="n"/>
      <c r="R308" s="49" t="n"/>
      <c r="S308" s="49" t="n"/>
      <c r="T308" s="49" t="n"/>
      <c r="U308" s="49" t="n"/>
      <c r="V308" s="49" t="n"/>
      <c r="W308" s="49" t="n"/>
    </row>
    <row r="309">
      <c r="B309" s="49" t="n"/>
      <c r="C309" s="49" t="n"/>
      <c r="D309" s="49" t="n"/>
      <c r="E309" s="49" t="n"/>
      <c r="F309" s="49" t="n"/>
      <c r="G309" s="49" t="n"/>
      <c r="H309" s="50" t="n"/>
      <c r="I309" s="49" t="n"/>
      <c r="J309" s="49" t="n"/>
      <c r="K309" s="49" t="n"/>
      <c r="L309" s="49" t="n"/>
      <c r="M309" s="49" t="n"/>
      <c r="N309" s="49" t="n"/>
      <c r="O309" s="49" t="n"/>
      <c r="P309" s="49" t="n"/>
      <c r="Q309" s="49" t="n"/>
      <c r="R309" s="49" t="n"/>
      <c r="S309" s="49" t="n"/>
      <c r="T309" s="49" t="n"/>
      <c r="U309" s="49" t="n"/>
      <c r="V309" s="49" t="n"/>
      <c r="W309" s="49" t="n"/>
    </row>
    <row r="310">
      <c r="B310" s="49" t="n"/>
      <c r="C310" s="49" t="n"/>
      <c r="D310" s="49" t="n"/>
      <c r="E310" s="49" t="n"/>
      <c r="F310" s="49" t="n"/>
      <c r="G310" s="49" t="n"/>
      <c r="H310" s="50" t="n"/>
      <c r="I310" s="49" t="n"/>
      <c r="J310" s="49" t="n"/>
      <c r="K310" s="49" t="n"/>
      <c r="L310" s="49" t="n"/>
      <c r="M310" s="49" t="n"/>
      <c r="N310" s="49" t="n"/>
      <c r="O310" s="49" t="n"/>
      <c r="P310" s="49" t="n"/>
      <c r="Q310" s="49" t="n"/>
      <c r="R310" s="49" t="n"/>
      <c r="S310" s="49" t="n"/>
      <c r="T310" s="49" t="n"/>
      <c r="U310" s="49" t="n"/>
      <c r="V310" s="49" t="n"/>
      <c r="W310" s="49" t="n"/>
    </row>
    <row r="311">
      <c r="B311" s="49" t="n"/>
      <c r="C311" s="49" t="n"/>
      <c r="D311" s="49" t="n"/>
      <c r="E311" s="49" t="n"/>
      <c r="F311" s="49" t="n"/>
      <c r="G311" s="49" t="n"/>
      <c r="H311" s="50" t="n"/>
      <c r="I311" s="49" t="n"/>
      <c r="J311" s="49" t="n"/>
      <c r="K311" s="49" t="n"/>
      <c r="L311" s="49" t="n"/>
      <c r="M311" s="49" t="n"/>
      <c r="N311" s="49" t="n"/>
      <c r="O311" s="49" t="n"/>
      <c r="P311" s="49" t="n"/>
      <c r="Q311" s="49" t="n"/>
      <c r="R311" s="49" t="n"/>
      <c r="S311" s="49" t="n"/>
      <c r="T311" s="49" t="n"/>
      <c r="U311" s="49" t="n"/>
      <c r="V311" s="49" t="n"/>
      <c r="W311" s="49" t="n"/>
    </row>
    <row r="312">
      <c r="B312" s="49" t="n"/>
      <c r="C312" s="49" t="n"/>
      <c r="D312" s="49" t="n"/>
      <c r="E312" s="49" t="n"/>
      <c r="F312" s="49" t="n"/>
      <c r="G312" s="49" t="n"/>
      <c r="H312" s="50" t="n"/>
      <c r="I312" s="49" t="n"/>
      <c r="J312" s="49" t="n"/>
      <c r="K312" s="49" t="n"/>
      <c r="L312" s="49" t="n"/>
      <c r="M312" s="49" t="n"/>
      <c r="N312" s="49" t="n"/>
      <c r="O312" s="49" t="n"/>
      <c r="P312" s="49" t="n"/>
      <c r="Q312" s="49" t="n"/>
      <c r="R312" s="49" t="n"/>
      <c r="S312" s="49" t="n"/>
      <c r="T312" s="49" t="n"/>
      <c r="U312" s="49" t="n"/>
      <c r="V312" s="49" t="n"/>
      <c r="W312" s="49" t="n"/>
    </row>
    <row r="313">
      <c r="B313" s="49" t="n"/>
      <c r="C313" s="49" t="n"/>
      <c r="D313" s="49" t="n"/>
      <c r="E313" s="49" t="n"/>
      <c r="F313" s="49" t="n"/>
      <c r="G313" s="49" t="n"/>
      <c r="H313" s="50" t="n"/>
      <c r="I313" s="49" t="n"/>
      <c r="J313" s="49" t="n"/>
      <c r="K313" s="49" t="n"/>
      <c r="L313" s="49" t="n"/>
      <c r="M313" s="49" t="n"/>
      <c r="N313" s="49" t="n"/>
      <c r="O313" s="49" t="n"/>
      <c r="P313" s="49" t="n"/>
      <c r="Q313" s="49" t="n"/>
      <c r="R313" s="49" t="n"/>
      <c r="S313" s="49" t="n"/>
      <c r="T313" s="49" t="n"/>
      <c r="U313" s="49" t="n"/>
      <c r="V313" s="49" t="n"/>
      <c r="W313" s="49" t="n"/>
    </row>
    <row r="314">
      <c r="B314" s="49" t="n"/>
      <c r="C314" s="49" t="n"/>
      <c r="D314" s="49" t="n"/>
      <c r="E314" s="49" t="n"/>
      <c r="F314" s="49" t="n"/>
      <c r="G314" s="49" t="n"/>
      <c r="H314" s="50" t="n"/>
      <c r="I314" s="49" t="n"/>
      <c r="J314" s="49" t="n"/>
      <c r="K314" s="49" t="n"/>
      <c r="L314" s="49" t="n"/>
      <c r="M314" s="49" t="n"/>
      <c r="N314" s="49" t="n"/>
      <c r="O314" s="49" t="n"/>
      <c r="P314" s="49" t="n"/>
      <c r="Q314" s="49" t="n"/>
      <c r="R314" s="49" t="n"/>
      <c r="S314" s="49" t="n"/>
      <c r="T314" s="49" t="n"/>
      <c r="U314" s="49" t="n"/>
      <c r="V314" s="49" t="n"/>
      <c r="W314" s="49" t="n"/>
    </row>
    <row r="315">
      <c r="B315" s="49" t="n"/>
      <c r="C315" s="49" t="n"/>
      <c r="D315" s="49" t="n"/>
      <c r="E315" s="49" t="n"/>
      <c r="F315" s="49" t="n"/>
      <c r="G315" s="49" t="n"/>
      <c r="H315" s="50" t="n"/>
      <c r="I315" s="49" t="n"/>
      <c r="J315" s="49" t="n"/>
      <c r="K315" s="49" t="n"/>
      <c r="L315" s="49" t="n"/>
      <c r="M315" s="49" t="n"/>
      <c r="N315" s="49" t="n"/>
      <c r="O315" s="49" t="n"/>
      <c r="P315" s="49" t="n"/>
      <c r="Q315" s="49" t="n"/>
      <c r="R315" s="49" t="n"/>
      <c r="S315" s="49" t="n"/>
      <c r="T315" s="49" t="n"/>
      <c r="U315" s="49" t="n"/>
      <c r="V315" s="49" t="n"/>
      <c r="W315" s="49" t="n"/>
    </row>
    <row r="316">
      <c r="B316" s="49" t="n"/>
      <c r="C316" s="49" t="n"/>
      <c r="D316" s="49" t="n"/>
      <c r="E316" s="49" t="n"/>
      <c r="F316" s="49" t="n"/>
      <c r="G316" s="49" t="n"/>
      <c r="H316" s="50" t="n"/>
      <c r="I316" s="49" t="n"/>
      <c r="J316" s="49" t="n"/>
      <c r="K316" s="49" t="n"/>
      <c r="L316" s="49" t="n"/>
      <c r="M316" s="49" t="n"/>
      <c r="N316" s="49" t="n"/>
      <c r="O316" s="49" t="n"/>
      <c r="P316" s="49" t="n"/>
      <c r="Q316" s="49" t="n"/>
      <c r="R316" s="49" t="n"/>
      <c r="S316" s="49" t="n"/>
      <c r="T316" s="49" t="n"/>
      <c r="U316" s="49" t="n"/>
      <c r="V316" s="49" t="n"/>
      <c r="W316" s="49" t="n"/>
    </row>
    <row r="317">
      <c r="B317" s="49" t="n"/>
      <c r="C317" s="49" t="n"/>
      <c r="D317" s="49" t="n"/>
      <c r="E317" s="49" t="n"/>
      <c r="F317" s="49" t="n"/>
      <c r="G317" s="49" t="n"/>
      <c r="H317" s="50" t="n"/>
      <c r="I317" s="49" t="n"/>
      <c r="J317" s="49" t="n"/>
      <c r="K317" s="49" t="n"/>
      <c r="L317" s="49" t="n"/>
      <c r="M317" s="49" t="n"/>
      <c r="N317" s="49" t="n"/>
      <c r="O317" s="49" t="n"/>
      <c r="P317" s="49" t="n"/>
      <c r="Q317" s="49" t="n"/>
      <c r="R317" s="49" t="n"/>
      <c r="S317" s="49" t="n"/>
      <c r="T317" s="49" t="n"/>
      <c r="U317" s="49" t="n"/>
      <c r="V317" s="49" t="n"/>
      <c r="W317" s="49" t="n"/>
    </row>
  </sheetData>
  <mergeCells count="7">
    <mergeCell ref="B3:W3"/>
    <mergeCell ref="B5:W5"/>
    <mergeCell ref="B10:C10"/>
    <mergeCell ref="B8:W8"/>
    <mergeCell ref="B4:W4"/>
    <mergeCell ref="B7:W7"/>
    <mergeCell ref="B6:W6"/>
  </mergeCells>
  <conditionalFormatting sqref="E9">
    <cfRule type="cellIs" priority="1" operator="greaterThan" dxfId="5">
      <formula>0</formula>
    </cfRule>
  </conditionalFormatting>
  <conditionalFormatting sqref="C17:C317">
    <cfRule type="expression" priority="2" dxfId="6">
      <formula>AND(LEN($B17&amp;$C17&amp;$D17&amp;$E17&amp;$F17&amp;$G17&amp;$H17&amp;$I17&amp;$J17&amp;$K17&amp;$L17&amp;$M17&amp;$N17&amp;$O17&amp;$P17&amp;$Q17&amp;$R17&amp;$S17&amp;$T17&amp;$U17&amp;$V17&amp;$W17)&gt;0,C17="")</formula>
    </cfRule>
  </conditionalFormatting>
  <dataValidations count="2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0" allowBlank="1" promptTitle="Client Code" prompt="No. Prospect or client code to update; blank to create or match (a client or prospect known to BIBS)"/>
    <dataValidation sqref="C17:C317" showDropDown="0" showInputMessage="1" showErrorMessage="1" allowBlank="1" errorTitle="Client Type" error="Choose a value of the list Client Type (UP-01) (sheet Reference lists)." promptTitle="Client Type" prompt="Yes. Individual or corporate client Allowed: INDIVIDUAL, CORPORATE (list Client Type (UP-01))" type="list" errorStyle="stop">
      <formula1>=LIST_UP_01_CLIENT_TYPE</formula1>
    </dataValidation>
    <dataValidation sqref="D17:D317" showDropDown="0" showInputMessage="1" showErrorMessage="0" allowBlank="1" promptTitle="Last Name" prompt="Conditional: Client Type is INDIVIDUAL. Last name of an individual"/>
    <dataValidation sqref="E17:E317" showDropDown="0" showInputMessage="1" showErrorMessage="0" allowBlank="1" promptTitle="First Name" prompt="Conditional: Client Type is INDIVIDUAL. First name of an individual"/>
    <dataValidation sqref="F17:F317" showDropDown="0" showInputMessage="1" showErrorMessage="0" allowBlank="1" promptTitle="Middle Name" prompt="No. Middle name"/>
    <dataValidation sqref="G17:G317" showDropDown="0" showInputMessage="1" showErrorMessage="0" allowBlank="1" promptTitle="Corporate Name" prompt="Conditional: Client Type is CORPORATE. Registered name of a corporate client"/>
    <dataValidation sqref="H17:H317" showDropDown="0" showInputMessage="1" showErrorMessage="1" allowBlank="1" errorTitle="Birth Date" error="Enter a date, for example 15-Jan-2028." promptTitle="Birth Date" prompt="No. Birth date of an individual Allowed: A date, for example 15-Jan-2028" type="date" operator="greaterThan">
      <formula1>DATE(1900,1,1)</formula1>
    </dataValidation>
    <dataValidation sqref="I17:I317" showDropDown="0" showInputMessage="1" showErrorMessage="0" allowBlank="1" promptTitle="TIN" prompt="No. Tax identification number"/>
    <dataValidation sqref="J17:J317" showDropDown="0" showInputMessage="1" showErrorMessage="1" allowBlank="1" errorTitle="ID Type" error="The value is not in the list Identification document (sheet Reference lists). Keep it only for a new value you also add to its template." promptTitle="ID Type" prompt="No. Type of the identity document Allowed: List Identification document: 10 values, see Reference lists" type="list" errorStyle="warning">
      <formula1>=LIST_LOV_ID_TYPE</formula1>
    </dataValidation>
    <dataValidation sqref="K17:K317" showDropDown="0" showInputMessage="1" showErrorMessage="0" allowBlank="1" promptTitle="ID Number" prompt="Conditional: ID Type is given. Number of the identity document"/>
    <dataValidation sqref="L17:L317" showDropDown="0" showInputMessage="1" showErrorMessage="0" allowBlank="1" promptTitle="E-mail" prompt="No. E-mail address"/>
    <dataValidation sqref="M17:M317" showDropDown="0" showInputMessage="1" showErrorMessage="0" allowBlank="1" promptTitle="Mobile" prompt="No. Mobile number"/>
    <dataValidation sqref="N17:N317" showDropDown="0" showInputMessage="1" showErrorMessage="0" allowBlank="1" promptTitle="Address" prompt="No. Street address"/>
    <dataValidation sqref="O17:O317" showDropDown="0" showInputMessage="1" showErrorMessage="0" allowBlank="1" promptTitle="City" prompt="No. City / municipality"/>
    <dataValidation sqref="P17:P317" showDropDown="0" showInputMessage="1" showErrorMessage="0" allowBlank="1" promptTitle="Province" prompt="No. Province"/>
    <dataValidation sqref="Q17:Q317" showDropDown="0" showInputMessage="1" showErrorMessage="0" allowBlank="1" promptTitle="Postal Code" prompt="No. Postal code"/>
    <dataValidation sqref="R17:R317" showDropDown="0" showInputMessage="1" showErrorMessage="1" allowBlank="1" errorTitle="Market Segment" error="The value is not in the list Market segment (sheet Reference lists). Keep it only for a new value you also add to its template." promptTitle="Market Segment" prompt="No. Market segment Allowed: CBG, COMBANK, CORBANK, RETAIL, INSTITUTIONAL (list Market segment)" type="list" errorStyle="warning">
      <formula1>=LIST_LOV_MARKET_SEGMENT</formula1>
    </dataValidation>
    <dataValidation sqref="S17:S317" showDropDown="0" showInputMessage="1" showErrorMessage="1" allowBlank="1" errorTitle="Bank Client" error="Choose a value of the list Yes or no (sheet Reference lists)." promptTitle="Bank Client" prompt="No. Client of the group's bank Allowed: Y or N" type="list" errorStyle="stop">
      <formula1>=LIST_YES_NO</formula1>
    </dataValidation>
    <dataValidation sqref="T17:T317" showDropDown="0" showInputMessage="1" showErrorMessage="0" allowBlank="1" promptTitle="Bank CIF" prompt="Conditional: Bank Client is Y. Customer information file number at the group's bank"/>
    <dataValidation sqref="U17:U317" showDropDown="0" showInputMessage="1" showErrorMessage="1" allowBlank="1" errorTitle="Nationality" error="The value is not in the list Nationality (sheet Reference lists). Keep it only for a new value you also add to its template." promptTitle="Nationality" prompt="No. Nationality Allowed: FILIPINO, AMERICAN, CHINESE, JAPANESE, KOREAN, OTHERS (list Nationality)" type="list" errorStyle="warning">
      <formula1>=LIST_LOV_NATIONALITY</formula1>
    </dataValidation>
    <dataValidation sqref="V17:V317" showDropDown="0" showInputMessage="1" showErrorMessage="1" allowBlank="1" errorTitle="Source of Funds" error="The value is not in the list Source of funds (sheet Reference lists). Keep it only for a new value you also add to its template." promptTitle="Source of Funds" prompt="No. Source of funds Allowed: SALARY, BUSINESS, REMITTANCE, INVESTMENT, PENSION, OTHERS (list Source of funds)" type="list" errorStyle="warning">
      <formula1>=LIST_LOV_SOURCE_OF_FUNDS</formula1>
    </dataValidation>
    <dataValidation sqref="W17:W317" showDropDown="0" showInputMessage="1" showErrorMessage="1" allowBlank="1" errorTitle="Risk Rating" error="The value is not in the list KYC risk rating (sheet Reference lists). Keep it only for a new value you also add to its template." promptTitle="Risk Rating" prompt="No. Know-your-client risk rating Allowed: LOW, STANDARD, HIGH (list KYC risk rating)" type="list" errorStyle="warning">
      <formula1>=LIST_LOV_KYC_RISK_RATING</formula1>
    </dataValidation>
  </dataValidations>
  <hyperlinks>
    <hyperlink ref="A2" location="'Start here'!A1"/>
    <hyperlink ref="W2" location="'Questions and comments'!A1"/>
    <hyperlink ref="B8" location="'R01 Lists of values and MIS val'!A1"/>
    <hyperlink ref="C14" location="'Reference lists'!A581"/>
    <hyperlink ref="J14" location="'Reference lists'!A583"/>
    <hyperlink ref="R14" location="'Reference lists'!A593"/>
    <hyperlink ref="U14" location="'Reference lists'!A598"/>
    <hyperlink ref="V14" location="'Reference lists'!A604"/>
    <hyperlink ref="W14" location="'Reference lists'!A610"/>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tabColor rgb="00004EA8"/>
    <outlinePr summaryBelow="0" summaryRight="1"/>
    <pageSetUpPr fitToPage="1"/>
  </sheetPr>
  <dimension ref="A1:AK219"/>
  <sheetViews>
    <sheetView showGridLines="0" tabSelected="0" zoomScale="90" workbookViewId="0">
      <pane xSplit="2" ySplit="18" topLeftCell="C19"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6" customWidth="1" min="3" max="3"/>
    <col width="14" customWidth="1" min="4" max="4"/>
    <col width="15" customWidth="1" min="5" max="5"/>
    <col width="16" customWidth="1" min="6" max="6"/>
    <col width="12" customWidth="1" min="7" max="7"/>
    <col width="20" customWidth="1" min="8" max="8"/>
    <col width="20" customWidth="1" min="9" max="9"/>
    <col width="15" customWidth="1" min="10" max="10"/>
    <col width="17" customWidth="1" min="11" max="11"/>
    <col width="15.90909090909091" customWidth="1" min="12" max="12"/>
    <col width="14" customWidth="1" min="13" max="13"/>
    <col width="21" customWidth="1" min="14" max="14"/>
    <col width="13" customWidth="1" min="15" max="15"/>
    <col width="16" customWidth="1" min="16" max="16"/>
    <col width="20" customWidth="1" min="17" max="17"/>
    <col width="19" customWidth="1" min="18" max="18"/>
    <col width="21" customWidth="1" min="19" max="19"/>
    <col width="20" customWidth="1" min="20" max="20"/>
    <col width="15.90909090909091" customWidth="1" min="21" max="21"/>
    <col width="20" customWidth="1" min="22" max="22"/>
    <col width="16" customWidth="1" min="23" max="23"/>
    <col width="22" customWidth="1" min="24" max="24"/>
    <col width="20" customWidth="1" min="25" max="25"/>
    <col width="16" customWidth="1" min="26" max="26"/>
    <col width="33" customWidth="1" min="27" max="27"/>
    <col width="12" customWidth="1" min="28" max="28"/>
    <col width="14" customWidth="1" min="29" max="29"/>
    <col width="16" customWidth="1" min="30" max="30"/>
    <col width="15.90909090909091" customWidth="1" min="31" max="31"/>
    <col width="22" customWidth="1" min="32" max="32"/>
    <col width="19" customWidth="1" min="33" max="33"/>
    <col width="16" customWidth="1" min="34" max="34"/>
    <col width="18" customWidth="1" min="35" max="35"/>
    <col width="17" customWidth="1" min="36" max="36"/>
    <col width="21" customWidth="1" min="37" max="37"/>
  </cols>
  <sheetData>
    <row r="1" ht="26" customHeight="1">
      <c r="A1" s="25" t="inlineStr">
        <is>
          <t>C01 Client master</t>
        </is>
      </c>
      <c r="AK1" s="26" t="inlineStr">
        <is>
          <t>Step 23 of 52</t>
        </is>
      </c>
    </row>
    <row r="2">
      <c r="A2" s="27" t="inlineStr">
        <is>
          <t>← Back to Start here</t>
        </is>
      </c>
      <c r="B2" s="28" t="inlineStr">
        <is>
          <t>Step 23 of 52. Fill in one row per record below the column headers; the guide above each column says what to enter.</t>
        </is>
      </c>
      <c r="AK2" s="29" t="inlineStr">
        <is>
          <t>Ask a question →</t>
        </is>
      </c>
    </row>
    <row r="3" outlineLevel="1" ht="15.5" customHeight="1">
      <c r="A3" s="30" t="inlineStr">
        <is>
          <t>Purpose</t>
        </is>
      </c>
      <c r="B3" s="31" t="inlineStr">
        <is>
          <t>One row per record of Client master (individual and corporate) as extracted from QPS, EBIX, CMS. Key legacy_client_no. Sent as the file C01_template.csv (CSV, header row as below) with its control file (row count, count of distinct keys).</t>
        </is>
      </c>
    </row>
    <row r="4" outlineLevel="1" ht="15.5" customHeight="1">
      <c r="A4" s="30" t="inlineStr">
        <is>
          <t>Provided by</t>
        </is>
      </c>
      <c r="B4" s="31" t="inlineStr">
        <is>
          <t>Marketing data steward (to name); approved by Product Owner, MBS; Heads, Retail and Corporate Marketing; extracted by BDOI IT</t>
        </is>
      </c>
    </row>
    <row r="5" outlineLevel="1" ht="15.5" customHeight="1">
      <c r="A5" s="30" t="inlineStr">
        <is>
          <t>Due</t>
        </is>
      </c>
      <c r="B5" s="32" t="inlineStr">
        <is>
          <t>M3 (29 Jan 2027); deltas daily from T-14 days</t>
        </is>
      </c>
    </row>
    <row r="6" outlineLevel="1" ht="15.5" customHeight="1">
      <c r="A6" s="30" t="inlineStr">
        <is>
          <t>How it is loaded</t>
        </is>
      </c>
      <c r="B6" s="31" t="inlineStr">
        <is>
          <t>Migration Console: the file C01_template.csv (the header row as below) and its control file are received on Data Migration › Data Migration › Extracts and loaded by a batch of object C01; lands in: Client master, registered as migrated clients</t>
        </is>
      </c>
    </row>
    <row r="7" outlineLevel="1" ht="15.5" customHeight="1">
      <c r="A7" s="30" t="inlineStr">
        <is>
          <t>Source</t>
        </is>
      </c>
      <c r="B7" s="31" t="inlineStr">
        <is>
          <t>QPS, EBIX, CMS</t>
        </is>
      </c>
    </row>
    <row r="8" outlineLevel="1" ht="26" customHeight="1">
      <c r="A8" s="30" t="inlineStr">
        <is>
          <t>Depends on</t>
        </is>
      </c>
      <c r="B8" s="53" t="inlineStr">
        <is>
          <t>R01 Lists of values and MIS values →</t>
        </is>
      </c>
      <c r="D8" s="53" t="inlineStr">
        <is>
          <t>R03 Sales organisation (units and account officers) →</t>
        </is>
      </c>
      <c r="F8" s="53" t="inlineStr">
        <is>
          <t>D0-02 Branches →</t>
        </is>
      </c>
    </row>
    <row r="9" outlineLevel="1" ht="15.5" customHeight="1">
      <c r="A9" s="30" t="inlineStr">
        <is>
          <t>Tax profile</t>
        </is>
      </c>
      <c r="B9" s="31" t="inlineStr">
        <is>
          <t>The client's VAT treatment and default withholding code are kept in the party tax profile (template TX-01), not in the client master</t>
        </is>
      </c>
    </row>
    <row r="10" ht="26" customHeight="1">
      <c r="A10" s="34" t="inlineStr">
        <is>
          <t>Progress</t>
        </is>
      </c>
      <c r="B10" s="35" t="inlineStr">
        <is>
          <t>Rows entered</t>
        </is>
      </c>
      <c r="C10" s="36">
        <f>SUMPRODUCT(((ROW($B$19:$B$219)&gt;19)+($B$19&lt;&gt;"Q-0012345")&gt;0)*(LEN($B$19:$B$219&amp;$C$19:$C$219&amp;$D$19:$D$219&amp;$E$19:$E$219&amp;$F$19:$F$219&amp;$G$19:$G$219&amp;$H$19:$H$219&amp;$I$19:$I$219&amp;$J$19:$J$219&amp;$K$19:$K$219&amp;$L$19:$L$219&amp;$M$19:$M$219&amp;$N$19:$N$219&amp;$O$19:$O$219&amp;$P$19:$P$219&amp;$Q$19:$Q$219&amp;$R$19:$R$219&amp;$S$19:$S$219&amp;$T$19:$T$219&amp;$U$19:$U$219&amp;$V$19:$V$219&amp;$W$19:$W$219&amp;$X$19:$X$219&amp;$Y$19:$Y$219&amp;$Z$19:$Z$219&amp;$AA$19:$AA$219&amp;$AB$19:$AB$219&amp;$AC$19:$AC$219&amp;$AD$19:$AD$219&amp;$AE$19:$AE$219&amp;$AF$19:$AF$219&amp;$AG$19:$AG$219&amp;$AH$19:$AH$219&amp;$AI$19:$AI$219&amp;$AJ$19:$AJ$219&amp;$AK$19:$AK$219)&gt;0))</f>
        <v/>
      </c>
      <c r="D10" s="35" t="inlineStr">
        <is>
          <t>Mandatory cells missing</t>
        </is>
      </c>
      <c r="E10" s="36">
        <f>SUMPRODUCT(((ROW($B$19:$B$219)&gt;19)+($B$19&lt;&gt;"Q-0012345")&gt;0)*(LEN($B$19:$B$219&amp;$C$19:$C$219&amp;$D$19:$D$219&amp;$E$19:$E$219&amp;$F$19:$F$219&amp;$G$19:$G$219&amp;$H$19:$H$219&amp;$I$19:$I$219&amp;$J$19:$J$219&amp;$K$19:$K$219&amp;$L$19:$L$219&amp;$M$19:$M$219&amp;$N$19:$N$219&amp;$O$19:$O$219&amp;$P$19:$P$219&amp;$Q$19:$Q$219&amp;$R$19:$R$219&amp;$S$19:$S$219&amp;$T$19:$T$219&amp;$U$19:$U$219&amp;$V$19:$V$219&amp;$W$19:$W$219&amp;$X$19:$X$219&amp;$Y$19:$Y$219&amp;$Z$19:$Z$219&amp;$AA$19:$AA$219&amp;$AB$19:$AB$219&amp;$AC$19:$AC$219&amp;$AD$19:$AD$219&amp;$AE$19:$AE$219&amp;$AF$19:$AF$219&amp;$AG$19:$AG$219&amp;$AH$19:$AH$219&amp;$AI$19:$AI$219&amp;$AJ$19:$AJ$219&amp;$AK$19:$AK$219)&gt;0)*(($B$19:$B$219="")+($C$19:$C$219="")+($R$19:$R$219="")+($AI$19:$AI$219="")+($AJ$19:$AJ$219="")+($AK$19:$AK$219="")))</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c r="AA12" s="40" t="n"/>
      <c r="AB12" s="40" t="n"/>
      <c r="AC12" s="40" t="n"/>
      <c r="AD12" s="40" t="n"/>
      <c r="AE12" s="40" t="n"/>
      <c r="AF12" s="40" t="n"/>
      <c r="AG12" s="40" t="n"/>
      <c r="AH12" s="40" t="n"/>
      <c r="AI12" s="40" t="n"/>
      <c r="AJ12" s="40" t="n"/>
      <c r="AK12" s="40" t="n"/>
    </row>
    <row r="13" ht="56" customHeight="1">
      <c r="A13" s="41" t="inlineStr">
        <is>
          <t>Check when loaded</t>
        </is>
      </c>
      <c r="B13" s="43" t="inlineStr">
        <is>
          <t>Unique in the file</t>
        </is>
      </c>
      <c r="C13" s="43" t="inlineStr">
        <is>
          <t>In the list</t>
        </is>
      </c>
      <c r="D13" s="43" t="inlineStr">
        <is>
          <t>Mandatory for I</t>
        </is>
      </c>
      <c r="E13" s="43" t="inlineStr">
        <is>
          <t>Mandatory for I</t>
        </is>
      </c>
      <c r="F13" s="43" t="inlineStr">
        <is>
          <t>-</t>
        </is>
      </c>
      <c r="G13" s="43" t="inlineStr">
        <is>
          <t>-</t>
        </is>
      </c>
      <c r="H13" s="43" t="inlineStr">
        <is>
          <t>Mandatory for C</t>
        </is>
      </c>
      <c r="I13" s="43" t="inlineStr">
        <is>
          <t>-</t>
        </is>
      </c>
      <c r="J13" s="43" t="inlineStr">
        <is>
          <t>Mandatory for I; not in the future; age 0 to 120</t>
        </is>
      </c>
      <c r="K13" s="43" t="inlineStr">
        <is>
          <t>9 to 12 digits; duplicate key K1</t>
        </is>
      </c>
      <c r="L13" s="43" t="inlineStr">
        <is>
          <t>Mapped</t>
        </is>
      </c>
      <c r="M13" s="43" t="inlineStr">
        <is>
          <t>Mandatory when id_type is given; duplicate key K2</t>
        </is>
      </c>
      <c r="N13" s="43" t="inlineStr">
        <is>
          <t>Y or N</t>
        </is>
      </c>
      <c r="O13" s="43" t="inlineStr">
        <is>
          <t>Duplicate key K5 if agreed</t>
        </is>
      </c>
      <c r="P13" s="43" t="inlineStr">
        <is>
          <t>Mapped</t>
        </is>
      </c>
      <c r="Q13" s="43" t="inlineStr">
        <is>
          <t>Mapped</t>
        </is>
      </c>
      <c r="R13" s="43" t="inlineStr">
        <is>
          <t>Mapped</t>
        </is>
      </c>
      <c r="S13" s="43" t="inlineStr">
        <is>
          <t>Mapped</t>
        </is>
      </c>
      <c r="T13" s="43" t="inlineStr">
        <is>
          <t>Mapped</t>
        </is>
      </c>
      <c r="U13" s="43" t="inlineStr">
        <is>
          <t>Mapped in USER</t>
        </is>
      </c>
      <c r="V13" s="43" t="inlineStr">
        <is>
          <t>Mapped</t>
        </is>
      </c>
      <c r="W13" s="43" t="inlineStr">
        <is>
          <t>Mapped</t>
        </is>
      </c>
      <c r="X13" s="43" t="inlineStr">
        <is>
          <t>Valid e-mail; soft key K6</t>
        </is>
      </c>
      <c r="Y13" s="43" t="inlineStr">
        <is>
          <t>PH mobile format; soft key K6</t>
        </is>
      </c>
      <c r="Z13" s="43" t="inlineStr">
        <is>
          <t>-</t>
        </is>
      </c>
      <c r="AA13" s="43" t="inlineStr">
        <is>
          <t>-</t>
        </is>
      </c>
      <c r="AB13" s="43" t="inlineStr">
        <is>
          <t>-</t>
        </is>
      </c>
      <c r="AC13" s="43" t="inlineStr">
        <is>
          <t>-</t>
        </is>
      </c>
      <c r="AD13" s="43" t="inlineStr">
        <is>
          <t>4 digits</t>
        </is>
      </c>
      <c r="AE13" s="43" t="inlineStr">
        <is>
          <t>Mapped</t>
        </is>
      </c>
      <c r="AF13" s="43" t="inlineStr">
        <is>
          <t>Not in the future</t>
        </is>
      </c>
      <c r="AG13" s="43" t="inlineStr">
        <is>
          <t>Valid date</t>
        </is>
      </c>
      <c r="AH13" s="43" t="inlineStr">
        <is>
          <t>Mapped</t>
        </is>
      </c>
      <c r="AI13" s="43" t="inlineStr">
        <is>
          <t>Mapped</t>
        </is>
      </c>
      <c r="AJ13" s="43" t="inlineStr">
        <is>
          <t>Valid date</t>
        </is>
      </c>
      <c r="AK13" s="43" t="inlineStr">
        <is>
          <t>Valid timestamp</t>
        </is>
      </c>
    </row>
    <row r="14" ht="56" customHeight="1">
      <c r="A14" s="41" t="inlineStr">
        <is>
          <t>Mandatory</t>
        </is>
      </c>
      <c r="B14" s="42" t="inlineStr">
        <is>
          <t>Yes</t>
        </is>
      </c>
      <c r="C14" s="42" t="inlineStr">
        <is>
          <t>Yes</t>
        </is>
      </c>
      <c r="D14" s="43" t="inlineStr">
        <is>
          <t>Conditional: Mandatory for I</t>
        </is>
      </c>
      <c r="E14" s="43" t="inlineStr">
        <is>
          <t>Conditional: Mandatory for I</t>
        </is>
      </c>
      <c r="F14" s="43" t="inlineStr">
        <is>
          <t>No</t>
        </is>
      </c>
      <c r="G14" s="43" t="inlineStr">
        <is>
          <t>No</t>
        </is>
      </c>
      <c r="H14" s="43" t="inlineStr">
        <is>
          <t>Conditional: Mandatory for C</t>
        </is>
      </c>
      <c r="I14" s="43" t="inlineStr">
        <is>
          <t>No</t>
        </is>
      </c>
      <c r="J14" s="43" t="inlineStr">
        <is>
          <t>Conditional: Mandatory for I; not in the future; age 0 to 120</t>
        </is>
      </c>
      <c r="K14" s="43" t="inlineStr">
        <is>
          <t>No</t>
        </is>
      </c>
      <c r="L14" s="43" t="inlineStr">
        <is>
          <t>No</t>
        </is>
      </c>
      <c r="M14" s="43" t="inlineStr">
        <is>
          <t>Conditional: Mandatory when id_type is given; duplicate key K2</t>
        </is>
      </c>
      <c r="N14" s="43" t="inlineStr">
        <is>
          <t>No</t>
        </is>
      </c>
      <c r="O14" s="43" t="inlineStr">
        <is>
          <t>No</t>
        </is>
      </c>
      <c r="P14" s="43" t="inlineStr">
        <is>
          <t>No</t>
        </is>
      </c>
      <c r="Q14" s="43" t="inlineStr">
        <is>
          <t>No</t>
        </is>
      </c>
      <c r="R14" s="42" t="inlineStr">
        <is>
          <t>Yes</t>
        </is>
      </c>
      <c r="S14" s="43" t="inlineStr">
        <is>
          <t>No</t>
        </is>
      </c>
      <c r="T14" s="43" t="inlineStr">
        <is>
          <t>No</t>
        </is>
      </c>
      <c r="U14" s="43" t="inlineStr">
        <is>
          <t>No</t>
        </is>
      </c>
      <c r="V14" s="43" t="inlineStr">
        <is>
          <t>No</t>
        </is>
      </c>
      <c r="W14" s="43" t="inlineStr">
        <is>
          <t>No</t>
        </is>
      </c>
      <c r="X14" s="43" t="inlineStr">
        <is>
          <t>No</t>
        </is>
      </c>
      <c r="Y14" s="43" t="inlineStr">
        <is>
          <t>No</t>
        </is>
      </c>
      <c r="Z14" s="43" t="inlineStr">
        <is>
          <t>No</t>
        </is>
      </c>
      <c r="AA14" s="43" t="inlineStr">
        <is>
          <t>No</t>
        </is>
      </c>
      <c r="AB14" s="43" t="inlineStr">
        <is>
          <t>No</t>
        </is>
      </c>
      <c r="AC14" s="43" t="inlineStr">
        <is>
          <t>No</t>
        </is>
      </c>
      <c r="AD14" s="43" t="inlineStr">
        <is>
          <t>No</t>
        </is>
      </c>
      <c r="AE14" s="43" t="inlineStr">
        <is>
          <t>No</t>
        </is>
      </c>
      <c r="AF14" s="43" t="inlineStr">
        <is>
          <t>No</t>
        </is>
      </c>
      <c r="AG14" s="43" t="inlineStr">
        <is>
          <t>No</t>
        </is>
      </c>
      <c r="AH14" s="43" t="inlineStr">
        <is>
          <t>No</t>
        </is>
      </c>
      <c r="AI14" s="42" t="inlineStr">
        <is>
          <t>Yes</t>
        </is>
      </c>
      <c r="AJ14" s="42" t="inlineStr">
        <is>
          <t>Yes</t>
        </is>
      </c>
      <c r="AK14" s="42" t="inlineStr">
        <is>
          <t>Yes</t>
        </is>
      </c>
    </row>
    <row r="15" ht="30" customHeight="1">
      <c r="A15" s="41" t="inlineStr">
        <is>
          <t>Format</t>
        </is>
      </c>
      <c r="B15" s="43" t="inlineStr">
        <is>
          <t>Code, up to 30; As stored in legacy</t>
        </is>
      </c>
      <c r="C15" s="43" t="inlineStr">
        <is>
          <t>Code, up to 1; Upper case</t>
        </is>
      </c>
      <c r="D15" s="43" t="inlineStr">
        <is>
          <t>Text, up to 100; Free text</t>
        </is>
      </c>
      <c r="E15" s="43" t="inlineStr">
        <is>
          <t>Text, up to 100; Free text</t>
        </is>
      </c>
      <c r="F15" s="43" t="inlineStr">
        <is>
          <t>Text, up to 100; Free text</t>
        </is>
      </c>
      <c r="G15" s="43" t="inlineStr">
        <is>
          <t>Text, up to 20; Free text</t>
        </is>
      </c>
      <c r="H15" s="43" t="inlineStr">
        <is>
          <t>Text, up to 200; Free text</t>
        </is>
      </c>
      <c r="I15" s="43" t="inlineStr">
        <is>
          <t>Text, up to 60; As registered</t>
        </is>
      </c>
      <c r="J15" s="43" t="inlineStr">
        <is>
          <t>Date, up to 10; yyyy-MM-dd</t>
        </is>
      </c>
      <c r="K15" s="43" t="inlineStr">
        <is>
          <t>Text, up to 20; 000-000-000-000</t>
        </is>
      </c>
      <c r="L15" s="43" t="inlineStr">
        <is>
          <t>Code, up to 40; As stored in legacy</t>
        </is>
      </c>
      <c r="M15" s="43" t="inlineStr">
        <is>
          <t>Text, up to 60; As printed</t>
        </is>
      </c>
      <c r="N15" s="43" t="inlineStr">
        <is>
          <t>Flag, up to 1; Y or N</t>
        </is>
      </c>
      <c r="O15" s="43" t="inlineStr">
        <is>
          <t>Text, up to 40; Digits</t>
        </is>
      </c>
      <c r="P15" s="43" t="inlineStr">
        <is>
          <t>Code, up to 40; As stored in legacy</t>
        </is>
      </c>
      <c r="Q15" s="43" t="inlineStr">
        <is>
          <t>Code, up to 40; As stored in legacy</t>
        </is>
      </c>
      <c r="R15" s="43" t="inlineStr">
        <is>
          <t>Code, up to 40; As stored in legacy</t>
        </is>
      </c>
      <c r="S15" s="43" t="inlineStr">
        <is>
          <t>Code, up to 40; As stored in legacy</t>
        </is>
      </c>
      <c r="T15" s="43" t="inlineStr">
        <is>
          <t>Code, up to 40; As stored in legacy</t>
        </is>
      </c>
      <c r="U15" s="43" t="inlineStr">
        <is>
          <t>Code, up to 50; As stored in legacy</t>
        </is>
      </c>
      <c r="V15" s="43" t="inlineStr">
        <is>
          <t>Code, up to 20; As stored in legacy</t>
        </is>
      </c>
      <c r="W15" s="43" t="inlineStr">
        <is>
          <t>Code, up to 20; As stored in legacy</t>
        </is>
      </c>
      <c r="X15" s="43" t="inlineStr">
        <is>
          <t>Text, up to 120; name@domain</t>
        </is>
      </c>
      <c r="Y15" s="43" t="inlineStr">
        <is>
          <t>Text, up to 30; 09xxxxxxxxx or +639xxxxxxxxx</t>
        </is>
      </c>
      <c r="Z15" s="43" t="inlineStr">
        <is>
          <t>Text, up to 30; Free text</t>
        </is>
      </c>
      <c r="AA15" s="43" t="inlineStr">
        <is>
          <t>Text, up to 300; Free text</t>
        </is>
      </c>
      <c r="AB15" s="43" t="inlineStr">
        <is>
          <t>Text, up to 80; Free text</t>
        </is>
      </c>
      <c r="AC15" s="43" t="inlineStr">
        <is>
          <t>Text, up to 80; Free text</t>
        </is>
      </c>
      <c r="AD15" s="43" t="inlineStr">
        <is>
          <t>Text, up to 10; 4 digits</t>
        </is>
      </c>
      <c r="AE15" s="43" t="inlineStr">
        <is>
          <t>Code, up to 20; As stored in legacy</t>
        </is>
      </c>
      <c r="AF15" s="43" t="inlineStr">
        <is>
          <t>Date, up to 10; yyyy-MM-dd</t>
        </is>
      </c>
      <c r="AG15" s="43" t="inlineStr">
        <is>
          <t>Date, up to 10; yyyy-MM-dd</t>
        </is>
      </c>
      <c r="AH15" s="43" t="inlineStr">
        <is>
          <t>Code, up to 20; As stored in legacy</t>
        </is>
      </c>
      <c r="AI15" s="43" t="inlineStr">
        <is>
          <t>Code, up to 20; As stored in legacy</t>
        </is>
      </c>
      <c r="AJ15" s="43" t="inlineStr">
        <is>
          <t>Date, up to 10; yyyy-MM-dd</t>
        </is>
      </c>
      <c r="AK15" s="43" t="inlineStr">
        <is>
          <t>Timestamp, up to 19; yyyy-MM-dd HH:mm:ss</t>
        </is>
      </c>
    </row>
    <row r="16" ht="121" customHeight="1">
      <c r="A16" s="41" t="inlineStr">
        <is>
          <t>Allowed values</t>
        </is>
      </c>
      <c r="B16" s="43" t="inlineStr">
        <is>
          <t>Free entry, up to 30 characters</t>
        </is>
      </c>
      <c r="C16" s="51" t="inlineStr">
        <is>
          <t>I, C (list C01 client_type)</t>
        </is>
      </c>
      <c r="D16" s="43" t="inlineStr">
        <is>
          <t>Free entry, up to 100 characters</t>
        </is>
      </c>
      <c r="E16" s="43" t="inlineStr">
        <is>
          <t>Free entry, up to 100 characters</t>
        </is>
      </c>
      <c r="F16" s="43" t="inlineStr">
        <is>
          <t>Free entry, up to 100 characters</t>
        </is>
      </c>
      <c r="G16" s="43" t="inlineStr">
        <is>
          <t>Free entry, up to 20 characters</t>
        </is>
      </c>
      <c r="H16" s="43" t="inlineStr">
        <is>
          <t>Free entry, up to 200 characters</t>
        </is>
      </c>
      <c r="I16" s="43" t="inlineStr">
        <is>
          <t>Free entry, up to 60 characters</t>
        </is>
      </c>
      <c r="J16" s="43" t="inlineStr">
        <is>
          <t>Free entry</t>
        </is>
      </c>
      <c r="K16" s="43" t="inlineStr">
        <is>
          <t>Free entry, up to 20 characters</t>
        </is>
      </c>
      <c r="L16" s="43" t="inlineStr">
        <is>
          <t>The legacy code; mapped by the code map LOV:ID_TYPE (Code Maps screen of the Data Migration Console; maps prepared in the Migration Workbook of BRD-13)</t>
        </is>
      </c>
      <c r="M16" s="43" t="inlineStr">
        <is>
          <t>Free entry, up to 60 characters</t>
        </is>
      </c>
      <c r="N16" s="43" t="inlineStr">
        <is>
          <t>Y or N</t>
        </is>
      </c>
      <c r="O16" s="43" t="inlineStr">
        <is>
          <t>Free entry, up to 40 characters</t>
        </is>
      </c>
      <c r="P16" s="43" t="inlineStr">
        <is>
          <t>The legacy code; mapped by the code map LOV:NATIONALITY (Code Maps screen of the Data Migration Console; maps prepared in the Migration Workbook of BRD-13)</t>
        </is>
      </c>
      <c r="Q16" s="43" t="inlineStr">
        <is>
          <t>The legacy code; mapped by the code map LOV:SOURCE_OF_FUNDS (Code Maps screen of the Data Migration Console; maps prepared in the Migration Workbook of BRD-13)</t>
        </is>
      </c>
      <c r="R16" s="43" t="inlineStr">
        <is>
          <t>The legacy code; mapped by the code map LOV:MARKET_SEGMENT (Code Maps screen of the Data Migration Console; maps prepared in the Migration Workbook of BRD-13)</t>
        </is>
      </c>
      <c r="S16" s="43" t="inlineStr">
        <is>
          <t>The legacy code; mapped by the code map MIS:CUSTOMER_SEGMENT (Code Maps screen of the Data Migration Console; maps prepared in the Migration Workbook of BRD-13)</t>
        </is>
      </c>
      <c r="T16" s="43" t="inlineStr">
        <is>
          <t>The legacy code; mapped by the code map MIS:BUSINESS_ORIGIN (Code Maps screen of the Data Migration Console; maps prepared in the Migration Workbook of BRD-13)</t>
        </is>
      </c>
      <c r="U16" s="43" t="inlineStr">
        <is>
          <t>The legacy code; mapped by the code map USER (Code Maps screen of the Data Migration Console; maps prepared in the Migration Workbook of BRD-13)</t>
        </is>
      </c>
      <c r="V16" s="43" t="inlineStr">
        <is>
          <t>The legacy code; mapped by the code map SALES_UNIT (Code Maps screen of the Data Migration Console; maps prepared in the Migration Workbook of BRD-13)</t>
        </is>
      </c>
      <c r="W16" s="43" t="inlineStr">
        <is>
          <t>The legacy code; mapped by the code map BRANCH (Code Maps screen of the Data Migration Console; maps prepared in the Migration Workbook of BRD-13)</t>
        </is>
      </c>
      <c r="X16" s="43" t="inlineStr">
        <is>
          <t>Free entry, up to 120 characters</t>
        </is>
      </c>
      <c r="Y16" s="43" t="inlineStr">
        <is>
          <t>Free entry, up to 30 characters</t>
        </is>
      </c>
      <c r="Z16" s="43" t="inlineStr">
        <is>
          <t>Free entry, up to 30 characters</t>
        </is>
      </c>
      <c r="AA16" s="43" t="inlineStr">
        <is>
          <t>Free entry, up to 300 characters</t>
        </is>
      </c>
      <c r="AB16" s="43" t="inlineStr">
        <is>
          <t>Free entry, up to 80 characters</t>
        </is>
      </c>
      <c r="AC16" s="43" t="inlineStr">
        <is>
          <t>Free entry, up to 80 characters</t>
        </is>
      </c>
      <c r="AD16" s="43" t="inlineStr">
        <is>
          <t>Free entry, up to 10 characters</t>
        </is>
      </c>
      <c r="AE16" s="43" t="inlineStr">
        <is>
          <t>The legacy code; mapped by the code map STATUS:KYC (Code Maps screen of the Data Migration Console; maps prepared in the Migration Workbook of BRD-13)</t>
        </is>
      </c>
      <c r="AF16" s="43" t="inlineStr">
        <is>
          <t>Free entry</t>
        </is>
      </c>
      <c r="AG16" s="43" t="inlineStr">
        <is>
          <t>Free entry</t>
        </is>
      </c>
      <c r="AH16" s="43" t="inlineStr">
        <is>
          <t>The legacy code; mapped by the code map LOV:KYC_RISK_RATING (Code Maps screen of the Data Migration Console; maps prepared in the Migration Workbook of BRD-13)</t>
        </is>
      </c>
      <c r="AI16" s="43" t="inlineStr">
        <is>
          <t>The legacy code; mapped by the code map STATUS:CLIENT (Code Maps screen of the Data Migration Console; maps prepared in the Migration Workbook of BRD-13)</t>
        </is>
      </c>
      <c r="AJ16" s="43" t="inlineStr">
        <is>
          <t>Free entry</t>
        </is>
      </c>
      <c r="AK16" s="43" t="inlineStr">
        <is>
          <t>Free entry</t>
        </is>
      </c>
    </row>
    <row r="17" ht="43" customHeight="1">
      <c r="A17" s="41" t="inlineStr">
        <is>
          <t>What to enter</t>
        </is>
      </c>
      <c r="B17" s="43" t="inlineStr">
        <is>
          <t>Client number in the source system</t>
        </is>
      </c>
      <c r="C17" s="43" t="inlineStr">
        <is>
          <t>Individual or corporate</t>
        </is>
      </c>
      <c r="D17" s="43" t="inlineStr">
        <is>
          <t>Last name (individual)</t>
        </is>
      </c>
      <c r="E17" s="43" t="inlineStr">
        <is>
          <t>First name (individual)</t>
        </is>
      </c>
      <c r="F17" s="43" t="inlineStr">
        <is>
          <t>Middle name</t>
        </is>
      </c>
      <c r="G17" s="43" t="inlineStr">
        <is>
          <t>Name suffix</t>
        </is>
      </c>
      <c r="H17" s="43" t="inlineStr">
        <is>
          <t>Registered name (corporate)</t>
        </is>
      </c>
      <c r="I17" s="43" t="inlineStr">
        <is>
          <t>SEC or DTI registration number (corporate)</t>
        </is>
      </c>
      <c r="J17" s="43" t="inlineStr">
        <is>
          <t>Birth date (individual)</t>
        </is>
      </c>
      <c r="K17" s="43" t="inlineStr">
        <is>
          <t>Tax identification number</t>
        </is>
      </c>
      <c r="L17" s="43" t="inlineStr">
        <is>
          <t>Government ID type</t>
        </is>
      </c>
      <c r="M17" s="43" t="inlineStr">
        <is>
          <t>Government ID number</t>
        </is>
      </c>
      <c r="N17" s="43" t="inlineStr">
        <is>
          <t>BDO bank client</t>
        </is>
      </c>
      <c r="O17" s="43" t="inlineStr">
        <is>
          <t>BDO customer information file number</t>
        </is>
      </c>
      <c r="P17" s="43" t="inlineStr">
        <is>
          <t>Nationality</t>
        </is>
      </c>
      <c r="Q17" s="43" t="inlineStr">
        <is>
          <t>Source of funds</t>
        </is>
      </c>
      <c r="R17" s="43" t="inlineStr">
        <is>
          <t>Market segment</t>
        </is>
      </c>
      <c r="S17" s="43" t="inlineStr">
        <is>
          <t>Customer segment (MIS)</t>
        </is>
      </c>
      <c r="T17" s="43" t="inlineStr">
        <is>
          <t>Business origin (MIS)</t>
        </is>
      </c>
      <c r="U17" s="43" t="inlineStr">
        <is>
          <t>Account officer</t>
        </is>
      </c>
      <c r="V17" s="43" t="inlineStr">
        <is>
          <t>Sales unit of the client</t>
        </is>
      </c>
      <c r="W17" s="43" t="inlineStr">
        <is>
          <t>Servicing branch</t>
        </is>
      </c>
      <c r="X17" s="43" t="inlineStr">
        <is>
          <t>Primary e-mail</t>
        </is>
      </c>
      <c r="Y17" s="43" t="inlineStr">
        <is>
          <t>Primary mobile number</t>
        </is>
      </c>
      <c r="Z17" s="43" t="inlineStr">
        <is>
          <t>Landline</t>
        </is>
      </c>
      <c r="AA17" s="43" t="inlineStr">
        <is>
          <t>Primary street address</t>
        </is>
      </c>
      <c r="AB17" s="43" t="inlineStr">
        <is>
          <t>City / municipality</t>
        </is>
      </c>
      <c r="AC17" s="43" t="inlineStr">
        <is>
          <t>Province</t>
        </is>
      </c>
      <c r="AD17" s="43" t="inlineStr">
        <is>
          <t>Postal code</t>
        </is>
      </c>
      <c r="AE17" s="43" t="inlineStr">
        <is>
          <t>KYC status in legacy</t>
        </is>
      </c>
      <c r="AF17" s="43" t="inlineStr">
        <is>
          <t>Date KYC was verified</t>
        </is>
      </c>
      <c r="AG17" s="43" t="inlineStr">
        <is>
          <t>Next KYC review date</t>
        </is>
      </c>
      <c r="AH17" s="43" t="inlineStr">
        <is>
          <t>KYC risk rating</t>
        </is>
      </c>
      <c r="AI17" s="43" t="inlineStr">
        <is>
          <t>Client status in legacy</t>
        </is>
      </c>
      <c r="AJ17" s="43" t="inlineStr">
        <is>
          <t>Date the client was created in legacy</t>
        </is>
      </c>
      <c r="AK17" s="43" t="inlineStr">
        <is>
          <t>Last change in legacy (survivorship and deltas)</t>
        </is>
      </c>
    </row>
    <row r="18" ht="30" customHeight="1">
      <c r="A18" s="44" t="inlineStr">
        <is>
          <t>Row</t>
        </is>
      </c>
      <c r="B18" s="45" t="inlineStr">
        <is>
          <t>legacy_client_no *</t>
        </is>
      </c>
      <c r="C18" s="45" t="inlineStr">
        <is>
          <t>client_type *</t>
        </is>
      </c>
      <c r="D18" s="45" t="inlineStr">
        <is>
          <t>last_name</t>
        </is>
      </c>
      <c r="E18" s="45" t="inlineStr">
        <is>
          <t>first_name</t>
        </is>
      </c>
      <c r="F18" s="45" t="inlineStr">
        <is>
          <t>middle_name</t>
        </is>
      </c>
      <c r="G18" s="45" t="inlineStr">
        <is>
          <t>suffix</t>
        </is>
      </c>
      <c r="H18" s="45" t="inlineStr">
        <is>
          <t>corporate_name</t>
        </is>
      </c>
      <c r="I18" s="45" t="inlineStr">
        <is>
          <t>registration_no</t>
        </is>
      </c>
      <c r="J18" s="45" t="inlineStr">
        <is>
          <t>birth_date</t>
        </is>
      </c>
      <c r="K18" s="45" t="inlineStr">
        <is>
          <t>tin</t>
        </is>
      </c>
      <c r="L18" s="45" t="inlineStr">
        <is>
          <t>id_type</t>
        </is>
      </c>
      <c r="M18" s="45" t="inlineStr">
        <is>
          <t>id_number</t>
        </is>
      </c>
      <c r="N18" s="45" t="inlineStr">
        <is>
          <t>bank_client_flag</t>
        </is>
      </c>
      <c r="O18" s="45" t="inlineStr">
        <is>
          <t>bank_cif</t>
        </is>
      </c>
      <c r="P18" s="45" t="inlineStr">
        <is>
          <t>nationality</t>
        </is>
      </c>
      <c r="Q18" s="45" t="inlineStr">
        <is>
          <t>source_of_funds</t>
        </is>
      </c>
      <c r="R18" s="45" t="inlineStr">
        <is>
          <t>market_segment *</t>
        </is>
      </c>
      <c r="S18" s="45" t="inlineStr">
        <is>
          <t>customer_segment</t>
        </is>
      </c>
      <c r="T18" s="45" t="inlineStr">
        <is>
          <t>business_origin</t>
        </is>
      </c>
      <c r="U18" s="45" t="inlineStr">
        <is>
          <t>ao_user_id</t>
        </is>
      </c>
      <c r="V18" s="45" t="inlineStr">
        <is>
          <t>sales_unit_code</t>
        </is>
      </c>
      <c r="W18" s="45" t="inlineStr">
        <is>
          <t>branch_code</t>
        </is>
      </c>
      <c r="X18" s="45" t="inlineStr">
        <is>
          <t>email</t>
        </is>
      </c>
      <c r="Y18" s="45" t="inlineStr">
        <is>
          <t>mobile</t>
        </is>
      </c>
      <c r="Z18" s="45" t="inlineStr">
        <is>
          <t>phone</t>
        </is>
      </c>
      <c r="AA18" s="45" t="inlineStr">
        <is>
          <t>address_line</t>
        </is>
      </c>
      <c r="AB18" s="45" t="inlineStr">
        <is>
          <t>city</t>
        </is>
      </c>
      <c r="AC18" s="45" t="inlineStr">
        <is>
          <t>province</t>
        </is>
      </c>
      <c r="AD18" s="45" t="inlineStr">
        <is>
          <t>postal_code</t>
        </is>
      </c>
      <c r="AE18" s="45" t="inlineStr">
        <is>
          <t>kyc_status</t>
        </is>
      </c>
      <c r="AF18" s="45" t="inlineStr">
        <is>
          <t>kyc_verified_date</t>
        </is>
      </c>
      <c r="AG18" s="45" t="inlineStr">
        <is>
          <t>kyc_review_due</t>
        </is>
      </c>
      <c r="AH18" s="45" t="inlineStr">
        <is>
          <t>risk_rating</t>
        </is>
      </c>
      <c r="AI18" s="45" t="inlineStr">
        <is>
          <t>client_status *</t>
        </is>
      </c>
      <c r="AJ18" s="45" t="inlineStr">
        <is>
          <t>created_date *</t>
        </is>
      </c>
      <c r="AK18" s="45" t="inlineStr">
        <is>
          <t>last_updated *</t>
        </is>
      </c>
    </row>
    <row r="19" ht="18" customHeight="1">
      <c r="A19" s="46" t="inlineStr">
        <is>
          <t>Example – overwrite or delete</t>
        </is>
      </c>
      <c r="B19" s="47" t="inlineStr">
        <is>
          <t>Q-0012345</t>
        </is>
      </c>
      <c r="C19" s="47" t="inlineStr">
        <is>
          <t>I</t>
        </is>
      </c>
      <c r="D19" s="47" t="inlineStr">
        <is>
          <t>Reyes</t>
        </is>
      </c>
      <c r="E19" s="47" t="inlineStr">
        <is>
          <t>Ana</t>
        </is>
      </c>
      <c r="F19" s="47" t="inlineStr">
        <is>
          <t>Cruz</t>
        </is>
      </c>
      <c r="G19" s="47" t="inlineStr">
        <is>
          <t>Jr.</t>
        </is>
      </c>
      <c r="H19" s="47" t="inlineStr">
        <is>
          <t>Acme Trading Corp.</t>
        </is>
      </c>
      <c r="I19" s="47" t="inlineStr">
        <is>
          <t>CS201912345</t>
        </is>
      </c>
      <c r="J19" s="47" t="inlineStr">
        <is>
          <t>1990-04-15</t>
        </is>
      </c>
      <c r="K19" s="47" t="inlineStr">
        <is>
          <t>123-456-789-000</t>
        </is>
      </c>
      <c r="L19" s="47" t="inlineStr">
        <is>
          <t>PASSPORT</t>
        </is>
      </c>
      <c r="M19" s="47" t="inlineStr">
        <is>
          <t>P1234567A</t>
        </is>
      </c>
      <c r="N19" s="47" t="inlineStr">
        <is>
          <t>Y</t>
        </is>
      </c>
      <c r="O19" s="47" t="inlineStr">
        <is>
          <t>1234567890</t>
        </is>
      </c>
      <c r="P19" s="47" t="inlineStr">
        <is>
          <t>FILIPINO</t>
        </is>
      </c>
      <c r="Q19" s="47" t="inlineStr">
        <is>
          <t>SALARY</t>
        </is>
      </c>
      <c r="R19" s="47" t="inlineStr">
        <is>
          <t>CBG</t>
        </is>
      </c>
      <c r="S19" s="47" t="inlineStr">
        <is>
          <t>AFFLUENT</t>
        </is>
      </c>
      <c r="T19" s="47" t="inlineStr">
        <is>
          <t>BANK_REFERRAL</t>
        </is>
      </c>
      <c r="U19" s="47" t="inlineStr">
        <is>
          <t>mreyes</t>
        </is>
      </c>
      <c r="V19" s="47" t="inlineStr">
        <is>
          <t>T-RET-07</t>
        </is>
      </c>
      <c r="W19" s="47" t="inlineStr">
        <is>
          <t>MKT01</t>
        </is>
      </c>
      <c r="X19" s="47" t="inlineStr">
        <is>
          <t>ana.reyes@example.ph</t>
        </is>
      </c>
      <c r="Y19" s="47" t="inlineStr">
        <is>
          <t>09171234567</t>
        </is>
      </c>
      <c r="Z19" s="47" t="inlineStr">
        <is>
          <t>(02) 8123 4567</t>
        </is>
      </c>
      <c r="AA19" s="47" t="inlineStr">
        <is>
          <t>12 Rizal St., Brgy. San Antonio</t>
        </is>
      </c>
      <c r="AB19" s="47" t="inlineStr">
        <is>
          <t>Pasig</t>
        </is>
      </c>
      <c r="AC19" s="47" t="inlineStr">
        <is>
          <t>Metro Manila</t>
        </is>
      </c>
      <c r="AD19" s="47" t="inlineStr">
        <is>
          <t>1600</t>
        </is>
      </c>
      <c r="AE19" s="47" t="inlineStr">
        <is>
          <t>COMPLETE</t>
        </is>
      </c>
      <c r="AF19" s="47" t="inlineStr">
        <is>
          <t>2024-03-11</t>
        </is>
      </c>
      <c r="AG19" s="47" t="inlineStr">
        <is>
          <t>2028-03-11</t>
        </is>
      </c>
      <c r="AH19" s="47" t="inlineStr">
        <is>
          <t>STANDARD</t>
        </is>
      </c>
      <c r="AI19" s="47" t="inlineStr">
        <is>
          <t>ACTIVE</t>
        </is>
      </c>
      <c r="AJ19" s="47" t="inlineStr">
        <is>
          <t>2021-07-02</t>
        </is>
      </c>
      <c r="AK19" s="47" t="inlineStr">
        <is>
          <t>2026-08-30 14:22:05</t>
        </is>
      </c>
    </row>
    <row r="20">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c r="AA20" s="49" t="n"/>
      <c r="AB20" s="49" t="n"/>
      <c r="AC20" s="49" t="n"/>
      <c r="AD20" s="49" t="n"/>
      <c r="AE20" s="49" t="n"/>
      <c r="AF20" s="49" t="n"/>
      <c r="AG20" s="49" t="n"/>
      <c r="AH20" s="49" t="n"/>
      <c r="AI20" s="49" t="n"/>
      <c r="AJ20" s="49" t="n"/>
      <c r="AK20" s="49" t="n"/>
    </row>
    <row r="21">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c r="AA21" s="49" t="n"/>
      <c r="AB21" s="49" t="n"/>
      <c r="AC21" s="49" t="n"/>
      <c r="AD21" s="49" t="n"/>
      <c r="AE21" s="49" t="n"/>
      <c r="AF21" s="49" t="n"/>
      <c r="AG21" s="49" t="n"/>
      <c r="AH21" s="49" t="n"/>
      <c r="AI21" s="49" t="n"/>
      <c r="AJ21" s="49" t="n"/>
      <c r="AK21" s="49" t="n"/>
    </row>
    <row r="22">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c r="AA22" s="49" t="n"/>
      <c r="AB22" s="49" t="n"/>
      <c r="AC22" s="49" t="n"/>
      <c r="AD22" s="49" t="n"/>
      <c r="AE22" s="49" t="n"/>
      <c r="AF22" s="49" t="n"/>
      <c r="AG22" s="49" t="n"/>
      <c r="AH22" s="49" t="n"/>
      <c r="AI22" s="49" t="n"/>
      <c r="AJ22" s="49" t="n"/>
      <c r="AK22" s="49" t="n"/>
    </row>
    <row r="23">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c r="AA23" s="49" t="n"/>
      <c r="AB23" s="49" t="n"/>
      <c r="AC23" s="49" t="n"/>
      <c r="AD23" s="49" t="n"/>
      <c r="AE23" s="49" t="n"/>
      <c r="AF23" s="49" t="n"/>
      <c r="AG23" s="49" t="n"/>
      <c r="AH23" s="49" t="n"/>
      <c r="AI23" s="49" t="n"/>
      <c r="AJ23" s="49" t="n"/>
      <c r="AK23" s="49" t="n"/>
    </row>
    <row r="24">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c r="AA24" s="49" t="n"/>
      <c r="AB24" s="49" t="n"/>
      <c r="AC24" s="49" t="n"/>
      <c r="AD24" s="49" t="n"/>
      <c r="AE24" s="49" t="n"/>
      <c r="AF24" s="49" t="n"/>
      <c r="AG24" s="49" t="n"/>
      <c r="AH24" s="49" t="n"/>
      <c r="AI24" s="49" t="n"/>
      <c r="AJ24" s="49" t="n"/>
      <c r="AK24" s="49" t="n"/>
    </row>
    <row r="25">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c r="AA25" s="49" t="n"/>
      <c r="AB25" s="49" t="n"/>
      <c r="AC25" s="49" t="n"/>
      <c r="AD25" s="49" t="n"/>
      <c r="AE25" s="49" t="n"/>
      <c r="AF25" s="49" t="n"/>
      <c r="AG25" s="49" t="n"/>
      <c r="AH25" s="49" t="n"/>
      <c r="AI25" s="49" t="n"/>
      <c r="AJ25" s="49" t="n"/>
      <c r="AK25" s="49" t="n"/>
    </row>
    <row r="26">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c r="AA26" s="49" t="n"/>
      <c r="AB26" s="49" t="n"/>
      <c r="AC26" s="49" t="n"/>
      <c r="AD26" s="49" t="n"/>
      <c r="AE26" s="49" t="n"/>
      <c r="AF26" s="49" t="n"/>
      <c r="AG26" s="49" t="n"/>
      <c r="AH26" s="49" t="n"/>
      <c r="AI26" s="49" t="n"/>
      <c r="AJ26" s="49" t="n"/>
      <c r="AK26" s="49" t="n"/>
    </row>
    <row r="27">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c r="AA27" s="49" t="n"/>
      <c r="AB27" s="49" t="n"/>
      <c r="AC27" s="49" t="n"/>
      <c r="AD27" s="49" t="n"/>
      <c r="AE27" s="49" t="n"/>
      <c r="AF27" s="49" t="n"/>
      <c r="AG27" s="49" t="n"/>
      <c r="AH27" s="49" t="n"/>
      <c r="AI27" s="49" t="n"/>
      <c r="AJ27" s="49" t="n"/>
      <c r="AK27" s="49" t="n"/>
    </row>
    <row r="28">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c r="AA28" s="49" t="n"/>
      <c r="AB28" s="49" t="n"/>
      <c r="AC28" s="49" t="n"/>
      <c r="AD28" s="49" t="n"/>
      <c r="AE28" s="49" t="n"/>
      <c r="AF28" s="49" t="n"/>
      <c r="AG28" s="49" t="n"/>
      <c r="AH28" s="49" t="n"/>
      <c r="AI28" s="49" t="n"/>
      <c r="AJ28" s="49" t="n"/>
      <c r="AK28" s="49" t="n"/>
    </row>
    <row r="29">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c r="AA29" s="49" t="n"/>
      <c r="AB29" s="49" t="n"/>
      <c r="AC29" s="49" t="n"/>
      <c r="AD29" s="49" t="n"/>
      <c r="AE29" s="49" t="n"/>
      <c r="AF29" s="49" t="n"/>
      <c r="AG29" s="49" t="n"/>
      <c r="AH29" s="49" t="n"/>
      <c r="AI29" s="49" t="n"/>
      <c r="AJ29" s="49" t="n"/>
      <c r="AK29" s="49" t="n"/>
    </row>
    <row r="30">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c r="AA30" s="49" t="n"/>
      <c r="AB30" s="49" t="n"/>
      <c r="AC30" s="49" t="n"/>
      <c r="AD30" s="49" t="n"/>
      <c r="AE30" s="49" t="n"/>
      <c r="AF30" s="49" t="n"/>
      <c r="AG30" s="49" t="n"/>
      <c r="AH30" s="49" t="n"/>
      <c r="AI30" s="49" t="n"/>
      <c r="AJ30" s="49" t="n"/>
      <c r="AK30" s="49" t="n"/>
    </row>
    <row r="31">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c r="AA31" s="49" t="n"/>
      <c r="AB31" s="49" t="n"/>
      <c r="AC31" s="49" t="n"/>
      <c r="AD31" s="49" t="n"/>
      <c r="AE31" s="49" t="n"/>
      <c r="AF31" s="49" t="n"/>
      <c r="AG31" s="49" t="n"/>
      <c r="AH31" s="49" t="n"/>
      <c r="AI31" s="49" t="n"/>
      <c r="AJ31" s="49" t="n"/>
      <c r="AK31" s="49" t="n"/>
    </row>
    <row r="32">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c r="AA32" s="49" t="n"/>
      <c r="AB32" s="49" t="n"/>
      <c r="AC32" s="49" t="n"/>
      <c r="AD32" s="49" t="n"/>
      <c r="AE32" s="49" t="n"/>
      <c r="AF32" s="49" t="n"/>
      <c r="AG32" s="49" t="n"/>
      <c r="AH32" s="49" t="n"/>
      <c r="AI32" s="49" t="n"/>
      <c r="AJ32" s="49" t="n"/>
      <c r="AK32" s="49" t="n"/>
    </row>
    <row r="33">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c r="AA33" s="49" t="n"/>
      <c r="AB33" s="49" t="n"/>
      <c r="AC33" s="49" t="n"/>
      <c r="AD33" s="49" t="n"/>
      <c r="AE33" s="49" t="n"/>
      <c r="AF33" s="49" t="n"/>
      <c r="AG33" s="49" t="n"/>
      <c r="AH33" s="49" t="n"/>
      <c r="AI33" s="49" t="n"/>
      <c r="AJ33" s="49" t="n"/>
      <c r="AK33" s="49" t="n"/>
    </row>
    <row r="34">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c r="AA34" s="49" t="n"/>
      <c r="AB34" s="49" t="n"/>
      <c r="AC34" s="49" t="n"/>
      <c r="AD34" s="49" t="n"/>
      <c r="AE34" s="49" t="n"/>
      <c r="AF34" s="49" t="n"/>
      <c r="AG34" s="49" t="n"/>
      <c r="AH34" s="49" t="n"/>
      <c r="AI34" s="49" t="n"/>
      <c r="AJ34" s="49" t="n"/>
      <c r="AK34" s="49" t="n"/>
    </row>
    <row r="35">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c r="AA35" s="49" t="n"/>
      <c r="AB35" s="49" t="n"/>
      <c r="AC35" s="49" t="n"/>
      <c r="AD35" s="49" t="n"/>
      <c r="AE35" s="49" t="n"/>
      <c r="AF35" s="49" t="n"/>
      <c r="AG35" s="49" t="n"/>
      <c r="AH35" s="49" t="n"/>
      <c r="AI35" s="49" t="n"/>
      <c r="AJ35" s="49" t="n"/>
      <c r="AK35" s="49" t="n"/>
    </row>
    <row r="36">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c r="AA36" s="49" t="n"/>
      <c r="AB36" s="49" t="n"/>
      <c r="AC36" s="49" t="n"/>
      <c r="AD36" s="49" t="n"/>
      <c r="AE36" s="49" t="n"/>
      <c r="AF36" s="49" t="n"/>
      <c r="AG36" s="49" t="n"/>
      <c r="AH36" s="49" t="n"/>
      <c r="AI36" s="49" t="n"/>
      <c r="AJ36" s="49" t="n"/>
      <c r="AK36" s="49" t="n"/>
    </row>
    <row r="37">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c r="AA37" s="49" t="n"/>
      <c r="AB37" s="49" t="n"/>
      <c r="AC37" s="49" t="n"/>
      <c r="AD37" s="49" t="n"/>
      <c r="AE37" s="49" t="n"/>
      <c r="AF37" s="49" t="n"/>
      <c r="AG37" s="49" t="n"/>
      <c r="AH37" s="49" t="n"/>
      <c r="AI37" s="49" t="n"/>
      <c r="AJ37" s="49" t="n"/>
      <c r="AK37" s="49" t="n"/>
    </row>
    <row r="38">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c r="AA38" s="49" t="n"/>
      <c r="AB38" s="49" t="n"/>
      <c r="AC38" s="49" t="n"/>
      <c r="AD38" s="49" t="n"/>
      <c r="AE38" s="49" t="n"/>
      <c r="AF38" s="49" t="n"/>
      <c r="AG38" s="49" t="n"/>
      <c r="AH38" s="49" t="n"/>
      <c r="AI38" s="49" t="n"/>
      <c r="AJ38" s="49" t="n"/>
      <c r="AK38" s="49" t="n"/>
    </row>
    <row r="39">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c r="AA39" s="49" t="n"/>
      <c r="AB39" s="49" t="n"/>
      <c r="AC39" s="49" t="n"/>
      <c r="AD39" s="49" t="n"/>
      <c r="AE39" s="49" t="n"/>
      <c r="AF39" s="49" t="n"/>
      <c r="AG39" s="49" t="n"/>
      <c r="AH39" s="49" t="n"/>
      <c r="AI39" s="49" t="n"/>
      <c r="AJ39" s="49" t="n"/>
      <c r="AK39" s="49" t="n"/>
    </row>
    <row r="40">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c r="AA40" s="49" t="n"/>
      <c r="AB40" s="49" t="n"/>
      <c r="AC40" s="49" t="n"/>
      <c r="AD40" s="49" t="n"/>
      <c r="AE40" s="49" t="n"/>
      <c r="AF40" s="49" t="n"/>
      <c r="AG40" s="49" t="n"/>
      <c r="AH40" s="49" t="n"/>
      <c r="AI40" s="49" t="n"/>
      <c r="AJ40" s="49" t="n"/>
      <c r="AK40" s="49" t="n"/>
    </row>
    <row r="41">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c r="AA41" s="49" t="n"/>
      <c r="AB41" s="49" t="n"/>
      <c r="AC41" s="49" t="n"/>
      <c r="AD41" s="49" t="n"/>
      <c r="AE41" s="49" t="n"/>
      <c r="AF41" s="49" t="n"/>
      <c r="AG41" s="49" t="n"/>
      <c r="AH41" s="49" t="n"/>
      <c r="AI41" s="49" t="n"/>
      <c r="AJ41" s="49" t="n"/>
      <c r="AK41" s="49" t="n"/>
    </row>
    <row r="42">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c r="AA42" s="49" t="n"/>
      <c r="AB42" s="49" t="n"/>
      <c r="AC42" s="49" t="n"/>
      <c r="AD42" s="49" t="n"/>
      <c r="AE42" s="49" t="n"/>
      <c r="AF42" s="49" t="n"/>
      <c r="AG42" s="49" t="n"/>
      <c r="AH42" s="49" t="n"/>
      <c r="AI42" s="49" t="n"/>
      <c r="AJ42" s="49" t="n"/>
      <c r="AK42" s="49" t="n"/>
    </row>
    <row r="43">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c r="AA43" s="49" t="n"/>
      <c r="AB43" s="49" t="n"/>
      <c r="AC43" s="49" t="n"/>
      <c r="AD43" s="49" t="n"/>
      <c r="AE43" s="49" t="n"/>
      <c r="AF43" s="49" t="n"/>
      <c r="AG43" s="49" t="n"/>
      <c r="AH43" s="49" t="n"/>
      <c r="AI43" s="49" t="n"/>
      <c r="AJ43" s="49" t="n"/>
      <c r="AK43" s="49" t="n"/>
    </row>
    <row r="44">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c r="AA44" s="49" t="n"/>
      <c r="AB44" s="49" t="n"/>
      <c r="AC44" s="49" t="n"/>
      <c r="AD44" s="49" t="n"/>
      <c r="AE44" s="49" t="n"/>
      <c r="AF44" s="49" t="n"/>
      <c r="AG44" s="49" t="n"/>
      <c r="AH44" s="49" t="n"/>
      <c r="AI44" s="49" t="n"/>
      <c r="AJ44" s="49" t="n"/>
      <c r="AK44" s="49" t="n"/>
    </row>
    <row r="45">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c r="AA45" s="49" t="n"/>
      <c r="AB45" s="49" t="n"/>
      <c r="AC45" s="49" t="n"/>
      <c r="AD45" s="49" t="n"/>
      <c r="AE45" s="49" t="n"/>
      <c r="AF45" s="49" t="n"/>
      <c r="AG45" s="49" t="n"/>
      <c r="AH45" s="49" t="n"/>
      <c r="AI45" s="49" t="n"/>
      <c r="AJ45" s="49" t="n"/>
      <c r="AK45" s="49" t="n"/>
    </row>
    <row r="46">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c r="AA46" s="49" t="n"/>
      <c r="AB46" s="49" t="n"/>
      <c r="AC46" s="49" t="n"/>
      <c r="AD46" s="49" t="n"/>
      <c r="AE46" s="49" t="n"/>
      <c r="AF46" s="49" t="n"/>
      <c r="AG46" s="49" t="n"/>
      <c r="AH46" s="49" t="n"/>
      <c r="AI46" s="49" t="n"/>
      <c r="AJ46" s="49" t="n"/>
      <c r="AK46" s="49" t="n"/>
    </row>
    <row r="47">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c r="AA47" s="49" t="n"/>
      <c r="AB47" s="49" t="n"/>
      <c r="AC47" s="49" t="n"/>
      <c r="AD47" s="49" t="n"/>
      <c r="AE47" s="49" t="n"/>
      <c r="AF47" s="49" t="n"/>
      <c r="AG47" s="49" t="n"/>
      <c r="AH47" s="49" t="n"/>
      <c r="AI47" s="49" t="n"/>
      <c r="AJ47" s="49" t="n"/>
      <c r="AK47" s="49" t="n"/>
    </row>
    <row r="48">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c r="AA48" s="49" t="n"/>
      <c r="AB48" s="49" t="n"/>
      <c r="AC48" s="49" t="n"/>
      <c r="AD48" s="49" t="n"/>
      <c r="AE48" s="49" t="n"/>
      <c r="AF48" s="49" t="n"/>
      <c r="AG48" s="49" t="n"/>
      <c r="AH48" s="49" t="n"/>
      <c r="AI48" s="49" t="n"/>
      <c r="AJ48" s="49" t="n"/>
      <c r="AK48" s="49" t="n"/>
    </row>
    <row r="49">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c r="AA49" s="49" t="n"/>
      <c r="AB49" s="49" t="n"/>
      <c r="AC49" s="49" t="n"/>
      <c r="AD49" s="49" t="n"/>
      <c r="AE49" s="49" t="n"/>
      <c r="AF49" s="49" t="n"/>
      <c r="AG49" s="49" t="n"/>
      <c r="AH49" s="49" t="n"/>
      <c r="AI49" s="49" t="n"/>
      <c r="AJ49" s="49" t="n"/>
      <c r="AK49" s="49" t="n"/>
    </row>
    <row r="50">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c r="AA50" s="49" t="n"/>
      <c r="AB50" s="49" t="n"/>
      <c r="AC50" s="49" t="n"/>
      <c r="AD50" s="49" t="n"/>
      <c r="AE50" s="49" t="n"/>
      <c r="AF50" s="49" t="n"/>
      <c r="AG50" s="49" t="n"/>
      <c r="AH50" s="49" t="n"/>
      <c r="AI50" s="49" t="n"/>
      <c r="AJ50" s="49" t="n"/>
      <c r="AK50" s="49" t="n"/>
    </row>
    <row r="51">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c r="AA51" s="49" t="n"/>
      <c r="AB51" s="49" t="n"/>
      <c r="AC51" s="49" t="n"/>
      <c r="AD51" s="49" t="n"/>
      <c r="AE51" s="49" t="n"/>
      <c r="AF51" s="49" t="n"/>
      <c r="AG51" s="49" t="n"/>
      <c r="AH51" s="49" t="n"/>
      <c r="AI51" s="49" t="n"/>
      <c r="AJ51" s="49" t="n"/>
      <c r="AK51" s="49" t="n"/>
    </row>
    <row r="52">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c r="AA52" s="49" t="n"/>
      <c r="AB52" s="49" t="n"/>
      <c r="AC52" s="49" t="n"/>
      <c r="AD52" s="49" t="n"/>
      <c r="AE52" s="49" t="n"/>
      <c r="AF52" s="49" t="n"/>
      <c r="AG52" s="49" t="n"/>
      <c r="AH52" s="49" t="n"/>
      <c r="AI52" s="49" t="n"/>
      <c r="AJ52" s="49" t="n"/>
      <c r="AK52" s="49" t="n"/>
    </row>
    <row r="53">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c r="AA53" s="49" t="n"/>
      <c r="AB53" s="49" t="n"/>
      <c r="AC53" s="49" t="n"/>
      <c r="AD53" s="49" t="n"/>
      <c r="AE53" s="49" t="n"/>
      <c r="AF53" s="49" t="n"/>
      <c r="AG53" s="49" t="n"/>
      <c r="AH53" s="49" t="n"/>
      <c r="AI53" s="49" t="n"/>
      <c r="AJ53" s="49" t="n"/>
      <c r="AK53" s="49" t="n"/>
    </row>
    <row r="54">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c r="AA54" s="49" t="n"/>
      <c r="AB54" s="49" t="n"/>
      <c r="AC54" s="49" t="n"/>
      <c r="AD54" s="49" t="n"/>
      <c r="AE54" s="49" t="n"/>
      <c r="AF54" s="49" t="n"/>
      <c r="AG54" s="49" t="n"/>
      <c r="AH54" s="49" t="n"/>
      <c r="AI54" s="49" t="n"/>
      <c r="AJ54" s="49" t="n"/>
      <c r="AK54" s="49" t="n"/>
    </row>
    <row r="55">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c r="AA55" s="49" t="n"/>
      <c r="AB55" s="49" t="n"/>
      <c r="AC55" s="49" t="n"/>
      <c r="AD55" s="49" t="n"/>
      <c r="AE55" s="49" t="n"/>
      <c r="AF55" s="49" t="n"/>
      <c r="AG55" s="49" t="n"/>
      <c r="AH55" s="49" t="n"/>
      <c r="AI55" s="49" t="n"/>
      <c r="AJ55" s="49" t="n"/>
      <c r="AK55" s="49" t="n"/>
    </row>
    <row r="56">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c r="AA56" s="49" t="n"/>
      <c r="AB56" s="49" t="n"/>
      <c r="AC56" s="49" t="n"/>
      <c r="AD56" s="49" t="n"/>
      <c r="AE56" s="49" t="n"/>
      <c r="AF56" s="49" t="n"/>
      <c r="AG56" s="49" t="n"/>
      <c r="AH56" s="49" t="n"/>
      <c r="AI56" s="49" t="n"/>
      <c r="AJ56" s="49" t="n"/>
      <c r="AK56" s="49" t="n"/>
    </row>
    <row r="57">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c r="AA57" s="49" t="n"/>
      <c r="AB57" s="49" t="n"/>
      <c r="AC57" s="49" t="n"/>
      <c r="AD57" s="49" t="n"/>
      <c r="AE57" s="49" t="n"/>
      <c r="AF57" s="49" t="n"/>
      <c r="AG57" s="49" t="n"/>
      <c r="AH57" s="49" t="n"/>
      <c r="AI57" s="49" t="n"/>
      <c r="AJ57" s="49" t="n"/>
      <c r="AK57" s="49" t="n"/>
    </row>
    <row r="58">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c r="AA58" s="49" t="n"/>
      <c r="AB58" s="49" t="n"/>
      <c r="AC58" s="49" t="n"/>
      <c r="AD58" s="49" t="n"/>
      <c r="AE58" s="49" t="n"/>
      <c r="AF58" s="49" t="n"/>
      <c r="AG58" s="49" t="n"/>
      <c r="AH58" s="49" t="n"/>
      <c r="AI58" s="49" t="n"/>
      <c r="AJ58" s="49" t="n"/>
      <c r="AK58" s="49" t="n"/>
    </row>
    <row r="59">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c r="AA59" s="49" t="n"/>
      <c r="AB59" s="49" t="n"/>
      <c r="AC59" s="49" t="n"/>
      <c r="AD59" s="49" t="n"/>
      <c r="AE59" s="49" t="n"/>
      <c r="AF59" s="49" t="n"/>
      <c r="AG59" s="49" t="n"/>
      <c r="AH59" s="49" t="n"/>
      <c r="AI59" s="49" t="n"/>
      <c r="AJ59" s="49" t="n"/>
      <c r="AK59" s="49" t="n"/>
    </row>
    <row r="60">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c r="AA60" s="49" t="n"/>
      <c r="AB60" s="49" t="n"/>
      <c r="AC60" s="49" t="n"/>
      <c r="AD60" s="49" t="n"/>
      <c r="AE60" s="49" t="n"/>
      <c r="AF60" s="49" t="n"/>
      <c r="AG60" s="49" t="n"/>
      <c r="AH60" s="49" t="n"/>
      <c r="AI60" s="49" t="n"/>
      <c r="AJ60" s="49" t="n"/>
      <c r="AK60" s="49" t="n"/>
    </row>
    <row r="61">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c r="AA61" s="49" t="n"/>
      <c r="AB61" s="49" t="n"/>
      <c r="AC61" s="49" t="n"/>
      <c r="AD61" s="49" t="n"/>
      <c r="AE61" s="49" t="n"/>
      <c r="AF61" s="49" t="n"/>
      <c r="AG61" s="49" t="n"/>
      <c r="AH61" s="49" t="n"/>
      <c r="AI61" s="49" t="n"/>
      <c r="AJ61" s="49" t="n"/>
      <c r="AK61" s="49" t="n"/>
    </row>
    <row r="62">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c r="AA62" s="49" t="n"/>
      <c r="AB62" s="49" t="n"/>
      <c r="AC62" s="49" t="n"/>
      <c r="AD62" s="49" t="n"/>
      <c r="AE62" s="49" t="n"/>
      <c r="AF62" s="49" t="n"/>
      <c r="AG62" s="49" t="n"/>
      <c r="AH62" s="49" t="n"/>
      <c r="AI62" s="49" t="n"/>
      <c r="AJ62" s="49" t="n"/>
      <c r="AK62" s="49" t="n"/>
    </row>
    <row r="63">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c r="AA63" s="49" t="n"/>
      <c r="AB63" s="49" t="n"/>
      <c r="AC63" s="49" t="n"/>
      <c r="AD63" s="49" t="n"/>
      <c r="AE63" s="49" t="n"/>
      <c r="AF63" s="49" t="n"/>
      <c r="AG63" s="49" t="n"/>
      <c r="AH63" s="49" t="n"/>
      <c r="AI63" s="49" t="n"/>
      <c r="AJ63" s="49" t="n"/>
      <c r="AK63" s="49" t="n"/>
    </row>
    <row r="64">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c r="AA64" s="49" t="n"/>
      <c r="AB64" s="49" t="n"/>
      <c r="AC64" s="49" t="n"/>
      <c r="AD64" s="49" t="n"/>
      <c r="AE64" s="49" t="n"/>
      <c r="AF64" s="49" t="n"/>
      <c r="AG64" s="49" t="n"/>
      <c r="AH64" s="49" t="n"/>
      <c r="AI64" s="49" t="n"/>
      <c r="AJ64" s="49" t="n"/>
      <c r="AK64" s="49" t="n"/>
    </row>
    <row r="65">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c r="AA65" s="49" t="n"/>
      <c r="AB65" s="49" t="n"/>
      <c r="AC65" s="49" t="n"/>
      <c r="AD65" s="49" t="n"/>
      <c r="AE65" s="49" t="n"/>
      <c r="AF65" s="49" t="n"/>
      <c r="AG65" s="49" t="n"/>
      <c r="AH65" s="49" t="n"/>
      <c r="AI65" s="49" t="n"/>
      <c r="AJ65" s="49" t="n"/>
      <c r="AK65" s="49" t="n"/>
    </row>
    <row r="66">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c r="AA66" s="49" t="n"/>
      <c r="AB66" s="49" t="n"/>
      <c r="AC66" s="49" t="n"/>
      <c r="AD66" s="49" t="n"/>
      <c r="AE66" s="49" t="n"/>
      <c r="AF66" s="49" t="n"/>
      <c r="AG66" s="49" t="n"/>
      <c r="AH66" s="49" t="n"/>
      <c r="AI66" s="49" t="n"/>
      <c r="AJ66" s="49" t="n"/>
      <c r="AK66" s="49" t="n"/>
    </row>
    <row r="67">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c r="AA67" s="49" t="n"/>
      <c r="AB67" s="49" t="n"/>
      <c r="AC67" s="49" t="n"/>
      <c r="AD67" s="49" t="n"/>
      <c r="AE67" s="49" t="n"/>
      <c r="AF67" s="49" t="n"/>
      <c r="AG67" s="49" t="n"/>
      <c r="AH67" s="49" t="n"/>
      <c r="AI67" s="49" t="n"/>
      <c r="AJ67" s="49" t="n"/>
      <c r="AK67" s="49" t="n"/>
    </row>
    <row r="68">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c r="AA68" s="49" t="n"/>
      <c r="AB68" s="49" t="n"/>
      <c r="AC68" s="49" t="n"/>
      <c r="AD68" s="49" t="n"/>
      <c r="AE68" s="49" t="n"/>
      <c r="AF68" s="49" t="n"/>
      <c r="AG68" s="49" t="n"/>
      <c r="AH68" s="49" t="n"/>
      <c r="AI68" s="49" t="n"/>
      <c r="AJ68" s="49" t="n"/>
      <c r="AK68" s="49" t="n"/>
    </row>
    <row r="69">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c r="AA69" s="49" t="n"/>
      <c r="AB69" s="49" t="n"/>
      <c r="AC69" s="49" t="n"/>
      <c r="AD69" s="49" t="n"/>
      <c r="AE69" s="49" t="n"/>
      <c r="AF69" s="49" t="n"/>
      <c r="AG69" s="49" t="n"/>
      <c r="AH69" s="49" t="n"/>
      <c r="AI69" s="49" t="n"/>
      <c r="AJ69" s="49" t="n"/>
      <c r="AK69" s="49" t="n"/>
    </row>
    <row r="70">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c r="AA70" s="49" t="n"/>
      <c r="AB70" s="49" t="n"/>
      <c r="AC70" s="49" t="n"/>
      <c r="AD70" s="49" t="n"/>
      <c r="AE70" s="49" t="n"/>
      <c r="AF70" s="49" t="n"/>
      <c r="AG70" s="49" t="n"/>
      <c r="AH70" s="49" t="n"/>
      <c r="AI70" s="49" t="n"/>
      <c r="AJ70" s="49" t="n"/>
      <c r="AK70" s="49" t="n"/>
    </row>
    <row r="71">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c r="AA71" s="49" t="n"/>
      <c r="AB71" s="49" t="n"/>
      <c r="AC71" s="49" t="n"/>
      <c r="AD71" s="49" t="n"/>
      <c r="AE71" s="49" t="n"/>
      <c r="AF71" s="49" t="n"/>
      <c r="AG71" s="49" t="n"/>
      <c r="AH71" s="49" t="n"/>
      <c r="AI71" s="49" t="n"/>
      <c r="AJ71" s="49" t="n"/>
      <c r="AK71" s="49" t="n"/>
    </row>
    <row r="72">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c r="AA72" s="49" t="n"/>
      <c r="AB72" s="49" t="n"/>
      <c r="AC72" s="49" t="n"/>
      <c r="AD72" s="49" t="n"/>
      <c r="AE72" s="49" t="n"/>
      <c r="AF72" s="49" t="n"/>
      <c r="AG72" s="49" t="n"/>
      <c r="AH72" s="49" t="n"/>
      <c r="AI72" s="49" t="n"/>
      <c r="AJ72" s="49" t="n"/>
      <c r="AK72" s="49" t="n"/>
    </row>
    <row r="73">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c r="AA73" s="49" t="n"/>
      <c r="AB73" s="49" t="n"/>
      <c r="AC73" s="49" t="n"/>
      <c r="AD73" s="49" t="n"/>
      <c r="AE73" s="49" t="n"/>
      <c r="AF73" s="49" t="n"/>
      <c r="AG73" s="49" t="n"/>
      <c r="AH73" s="49" t="n"/>
      <c r="AI73" s="49" t="n"/>
      <c r="AJ73" s="49" t="n"/>
      <c r="AK73" s="49" t="n"/>
    </row>
    <row r="74">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c r="AA74" s="49" t="n"/>
      <c r="AB74" s="49" t="n"/>
      <c r="AC74" s="49" t="n"/>
      <c r="AD74" s="49" t="n"/>
      <c r="AE74" s="49" t="n"/>
      <c r="AF74" s="49" t="n"/>
      <c r="AG74" s="49" t="n"/>
      <c r="AH74" s="49" t="n"/>
      <c r="AI74" s="49" t="n"/>
      <c r="AJ74" s="49" t="n"/>
      <c r="AK74" s="49" t="n"/>
    </row>
    <row r="75">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c r="AA75" s="49" t="n"/>
      <c r="AB75" s="49" t="n"/>
      <c r="AC75" s="49" t="n"/>
      <c r="AD75" s="49" t="n"/>
      <c r="AE75" s="49" t="n"/>
      <c r="AF75" s="49" t="n"/>
      <c r="AG75" s="49" t="n"/>
      <c r="AH75" s="49" t="n"/>
      <c r="AI75" s="49" t="n"/>
      <c r="AJ75" s="49" t="n"/>
      <c r="AK75" s="49" t="n"/>
    </row>
    <row r="76">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c r="AA76" s="49" t="n"/>
      <c r="AB76" s="49" t="n"/>
      <c r="AC76" s="49" t="n"/>
      <c r="AD76" s="49" t="n"/>
      <c r="AE76" s="49" t="n"/>
      <c r="AF76" s="49" t="n"/>
      <c r="AG76" s="49" t="n"/>
      <c r="AH76" s="49" t="n"/>
      <c r="AI76" s="49" t="n"/>
      <c r="AJ76" s="49" t="n"/>
      <c r="AK76" s="49" t="n"/>
    </row>
    <row r="77">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c r="AA77" s="49" t="n"/>
      <c r="AB77" s="49" t="n"/>
      <c r="AC77" s="49" t="n"/>
      <c r="AD77" s="49" t="n"/>
      <c r="AE77" s="49" t="n"/>
      <c r="AF77" s="49" t="n"/>
      <c r="AG77" s="49" t="n"/>
      <c r="AH77" s="49" t="n"/>
      <c r="AI77" s="49" t="n"/>
      <c r="AJ77" s="49" t="n"/>
      <c r="AK77" s="49" t="n"/>
    </row>
    <row r="78">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c r="AA78" s="49" t="n"/>
      <c r="AB78" s="49" t="n"/>
      <c r="AC78" s="49" t="n"/>
      <c r="AD78" s="49" t="n"/>
      <c r="AE78" s="49" t="n"/>
      <c r="AF78" s="49" t="n"/>
      <c r="AG78" s="49" t="n"/>
      <c r="AH78" s="49" t="n"/>
      <c r="AI78" s="49" t="n"/>
      <c r="AJ78" s="49" t="n"/>
      <c r="AK78" s="49" t="n"/>
    </row>
    <row r="79">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c r="AA79" s="49" t="n"/>
      <c r="AB79" s="49" t="n"/>
      <c r="AC79" s="49" t="n"/>
      <c r="AD79" s="49" t="n"/>
      <c r="AE79" s="49" t="n"/>
      <c r="AF79" s="49" t="n"/>
      <c r="AG79" s="49" t="n"/>
      <c r="AH79" s="49" t="n"/>
      <c r="AI79" s="49" t="n"/>
      <c r="AJ79" s="49" t="n"/>
      <c r="AK79" s="49" t="n"/>
    </row>
    <row r="80">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c r="AA80" s="49" t="n"/>
      <c r="AB80" s="49" t="n"/>
      <c r="AC80" s="49" t="n"/>
      <c r="AD80" s="49" t="n"/>
      <c r="AE80" s="49" t="n"/>
      <c r="AF80" s="49" t="n"/>
      <c r="AG80" s="49" t="n"/>
      <c r="AH80" s="49" t="n"/>
      <c r="AI80" s="49" t="n"/>
      <c r="AJ80" s="49" t="n"/>
      <c r="AK80" s="49" t="n"/>
    </row>
    <row r="81">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c r="AA81" s="49" t="n"/>
      <c r="AB81" s="49" t="n"/>
      <c r="AC81" s="49" t="n"/>
      <c r="AD81" s="49" t="n"/>
      <c r="AE81" s="49" t="n"/>
      <c r="AF81" s="49" t="n"/>
      <c r="AG81" s="49" t="n"/>
      <c r="AH81" s="49" t="n"/>
      <c r="AI81" s="49" t="n"/>
      <c r="AJ81" s="49" t="n"/>
      <c r="AK81" s="49" t="n"/>
    </row>
    <row r="82">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c r="AA82" s="49" t="n"/>
      <c r="AB82" s="49" t="n"/>
      <c r="AC82" s="49" t="n"/>
      <c r="AD82" s="49" t="n"/>
      <c r="AE82" s="49" t="n"/>
      <c r="AF82" s="49" t="n"/>
      <c r="AG82" s="49" t="n"/>
      <c r="AH82" s="49" t="n"/>
      <c r="AI82" s="49" t="n"/>
      <c r="AJ82" s="49" t="n"/>
      <c r="AK82" s="49" t="n"/>
    </row>
    <row r="83">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c r="AA83" s="49" t="n"/>
      <c r="AB83" s="49" t="n"/>
      <c r="AC83" s="49" t="n"/>
      <c r="AD83" s="49" t="n"/>
      <c r="AE83" s="49" t="n"/>
      <c r="AF83" s="49" t="n"/>
      <c r="AG83" s="49" t="n"/>
      <c r="AH83" s="49" t="n"/>
      <c r="AI83" s="49" t="n"/>
      <c r="AJ83" s="49" t="n"/>
      <c r="AK83" s="49" t="n"/>
    </row>
    <row r="84">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c r="AA84" s="49" t="n"/>
      <c r="AB84" s="49" t="n"/>
      <c r="AC84" s="49" t="n"/>
      <c r="AD84" s="49" t="n"/>
      <c r="AE84" s="49" t="n"/>
      <c r="AF84" s="49" t="n"/>
      <c r="AG84" s="49" t="n"/>
      <c r="AH84" s="49" t="n"/>
      <c r="AI84" s="49" t="n"/>
      <c r="AJ84" s="49" t="n"/>
      <c r="AK84" s="49" t="n"/>
    </row>
    <row r="85">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c r="AA85" s="49" t="n"/>
      <c r="AB85" s="49" t="n"/>
      <c r="AC85" s="49" t="n"/>
      <c r="AD85" s="49" t="n"/>
      <c r="AE85" s="49" t="n"/>
      <c r="AF85" s="49" t="n"/>
      <c r="AG85" s="49" t="n"/>
      <c r="AH85" s="49" t="n"/>
      <c r="AI85" s="49" t="n"/>
      <c r="AJ85" s="49" t="n"/>
      <c r="AK85" s="49" t="n"/>
    </row>
    <row r="86">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c r="AA86" s="49" t="n"/>
      <c r="AB86" s="49" t="n"/>
      <c r="AC86" s="49" t="n"/>
      <c r="AD86" s="49" t="n"/>
      <c r="AE86" s="49" t="n"/>
      <c r="AF86" s="49" t="n"/>
      <c r="AG86" s="49" t="n"/>
      <c r="AH86" s="49" t="n"/>
      <c r="AI86" s="49" t="n"/>
      <c r="AJ86" s="49" t="n"/>
      <c r="AK86" s="49" t="n"/>
    </row>
    <row r="87">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c r="AA87" s="49" t="n"/>
      <c r="AB87" s="49" t="n"/>
      <c r="AC87" s="49" t="n"/>
      <c r="AD87" s="49" t="n"/>
      <c r="AE87" s="49" t="n"/>
      <c r="AF87" s="49" t="n"/>
      <c r="AG87" s="49" t="n"/>
      <c r="AH87" s="49" t="n"/>
      <c r="AI87" s="49" t="n"/>
      <c r="AJ87" s="49" t="n"/>
      <c r="AK87" s="49" t="n"/>
    </row>
    <row r="88">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c r="AA88" s="49" t="n"/>
      <c r="AB88" s="49" t="n"/>
      <c r="AC88" s="49" t="n"/>
      <c r="AD88" s="49" t="n"/>
      <c r="AE88" s="49" t="n"/>
      <c r="AF88" s="49" t="n"/>
      <c r="AG88" s="49" t="n"/>
      <c r="AH88" s="49" t="n"/>
      <c r="AI88" s="49" t="n"/>
      <c r="AJ88" s="49" t="n"/>
      <c r="AK88" s="49" t="n"/>
    </row>
    <row r="89">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c r="AA89" s="49" t="n"/>
      <c r="AB89" s="49" t="n"/>
      <c r="AC89" s="49" t="n"/>
      <c r="AD89" s="49" t="n"/>
      <c r="AE89" s="49" t="n"/>
      <c r="AF89" s="49" t="n"/>
      <c r="AG89" s="49" t="n"/>
      <c r="AH89" s="49" t="n"/>
      <c r="AI89" s="49" t="n"/>
      <c r="AJ89" s="49" t="n"/>
      <c r="AK89" s="49" t="n"/>
    </row>
    <row r="90">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c r="AA90" s="49" t="n"/>
      <c r="AB90" s="49" t="n"/>
      <c r="AC90" s="49" t="n"/>
      <c r="AD90" s="49" t="n"/>
      <c r="AE90" s="49" t="n"/>
      <c r="AF90" s="49" t="n"/>
      <c r="AG90" s="49" t="n"/>
      <c r="AH90" s="49" t="n"/>
      <c r="AI90" s="49" t="n"/>
      <c r="AJ90" s="49" t="n"/>
      <c r="AK90" s="49" t="n"/>
    </row>
    <row r="91">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c r="AA91" s="49" t="n"/>
      <c r="AB91" s="49" t="n"/>
      <c r="AC91" s="49" t="n"/>
      <c r="AD91" s="49" t="n"/>
      <c r="AE91" s="49" t="n"/>
      <c r="AF91" s="49" t="n"/>
      <c r="AG91" s="49" t="n"/>
      <c r="AH91" s="49" t="n"/>
      <c r="AI91" s="49" t="n"/>
      <c r="AJ91" s="49" t="n"/>
      <c r="AK91" s="49" t="n"/>
    </row>
    <row r="92">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c r="AA92" s="49" t="n"/>
      <c r="AB92" s="49" t="n"/>
      <c r="AC92" s="49" t="n"/>
      <c r="AD92" s="49" t="n"/>
      <c r="AE92" s="49" t="n"/>
      <c r="AF92" s="49" t="n"/>
      <c r="AG92" s="49" t="n"/>
      <c r="AH92" s="49" t="n"/>
      <c r="AI92" s="49" t="n"/>
      <c r="AJ92" s="49" t="n"/>
      <c r="AK92" s="49" t="n"/>
    </row>
    <row r="93">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c r="AA93" s="49" t="n"/>
      <c r="AB93" s="49" t="n"/>
      <c r="AC93" s="49" t="n"/>
      <c r="AD93" s="49" t="n"/>
      <c r="AE93" s="49" t="n"/>
      <c r="AF93" s="49" t="n"/>
      <c r="AG93" s="49" t="n"/>
      <c r="AH93" s="49" t="n"/>
      <c r="AI93" s="49" t="n"/>
      <c r="AJ93" s="49" t="n"/>
      <c r="AK93" s="49" t="n"/>
    </row>
    <row r="94">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c r="AA94" s="49" t="n"/>
      <c r="AB94" s="49" t="n"/>
      <c r="AC94" s="49" t="n"/>
      <c r="AD94" s="49" t="n"/>
      <c r="AE94" s="49" t="n"/>
      <c r="AF94" s="49" t="n"/>
      <c r="AG94" s="49" t="n"/>
      <c r="AH94" s="49" t="n"/>
      <c r="AI94" s="49" t="n"/>
      <c r="AJ94" s="49" t="n"/>
      <c r="AK94" s="49" t="n"/>
    </row>
    <row r="95">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c r="AA95" s="49" t="n"/>
      <c r="AB95" s="49" t="n"/>
      <c r="AC95" s="49" t="n"/>
      <c r="AD95" s="49" t="n"/>
      <c r="AE95" s="49" t="n"/>
      <c r="AF95" s="49" t="n"/>
      <c r="AG95" s="49" t="n"/>
      <c r="AH95" s="49" t="n"/>
      <c r="AI95" s="49" t="n"/>
      <c r="AJ95" s="49" t="n"/>
      <c r="AK95" s="49" t="n"/>
    </row>
    <row r="96">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c r="AA96" s="49" t="n"/>
      <c r="AB96" s="49" t="n"/>
      <c r="AC96" s="49" t="n"/>
      <c r="AD96" s="49" t="n"/>
      <c r="AE96" s="49" t="n"/>
      <c r="AF96" s="49" t="n"/>
      <c r="AG96" s="49" t="n"/>
      <c r="AH96" s="49" t="n"/>
      <c r="AI96" s="49" t="n"/>
      <c r="AJ96" s="49" t="n"/>
      <c r="AK96" s="49" t="n"/>
    </row>
    <row r="97">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c r="AA97" s="49" t="n"/>
      <c r="AB97" s="49" t="n"/>
      <c r="AC97" s="49" t="n"/>
      <c r="AD97" s="49" t="n"/>
      <c r="AE97" s="49" t="n"/>
      <c r="AF97" s="49" t="n"/>
      <c r="AG97" s="49" t="n"/>
      <c r="AH97" s="49" t="n"/>
      <c r="AI97" s="49" t="n"/>
      <c r="AJ97" s="49" t="n"/>
      <c r="AK97" s="49" t="n"/>
    </row>
    <row r="98">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c r="AA98" s="49" t="n"/>
      <c r="AB98" s="49" t="n"/>
      <c r="AC98" s="49" t="n"/>
      <c r="AD98" s="49" t="n"/>
      <c r="AE98" s="49" t="n"/>
      <c r="AF98" s="49" t="n"/>
      <c r="AG98" s="49" t="n"/>
      <c r="AH98" s="49" t="n"/>
      <c r="AI98" s="49" t="n"/>
      <c r="AJ98" s="49" t="n"/>
      <c r="AK98" s="49" t="n"/>
    </row>
    <row r="99">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c r="AA99" s="49" t="n"/>
      <c r="AB99" s="49" t="n"/>
      <c r="AC99" s="49" t="n"/>
      <c r="AD99" s="49" t="n"/>
      <c r="AE99" s="49" t="n"/>
      <c r="AF99" s="49" t="n"/>
      <c r="AG99" s="49" t="n"/>
      <c r="AH99" s="49" t="n"/>
      <c r="AI99" s="49" t="n"/>
      <c r="AJ99" s="49" t="n"/>
      <c r="AK99" s="49" t="n"/>
    </row>
    <row r="100">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c r="AA100" s="49" t="n"/>
      <c r="AB100" s="49" t="n"/>
      <c r="AC100" s="49" t="n"/>
      <c r="AD100" s="49" t="n"/>
      <c r="AE100" s="49" t="n"/>
      <c r="AF100" s="49" t="n"/>
      <c r="AG100" s="49" t="n"/>
      <c r="AH100" s="49" t="n"/>
      <c r="AI100" s="49" t="n"/>
      <c r="AJ100" s="49" t="n"/>
      <c r="AK100" s="49" t="n"/>
    </row>
    <row r="101">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c r="AA101" s="49" t="n"/>
      <c r="AB101" s="49" t="n"/>
      <c r="AC101" s="49" t="n"/>
      <c r="AD101" s="49" t="n"/>
      <c r="AE101" s="49" t="n"/>
      <c r="AF101" s="49" t="n"/>
      <c r="AG101" s="49" t="n"/>
      <c r="AH101" s="49" t="n"/>
      <c r="AI101" s="49" t="n"/>
      <c r="AJ101" s="49" t="n"/>
      <c r="AK101" s="49" t="n"/>
    </row>
    <row r="102">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c r="AA102" s="49" t="n"/>
      <c r="AB102" s="49" t="n"/>
      <c r="AC102" s="49" t="n"/>
      <c r="AD102" s="49" t="n"/>
      <c r="AE102" s="49" t="n"/>
      <c r="AF102" s="49" t="n"/>
      <c r="AG102" s="49" t="n"/>
      <c r="AH102" s="49" t="n"/>
      <c r="AI102" s="49" t="n"/>
      <c r="AJ102" s="49" t="n"/>
      <c r="AK102" s="49" t="n"/>
    </row>
    <row r="103">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c r="AA103" s="49" t="n"/>
      <c r="AB103" s="49" t="n"/>
      <c r="AC103" s="49" t="n"/>
      <c r="AD103" s="49" t="n"/>
      <c r="AE103" s="49" t="n"/>
      <c r="AF103" s="49" t="n"/>
      <c r="AG103" s="49" t="n"/>
      <c r="AH103" s="49" t="n"/>
      <c r="AI103" s="49" t="n"/>
      <c r="AJ103" s="49" t="n"/>
      <c r="AK103" s="49" t="n"/>
    </row>
    <row r="104">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c r="AA104" s="49" t="n"/>
      <c r="AB104" s="49" t="n"/>
      <c r="AC104" s="49" t="n"/>
      <c r="AD104" s="49" t="n"/>
      <c r="AE104" s="49" t="n"/>
      <c r="AF104" s="49" t="n"/>
      <c r="AG104" s="49" t="n"/>
      <c r="AH104" s="49" t="n"/>
      <c r="AI104" s="49" t="n"/>
      <c r="AJ104" s="49" t="n"/>
      <c r="AK104" s="49" t="n"/>
    </row>
    <row r="105">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c r="AA105" s="49" t="n"/>
      <c r="AB105" s="49" t="n"/>
      <c r="AC105" s="49" t="n"/>
      <c r="AD105" s="49" t="n"/>
      <c r="AE105" s="49" t="n"/>
      <c r="AF105" s="49" t="n"/>
      <c r="AG105" s="49" t="n"/>
      <c r="AH105" s="49" t="n"/>
      <c r="AI105" s="49" t="n"/>
      <c r="AJ105" s="49" t="n"/>
      <c r="AK105" s="49" t="n"/>
    </row>
    <row r="106">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c r="AA106" s="49" t="n"/>
      <c r="AB106" s="49" t="n"/>
      <c r="AC106" s="49" t="n"/>
      <c r="AD106" s="49" t="n"/>
      <c r="AE106" s="49" t="n"/>
      <c r="AF106" s="49" t="n"/>
      <c r="AG106" s="49" t="n"/>
      <c r="AH106" s="49" t="n"/>
      <c r="AI106" s="49" t="n"/>
      <c r="AJ106" s="49" t="n"/>
      <c r="AK106" s="49" t="n"/>
    </row>
    <row r="107">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c r="AA107" s="49" t="n"/>
      <c r="AB107" s="49" t="n"/>
      <c r="AC107" s="49" t="n"/>
      <c r="AD107" s="49" t="n"/>
      <c r="AE107" s="49" t="n"/>
      <c r="AF107" s="49" t="n"/>
      <c r="AG107" s="49" t="n"/>
      <c r="AH107" s="49" t="n"/>
      <c r="AI107" s="49" t="n"/>
      <c r="AJ107" s="49" t="n"/>
      <c r="AK107" s="49" t="n"/>
    </row>
    <row r="108">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c r="AA108" s="49" t="n"/>
      <c r="AB108" s="49" t="n"/>
      <c r="AC108" s="49" t="n"/>
      <c r="AD108" s="49" t="n"/>
      <c r="AE108" s="49" t="n"/>
      <c r="AF108" s="49" t="n"/>
      <c r="AG108" s="49" t="n"/>
      <c r="AH108" s="49" t="n"/>
      <c r="AI108" s="49" t="n"/>
      <c r="AJ108" s="49" t="n"/>
      <c r="AK108" s="49" t="n"/>
    </row>
    <row r="109">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c r="AA109" s="49" t="n"/>
      <c r="AB109" s="49" t="n"/>
      <c r="AC109" s="49" t="n"/>
      <c r="AD109" s="49" t="n"/>
      <c r="AE109" s="49" t="n"/>
      <c r="AF109" s="49" t="n"/>
      <c r="AG109" s="49" t="n"/>
      <c r="AH109" s="49" t="n"/>
      <c r="AI109" s="49" t="n"/>
      <c r="AJ109" s="49" t="n"/>
      <c r="AK109" s="49" t="n"/>
    </row>
    <row r="110">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c r="AA110" s="49" t="n"/>
      <c r="AB110" s="49" t="n"/>
      <c r="AC110" s="49" t="n"/>
      <c r="AD110" s="49" t="n"/>
      <c r="AE110" s="49" t="n"/>
      <c r="AF110" s="49" t="n"/>
      <c r="AG110" s="49" t="n"/>
      <c r="AH110" s="49" t="n"/>
      <c r="AI110" s="49" t="n"/>
      <c r="AJ110" s="49" t="n"/>
      <c r="AK110" s="49" t="n"/>
    </row>
    <row r="111">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c r="AA111" s="49" t="n"/>
      <c r="AB111" s="49" t="n"/>
      <c r="AC111" s="49" t="n"/>
      <c r="AD111" s="49" t="n"/>
      <c r="AE111" s="49" t="n"/>
      <c r="AF111" s="49" t="n"/>
      <c r="AG111" s="49" t="n"/>
      <c r="AH111" s="49" t="n"/>
      <c r="AI111" s="49" t="n"/>
      <c r="AJ111" s="49" t="n"/>
      <c r="AK111" s="49" t="n"/>
    </row>
    <row r="112">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c r="AA112" s="49" t="n"/>
      <c r="AB112" s="49" t="n"/>
      <c r="AC112" s="49" t="n"/>
      <c r="AD112" s="49" t="n"/>
      <c r="AE112" s="49" t="n"/>
      <c r="AF112" s="49" t="n"/>
      <c r="AG112" s="49" t="n"/>
      <c r="AH112" s="49" t="n"/>
      <c r="AI112" s="49" t="n"/>
      <c r="AJ112" s="49" t="n"/>
      <c r="AK112" s="49" t="n"/>
    </row>
    <row r="113">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c r="AA113" s="49" t="n"/>
      <c r="AB113" s="49" t="n"/>
      <c r="AC113" s="49" t="n"/>
      <c r="AD113" s="49" t="n"/>
      <c r="AE113" s="49" t="n"/>
      <c r="AF113" s="49" t="n"/>
      <c r="AG113" s="49" t="n"/>
      <c r="AH113" s="49" t="n"/>
      <c r="AI113" s="49" t="n"/>
      <c r="AJ113" s="49" t="n"/>
      <c r="AK113" s="49" t="n"/>
    </row>
    <row r="114">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c r="AA114" s="49" t="n"/>
      <c r="AB114" s="49" t="n"/>
      <c r="AC114" s="49" t="n"/>
      <c r="AD114" s="49" t="n"/>
      <c r="AE114" s="49" t="n"/>
      <c r="AF114" s="49" t="n"/>
      <c r="AG114" s="49" t="n"/>
      <c r="AH114" s="49" t="n"/>
      <c r="AI114" s="49" t="n"/>
      <c r="AJ114" s="49" t="n"/>
      <c r="AK114" s="49" t="n"/>
    </row>
    <row r="115">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c r="AA115" s="49" t="n"/>
      <c r="AB115" s="49" t="n"/>
      <c r="AC115" s="49" t="n"/>
      <c r="AD115" s="49" t="n"/>
      <c r="AE115" s="49" t="n"/>
      <c r="AF115" s="49" t="n"/>
      <c r="AG115" s="49" t="n"/>
      <c r="AH115" s="49" t="n"/>
      <c r="AI115" s="49" t="n"/>
      <c r="AJ115" s="49" t="n"/>
      <c r="AK115" s="49" t="n"/>
    </row>
    <row r="116">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c r="AA116" s="49" t="n"/>
      <c r="AB116" s="49" t="n"/>
      <c r="AC116" s="49" t="n"/>
      <c r="AD116" s="49" t="n"/>
      <c r="AE116" s="49" t="n"/>
      <c r="AF116" s="49" t="n"/>
      <c r="AG116" s="49" t="n"/>
      <c r="AH116" s="49" t="n"/>
      <c r="AI116" s="49" t="n"/>
      <c r="AJ116" s="49" t="n"/>
      <c r="AK116" s="49" t="n"/>
    </row>
    <row r="117">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c r="AA117" s="49" t="n"/>
      <c r="AB117" s="49" t="n"/>
      <c r="AC117" s="49" t="n"/>
      <c r="AD117" s="49" t="n"/>
      <c r="AE117" s="49" t="n"/>
      <c r="AF117" s="49" t="n"/>
      <c r="AG117" s="49" t="n"/>
      <c r="AH117" s="49" t="n"/>
      <c r="AI117" s="49" t="n"/>
      <c r="AJ117" s="49" t="n"/>
      <c r="AK117" s="49" t="n"/>
    </row>
    <row r="118">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c r="AA118" s="49" t="n"/>
      <c r="AB118" s="49" t="n"/>
      <c r="AC118" s="49" t="n"/>
      <c r="AD118" s="49" t="n"/>
      <c r="AE118" s="49" t="n"/>
      <c r="AF118" s="49" t="n"/>
      <c r="AG118" s="49" t="n"/>
      <c r="AH118" s="49" t="n"/>
      <c r="AI118" s="49" t="n"/>
      <c r="AJ118" s="49" t="n"/>
      <c r="AK118" s="49" t="n"/>
    </row>
    <row r="119">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c r="AA119" s="49" t="n"/>
      <c r="AB119" s="49" t="n"/>
      <c r="AC119" s="49" t="n"/>
      <c r="AD119" s="49" t="n"/>
      <c r="AE119" s="49" t="n"/>
      <c r="AF119" s="49" t="n"/>
      <c r="AG119" s="49" t="n"/>
      <c r="AH119" s="49" t="n"/>
      <c r="AI119" s="49" t="n"/>
      <c r="AJ119" s="49" t="n"/>
      <c r="AK119" s="49" t="n"/>
    </row>
    <row r="120">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c r="AA120" s="49" t="n"/>
      <c r="AB120" s="49" t="n"/>
      <c r="AC120" s="49" t="n"/>
      <c r="AD120" s="49" t="n"/>
      <c r="AE120" s="49" t="n"/>
      <c r="AF120" s="49" t="n"/>
      <c r="AG120" s="49" t="n"/>
      <c r="AH120" s="49" t="n"/>
      <c r="AI120" s="49" t="n"/>
      <c r="AJ120" s="49" t="n"/>
      <c r="AK120" s="49" t="n"/>
    </row>
    <row r="121">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c r="AA121" s="49" t="n"/>
      <c r="AB121" s="49" t="n"/>
      <c r="AC121" s="49" t="n"/>
      <c r="AD121" s="49" t="n"/>
      <c r="AE121" s="49" t="n"/>
      <c r="AF121" s="49" t="n"/>
      <c r="AG121" s="49" t="n"/>
      <c r="AH121" s="49" t="n"/>
      <c r="AI121" s="49" t="n"/>
      <c r="AJ121" s="49" t="n"/>
      <c r="AK121" s="49" t="n"/>
    </row>
    <row r="122">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c r="AA122" s="49" t="n"/>
      <c r="AB122" s="49" t="n"/>
      <c r="AC122" s="49" t="n"/>
      <c r="AD122" s="49" t="n"/>
      <c r="AE122" s="49" t="n"/>
      <c r="AF122" s="49" t="n"/>
      <c r="AG122" s="49" t="n"/>
      <c r="AH122" s="49" t="n"/>
      <c r="AI122" s="49" t="n"/>
      <c r="AJ122" s="49" t="n"/>
      <c r="AK122" s="49" t="n"/>
    </row>
    <row r="123">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c r="AA123" s="49" t="n"/>
      <c r="AB123" s="49" t="n"/>
      <c r="AC123" s="49" t="n"/>
      <c r="AD123" s="49" t="n"/>
      <c r="AE123" s="49" t="n"/>
      <c r="AF123" s="49" t="n"/>
      <c r="AG123" s="49" t="n"/>
      <c r="AH123" s="49" t="n"/>
      <c r="AI123" s="49" t="n"/>
      <c r="AJ123" s="49" t="n"/>
      <c r="AK123" s="49" t="n"/>
    </row>
    <row r="124">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c r="AA124" s="49" t="n"/>
      <c r="AB124" s="49" t="n"/>
      <c r="AC124" s="49" t="n"/>
      <c r="AD124" s="49" t="n"/>
      <c r="AE124" s="49" t="n"/>
      <c r="AF124" s="49" t="n"/>
      <c r="AG124" s="49" t="n"/>
      <c r="AH124" s="49" t="n"/>
      <c r="AI124" s="49" t="n"/>
      <c r="AJ124" s="49" t="n"/>
      <c r="AK124" s="49" t="n"/>
    </row>
    <row r="125">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c r="AA125" s="49" t="n"/>
      <c r="AB125" s="49" t="n"/>
      <c r="AC125" s="49" t="n"/>
      <c r="AD125" s="49" t="n"/>
      <c r="AE125" s="49" t="n"/>
      <c r="AF125" s="49" t="n"/>
      <c r="AG125" s="49" t="n"/>
      <c r="AH125" s="49" t="n"/>
      <c r="AI125" s="49" t="n"/>
      <c r="AJ125" s="49" t="n"/>
      <c r="AK125" s="49" t="n"/>
    </row>
    <row r="126">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c r="AA126" s="49" t="n"/>
      <c r="AB126" s="49" t="n"/>
      <c r="AC126" s="49" t="n"/>
      <c r="AD126" s="49" t="n"/>
      <c r="AE126" s="49" t="n"/>
      <c r="AF126" s="49" t="n"/>
      <c r="AG126" s="49" t="n"/>
      <c r="AH126" s="49" t="n"/>
      <c r="AI126" s="49" t="n"/>
      <c r="AJ126" s="49" t="n"/>
      <c r="AK126" s="49" t="n"/>
    </row>
    <row r="127">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c r="AA127" s="49" t="n"/>
      <c r="AB127" s="49" t="n"/>
      <c r="AC127" s="49" t="n"/>
      <c r="AD127" s="49" t="n"/>
      <c r="AE127" s="49" t="n"/>
      <c r="AF127" s="49" t="n"/>
      <c r="AG127" s="49" t="n"/>
      <c r="AH127" s="49" t="n"/>
      <c r="AI127" s="49" t="n"/>
      <c r="AJ127" s="49" t="n"/>
      <c r="AK127" s="49" t="n"/>
    </row>
    <row r="128">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c r="AA128" s="49" t="n"/>
      <c r="AB128" s="49" t="n"/>
      <c r="AC128" s="49" t="n"/>
      <c r="AD128" s="49" t="n"/>
      <c r="AE128" s="49" t="n"/>
      <c r="AF128" s="49" t="n"/>
      <c r="AG128" s="49" t="n"/>
      <c r="AH128" s="49" t="n"/>
      <c r="AI128" s="49" t="n"/>
      <c r="AJ128" s="49" t="n"/>
      <c r="AK128" s="49" t="n"/>
    </row>
    <row r="129">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c r="AA129" s="49" t="n"/>
      <c r="AB129" s="49" t="n"/>
      <c r="AC129" s="49" t="n"/>
      <c r="AD129" s="49" t="n"/>
      <c r="AE129" s="49" t="n"/>
      <c r="AF129" s="49" t="n"/>
      <c r="AG129" s="49" t="n"/>
      <c r="AH129" s="49" t="n"/>
      <c r="AI129" s="49" t="n"/>
      <c r="AJ129" s="49" t="n"/>
      <c r="AK129" s="49" t="n"/>
    </row>
    <row r="130">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c r="AA130" s="49" t="n"/>
      <c r="AB130" s="49" t="n"/>
      <c r="AC130" s="49" t="n"/>
      <c r="AD130" s="49" t="n"/>
      <c r="AE130" s="49" t="n"/>
      <c r="AF130" s="49" t="n"/>
      <c r="AG130" s="49" t="n"/>
      <c r="AH130" s="49" t="n"/>
      <c r="AI130" s="49" t="n"/>
      <c r="AJ130" s="49" t="n"/>
      <c r="AK130" s="49" t="n"/>
    </row>
    <row r="131">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c r="AA131" s="49" t="n"/>
      <c r="AB131" s="49" t="n"/>
      <c r="AC131" s="49" t="n"/>
      <c r="AD131" s="49" t="n"/>
      <c r="AE131" s="49" t="n"/>
      <c r="AF131" s="49" t="n"/>
      <c r="AG131" s="49" t="n"/>
      <c r="AH131" s="49" t="n"/>
      <c r="AI131" s="49" t="n"/>
      <c r="AJ131" s="49" t="n"/>
      <c r="AK131" s="49" t="n"/>
    </row>
    <row r="132">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c r="AA132" s="49" t="n"/>
      <c r="AB132" s="49" t="n"/>
      <c r="AC132" s="49" t="n"/>
      <c r="AD132" s="49" t="n"/>
      <c r="AE132" s="49" t="n"/>
      <c r="AF132" s="49" t="n"/>
      <c r="AG132" s="49" t="n"/>
      <c r="AH132" s="49" t="n"/>
      <c r="AI132" s="49" t="n"/>
      <c r="AJ132" s="49" t="n"/>
      <c r="AK132" s="49" t="n"/>
    </row>
    <row r="133">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c r="AA133" s="49" t="n"/>
      <c r="AB133" s="49" t="n"/>
      <c r="AC133" s="49" t="n"/>
      <c r="AD133" s="49" t="n"/>
      <c r="AE133" s="49" t="n"/>
      <c r="AF133" s="49" t="n"/>
      <c r="AG133" s="49" t="n"/>
      <c r="AH133" s="49" t="n"/>
      <c r="AI133" s="49" t="n"/>
      <c r="AJ133" s="49" t="n"/>
      <c r="AK133" s="49" t="n"/>
    </row>
    <row r="134">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c r="AA134" s="49" t="n"/>
      <c r="AB134" s="49" t="n"/>
      <c r="AC134" s="49" t="n"/>
      <c r="AD134" s="49" t="n"/>
      <c r="AE134" s="49" t="n"/>
      <c r="AF134" s="49" t="n"/>
      <c r="AG134" s="49" t="n"/>
      <c r="AH134" s="49" t="n"/>
      <c r="AI134" s="49" t="n"/>
      <c r="AJ134" s="49" t="n"/>
      <c r="AK134" s="49" t="n"/>
    </row>
    <row r="135">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c r="AA135" s="49" t="n"/>
      <c r="AB135" s="49" t="n"/>
      <c r="AC135" s="49" t="n"/>
      <c r="AD135" s="49" t="n"/>
      <c r="AE135" s="49" t="n"/>
      <c r="AF135" s="49" t="n"/>
      <c r="AG135" s="49" t="n"/>
      <c r="AH135" s="49" t="n"/>
      <c r="AI135" s="49" t="n"/>
      <c r="AJ135" s="49" t="n"/>
      <c r="AK135" s="49" t="n"/>
    </row>
    <row r="136">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c r="AA136" s="49" t="n"/>
      <c r="AB136" s="49" t="n"/>
      <c r="AC136" s="49" t="n"/>
      <c r="AD136" s="49" t="n"/>
      <c r="AE136" s="49" t="n"/>
      <c r="AF136" s="49" t="n"/>
      <c r="AG136" s="49" t="n"/>
      <c r="AH136" s="49" t="n"/>
      <c r="AI136" s="49" t="n"/>
      <c r="AJ136" s="49" t="n"/>
      <c r="AK136" s="49" t="n"/>
    </row>
    <row r="137">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c r="AA137" s="49" t="n"/>
      <c r="AB137" s="49" t="n"/>
      <c r="AC137" s="49" t="n"/>
      <c r="AD137" s="49" t="n"/>
      <c r="AE137" s="49" t="n"/>
      <c r="AF137" s="49" t="n"/>
      <c r="AG137" s="49" t="n"/>
      <c r="AH137" s="49" t="n"/>
      <c r="AI137" s="49" t="n"/>
      <c r="AJ137" s="49" t="n"/>
      <c r="AK137" s="49" t="n"/>
    </row>
    <row r="138">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c r="AA138" s="49" t="n"/>
      <c r="AB138" s="49" t="n"/>
      <c r="AC138" s="49" t="n"/>
      <c r="AD138" s="49" t="n"/>
      <c r="AE138" s="49" t="n"/>
      <c r="AF138" s="49" t="n"/>
      <c r="AG138" s="49" t="n"/>
      <c r="AH138" s="49" t="n"/>
      <c r="AI138" s="49" t="n"/>
      <c r="AJ138" s="49" t="n"/>
      <c r="AK138" s="49" t="n"/>
    </row>
    <row r="139">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c r="AA139" s="49" t="n"/>
      <c r="AB139" s="49" t="n"/>
      <c r="AC139" s="49" t="n"/>
      <c r="AD139" s="49" t="n"/>
      <c r="AE139" s="49" t="n"/>
      <c r="AF139" s="49" t="n"/>
      <c r="AG139" s="49" t="n"/>
      <c r="AH139" s="49" t="n"/>
      <c r="AI139" s="49" t="n"/>
      <c r="AJ139" s="49" t="n"/>
      <c r="AK139" s="49" t="n"/>
    </row>
    <row r="140">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c r="AA140" s="49" t="n"/>
      <c r="AB140" s="49" t="n"/>
      <c r="AC140" s="49" t="n"/>
      <c r="AD140" s="49" t="n"/>
      <c r="AE140" s="49" t="n"/>
      <c r="AF140" s="49" t="n"/>
      <c r="AG140" s="49" t="n"/>
      <c r="AH140" s="49" t="n"/>
      <c r="AI140" s="49" t="n"/>
      <c r="AJ140" s="49" t="n"/>
      <c r="AK140" s="49" t="n"/>
    </row>
    <row r="141">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c r="AA141" s="49" t="n"/>
      <c r="AB141" s="49" t="n"/>
      <c r="AC141" s="49" t="n"/>
      <c r="AD141" s="49" t="n"/>
      <c r="AE141" s="49" t="n"/>
      <c r="AF141" s="49" t="n"/>
      <c r="AG141" s="49" t="n"/>
      <c r="AH141" s="49" t="n"/>
      <c r="AI141" s="49" t="n"/>
      <c r="AJ141" s="49" t="n"/>
      <c r="AK141" s="49" t="n"/>
    </row>
    <row r="142">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c r="AA142" s="49" t="n"/>
      <c r="AB142" s="49" t="n"/>
      <c r="AC142" s="49" t="n"/>
      <c r="AD142" s="49" t="n"/>
      <c r="AE142" s="49" t="n"/>
      <c r="AF142" s="49" t="n"/>
      <c r="AG142" s="49" t="n"/>
      <c r="AH142" s="49" t="n"/>
      <c r="AI142" s="49" t="n"/>
      <c r="AJ142" s="49" t="n"/>
      <c r="AK142" s="49" t="n"/>
    </row>
    <row r="143">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c r="AA143" s="49" t="n"/>
      <c r="AB143" s="49" t="n"/>
      <c r="AC143" s="49" t="n"/>
      <c r="AD143" s="49" t="n"/>
      <c r="AE143" s="49" t="n"/>
      <c r="AF143" s="49" t="n"/>
      <c r="AG143" s="49" t="n"/>
      <c r="AH143" s="49" t="n"/>
      <c r="AI143" s="49" t="n"/>
      <c r="AJ143" s="49" t="n"/>
      <c r="AK143" s="49" t="n"/>
    </row>
    <row r="144">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c r="AA144" s="49" t="n"/>
      <c r="AB144" s="49" t="n"/>
      <c r="AC144" s="49" t="n"/>
      <c r="AD144" s="49" t="n"/>
      <c r="AE144" s="49" t="n"/>
      <c r="AF144" s="49" t="n"/>
      <c r="AG144" s="49" t="n"/>
      <c r="AH144" s="49" t="n"/>
      <c r="AI144" s="49" t="n"/>
      <c r="AJ144" s="49" t="n"/>
      <c r="AK144" s="49" t="n"/>
    </row>
    <row r="145">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c r="AA145" s="49" t="n"/>
      <c r="AB145" s="49" t="n"/>
      <c r="AC145" s="49" t="n"/>
      <c r="AD145" s="49" t="n"/>
      <c r="AE145" s="49" t="n"/>
      <c r="AF145" s="49" t="n"/>
      <c r="AG145" s="49" t="n"/>
      <c r="AH145" s="49" t="n"/>
      <c r="AI145" s="49" t="n"/>
      <c r="AJ145" s="49" t="n"/>
      <c r="AK145" s="49" t="n"/>
    </row>
    <row r="146">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c r="AA146" s="49" t="n"/>
      <c r="AB146" s="49" t="n"/>
      <c r="AC146" s="49" t="n"/>
      <c r="AD146" s="49" t="n"/>
      <c r="AE146" s="49" t="n"/>
      <c r="AF146" s="49" t="n"/>
      <c r="AG146" s="49" t="n"/>
      <c r="AH146" s="49" t="n"/>
      <c r="AI146" s="49" t="n"/>
      <c r="AJ146" s="49" t="n"/>
      <c r="AK146" s="49" t="n"/>
    </row>
    <row r="147">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c r="AA147" s="49" t="n"/>
      <c r="AB147" s="49" t="n"/>
      <c r="AC147" s="49" t="n"/>
      <c r="AD147" s="49" t="n"/>
      <c r="AE147" s="49" t="n"/>
      <c r="AF147" s="49" t="n"/>
      <c r="AG147" s="49" t="n"/>
      <c r="AH147" s="49" t="n"/>
      <c r="AI147" s="49" t="n"/>
      <c r="AJ147" s="49" t="n"/>
      <c r="AK147" s="49" t="n"/>
    </row>
    <row r="148">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c r="AA148" s="49" t="n"/>
      <c r="AB148" s="49" t="n"/>
      <c r="AC148" s="49" t="n"/>
      <c r="AD148" s="49" t="n"/>
      <c r="AE148" s="49" t="n"/>
      <c r="AF148" s="49" t="n"/>
      <c r="AG148" s="49" t="n"/>
      <c r="AH148" s="49" t="n"/>
      <c r="AI148" s="49" t="n"/>
      <c r="AJ148" s="49" t="n"/>
      <c r="AK148" s="49" t="n"/>
    </row>
    <row r="149">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c r="AA149" s="49" t="n"/>
      <c r="AB149" s="49" t="n"/>
      <c r="AC149" s="49" t="n"/>
      <c r="AD149" s="49" t="n"/>
      <c r="AE149" s="49" t="n"/>
      <c r="AF149" s="49" t="n"/>
      <c r="AG149" s="49" t="n"/>
      <c r="AH149" s="49" t="n"/>
      <c r="AI149" s="49" t="n"/>
      <c r="AJ149" s="49" t="n"/>
      <c r="AK149" s="49" t="n"/>
    </row>
    <row r="150">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c r="AA150" s="49" t="n"/>
      <c r="AB150" s="49" t="n"/>
      <c r="AC150" s="49" t="n"/>
      <c r="AD150" s="49" t="n"/>
      <c r="AE150" s="49" t="n"/>
      <c r="AF150" s="49" t="n"/>
      <c r="AG150" s="49" t="n"/>
      <c r="AH150" s="49" t="n"/>
      <c r="AI150" s="49" t="n"/>
      <c r="AJ150" s="49" t="n"/>
      <c r="AK150" s="49" t="n"/>
    </row>
    <row r="151">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c r="AA151" s="49" t="n"/>
      <c r="AB151" s="49" t="n"/>
      <c r="AC151" s="49" t="n"/>
      <c r="AD151" s="49" t="n"/>
      <c r="AE151" s="49" t="n"/>
      <c r="AF151" s="49" t="n"/>
      <c r="AG151" s="49" t="n"/>
      <c r="AH151" s="49" t="n"/>
      <c r="AI151" s="49" t="n"/>
      <c r="AJ151" s="49" t="n"/>
      <c r="AK151" s="49" t="n"/>
    </row>
    <row r="152">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c r="AA152" s="49" t="n"/>
      <c r="AB152" s="49" t="n"/>
      <c r="AC152" s="49" t="n"/>
      <c r="AD152" s="49" t="n"/>
      <c r="AE152" s="49" t="n"/>
      <c r="AF152" s="49" t="n"/>
      <c r="AG152" s="49" t="n"/>
      <c r="AH152" s="49" t="n"/>
      <c r="AI152" s="49" t="n"/>
      <c r="AJ152" s="49" t="n"/>
      <c r="AK152" s="49" t="n"/>
    </row>
    <row r="153">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c r="AA153" s="49" t="n"/>
      <c r="AB153" s="49" t="n"/>
      <c r="AC153" s="49" t="n"/>
      <c r="AD153" s="49" t="n"/>
      <c r="AE153" s="49" t="n"/>
      <c r="AF153" s="49" t="n"/>
      <c r="AG153" s="49" t="n"/>
      <c r="AH153" s="49" t="n"/>
      <c r="AI153" s="49" t="n"/>
      <c r="AJ153" s="49" t="n"/>
      <c r="AK153" s="49" t="n"/>
    </row>
    <row r="154">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c r="AA154" s="49" t="n"/>
      <c r="AB154" s="49" t="n"/>
      <c r="AC154" s="49" t="n"/>
      <c r="AD154" s="49" t="n"/>
      <c r="AE154" s="49" t="n"/>
      <c r="AF154" s="49" t="n"/>
      <c r="AG154" s="49" t="n"/>
      <c r="AH154" s="49" t="n"/>
      <c r="AI154" s="49" t="n"/>
      <c r="AJ154" s="49" t="n"/>
      <c r="AK154" s="49" t="n"/>
    </row>
    <row r="155">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c r="AA155" s="49" t="n"/>
      <c r="AB155" s="49" t="n"/>
      <c r="AC155" s="49" t="n"/>
      <c r="AD155" s="49" t="n"/>
      <c r="AE155" s="49" t="n"/>
      <c r="AF155" s="49" t="n"/>
      <c r="AG155" s="49" t="n"/>
      <c r="AH155" s="49" t="n"/>
      <c r="AI155" s="49" t="n"/>
      <c r="AJ155" s="49" t="n"/>
      <c r="AK155" s="49" t="n"/>
    </row>
    <row r="156">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c r="AA156" s="49" t="n"/>
      <c r="AB156" s="49" t="n"/>
      <c r="AC156" s="49" t="n"/>
      <c r="AD156" s="49" t="n"/>
      <c r="AE156" s="49" t="n"/>
      <c r="AF156" s="49" t="n"/>
      <c r="AG156" s="49" t="n"/>
      <c r="AH156" s="49" t="n"/>
      <c r="AI156" s="49" t="n"/>
      <c r="AJ156" s="49" t="n"/>
      <c r="AK156" s="49" t="n"/>
    </row>
    <row r="157">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c r="AA157" s="49" t="n"/>
      <c r="AB157" s="49" t="n"/>
      <c r="AC157" s="49" t="n"/>
      <c r="AD157" s="49" t="n"/>
      <c r="AE157" s="49" t="n"/>
      <c r="AF157" s="49" t="n"/>
      <c r="AG157" s="49" t="n"/>
      <c r="AH157" s="49" t="n"/>
      <c r="AI157" s="49" t="n"/>
      <c r="AJ157" s="49" t="n"/>
      <c r="AK157" s="49" t="n"/>
    </row>
    <row r="158">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c r="AA158" s="49" t="n"/>
      <c r="AB158" s="49" t="n"/>
      <c r="AC158" s="49" t="n"/>
      <c r="AD158" s="49" t="n"/>
      <c r="AE158" s="49" t="n"/>
      <c r="AF158" s="49" t="n"/>
      <c r="AG158" s="49" t="n"/>
      <c r="AH158" s="49" t="n"/>
      <c r="AI158" s="49" t="n"/>
      <c r="AJ158" s="49" t="n"/>
      <c r="AK158" s="49" t="n"/>
    </row>
    <row r="159">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c r="AA159" s="49" t="n"/>
      <c r="AB159" s="49" t="n"/>
      <c r="AC159" s="49" t="n"/>
      <c r="AD159" s="49" t="n"/>
      <c r="AE159" s="49" t="n"/>
      <c r="AF159" s="49" t="n"/>
      <c r="AG159" s="49" t="n"/>
      <c r="AH159" s="49" t="n"/>
      <c r="AI159" s="49" t="n"/>
      <c r="AJ159" s="49" t="n"/>
      <c r="AK159" s="49" t="n"/>
    </row>
    <row r="160">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c r="AA160" s="49" t="n"/>
      <c r="AB160" s="49" t="n"/>
      <c r="AC160" s="49" t="n"/>
      <c r="AD160" s="49" t="n"/>
      <c r="AE160" s="49" t="n"/>
      <c r="AF160" s="49" t="n"/>
      <c r="AG160" s="49" t="n"/>
      <c r="AH160" s="49" t="n"/>
      <c r="AI160" s="49" t="n"/>
      <c r="AJ160" s="49" t="n"/>
      <c r="AK160" s="49" t="n"/>
    </row>
    <row r="161">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c r="AA161" s="49" t="n"/>
      <c r="AB161" s="49" t="n"/>
      <c r="AC161" s="49" t="n"/>
      <c r="AD161" s="49" t="n"/>
      <c r="AE161" s="49" t="n"/>
      <c r="AF161" s="49" t="n"/>
      <c r="AG161" s="49" t="n"/>
      <c r="AH161" s="49" t="n"/>
      <c r="AI161" s="49" t="n"/>
      <c r="AJ161" s="49" t="n"/>
      <c r="AK161" s="49" t="n"/>
    </row>
    <row r="162">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c r="AA162" s="49" t="n"/>
      <c r="AB162" s="49" t="n"/>
      <c r="AC162" s="49" t="n"/>
      <c r="AD162" s="49" t="n"/>
      <c r="AE162" s="49" t="n"/>
      <c r="AF162" s="49" t="n"/>
      <c r="AG162" s="49" t="n"/>
      <c r="AH162" s="49" t="n"/>
      <c r="AI162" s="49" t="n"/>
      <c r="AJ162" s="49" t="n"/>
      <c r="AK162" s="49" t="n"/>
    </row>
    <row r="163">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c r="AA163" s="49" t="n"/>
      <c r="AB163" s="49" t="n"/>
      <c r="AC163" s="49" t="n"/>
      <c r="AD163" s="49" t="n"/>
      <c r="AE163" s="49" t="n"/>
      <c r="AF163" s="49" t="n"/>
      <c r="AG163" s="49" t="n"/>
      <c r="AH163" s="49" t="n"/>
      <c r="AI163" s="49" t="n"/>
      <c r="AJ163" s="49" t="n"/>
      <c r="AK163" s="49" t="n"/>
    </row>
    <row r="164">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c r="AA164" s="49" t="n"/>
      <c r="AB164" s="49" t="n"/>
      <c r="AC164" s="49" t="n"/>
      <c r="AD164" s="49" t="n"/>
      <c r="AE164" s="49" t="n"/>
      <c r="AF164" s="49" t="n"/>
      <c r="AG164" s="49" t="n"/>
      <c r="AH164" s="49" t="n"/>
      <c r="AI164" s="49" t="n"/>
      <c r="AJ164" s="49" t="n"/>
      <c r="AK164" s="49" t="n"/>
    </row>
    <row r="165">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c r="AA165" s="49" t="n"/>
      <c r="AB165" s="49" t="n"/>
      <c r="AC165" s="49" t="n"/>
      <c r="AD165" s="49" t="n"/>
      <c r="AE165" s="49" t="n"/>
      <c r="AF165" s="49" t="n"/>
      <c r="AG165" s="49" t="n"/>
      <c r="AH165" s="49" t="n"/>
      <c r="AI165" s="49" t="n"/>
      <c r="AJ165" s="49" t="n"/>
      <c r="AK165" s="49" t="n"/>
    </row>
    <row r="166">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c r="AA166" s="49" t="n"/>
      <c r="AB166" s="49" t="n"/>
      <c r="AC166" s="49" t="n"/>
      <c r="AD166" s="49" t="n"/>
      <c r="AE166" s="49" t="n"/>
      <c r="AF166" s="49" t="n"/>
      <c r="AG166" s="49" t="n"/>
      <c r="AH166" s="49" t="n"/>
      <c r="AI166" s="49" t="n"/>
      <c r="AJ166" s="49" t="n"/>
      <c r="AK166" s="49" t="n"/>
    </row>
    <row r="167">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c r="AA167" s="49" t="n"/>
      <c r="AB167" s="49" t="n"/>
      <c r="AC167" s="49" t="n"/>
      <c r="AD167" s="49" t="n"/>
      <c r="AE167" s="49" t="n"/>
      <c r="AF167" s="49" t="n"/>
      <c r="AG167" s="49" t="n"/>
      <c r="AH167" s="49" t="n"/>
      <c r="AI167" s="49" t="n"/>
      <c r="AJ167" s="49" t="n"/>
      <c r="AK167" s="49" t="n"/>
    </row>
    <row r="168">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c r="AA168" s="49" t="n"/>
      <c r="AB168" s="49" t="n"/>
      <c r="AC168" s="49" t="n"/>
      <c r="AD168" s="49" t="n"/>
      <c r="AE168" s="49" t="n"/>
      <c r="AF168" s="49" t="n"/>
      <c r="AG168" s="49" t="n"/>
      <c r="AH168" s="49" t="n"/>
      <c r="AI168" s="49" t="n"/>
      <c r="AJ168" s="49" t="n"/>
      <c r="AK168" s="49" t="n"/>
    </row>
    <row r="169">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c r="AA169" s="49" t="n"/>
      <c r="AB169" s="49" t="n"/>
      <c r="AC169" s="49" t="n"/>
      <c r="AD169" s="49" t="n"/>
      <c r="AE169" s="49" t="n"/>
      <c r="AF169" s="49" t="n"/>
      <c r="AG169" s="49" t="n"/>
      <c r="AH169" s="49" t="n"/>
      <c r="AI169" s="49" t="n"/>
      <c r="AJ169" s="49" t="n"/>
      <c r="AK169" s="49" t="n"/>
    </row>
    <row r="170">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c r="AA170" s="49" t="n"/>
      <c r="AB170" s="49" t="n"/>
      <c r="AC170" s="49" t="n"/>
      <c r="AD170" s="49" t="n"/>
      <c r="AE170" s="49" t="n"/>
      <c r="AF170" s="49" t="n"/>
      <c r="AG170" s="49" t="n"/>
      <c r="AH170" s="49" t="n"/>
      <c r="AI170" s="49" t="n"/>
      <c r="AJ170" s="49" t="n"/>
      <c r="AK170" s="49" t="n"/>
    </row>
    <row r="171">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c r="AA171" s="49" t="n"/>
      <c r="AB171" s="49" t="n"/>
      <c r="AC171" s="49" t="n"/>
      <c r="AD171" s="49" t="n"/>
      <c r="AE171" s="49" t="n"/>
      <c r="AF171" s="49" t="n"/>
      <c r="AG171" s="49" t="n"/>
      <c r="AH171" s="49" t="n"/>
      <c r="AI171" s="49" t="n"/>
      <c r="AJ171" s="49" t="n"/>
      <c r="AK171" s="49" t="n"/>
    </row>
    <row r="172">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c r="AA172" s="49" t="n"/>
      <c r="AB172" s="49" t="n"/>
      <c r="AC172" s="49" t="n"/>
      <c r="AD172" s="49" t="n"/>
      <c r="AE172" s="49" t="n"/>
      <c r="AF172" s="49" t="n"/>
      <c r="AG172" s="49" t="n"/>
      <c r="AH172" s="49" t="n"/>
      <c r="AI172" s="49" t="n"/>
      <c r="AJ172" s="49" t="n"/>
      <c r="AK172" s="49" t="n"/>
    </row>
    <row r="173">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c r="AA173" s="49" t="n"/>
      <c r="AB173" s="49" t="n"/>
      <c r="AC173" s="49" t="n"/>
      <c r="AD173" s="49" t="n"/>
      <c r="AE173" s="49" t="n"/>
      <c r="AF173" s="49" t="n"/>
      <c r="AG173" s="49" t="n"/>
      <c r="AH173" s="49" t="n"/>
      <c r="AI173" s="49" t="n"/>
      <c r="AJ173" s="49" t="n"/>
      <c r="AK173" s="49" t="n"/>
    </row>
    <row r="174">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c r="AA174" s="49" t="n"/>
      <c r="AB174" s="49" t="n"/>
      <c r="AC174" s="49" t="n"/>
      <c r="AD174" s="49" t="n"/>
      <c r="AE174" s="49" t="n"/>
      <c r="AF174" s="49" t="n"/>
      <c r="AG174" s="49" t="n"/>
      <c r="AH174" s="49" t="n"/>
      <c r="AI174" s="49" t="n"/>
      <c r="AJ174" s="49" t="n"/>
      <c r="AK174" s="49" t="n"/>
    </row>
    <row r="175">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c r="AA175" s="49" t="n"/>
      <c r="AB175" s="49" t="n"/>
      <c r="AC175" s="49" t="n"/>
      <c r="AD175" s="49" t="n"/>
      <c r="AE175" s="49" t="n"/>
      <c r="AF175" s="49" t="n"/>
      <c r="AG175" s="49" t="n"/>
      <c r="AH175" s="49" t="n"/>
      <c r="AI175" s="49" t="n"/>
      <c r="AJ175" s="49" t="n"/>
      <c r="AK175" s="49" t="n"/>
    </row>
    <row r="176">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c r="AA176" s="49" t="n"/>
      <c r="AB176" s="49" t="n"/>
      <c r="AC176" s="49" t="n"/>
      <c r="AD176" s="49" t="n"/>
      <c r="AE176" s="49" t="n"/>
      <c r="AF176" s="49" t="n"/>
      <c r="AG176" s="49" t="n"/>
      <c r="AH176" s="49" t="n"/>
      <c r="AI176" s="49" t="n"/>
      <c r="AJ176" s="49" t="n"/>
      <c r="AK176" s="49" t="n"/>
    </row>
    <row r="177">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c r="AA177" s="49" t="n"/>
      <c r="AB177" s="49" t="n"/>
      <c r="AC177" s="49" t="n"/>
      <c r="AD177" s="49" t="n"/>
      <c r="AE177" s="49" t="n"/>
      <c r="AF177" s="49" t="n"/>
      <c r="AG177" s="49" t="n"/>
      <c r="AH177" s="49" t="n"/>
      <c r="AI177" s="49" t="n"/>
      <c r="AJ177" s="49" t="n"/>
      <c r="AK177" s="49" t="n"/>
    </row>
    <row r="178">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c r="AA178" s="49" t="n"/>
      <c r="AB178" s="49" t="n"/>
      <c r="AC178" s="49" t="n"/>
      <c r="AD178" s="49" t="n"/>
      <c r="AE178" s="49" t="n"/>
      <c r="AF178" s="49" t="n"/>
      <c r="AG178" s="49" t="n"/>
      <c r="AH178" s="49" t="n"/>
      <c r="AI178" s="49" t="n"/>
      <c r="AJ178" s="49" t="n"/>
      <c r="AK178" s="49" t="n"/>
    </row>
    <row r="179">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c r="AA179" s="49" t="n"/>
      <c r="AB179" s="49" t="n"/>
      <c r="AC179" s="49" t="n"/>
      <c r="AD179" s="49" t="n"/>
      <c r="AE179" s="49" t="n"/>
      <c r="AF179" s="49" t="n"/>
      <c r="AG179" s="49" t="n"/>
      <c r="AH179" s="49" t="n"/>
      <c r="AI179" s="49" t="n"/>
      <c r="AJ179" s="49" t="n"/>
      <c r="AK179" s="49" t="n"/>
    </row>
    <row r="180">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c r="AA180" s="49" t="n"/>
      <c r="AB180" s="49" t="n"/>
      <c r="AC180" s="49" t="n"/>
      <c r="AD180" s="49" t="n"/>
      <c r="AE180" s="49" t="n"/>
      <c r="AF180" s="49" t="n"/>
      <c r="AG180" s="49" t="n"/>
      <c r="AH180" s="49" t="n"/>
      <c r="AI180" s="49" t="n"/>
      <c r="AJ180" s="49" t="n"/>
      <c r="AK180" s="49" t="n"/>
    </row>
    <row r="181">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c r="AA181" s="49" t="n"/>
      <c r="AB181" s="49" t="n"/>
      <c r="AC181" s="49" t="n"/>
      <c r="AD181" s="49" t="n"/>
      <c r="AE181" s="49" t="n"/>
      <c r="AF181" s="49" t="n"/>
      <c r="AG181" s="49" t="n"/>
      <c r="AH181" s="49" t="n"/>
      <c r="AI181" s="49" t="n"/>
      <c r="AJ181" s="49" t="n"/>
      <c r="AK181" s="49" t="n"/>
    </row>
    <row r="182">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c r="AA182" s="49" t="n"/>
      <c r="AB182" s="49" t="n"/>
      <c r="AC182" s="49" t="n"/>
      <c r="AD182" s="49" t="n"/>
      <c r="AE182" s="49" t="n"/>
      <c r="AF182" s="49" t="n"/>
      <c r="AG182" s="49" t="n"/>
      <c r="AH182" s="49" t="n"/>
      <c r="AI182" s="49" t="n"/>
      <c r="AJ182" s="49" t="n"/>
      <c r="AK182" s="49" t="n"/>
    </row>
    <row r="183">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c r="AA183" s="49" t="n"/>
      <c r="AB183" s="49" t="n"/>
      <c r="AC183" s="49" t="n"/>
      <c r="AD183" s="49" t="n"/>
      <c r="AE183" s="49" t="n"/>
      <c r="AF183" s="49" t="n"/>
      <c r="AG183" s="49" t="n"/>
      <c r="AH183" s="49" t="n"/>
      <c r="AI183" s="49" t="n"/>
      <c r="AJ183" s="49" t="n"/>
      <c r="AK183" s="49" t="n"/>
    </row>
    <row r="184">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c r="AA184" s="49" t="n"/>
      <c r="AB184" s="49" t="n"/>
      <c r="AC184" s="49" t="n"/>
      <c r="AD184" s="49" t="n"/>
      <c r="AE184" s="49" t="n"/>
      <c r="AF184" s="49" t="n"/>
      <c r="AG184" s="49" t="n"/>
      <c r="AH184" s="49" t="n"/>
      <c r="AI184" s="49" t="n"/>
      <c r="AJ184" s="49" t="n"/>
      <c r="AK184" s="49" t="n"/>
    </row>
    <row r="185">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c r="AA185" s="49" t="n"/>
      <c r="AB185" s="49" t="n"/>
      <c r="AC185" s="49" t="n"/>
      <c r="AD185" s="49" t="n"/>
      <c r="AE185" s="49" t="n"/>
      <c r="AF185" s="49" t="n"/>
      <c r="AG185" s="49" t="n"/>
      <c r="AH185" s="49" t="n"/>
      <c r="AI185" s="49" t="n"/>
      <c r="AJ185" s="49" t="n"/>
      <c r="AK185" s="49" t="n"/>
    </row>
    <row r="186">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c r="AA186" s="49" t="n"/>
      <c r="AB186" s="49" t="n"/>
      <c r="AC186" s="49" t="n"/>
      <c r="AD186" s="49" t="n"/>
      <c r="AE186" s="49" t="n"/>
      <c r="AF186" s="49" t="n"/>
      <c r="AG186" s="49" t="n"/>
      <c r="AH186" s="49" t="n"/>
      <c r="AI186" s="49" t="n"/>
      <c r="AJ186" s="49" t="n"/>
      <c r="AK186" s="49" t="n"/>
    </row>
    <row r="187">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c r="AA187" s="49" t="n"/>
      <c r="AB187" s="49" t="n"/>
      <c r="AC187" s="49" t="n"/>
      <c r="AD187" s="49" t="n"/>
      <c r="AE187" s="49" t="n"/>
      <c r="AF187" s="49" t="n"/>
      <c r="AG187" s="49" t="n"/>
      <c r="AH187" s="49" t="n"/>
      <c r="AI187" s="49" t="n"/>
      <c r="AJ187" s="49" t="n"/>
      <c r="AK187" s="49" t="n"/>
    </row>
    <row r="188">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c r="AA188" s="49" t="n"/>
      <c r="AB188" s="49" t="n"/>
      <c r="AC188" s="49" t="n"/>
      <c r="AD188" s="49" t="n"/>
      <c r="AE188" s="49" t="n"/>
      <c r="AF188" s="49" t="n"/>
      <c r="AG188" s="49" t="n"/>
      <c r="AH188" s="49" t="n"/>
      <c r="AI188" s="49" t="n"/>
      <c r="AJ188" s="49" t="n"/>
      <c r="AK188" s="49" t="n"/>
    </row>
    <row r="189">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c r="AA189" s="49" t="n"/>
      <c r="AB189" s="49" t="n"/>
      <c r="AC189" s="49" t="n"/>
      <c r="AD189" s="49" t="n"/>
      <c r="AE189" s="49" t="n"/>
      <c r="AF189" s="49" t="n"/>
      <c r="AG189" s="49" t="n"/>
      <c r="AH189" s="49" t="n"/>
      <c r="AI189" s="49" t="n"/>
      <c r="AJ189" s="49" t="n"/>
      <c r="AK189" s="49" t="n"/>
    </row>
    <row r="190">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c r="AA190" s="49" t="n"/>
      <c r="AB190" s="49" t="n"/>
      <c r="AC190" s="49" t="n"/>
      <c r="AD190" s="49" t="n"/>
      <c r="AE190" s="49" t="n"/>
      <c r="AF190" s="49" t="n"/>
      <c r="AG190" s="49" t="n"/>
      <c r="AH190" s="49" t="n"/>
      <c r="AI190" s="49" t="n"/>
      <c r="AJ190" s="49" t="n"/>
      <c r="AK190" s="49" t="n"/>
    </row>
    <row r="191">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c r="AA191" s="49" t="n"/>
      <c r="AB191" s="49" t="n"/>
      <c r="AC191" s="49" t="n"/>
      <c r="AD191" s="49" t="n"/>
      <c r="AE191" s="49" t="n"/>
      <c r="AF191" s="49" t="n"/>
      <c r="AG191" s="49" t="n"/>
      <c r="AH191" s="49" t="n"/>
      <c r="AI191" s="49" t="n"/>
      <c r="AJ191" s="49" t="n"/>
      <c r="AK191" s="49" t="n"/>
    </row>
    <row r="192">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c r="AA192" s="49" t="n"/>
      <c r="AB192" s="49" t="n"/>
      <c r="AC192" s="49" t="n"/>
      <c r="AD192" s="49" t="n"/>
      <c r="AE192" s="49" t="n"/>
      <c r="AF192" s="49" t="n"/>
      <c r="AG192" s="49" t="n"/>
      <c r="AH192" s="49" t="n"/>
      <c r="AI192" s="49" t="n"/>
      <c r="AJ192" s="49" t="n"/>
      <c r="AK192" s="49" t="n"/>
    </row>
    <row r="193">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c r="AA193" s="49" t="n"/>
      <c r="AB193" s="49" t="n"/>
      <c r="AC193" s="49" t="n"/>
      <c r="AD193" s="49" t="n"/>
      <c r="AE193" s="49" t="n"/>
      <c r="AF193" s="49" t="n"/>
      <c r="AG193" s="49" t="n"/>
      <c r="AH193" s="49" t="n"/>
      <c r="AI193" s="49" t="n"/>
      <c r="AJ193" s="49" t="n"/>
      <c r="AK193" s="49" t="n"/>
    </row>
    <row r="194">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c r="AA194" s="49" t="n"/>
      <c r="AB194" s="49" t="n"/>
      <c r="AC194" s="49" t="n"/>
      <c r="AD194" s="49" t="n"/>
      <c r="AE194" s="49" t="n"/>
      <c r="AF194" s="49" t="n"/>
      <c r="AG194" s="49" t="n"/>
      <c r="AH194" s="49" t="n"/>
      <c r="AI194" s="49" t="n"/>
      <c r="AJ194" s="49" t="n"/>
      <c r="AK194" s="49" t="n"/>
    </row>
    <row r="195">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c r="AA195" s="49" t="n"/>
      <c r="AB195" s="49" t="n"/>
      <c r="AC195" s="49" t="n"/>
      <c r="AD195" s="49" t="n"/>
      <c r="AE195" s="49" t="n"/>
      <c r="AF195" s="49" t="n"/>
      <c r="AG195" s="49" t="n"/>
      <c r="AH195" s="49" t="n"/>
      <c r="AI195" s="49" t="n"/>
      <c r="AJ195" s="49" t="n"/>
      <c r="AK195" s="49" t="n"/>
    </row>
    <row r="196">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c r="AA196" s="49" t="n"/>
      <c r="AB196" s="49" t="n"/>
      <c r="AC196" s="49" t="n"/>
      <c r="AD196" s="49" t="n"/>
      <c r="AE196" s="49" t="n"/>
      <c r="AF196" s="49" t="n"/>
      <c r="AG196" s="49" t="n"/>
      <c r="AH196" s="49" t="n"/>
      <c r="AI196" s="49" t="n"/>
      <c r="AJ196" s="49" t="n"/>
      <c r="AK196" s="49" t="n"/>
    </row>
    <row r="197">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c r="AA197" s="49" t="n"/>
      <c r="AB197" s="49" t="n"/>
      <c r="AC197" s="49" t="n"/>
      <c r="AD197" s="49" t="n"/>
      <c r="AE197" s="49" t="n"/>
      <c r="AF197" s="49" t="n"/>
      <c r="AG197" s="49" t="n"/>
      <c r="AH197" s="49" t="n"/>
      <c r="AI197" s="49" t="n"/>
      <c r="AJ197" s="49" t="n"/>
      <c r="AK197" s="49" t="n"/>
    </row>
    <row r="198">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c r="AA198" s="49" t="n"/>
      <c r="AB198" s="49" t="n"/>
      <c r="AC198" s="49" t="n"/>
      <c r="AD198" s="49" t="n"/>
      <c r="AE198" s="49" t="n"/>
      <c r="AF198" s="49" t="n"/>
      <c r="AG198" s="49" t="n"/>
      <c r="AH198" s="49" t="n"/>
      <c r="AI198" s="49" t="n"/>
      <c r="AJ198" s="49" t="n"/>
      <c r="AK198" s="49" t="n"/>
    </row>
    <row r="199">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c r="AA199" s="49" t="n"/>
      <c r="AB199" s="49" t="n"/>
      <c r="AC199" s="49" t="n"/>
      <c r="AD199" s="49" t="n"/>
      <c r="AE199" s="49" t="n"/>
      <c r="AF199" s="49" t="n"/>
      <c r="AG199" s="49" t="n"/>
      <c r="AH199" s="49" t="n"/>
      <c r="AI199" s="49" t="n"/>
      <c r="AJ199" s="49" t="n"/>
      <c r="AK199" s="49" t="n"/>
    </row>
    <row r="200">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c r="AA200" s="49" t="n"/>
      <c r="AB200" s="49" t="n"/>
      <c r="AC200" s="49" t="n"/>
      <c r="AD200" s="49" t="n"/>
      <c r="AE200" s="49" t="n"/>
      <c r="AF200" s="49" t="n"/>
      <c r="AG200" s="49" t="n"/>
      <c r="AH200" s="49" t="n"/>
      <c r="AI200" s="49" t="n"/>
      <c r="AJ200" s="49" t="n"/>
      <c r="AK200" s="49" t="n"/>
    </row>
    <row r="201">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c r="AA201" s="49" t="n"/>
      <c r="AB201" s="49" t="n"/>
      <c r="AC201" s="49" t="n"/>
      <c r="AD201" s="49" t="n"/>
      <c r="AE201" s="49" t="n"/>
      <c r="AF201" s="49" t="n"/>
      <c r="AG201" s="49" t="n"/>
      <c r="AH201" s="49" t="n"/>
      <c r="AI201" s="49" t="n"/>
      <c r="AJ201" s="49" t="n"/>
      <c r="AK201" s="49" t="n"/>
    </row>
    <row r="202">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c r="AA202" s="49" t="n"/>
      <c r="AB202" s="49" t="n"/>
      <c r="AC202" s="49" t="n"/>
      <c r="AD202" s="49" t="n"/>
      <c r="AE202" s="49" t="n"/>
      <c r="AF202" s="49" t="n"/>
      <c r="AG202" s="49" t="n"/>
      <c r="AH202" s="49" t="n"/>
      <c r="AI202" s="49" t="n"/>
      <c r="AJ202" s="49" t="n"/>
      <c r="AK202" s="49" t="n"/>
    </row>
    <row r="203">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c r="AA203" s="49" t="n"/>
      <c r="AB203" s="49" t="n"/>
      <c r="AC203" s="49" t="n"/>
      <c r="AD203" s="49" t="n"/>
      <c r="AE203" s="49" t="n"/>
      <c r="AF203" s="49" t="n"/>
      <c r="AG203" s="49" t="n"/>
      <c r="AH203" s="49" t="n"/>
      <c r="AI203" s="49" t="n"/>
      <c r="AJ203" s="49" t="n"/>
      <c r="AK203" s="49" t="n"/>
    </row>
    <row r="204">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c r="AA204" s="49" t="n"/>
      <c r="AB204" s="49" t="n"/>
      <c r="AC204" s="49" t="n"/>
      <c r="AD204" s="49" t="n"/>
      <c r="AE204" s="49" t="n"/>
      <c r="AF204" s="49" t="n"/>
      <c r="AG204" s="49" t="n"/>
      <c r="AH204" s="49" t="n"/>
      <c r="AI204" s="49" t="n"/>
      <c r="AJ204" s="49" t="n"/>
      <c r="AK204" s="49" t="n"/>
    </row>
    <row r="205">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c r="AA205" s="49" t="n"/>
      <c r="AB205" s="49" t="n"/>
      <c r="AC205" s="49" t="n"/>
      <c r="AD205" s="49" t="n"/>
      <c r="AE205" s="49" t="n"/>
      <c r="AF205" s="49" t="n"/>
      <c r="AG205" s="49" t="n"/>
      <c r="AH205" s="49" t="n"/>
      <c r="AI205" s="49" t="n"/>
      <c r="AJ205" s="49" t="n"/>
      <c r="AK205" s="49" t="n"/>
    </row>
    <row r="206">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c r="AA206" s="49" t="n"/>
      <c r="AB206" s="49" t="n"/>
      <c r="AC206" s="49" t="n"/>
      <c r="AD206" s="49" t="n"/>
      <c r="AE206" s="49" t="n"/>
      <c r="AF206" s="49" t="n"/>
      <c r="AG206" s="49" t="n"/>
      <c r="AH206" s="49" t="n"/>
      <c r="AI206" s="49" t="n"/>
      <c r="AJ206" s="49" t="n"/>
      <c r="AK206" s="49" t="n"/>
    </row>
    <row r="207">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c r="AA207" s="49" t="n"/>
      <c r="AB207" s="49" t="n"/>
      <c r="AC207" s="49" t="n"/>
      <c r="AD207" s="49" t="n"/>
      <c r="AE207" s="49" t="n"/>
      <c r="AF207" s="49" t="n"/>
      <c r="AG207" s="49" t="n"/>
      <c r="AH207" s="49" t="n"/>
      <c r="AI207" s="49" t="n"/>
      <c r="AJ207" s="49" t="n"/>
      <c r="AK207" s="49" t="n"/>
    </row>
    <row r="208">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c r="AA208" s="49" t="n"/>
      <c r="AB208" s="49" t="n"/>
      <c r="AC208" s="49" t="n"/>
      <c r="AD208" s="49" t="n"/>
      <c r="AE208" s="49" t="n"/>
      <c r="AF208" s="49" t="n"/>
      <c r="AG208" s="49" t="n"/>
      <c r="AH208" s="49" t="n"/>
      <c r="AI208" s="49" t="n"/>
      <c r="AJ208" s="49" t="n"/>
      <c r="AK208" s="49" t="n"/>
    </row>
    <row r="209">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c r="AA209" s="49" t="n"/>
      <c r="AB209" s="49" t="n"/>
      <c r="AC209" s="49" t="n"/>
      <c r="AD209" s="49" t="n"/>
      <c r="AE209" s="49" t="n"/>
      <c r="AF209" s="49" t="n"/>
      <c r="AG209" s="49" t="n"/>
      <c r="AH209" s="49" t="n"/>
      <c r="AI209" s="49" t="n"/>
      <c r="AJ209" s="49" t="n"/>
      <c r="AK209" s="49" t="n"/>
    </row>
    <row r="210">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c r="AA210" s="49" t="n"/>
      <c r="AB210" s="49" t="n"/>
      <c r="AC210" s="49" t="n"/>
      <c r="AD210" s="49" t="n"/>
      <c r="AE210" s="49" t="n"/>
      <c r="AF210" s="49" t="n"/>
      <c r="AG210" s="49" t="n"/>
      <c r="AH210" s="49" t="n"/>
      <c r="AI210" s="49" t="n"/>
      <c r="AJ210" s="49" t="n"/>
      <c r="AK210" s="49" t="n"/>
    </row>
    <row r="211">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c r="AA211" s="49" t="n"/>
      <c r="AB211" s="49" t="n"/>
      <c r="AC211" s="49" t="n"/>
      <c r="AD211" s="49" t="n"/>
      <c r="AE211" s="49" t="n"/>
      <c r="AF211" s="49" t="n"/>
      <c r="AG211" s="49" t="n"/>
      <c r="AH211" s="49" t="n"/>
      <c r="AI211" s="49" t="n"/>
      <c r="AJ211" s="49" t="n"/>
      <c r="AK211" s="49" t="n"/>
    </row>
    <row r="212">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c r="AA212" s="49" t="n"/>
      <c r="AB212" s="49" t="n"/>
      <c r="AC212" s="49" t="n"/>
      <c r="AD212" s="49" t="n"/>
      <c r="AE212" s="49" t="n"/>
      <c r="AF212" s="49" t="n"/>
      <c r="AG212" s="49" t="n"/>
      <c r="AH212" s="49" t="n"/>
      <c r="AI212" s="49" t="n"/>
      <c r="AJ212" s="49" t="n"/>
      <c r="AK212" s="49" t="n"/>
    </row>
    <row r="213">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c r="AA213" s="49" t="n"/>
      <c r="AB213" s="49" t="n"/>
      <c r="AC213" s="49" t="n"/>
      <c r="AD213" s="49" t="n"/>
      <c r="AE213" s="49" t="n"/>
      <c r="AF213" s="49" t="n"/>
      <c r="AG213" s="49" t="n"/>
      <c r="AH213" s="49" t="n"/>
      <c r="AI213" s="49" t="n"/>
      <c r="AJ213" s="49" t="n"/>
      <c r="AK213" s="49" t="n"/>
    </row>
    <row r="214">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c r="AA214" s="49" t="n"/>
      <c r="AB214" s="49" t="n"/>
      <c r="AC214" s="49" t="n"/>
      <c r="AD214" s="49" t="n"/>
      <c r="AE214" s="49" t="n"/>
      <c r="AF214" s="49" t="n"/>
      <c r="AG214" s="49" t="n"/>
      <c r="AH214" s="49" t="n"/>
      <c r="AI214" s="49" t="n"/>
      <c r="AJ214" s="49" t="n"/>
      <c r="AK214" s="49" t="n"/>
    </row>
    <row r="215">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c r="AA215" s="49" t="n"/>
      <c r="AB215" s="49" t="n"/>
      <c r="AC215" s="49" t="n"/>
      <c r="AD215" s="49" t="n"/>
      <c r="AE215" s="49" t="n"/>
      <c r="AF215" s="49" t="n"/>
      <c r="AG215" s="49" t="n"/>
      <c r="AH215" s="49" t="n"/>
      <c r="AI215" s="49" t="n"/>
      <c r="AJ215" s="49" t="n"/>
      <c r="AK215" s="49" t="n"/>
    </row>
    <row r="216">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c r="AA216" s="49" t="n"/>
      <c r="AB216" s="49" t="n"/>
      <c r="AC216" s="49" t="n"/>
      <c r="AD216" s="49" t="n"/>
      <c r="AE216" s="49" t="n"/>
      <c r="AF216" s="49" t="n"/>
      <c r="AG216" s="49" t="n"/>
      <c r="AH216" s="49" t="n"/>
      <c r="AI216" s="49" t="n"/>
      <c r="AJ216" s="49" t="n"/>
      <c r="AK216" s="49" t="n"/>
    </row>
    <row r="217">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c r="AA217" s="49" t="n"/>
      <c r="AB217" s="49" t="n"/>
      <c r="AC217" s="49" t="n"/>
      <c r="AD217" s="49" t="n"/>
      <c r="AE217" s="49" t="n"/>
      <c r="AF217" s="49" t="n"/>
      <c r="AG217" s="49" t="n"/>
      <c r="AH217" s="49" t="n"/>
      <c r="AI217" s="49" t="n"/>
      <c r="AJ217" s="49" t="n"/>
      <c r="AK217" s="49" t="n"/>
    </row>
    <row r="218">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c r="AA218" s="49" t="n"/>
      <c r="AB218" s="49" t="n"/>
      <c r="AC218" s="49" t="n"/>
      <c r="AD218" s="49" t="n"/>
      <c r="AE218" s="49" t="n"/>
      <c r="AF218" s="49" t="n"/>
      <c r="AG218" s="49" t="n"/>
      <c r="AH218" s="49" t="n"/>
      <c r="AI218" s="49" t="n"/>
      <c r="AJ218" s="49" t="n"/>
      <c r="AK218" s="49" t="n"/>
    </row>
    <row r="219">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c r="AA219" s="49" t="n"/>
      <c r="AB219" s="49" t="n"/>
      <c r="AC219" s="49" t="n"/>
      <c r="AD219" s="49" t="n"/>
      <c r="AE219" s="49" t="n"/>
      <c r="AF219" s="49" t="n"/>
      <c r="AG219" s="49" t="n"/>
      <c r="AH219" s="49" t="n"/>
      <c r="AI219" s="49" t="n"/>
      <c r="AJ219" s="49" t="n"/>
      <c r="AK219" s="49" t="n"/>
    </row>
  </sheetData>
  <mergeCells count="10">
    <mergeCell ref="B8:C8"/>
    <mergeCell ref="D8:E8"/>
    <mergeCell ref="B4:AK4"/>
    <mergeCell ref="B9:AK9"/>
    <mergeCell ref="B11:C11"/>
    <mergeCell ref="B7:AK7"/>
    <mergeCell ref="B6:AK6"/>
    <mergeCell ref="F8:AK8"/>
    <mergeCell ref="B3:AK3"/>
    <mergeCell ref="B5:AK5"/>
  </mergeCells>
  <conditionalFormatting sqref="E10">
    <cfRule type="cellIs" priority="1" operator="greaterThan" dxfId="5">
      <formula>0</formula>
    </cfRule>
  </conditionalFormatting>
  <conditionalFormatting sqref="B19:B219">
    <cfRule type="expression" priority="2" dxfId="6">
      <formula>AND(LEN($B19&amp;$C19&amp;$D19&amp;$E19&amp;$F19&amp;$G19&amp;$H19&amp;$I19&amp;$J19&amp;$K19&amp;$L19&amp;$M19&amp;$N19&amp;$O19&amp;$P19&amp;$Q19&amp;$R19&amp;$S19&amp;$T19&amp;$U19&amp;$V19&amp;$W19&amp;$X19&amp;$Y19&amp;$Z19&amp;$AA19&amp;$AB19&amp;$AC19&amp;$AD19&amp;$AE19&amp;$AF19&amp;$AG19&amp;$AH19&amp;$AI19&amp;$AJ19&amp;$AK19)&gt;0,B19="")</formula>
    </cfRule>
  </conditionalFormatting>
  <conditionalFormatting sqref="C19:C219">
    <cfRule type="expression" priority="3" dxfId="6">
      <formula>AND(LEN($B19&amp;$C19&amp;$D19&amp;$E19&amp;$F19&amp;$G19&amp;$H19&amp;$I19&amp;$J19&amp;$K19&amp;$L19&amp;$M19&amp;$N19&amp;$O19&amp;$P19&amp;$Q19&amp;$R19&amp;$S19&amp;$T19&amp;$U19&amp;$V19&amp;$W19&amp;$X19&amp;$Y19&amp;$Z19&amp;$AA19&amp;$AB19&amp;$AC19&amp;$AD19&amp;$AE19&amp;$AF19&amp;$AG19&amp;$AH19&amp;$AI19&amp;$AJ19&amp;$AK19)&gt;0,C19="")</formula>
    </cfRule>
  </conditionalFormatting>
  <conditionalFormatting sqref="R19:R219">
    <cfRule type="expression" priority="4" dxfId="6">
      <formula>AND(LEN($B19&amp;$C19&amp;$D19&amp;$E19&amp;$F19&amp;$G19&amp;$H19&amp;$I19&amp;$J19&amp;$K19&amp;$L19&amp;$M19&amp;$N19&amp;$O19&amp;$P19&amp;$Q19&amp;$R19&amp;$S19&amp;$T19&amp;$U19&amp;$V19&amp;$W19&amp;$X19&amp;$Y19&amp;$Z19&amp;$AA19&amp;$AB19&amp;$AC19&amp;$AD19&amp;$AE19&amp;$AF19&amp;$AG19&amp;$AH19&amp;$AI19&amp;$AJ19&amp;$AK19)&gt;0,R19="")</formula>
    </cfRule>
  </conditionalFormatting>
  <conditionalFormatting sqref="AI19:AI219">
    <cfRule type="expression" priority="5" dxfId="6">
      <formula>AND(LEN($B19&amp;$C19&amp;$D19&amp;$E19&amp;$F19&amp;$G19&amp;$H19&amp;$I19&amp;$J19&amp;$K19&amp;$L19&amp;$M19&amp;$N19&amp;$O19&amp;$P19&amp;$Q19&amp;$R19&amp;$S19&amp;$T19&amp;$U19&amp;$V19&amp;$W19&amp;$X19&amp;$Y19&amp;$Z19&amp;$AA19&amp;$AB19&amp;$AC19&amp;$AD19&amp;$AE19&amp;$AF19&amp;$AG19&amp;$AH19&amp;$AI19&amp;$AJ19&amp;$AK19)&gt;0,AI19="")</formula>
    </cfRule>
  </conditionalFormatting>
  <conditionalFormatting sqref="AJ19:AJ219">
    <cfRule type="expression" priority="6" dxfId="6">
      <formula>AND(LEN($B19&amp;$C19&amp;$D19&amp;$E19&amp;$F19&amp;$G19&amp;$H19&amp;$I19&amp;$J19&amp;$K19&amp;$L19&amp;$M19&amp;$N19&amp;$O19&amp;$P19&amp;$Q19&amp;$R19&amp;$S19&amp;$T19&amp;$U19&amp;$V19&amp;$W19&amp;$X19&amp;$Y19&amp;$Z19&amp;$AA19&amp;$AB19&amp;$AC19&amp;$AD19&amp;$AE19&amp;$AF19&amp;$AG19&amp;$AH19&amp;$AI19&amp;$AJ19&amp;$AK19)&gt;0,AJ19="")</formula>
    </cfRule>
  </conditionalFormatting>
  <conditionalFormatting sqref="AK19:AK219">
    <cfRule type="expression" priority="7" dxfId="6">
      <formula>AND(LEN($B19&amp;$C19&amp;$D19&amp;$E19&amp;$F19&amp;$G19&amp;$H19&amp;$I19&amp;$J19&amp;$K19&amp;$L19&amp;$M19&amp;$N19&amp;$O19&amp;$P19&amp;$Q19&amp;$R19&amp;$S19&amp;$T19&amp;$U19&amp;$V19&amp;$W19&amp;$X19&amp;$Y19&amp;$Z19&amp;$AA19&amp;$AB19&amp;$AC19&amp;$AD19&amp;$AE19&amp;$AF19&amp;$AG19&amp;$AH19&amp;$AI19&amp;$AJ19&amp;$AK19)&gt;0,AK19="")</formula>
    </cfRule>
  </conditionalFormatting>
  <dataValidations count="37">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9:B219" showDropDown="0" showInputMessage="1" showErrorMessage="1" allowBlank="1" errorTitle="legacy_client_no" error="At most 30 characters." promptTitle="legacy_client_no" prompt="Yes. Client number in the source system Allowed: Free entry, up to 30 characters" type="textLength" operator="lessThanOrEqual">
      <formula1>30</formula1>
    </dataValidation>
    <dataValidation sqref="C19:C219" showDropDown="0" showInputMessage="1" showErrorMessage="1" allowBlank="1" errorTitle="client_type" error="Choose a value of the list C01 client_type (sheet Reference lists)." promptTitle="client_type" prompt="Yes. Individual or corporate Allowed: I, C (list C01 client_type)" type="list" errorStyle="stop">
      <formula1>=LIST_C01_CLIENT_TYPE</formula1>
    </dataValidation>
    <dataValidation sqref="D19:D219" showDropDown="0" showInputMessage="1" showErrorMessage="1" allowBlank="1" errorTitle="last_name" error="At most 100 characters." promptTitle="last_name" prompt="Conditional: Mandatory for I. Last name (individual) Allowed: Free entry, up to 100 characters" type="textLength" operator="lessThanOrEqual">
      <formula1>100</formula1>
    </dataValidation>
    <dataValidation sqref="E19:E219" showDropDown="0" showInputMessage="1" showErrorMessage="1" allowBlank="1" errorTitle="first_name" error="At most 100 characters." promptTitle="first_name" prompt="Conditional: Mandatory for I. First name (individual) Allowed: Free entry, up to 100 characters" type="textLength" operator="lessThanOrEqual">
      <formula1>100</formula1>
    </dataValidation>
    <dataValidation sqref="F19:F219" showDropDown="0" showInputMessage="1" showErrorMessage="1" allowBlank="1" errorTitle="middle_name" error="At most 100 characters." promptTitle="middle_name" prompt="No. Middle name Allowed: Free entry, up to 100 characters" type="textLength" operator="lessThanOrEqual">
      <formula1>100</formula1>
    </dataValidation>
    <dataValidation sqref="G19:G219" showDropDown="0" showInputMessage="1" showErrorMessage="1" allowBlank="1" errorTitle="suffix" error="At most 20 characters." promptTitle="suffix" prompt="No. Name suffix Allowed: Free entry, up to 20 characters" type="textLength" operator="lessThanOrEqual">
      <formula1>20</formula1>
    </dataValidation>
    <dataValidation sqref="H19:H219" showDropDown="0" showInputMessage="1" showErrorMessage="1" allowBlank="1" errorTitle="corporate_name" error="At most 200 characters." promptTitle="corporate_name" prompt="Conditional: Mandatory for C. Registered name (corporate) Allowed: Free entry, up to 200 characters" type="textLength" operator="lessThanOrEqual">
      <formula1>200</formula1>
    </dataValidation>
    <dataValidation sqref="I19:I219" showDropDown="0" showInputMessage="1" showErrorMessage="1" allowBlank="1" errorTitle="registration_no" error="At most 60 characters." promptTitle="registration_no" prompt="No. SEC or DTI registration number (corporate) Allowed: Free entry, up to 60 characters" type="textLength" operator="lessThanOrEqual">
      <formula1>60</formula1>
    </dataValidation>
    <dataValidation sqref="J19:J219" showDropDown="0" showInputMessage="1" showErrorMessage="0" allowBlank="1" promptTitle="birth_date" prompt="Conditional: Mandatory for I; not in the future; age 0 to 120. Birth date (individual)"/>
    <dataValidation sqref="K19:K219"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L19:L219" showDropDown="0" showInputMessage="1" showErrorMessage="1" allowBlank="1" errorTitle="id_type" error="At most 40 characters." promptTitle="id_type" prompt="No. Government ID type Allowed: The legacy code; mapped by the code map LOV:ID_TYPE (Code Maps screen of the Data Migration Console; maps prepared in the Migration Workbook of BRD-13)" type="textLength" operator="lessThanOrEqual">
      <formula1>40</formula1>
    </dataValidation>
    <dataValidation sqref="M19:M219" showDropDown="0" showInputMessage="1" showErrorMessage="1" allowBlank="1" errorTitle="id_number" error="At most 60 characters." promptTitle="id_number" prompt="Conditional: Mandatory when id_type is given; duplicate key K2. Government ID number Allowed: Free entry, up to 60 characters" type="textLength" operator="lessThanOrEqual">
      <formula1>60</formula1>
    </dataValidation>
    <dataValidation sqref="N19:N219" showDropDown="0" showInputMessage="1" showErrorMessage="1" allowBlank="1" errorTitle="bank_client_flag" error="Choose a value of the list Yes or no (sheet Reference lists)." promptTitle="bank_client_flag" prompt="No. BDO bank client Allowed: Y or N" type="list" errorStyle="stop">
      <formula1>=LIST_YES_NO</formula1>
    </dataValidation>
    <dataValidation sqref="O19:O219" showDropDown="0" showInputMessage="1" showErrorMessage="1" allowBlank="1" errorTitle="bank_cif" error="At most 40 characters." promptTitle="bank_cif" prompt="No. BDO customer information file number Allowed: Free entry, up to 40 characters" type="textLength" operator="lessThanOrEqual">
      <formula1>40</formula1>
    </dataValidation>
    <dataValidation sqref="P19:P219" showDropDown="0" showInputMessage="1" showErrorMessage="1" allowBlank="1" errorTitle="nationality" error="At most 40 characters." promptTitle="nationality" prompt="No. Nationality Allowed: The legacy code; mapped by the code map LOV:NATIONALITY (Code Maps screen of the Data Migration Console; maps prepared in the Migration Workbook of BRD-13)" type="textLength" operator="lessThanOrEqual">
      <formula1>40</formula1>
    </dataValidation>
    <dataValidation sqref="Q19:Q219" showDropDown="0" showInputMessage="1" showErrorMessage="1" allowBlank="1" errorTitle="source_of_funds" error="At most 40 characters." promptTitle="source_of_funds" prompt="No. Source of funds Allowed: The legacy code; mapped by the code map LOV:SOURCE_OF_FUNDS (Code Maps screen of the Data Migration Console; maps prepared in the Migration Workbook of BRD-13)" type="textLength" operator="lessThanOrEqual">
      <formula1>40</formula1>
    </dataValidation>
    <dataValidation sqref="R19:R219" showDropDown="0" showInputMessage="1" showErrorMessage="1" allowBlank="1" errorTitle="market_segment" error="At most 40 characters." promptTitle="market_segment" prompt="Yes. Market segment Allowed: The legacy code; mapped by the code map LOV:MARKET_SEGMENT (Code Maps screen of the Data Migration Console; maps prepared in the Migration Workbook of BRD-13)" type="textLength" operator="lessThanOrEqual">
      <formula1>40</formula1>
    </dataValidation>
    <dataValidation sqref="S19:S219" showDropDown="0" showInputMessage="1" showErrorMessage="1" allowBlank="1" errorTitle="customer_segment" error="At most 40 characters." promptTitle="customer_segment" prompt="No. Customer segment (MIS) Allowed: The legacy code; mapped by the code map MIS:CUSTOMER_SEGMENT (Code Maps screen of the Data Migration Console; maps prepared in the Migration Workbook of BRD-13)" type="textLength" operator="lessThanOrEqual">
      <formula1>40</formula1>
    </dataValidation>
    <dataValidation sqref="T19:T219" showDropDown="0" showInputMessage="1" showErrorMessage="1" allowBlank="1" errorTitle="business_origin" error="At most 40 characters." promptTitle="business_origin" prompt="No. Business origin (MIS) Allowed: The legacy code; mapped by the code map MIS:BUSINESS_ORIGIN (Code Maps screen of the Data Migration Console; maps prepared in the Migration Workbook of BRD-13)" type="textLength" operator="lessThanOrEqual">
      <formula1>40</formula1>
    </dataValidation>
    <dataValidation sqref="U19:U219" showDropDown="0" showInputMessage="1" showErrorMessage="1" allowBlank="1" errorTitle="ao_user_id" error="At most 50 characters." promptTitle="ao_user_id" prompt="No. Account officer Allowed: The legacy code; mapped by the code map USER (Code Maps screen of the Data Migration Console; maps prepared in the Migration Workbook of BRD-13)" type="textLength" operator="lessThanOrEqual">
      <formula1>50</formula1>
    </dataValidation>
    <dataValidation sqref="V19:V219" showDropDown="0" showInputMessage="1" showErrorMessage="1" allowBlank="1" errorTitle="sales_unit_code" error="At most 20 characters." promptTitle="sales_unit_code" prompt="No. Sales unit of the client Allowed: The legacy code; mapped by the code map SALES_UNIT (Code Maps screen of the Data Migration Console; maps prepared in the Migration Workbook of BRD-13)" type="textLength" operator="lessThanOrEqual">
      <formula1>20</formula1>
    </dataValidation>
    <dataValidation sqref="W19:W219" showDropDown="0" showInputMessage="1" showErrorMessage="1" allowBlank="1" errorTitle="branch_code" error="At most 20 characters." promptTitle="branch_code" prompt="No. Servicing branch Allowed: The legacy code; mapped by the code map BRANCH (Code Maps screen of the Data Migration Console; maps prepared in the Migration Workbook of BRD-13)" type="textLength" operator="lessThanOrEqual">
      <formula1>20</formula1>
    </dataValidation>
    <dataValidation sqref="X19:X219" showDropDown="0" showInputMessage="1" showErrorMessage="1" allowBlank="1" errorTitle="email" error="At most 120 characters." promptTitle="email" prompt="No. Primary e-mail Allowed: Free entry, up to 120 characters" type="textLength" operator="lessThanOrEqual">
      <formula1>120</formula1>
    </dataValidation>
    <dataValidation sqref="Y19:Y219" showDropDown="0" showInputMessage="1" showErrorMessage="1" allowBlank="1" errorTitle="mobile" error="At most 30 characters." promptTitle="mobile" prompt="No. Primary mobile number Allowed: Free entry, up to 30 characters" type="textLength" operator="lessThanOrEqual">
      <formula1>30</formula1>
    </dataValidation>
    <dataValidation sqref="Z19:Z219" showDropDown="0" showInputMessage="1" showErrorMessage="1" allowBlank="1" errorTitle="phone" error="At most 30 characters." promptTitle="phone" prompt="No. Landline Allowed: Free entry, up to 30 characters" type="textLength" operator="lessThanOrEqual">
      <formula1>30</formula1>
    </dataValidation>
    <dataValidation sqref="AA19:AA219" showDropDown="0" showInputMessage="1" showErrorMessage="1" allowBlank="1" errorTitle="address_line" error="At most 300 characters." promptTitle="address_line" prompt="No. Primary street address Allowed: Free entry, up to 300 characters" type="textLength" operator="lessThanOrEqual">
      <formula1>300</formula1>
    </dataValidation>
    <dataValidation sqref="AB19:AB219" showDropDown="0" showInputMessage="1" showErrorMessage="1" allowBlank="1" errorTitle="city" error="At most 80 characters." promptTitle="city" prompt="No. City / municipality Allowed: Free entry, up to 80 characters" type="textLength" operator="lessThanOrEqual">
      <formula1>80</formula1>
    </dataValidation>
    <dataValidation sqref="AC19:AC219" showDropDown="0" showInputMessage="1" showErrorMessage="1" allowBlank="1" errorTitle="province" error="At most 80 characters." promptTitle="province" prompt="No. Province Allowed: Free entry, up to 80 characters" type="textLength" operator="lessThanOrEqual">
      <formula1>80</formula1>
    </dataValidation>
    <dataValidation sqref="AD19:AD219" showDropDown="0" showInputMessage="1" showErrorMessage="1" allowBlank="1" errorTitle="postal_code" error="At most 10 characters." promptTitle="postal_code" prompt="No. Postal code Allowed: Free entry, up to 10 characters" type="textLength" operator="lessThanOrEqual">
      <formula1>10</formula1>
    </dataValidation>
    <dataValidation sqref="AE19:AE219" showDropDown="0" showInputMessage="1" showErrorMessage="1" allowBlank="1" errorTitle="kyc_status" error="At most 20 characters." promptTitle="kyc_status" prompt="No. KYC status in legacy Allowed: The legacy code; mapped by the code map STATUS:KYC (Code Maps screen of the Data Migration Console; maps prepared in the Migration Workbook of BRD-13)" type="textLength" operator="lessThanOrEqual">
      <formula1>20</formula1>
    </dataValidation>
    <dataValidation sqref="AF19:AF219" showDropDown="0" showInputMessage="1" showErrorMessage="0" allowBlank="1" promptTitle="kyc_verified_date" prompt="No. Date KYC was verified"/>
    <dataValidation sqref="AG19:AG219" showDropDown="0" showInputMessage="1" showErrorMessage="0" allowBlank="1" promptTitle="kyc_review_due" prompt="No. Next KYC review date"/>
    <dataValidation sqref="AH19:AH219" showDropDown="0" showInputMessage="1" showErrorMessage="1" allowBlank="1" errorTitle="risk_rating" error="At most 20 characters." promptTitle="risk_rating" prompt="No. KYC risk rating Allowed: The legacy code; mapped by the code map LOV:KYC_RISK_RATING (Code Maps screen of the Data Migration Console; maps prepared in the Migration Workbook of BRD-13)" type="textLength" operator="lessThanOrEqual">
      <formula1>20</formula1>
    </dataValidation>
    <dataValidation sqref="AI19:AI219" showDropDown="0" showInputMessage="1" showErrorMessage="1" allowBlank="1" errorTitle="client_status" error="At most 20 characters." promptTitle="client_status" prompt="Yes. Client status in legacy Allowed: The legacy code; mapped by the code map STATUS:CLIENT (Code Maps screen of the Data Migration Console; maps prepared in the Migration Workbook of BRD-13)" type="textLength" operator="lessThanOrEqual">
      <formula1>20</formula1>
    </dataValidation>
    <dataValidation sqref="AJ19:AJ219" showDropDown="0" showInputMessage="1" showErrorMessage="0" allowBlank="1" promptTitle="created_date" prompt="Yes. Date the client was created in legacy"/>
    <dataValidation sqref="AK19:AK219" showDropDown="0" showInputMessage="1" showErrorMessage="0" allowBlank="1" promptTitle="last_updated" prompt="Yes. Last change in legacy (survivorship and deltas)"/>
  </dataValidations>
  <hyperlinks>
    <hyperlink ref="A2" location="'Start here'!A1"/>
    <hyperlink ref="AK2" location="'Questions and comments'!A1"/>
    <hyperlink ref="B8" location="'R01 Lists of values and MIS val'!A1"/>
    <hyperlink ref="D8" location="'R03 Sales organisation (units a'!A1"/>
    <hyperlink ref="F8" location="'D0-02 Branches'!A1"/>
    <hyperlink ref="C16" location="'Reference lists'!A57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5.xml><?xml version="1.0" encoding="utf-8"?>
<worksheet xmlns="http://schemas.openxmlformats.org/spreadsheetml/2006/main">
  <sheetPr>
    <tabColor rgb="00004EA8"/>
    <outlinePr summaryBelow="0" summaryRight="1"/>
    <pageSetUpPr fitToPage="1"/>
  </sheetPr>
  <dimension ref="A1:K519"/>
  <sheetViews>
    <sheetView showGridLines="0" tabSelected="0" zoomScale="90" workbookViewId="0">
      <pane xSplit="2" ySplit="18" topLeftCell="C19" activePane="bottomRight" state="frozen"/>
      <selection pane="topRight"/>
      <selection pane="bottomLeft"/>
      <selection pane="bottomRight" activeCell="A1" sqref="A1"/>
    </sheetView>
  </sheetViews>
  <sheetFormatPr baseColWidth="8" defaultRowHeight="15"/>
  <cols>
    <col width="17" customWidth="1" min="1" max="1"/>
    <col width="13" customWidth="1" min="2" max="2"/>
    <col width="16" customWidth="1" min="3" max="3"/>
    <col width="13" customWidth="1" min="4" max="4"/>
    <col width="12" customWidth="1" min="5" max="5"/>
    <col width="16" customWidth="1" min="6" max="6"/>
    <col width="23.63636363636363" customWidth="1" min="7" max="7"/>
    <col width="15" customWidth="1" min="8" max="8"/>
    <col width="19" customWidth="1" min="9" max="9"/>
    <col width="19" customWidth="1" min="10" max="10"/>
    <col width="17" customWidth="1" min="11" max="11"/>
  </cols>
  <sheetData>
    <row r="1" ht="26" customHeight="1">
      <c r="A1" s="25" t="inlineStr">
        <is>
          <t>D0-10 Tax codes</t>
        </is>
      </c>
      <c r="K1" s="26" t="inlineStr">
        <is>
          <t>Step 24 of 52</t>
        </is>
      </c>
    </row>
    <row r="2">
      <c r="A2" s="27" t="inlineStr">
        <is>
          <t>← Back to Start here</t>
        </is>
      </c>
      <c r="B2" s="28" t="inlineStr">
        <is>
          <t>Step 24 of 52. Fill in one row per record below the column headers; the guide above each column says what to enter.</t>
        </is>
      </c>
      <c r="K2" s="29" t="inlineStr">
        <is>
          <t>Ask a question →</t>
        </is>
      </c>
    </row>
    <row r="3" outlineLevel="1" ht="15.5" customHeight="1">
      <c r="A3" s="30" t="inlineStr">
        <is>
          <t>Purpose</t>
        </is>
      </c>
      <c r="B3" s="31" t="inlineStr">
        <is>
          <t>The tax codes with their ATC, rate and GL account</t>
        </is>
      </c>
    </row>
    <row r="4" outlineLevel="1" ht="15.5" customHeight="1">
      <c r="A4" s="30" t="inlineStr">
        <is>
          <t>Provided by</t>
        </is>
      </c>
      <c r="B4" s="31" t="inlineStr">
        <is>
          <t>Head, Comptrollership (Tax)</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Finance › Tax &amp; Statutory › Tax Codes &amp; Forms, approved by a second user</t>
        </is>
      </c>
    </row>
    <row r="7" outlineLevel="1" ht="15.5" customHeight="1">
      <c r="A7" s="30" t="inlineStr">
        <is>
          <t>Source</t>
        </is>
      </c>
      <c r="B7" s="31" t="inlineStr">
        <is>
          <t>Upload template of the configuration screen (the same columns, headers, mandatory flags and allowed values)</t>
        </is>
      </c>
    </row>
    <row r="8" outlineLevel="1" ht="15" customHeight="1">
      <c r="A8" s="30" t="inlineStr">
        <is>
          <t>Depends on</t>
        </is>
      </c>
      <c r="B8" s="53" t="inlineStr">
        <is>
          <t>D0-06 Chart of accounts →</t>
        </is>
      </c>
    </row>
    <row r="9" outlineLevel="1" ht="28" customHeight="1">
      <c r="A9" s="30" t="inlineStr">
        <is>
          <t>Checklist</t>
        </is>
      </c>
      <c r="B9" s="31" t="inlineStr">
        <is>
          <t>One row per kind of tax is written below the header; give the code, the ATC, the rate, the GL account and the dates of each (rates and ATCs as BDOI's tax adviser confirms them), and add one row per ATC. The sheet D0-10 Tax checklist says what each covers</t>
        </is>
      </c>
    </row>
    <row r="10" outlineLevel="1" ht="15.5" customHeight="1">
      <c r="A10" s="30" t="inlineStr">
        <is>
          <t>Tax types</t>
        </is>
      </c>
      <c r="B10" s="31" t="inlineStr">
        <is>
          <t>Use only the twelve tax types of the list, as the upload accepts them; the ATC is mandatory for EWT and FWT (FWT, FINAL_VAT and PERCENTAGE_TAX are new in v1.2)</t>
        </is>
      </c>
    </row>
    <row r="11" ht="26" customHeight="1">
      <c r="A11" s="34" t="inlineStr">
        <is>
          <t>Progress</t>
        </is>
      </c>
      <c r="B11" s="35" t="inlineStr">
        <is>
          <t>Rows entered</t>
        </is>
      </c>
      <c r="C11" s="36">
        <f>SUMPRODUCT(((ROW($B$19:$B$519)&gt;19)+($B$19&lt;&gt;"EWT_WC158")&gt;0)*(LEN($B$19:$B$519&amp;$C$19:$C$519&amp;$D$19:$D$519&amp;$E$19:$E$519&amp;$F$19:$F$519&amp;$G$19:$G$519&amp;$H$19:$H$519&amp;$I$19:$I$519&amp;$J$19:$J$519&amp;$K$19:$K$519)&gt;0))</f>
        <v/>
      </c>
      <c r="D11" s="35" t="inlineStr">
        <is>
          <t>Mandatory cells missing</t>
        </is>
      </c>
      <c r="E11" s="36">
        <f>SUMPRODUCT(((ROW($B$19:$B$519)&gt;19)+($B$19&lt;&gt;"EWT_WC158")&gt;0)*(LEN($B$19:$B$519&amp;$C$19:$C$519&amp;$D$19:$D$519&amp;$E$19:$E$519&amp;$F$19:$F$519&amp;$G$19:$G$519&amp;$H$19:$H$519&amp;$I$19:$I$519&amp;$J$19:$J$519&amp;$K$19:$K$519)&gt;0)*(($B$19:$B$519="")+($C$19:$C$519="")+($D$19:$D$519="")+($G$19:$G$519="")+($H$19:$H$519="")+($J$19:$J$519="")))</f>
        <v/>
      </c>
    </row>
    <row r="12" ht="26" customHeight="1">
      <c r="A12" s="37" t="inlineStr">
        <is>
          <t>Confirmed by (BDOI owner)</t>
        </is>
      </c>
      <c r="B12" s="38" t="n"/>
      <c r="C12" s="38" t="n"/>
      <c r="D12" s="35" t="inlineStr">
        <is>
          <t>Date</t>
        </is>
      </c>
      <c r="E12" s="39" t="n"/>
    </row>
    <row r="13" ht="6" customHeight="1">
      <c r="A13" s="40" t="n"/>
      <c r="B13" s="40" t="n"/>
      <c r="C13" s="40" t="n"/>
      <c r="D13" s="40" t="n"/>
      <c r="E13" s="40" t="n"/>
      <c r="F13" s="40" t="n"/>
      <c r="G13" s="40" t="n"/>
      <c r="H13" s="40" t="n"/>
      <c r="I13" s="40" t="n"/>
      <c r="J13" s="40" t="n"/>
      <c r="K13" s="40" t="n"/>
    </row>
    <row r="14" ht="30" customHeight="1">
      <c r="A14" s="41" t="inlineStr">
        <is>
          <t>Mandatory</t>
        </is>
      </c>
      <c r="B14" s="42" t="inlineStr">
        <is>
          <t>Yes</t>
        </is>
      </c>
      <c r="C14" s="42" t="inlineStr">
        <is>
          <t>Yes</t>
        </is>
      </c>
      <c r="D14" s="42" t="inlineStr">
        <is>
          <t>Yes</t>
        </is>
      </c>
      <c r="E14" s="43" t="inlineStr">
        <is>
          <t>Conditional: EWT, FWT</t>
        </is>
      </c>
      <c r="F14" s="43" t="inlineStr">
        <is>
          <t>No</t>
        </is>
      </c>
      <c r="G14" s="42" t="inlineStr">
        <is>
          <t>Yes</t>
        </is>
      </c>
      <c r="H14" s="42" t="inlineStr">
        <is>
          <t>Yes</t>
        </is>
      </c>
      <c r="I14" s="43" t="inlineStr">
        <is>
          <t>No</t>
        </is>
      </c>
      <c r="J14" s="42" t="inlineStr">
        <is>
          <t>Yes</t>
        </is>
      </c>
      <c r="K14" s="43" t="inlineStr">
        <is>
          <t>No</t>
        </is>
      </c>
    </row>
    <row r="15" ht="30" customHeight="1">
      <c r="A15" s="41" t="inlineStr">
        <is>
          <t>Format</t>
        </is>
      </c>
      <c r="B15" s="43" t="inlineStr">
        <is>
          <t>Up to 20 capitals</t>
        </is>
      </c>
      <c r="C15" s="43" t="inlineStr">
        <is>
          <t>Text</t>
        </is>
      </c>
      <c r="D15" s="43" t="inlineStr">
        <is>
          <t>Code from the drop-down</t>
        </is>
      </c>
      <c r="E15" s="43" t="inlineStr">
        <is>
          <t>Text</t>
        </is>
      </c>
      <c r="F15" s="43" t="inlineStr">
        <is>
          <t>Code from the drop-down</t>
        </is>
      </c>
      <c r="G15" s="43" t="inlineStr">
        <is>
          <t>Number without thousands separators, e.g. 1500000.50</t>
        </is>
      </c>
      <c r="H15" s="43" t="inlineStr">
        <is>
          <t>Text</t>
        </is>
      </c>
      <c r="I15" s="43" t="inlineStr">
        <is>
          <t>Text</t>
        </is>
      </c>
      <c r="J15" s="43" t="inlineStr">
        <is>
          <t>Date dd-MMM-yyyy, e.g. 15-Jan-2026</t>
        </is>
      </c>
      <c r="K15" s="43" t="inlineStr">
        <is>
          <t>Date dd-MMM-yyyy, e.g. 15-Jan-2026</t>
        </is>
      </c>
    </row>
    <row r="16" ht="56" customHeight="1">
      <c r="A16" s="41" t="inlineStr">
        <is>
          <t>Allowed values</t>
        </is>
      </c>
      <c r="B16" s="43" t="inlineStr">
        <is>
          <t>Free entry</t>
        </is>
      </c>
      <c r="C16" s="43" t="inlineStr">
        <is>
          <t>Free entry</t>
        </is>
      </c>
      <c r="D16" s="51" t="inlineStr">
        <is>
          <t>List Tax type (BIBS): 12 values, see Reference lists</t>
        </is>
      </c>
      <c r="E16" s="43" t="inlineStr">
        <is>
          <t>Free entry</t>
        </is>
      </c>
      <c r="F16" s="51" t="inlineStr">
        <is>
          <t>INDIVIDUAL, CORPORATE (list Payee class (BIR))</t>
        </is>
      </c>
      <c r="G16" s="43" t="inlineStr">
        <is>
          <t>A number from 0 to 100</t>
        </is>
      </c>
      <c r="H16" s="51" t="inlineStr">
        <is>
          <t>Code of an existing account of the chart of accounts</t>
        </is>
      </c>
      <c r="I16" s="43" t="inlineStr">
        <is>
          <t>Free entry</t>
        </is>
      </c>
      <c r="J16" s="43" t="inlineStr">
        <is>
          <t>A date, for example 15-Jan-2028</t>
        </is>
      </c>
      <c r="K16" s="43" t="inlineStr">
        <is>
          <t>A date, for example 15-Jan-2028</t>
        </is>
      </c>
    </row>
    <row r="17" ht="43" customHeight="1">
      <c r="A17" s="41" t="inlineStr">
        <is>
          <t>What to enter</t>
        </is>
      </c>
      <c r="B17" s="43" t="inlineStr">
        <is>
          <t>Code of the tax</t>
        </is>
      </c>
      <c r="C17" s="43" t="inlineStr">
        <is>
          <t>Name of the tax</t>
        </is>
      </c>
      <c r="D17" s="43" t="inlineStr">
        <is>
          <t>Kind of tax</t>
        </is>
      </c>
      <c r="E17" s="43" t="inlineStr">
        <is>
          <t>Alphanumeric tax code of the BIR</t>
        </is>
      </c>
      <c r="F17" s="43" t="inlineStr">
        <is>
          <t>Payee class of the withholding</t>
        </is>
      </c>
      <c r="G17" s="43" t="inlineStr">
        <is>
          <t>Rate in percent</t>
        </is>
      </c>
      <c r="H17" s="43" t="inlineStr">
        <is>
          <t>Account the tax posts to</t>
        </is>
      </c>
      <c r="I17" s="43" t="inlineStr">
        <is>
          <t>Nature of the income</t>
        </is>
      </c>
      <c r="J17" s="43" t="inlineStr">
        <is>
          <t>First day of the rate</t>
        </is>
      </c>
      <c r="K17" s="43" t="inlineStr">
        <is>
          <t>Last day of the rate; blank = open</t>
        </is>
      </c>
    </row>
    <row r="18" ht="30" customHeight="1">
      <c r="A18" s="44" t="inlineStr">
        <is>
          <t>Row</t>
        </is>
      </c>
      <c r="B18" s="45" t="inlineStr">
        <is>
          <t>Tax code *</t>
        </is>
      </c>
      <c r="C18" s="45" t="inlineStr">
        <is>
          <t>Name *</t>
        </is>
      </c>
      <c r="D18" s="45" t="inlineStr">
        <is>
          <t>Tax type *</t>
        </is>
      </c>
      <c r="E18" s="45" t="inlineStr">
        <is>
          <t>ATC</t>
        </is>
      </c>
      <c r="F18" s="45" t="inlineStr">
        <is>
          <t>Payee class</t>
        </is>
      </c>
      <c r="G18" s="45" t="inlineStr">
        <is>
          <t>Rate % *</t>
        </is>
      </c>
      <c r="H18" s="45" t="inlineStr">
        <is>
          <t>GL account *</t>
        </is>
      </c>
      <c r="I18" s="45" t="inlineStr">
        <is>
          <t>Income nature</t>
        </is>
      </c>
      <c r="J18" s="45" t="inlineStr">
        <is>
          <t>Effective from *</t>
        </is>
      </c>
      <c r="K18" s="45" t="inlineStr">
        <is>
          <t>Effective to</t>
        </is>
      </c>
    </row>
    <row r="19" ht="18" customHeight="1">
      <c r="A19" s="46" t="inlineStr">
        <is>
          <t>Example – overwrite or delete</t>
        </is>
      </c>
      <c r="B19" s="47" t="inlineStr">
        <is>
          <t>EWT_WC158</t>
        </is>
      </c>
      <c r="C19" s="47" t="inlineStr">
        <is>
          <t>EWT 1% - goods</t>
        </is>
      </c>
      <c r="D19" s="47" t="inlineStr">
        <is>
          <t>EWT</t>
        </is>
      </c>
      <c r="E19" s="47" t="inlineStr">
        <is>
          <t>WC158</t>
        </is>
      </c>
      <c r="F19" s="47" t="inlineStr">
        <is>
          <t>CORPORATE</t>
        </is>
      </c>
      <c r="G19" s="52" t="n">
        <v>1</v>
      </c>
      <c r="H19" s="47" t="inlineStr">
        <is>
          <t>2150.02</t>
        </is>
      </c>
      <c r="I19" s="47" t="inlineStr">
        <is>
          <t>Purchase of goods</t>
        </is>
      </c>
      <c r="J19" s="48" t="n">
        <v>46753</v>
      </c>
      <c r="K19" s="52" t="n"/>
    </row>
    <row r="20">
      <c r="B20" s="49" t="n"/>
      <c r="C20" s="54" t="inlineStr">
        <is>
          <t>Output VAT on commission and service fees</t>
        </is>
      </c>
      <c r="D20" s="54" t="inlineStr">
        <is>
          <t>VAT_OUTPUT</t>
        </is>
      </c>
      <c r="E20" s="49" t="n"/>
      <c r="F20" s="49" t="n"/>
      <c r="H20" s="49" t="n"/>
      <c r="I20" s="49" t="n"/>
      <c r="J20" s="50" t="n"/>
      <c r="K20" s="50" t="n"/>
    </row>
    <row r="21">
      <c r="B21" s="49" t="n"/>
      <c r="C21" s="54" t="inlineStr">
        <is>
          <t>Zero-rated sales (commission and fees on zero-rated clients)</t>
        </is>
      </c>
      <c r="D21" s="54" t="inlineStr">
        <is>
          <t>VAT_ZERO_RATED</t>
        </is>
      </c>
      <c r="E21" s="49" t="n"/>
      <c r="F21" s="49" t="n"/>
      <c r="H21" s="49" t="n"/>
      <c r="I21" s="49" t="n"/>
      <c r="J21" s="50" t="n"/>
      <c r="K21" s="50" t="n"/>
    </row>
    <row r="22">
      <c r="B22" s="49" t="n"/>
      <c r="C22" s="54" t="inlineStr">
        <is>
          <t>VAT-exempt sales</t>
        </is>
      </c>
      <c r="D22" s="54" t="inlineStr">
        <is>
          <t>VAT_EXEMPT</t>
        </is>
      </c>
      <c r="E22" s="49" t="n"/>
      <c r="F22" s="49" t="n"/>
      <c r="H22" s="49" t="n"/>
      <c r="I22" s="49" t="n"/>
      <c r="J22" s="50" t="n"/>
      <c r="K22" s="50" t="n"/>
    </row>
    <row r="23">
      <c r="B23" s="49" t="n"/>
      <c r="C23" s="54" t="inlineStr">
        <is>
          <t>Input VAT on purchases</t>
        </is>
      </c>
      <c r="D23" s="54" t="inlineStr">
        <is>
          <t>VAT_INPUT</t>
        </is>
      </c>
      <c r="E23" s="49" t="n"/>
      <c r="F23" s="49" t="n"/>
      <c r="H23" s="49" t="n"/>
      <c r="I23" s="49" t="n"/>
      <c r="J23" s="50" t="n"/>
      <c r="K23" s="50" t="n"/>
    </row>
    <row r="24">
      <c r="B24" s="49" t="n"/>
      <c r="C24" s="54" t="inlineStr">
        <is>
          <t>Creditable withholding tax withheld by insurers on BDOI's commission (2307 received)</t>
        </is>
      </c>
      <c r="D24" s="54" t="inlineStr">
        <is>
          <t>EWT</t>
        </is>
      </c>
      <c r="E24" s="49" t="n"/>
      <c r="F24" s="49" t="n"/>
      <c r="H24" s="49" t="n"/>
      <c r="I24" s="49" t="n"/>
      <c r="J24" s="50" t="n"/>
      <c r="K24" s="50" t="n"/>
    </row>
    <row r="25">
      <c r="B25" s="49" t="n"/>
      <c r="C25" s="54" t="inlineStr">
        <is>
          <t>Creditable withholding tax withheld by government and top withholding agent clients on service fees</t>
        </is>
      </c>
      <c r="D25" s="54" t="inlineStr">
        <is>
          <t>EWT</t>
        </is>
      </c>
      <c r="E25" s="49" t="n"/>
      <c r="F25" s="49" t="n"/>
      <c r="H25" s="49" t="n"/>
      <c r="I25" s="49" t="n"/>
      <c r="J25" s="50" t="n"/>
      <c r="K25" s="50" t="n"/>
    </row>
    <row r="26">
      <c r="B26" s="49" t="n"/>
      <c r="C26" s="54" t="inlineStr">
        <is>
          <t>EWT BDOI withholds on suppliers: one row per ATC (professional fees, rentals, contractors, goods, services, commissions)</t>
        </is>
      </c>
      <c r="D26" s="54" t="inlineStr">
        <is>
          <t>EWT</t>
        </is>
      </c>
      <c r="E26" s="49" t="n"/>
      <c r="F26" s="49" t="n"/>
      <c r="H26" s="49" t="n"/>
      <c r="I26" s="49" t="n"/>
      <c r="J26" s="50" t="n"/>
      <c r="K26" s="50" t="n"/>
    </row>
    <row r="27">
      <c r="B27" s="49" t="n"/>
      <c r="C27" s="54" t="inlineStr">
        <is>
          <t>Final VAT withheld by government payors on BDOI's commission and fees</t>
        </is>
      </c>
      <c r="D27" s="54" t="inlineStr">
        <is>
          <t>FINAL_VAT</t>
        </is>
      </c>
      <c r="E27" s="49" t="n"/>
      <c r="F27" s="49" t="n"/>
      <c r="H27" s="49" t="n"/>
      <c r="I27" s="49" t="n"/>
      <c r="J27" s="50" t="n"/>
      <c r="K27" s="50" t="n"/>
    </row>
    <row r="28">
      <c r="B28" s="49" t="n"/>
      <c r="C28" s="54" t="inlineStr">
        <is>
          <t>Final withholding tax: withheld by government payors, and the final tax on bank interest (one row per ATC)</t>
        </is>
      </c>
      <c r="D28" s="54" t="inlineStr">
        <is>
          <t>FWT</t>
        </is>
      </c>
      <c r="E28" s="49" t="n"/>
      <c r="F28" s="49" t="n"/>
      <c r="H28" s="49" t="n"/>
      <c r="I28" s="49" t="n"/>
      <c r="J28" s="50" t="n"/>
      <c r="K28" s="50" t="n"/>
    </row>
    <row r="29">
      <c r="B29" s="49" t="n"/>
      <c r="C29" s="54" t="inlineStr">
        <is>
          <t>Percentage tax on BDOI's own receipts not subject to VAT (only if BDOI confirms such income)</t>
        </is>
      </c>
      <c r="D29" s="54" t="inlineStr">
        <is>
          <t>PERCENTAGE_TAX</t>
        </is>
      </c>
      <c r="E29" s="49" t="n"/>
      <c r="F29" s="49" t="n"/>
      <c r="H29" s="49" t="n"/>
      <c r="I29" s="49" t="n"/>
      <c r="J29" s="50" t="n"/>
      <c r="K29" s="50" t="n"/>
    </row>
    <row r="30">
      <c r="B30" s="49" t="n"/>
      <c r="C30" s="49" t="n"/>
      <c r="D30" s="49" t="n"/>
      <c r="E30" s="49" t="n"/>
      <c r="F30" s="49" t="n"/>
      <c r="H30" s="49" t="n"/>
      <c r="I30" s="49" t="n"/>
      <c r="J30" s="50" t="n"/>
      <c r="K30" s="50" t="n"/>
    </row>
    <row r="31">
      <c r="B31" s="49" t="n"/>
      <c r="C31" s="49" t="n"/>
      <c r="D31" s="49" t="n"/>
      <c r="E31" s="49" t="n"/>
      <c r="F31" s="49" t="n"/>
      <c r="H31" s="49" t="n"/>
      <c r="I31" s="49" t="n"/>
      <c r="J31" s="50" t="n"/>
      <c r="K31" s="50" t="n"/>
    </row>
    <row r="32">
      <c r="B32" s="49" t="n"/>
      <c r="C32" s="49" t="n"/>
      <c r="D32" s="49" t="n"/>
      <c r="E32" s="49" t="n"/>
      <c r="F32" s="49" t="n"/>
      <c r="H32" s="49" t="n"/>
      <c r="I32" s="49" t="n"/>
      <c r="J32" s="50" t="n"/>
      <c r="K32" s="50" t="n"/>
    </row>
    <row r="33">
      <c r="B33" s="49" t="n"/>
      <c r="C33" s="49" t="n"/>
      <c r="D33" s="49" t="n"/>
      <c r="E33" s="49" t="n"/>
      <c r="F33" s="49" t="n"/>
      <c r="H33" s="49" t="n"/>
      <c r="I33" s="49" t="n"/>
      <c r="J33" s="50" t="n"/>
      <c r="K33" s="50" t="n"/>
    </row>
    <row r="34">
      <c r="B34" s="49" t="n"/>
      <c r="C34" s="49" t="n"/>
      <c r="D34" s="49" t="n"/>
      <c r="E34" s="49" t="n"/>
      <c r="F34" s="49" t="n"/>
      <c r="H34" s="49" t="n"/>
      <c r="I34" s="49" t="n"/>
      <c r="J34" s="50" t="n"/>
      <c r="K34" s="50" t="n"/>
    </row>
    <row r="35">
      <c r="B35" s="49" t="n"/>
      <c r="C35" s="49" t="n"/>
      <c r="D35" s="49" t="n"/>
      <c r="E35" s="49" t="n"/>
      <c r="F35" s="49" t="n"/>
      <c r="H35" s="49" t="n"/>
      <c r="I35" s="49" t="n"/>
      <c r="J35" s="50" t="n"/>
      <c r="K35" s="50" t="n"/>
    </row>
    <row r="36">
      <c r="B36" s="49" t="n"/>
      <c r="C36" s="49" t="n"/>
      <c r="D36" s="49" t="n"/>
      <c r="E36" s="49" t="n"/>
      <c r="F36" s="49" t="n"/>
      <c r="H36" s="49" t="n"/>
      <c r="I36" s="49" t="n"/>
      <c r="J36" s="50" t="n"/>
      <c r="K36" s="50" t="n"/>
    </row>
    <row r="37">
      <c r="B37" s="49" t="n"/>
      <c r="C37" s="49" t="n"/>
      <c r="D37" s="49" t="n"/>
      <c r="E37" s="49" t="n"/>
      <c r="F37" s="49" t="n"/>
      <c r="H37" s="49" t="n"/>
      <c r="I37" s="49" t="n"/>
      <c r="J37" s="50" t="n"/>
      <c r="K37" s="50" t="n"/>
    </row>
    <row r="38">
      <c r="B38" s="49" t="n"/>
      <c r="C38" s="49" t="n"/>
      <c r="D38" s="49" t="n"/>
      <c r="E38" s="49" t="n"/>
      <c r="F38" s="49" t="n"/>
      <c r="H38" s="49" t="n"/>
      <c r="I38" s="49" t="n"/>
      <c r="J38" s="50" t="n"/>
      <c r="K38" s="50" t="n"/>
    </row>
    <row r="39">
      <c r="B39" s="49" t="n"/>
      <c r="C39" s="49" t="n"/>
      <c r="D39" s="49" t="n"/>
      <c r="E39" s="49" t="n"/>
      <c r="F39" s="49" t="n"/>
      <c r="H39" s="49" t="n"/>
      <c r="I39" s="49" t="n"/>
      <c r="J39" s="50" t="n"/>
      <c r="K39" s="50" t="n"/>
    </row>
    <row r="40">
      <c r="B40" s="49" t="n"/>
      <c r="C40" s="49" t="n"/>
      <c r="D40" s="49" t="n"/>
      <c r="E40" s="49" t="n"/>
      <c r="F40" s="49" t="n"/>
      <c r="H40" s="49" t="n"/>
      <c r="I40" s="49" t="n"/>
      <c r="J40" s="50" t="n"/>
      <c r="K40" s="50" t="n"/>
    </row>
    <row r="41">
      <c r="B41" s="49" t="n"/>
      <c r="C41" s="49" t="n"/>
      <c r="D41" s="49" t="n"/>
      <c r="E41" s="49" t="n"/>
      <c r="F41" s="49" t="n"/>
      <c r="H41" s="49" t="n"/>
      <c r="I41" s="49" t="n"/>
      <c r="J41" s="50" t="n"/>
      <c r="K41" s="50" t="n"/>
    </row>
    <row r="42">
      <c r="B42" s="49" t="n"/>
      <c r="C42" s="49" t="n"/>
      <c r="D42" s="49" t="n"/>
      <c r="E42" s="49" t="n"/>
      <c r="F42" s="49" t="n"/>
      <c r="H42" s="49" t="n"/>
      <c r="I42" s="49" t="n"/>
      <c r="J42" s="50" t="n"/>
      <c r="K42" s="50" t="n"/>
    </row>
    <row r="43">
      <c r="B43" s="49" t="n"/>
      <c r="C43" s="49" t="n"/>
      <c r="D43" s="49" t="n"/>
      <c r="E43" s="49" t="n"/>
      <c r="F43" s="49" t="n"/>
      <c r="H43" s="49" t="n"/>
      <c r="I43" s="49" t="n"/>
      <c r="J43" s="50" t="n"/>
      <c r="K43" s="50" t="n"/>
    </row>
    <row r="44">
      <c r="B44" s="49" t="n"/>
      <c r="C44" s="49" t="n"/>
      <c r="D44" s="49" t="n"/>
      <c r="E44" s="49" t="n"/>
      <c r="F44" s="49" t="n"/>
      <c r="H44" s="49" t="n"/>
      <c r="I44" s="49" t="n"/>
      <c r="J44" s="50" t="n"/>
      <c r="K44" s="50" t="n"/>
    </row>
    <row r="45">
      <c r="B45" s="49" t="n"/>
      <c r="C45" s="49" t="n"/>
      <c r="D45" s="49" t="n"/>
      <c r="E45" s="49" t="n"/>
      <c r="F45" s="49" t="n"/>
      <c r="H45" s="49" t="n"/>
      <c r="I45" s="49" t="n"/>
      <c r="J45" s="50" t="n"/>
      <c r="K45" s="50" t="n"/>
    </row>
    <row r="46">
      <c r="B46" s="49" t="n"/>
      <c r="C46" s="49" t="n"/>
      <c r="D46" s="49" t="n"/>
      <c r="E46" s="49" t="n"/>
      <c r="F46" s="49" t="n"/>
      <c r="H46" s="49" t="n"/>
      <c r="I46" s="49" t="n"/>
      <c r="J46" s="50" t="n"/>
      <c r="K46" s="50" t="n"/>
    </row>
    <row r="47">
      <c r="B47" s="49" t="n"/>
      <c r="C47" s="49" t="n"/>
      <c r="D47" s="49" t="n"/>
      <c r="E47" s="49" t="n"/>
      <c r="F47" s="49" t="n"/>
      <c r="H47" s="49" t="n"/>
      <c r="I47" s="49" t="n"/>
      <c r="J47" s="50" t="n"/>
      <c r="K47" s="50" t="n"/>
    </row>
    <row r="48">
      <c r="B48" s="49" t="n"/>
      <c r="C48" s="49" t="n"/>
      <c r="D48" s="49" t="n"/>
      <c r="E48" s="49" t="n"/>
      <c r="F48" s="49" t="n"/>
      <c r="H48" s="49" t="n"/>
      <c r="I48" s="49" t="n"/>
      <c r="J48" s="50" t="n"/>
      <c r="K48" s="50" t="n"/>
    </row>
    <row r="49">
      <c r="B49" s="49" t="n"/>
      <c r="C49" s="49" t="n"/>
      <c r="D49" s="49" t="n"/>
      <c r="E49" s="49" t="n"/>
      <c r="F49" s="49" t="n"/>
      <c r="H49" s="49" t="n"/>
      <c r="I49" s="49" t="n"/>
      <c r="J49" s="50" t="n"/>
      <c r="K49" s="50" t="n"/>
    </row>
    <row r="50">
      <c r="B50" s="49" t="n"/>
      <c r="C50" s="49" t="n"/>
      <c r="D50" s="49" t="n"/>
      <c r="E50" s="49" t="n"/>
      <c r="F50" s="49" t="n"/>
      <c r="H50" s="49" t="n"/>
      <c r="I50" s="49" t="n"/>
      <c r="J50" s="50" t="n"/>
      <c r="K50" s="50" t="n"/>
    </row>
    <row r="51">
      <c r="B51" s="49" t="n"/>
      <c r="C51" s="49" t="n"/>
      <c r="D51" s="49" t="n"/>
      <c r="E51" s="49" t="n"/>
      <c r="F51" s="49" t="n"/>
      <c r="H51" s="49" t="n"/>
      <c r="I51" s="49" t="n"/>
      <c r="J51" s="50" t="n"/>
      <c r="K51" s="50" t="n"/>
    </row>
    <row r="52">
      <c r="B52" s="49" t="n"/>
      <c r="C52" s="49" t="n"/>
      <c r="D52" s="49" t="n"/>
      <c r="E52" s="49" t="n"/>
      <c r="F52" s="49" t="n"/>
      <c r="H52" s="49" t="n"/>
      <c r="I52" s="49" t="n"/>
      <c r="J52" s="50" t="n"/>
      <c r="K52" s="50" t="n"/>
    </row>
    <row r="53">
      <c r="B53" s="49" t="n"/>
      <c r="C53" s="49" t="n"/>
      <c r="D53" s="49" t="n"/>
      <c r="E53" s="49" t="n"/>
      <c r="F53" s="49" t="n"/>
      <c r="H53" s="49" t="n"/>
      <c r="I53" s="49" t="n"/>
      <c r="J53" s="50" t="n"/>
      <c r="K53" s="50" t="n"/>
    </row>
    <row r="54">
      <c r="B54" s="49" t="n"/>
      <c r="C54" s="49" t="n"/>
      <c r="D54" s="49" t="n"/>
      <c r="E54" s="49" t="n"/>
      <c r="F54" s="49" t="n"/>
      <c r="H54" s="49" t="n"/>
      <c r="I54" s="49" t="n"/>
      <c r="J54" s="50" t="n"/>
      <c r="K54" s="50" t="n"/>
    </row>
    <row r="55">
      <c r="B55" s="49" t="n"/>
      <c r="C55" s="49" t="n"/>
      <c r="D55" s="49" t="n"/>
      <c r="E55" s="49" t="n"/>
      <c r="F55" s="49" t="n"/>
      <c r="H55" s="49" t="n"/>
      <c r="I55" s="49" t="n"/>
      <c r="J55" s="50" t="n"/>
      <c r="K55" s="50" t="n"/>
    </row>
    <row r="56">
      <c r="B56" s="49" t="n"/>
      <c r="C56" s="49" t="n"/>
      <c r="D56" s="49" t="n"/>
      <c r="E56" s="49" t="n"/>
      <c r="F56" s="49" t="n"/>
      <c r="H56" s="49" t="n"/>
      <c r="I56" s="49" t="n"/>
      <c r="J56" s="50" t="n"/>
      <c r="K56" s="50" t="n"/>
    </row>
    <row r="57">
      <c r="B57" s="49" t="n"/>
      <c r="C57" s="49" t="n"/>
      <c r="D57" s="49" t="n"/>
      <c r="E57" s="49" t="n"/>
      <c r="F57" s="49" t="n"/>
      <c r="H57" s="49" t="n"/>
      <c r="I57" s="49" t="n"/>
      <c r="J57" s="50" t="n"/>
      <c r="K57" s="50" t="n"/>
    </row>
    <row r="58">
      <c r="B58" s="49" t="n"/>
      <c r="C58" s="49" t="n"/>
      <c r="D58" s="49" t="n"/>
      <c r="E58" s="49" t="n"/>
      <c r="F58" s="49" t="n"/>
      <c r="H58" s="49" t="n"/>
      <c r="I58" s="49" t="n"/>
      <c r="J58" s="50" t="n"/>
      <c r="K58" s="50" t="n"/>
    </row>
    <row r="59">
      <c r="B59" s="49" t="n"/>
      <c r="C59" s="49" t="n"/>
      <c r="D59" s="49" t="n"/>
      <c r="E59" s="49" t="n"/>
      <c r="F59" s="49" t="n"/>
      <c r="H59" s="49" t="n"/>
      <c r="I59" s="49" t="n"/>
      <c r="J59" s="50" t="n"/>
      <c r="K59" s="50" t="n"/>
    </row>
    <row r="60">
      <c r="B60" s="49" t="n"/>
      <c r="C60" s="49" t="n"/>
      <c r="D60" s="49" t="n"/>
      <c r="E60" s="49" t="n"/>
      <c r="F60" s="49" t="n"/>
      <c r="H60" s="49" t="n"/>
      <c r="I60" s="49" t="n"/>
      <c r="J60" s="50" t="n"/>
      <c r="K60" s="50" t="n"/>
    </row>
    <row r="61">
      <c r="B61" s="49" t="n"/>
      <c r="C61" s="49" t="n"/>
      <c r="D61" s="49" t="n"/>
      <c r="E61" s="49" t="n"/>
      <c r="F61" s="49" t="n"/>
      <c r="H61" s="49" t="n"/>
      <c r="I61" s="49" t="n"/>
      <c r="J61" s="50" t="n"/>
      <c r="K61" s="50" t="n"/>
    </row>
    <row r="62">
      <c r="B62" s="49" t="n"/>
      <c r="C62" s="49" t="n"/>
      <c r="D62" s="49" t="n"/>
      <c r="E62" s="49" t="n"/>
      <c r="F62" s="49" t="n"/>
      <c r="H62" s="49" t="n"/>
      <c r="I62" s="49" t="n"/>
      <c r="J62" s="50" t="n"/>
      <c r="K62" s="50" t="n"/>
    </row>
    <row r="63">
      <c r="B63" s="49" t="n"/>
      <c r="C63" s="49" t="n"/>
      <c r="D63" s="49" t="n"/>
      <c r="E63" s="49" t="n"/>
      <c r="F63" s="49" t="n"/>
      <c r="H63" s="49" t="n"/>
      <c r="I63" s="49" t="n"/>
      <c r="J63" s="50" t="n"/>
      <c r="K63" s="50" t="n"/>
    </row>
    <row r="64">
      <c r="B64" s="49" t="n"/>
      <c r="C64" s="49" t="n"/>
      <c r="D64" s="49" t="n"/>
      <c r="E64" s="49" t="n"/>
      <c r="F64" s="49" t="n"/>
      <c r="H64" s="49" t="n"/>
      <c r="I64" s="49" t="n"/>
      <c r="J64" s="50" t="n"/>
      <c r="K64" s="50" t="n"/>
    </row>
    <row r="65">
      <c r="B65" s="49" t="n"/>
      <c r="C65" s="49" t="n"/>
      <c r="D65" s="49" t="n"/>
      <c r="E65" s="49" t="n"/>
      <c r="F65" s="49" t="n"/>
      <c r="H65" s="49" t="n"/>
      <c r="I65" s="49" t="n"/>
      <c r="J65" s="50" t="n"/>
      <c r="K65" s="50" t="n"/>
    </row>
    <row r="66">
      <c r="B66" s="49" t="n"/>
      <c r="C66" s="49" t="n"/>
      <c r="D66" s="49" t="n"/>
      <c r="E66" s="49" t="n"/>
      <c r="F66" s="49" t="n"/>
      <c r="H66" s="49" t="n"/>
      <c r="I66" s="49" t="n"/>
      <c r="J66" s="50" t="n"/>
      <c r="K66" s="50" t="n"/>
    </row>
    <row r="67">
      <c r="B67" s="49" t="n"/>
      <c r="C67" s="49" t="n"/>
      <c r="D67" s="49" t="n"/>
      <c r="E67" s="49" t="n"/>
      <c r="F67" s="49" t="n"/>
      <c r="H67" s="49" t="n"/>
      <c r="I67" s="49" t="n"/>
      <c r="J67" s="50" t="n"/>
      <c r="K67" s="50" t="n"/>
    </row>
    <row r="68">
      <c r="B68" s="49" t="n"/>
      <c r="C68" s="49" t="n"/>
      <c r="D68" s="49" t="n"/>
      <c r="E68" s="49" t="n"/>
      <c r="F68" s="49" t="n"/>
      <c r="H68" s="49" t="n"/>
      <c r="I68" s="49" t="n"/>
      <c r="J68" s="50" t="n"/>
      <c r="K68" s="50" t="n"/>
    </row>
    <row r="69">
      <c r="B69" s="49" t="n"/>
      <c r="C69" s="49" t="n"/>
      <c r="D69" s="49" t="n"/>
      <c r="E69" s="49" t="n"/>
      <c r="F69" s="49" t="n"/>
      <c r="H69" s="49" t="n"/>
      <c r="I69" s="49" t="n"/>
      <c r="J69" s="50" t="n"/>
      <c r="K69" s="50" t="n"/>
    </row>
    <row r="70">
      <c r="B70" s="49" t="n"/>
      <c r="C70" s="49" t="n"/>
      <c r="D70" s="49" t="n"/>
      <c r="E70" s="49" t="n"/>
      <c r="F70" s="49" t="n"/>
      <c r="H70" s="49" t="n"/>
      <c r="I70" s="49" t="n"/>
      <c r="J70" s="50" t="n"/>
      <c r="K70" s="50" t="n"/>
    </row>
    <row r="71">
      <c r="B71" s="49" t="n"/>
      <c r="C71" s="49" t="n"/>
      <c r="D71" s="49" t="n"/>
      <c r="E71" s="49" t="n"/>
      <c r="F71" s="49" t="n"/>
      <c r="H71" s="49" t="n"/>
      <c r="I71" s="49" t="n"/>
      <c r="J71" s="50" t="n"/>
      <c r="K71" s="50" t="n"/>
    </row>
    <row r="72">
      <c r="B72" s="49" t="n"/>
      <c r="C72" s="49" t="n"/>
      <c r="D72" s="49" t="n"/>
      <c r="E72" s="49" t="n"/>
      <c r="F72" s="49" t="n"/>
      <c r="H72" s="49" t="n"/>
      <c r="I72" s="49" t="n"/>
      <c r="J72" s="50" t="n"/>
      <c r="K72" s="50" t="n"/>
    </row>
    <row r="73">
      <c r="B73" s="49" t="n"/>
      <c r="C73" s="49" t="n"/>
      <c r="D73" s="49" t="n"/>
      <c r="E73" s="49" t="n"/>
      <c r="F73" s="49" t="n"/>
      <c r="H73" s="49" t="n"/>
      <c r="I73" s="49" t="n"/>
      <c r="J73" s="50" t="n"/>
      <c r="K73" s="50" t="n"/>
    </row>
    <row r="74">
      <c r="B74" s="49" t="n"/>
      <c r="C74" s="49" t="n"/>
      <c r="D74" s="49" t="n"/>
      <c r="E74" s="49" t="n"/>
      <c r="F74" s="49" t="n"/>
      <c r="H74" s="49" t="n"/>
      <c r="I74" s="49" t="n"/>
      <c r="J74" s="50" t="n"/>
      <c r="K74" s="50" t="n"/>
    </row>
    <row r="75">
      <c r="B75" s="49" t="n"/>
      <c r="C75" s="49" t="n"/>
      <c r="D75" s="49" t="n"/>
      <c r="E75" s="49" t="n"/>
      <c r="F75" s="49" t="n"/>
      <c r="H75" s="49" t="n"/>
      <c r="I75" s="49" t="n"/>
      <c r="J75" s="50" t="n"/>
      <c r="K75" s="50" t="n"/>
    </row>
    <row r="76">
      <c r="B76" s="49" t="n"/>
      <c r="C76" s="49" t="n"/>
      <c r="D76" s="49" t="n"/>
      <c r="E76" s="49" t="n"/>
      <c r="F76" s="49" t="n"/>
      <c r="H76" s="49" t="n"/>
      <c r="I76" s="49" t="n"/>
      <c r="J76" s="50" t="n"/>
      <c r="K76" s="50" t="n"/>
    </row>
    <row r="77">
      <c r="B77" s="49" t="n"/>
      <c r="C77" s="49" t="n"/>
      <c r="D77" s="49" t="n"/>
      <c r="E77" s="49" t="n"/>
      <c r="F77" s="49" t="n"/>
      <c r="H77" s="49" t="n"/>
      <c r="I77" s="49" t="n"/>
      <c r="J77" s="50" t="n"/>
      <c r="K77" s="50" t="n"/>
    </row>
    <row r="78">
      <c r="B78" s="49" t="n"/>
      <c r="C78" s="49" t="n"/>
      <c r="D78" s="49" t="n"/>
      <c r="E78" s="49" t="n"/>
      <c r="F78" s="49" t="n"/>
      <c r="H78" s="49" t="n"/>
      <c r="I78" s="49" t="n"/>
      <c r="J78" s="50" t="n"/>
      <c r="K78" s="50" t="n"/>
    </row>
    <row r="79">
      <c r="B79" s="49" t="n"/>
      <c r="C79" s="49" t="n"/>
      <c r="D79" s="49" t="n"/>
      <c r="E79" s="49" t="n"/>
      <c r="F79" s="49" t="n"/>
      <c r="H79" s="49" t="n"/>
      <c r="I79" s="49" t="n"/>
      <c r="J79" s="50" t="n"/>
      <c r="K79" s="50" t="n"/>
    </row>
    <row r="80">
      <c r="B80" s="49" t="n"/>
      <c r="C80" s="49" t="n"/>
      <c r="D80" s="49" t="n"/>
      <c r="E80" s="49" t="n"/>
      <c r="F80" s="49" t="n"/>
      <c r="H80" s="49" t="n"/>
      <c r="I80" s="49" t="n"/>
      <c r="J80" s="50" t="n"/>
      <c r="K80" s="50" t="n"/>
    </row>
    <row r="81">
      <c r="B81" s="49" t="n"/>
      <c r="C81" s="49" t="n"/>
      <c r="D81" s="49" t="n"/>
      <c r="E81" s="49" t="n"/>
      <c r="F81" s="49" t="n"/>
      <c r="H81" s="49" t="n"/>
      <c r="I81" s="49" t="n"/>
      <c r="J81" s="50" t="n"/>
      <c r="K81" s="50" t="n"/>
    </row>
    <row r="82">
      <c r="B82" s="49" t="n"/>
      <c r="C82" s="49" t="n"/>
      <c r="D82" s="49" t="n"/>
      <c r="E82" s="49" t="n"/>
      <c r="F82" s="49" t="n"/>
      <c r="H82" s="49" t="n"/>
      <c r="I82" s="49" t="n"/>
      <c r="J82" s="50" t="n"/>
      <c r="K82" s="50" t="n"/>
    </row>
    <row r="83">
      <c r="B83" s="49" t="n"/>
      <c r="C83" s="49" t="n"/>
      <c r="D83" s="49" t="n"/>
      <c r="E83" s="49" t="n"/>
      <c r="F83" s="49" t="n"/>
      <c r="H83" s="49" t="n"/>
      <c r="I83" s="49" t="n"/>
      <c r="J83" s="50" t="n"/>
      <c r="K83" s="50" t="n"/>
    </row>
    <row r="84">
      <c r="B84" s="49" t="n"/>
      <c r="C84" s="49" t="n"/>
      <c r="D84" s="49" t="n"/>
      <c r="E84" s="49" t="n"/>
      <c r="F84" s="49" t="n"/>
      <c r="H84" s="49" t="n"/>
      <c r="I84" s="49" t="n"/>
      <c r="J84" s="50" t="n"/>
      <c r="K84" s="50" t="n"/>
    </row>
    <row r="85">
      <c r="B85" s="49" t="n"/>
      <c r="C85" s="49" t="n"/>
      <c r="D85" s="49" t="n"/>
      <c r="E85" s="49" t="n"/>
      <c r="F85" s="49" t="n"/>
      <c r="H85" s="49" t="n"/>
      <c r="I85" s="49" t="n"/>
      <c r="J85" s="50" t="n"/>
      <c r="K85" s="50" t="n"/>
    </row>
    <row r="86">
      <c r="B86" s="49" t="n"/>
      <c r="C86" s="49" t="n"/>
      <c r="D86" s="49" t="n"/>
      <c r="E86" s="49" t="n"/>
      <c r="F86" s="49" t="n"/>
      <c r="H86" s="49" t="n"/>
      <c r="I86" s="49" t="n"/>
      <c r="J86" s="50" t="n"/>
      <c r="K86" s="50" t="n"/>
    </row>
    <row r="87">
      <c r="B87" s="49" t="n"/>
      <c r="C87" s="49" t="n"/>
      <c r="D87" s="49" t="n"/>
      <c r="E87" s="49" t="n"/>
      <c r="F87" s="49" t="n"/>
      <c r="H87" s="49" t="n"/>
      <c r="I87" s="49" t="n"/>
      <c r="J87" s="50" t="n"/>
      <c r="K87" s="50" t="n"/>
    </row>
    <row r="88">
      <c r="B88" s="49" t="n"/>
      <c r="C88" s="49" t="n"/>
      <c r="D88" s="49" t="n"/>
      <c r="E88" s="49" t="n"/>
      <c r="F88" s="49" t="n"/>
      <c r="H88" s="49" t="n"/>
      <c r="I88" s="49" t="n"/>
      <c r="J88" s="50" t="n"/>
      <c r="K88" s="50" t="n"/>
    </row>
    <row r="89">
      <c r="B89" s="49" t="n"/>
      <c r="C89" s="49" t="n"/>
      <c r="D89" s="49" t="n"/>
      <c r="E89" s="49" t="n"/>
      <c r="F89" s="49" t="n"/>
      <c r="H89" s="49" t="n"/>
      <c r="I89" s="49" t="n"/>
      <c r="J89" s="50" t="n"/>
      <c r="K89" s="50" t="n"/>
    </row>
    <row r="90">
      <c r="B90" s="49" t="n"/>
      <c r="C90" s="49" t="n"/>
      <c r="D90" s="49" t="n"/>
      <c r="E90" s="49" t="n"/>
      <c r="F90" s="49" t="n"/>
      <c r="H90" s="49" t="n"/>
      <c r="I90" s="49" t="n"/>
      <c r="J90" s="50" t="n"/>
      <c r="K90" s="50" t="n"/>
    </row>
    <row r="91">
      <c r="B91" s="49" t="n"/>
      <c r="C91" s="49" t="n"/>
      <c r="D91" s="49" t="n"/>
      <c r="E91" s="49" t="n"/>
      <c r="F91" s="49" t="n"/>
      <c r="H91" s="49" t="n"/>
      <c r="I91" s="49" t="n"/>
      <c r="J91" s="50" t="n"/>
      <c r="K91" s="50" t="n"/>
    </row>
    <row r="92">
      <c r="B92" s="49" t="n"/>
      <c r="C92" s="49" t="n"/>
      <c r="D92" s="49" t="n"/>
      <c r="E92" s="49" t="n"/>
      <c r="F92" s="49" t="n"/>
      <c r="H92" s="49" t="n"/>
      <c r="I92" s="49" t="n"/>
      <c r="J92" s="50" t="n"/>
      <c r="K92" s="50" t="n"/>
    </row>
    <row r="93">
      <c r="B93" s="49" t="n"/>
      <c r="C93" s="49" t="n"/>
      <c r="D93" s="49" t="n"/>
      <c r="E93" s="49" t="n"/>
      <c r="F93" s="49" t="n"/>
      <c r="H93" s="49" t="n"/>
      <c r="I93" s="49" t="n"/>
      <c r="J93" s="50" t="n"/>
      <c r="K93" s="50" t="n"/>
    </row>
    <row r="94">
      <c r="B94" s="49" t="n"/>
      <c r="C94" s="49" t="n"/>
      <c r="D94" s="49" t="n"/>
      <c r="E94" s="49" t="n"/>
      <c r="F94" s="49" t="n"/>
      <c r="H94" s="49" t="n"/>
      <c r="I94" s="49" t="n"/>
      <c r="J94" s="50" t="n"/>
      <c r="K94" s="50" t="n"/>
    </row>
    <row r="95">
      <c r="B95" s="49" t="n"/>
      <c r="C95" s="49" t="n"/>
      <c r="D95" s="49" t="n"/>
      <c r="E95" s="49" t="n"/>
      <c r="F95" s="49" t="n"/>
      <c r="H95" s="49" t="n"/>
      <c r="I95" s="49" t="n"/>
      <c r="J95" s="50" t="n"/>
      <c r="K95" s="50" t="n"/>
    </row>
    <row r="96">
      <c r="B96" s="49" t="n"/>
      <c r="C96" s="49" t="n"/>
      <c r="D96" s="49" t="n"/>
      <c r="E96" s="49" t="n"/>
      <c r="F96" s="49" t="n"/>
      <c r="H96" s="49" t="n"/>
      <c r="I96" s="49" t="n"/>
      <c r="J96" s="50" t="n"/>
      <c r="K96" s="50" t="n"/>
    </row>
    <row r="97">
      <c r="B97" s="49" t="n"/>
      <c r="C97" s="49" t="n"/>
      <c r="D97" s="49" t="n"/>
      <c r="E97" s="49" t="n"/>
      <c r="F97" s="49" t="n"/>
      <c r="H97" s="49" t="n"/>
      <c r="I97" s="49" t="n"/>
      <c r="J97" s="50" t="n"/>
      <c r="K97" s="50" t="n"/>
    </row>
    <row r="98">
      <c r="B98" s="49" t="n"/>
      <c r="C98" s="49" t="n"/>
      <c r="D98" s="49" t="n"/>
      <c r="E98" s="49" t="n"/>
      <c r="F98" s="49" t="n"/>
      <c r="H98" s="49" t="n"/>
      <c r="I98" s="49" t="n"/>
      <c r="J98" s="50" t="n"/>
      <c r="K98" s="50" t="n"/>
    </row>
    <row r="99">
      <c r="B99" s="49" t="n"/>
      <c r="C99" s="49" t="n"/>
      <c r="D99" s="49" t="n"/>
      <c r="E99" s="49" t="n"/>
      <c r="F99" s="49" t="n"/>
      <c r="H99" s="49" t="n"/>
      <c r="I99" s="49" t="n"/>
      <c r="J99" s="50" t="n"/>
      <c r="K99" s="50" t="n"/>
    </row>
    <row r="100">
      <c r="B100" s="49" t="n"/>
      <c r="C100" s="49" t="n"/>
      <c r="D100" s="49" t="n"/>
      <c r="E100" s="49" t="n"/>
      <c r="F100" s="49" t="n"/>
      <c r="H100" s="49" t="n"/>
      <c r="I100" s="49" t="n"/>
      <c r="J100" s="50" t="n"/>
      <c r="K100" s="50" t="n"/>
    </row>
    <row r="101">
      <c r="B101" s="49" t="n"/>
      <c r="C101" s="49" t="n"/>
      <c r="D101" s="49" t="n"/>
      <c r="E101" s="49" t="n"/>
      <c r="F101" s="49" t="n"/>
      <c r="H101" s="49" t="n"/>
      <c r="I101" s="49" t="n"/>
      <c r="J101" s="50" t="n"/>
      <c r="K101" s="50" t="n"/>
    </row>
    <row r="102">
      <c r="B102" s="49" t="n"/>
      <c r="C102" s="49" t="n"/>
      <c r="D102" s="49" t="n"/>
      <c r="E102" s="49" t="n"/>
      <c r="F102" s="49" t="n"/>
      <c r="H102" s="49" t="n"/>
      <c r="I102" s="49" t="n"/>
      <c r="J102" s="50" t="n"/>
      <c r="K102" s="50" t="n"/>
    </row>
    <row r="103">
      <c r="B103" s="49" t="n"/>
      <c r="C103" s="49" t="n"/>
      <c r="D103" s="49" t="n"/>
      <c r="E103" s="49" t="n"/>
      <c r="F103" s="49" t="n"/>
      <c r="H103" s="49" t="n"/>
      <c r="I103" s="49" t="n"/>
      <c r="J103" s="50" t="n"/>
      <c r="K103" s="50" t="n"/>
    </row>
    <row r="104">
      <c r="B104" s="49" t="n"/>
      <c r="C104" s="49" t="n"/>
      <c r="D104" s="49" t="n"/>
      <c r="E104" s="49" t="n"/>
      <c r="F104" s="49" t="n"/>
      <c r="H104" s="49" t="n"/>
      <c r="I104" s="49" t="n"/>
      <c r="J104" s="50" t="n"/>
      <c r="K104" s="50" t="n"/>
    </row>
    <row r="105">
      <c r="B105" s="49" t="n"/>
      <c r="C105" s="49" t="n"/>
      <c r="D105" s="49" t="n"/>
      <c r="E105" s="49" t="n"/>
      <c r="F105" s="49" t="n"/>
      <c r="H105" s="49" t="n"/>
      <c r="I105" s="49" t="n"/>
      <c r="J105" s="50" t="n"/>
      <c r="K105" s="50" t="n"/>
    </row>
    <row r="106">
      <c r="B106" s="49" t="n"/>
      <c r="C106" s="49" t="n"/>
      <c r="D106" s="49" t="n"/>
      <c r="E106" s="49" t="n"/>
      <c r="F106" s="49" t="n"/>
      <c r="H106" s="49" t="n"/>
      <c r="I106" s="49" t="n"/>
      <c r="J106" s="50" t="n"/>
      <c r="K106" s="50" t="n"/>
    </row>
    <row r="107">
      <c r="B107" s="49" t="n"/>
      <c r="C107" s="49" t="n"/>
      <c r="D107" s="49" t="n"/>
      <c r="E107" s="49" t="n"/>
      <c r="F107" s="49" t="n"/>
      <c r="H107" s="49" t="n"/>
      <c r="I107" s="49" t="n"/>
      <c r="J107" s="50" t="n"/>
      <c r="K107" s="50" t="n"/>
    </row>
    <row r="108">
      <c r="B108" s="49" t="n"/>
      <c r="C108" s="49" t="n"/>
      <c r="D108" s="49" t="n"/>
      <c r="E108" s="49" t="n"/>
      <c r="F108" s="49" t="n"/>
      <c r="H108" s="49" t="n"/>
      <c r="I108" s="49" t="n"/>
      <c r="J108" s="50" t="n"/>
      <c r="K108" s="50" t="n"/>
    </row>
    <row r="109">
      <c r="B109" s="49" t="n"/>
      <c r="C109" s="49" t="n"/>
      <c r="D109" s="49" t="n"/>
      <c r="E109" s="49" t="n"/>
      <c r="F109" s="49" t="n"/>
      <c r="H109" s="49" t="n"/>
      <c r="I109" s="49" t="n"/>
      <c r="J109" s="50" t="n"/>
      <c r="K109" s="50" t="n"/>
    </row>
    <row r="110">
      <c r="B110" s="49" t="n"/>
      <c r="C110" s="49" t="n"/>
      <c r="D110" s="49" t="n"/>
      <c r="E110" s="49" t="n"/>
      <c r="F110" s="49" t="n"/>
      <c r="H110" s="49" t="n"/>
      <c r="I110" s="49" t="n"/>
      <c r="J110" s="50" t="n"/>
      <c r="K110" s="50" t="n"/>
    </row>
    <row r="111">
      <c r="B111" s="49" t="n"/>
      <c r="C111" s="49" t="n"/>
      <c r="D111" s="49" t="n"/>
      <c r="E111" s="49" t="n"/>
      <c r="F111" s="49" t="n"/>
      <c r="H111" s="49" t="n"/>
      <c r="I111" s="49" t="n"/>
      <c r="J111" s="50" t="n"/>
      <c r="K111" s="50" t="n"/>
    </row>
    <row r="112">
      <c r="B112" s="49" t="n"/>
      <c r="C112" s="49" t="n"/>
      <c r="D112" s="49" t="n"/>
      <c r="E112" s="49" t="n"/>
      <c r="F112" s="49" t="n"/>
      <c r="H112" s="49" t="n"/>
      <c r="I112" s="49" t="n"/>
      <c r="J112" s="50" t="n"/>
      <c r="K112" s="50" t="n"/>
    </row>
    <row r="113">
      <c r="B113" s="49" t="n"/>
      <c r="C113" s="49" t="n"/>
      <c r="D113" s="49" t="n"/>
      <c r="E113" s="49" t="n"/>
      <c r="F113" s="49" t="n"/>
      <c r="H113" s="49" t="n"/>
      <c r="I113" s="49" t="n"/>
      <c r="J113" s="50" t="n"/>
      <c r="K113" s="50" t="n"/>
    </row>
    <row r="114">
      <c r="B114" s="49" t="n"/>
      <c r="C114" s="49" t="n"/>
      <c r="D114" s="49" t="n"/>
      <c r="E114" s="49" t="n"/>
      <c r="F114" s="49" t="n"/>
      <c r="H114" s="49" t="n"/>
      <c r="I114" s="49" t="n"/>
      <c r="J114" s="50" t="n"/>
      <c r="K114" s="50" t="n"/>
    </row>
    <row r="115">
      <c r="B115" s="49" t="n"/>
      <c r="C115" s="49" t="n"/>
      <c r="D115" s="49" t="n"/>
      <c r="E115" s="49" t="n"/>
      <c r="F115" s="49" t="n"/>
      <c r="H115" s="49" t="n"/>
      <c r="I115" s="49" t="n"/>
      <c r="J115" s="50" t="n"/>
      <c r="K115" s="50" t="n"/>
    </row>
    <row r="116">
      <c r="B116" s="49" t="n"/>
      <c r="C116" s="49" t="n"/>
      <c r="D116" s="49" t="n"/>
      <c r="E116" s="49" t="n"/>
      <c r="F116" s="49" t="n"/>
      <c r="H116" s="49" t="n"/>
      <c r="I116" s="49" t="n"/>
      <c r="J116" s="50" t="n"/>
      <c r="K116" s="50" t="n"/>
    </row>
    <row r="117">
      <c r="B117" s="49" t="n"/>
      <c r="C117" s="49" t="n"/>
      <c r="D117" s="49" t="n"/>
      <c r="E117" s="49" t="n"/>
      <c r="F117" s="49" t="n"/>
      <c r="H117" s="49" t="n"/>
      <c r="I117" s="49" t="n"/>
      <c r="J117" s="50" t="n"/>
      <c r="K117" s="50" t="n"/>
    </row>
    <row r="118">
      <c r="B118" s="49" t="n"/>
      <c r="C118" s="49" t="n"/>
      <c r="D118" s="49" t="n"/>
      <c r="E118" s="49" t="n"/>
      <c r="F118" s="49" t="n"/>
      <c r="H118" s="49" t="n"/>
      <c r="I118" s="49" t="n"/>
      <c r="J118" s="50" t="n"/>
      <c r="K118" s="50" t="n"/>
    </row>
    <row r="119">
      <c r="B119" s="49" t="n"/>
      <c r="C119" s="49" t="n"/>
      <c r="D119" s="49" t="n"/>
      <c r="E119" s="49" t="n"/>
      <c r="F119" s="49" t="n"/>
      <c r="H119" s="49" t="n"/>
      <c r="I119" s="49" t="n"/>
      <c r="J119" s="50" t="n"/>
      <c r="K119" s="50" t="n"/>
    </row>
    <row r="120">
      <c r="B120" s="49" t="n"/>
      <c r="C120" s="49" t="n"/>
      <c r="D120" s="49" t="n"/>
      <c r="E120" s="49" t="n"/>
      <c r="F120" s="49" t="n"/>
      <c r="H120" s="49" t="n"/>
      <c r="I120" s="49" t="n"/>
      <c r="J120" s="50" t="n"/>
      <c r="K120" s="50" t="n"/>
    </row>
    <row r="121">
      <c r="B121" s="49" t="n"/>
      <c r="C121" s="49" t="n"/>
      <c r="D121" s="49" t="n"/>
      <c r="E121" s="49" t="n"/>
      <c r="F121" s="49" t="n"/>
      <c r="H121" s="49" t="n"/>
      <c r="I121" s="49" t="n"/>
      <c r="J121" s="50" t="n"/>
      <c r="K121" s="50" t="n"/>
    </row>
    <row r="122">
      <c r="B122" s="49" t="n"/>
      <c r="C122" s="49" t="n"/>
      <c r="D122" s="49" t="n"/>
      <c r="E122" s="49" t="n"/>
      <c r="F122" s="49" t="n"/>
      <c r="H122" s="49" t="n"/>
      <c r="I122" s="49" t="n"/>
      <c r="J122" s="50" t="n"/>
      <c r="K122" s="50" t="n"/>
    </row>
    <row r="123">
      <c r="B123" s="49" t="n"/>
      <c r="C123" s="49" t="n"/>
      <c r="D123" s="49" t="n"/>
      <c r="E123" s="49" t="n"/>
      <c r="F123" s="49" t="n"/>
      <c r="H123" s="49" t="n"/>
      <c r="I123" s="49" t="n"/>
      <c r="J123" s="50" t="n"/>
      <c r="K123" s="50" t="n"/>
    </row>
    <row r="124">
      <c r="B124" s="49" t="n"/>
      <c r="C124" s="49" t="n"/>
      <c r="D124" s="49" t="n"/>
      <c r="E124" s="49" t="n"/>
      <c r="F124" s="49" t="n"/>
      <c r="H124" s="49" t="n"/>
      <c r="I124" s="49" t="n"/>
      <c r="J124" s="50" t="n"/>
      <c r="K124" s="50" t="n"/>
    </row>
    <row r="125">
      <c r="B125" s="49" t="n"/>
      <c r="C125" s="49" t="n"/>
      <c r="D125" s="49" t="n"/>
      <c r="E125" s="49" t="n"/>
      <c r="F125" s="49" t="n"/>
      <c r="H125" s="49" t="n"/>
      <c r="I125" s="49" t="n"/>
      <c r="J125" s="50" t="n"/>
      <c r="K125" s="50" t="n"/>
    </row>
    <row r="126">
      <c r="B126" s="49" t="n"/>
      <c r="C126" s="49" t="n"/>
      <c r="D126" s="49" t="n"/>
      <c r="E126" s="49" t="n"/>
      <c r="F126" s="49" t="n"/>
      <c r="H126" s="49" t="n"/>
      <c r="I126" s="49" t="n"/>
      <c r="J126" s="50" t="n"/>
      <c r="K126" s="50" t="n"/>
    </row>
    <row r="127">
      <c r="B127" s="49" t="n"/>
      <c r="C127" s="49" t="n"/>
      <c r="D127" s="49" t="n"/>
      <c r="E127" s="49" t="n"/>
      <c r="F127" s="49" t="n"/>
      <c r="H127" s="49" t="n"/>
      <c r="I127" s="49" t="n"/>
      <c r="J127" s="50" t="n"/>
      <c r="K127" s="50" t="n"/>
    </row>
    <row r="128">
      <c r="B128" s="49" t="n"/>
      <c r="C128" s="49" t="n"/>
      <c r="D128" s="49" t="n"/>
      <c r="E128" s="49" t="n"/>
      <c r="F128" s="49" t="n"/>
      <c r="H128" s="49" t="n"/>
      <c r="I128" s="49" t="n"/>
      <c r="J128" s="50" t="n"/>
      <c r="K128" s="50" t="n"/>
    </row>
    <row r="129">
      <c r="B129" s="49" t="n"/>
      <c r="C129" s="49" t="n"/>
      <c r="D129" s="49" t="n"/>
      <c r="E129" s="49" t="n"/>
      <c r="F129" s="49" t="n"/>
      <c r="H129" s="49" t="n"/>
      <c r="I129" s="49" t="n"/>
      <c r="J129" s="50" t="n"/>
      <c r="K129" s="50" t="n"/>
    </row>
    <row r="130">
      <c r="B130" s="49" t="n"/>
      <c r="C130" s="49" t="n"/>
      <c r="D130" s="49" t="n"/>
      <c r="E130" s="49" t="n"/>
      <c r="F130" s="49" t="n"/>
      <c r="H130" s="49" t="n"/>
      <c r="I130" s="49" t="n"/>
      <c r="J130" s="50" t="n"/>
      <c r="K130" s="50" t="n"/>
    </row>
    <row r="131">
      <c r="B131" s="49" t="n"/>
      <c r="C131" s="49" t="n"/>
      <c r="D131" s="49" t="n"/>
      <c r="E131" s="49" t="n"/>
      <c r="F131" s="49" t="n"/>
      <c r="H131" s="49" t="n"/>
      <c r="I131" s="49" t="n"/>
      <c r="J131" s="50" t="n"/>
      <c r="K131" s="50" t="n"/>
    </row>
    <row r="132">
      <c r="B132" s="49" t="n"/>
      <c r="C132" s="49" t="n"/>
      <c r="D132" s="49" t="n"/>
      <c r="E132" s="49" t="n"/>
      <c r="F132" s="49" t="n"/>
      <c r="H132" s="49" t="n"/>
      <c r="I132" s="49" t="n"/>
      <c r="J132" s="50" t="n"/>
      <c r="K132" s="50" t="n"/>
    </row>
    <row r="133">
      <c r="B133" s="49" t="n"/>
      <c r="C133" s="49" t="n"/>
      <c r="D133" s="49" t="n"/>
      <c r="E133" s="49" t="n"/>
      <c r="F133" s="49" t="n"/>
      <c r="H133" s="49" t="n"/>
      <c r="I133" s="49" t="n"/>
      <c r="J133" s="50" t="n"/>
      <c r="K133" s="50" t="n"/>
    </row>
    <row r="134">
      <c r="B134" s="49" t="n"/>
      <c r="C134" s="49" t="n"/>
      <c r="D134" s="49" t="n"/>
      <c r="E134" s="49" t="n"/>
      <c r="F134" s="49" t="n"/>
      <c r="H134" s="49" t="n"/>
      <c r="I134" s="49" t="n"/>
      <c r="J134" s="50" t="n"/>
      <c r="K134" s="50" t="n"/>
    </row>
    <row r="135">
      <c r="B135" s="49" t="n"/>
      <c r="C135" s="49" t="n"/>
      <c r="D135" s="49" t="n"/>
      <c r="E135" s="49" t="n"/>
      <c r="F135" s="49" t="n"/>
      <c r="H135" s="49" t="n"/>
      <c r="I135" s="49" t="n"/>
      <c r="J135" s="50" t="n"/>
      <c r="K135" s="50" t="n"/>
    </row>
    <row r="136">
      <c r="B136" s="49" t="n"/>
      <c r="C136" s="49" t="n"/>
      <c r="D136" s="49" t="n"/>
      <c r="E136" s="49" t="n"/>
      <c r="F136" s="49" t="n"/>
      <c r="H136" s="49" t="n"/>
      <c r="I136" s="49" t="n"/>
      <c r="J136" s="50" t="n"/>
      <c r="K136" s="50" t="n"/>
    </row>
    <row r="137">
      <c r="B137" s="49" t="n"/>
      <c r="C137" s="49" t="n"/>
      <c r="D137" s="49" t="n"/>
      <c r="E137" s="49" t="n"/>
      <c r="F137" s="49" t="n"/>
      <c r="H137" s="49" t="n"/>
      <c r="I137" s="49" t="n"/>
      <c r="J137" s="50" t="n"/>
      <c r="K137" s="50" t="n"/>
    </row>
    <row r="138">
      <c r="B138" s="49" t="n"/>
      <c r="C138" s="49" t="n"/>
      <c r="D138" s="49" t="n"/>
      <c r="E138" s="49" t="n"/>
      <c r="F138" s="49" t="n"/>
      <c r="H138" s="49" t="n"/>
      <c r="I138" s="49" t="n"/>
      <c r="J138" s="50" t="n"/>
      <c r="K138" s="50" t="n"/>
    </row>
    <row r="139">
      <c r="B139" s="49" t="n"/>
      <c r="C139" s="49" t="n"/>
      <c r="D139" s="49" t="n"/>
      <c r="E139" s="49" t="n"/>
      <c r="F139" s="49" t="n"/>
      <c r="H139" s="49" t="n"/>
      <c r="I139" s="49" t="n"/>
      <c r="J139" s="50" t="n"/>
      <c r="K139" s="50" t="n"/>
    </row>
    <row r="140">
      <c r="B140" s="49" t="n"/>
      <c r="C140" s="49" t="n"/>
      <c r="D140" s="49" t="n"/>
      <c r="E140" s="49" t="n"/>
      <c r="F140" s="49" t="n"/>
      <c r="H140" s="49" t="n"/>
      <c r="I140" s="49" t="n"/>
      <c r="J140" s="50" t="n"/>
      <c r="K140" s="50" t="n"/>
    </row>
    <row r="141">
      <c r="B141" s="49" t="n"/>
      <c r="C141" s="49" t="n"/>
      <c r="D141" s="49" t="n"/>
      <c r="E141" s="49" t="n"/>
      <c r="F141" s="49" t="n"/>
      <c r="H141" s="49" t="n"/>
      <c r="I141" s="49" t="n"/>
      <c r="J141" s="50" t="n"/>
      <c r="K141" s="50" t="n"/>
    </row>
    <row r="142">
      <c r="B142" s="49" t="n"/>
      <c r="C142" s="49" t="n"/>
      <c r="D142" s="49" t="n"/>
      <c r="E142" s="49" t="n"/>
      <c r="F142" s="49" t="n"/>
      <c r="H142" s="49" t="n"/>
      <c r="I142" s="49" t="n"/>
      <c r="J142" s="50" t="n"/>
      <c r="K142" s="50" t="n"/>
    </row>
    <row r="143">
      <c r="B143" s="49" t="n"/>
      <c r="C143" s="49" t="n"/>
      <c r="D143" s="49" t="n"/>
      <c r="E143" s="49" t="n"/>
      <c r="F143" s="49" t="n"/>
      <c r="H143" s="49" t="n"/>
      <c r="I143" s="49" t="n"/>
      <c r="J143" s="50" t="n"/>
      <c r="K143" s="50" t="n"/>
    </row>
    <row r="144">
      <c r="B144" s="49" t="n"/>
      <c r="C144" s="49" t="n"/>
      <c r="D144" s="49" t="n"/>
      <c r="E144" s="49" t="n"/>
      <c r="F144" s="49" t="n"/>
      <c r="H144" s="49" t="n"/>
      <c r="I144" s="49" t="n"/>
      <c r="J144" s="50" t="n"/>
      <c r="K144" s="50" t="n"/>
    </row>
    <row r="145">
      <c r="B145" s="49" t="n"/>
      <c r="C145" s="49" t="n"/>
      <c r="D145" s="49" t="n"/>
      <c r="E145" s="49" t="n"/>
      <c r="F145" s="49" t="n"/>
      <c r="H145" s="49" t="n"/>
      <c r="I145" s="49" t="n"/>
      <c r="J145" s="50" t="n"/>
      <c r="K145" s="50" t="n"/>
    </row>
    <row r="146">
      <c r="B146" s="49" t="n"/>
      <c r="C146" s="49" t="n"/>
      <c r="D146" s="49" t="n"/>
      <c r="E146" s="49" t="n"/>
      <c r="F146" s="49" t="n"/>
      <c r="H146" s="49" t="n"/>
      <c r="I146" s="49" t="n"/>
      <c r="J146" s="50" t="n"/>
      <c r="K146" s="50" t="n"/>
    </row>
    <row r="147">
      <c r="B147" s="49" t="n"/>
      <c r="C147" s="49" t="n"/>
      <c r="D147" s="49" t="n"/>
      <c r="E147" s="49" t="n"/>
      <c r="F147" s="49" t="n"/>
      <c r="H147" s="49" t="n"/>
      <c r="I147" s="49" t="n"/>
      <c r="J147" s="50" t="n"/>
      <c r="K147" s="50" t="n"/>
    </row>
    <row r="148">
      <c r="B148" s="49" t="n"/>
      <c r="C148" s="49" t="n"/>
      <c r="D148" s="49" t="n"/>
      <c r="E148" s="49" t="n"/>
      <c r="F148" s="49" t="n"/>
      <c r="H148" s="49" t="n"/>
      <c r="I148" s="49" t="n"/>
      <c r="J148" s="50" t="n"/>
      <c r="K148" s="50" t="n"/>
    </row>
    <row r="149">
      <c r="B149" s="49" t="n"/>
      <c r="C149" s="49" t="n"/>
      <c r="D149" s="49" t="n"/>
      <c r="E149" s="49" t="n"/>
      <c r="F149" s="49" t="n"/>
      <c r="H149" s="49" t="n"/>
      <c r="I149" s="49" t="n"/>
      <c r="J149" s="50" t="n"/>
      <c r="K149" s="50" t="n"/>
    </row>
    <row r="150">
      <c r="B150" s="49" t="n"/>
      <c r="C150" s="49" t="n"/>
      <c r="D150" s="49" t="n"/>
      <c r="E150" s="49" t="n"/>
      <c r="F150" s="49" t="n"/>
      <c r="H150" s="49" t="n"/>
      <c r="I150" s="49" t="n"/>
      <c r="J150" s="50" t="n"/>
      <c r="K150" s="50" t="n"/>
    </row>
    <row r="151">
      <c r="B151" s="49" t="n"/>
      <c r="C151" s="49" t="n"/>
      <c r="D151" s="49" t="n"/>
      <c r="E151" s="49" t="n"/>
      <c r="F151" s="49" t="n"/>
      <c r="H151" s="49" t="n"/>
      <c r="I151" s="49" t="n"/>
      <c r="J151" s="50" t="n"/>
      <c r="K151" s="50" t="n"/>
    </row>
    <row r="152">
      <c r="B152" s="49" t="n"/>
      <c r="C152" s="49" t="n"/>
      <c r="D152" s="49" t="n"/>
      <c r="E152" s="49" t="n"/>
      <c r="F152" s="49" t="n"/>
      <c r="H152" s="49" t="n"/>
      <c r="I152" s="49" t="n"/>
      <c r="J152" s="50" t="n"/>
      <c r="K152" s="50" t="n"/>
    </row>
    <row r="153">
      <c r="B153" s="49" t="n"/>
      <c r="C153" s="49" t="n"/>
      <c r="D153" s="49" t="n"/>
      <c r="E153" s="49" t="n"/>
      <c r="F153" s="49" t="n"/>
      <c r="H153" s="49" t="n"/>
      <c r="I153" s="49" t="n"/>
      <c r="J153" s="50" t="n"/>
      <c r="K153" s="50" t="n"/>
    </row>
    <row r="154">
      <c r="B154" s="49" t="n"/>
      <c r="C154" s="49" t="n"/>
      <c r="D154" s="49" t="n"/>
      <c r="E154" s="49" t="n"/>
      <c r="F154" s="49" t="n"/>
      <c r="H154" s="49" t="n"/>
      <c r="I154" s="49" t="n"/>
      <c r="J154" s="50" t="n"/>
      <c r="K154" s="50" t="n"/>
    </row>
    <row r="155">
      <c r="B155" s="49" t="n"/>
      <c r="C155" s="49" t="n"/>
      <c r="D155" s="49" t="n"/>
      <c r="E155" s="49" t="n"/>
      <c r="F155" s="49" t="n"/>
      <c r="H155" s="49" t="n"/>
      <c r="I155" s="49" t="n"/>
      <c r="J155" s="50" t="n"/>
      <c r="K155" s="50" t="n"/>
    </row>
    <row r="156">
      <c r="B156" s="49" t="n"/>
      <c r="C156" s="49" t="n"/>
      <c r="D156" s="49" t="n"/>
      <c r="E156" s="49" t="n"/>
      <c r="F156" s="49" t="n"/>
      <c r="H156" s="49" t="n"/>
      <c r="I156" s="49" t="n"/>
      <c r="J156" s="50" t="n"/>
      <c r="K156" s="50" t="n"/>
    </row>
    <row r="157">
      <c r="B157" s="49" t="n"/>
      <c r="C157" s="49" t="n"/>
      <c r="D157" s="49" t="n"/>
      <c r="E157" s="49" t="n"/>
      <c r="F157" s="49" t="n"/>
      <c r="H157" s="49" t="n"/>
      <c r="I157" s="49" t="n"/>
      <c r="J157" s="50" t="n"/>
      <c r="K157" s="50" t="n"/>
    </row>
    <row r="158">
      <c r="B158" s="49" t="n"/>
      <c r="C158" s="49" t="n"/>
      <c r="D158" s="49" t="n"/>
      <c r="E158" s="49" t="n"/>
      <c r="F158" s="49" t="n"/>
      <c r="H158" s="49" t="n"/>
      <c r="I158" s="49" t="n"/>
      <c r="J158" s="50" t="n"/>
      <c r="K158" s="50" t="n"/>
    </row>
    <row r="159">
      <c r="B159" s="49" t="n"/>
      <c r="C159" s="49" t="n"/>
      <c r="D159" s="49" t="n"/>
      <c r="E159" s="49" t="n"/>
      <c r="F159" s="49" t="n"/>
      <c r="H159" s="49" t="n"/>
      <c r="I159" s="49" t="n"/>
      <c r="J159" s="50" t="n"/>
      <c r="K159" s="50" t="n"/>
    </row>
    <row r="160">
      <c r="B160" s="49" t="n"/>
      <c r="C160" s="49" t="n"/>
      <c r="D160" s="49" t="n"/>
      <c r="E160" s="49" t="n"/>
      <c r="F160" s="49" t="n"/>
      <c r="H160" s="49" t="n"/>
      <c r="I160" s="49" t="n"/>
      <c r="J160" s="50" t="n"/>
      <c r="K160" s="50" t="n"/>
    </row>
    <row r="161">
      <c r="B161" s="49" t="n"/>
      <c r="C161" s="49" t="n"/>
      <c r="D161" s="49" t="n"/>
      <c r="E161" s="49" t="n"/>
      <c r="F161" s="49" t="n"/>
      <c r="H161" s="49" t="n"/>
      <c r="I161" s="49" t="n"/>
      <c r="J161" s="50" t="n"/>
      <c r="K161" s="50" t="n"/>
    </row>
    <row r="162">
      <c r="B162" s="49" t="n"/>
      <c r="C162" s="49" t="n"/>
      <c r="D162" s="49" t="n"/>
      <c r="E162" s="49" t="n"/>
      <c r="F162" s="49" t="n"/>
      <c r="H162" s="49" t="n"/>
      <c r="I162" s="49" t="n"/>
      <c r="J162" s="50" t="n"/>
      <c r="K162" s="50" t="n"/>
    </row>
    <row r="163">
      <c r="B163" s="49" t="n"/>
      <c r="C163" s="49" t="n"/>
      <c r="D163" s="49" t="n"/>
      <c r="E163" s="49" t="n"/>
      <c r="F163" s="49" t="n"/>
      <c r="H163" s="49" t="n"/>
      <c r="I163" s="49" t="n"/>
      <c r="J163" s="50" t="n"/>
      <c r="K163" s="50" t="n"/>
    </row>
    <row r="164">
      <c r="B164" s="49" t="n"/>
      <c r="C164" s="49" t="n"/>
      <c r="D164" s="49" t="n"/>
      <c r="E164" s="49" t="n"/>
      <c r="F164" s="49" t="n"/>
      <c r="H164" s="49" t="n"/>
      <c r="I164" s="49" t="n"/>
      <c r="J164" s="50" t="n"/>
      <c r="K164" s="50" t="n"/>
    </row>
    <row r="165">
      <c r="B165" s="49" t="n"/>
      <c r="C165" s="49" t="n"/>
      <c r="D165" s="49" t="n"/>
      <c r="E165" s="49" t="n"/>
      <c r="F165" s="49" t="n"/>
      <c r="H165" s="49" t="n"/>
      <c r="I165" s="49" t="n"/>
      <c r="J165" s="50" t="n"/>
      <c r="K165" s="50" t="n"/>
    </row>
    <row r="166">
      <c r="B166" s="49" t="n"/>
      <c r="C166" s="49" t="n"/>
      <c r="D166" s="49" t="n"/>
      <c r="E166" s="49" t="n"/>
      <c r="F166" s="49" t="n"/>
      <c r="H166" s="49" t="n"/>
      <c r="I166" s="49" t="n"/>
      <c r="J166" s="50" t="n"/>
      <c r="K166" s="50" t="n"/>
    </row>
    <row r="167">
      <c r="B167" s="49" t="n"/>
      <c r="C167" s="49" t="n"/>
      <c r="D167" s="49" t="n"/>
      <c r="E167" s="49" t="n"/>
      <c r="F167" s="49" t="n"/>
      <c r="H167" s="49" t="n"/>
      <c r="I167" s="49" t="n"/>
      <c r="J167" s="50" t="n"/>
      <c r="K167" s="50" t="n"/>
    </row>
    <row r="168">
      <c r="B168" s="49" t="n"/>
      <c r="C168" s="49" t="n"/>
      <c r="D168" s="49" t="n"/>
      <c r="E168" s="49" t="n"/>
      <c r="F168" s="49" t="n"/>
      <c r="H168" s="49" t="n"/>
      <c r="I168" s="49" t="n"/>
      <c r="J168" s="50" t="n"/>
      <c r="K168" s="50" t="n"/>
    </row>
    <row r="169">
      <c r="B169" s="49" t="n"/>
      <c r="C169" s="49" t="n"/>
      <c r="D169" s="49" t="n"/>
      <c r="E169" s="49" t="n"/>
      <c r="F169" s="49" t="n"/>
      <c r="H169" s="49" t="n"/>
      <c r="I169" s="49" t="n"/>
      <c r="J169" s="50" t="n"/>
      <c r="K169" s="50" t="n"/>
    </row>
    <row r="170">
      <c r="B170" s="49" t="n"/>
      <c r="C170" s="49" t="n"/>
      <c r="D170" s="49" t="n"/>
      <c r="E170" s="49" t="n"/>
      <c r="F170" s="49" t="n"/>
      <c r="H170" s="49" t="n"/>
      <c r="I170" s="49" t="n"/>
      <c r="J170" s="50" t="n"/>
      <c r="K170" s="50" t="n"/>
    </row>
    <row r="171">
      <c r="B171" s="49" t="n"/>
      <c r="C171" s="49" t="n"/>
      <c r="D171" s="49" t="n"/>
      <c r="E171" s="49" t="n"/>
      <c r="F171" s="49" t="n"/>
      <c r="H171" s="49" t="n"/>
      <c r="I171" s="49" t="n"/>
      <c r="J171" s="50" t="n"/>
      <c r="K171" s="50" t="n"/>
    </row>
    <row r="172">
      <c r="B172" s="49" t="n"/>
      <c r="C172" s="49" t="n"/>
      <c r="D172" s="49" t="n"/>
      <c r="E172" s="49" t="n"/>
      <c r="F172" s="49" t="n"/>
      <c r="H172" s="49" t="n"/>
      <c r="I172" s="49" t="n"/>
      <c r="J172" s="50" t="n"/>
      <c r="K172" s="50" t="n"/>
    </row>
    <row r="173">
      <c r="B173" s="49" t="n"/>
      <c r="C173" s="49" t="n"/>
      <c r="D173" s="49" t="n"/>
      <c r="E173" s="49" t="n"/>
      <c r="F173" s="49" t="n"/>
      <c r="H173" s="49" t="n"/>
      <c r="I173" s="49" t="n"/>
      <c r="J173" s="50" t="n"/>
      <c r="K173" s="50" t="n"/>
    </row>
    <row r="174">
      <c r="B174" s="49" t="n"/>
      <c r="C174" s="49" t="n"/>
      <c r="D174" s="49" t="n"/>
      <c r="E174" s="49" t="n"/>
      <c r="F174" s="49" t="n"/>
      <c r="H174" s="49" t="n"/>
      <c r="I174" s="49" t="n"/>
      <c r="J174" s="50" t="n"/>
      <c r="K174" s="50" t="n"/>
    </row>
    <row r="175">
      <c r="B175" s="49" t="n"/>
      <c r="C175" s="49" t="n"/>
      <c r="D175" s="49" t="n"/>
      <c r="E175" s="49" t="n"/>
      <c r="F175" s="49" t="n"/>
      <c r="H175" s="49" t="n"/>
      <c r="I175" s="49" t="n"/>
      <c r="J175" s="50" t="n"/>
      <c r="K175" s="50" t="n"/>
    </row>
    <row r="176">
      <c r="B176" s="49" t="n"/>
      <c r="C176" s="49" t="n"/>
      <c r="D176" s="49" t="n"/>
      <c r="E176" s="49" t="n"/>
      <c r="F176" s="49" t="n"/>
      <c r="H176" s="49" t="n"/>
      <c r="I176" s="49" t="n"/>
      <c r="J176" s="50" t="n"/>
      <c r="K176" s="50" t="n"/>
    </row>
    <row r="177">
      <c r="B177" s="49" t="n"/>
      <c r="C177" s="49" t="n"/>
      <c r="D177" s="49" t="n"/>
      <c r="E177" s="49" t="n"/>
      <c r="F177" s="49" t="n"/>
      <c r="H177" s="49" t="n"/>
      <c r="I177" s="49" t="n"/>
      <c r="J177" s="50" t="n"/>
      <c r="K177" s="50" t="n"/>
    </row>
    <row r="178">
      <c r="B178" s="49" t="n"/>
      <c r="C178" s="49" t="n"/>
      <c r="D178" s="49" t="n"/>
      <c r="E178" s="49" t="n"/>
      <c r="F178" s="49" t="n"/>
      <c r="H178" s="49" t="n"/>
      <c r="I178" s="49" t="n"/>
      <c r="J178" s="50" t="n"/>
      <c r="K178" s="50" t="n"/>
    </row>
    <row r="179">
      <c r="B179" s="49" t="n"/>
      <c r="C179" s="49" t="n"/>
      <c r="D179" s="49" t="n"/>
      <c r="E179" s="49" t="n"/>
      <c r="F179" s="49" t="n"/>
      <c r="H179" s="49" t="n"/>
      <c r="I179" s="49" t="n"/>
      <c r="J179" s="50" t="n"/>
      <c r="K179" s="50" t="n"/>
    </row>
    <row r="180">
      <c r="B180" s="49" t="n"/>
      <c r="C180" s="49" t="n"/>
      <c r="D180" s="49" t="n"/>
      <c r="E180" s="49" t="n"/>
      <c r="F180" s="49" t="n"/>
      <c r="H180" s="49" t="n"/>
      <c r="I180" s="49" t="n"/>
      <c r="J180" s="50" t="n"/>
      <c r="K180" s="50" t="n"/>
    </row>
    <row r="181">
      <c r="B181" s="49" t="n"/>
      <c r="C181" s="49" t="n"/>
      <c r="D181" s="49" t="n"/>
      <c r="E181" s="49" t="n"/>
      <c r="F181" s="49" t="n"/>
      <c r="H181" s="49" t="n"/>
      <c r="I181" s="49" t="n"/>
      <c r="J181" s="50" t="n"/>
      <c r="K181" s="50" t="n"/>
    </row>
    <row r="182">
      <c r="B182" s="49" t="n"/>
      <c r="C182" s="49" t="n"/>
      <c r="D182" s="49" t="n"/>
      <c r="E182" s="49" t="n"/>
      <c r="F182" s="49" t="n"/>
      <c r="H182" s="49" t="n"/>
      <c r="I182" s="49" t="n"/>
      <c r="J182" s="50" t="n"/>
      <c r="K182" s="50" t="n"/>
    </row>
    <row r="183">
      <c r="B183" s="49" t="n"/>
      <c r="C183" s="49" t="n"/>
      <c r="D183" s="49" t="n"/>
      <c r="E183" s="49" t="n"/>
      <c r="F183" s="49" t="n"/>
      <c r="H183" s="49" t="n"/>
      <c r="I183" s="49" t="n"/>
      <c r="J183" s="50" t="n"/>
      <c r="K183" s="50" t="n"/>
    </row>
    <row r="184">
      <c r="B184" s="49" t="n"/>
      <c r="C184" s="49" t="n"/>
      <c r="D184" s="49" t="n"/>
      <c r="E184" s="49" t="n"/>
      <c r="F184" s="49" t="n"/>
      <c r="H184" s="49" t="n"/>
      <c r="I184" s="49" t="n"/>
      <c r="J184" s="50" t="n"/>
      <c r="K184" s="50" t="n"/>
    </row>
    <row r="185">
      <c r="B185" s="49" t="n"/>
      <c r="C185" s="49" t="n"/>
      <c r="D185" s="49" t="n"/>
      <c r="E185" s="49" t="n"/>
      <c r="F185" s="49" t="n"/>
      <c r="H185" s="49" t="n"/>
      <c r="I185" s="49" t="n"/>
      <c r="J185" s="50" t="n"/>
      <c r="K185" s="50" t="n"/>
    </row>
    <row r="186">
      <c r="B186" s="49" t="n"/>
      <c r="C186" s="49" t="n"/>
      <c r="D186" s="49" t="n"/>
      <c r="E186" s="49" t="n"/>
      <c r="F186" s="49" t="n"/>
      <c r="H186" s="49" t="n"/>
      <c r="I186" s="49" t="n"/>
      <c r="J186" s="50" t="n"/>
      <c r="K186" s="50" t="n"/>
    </row>
    <row r="187">
      <c r="B187" s="49" t="n"/>
      <c r="C187" s="49" t="n"/>
      <c r="D187" s="49" t="n"/>
      <c r="E187" s="49" t="n"/>
      <c r="F187" s="49" t="n"/>
      <c r="H187" s="49" t="n"/>
      <c r="I187" s="49" t="n"/>
      <c r="J187" s="50" t="n"/>
      <c r="K187" s="50" t="n"/>
    </row>
    <row r="188">
      <c r="B188" s="49" t="n"/>
      <c r="C188" s="49" t="n"/>
      <c r="D188" s="49" t="n"/>
      <c r="E188" s="49" t="n"/>
      <c r="F188" s="49" t="n"/>
      <c r="H188" s="49" t="n"/>
      <c r="I188" s="49" t="n"/>
      <c r="J188" s="50" t="n"/>
      <c r="K188" s="50" t="n"/>
    </row>
    <row r="189">
      <c r="B189" s="49" t="n"/>
      <c r="C189" s="49" t="n"/>
      <c r="D189" s="49" t="n"/>
      <c r="E189" s="49" t="n"/>
      <c r="F189" s="49" t="n"/>
      <c r="H189" s="49" t="n"/>
      <c r="I189" s="49" t="n"/>
      <c r="J189" s="50" t="n"/>
      <c r="K189" s="50" t="n"/>
    </row>
    <row r="190">
      <c r="B190" s="49" t="n"/>
      <c r="C190" s="49" t="n"/>
      <c r="D190" s="49" t="n"/>
      <c r="E190" s="49" t="n"/>
      <c r="F190" s="49" t="n"/>
      <c r="H190" s="49" t="n"/>
      <c r="I190" s="49" t="n"/>
      <c r="J190" s="50" t="n"/>
      <c r="K190" s="50" t="n"/>
    </row>
    <row r="191">
      <c r="B191" s="49" t="n"/>
      <c r="C191" s="49" t="n"/>
      <c r="D191" s="49" t="n"/>
      <c r="E191" s="49" t="n"/>
      <c r="F191" s="49" t="n"/>
      <c r="H191" s="49" t="n"/>
      <c r="I191" s="49" t="n"/>
      <c r="J191" s="50" t="n"/>
      <c r="K191" s="50" t="n"/>
    </row>
    <row r="192">
      <c r="B192" s="49" t="n"/>
      <c r="C192" s="49" t="n"/>
      <c r="D192" s="49" t="n"/>
      <c r="E192" s="49" t="n"/>
      <c r="F192" s="49" t="n"/>
      <c r="H192" s="49" t="n"/>
      <c r="I192" s="49" t="n"/>
      <c r="J192" s="50" t="n"/>
      <c r="K192" s="50" t="n"/>
    </row>
    <row r="193">
      <c r="B193" s="49" t="n"/>
      <c r="C193" s="49" t="n"/>
      <c r="D193" s="49" t="n"/>
      <c r="E193" s="49" t="n"/>
      <c r="F193" s="49" t="n"/>
      <c r="H193" s="49" t="n"/>
      <c r="I193" s="49" t="n"/>
      <c r="J193" s="50" t="n"/>
      <c r="K193" s="50" t="n"/>
    </row>
    <row r="194">
      <c r="B194" s="49" t="n"/>
      <c r="C194" s="49" t="n"/>
      <c r="D194" s="49" t="n"/>
      <c r="E194" s="49" t="n"/>
      <c r="F194" s="49" t="n"/>
      <c r="H194" s="49" t="n"/>
      <c r="I194" s="49" t="n"/>
      <c r="J194" s="50" t="n"/>
      <c r="K194" s="50" t="n"/>
    </row>
    <row r="195">
      <c r="B195" s="49" t="n"/>
      <c r="C195" s="49" t="n"/>
      <c r="D195" s="49" t="n"/>
      <c r="E195" s="49" t="n"/>
      <c r="F195" s="49" t="n"/>
      <c r="H195" s="49" t="n"/>
      <c r="I195" s="49" t="n"/>
      <c r="J195" s="50" t="n"/>
      <c r="K195" s="50" t="n"/>
    </row>
    <row r="196">
      <c r="B196" s="49" t="n"/>
      <c r="C196" s="49" t="n"/>
      <c r="D196" s="49" t="n"/>
      <c r="E196" s="49" t="n"/>
      <c r="F196" s="49" t="n"/>
      <c r="H196" s="49" t="n"/>
      <c r="I196" s="49" t="n"/>
      <c r="J196" s="50" t="n"/>
      <c r="K196" s="50" t="n"/>
    </row>
    <row r="197">
      <c r="B197" s="49" t="n"/>
      <c r="C197" s="49" t="n"/>
      <c r="D197" s="49" t="n"/>
      <c r="E197" s="49" t="n"/>
      <c r="F197" s="49" t="n"/>
      <c r="H197" s="49" t="n"/>
      <c r="I197" s="49" t="n"/>
      <c r="J197" s="50" t="n"/>
      <c r="K197" s="50" t="n"/>
    </row>
    <row r="198">
      <c r="B198" s="49" t="n"/>
      <c r="C198" s="49" t="n"/>
      <c r="D198" s="49" t="n"/>
      <c r="E198" s="49" t="n"/>
      <c r="F198" s="49" t="n"/>
      <c r="H198" s="49" t="n"/>
      <c r="I198" s="49" t="n"/>
      <c r="J198" s="50" t="n"/>
      <c r="K198" s="50" t="n"/>
    </row>
    <row r="199">
      <c r="B199" s="49" t="n"/>
      <c r="C199" s="49" t="n"/>
      <c r="D199" s="49" t="n"/>
      <c r="E199" s="49" t="n"/>
      <c r="F199" s="49" t="n"/>
      <c r="H199" s="49" t="n"/>
      <c r="I199" s="49" t="n"/>
      <c r="J199" s="50" t="n"/>
      <c r="K199" s="50" t="n"/>
    </row>
    <row r="200">
      <c r="B200" s="49" t="n"/>
      <c r="C200" s="49" t="n"/>
      <c r="D200" s="49" t="n"/>
      <c r="E200" s="49" t="n"/>
      <c r="F200" s="49" t="n"/>
      <c r="H200" s="49" t="n"/>
      <c r="I200" s="49" t="n"/>
      <c r="J200" s="50" t="n"/>
      <c r="K200" s="50" t="n"/>
    </row>
    <row r="201">
      <c r="B201" s="49" t="n"/>
      <c r="C201" s="49" t="n"/>
      <c r="D201" s="49" t="n"/>
      <c r="E201" s="49" t="n"/>
      <c r="F201" s="49" t="n"/>
      <c r="H201" s="49" t="n"/>
      <c r="I201" s="49" t="n"/>
      <c r="J201" s="50" t="n"/>
      <c r="K201" s="50" t="n"/>
    </row>
    <row r="202">
      <c r="B202" s="49" t="n"/>
      <c r="C202" s="49" t="n"/>
      <c r="D202" s="49" t="n"/>
      <c r="E202" s="49" t="n"/>
      <c r="F202" s="49" t="n"/>
      <c r="H202" s="49" t="n"/>
      <c r="I202" s="49" t="n"/>
      <c r="J202" s="50" t="n"/>
      <c r="K202" s="50" t="n"/>
    </row>
    <row r="203">
      <c r="B203" s="49" t="n"/>
      <c r="C203" s="49" t="n"/>
      <c r="D203" s="49" t="n"/>
      <c r="E203" s="49" t="n"/>
      <c r="F203" s="49" t="n"/>
      <c r="H203" s="49" t="n"/>
      <c r="I203" s="49" t="n"/>
      <c r="J203" s="50" t="n"/>
      <c r="K203" s="50" t="n"/>
    </row>
    <row r="204">
      <c r="B204" s="49" t="n"/>
      <c r="C204" s="49" t="n"/>
      <c r="D204" s="49" t="n"/>
      <c r="E204" s="49" t="n"/>
      <c r="F204" s="49" t="n"/>
      <c r="H204" s="49" t="n"/>
      <c r="I204" s="49" t="n"/>
      <c r="J204" s="50" t="n"/>
      <c r="K204" s="50" t="n"/>
    </row>
    <row r="205">
      <c r="B205" s="49" t="n"/>
      <c r="C205" s="49" t="n"/>
      <c r="D205" s="49" t="n"/>
      <c r="E205" s="49" t="n"/>
      <c r="F205" s="49" t="n"/>
      <c r="H205" s="49" t="n"/>
      <c r="I205" s="49" t="n"/>
      <c r="J205" s="50" t="n"/>
      <c r="K205" s="50" t="n"/>
    </row>
    <row r="206">
      <c r="B206" s="49" t="n"/>
      <c r="C206" s="49" t="n"/>
      <c r="D206" s="49" t="n"/>
      <c r="E206" s="49" t="n"/>
      <c r="F206" s="49" t="n"/>
      <c r="H206" s="49" t="n"/>
      <c r="I206" s="49" t="n"/>
      <c r="J206" s="50" t="n"/>
      <c r="K206" s="50" t="n"/>
    </row>
    <row r="207">
      <c r="B207" s="49" t="n"/>
      <c r="C207" s="49" t="n"/>
      <c r="D207" s="49" t="n"/>
      <c r="E207" s="49" t="n"/>
      <c r="F207" s="49" t="n"/>
      <c r="H207" s="49" t="n"/>
      <c r="I207" s="49" t="n"/>
      <c r="J207" s="50" t="n"/>
      <c r="K207" s="50" t="n"/>
    </row>
    <row r="208">
      <c r="B208" s="49" t="n"/>
      <c r="C208" s="49" t="n"/>
      <c r="D208" s="49" t="n"/>
      <c r="E208" s="49" t="n"/>
      <c r="F208" s="49" t="n"/>
      <c r="H208" s="49" t="n"/>
      <c r="I208" s="49" t="n"/>
      <c r="J208" s="50" t="n"/>
      <c r="K208" s="50" t="n"/>
    </row>
    <row r="209">
      <c r="B209" s="49" t="n"/>
      <c r="C209" s="49" t="n"/>
      <c r="D209" s="49" t="n"/>
      <c r="E209" s="49" t="n"/>
      <c r="F209" s="49" t="n"/>
      <c r="H209" s="49" t="n"/>
      <c r="I209" s="49" t="n"/>
      <c r="J209" s="50" t="n"/>
      <c r="K209" s="50" t="n"/>
    </row>
    <row r="210">
      <c r="B210" s="49" t="n"/>
      <c r="C210" s="49" t="n"/>
      <c r="D210" s="49" t="n"/>
      <c r="E210" s="49" t="n"/>
      <c r="F210" s="49" t="n"/>
      <c r="H210" s="49" t="n"/>
      <c r="I210" s="49" t="n"/>
      <c r="J210" s="50" t="n"/>
      <c r="K210" s="50" t="n"/>
    </row>
    <row r="211">
      <c r="B211" s="49" t="n"/>
      <c r="C211" s="49" t="n"/>
      <c r="D211" s="49" t="n"/>
      <c r="E211" s="49" t="n"/>
      <c r="F211" s="49" t="n"/>
      <c r="H211" s="49" t="n"/>
      <c r="I211" s="49" t="n"/>
      <c r="J211" s="50" t="n"/>
      <c r="K211" s="50" t="n"/>
    </row>
    <row r="212">
      <c r="B212" s="49" t="n"/>
      <c r="C212" s="49" t="n"/>
      <c r="D212" s="49" t="n"/>
      <c r="E212" s="49" t="n"/>
      <c r="F212" s="49" t="n"/>
      <c r="H212" s="49" t="n"/>
      <c r="I212" s="49" t="n"/>
      <c r="J212" s="50" t="n"/>
      <c r="K212" s="50" t="n"/>
    </row>
    <row r="213">
      <c r="B213" s="49" t="n"/>
      <c r="C213" s="49" t="n"/>
      <c r="D213" s="49" t="n"/>
      <c r="E213" s="49" t="n"/>
      <c r="F213" s="49" t="n"/>
      <c r="H213" s="49" t="n"/>
      <c r="I213" s="49" t="n"/>
      <c r="J213" s="50" t="n"/>
      <c r="K213" s="50" t="n"/>
    </row>
    <row r="214">
      <c r="B214" s="49" t="n"/>
      <c r="C214" s="49" t="n"/>
      <c r="D214" s="49" t="n"/>
      <c r="E214" s="49" t="n"/>
      <c r="F214" s="49" t="n"/>
      <c r="H214" s="49" t="n"/>
      <c r="I214" s="49" t="n"/>
      <c r="J214" s="50" t="n"/>
      <c r="K214" s="50" t="n"/>
    </row>
    <row r="215">
      <c r="B215" s="49" t="n"/>
      <c r="C215" s="49" t="n"/>
      <c r="D215" s="49" t="n"/>
      <c r="E215" s="49" t="n"/>
      <c r="F215" s="49" t="n"/>
      <c r="H215" s="49" t="n"/>
      <c r="I215" s="49" t="n"/>
      <c r="J215" s="50" t="n"/>
      <c r="K215" s="50" t="n"/>
    </row>
    <row r="216">
      <c r="B216" s="49" t="n"/>
      <c r="C216" s="49" t="n"/>
      <c r="D216" s="49" t="n"/>
      <c r="E216" s="49" t="n"/>
      <c r="F216" s="49" t="n"/>
      <c r="H216" s="49" t="n"/>
      <c r="I216" s="49" t="n"/>
      <c r="J216" s="50" t="n"/>
      <c r="K216" s="50" t="n"/>
    </row>
    <row r="217">
      <c r="B217" s="49" t="n"/>
      <c r="C217" s="49" t="n"/>
      <c r="D217" s="49" t="n"/>
      <c r="E217" s="49" t="n"/>
      <c r="F217" s="49" t="n"/>
      <c r="H217" s="49" t="n"/>
      <c r="I217" s="49" t="n"/>
      <c r="J217" s="50" t="n"/>
      <c r="K217" s="50" t="n"/>
    </row>
    <row r="218">
      <c r="B218" s="49" t="n"/>
      <c r="C218" s="49" t="n"/>
      <c r="D218" s="49" t="n"/>
      <c r="E218" s="49" t="n"/>
      <c r="F218" s="49" t="n"/>
      <c r="H218" s="49" t="n"/>
      <c r="I218" s="49" t="n"/>
      <c r="J218" s="50" t="n"/>
      <c r="K218" s="50" t="n"/>
    </row>
    <row r="219">
      <c r="B219" s="49" t="n"/>
      <c r="C219" s="49" t="n"/>
      <c r="D219" s="49" t="n"/>
      <c r="E219" s="49" t="n"/>
      <c r="F219" s="49" t="n"/>
      <c r="H219" s="49" t="n"/>
      <c r="I219" s="49" t="n"/>
      <c r="J219" s="50" t="n"/>
      <c r="K219" s="50" t="n"/>
    </row>
    <row r="220">
      <c r="B220" s="49" t="n"/>
      <c r="C220" s="49" t="n"/>
      <c r="D220" s="49" t="n"/>
      <c r="E220" s="49" t="n"/>
      <c r="F220" s="49" t="n"/>
      <c r="H220" s="49" t="n"/>
      <c r="I220" s="49" t="n"/>
      <c r="J220" s="50" t="n"/>
      <c r="K220" s="50" t="n"/>
    </row>
    <row r="221">
      <c r="B221" s="49" t="n"/>
      <c r="C221" s="49" t="n"/>
      <c r="D221" s="49" t="n"/>
      <c r="E221" s="49" t="n"/>
      <c r="F221" s="49" t="n"/>
      <c r="H221" s="49" t="n"/>
      <c r="I221" s="49" t="n"/>
      <c r="J221" s="50" t="n"/>
      <c r="K221" s="50" t="n"/>
    </row>
    <row r="222">
      <c r="B222" s="49" t="n"/>
      <c r="C222" s="49" t="n"/>
      <c r="D222" s="49" t="n"/>
      <c r="E222" s="49" t="n"/>
      <c r="F222" s="49" t="n"/>
      <c r="H222" s="49" t="n"/>
      <c r="I222" s="49" t="n"/>
      <c r="J222" s="50" t="n"/>
      <c r="K222" s="50" t="n"/>
    </row>
    <row r="223">
      <c r="B223" s="49" t="n"/>
      <c r="C223" s="49" t="n"/>
      <c r="D223" s="49" t="n"/>
      <c r="E223" s="49" t="n"/>
      <c r="F223" s="49" t="n"/>
      <c r="H223" s="49" t="n"/>
      <c r="I223" s="49" t="n"/>
      <c r="J223" s="50" t="n"/>
      <c r="K223" s="50" t="n"/>
    </row>
    <row r="224">
      <c r="B224" s="49" t="n"/>
      <c r="C224" s="49" t="n"/>
      <c r="D224" s="49" t="n"/>
      <c r="E224" s="49" t="n"/>
      <c r="F224" s="49" t="n"/>
      <c r="H224" s="49" t="n"/>
      <c r="I224" s="49" t="n"/>
      <c r="J224" s="50" t="n"/>
      <c r="K224" s="50" t="n"/>
    </row>
    <row r="225">
      <c r="B225" s="49" t="n"/>
      <c r="C225" s="49" t="n"/>
      <c r="D225" s="49" t="n"/>
      <c r="E225" s="49" t="n"/>
      <c r="F225" s="49" t="n"/>
      <c r="H225" s="49" t="n"/>
      <c r="I225" s="49" t="n"/>
      <c r="J225" s="50" t="n"/>
      <c r="K225" s="50" t="n"/>
    </row>
    <row r="226">
      <c r="B226" s="49" t="n"/>
      <c r="C226" s="49" t="n"/>
      <c r="D226" s="49" t="n"/>
      <c r="E226" s="49" t="n"/>
      <c r="F226" s="49" t="n"/>
      <c r="H226" s="49" t="n"/>
      <c r="I226" s="49" t="n"/>
      <c r="J226" s="50" t="n"/>
      <c r="K226" s="50" t="n"/>
    </row>
    <row r="227">
      <c r="B227" s="49" t="n"/>
      <c r="C227" s="49" t="n"/>
      <c r="D227" s="49" t="n"/>
      <c r="E227" s="49" t="n"/>
      <c r="F227" s="49" t="n"/>
      <c r="H227" s="49" t="n"/>
      <c r="I227" s="49" t="n"/>
      <c r="J227" s="50" t="n"/>
      <c r="K227" s="50" t="n"/>
    </row>
    <row r="228">
      <c r="B228" s="49" t="n"/>
      <c r="C228" s="49" t="n"/>
      <c r="D228" s="49" t="n"/>
      <c r="E228" s="49" t="n"/>
      <c r="F228" s="49" t="n"/>
      <c r="H228" s="49" t="n"/>
      <c r="I228" s="49" t="n"/>
      <c r="J228" s="50" t="n"/>
      <c r="K228" s="50" t="n"/>
    </row>
    <row r="229">
      <c r="B229" s="49" t="n"/>
      <c r="C229" s="49" t="n"/>
      <c r="D229" s="49" t="n"/>
      <c r="E229" s="49" t="n"/>
      <c r="F229" s="49" t="n"/>
      <c r="H229" s="49" t="n"/>
      <c r="I229" s="49" t="n"/>
      <c r="J229" s="50" t="n"/>
      <c r="K229" s="50" t="n"/>
    </row>
    <row r="230">
      <c r="B230" s="49" t="n"/>
      <c r="C230" s="49" t="n"/>
      <c r="D230" s="49" t="n"/>
      <c r="E230" s="49" t="n"/>
      <c r="F230" s="49" t="n"/>
      <c r="H230" s="49" t="n"/>
      <c r="I230" s="49" t="n"/>
      <c r="J230" s="50" t="n"/>
      <c r="K230" s="50" t="n"/>
    </row>
    <row r="231">
      <c r="B231" s="49" t="n"/>
      <c r="C231" s="49" t="n"/>
      <c r="D231" s="49" t="n"/>
      <c r="E231" s="49" t="n"/>
      <c r="F231" s="49" t="n"/>
      <c r="H231" s="49" t="n"/>
      <c r="I231" s="49" t="n"/>
      <c r="J231" s="50" t="n"/>
      <c r="K231" s="50" t="n"/>
    </row>
    <row r="232">
      <c r="B232" s="49" t="n"/>
      <c r="C232" s="49" t="n"/>
      <c r="D232" s="49" t="n"/>
      <c r="E232" s="49" t="n"/>
      <c r="F232" s="49" t="n"/>
      <c r="H232" s="49" t="n"/>
      <c r="I232" s="49" t="n"/>
      <c r="J232" s="50" t="n"/>
      <c r="K232" s="50" t="n"/>
    </row>
    <row r="233">
      <c r="B233" s="49" t="n"/>
      <c r="C233" s="49" t="n"/>
      <c r="D233" s="49" t="n"/>
      <c r="E233" s="49" t="n"/>
      <c r="F233" s="49" t="n"/>
      <c r="H233" s="49" t="n"/>
      <c r="I233" s="49" t="n"/>
      <c r="J233" s="50" t="n"/>
      <c r="K233" s="50" t="n"/>
    </row>
    <row r="234">
      <c r="B234" s="49" t="n"/>
      <c r="C234" s="49" t="n"/>
      <c r="D234" s="49" t="n"/>
      <c r="E234" s="49" t="n"/>
      <c r="F234" s="49" t="n"/>
      <c r="H234" s="49" t="n"/>
      <c r="I234" s="49" t="n"/>
      <c r="J234" s="50" t="n"/>
      <c r="K234" s="50" t="n"/>
    </row>
    <row r="235">
      <c r="B235" s="49" t="n"/>
      <c r="C235" s="49" t="n"/>
      <c r="D235" s="49" t="n"/>
      <c r="E235" s="49" t="n"/>
      <c r="F235" s="49" t="n"/>
      <c r="H235" s="49" t="n"/>
      <c r="I235" s="49" t="n"/>
      <c r="J235" s="50" t="n"/>
      <c r="K235" s="50" t="n"/>
    </row>
    <row r="236">
      <c r="B236" s="49" t="n"/>
      <c r="C236" s="49" t="n"/>
      <c r="D236" s="49" t="n"/>
      <c r="E236" s="49" t="n"/>
      <c r="F236" s="49" t="n"/>
      <c r="H236" s="49" t="n"/>
      <c r="I236" s="49" t="n"/>
      <c r="J236" s="50" t="n"/>
      <c r="K236" s="50" t="n"/>
    </row>
    <row r="237">
      <c r="B237" s="49" t="n"/>
      <c r="C237" s="49" t="n"/>
      <c r="D237" s="49" t="n"/>
      <c r="E237" s="49" t="n"/>
      <c r="F237" s="49" t="n"/>
      <c r="H237" s="49" t="n"/>
      <c r="I237" s="49" t="n"/>
      <c r="J237" s="50" t="n"/>
      <c r="K237" s="50" t="n"/>
    </row>
    <row r="238">
      <c r="B238" s="49" t="n"/>
      <c r="C238" s="49" t="n"/>
      <c r="D238" s="49" t="n"/>
      <c r="E238" s="49" t="n"/>
      <c r="F238" s="49" t="n"/>
      <c r="H238" s="49" t="n"/>
      <c r="I238" s="49" t="n"/>
      <c r="J238" s="50" t="n"/>
      <c r="K238" s="50" t="n"/>
    </row>
    <row r="239">
      <c r="B239" s="49" t="n"/>
      <c r="C239" s="49" t="n"/>
      <c r="D239" s="49" t="n"/>
      <c r="E239" s="49" t="n"/>
      <c r="F239" s="49" t="n"/>
      <c r="H239" s="49" t="n"/>
      <c r="I239" s="49" t="n"/>
      <c r="J239" s="50" t="n"/>
      <c r="K239" s="50" t="n"/>
    </row>
    <row r="240">
      <c r="B240" s="49" t="n"/>
      <c r="C240" s="49" t="n"/>
      <c r="D240" s="49" t="n"/>
      <c r="E240" s="49" t="n"/>
      <c r="F240" s="49" t="n"/>
      <c r="H240" s="49" t="n"/>
      <c r="I240" s="49" t="n"/>
      <c r="J240" s="50" t="n"/>
      <c r="K240" s="50" t="n"/>
    </row>
    <row r="241">
      <c r="B241" s="49" t="n"/>
      <c r="C241" s="49" t="n"/>
      <c r="D241" s="49" t="n"/>
      <c r="E241" s="49" t="n"/>
      <c r="F241" s="49" t="n"/>
      <c r="H241" s="49" t="n"/>
      <c r="I241" s="49" t="n"/>
      <c r="J241" s="50" t="n"/>
      <c r="K241" s="50" t="n"/>
    </row>
    <row r="242">
      <c r="B242" s="49" t="n"/>
      <c r="C242" s="49" t="n"/>
      <c r="D242" s="49" t="n"/>
      <c r="E242" s="49" t="n"/>
      <c r="F242" s="49" t="n"/>
      <c r="H242" s="49" t="n"/>
      <c r="I242" s="49" t="n"/>
      <c r="J242" s="50" t="n"/>
      <c r="K242" s="50" t="n"/>
    </row>
    <row r="243">
      <c r="B243" s="49" t="n"/>
      <c r="C243" s="49" t="n"/>
      <c r="D243" s="49" t="n"/>
      <c r="E243" s="49" t="n"/>
      <c r="F243" s="49" t="n"/>
      <c r="H243" s="49" t="n"/>
      <c r="I243" s="49" t="n"/>
      <c r="J243" s="50" t="n"/>
      <c r="K243" s="50" t="n"/>
    </row>
    <row r="244">
      <c r="B244" s="49" t="n"/>
      <c r="C244" s="49" t="n"/>
      <c r="D244" s="49" t="n"/>
      <c r="E244" s="49" t="n"/>
      <c r="F244" s="49" t="n"/>
      <c r="H244" s="49" t="n"/>
      <c r="I244" s="49" t="n"/>
      <c r="J244" s="50" t="n"/>
      <c r="K244" s="50" t="n"/>
    </row>
    <row r="245">
      <c r="B245" s="49" t="n"/>
      <c r="C245" s="49" t="n"/>
      <c r="D245" s="49" t="n"/>
      <c r="E245" s="49" t="n"/>
      <c r="F245" s="49" t="n"/>
      <c r="H245" s="49" t="n"/>
      <c r="I245" s="49" t="n"/>
      <c r="J245" s="50" t="n"/>
      <c r="K245" s="50" t="n"/>
    </row>
    <row r="246">
      <c r="B246" s="49" t="n"/>
      <c r="C246" s="49" t="n"/>
      <c r="D246" s="49" t="n"/>
      <c r="E246" s="49" t="n"/>
      <c r="F246" s="49" t="n"/>
      <c r="H246" s="49" t="n"/>
      <c r="I246" s="49" t="n"/>
      <c r="J246" s="50" t="n"/>
      <c r="K246" s="50" t="n"/>
    </row>
    <row r="247">
      <c r="B247" s="49" t="n"/>
      <c r="C247" s="49" t="n"/>
      <c r="D247" s="49" t="n"/>
      <c r="E247" s="49" t="n"/>
      <c r="F247" s="49" t="n"/>
      <c r="H247" s="49" t="n"/>
      <c r="I247" s="49" t="n"/>
      <c r="J247" s="50" t="n"/>
      <c r="K247" s="50" t="n"/>
    </row>
    <row r="248">
      <c r="B248" s="49" t="n"/>
      <c r="C248" s="49" t="n"/>
      <c r="D248" s="49" t="n"/>
      <c r="E248" s="49" t="n"/>
      <c r="F248" s="49" t="n"/>
      <c r="H248" s="49" t="n"/>
      <c r="I248" s="49" t="n"/>
      <c r="J248" s="50" t="n"/>
      <c r="K248" s="50" t="n"/>
    </row>
    <row r="249">
      <c r="B249" s="49" t="n"/>
      <c r="C249" s="49" t="n"/>
      <c r="D249" s="49" t="n"/>
      <c r="E249" s="49" t="n"/>
      <c r="F249" s="49" t="n"/>
      <c r="H249" s="49" t="n"/>
      <c r="I249" s="49" t="n"/>
      <c r="J249" s="50" t="n"/>
      <c r="K249" s="50" t="n"/>
    </row>
    <row r="250">
      <c r="B250" s="49" t="n"/>
      <c r="C250" s="49" t="n"/>
      <c r="D250" s="49" t="n"/>
      <c r="E250" s="49" t="n"/>
      <c r="F250" s="49" t="n"/>
      <c r="H250" s="49" t="n"/>
      <c r="I250" s="49" t="n"/>
      <c r="J250" s="50" t="n"/>
      <c r="K250" s="50" t="n"/>
    </row>
    <row r="251">
      <c r="B251" s="49" t="n"/>
      <c r="C251" s="49" t="n"/>
      <c r="D251" s="49" t="n"/>
      <c r="E251" s="49" t="n"/>
      <c r="F251" s="49" t="n"/>
      <c r="H251" s="49" t="n"/>
      <c r="I251" s="49" t="n"/>
      <c r="J251" s="50" t="n"/>
      <c r="K251" s="50" t="n"/>
    </row>
    <row r="252">
      <c r="B252" s="49" t="n"/>
      <c r="C252" s="49" t="n"/>
      <c r="D252" s="49" t="n"/>
      <c r="E252" s="49" t="n"/>
      <c r="F252" s="49" t="n"/>
      <c r="H252" s="49" t="n"/>
      <c r="I252" s="49" t="n"/>
      <c r="J252" s="50" t="n"/>
      <c r="K252" s="50" t="n"/>
    </row>
    <row r="253">
      <c r="B253" s="49" t="n"/>
      <c r="C253" s="49" t="n"/>
      <c r="D253" s="49" t="n"/>
      <c r="E253" s="49" t="n"/>
      <c r="F253" s="49" t="n"/>
      <c r="H253" s="49" t="n"/>
      <c r="I253" s="49" t="n"/>
      <c r="J253" s="50" t="n"/>
      <c r="K253" s="50" t="n"/>
    </row>
    <row r="254">
      <c r="B254" s="49" t="n"/>
      <c r="C254" s="49" t="n"/>
      <c r="D254" s="49" t="n"/>
      <c r="E254" s="49" t="n"/>
      <c r="F254" s="49" t="n"/>
      <c r="H254" s="49" t="n"/>
      <c r="I254" s="49" t="n"/>
      <c r="J254" s="50" t="n"/>
      <c r="K254" s="50" t="n"/>
    </row>
    <row r="255">
      <c r="B255" s="49" t="n"/>
      <c r="C255" s="49" t="n"/>
      <c r="D255" s="49" t="n"/>
      <c r="E255" s="49" t="n"/>
      <c r="F255" s="49" t="n"/>
      <c r="H255" s="49" t="n"/>
      <c r="I255" s="49" t="n"/>
      <c r="J255" s="50" t="n"/>
      <c r="K255" s="50" t="n"/>
    </row>
    <row r="256">
      <c r="B256" s="49" t="n"/>
      <c r="C256" s="49" t="n"/>
      <c r="D256" s="49" t="n"/>
      <c r="E256" s="49" t="n"/>
      <c r="F256" s="49" t="n"/>
      <c r="H256" s="49" t="n"/>
      <c r="I256" s="49" t="n"/>
      <c r="J256" s="50" t="n"/>
      <c r="K256" s="50" t="n"/>
    </row>
    <row r="257">
      <c r="B257" s="49" t="n"/>
      <c r="C257" s="49" t="n"/>
      <c r="D257" s="49" t="n"/>
      <c r="E257" s="49" t="n"/>
      <c r="F257" s="49" t="n"/>
      <c r="H257" s="49" t="n"/>
      <c r="I257" s="49" t="n"/>
      <c r="J257" s="50" t="n"/>
      <c r="K257" s="50" t="n"/>
    </row>
    <row r="258">
      <c r="B258" s="49" t="n"/>
      <c r="C258" s="49" t="n"/>
      <c r="D258" s="49" t="n"/>
      <c r="E258" s="49" t="n"/>
      <c r="F258" s="49" t="n"/>
      <c r="H258" s="49" t="n"/>
      <c r="I258" s="49" t="n"/>
      <c r="J258" s="50" t="n"/>
      <c r="K258" s="50" t="n"/>
    </row>
    <row r="259">
      <c r="B259" s="49" t="n"/>
      <c r="C259" s="49" t="n"/>
      <c r="D259" s="49" t="n"/>
      <c r="E259" s="49" t="n"/>
      <c r="F259" s="49" t="n"/>
      <c r="H259" s="49" t="n"/>
      <c r="I259" s="49" t="n"/>
      <c r="J259" s="50" t="n"/>
      <c r="K259" s="50" t="n"/>
    </row>
    <row r="260">
      <c r="B260" s="49" t="n"/>
      <c r="C260" s="49" t="n"/>
      <c r="D260" s="49" t="n"/>
      <c r="E260" s="49" t="n"/>
      <c r="F260" s="49" t="n"/>
      <c r="H260" s="49" t="n"/>
      <c r="I260" s="49" t="n"/>
      <c r="J260" s="50" t="n"/>
      <c r="K260" s="50" t="n"/>
    </row>
    <row r="261">
      <c r="B261" s="49" t="n"/>
      <c r="C261" s="49" t="n"/>
      <c r="D261" s="49" t="n"/>
      <c r="E261" s="49" t="n"/>
      <c r="F261" s="49" t="n"/>
      <c r="H261" s="49" t="n"/>
      <c r="I261" s="49" t="n"/>
      <c r="J261" s="50" t="n"/>
      <c r="K261" s="50" t="n"/>
    </row>
    <row r="262">
      <c r="B262" s="49" t="n"/>
      <c r="C262" s="49" t="n"/>
      <c r="D262" s="49" t="n"/>
      <c r="E262" s="49" t="n"/>
      <c r="F262" s="49" t="n"/>
      <c r="H262" s="49" t="n"/>
      <c r="I262" s="49" t="n"/>
      <c r="J262" s="50" t="n"/>
      <c r="K262" s="50" t="n"/>
    </row>
    <row r="263">
      <c r="B263" s="49" t="n"/>
      <c r="C263" s="49" t="n"/>
      <c r="D263" s="49" t="n"/>
      <c r="E263" s="49" t="n"/>
      <c r="F263" s="49" t="n"/>
      <c r="H263" s="49" t="n"/>
      <c r="I263" s="49" t="n"/>
      <c r="J263" s="50" t="n"/>
      <c r="K263" s="50" t="n"/>
    </row>
    <row r="264">
      <c r="B264" s="49" t="n"/>
      <c r="C264" s="49" t="n"/>
      <c r="D264" s="49" t="n"/>
      <c r="E264" s="49" t="n"/>
      <c r="F264" s="49" t="n"/>
      <c r="H264" s="49" t="n"/>
      <c r="I264" s="49" t="n"/>
      <c r="J264" s="50" t="n"/>
      <c r="K264" s="50" t="n"/>
    </row>
    <row r="265">
      <c r="B265" s="49" t="n"/>
      <c r="C265" s="49" t="n"/>
      <c r="D265" s="49" t="n"/>
      <c r="E265" s="49" t="n"/>
      <c r="F265" s="49" t="n"/>
      <c r="H265" s="49" t="n"/>
      <c r="I265" s="49" t="n"/>
      <c r="J265" s="50" t="n"/>
      <c r="K265" s="50" t="n"/>
    </row>
    <row r="266">
      <c r="B266" s="49" t="n"/>
      <c r="C266" s="49" t="n"/>
      <c r="D266" s="49" t="n"/>
      <c r="E266" s="49" t="n"/>
      <c r="F266" s="49" t="n"/>
      <c r="H266" s="49" t="n"/>
      <c r="I266" s="49" t="n"/>
      <c r="J266" s="50" t="n"/>
      <c r="K266" s="50" t="n"/>
    </row>
    <row r="267">
      <c r="B267" s="49" t="n"/>
      <c r="C267" s="49" t="n"/>
      <c r="D267" s="49" t="n"/>
      <c r="E267" s="49" t="n"/>
      <c r="F267" s="49" t="n"/>
      <c r="H267" s="49" t="n"/>
      <c r="I267" s="49" t="n"/>
      <c r="J267" s="50" t="n"/>
      <c r="K267" s="50" t="n"/>
    </row>
    <row r="268">
      <c r="B268" s="49" t="n"/>
      <c r="C268" s="49" t="n"/>
      <c r="D268" s="49" t="n"/>
      <c r="E268" s="49" t="n"/>
      <c r="F268" s="49" t="n"/>
      <c r="H268" s="49" t="n"/>
      <c r="I268" s="49" t="n"/>
      <c r="J268" s="50" t="n"/>
      <c r="K268" s="50" t="n"/>
    </row>
    <row r="269">
      <c r="B269" s="49" t="n"/>
      <c r="C269" s="49" t="n"/>
      <c r="D269" s="49" t="n"/>
      <c r="E269" s="49" t="n"/>
      <c r="F269" s="49" t="n"/>
      <c r="H269" s="49" t="n"/>
      <c r="I269" s="49" t="n"/>
      <c r="J269" s="50" t="n"/>
      <c r="K269" s="50" t="n"/>
    </row>
    <row r="270">
      <c r="B270" s="49" t="n"/>
      <c r="C270" s="49" t="n"/>
      <c r="D270" s="49" t="n"/>
      <c r="E270" s="49" t="n"/>
      <c r="F270" s="49" t="n"/>
      <c r="H270" s="49" t="n"/>
      <c r="I270" s="49" t="n"/>
      <c r="J270" s="50" t="n"/>
      <c r="K270" s="50" t="n"/>
    </row>
    <row r="271">
      <c r="B271" s="49" t="n"/>
      <c r="C271" s="49" t="n"/>
      <c r="D271" s="49" t="n"/>
      <c r="E271" s="49" t="n"/>
      <c r="F271" s="49" t="n"/>
      <c r="H271" s="49" t="n"/>
      <c r="I271" s="49" t="n"/>
      <c r="J271" s="50" t="n"/>
      <c r="K271" s="50" t="n"/>
    </row>
    <row r="272">
      <c r="B272" s="49" t="n"/>
      <c r="C272" s="49" t="n"/>
      <c r="D272" s="49" t="n"/>
      <c r="E272" s="49" t="n"/>
      <c r="F272" s="49" t="n"/>
      <c r="H272" s="49" t="n"/>
      <c r="I272" s="49" t="n"/>
      <c r="J272" s="50" t="n"/>
      <c r="K272" s="50" t="n"/>
    </row>
    <row r="273">
      <c r="B273" s="49" t="n"/>
      <c r="C273" s="49" t="n"/>
      <c r="D273" s="49" t="n"/>
      <c r="E273" s="49" t="n"/>
      <c r="F273" s="49" t="n"/>
      <c r="H273" s="49" t="n"/>
      <c r="I273" s="49" t="n"/>
      <c r="J273" s="50" t="n"/>
      <c r="K273" s="50" t="n"/>
    </row>
    <row r="274">
      <c r="B274" s="49" t="n"/>
      <c r="C274" s="49" t="n"/>
      <c r="D274" s="49" t="n"/>
      <c r="E274" s="49" t="n"/>
      <c r="F274" s="49" t="n"/>
      <c r="H274" s="49" t="n"/>
      <c r="I274" s="49" t="n"/>
      <c r="J274" s="50" t="n"/>
      <c r="K274" s="50" t="n"/>
    </row>
    <row r="275">
      <c r="B275" s="49" t="n"/>
      <c r="C275" s="49" t="n"/>
      <c r="D275" s="49" t="n"/>
      <c r="E275" s="49" t="n"/>
      <c r="F275" s="49" t="n"/>
      <c r="H275" s="49" t="n"/>
      <c r="I275" s="49" t="n"/>
      <c r="J275" s="50" t="n"/>
      <c r="K275" s="50" t="n"/>
    </row>
    <row r="276">
      <c r="B276" s="49" t="n"/>
      <c r="C276" s="49" t="n"/>
      <c r="D276" s="49" t="n"/>
      <c r="E276" s="49" t="n"/>
      <c r="F276" s="49" t="n"/>
      <c r="H276" s="49" t="n"/>
      <c r="I276" s="49" t="n"/>
      <c r="J276" s="50" t="n"/>
      <c r="K276" s="50" t="n"/>
    </row>
    <row r="277">
      <c r="B277" s="49" t="n"/>
      <c r="C277" s="49" t="n"/>
      <c r="D277" s="49" t="n"/>
      <c r="E277" s="49" t="n"/>
      <c r="F277" s="49" t="n"/>
      <c r="H277" s="49" t="n"/>
      <c r="I277" s="49" t="n"/>
      <c r="J277" s="50" t="n"/>
      <c r="K277" s="50" t="n"/>
    </row>
    <row r="278">
      <c r="B278" s="49" t="n"/>
      <c r="C278" s="49" t="n"/>
      <c r="D278" s="49" t="n"/>
      <c r="E278" s="49" t="n"/>
      <c r="F278" s="49" t="n"/>
      <c r="H278" s="49" t="n"/>
      <c r="I278" s="49" t="n"/>
      <c r="J278" s="50" t="n"/>
      <c r="K278" s="50" t="n"/>
    </row>
    <row r="279">
      <c r="B279" s="49" t="n"/>
      <c r="C279" s="49" t="n"/>
      <c r="D279" s="49" t="n"/>
      <c r="E279" s="49" t="n"/>
      <c r="F279" s="49" t="n"/>
      <c r="H279" s="49" t="n"/>
      <c r="I279" s="49" t="n"/>
      <c r="J279" s="50" t="n"/>
      <c r="K279" s="50" t="n"/>
    </row>
    <row r="280">
      <c r="B280" s="49" t="n"/>
      <c r="C280" s="49" t="n"/>
      <c r="D280" s="49" t="n"/>
      <c r="E280" s="49" t="n"/>
      <c r="F280" s="49" t="n"/>
      <c r="H280" s="49" t="n"/>
      <c r="I280" s="49" t="n"/>
      <c r="J280" s="50" t="n"/>
      <c r="K280" s="50" t="n"/>
    </row>
    <row r="281">
      <c r="B281" s="49" t="n"/>
      <c r="C281" s="49" t="n"/>
      <c r="D281" s="49" t="n"/>
      <c r="E281" s="49" t="n"/>
      <c r="F281" s="49" t="n"/>
      <c r="H281" s="49" t="n"/>
      <c r="I281" s="49" t="n"/>
      <c r="J281" s="50" t="n"/>
      <c r="K281" s="50" t="n"/>
    </row>
    <row r="282">
      <c r="B282" s="49" t="n"/>
      <c r="C282" s="49" t="n"/>
      <c r="D282" s="49" t="n"/>
      <c r="E282" s="49" t="n"/>
      <c r="F282" s="49" t="n"/>
      <c r="H282" s="49" t="n"/>
      <c r="I282" s="49" t="n"/>
      <c r="J282" s="50" t="n"/>
      <c r="K282" s="50" t="n"/>
    </row>
    <row r="283">
      <c r="B283" s="49" t="n"/>
      <c r="C283" s="49" t="n"/>
      <c r="D283" s="49" t="n"/>
      <c r="E283" s="49" t="n"/>
      <c r="F283" s="49" t="n"/>
      <c r="H283" s="49" t="n"/>
      <c r="I283" s="49" t="n"/>
      <c r="J283" s="50" t="n"/>
      <c r="K283" s="50" t="n"/>
    </row>
    <row r="284">
      <c r="B284" s="49" t="n"/>
      <c r="C284" s="49" t="n"/>
      <c r="D284" s="49" t="n"/>
      <c r="E284" s="49" t="n"/>
      <c r="F284" s="49" t="n"/>
      <c r="H284" s="49" t="n"/>
      <c r="I284" s="49" t="n"/>
      <c r="J284" s="50" t="n"/>
      <c r="K284" s="50" t="n"/>
    </row>
    <row r="285">
      <c r="B285" s="49" t="n"/>
      <c r="C285" s="49" t="n"/>
      <c r="D285" s="49" t="n"/>
      <c r="E285" s="49" t="n"/>
      <c r="F285" s="49" t="n"/>
      <c r="H285" s="49" t="n"/>
      <c r="I285" s="49" t="n"/>
      <c r="J285" s="50" t="n"/>
      <c r="K285" s="50" t="n"/>
    </row>
    <row r="286">
      <c r="B286" s="49" t="n"/>
      <c r="C286" s="49" t="n"/>
      <c r="D286" s="49" t="n"/>
      <c r="E286" s="49" t="n"/>
      <c r="F286" s="49" t="n"/>
      <c r="H286" s="49" t="n"/>
      <c r="I286" s="49" t="n"/>
      <c r="J286" s="50" t="n"/>
      <c r="K286" s="50" t="n"/>
    </row>
    <row r="287">
      <c r="B287" s="49" t="n"/>
      <c r="C287" s="49" t="n"/>
      <c r="D287" s="49" t="n"/>
      <c r="E287" s="49" t="n"/>
      <c r="F287" s="49" t="n"/>
      <c r="H287" s="49" t="n"/>
      <c r="I287" s="49" t="n"/>
      <c r="J287" s="50" t="n"/>
      <c r="K287" s="50" t="n"/>
    </row>
    <row r="288">
      <c r="B288" s="49" t="n"/>
      <c r="C288" s="49" t="n"/>
      <c r="D288" s="49" t="n"/>
      <c r="E288" s="49" t="n"/>
      <c r="F288" s="49" t="n"/>
      <c r="H288" s="49" t="n"/>
      <c r="I288" s="49" t="n"/>
      <c r="J288" s="50" t="n"/>
      <c r="K288" s="50" t="n"/>
    </row>
    <row r="289">
      <c r="B289" s="49" t="n"/>
      <c r="C289" s="49" t="n"/>
      <c r="D289" s="49" t="n"/>
      <c r="E289" s="49" t="n"/>
      <c r="F289" s="49" t="n"/>
      <c r="H289" s="49" t="n"/>
      <c r="I289" s="49" t="n"/>
      <c r="J289" s="50" t="n"/>
      <c r="K289" s="50" t="n"/>
    </row>
    <row r="290">
      <c r="B290" s="49" t="n"/>
      <c r="C290" s="49" t="n"/>
      <c r="D290" s="49" t="n"/>
      <c r="E290" s="49" t="n"/>
      <c r="F290" s="49" t="n"/>
      <c r="H290" s="49" t="n"/>
      <c r="I290" s="49" t="n"/>
      <c r="J290" s="50" t="n"/>
      <c r="K290" s="50" t="n"/>
    </row>
    <row r="291">
      <c r="B291" s="49" t="n"/>
      <c r="C291" s="49" t="n"/>
      <c r="D291" s="49" t="n"/>
      <c r="E291" s="49" t="n"/>
      <c r="F291" s="49" t="n"/>
      <c r="H291" s="49" t="n"/>
      <c r="I291" s="49" t="n"/>
      <c r="J291" s="50" t="n"/>
      <c r="K291" s="50" t="n"/>
    </row>
    <row r="292">
      <c r="B292" s="49" t="n"/>
      <c r="C292" s="49" t="n"/>
      <c r="D292" s="49" t="n"/>
      <c r="E292" s="49" t="n"/>
      <c r="F292" s="49" t="n"/>
      <c r="H292" s="49" t="n"/>
      <c r="I292" s="49" t="n"/>
      <c r="J292" s="50" t="n"/>
      <c r="K292" s="50" t="n"/>
    </row>
    <row r="293">
      <c r="B293" s="49" t="n"/>
      <c r="C293" s="49" t="n"/>
      <c r="D293" s="49" t="n"/>
      <c r="E293" s="49" t="n"/>
      <c r="F293" s="49" t="n"/>
      <c r="H293" s="49" t="n"/>
      <c r="I293" s="49" t="n"/>
      <c r="J293" s="50" t="n"/>
      <c r="K293" s="50" t="n"/>
    </row>
    <row r="294">
      <c r="B294" s="49" t="n"/>
      <c r="C294" s="49" t="n"/>
      <c r="D294" s="49" t="n"/>
      <c r="E294" s="49" t="n"/>
      <c r="F294" s="49" t="n"/>
      <c r="H294" s="49" t="n"/>
      <c r="I294" s="49" t="n"/>
      <c r="J294" s="50" t="n"/>
      <c r="K294" s="50" t="n"/>
    </row>
    <row r="295">
      <c r="B295" s="49" t="n"/>
      <c r="C295" s="49" t="n"/>
      <c r="D295" s="49" t="n"/>
      <c r="E295" s="49" t="n"/>
      <c r="F295" s="49" t="n"/>
      <c r="H295" s="49" t="n"/>
      <c r="I295" s="49" t="n"/>
      <c r="J295" s="50" t="n"/>
      <c r="K295" s="50" t="n"/>
    </row>
    <row r="296">
      <c r="B296" s="49" t="n"/>
      <c r="C296" s="49" t="n"/>
      <c r="D296" s="49" t="n"/>
      <c r="E296" s="49" t="n"/>
      <c r="F296" s="49" t="n"/>
      <c r="H296" s="49" t="n"/>
      <c r="I296" s="49" t="n"/>
      <c r="J296" s="50" t="n"/>
      <c r="K296" s="50" t="n"/>
    </row>
    <row r="297">
      <c r="B297" s="49" t="n"/>
      <c r="C297" s="49" t="n"/>
      <c r="D297" s="49" t="n"/>
      <c r="E297" s="49" t="n"/>
      <c r="F297" s="49" t="n"/>
      <c r="H297" s="49" t="n"/>
      <c r="I297" s="49" t="n"/>
      <c r="J297" s="50" t="n"/>
      <c r="K297" s="50" t="n"/>
    </row>
    <row r="298">
      <c r="B298" s="49" t="n"/>
      <c r="C298" s="49" t="n"/>
      <c r="D298" s="49" t="n"/>
      <c r="E298" s="49" t="n"/>
      <c r="F298" s="49" t="n"/>
      <c r="H298" s="49" t="n"/>
      <c r="I298" s="49" t="n"/>
      <c r="J298" s="50" t="n"/>
      <c r="K298" s="50" t="n"/>
    </row>
    <row r="299">
      <c r="B299" s="49" t="n"/>
      <c r="C299" s="49" t="n"/>
      <c r="D299" s="49" t="n"/>
      <c r="E299" s="49" t="n"/>
      <c r="F299" s="49" t="n"/>
      <c r="H299" s="49" t="n"/>
      <c r="I299" s="49" t="n"/>
      <c r="J299" s="50" t="n"/>
      <c r="K299" s="50" t="n"/>
    </row>
    <row r="300">
      <c r="B300" s="49" t="n"/>
      <c r="C300" s="49" t="n"/>
      <c r="D300" s="49" t="n"/>
      <c r="E300" s="49" t="n"/>
      <c r="F300" s="49" t="n"/>
      <c r="H300" s="49" t="n"/>
      <c r="I300" s="49" t="n"/>
      <c r="J300" s="50" t="n"/>
      <c r="K300" s="50" t="n"/>
    </row>
    <row r="301">
      <c r="B301" s="49" t="n"/>
      <c r="C301" s="49" t="n"/>
      <c r="D301" s="49" t="n"/>
      <c r="E301" s="49" t="n"/>
      <c r="F301" s="49" t="n"/>
      <c r="H301" s="49" t="n"/>
      <c r="I301" s="49" t="n"/>
      <c r="J301" s="50" t="n"/>
      <c r="K301" s="50" t="n"/>
    </row>
    <row r="302">
      <c r="B302" s="49" t="n"/>
      <c r="C302" s="49" t="n"/>
      <c r="D302" s="49" t="n"/>
      <c r="E302" s="49" t="n"/>
      <c r="F302" s="49" t="n"/>
      <c r="H302" s="49" t="n"/>
      <c r="I302" s="49" t="n"/>
      <c r="J302" s="50" t="n"/>
      <c r="K302" s="50" t="n"/>
    </row>
    <row r="303">
      <c r="B303" s="49" t="n"/>
      <c r="C303" s="49" t="n"/>
      <c r="D303" s="49" t="n"/>
      <c r="E303" s="49" t="n"/>
      <c r="F303" s="49" t="n"/>
      <c r="H303" s="49" t="n"/>
      <c r="I303" s="49" t="n"/>
      <c r="J303" s="50" t="n"/>
      <c r="K303" s="50" t="n"/>
    </row>
    <row r="304">
      <c r="B304" s="49" t="n"/>
      <c r="C304" s="49" t="n"/>
      <c r="D304" s="49" t="n"/>
      <c r="E304" s="49" t="n"/>
      <c r="F304" s="49" t="n"/>
      <c r="H304" s="49" t="n"/>
      <c r="I304" s="49" t="n"/>
      <c r="J304" s="50" t="n"/>
      <c r="K304" s="50" t="n"/>
    </row>
    <row r="305">
      <c r="B305" s="49" t="n"/>
      <c r="C305" s="49" t="n"/>
      <c r="D305" s="49" t="n"/>
      <c r="E305" s="49" t="n"/>
      <c r="F305" s="49" t="n"/>
      <c r="H305" s="49" t="n"/>
      <c r="I305" s="49" t="n"/>
      <c r="J305" s="50" t="n"/>
      <c r="K305" s="50" t="n"/>
    </row>
    <row r="306">
      <c r="B306" s="49" t="n"/>
      <c r="C306" s="49" t="n"/>
      <c r="D306" s="49" t="n"/>
      <c r="E306" s="49" t="n"/>
      <c r="F306" s="49" t="n"/>
      <c r="H306" s="49" t="n"/>
      <c r="I306" s="49" t="n"/>
      <c r="J306" s="50" t="n"/>
      <c r="K306" s="50" t="n"/>
    </row>
    <row r="307">
      <c r="B307" s="49" t="n"/>
      <c r="C307" s="49" t="n"/>
      <c r="D307" s="49" t="n"/>
      <c r="E307" s="49" t="n"/>
      <c r="F307" s="49" t="n"/>
      <c r="H307" s="49" t="n"/>
      <c r="I307" s="49" t="n"/>
      <c r="J307" s="50" t="n"/>
      <c r="K307" s="50" t="n"/>
    </row>
    <row r="308">
      <c r="B308" s="49" t="n"/>
      <c r="C308" s="49" t="n"/>
      <c r="D308" s="49" t="n"/>
      <c r="E308" s="49" t="n"/>
      <c r="F308" s="49" t="n"/>
      <c r="H308" s="49" t="n"/>
      <c r="I308" s="49" t="n"/>
      <c r="J308" s="50" t="n"/>
      <c r="K308" s="50" t="n"/>
    </row>
    <row r="309">
      <c r="B309" s="49" t="n"/>
      <c r="C309" s="49" t="n"/>
      <c r="D309" s="49" t="n"/>
      <c r="E309" s="49" t="n"/>
      <c r="F309" s="49" t="n"/>
      <c r="H309" s="49" t="n"/>
      <c r="I309" s="49" t="n"/>
      <c r="J309" s="50" t="n"/>
      <c r="K309" s="50" t="n"/>
    </row>
    <row r="310">
      <c r="B310" s="49" t="n"/>
      <c r="C310" s="49" t="n"/>
      <c r="D310" s="49" t="n"/>
      <c r="E310" s="49" t="n"/>
      <c r="F310" s="49" t="n"/>
      <c r="H310" s="49" t="n"/>
      <c r="I310" s="49" t="n"/>
      <c r="J310" s="50" t="n"/>
      <c r="K310" s="50" t="n"/>
    </row>
    <row r="311">
      <c r="B311" s="49" t="n"/>
      <c r="C311" s="49" t="n"/>
      <c r="D311" s="49" t="n"/>
      <c r="E311" s="49" t="n"/>
      <c r="F311" s="49" t="n"/>
      <c r="H311" s="49" t="n"/>
      <c r="I311" s="49" t="n"/>
      <c r="J311" s="50" t="n"/>
      <c r="K311" s="50" t="n"/>
    </row>
    <row r="312">
      <c r="B312" s="49" t="n"/>
      <c r="C312" s="49" t="n"/>
      <c r="D312" s="49" t="n"/>
      <c r="E312" s="49" t="n"/>
      <c r="F312" s="49" t="n"/>
      <c r="H312" s="49" t="n"/>
      <c r="I312" s="49" t="n"/>
      <c r="J312" s="50" t="n"/>
      <c r="K312" s="50" t="n"/>
    </row>
    <row r="313">
      <c r="B313" s="49" t="n"/>
      <c r="C313" s="49" t="n"/>
      <c r="D313" s="49" t="n"/>
      <c r="E313" s="49" t="n"/>
      <c r="F313" s="49" t="n"/>
      <c r="H313" s="49" t="n"/>
      <c r="I313" s="49" t="n"/>
      <c r="J313" s="50" t="n"/>
      <c r="K313" s="50" t="n"/>
    </row>
    <row r="314">
      <c r="B314" s="49" t="n"/>
      <c r="C314" s="49" t="n"/>
      <c r="D314" s="49" t="n"/>
      <c r="E314" s="49" t="n"/>
      <c r="F314" s="49" t="n"/>
      <c r="H314" s="49" t="n"/>
      <c r="I314" s="49" t="n"/>
      <c r="J314" s="50" t="n"/>
      <c r="K314" s="50" t="n"/>
    </row>
    <row r="315">
      <c r="B315" s="49" t="n"/>
      <c r="C315" s="49" t="n"/>
      <c r="D315" s="49" t="n"/>
      <c r="E315" s="49" t="n"/>
      <c r="F315" s="49" t="n"/>
      <c r="H315" s="49" t="n"/>
      <c r="I315" s="49" t="n"/>
      <c r="J315" s="50" t="n"/>
      <c r="K315" s="50" t="n"/>
    </row>
    <row r="316">
      <c r="B316" s="49" t="n"/>
      <c r="C316" s="49" t="n"/>
      <c r="D316" s="49" t="n"/>
      <c r="E316" s="49" t="n"/>
      <c r="F316" s="49" t="n"/>
      <c r="H316" s="49" t="n"/>
      <c r="I316" s="49" t="n"/>
      <c r="J316" s="50" t="n"/>
      <c r="K316" s="50" t="n"/>
    </row>
    <row r="317">
      <c r="B317" s="49" t="n"/>
      <c r="C317" s="49" t="n"/>
      <c r="D317" s="49" t="n"/>
      <c r="E317" s="49" t="n"/>
      <c r="F317" s="49" t="n"/>
      <c r="H317" s="49" t="n"/>
      <c r="I317" s="49" t="n"/>
      <c r="J317" s="50" t="n"/>
      <c r="K317" s="50" t="n"/>
    </row>
    <row r="318">
      <c r="B318" s="49" t="n"/>
      <c r="C318" s="49" t="n"/>
      <c r="D318" s="49" t="n"/>
      <c r="E318" s="49" t="n"/>
      <c r="F318" s="49" t="n"/>
      <c r="H318" s="49" t="n"/>
      <c r="I318" s="49" t="n"/>
      <c r="J318" s="50" t="n"/>
      <c r="K318" s="50" t="n"/>
    </row>
    <row r="319">
      <c r="B319" s="49" t="n"/>
      <c r="C319" s="49" t="n"/>
      <c r="D319" s="49" t="n"/>
      <c r="E319" s="49" t="n"/>
      <c r="F319" s="49" t="n"/>
      <c r="H319" s="49" t="n"/>
      <c r="I319" s="49" t="n"/>
      <c r="J319" s="50" t="n"/>
      <c r="K319" s="50" t="n"/>
    </row>
    <row r="320">
      <c r="B320" s="49" t="n"/>
      <c r="C320" s="49" t="n"/>
      <c r="D320" s="49" t="n"/>
      <c r="E320" s="49" t="n"/>
      <c r="F320" s="49" t="n"/>
      <c r="H320" s="49" t="n"/>
      <c r="I320" s="49" t="n"/>
      <c r="J320" s="50" t="n"/>
      <c r="K320" s="50" t="n"/>
    </row>
    <row r="321">
      <c r="B321" s="49" t="n"/>
      <c r="C321" s="49" t="n"/>
      <c r="D321" s="49" t="n"/>
      <c r="E321" s="49" t="n"/>
      <c r="F321" s="49" t="n"/>
      <c r="H321" s="49" t="n"/>
      <c r="I321" s="49" t="n"/>
      <c r="J321" s="50" t="n"/>
      <c r="K321" s="50" t="n"/>
    </row>
    <row r="322">
      <c r="B322" s="49" t="n"/>
      <c r="C322" s="49" t="n"/>
      <c r="D322" s="49" t="n"/>
      <c r="E322" s="49" t="n"/>
      <c r="F322" s="49" t="n"/>
      <c r="H322" s="49" t="n"/>
      <c r="I322" s="49" t="n"/>
      <c r="J322" s="50" t="n"/>
      <c r="K322" s="50" t="n"/>
    </row>
    <row r="323">
      <c r="B323" s="49" t="n"/>
      <c r="C323" s="49" t="n"/>
      <c r="D323" s="49" t="n"/>
      <c r="E323" s="49" t="n"/>
      <c r="F323" s="49" t="n"/>
      <c r="H323" s="49" t="n"/>
      <c r="I323" s="49" t="n"/>
      <c r="J323" s="50" t="n"/>
      <c r="K323" s="50" t="n"/>
    </row>
    <row r="324">
      <c r="B324" s="49" t="n"/>
      <c r="C324" s="49" t="n"/>
      <c r="D324" s="49" t="n"/>
      <c r="E324" s="49" t="n"/>
      <c r="F324" s="49" t="n"/>
      <c r="H324" s="49" t="n"/>
      <c r="I324" s="49" t="n"/>
      <c r="J324" s="50" t="n"/>
      <c r="K324" s="50" t="n"/>
    </row>
    <row r="325">
      <c r="B325" s="49" t="n"/>
      <c r="C325" s="49" t="n"/>
      <c r="D325" s="49" t="n"/>
      <c r="E325" s="49" t="n"/>
      <c r="F325" s="49" t="n"/>
      <c r="H325" s="49" t="n"/>
      <c r="I325" s="49" t="n"/>
      <c r="J325" s="50" t="n"/>
      <c r="K325" s="50" t="n"/>
    </row>
    <row r="326">
      <c r="B326" s="49" t="n"/>
      <c r="C326" s="49" t="n"/>
      <c r="D326" s="49" t="n"/>
      <c r="E326" s="49" t="n"/>
      <c r="F326" s="49" t="n"/>
      <c r="H326" s="49" t="n"/>
      <c r="I326" s="49" t="n"/>
      <c r="J326" s="50" t="n"/>
      <c r="K326" s="50" t="n"/>
    </row>
    <row r="327">
      <c r="B327" s="49" t="n"/>
      <c r="C327" s="49" t="n"/>
      <c r="D327" s="49" t="n"/>
      <c r="E327" s="49" t="n"/>
      <c r="F327" s="49" t="n"/>
      <c r="H327" s="49" t="n"/>
      <c r="I327" s="49" t="n"/>
      <c r="J327" s="50" t="n"/>
      <c r="K327" s="50" t="n"/>
    </row>
    <row r="328">
      <c r="B328" s="49" t="n"/>
      <c r="C328" s="49" t="n"/>
      <c r="D328" s="49" t="n"/>
      <c r="E328" s="49" t="n"/>
      <c r="F328" s="49" t="n"/>
      <c r="H328" s="49" t="n"/>
      <c r="I328" s="49" t="n"/>
      <c r="J328" s="50" t="n"/>
      <c r="K328" s="50" t="n"/>
    </row>
    <row r="329">
      <c r="B329" s="49" t="n"/>
      <c r="C329" s="49" t="n"/>
      <c r="D329" s="49" t="n"/>
      <c r="E329" s="49" t="n"/>
      <c r="F329" s="49" t="n"/>
      <c r="H329" s="49" t="n"/>
      <c r="I329" s="49" t="n"/>
      <c r="J329" s="50" t="n"/>
      <c r="K329" s="50" t="n"/>
    </row>
    <row r="330">
      <c r="B330" s="49" t="n"/>
      <c r="C330" s="49" t="n"/>
      <c r="D330" s="49" t="n"/>
      <c r="E330" s="49" t="n"/>
      <c r="F330" s="49" t="n"/>
      <c r="H330" s="49" t="n"/>
      <c r="I330" s="49" t="n"/>
      <c r="J330" s="50" t="n"/>
      <c r="K330" s="50" t="n"/>
    </row>
    <row r="331">
      <c r="B331" s="49" t="n"/>
      <c r="C331" s="49" t="n"/>
      <c r="D331" s="49" t="n"/>
      <c r="E331" s="49" t="n"/>
      <c r="F331" s="49" t="n"/>
      <c r="H331" s="49" t="n"/>
      <c r="I331" s="49" t="n"/>
      <c r="J331" s="50" t="n"/>
      <c r="K331" s="50" t="n"/>
    </row>
    <row r="332">
      <c r="B332" s="49" t="n"/>
      <c r="C332" s="49" t="n"/>
      <c r="D332" s="49" t="n"/>
      <c r="E332" s="49" t="n"/>
      <c r="F332" s="49" t="n"/>
      <c r="H332" s="49" t="n"/>
      <c r="I332" s="49" t="n"/>
      <c r="J332" s="50" t="n"/>
      <c r="K332" s="50" t="n"/>
    </row>
    <row r="333">
      <c r="B333" s="49" t="n"/>
      <c r="C333" s="49" t="n"/>
      <c r="D333" s="49" t="n"/>
      <c r="E333" s="49" t="n"/>
      <c r="F333" s="49" t="n"/>
      <c r="H333" s="49" t="n"/>
      <c r="I333" s="49" t="n"/>
      <c r="J333" s="50" t="n"/>
      <c r="K333" s="50" t="n"/>
    </row>
    <row r="334">
      <c r="B334" s="49" t="n"/>
      <c r="C334" s="49" t="n"/>
      <c r="D334" s="49" t="n"/>
      <c r="E334" s="49" t="n"/>
      <c r="F334" s="49" t="n"/>
      <c r="H334" s="49" t="n"/>
      <c r="I334" s="49" t="n"/>
      <c r="J334" s="50" t="n"/>
      <c r="K334" s="50" t="n"/>
    </row>
    <row r="335">
      <c r="B335" s="49" t="n"/>
      <c r="C335" s="49" t="n"/>
      <c r="D335" s="49" t="n"/>
      <c r="E335" s="49" t="n"/>
      <c r="F335" s="49" t="n"/>
      <c r="H335" s="49" t="n"/>
      <c r="I335" s="49" t="n"/>
      <c r="J335" s="50" t="n"/>
      <c r="K335" s="50" t="n"/>
    </row>
    <row r="336">
      <c r="B336" s="49" t="n"/>
      <c r="C336" s="49" t="n"/>
      <c r="D336" s="49" t="n"/>
      <c r="E336" s="49" t="n"/>
      <c r="F336" s="49" t="n"/>
      <c r="H336" s="49" t="n"/>
      <c r="I336" s="49" t="n"/>
      <c r="J336" s="50" t="n"/>
      <c r="K336" s="50" t="n"/>
    </row>
    <row r="337">
      <c r="B337" s="49" t="n"/>
      <c r="C337" s="49" t="n"/>
      <c r="D337" s="49" t="n"/>
      <c r="E337" s="49" t="n"/>
      <c r="F337" s="49" t="n"/>
      <c r="H337" s="49" t="n"/>
      <c r="I337" s="49" t="n"/>
      <c r="J337" s="50" t="n"/>
      <c r="K337" s="50" t="n"/>
    </row>
    <row r="338">
      <c r="B338" s="49" t="n"/>
      <c r="C338" s="49" t="n"/>
      <c r="D338" s="49" t="n"/>
      <c r="E338" s="49" t="n"/>
      <c r="F338" s="49" t="n"/>
      <c r="H338" s="49" t="n"/>
      <c r="I338" s="49" t="n"/>
      <c r="J338" s="50" t="n"/>
      <c r="K338" s="50" t="n"/>
    </row>
    <row r="339">
      <c r="B339" s="49" t="n"/>
      <c r="C339" s="49" t="n"/>
      <c r="D339" s="49" t="n"/>
      <c r="E339" s="49" t="n"/>
      <c r="F339" s="49" t="n"/>
      <c r="H339" s="49" t="n"/>
      <c r="I339" s="49" t="n"/>
      <c r="J339" s="50" t="n"/>
      <c r="K339" s="50" t="n"/>
    </row>
    <row r="340">
      <c r="B340" s="49" t="n"/>
      <c r="C340" s="49" t="n"/>
      <c r="D340" s="49" t="n"/>
      <c r="E340" s="49" t="n"/>
      <c r="F340" s="49" t="n"/>
      <c r="H340" s="49" t="n"/>
      <c r="I340" s="49" t="n"/>
      <c r="J340" s="50" t="n"/>
      <c r="K340" s="50" t="n"/>
    </row>
    <row r="341">
      <c r="B341" s="49" t="n"/>
      <c r="C341" s="49" t="n"/>
      <c r="D341" s="49" t="n"/>
      <c r="E341" s="49" t="n"/>
      <c r="F341" s="49" t="n"/>
      <c r="H341" s="49" t="n"/>
      <c r="I341" s="49" t="n"/>
      <c r="J341" s="50" t="n"/>
      <c r="K341" s="50" t="n"/>
    </row>
    <row r="342">
      <c r="B342" s="49" t="n"/>
      <c r="C342" s="49" t="n"/>
      <c r="D342" s="49" t="n"/>
      <c r="E342" s="49" t="n"/>
      <c r="F342" s="49" t="n"/>
      <c r="H342" s="49" t="n"/>
      <c r="I342" s="49" t="n"/>
      <c r="J342" s="50" t="n"/>
      <c r="K342" s="50" t="n"/>
    </row>
    <row r="343">
      <c r="B343" s="49" t="n"/>
      <c r="C343" s="49" t="n"/>
      <c r="D343" s="49" t="n"/>
      <c r="E343" s="49" t="n"/>
      <c r="F343" s="49" t="n"/>
      <c r="H343" s="49" t="n"/>
      <c r="I343" s="49" t="n"/>
      <c r="J343" s="50" t="n"/>
      <c r="K343" s="50" t="n"/>
    </row>
    <row r="344">
      <c r="B344" s="49" t="n"/>
      <c r="C344" s="49" t="n"/>
      <c r="D344" s="49" t="n"/>
      <c r="E344" s="49" t="n"/>
      <c r="F344" s="49" t="n"/>
      <c r="H344" s="49" t="n"/>
      <c r="I344" s="49" t="n"/>
      <c r="J344" s="50" t="n"/>
      <c r="K344" s="50" t="n"/>
    </row>
    <row r="345">
      <c r="B345" s="49" t="n"/>
      <c r="C345" s="49" t="n"/>
      <c r="D345" s="49" t="n"/>
      <c r="E345" s="49" t="n"/>
      <c r="F345" s="49" t="n"/>
      <c r="H345" s="49" t="n"/>
      <c r="I345" s="49" t="n"/>
      <c r="J345" s="50" t="n"/>
      <c r="K345" s="50" t="n"/>
    </row>
    <row r="346">
      <c r="B346" s="49" t="n"/>
      <c r="C346" s="49" t="n"/>
      <c r="D346" s="49" t="n"/>
      <c r="E346" s="49" t="n"/>
      <c r="F346" s="49" t="n"/>
      <c r="H346" s="49" t="n"/>
      <c r="I346" s="49" t="n"/>
      <c r="J346" s="50" t="n"/>
      <c r="K346" s="50" t="n"/>
    </row>
    <row r="347">
      <c r="B347" s="49" t="n"/>
      <c r="C347" s="49" t="n"/>
      <c r="D347" s="49" t="n"/>
      <c r="E347" s="49" t="n"/>
      <c r="F347" s="49" t="n"/>
      <c r="H347" s="49" t="n"/>
      <c r="I347" s="49" t="n"/>
      <c r="J347" s="50" t="n"/>
      <c r="K347" s="50" t="n"/>
    </row>
    <row r="348">
      <c r="B348" s="49" t="n"/>
      <c r="C348" s="49" t="n"/>
      <c r="D348" s="49" t="n"/>
      <c r="E348" s="49" t="n"/>
      <c r="F348" s="49" t="n"/>
      <c r="H348" s="49" t="n"/>
      <c r="I348" s="49" t="n"/>
      <c r="J348" s="50" t="n"/>
      <c r="K348" s="50" t="n"/>
    </row>
    <row r="349">
      <c r="B349" s="49" t="n"/>
      <c r="C349" s="49" t="n"/>
      <c r="D349" s="49" t="n"/>
      <c r="E349" s="49" t="n"/>
      <c r="F349" s="49" t="n"/>
      <c r="H349" s="49" t="n"/>
      <c r="I349" s="49" t="n"/>
      <c r="J349" s="50" t="n"/>
      <c r="K349" s="50" t="n"/>
    </row>
    <row r="350">
      <c r="B350" s="49" t="n"/>
      <c r="C350" s="49" t="n"/>
      <c r="D350" s="49" t="n"/>
      <c r="E350" s="49" t="n"/>
      <c r="F350" s="49" t="n"/>
      <c r="H350" s="49" t="n"/>
      <c r="I350" s="49" t="n"/>
      <c r="J350" s="50" t="n"/>
      <c r="K350" s="50" t="n"/>
    </row>
    <row r="351">
      <c r="B351" s="49" t="n"/>
      <c r="C351" s="49" t="n"/>
      <c r="D351" s="49" t="n"/>
      <c r="E351" s="49" t="n"/>
      <c r="F351" s="49" t="n"/>
      <c r="H351" s="49" t="n"/>
      <c r="I351" s="49" t="n"/>
      <c r="J351" s="50" t="n"/>
      <c r="K351" s="50" t="n"/>
    </row>
    <row r="352">
      <c r="B352" s="49" t="n"/>
      <c r="C352" s="49" t="n"/>
      <c r="D352" s="49" t="n"/>
      <c r="E352" s="49" t="n"/>
      <c r="F352" s="49" t="n"/>
      <c r="H352" s="49" t="n"/>
      <c r="I352" s="49" t="n"/>
      <c r="J352" s="50" t="n"/>
      <c r="K352" s="50" t="n"/>
    </row>
    <row r="353">
      <c r="B353" s="49" t="n"/>
      <c r="C353" s="49" t="n"/>
      <c r="D353" s="49" t="n"/>
      <c r="E353" s="49" t="n"/>
      <c r="F353" s="49" t="n"/>
      <c r="H353" s="49" t="n"/>
      <c r="I353" s="49" t="n"/>
      <c r="J353" s="50" t="n"/>
      <c r="K353" s="50" t="n"/>
    </row>
    <row r="354">
      <c r="B354" s="49" t="n"/>
      <c r="C354" s="49" t="n"/>
      <c r="D354" s="49" t="n"/>
      <c r="E354" s="49" t="n"/>
      <c r="F354" s="49" t="n"/>
      <c r="H354" s="49" t="n"/>
      <c r="I354" s="49" t="n"/>
      <c r="J354" s="50" t="n"/>
      <c r="K354" s="50" t="n"/>
    </row>
    <row r="355">
      <c r="B355" s="49" t="n"/>
      <c r="C355" s="49" t="n"/>
      <c r="D355" s="49" t="n"/>
      <c r="E355" s="49" t="n"/>
      <c r="F355" s="49" t="n"/>
      <c r="H355" s="49" t="n"/>
      <c r="I355" s="49" t="n"/>
      <c r="J355" s="50" t="n"/>
      <c r="K355" s="50" t="n"/>
    </row>
    <row r="356">
      <c r="B356" s="49" t="n"/>
      <c r="C356" s="49" t="n"/>
      <c r="D356" s="49" t="n"/>
      <c r="E356" s="49" t="n"/>
      <c r="F356" s="49" t="n"/>
      <c r="H356" s="49" t="n"/>
      <c r="I356" s="49" t="n"/>
      <c r="J356" s="50" t="n"/>
      <c r="K356" s="50" t="n"/>
    </row>
    <row r="357">
      <c r="B357" s="49" t="n"/>
      <c r="C357" s="49" t="n"/>
      <c r="D357" s="49" t="n"/>
      <c r="E357" s="49" t="n"/>
      <c r="F357" s="49" t="n"/>
      <c r="H357" s="49" t="n"/>
      <c r="I357" s="49" t="n"/>
      <c r="J357" s="50" t="n"/>
      <c r="K357" s="50" t="n"/>
    </row>
    <row r="358">
      <c r="B358" s="49" t="n"/>
      <c r="C358" s="49" t="n"/>
      <c r="D358" s="49" t="n"/>
      <c r="E358" s="49" t="n"/>
      <c r="F358" s="49" t="n"/>
      <c r="H358" s="49" t="n"/>
      <c r="I358" s="49" t="n"/>
      <c r="J358" s="50" t="n"/>
      <c r="K358" s="50" t="n"/>
    </row>
    <row r="359">
      <c r="B359" s="49" t="n"/>
      <c r="C359" s="49" t="n"/>
      <c r="D359" s="49" t="n"/>
      <c r="E359" s="49" t="n"/>
      <c r="F359" s="49" t="n"/>
      <c r="H359" s="49" t="n"/>
      <c r="I359" s="49" t="n"/>
      <c r="J359" s="50" t="n"/>
      <c r="K359" s="50" t="n"/>
    </row>
    <row r="360">
      <c r="B360" s="49" t="n"/>
      <c r="C360" s="49" t="n"/>
      <c r="D360" s="49" t="n"/>
      <c r="E360" s="49" t="n"/>
      <c r="F360" s="49" t="n"/>
      <c r="H360" s="49" t="n"/>
      <c r="I360" s="49" t="n"/>
      <c r="J360" s="50" t="n"/>
      <c r="K360" s="50" t="n"/>
    </row>
    <row r="361">
      <c r="B361" s="49" t="n"/>
      <c r="C361" s="49" t="n"/>
      <c r="D361" s="49" t="n"/>
      <c r="E361" s="49" t="n"/>
      <c r="F361" s="49" t="n"/>
      <c r="H361" s="49" t="n"/>
      <c r="I361" s="49" t="n"/>
      <c r="J361" s="50" t="n"/>
      <c r="K361" s="50" t="n"/>
    </row>
    <row r="362">
      <c r="B362" s="49" t="n"/>
      <c r="C362" s="49" t="n"/>
      <c r="D362" s="49" t="n"/>
      <c r="E362" s="49" t="n"/>
      <c r="F362" s="49" t="n"/>
      <c r="H362" s="49" t="n"/>
      <c r="I362" s="49" t="n"/>
      <c r="J362" s="50" t="n"/>
      <c r="K362" s="50" t="n"/>
    </row>
    <row r="363">
      <c r="B363" s="49" t="n"/>
      <c r="C363" s="49" t="n"/>
      <c r="D363" s="49" t="n"/>
      <c r="E363" s="49" t="n"/>
      <c r="F363" s="49" t="n"/>
      <c r="H363" s="49" t="n"/>
      <c r="I363" s="49" t="n"/>
      <c r="J363" s="50" t="n"/>
      <c r="K363" s="50" t="n"/>
    </row>
    <row r="364">
      <c r="B364" s="49" t="n"/>
      <c r="C364" s="49" t="n"/>
      <c r="D364" s="49" t="n"/>
      <c r="E364" s="49" t="n"/>
      <c r="F364" s="49" t="n"/>
      <c r="H364" s="49" t="n"/>
      <c r="I364" s="49" t="n"/>
      <c r="J364" s="50" t="n"/>
      <c r="K364" s="50" t="n"/>
    </row>
    <row r="365">
      <c r="B365" s="49" t="n"/>
      <c r="C365" s="49" t="n"/>
      <c r="D365" s="49" t="n"/>
      <c r="E365" s="49" t="n"/>
      <c r="F365" s="49" t="n"/>
      <c r="H365" s="49" t="n"/>
      <c r="I365" s="49" t="n"/>
      <c r="J365" s="50" t="n"/>
      <c r="K365" s="50" t="n"/>
    </row>
    <row r="366">
      <c r="B366" s="49" t="n"/>
      <c r="C366" s="49" t="n"/>
      <c r="D366" s="49" t="n"/>
      <c r="E366" s="49" t="n"/>
      <c r="F366" s="49" t="n"/>
      <c r="H366" s="49" t="n"/>
      <c r="I366" s="49" t="n"/>
      <c r="J366" s="50" t="n"/>
      <c r="K366" s="50" t="n"/>
    </row>
    <row r="367">
      <c r="B367" s="49" t="n"/>
      <c r="C367" s="49" t="n"/>
      <c r="D367" s="49" t="n"/>
      <c r="E367" s="49" t="n"/>
      <c r="F367" s="49" t="n"/>
      <c r="H367" s="49" t="n"/>
      <c r="I367" s="49" t="n"/>
      <c r="J367" s="50" t="n"/>
      <c r="K367" s="50" t="n"/>
    </row>
    <row r="368">
      <c r="B368" s="49" t="n"/>
      <c r="C368" s="49" t="n"/>
      <c r="D368" s="49" t="n"/>
      <c r="E368" s="49" t="n"/>
      <c r="F368" s="49" t="n"/>
      <c r="H368" s="49" t="n"/>
      <c r="I368" s="49" t="n"/>
      <c r="J368" s="50" t="n"/>
      <c r="K368" s="50" t="n"/>
    </row>
    <row r="369">
      <c r="B369" s="49" t="n"/>
      <c r="C369" s="49" t="n"/>
      <c r="D369" s="49" t="n"/>
      <c r="E369" s="49" t="n"/>
      <c r="F369" s="49" t="n"/>
      <c r="H369" s="49" t="n"/>
      <c r="I369" s="49" t="n"/>
      <c r="J369" s="50" t="n"/>
      <c r="K369" s="50" t="n"/>
    </row>
    <row r="370">
      <c r="B370" s="49" t="n"/>
      <c r="C370" s="49" t="n"/>
      <c r="D370" s="49" t="n"/>
      <c r="E370" s="49" t="n"/>
      <c r="F370" s="49" t="n"/>
      <c r="H370" s="49" t="n"/>
      <c r="I370" s="49" t="n"/>
      <c r="J370" s="50" t="n"/>
      <c r="K370" s="50" t="n"/>
    </row>
    <row r="371">
      <c r="B371" s="49" t="n"/>
      <c r="C371" s="49" t="n"/>
      <c r="D371" s="49" t="n"/>
      <c r="E371" s="49" t="n"/>
      <c r="F371" s="49" t="n"/>
      <c r="H371" s="49" t="n"/>
      <c r="I371" s="49" t="n"/>
      <c r="J371" s="50" t="n"/>
      <c r="K371" s="50" t="n"/>
    </row>
    <row r="372">
      <c r="B372" s="49" t="n"/>
      <c r="C372" s="49" t="n"/>
      <c r="D372" s="49" t="n"/>
      <c r="E372" s="49" t="n"/>
      <c r="F372" s="49" t="n"/>
      <c r="H372" s="49" t="n"/>
      <c r="I372" s="49" t="n"/>
      <c r="J372" s="50" t="n"/>
      <c r="K372" s="50" t="n"/>
    </row>
    <row r="373">
      <c r="B373" s="49" t="n"/>
      <c r="C373" s="49" t="n"/>
      <c r="D373" s="49" t="n"/>
      <c r="E373" s="49" t="n"/>
      <c r="F373" s="49" t="n"/>
      <c r="H373" s="49" t="n"/>
      <c r="I373" s="49" t="n"/>
      <c r="J373" s="50" t="n"/>
      <c r="K373" s="50" t="n"/>
    </row>
    <row r="374">
      <c r="B374" s="49" t="n"/>
      <c r="C374" s="49" t="n"/>
      <c r="D374" s="49" t="n"/>
      <c r="E374" s="49" t="n"/>
      <c r="F374" s="49" t="n"/>
      <c r="H374" s="49" t="n"/>
      <c r="I374" s="49" t="n"/>
      <c r="J374" s="50" t="n"/>
      <c r="K374" s="50" t="n"/>
    </row>
    <row r="375">
      <c r="B375" s="49" t="n"/>
      <c r="C375" s="49" t="n"/>
      <c r="D375" s="49" t="n"/>
      <c r="E375" s="49" t="n"/>
      <c r="F375" s="49" t="n"/>
      <c r="H375" s="49" t="n"/>
      <c r="I375" s="49" t="n"/>
      <c r="J375" s="50" t="n"/>
      <c r="K375" s="50" t="n"/>
    </row>
    <row r="376">
      <c r="B376" s="49" t="n"/>
      <c r="C376" s="49" t="n"/>
      <c r="D376" s="49" t="n"/>
      <c r="E376" s="49" t="n"/>
      <c r="F376" s="49" t="n"/>
      <c r="H376" s="49" t="n"/>
      <c r="I376" s="49" t="n"/>
      <c r="J376" s="50" t="n"/>
      <c r="K376" s="50" t="n"/>
    </row>
    <row r="377">
      <c r="B377" s="49" t="n"/>
      <c r="C377" s="49" t="n"/>
      <c r="D377" s="49" t="n"/>
      <c r="E377" s="49" t="n"/>
      <c r="F377" s="49" t="n"/>
      <c r="H377" s="49" t="n"/>
      <c r="I377" s="49" t="n"/>
      <c r="J377" s="50" t="n"/>
      <c r="K377" s="50" t="n"/>
    </row>
    <row r="378">
      <c r="B378" s="49" t="n"/>
      <c r="C378" s="49" t="n"/>
      <c r="D378" s="49" t="n"/>
      <c r="E378" s="49" t="n"/>
      <c r="F378" s="49" t="n"/>
      <c r="H378" s="49" t="n"/>
      <c r="I378" s="49" t="n"/>
      <c r="J378" s="50" t="n"/>
      <c r="K378" s="50" t="n"/>
    </row>
    <row r="379">
      <c r="B379" s="49" t="n"/>
      <c r="C379" s="49" t="n"/>
      <c r="D379" s="49" t="n"/>
      <c r="E379" s="49" t="n"/>
      <c r="F379" s="49" t="n"/>
      <c r="H379" s="49" t="n"/>
      <c r="I379" s="49" t="n"/>
      <c r="J379" s="50" t="n"/>
      <c r="K379" s="50" t="n"/>
    </row>
    <row r="380">
      <c r="B380" s="49" t="n"/>
      <c r="C380" s="49" t="n"/>
      <c r="D380" s="49" t="n"/>
      <c r="E380" s="49" t="n"/>
      <c r="F380" s="49" t="n"/>
      <c r="H380" s="49" t="n"/>
      <c r="I380" s="49" t="n"/>
      <c r="J380" s="50" t="n"/>
      <c r="K380" s="50" t="n"/>
    </row>
    <row r="381">
      <c r="B381" s="49" t="n"/>
      <c r="C381" s="49" t="n"/>
      <c r="D381" s="49" t="n"/>
      <c r="E381" s="49" t="n"/>
      <c r="F381" s="49" t="n"/>
      <c r="H381" s="49" t="n"/>
      <c r="I381" s="49" t="n"/>
      <c r="J381" s="50" t="n"/>
      <c r="K381" s="50" t="n"/>
    </row>
    <row r="382">
      <c r="B382" s="49" t="n"/>
      <c r="C382" s="49" t="n"/>
      <c r="D382" s="49" t="n"/>
      <c r="E382" s="49" t="n"/>
      <c r="F382" s="49" t="n"/>
      <c r="H382" s="49" t="n"/>
      <c r="I382" s="49" t="n"/>
      <c r="J382" s="50" t="n"/>
      <c r="K382" s="50" t="n"/>
    </row>
    <row r="383">
      <c r="B383" s="49" t="n"/>
      <c r="C383" s="49" t="n"/>
      <c r="D383" s="49" t="n"/>
      <c r="E383" s="49" t="n"/>
      <c r="F383" s="49" t="n"/>
      <c r="H383" s="49" t="n"/>
      <c r="I383" s="49" t="n"/>
      <c r="J383" s="50" t="n"/>
      <c r="K383" s="50" t="n"/>
    </row>
    <row r="384">
      <c r="B384" s="49" t="n"/>
      <c r="C384" s="49" t="n"/>
      <c r="D384" s="49" t="n"/>
      <c r="E384" s="49" t="n"/>
      <c r="F384" s="49" t="n"/>
      <c r="H384" s="49" t="n"/>
      <c r="I384" s="49" t="n"/>
      <c r="J384" s="50" t="n"/>
      <c r="K384" s="50" t="n"/>
    </row>
    <row r="385">
      <c r="B385" s="49" t="n"/>
      <c r="C385" s="49" t="n"/>
      <c r="D385" s="49" t="n"/>
      <c r="E385" s="49" t="n"/>
      <c r="F385" s="49" t="n"/>
      <c r="H385" s="49" t="n"/>
      <c r="I385" s="49" t="n"/>
      <c r="J385" s="50" t="n"/>
      <c r="K385" s="50" t="n"/>
    </row>
    <row r="386">
      <c r="B386" s="49" t="n"/>
      <c r="C386" s="49" t="n"/>
      <c r="D386" s="49" t="n"/>
      <c r="E386" s="49" t="n"/>
      <c r="F386" s="49" t="n"/>
      <c r="H386" s="49" t="n"/>
      <c r="I386" s="49" t="n"/>
      <c r="J386" s="50" t="n"/>
      <c r="K386" s="50" t="n"/>
    </row>
    <row r="387">
      <c r="B387" s="49" t="n"/>
      <c r="C387" s="49" t="n"/>
      <c r="D387" s="49" t="n"/>
      <c r="E387" s="49" t="n"/>
      <c r="F387" s="49" t="n"/>
      <c r="H387" s="49" t="n"/>
      <c r="I387" s="49" t="n"/>
      <c r="J387" s="50" t="n"/>
      <c r="K387" s="50" t="n"/>
    </row>
    <row r="388">
      <c r="B388" s="49" t="n"/>
      <c r="C388" s="49" t="n"/>
      <c r="D388" s="49" t="n"/>
      <c r="E388" s="49" t="n"/>
      <c r="F388" s="49" t="n"/>
      <c r="H388" s="49" t="n"/>
      <c r="I388" s="49" t="n"/>
      <c r="J388" s="50" t="n"/>
      <c r="K388" s="50" t="n"/>
    </row>
    <row r="389">
      <c r="B389" s="49" t="n"/>
      <c r="C389" s="49" t="n"/>
      <c r="D389" s="49" t="n"/>
      <c r="E389" s="49" t="n"/>
      <c r="F389" s="49" t="n"/>
      <c r="H389" s="49" t="n"/>
      <c r="I389" s="49" t="n"/>
      <c r="J389" s="50" t="n"/>
      <c r="K389" s="50" t="n"/>
    </row>
    <row r="390">
      <c r="B390" s="49" t="n"/>
      <c r="C390" s="49" t="n"/>
      <c r="D390" s="49" t="n"/>
      <c r="E390" s="49" t="n"/>
      <c r="F390" s="49" t="n"/>
      <c r="H390" s="49" t="n"/>
      <c r="I390" s="49" t="n"/>
      <c r="J390" s="50" t="n"/>
      <c r="K390" s="50" t="n"/>
    </row>
    <row r="391">
      <c r="B391" s="49" t="n"/>
      <c r="C391" s="49" t="n"/>
      <c r="D391" s="49" t="n"/>
      <c r="E391" s="49" t="n"/>
      <c r="F391" s="49" t="n"/>
      <c r="H391" s="49" t="n"/>
      <c r="I391" s="49" t="n"/>
      <c r="J391" s="50" t="n"/>
      <c r="K391" s="50" t="n"/>
    </row>
    <row r="392">
      <c r="B392" s="49" t="n"/>
      <c r="C392" s="49" t="n"/>
      <c r="D392" s="49" t="n"/>
      <c r="E392" s="49" t="n"/>
      <c r="F392" s="49" t="n"/>
      <c r="H392" s="49" t="n"/>
      <c r="I392" s="49" t="n"/>
      <c r="J392" s="50" t="n"/>
      <c r="K392" s="50" t="n"/>
    </row>
    <row r="393">
      <c r="B393" s="49" t="n"/>
      <c r="C393" s="49" t="n"/>
      <c r="D393" s="49" t="n"/>
      <c r="E393" s="49" t="n"/>
      <c r="F393" s="49" t="n"/>
      <c r="H393" s="49" t="n"/>
      <c r="I393" s="49" t="n"/>
      <c r="J393" s="50" t="n"/>
      <c r="K393" s="50" t="n"/>
    </row>
    <row r="394">
      <c r="B394" s="49" t="n"/>
      <c r="C394" s="49" t="n"/>
      <c r="D394" s="49" t="n"/>
      <c r="E394" s="49" t="n"/>
      <c r="F394" s="49" t="n"/>
      <c r="H394" s="49" t="n"/>
      <c r="I394" s="49" t="n"/>
      <c r="J394" s="50" t="n"/>
      <c r="K394" s="50" t="n"/>
    </row>
    <row r="395">
      <c r="B395" s="49" t="n"/>
      <c r="C395" s="49" t="n"/>
      <c r="D395" s="49" t="n"/>
      <c r="E395" s="49" t="n"/>
      <c r="F395" s="49" t="n"/>
      <c r="H395" s="49" t="n"/>
      <c r="I395" s="49" t="n"/>
      <c r="J395" s="50" t="n"/>
      <c r="K395" s="50" t="n"/>
    </row>
    <row r="396">
      <c r="B396" s="49" t="n"/>
      <c r="C396" s="49" t="n"/>
      <c r="D396" s="49" t="n"/>
      <c r="E396" s="49" t="n"/>
      <c r="F396" s="49" t="n"/>
      <c r="H396" s="49" t="n"/>
      <c r="I396" s="49" t="n"/>
      <c r="J396" s="50" t="n"/>
      <c r="K396" s="50" t="n"/>
    </row>
    <row r="397">
      <c r="B397" s="49" t="n"/>
      <c r="C397" s="49" t="n"/>
      <c r="D397" s="49" t="n"/>
      <c r="E397" s="49" t="n"/>
      <c r="F397" s="49" t="n"/>
      <c r="H397" s="49" t="n"/>
      <c r="I397" s="49" t="n"/>
      <c r="J397" s="50" t="n"/>
      <c r="K397" s="50" t="n"/>
    </row>
    <row r="398">
      <c r="B398" s="49" t="n"/>
      <c r="C398" s="49" t="n"/>
      <c r="D398" s="49" t="n"/>
      <c r="E398" s="49" t="n"/>
      <c r="F398" s="49" t="n"/>
      <c r="H398" s="49" t="n"/>
      <c r="I398" s="49" t="n"/>
      <c r="J398" s="50" t="n"/>
      <c r="K398" s="50" t="n"/>
    </row>
    <row r="399">
      <c r="B399" s="49" t="n"/>
      <c r="C399" s="49" t="n"/>
      <c r="D399" s="49" t="n"/>
      <c r="E399" s="49" t="n"/>
      <c r="F399" s="49" t="n"/>
      <c r="H399" s="49" t="n"/>
      <c r="I399" s="49" t="n"/>
      <c r="J399" s="50" t="n"/>
      <c r="K399" s="50" t="n"/>
    </row>
    <row r="400">
      <c r="B400" s="49" t="n"/>
      <c r="C400" s="49" t="n"/>
      <c r="D400" s="49" t="n"/>
      <c r="E400" s="49" t="n"/>
      <c r="F400" s="49" t="n"/>
      <c r="H400" s="49" t="n"/>
      <c r="I400" s="49" t="n"/>
      <c r="J400" s="50" t="n"/>
      <c r="K400" s="50" t="n"/>
    </row>
    <row r="401">
      <c r="B401" s="49" t="n"/>
      <c r="C401" s="49" t="n"/>
      <c r="D401" s="49" t="n"/>
      <c r="E401" s="49" t="n"/>
      <c r="F401" s="49" t="n"/>
      <c r="H401" s="49" t="n"/>
      <c r="I401" s="49" t="n"/>
      <c r="J401" s="50" t="n"/>
      <c r="K401" s="50" t="n"/>
    </row>
    <row r="402">
      <c r="B402" s="49" t="n"/>
      <c r="C402" s="49" t="n"/>
      <c r="D402" s="49" t="n"/>
      <c r="E402" s="49" t="n"/>
      <c r="F402" s="49" t="n"/>
      <c r="H402" s="49" t="n"/>
      <c r="I402" s="49" t="n"/>
      <c r="J402" s="50" t="n"/>
      <c r="K402" s="50" t="n"/>
    </row>
    <row r="403">
      <c r="B403" s="49" t="n"/>
      <c r="C403" s="49" t="n"/>
      <c r="D403" s="49" t="n"/>
      <c r="E403" s="49" t="n"/>
      <c r="F403" s="49" t="n"/>
      <c r="H403" s="49" t="n"/>
      <c r="I403" s="49" t="n"/>
      <c r="J403" s="50" t="n"/>
      <c r="K403" s="50" t="n"/>
    </row>
    <row r="404">
      <c r="B404" s="49" t="n"/>
      <c r="C404" s="49" t="n"/>
      <c r="D404" s="49" t="n"/>
      <c r="E404" s="49" t="n"/>
      <c r="F404" s="49" t="n"/>
      <c r="H404" s="49" t="n"/>
      <c r="I404" s="49" t="n"/>
      <c r="J404" s="50" t="n"/>
      <c r="K404" s="50" t="n"/>
    </row>
    <row r="405">
      <c r="B405" s="49" t="n"/>
      <c r="C405" s="49" t="n"/>
      <c r="D405" s="49" t="n"/>
      <c r="E405" s="49" t="n"/>
      <c r="F405" s="49" t="n"/>
      <c r="H405" s="49" t="n"/>
      <c r="I405" s="49" t="n"/>
      <c r="J405" s="50" t="n"/>
      <c r="K405" s="50" t="n"/>
    </row>
    <row r="406">
      <c r="B406" s="49" t="n"/>
      <c r="C406" s="49" t="n"/>
      <c r="D406" s="49" t="n"/>
      <c r="E406" s="49" t="n"/>
      <c r="F406" s="49" t="n"/>
      <c r="H406" s="49" t="n"/>
      <c r="I406" s="49" t="n"/>
      <c r="J406" s="50" t="n"/>
      <c r="K406" s="50" t="n"/>
    </row>
    <row r="407">
      <c r="B407" s="49" t="n"/>
      <c r="C407" s="49" t="n"/>
      <c r="D407" s="49" t="n"/>
      <c r="E407" s="49" t="n"/>
      <c r="F407" s="49" t="n"/>
      <c r="H407" s="49" t="n"/>
      <c r="I407" s="49" t="n"/>
      <c r="J407" s="50" t="n"/>
      <c r="K407" s="50" t="n"/>
    </row>
    <row r="408">
      <c r="B408" s="49" t="n"/>
      <c r="C408" s="49" t="n"/>
      <c r="D408" s="49" t="n"/>
      <c r="E408" s="49" t="n"/>
      <c r="F408" s="49" t="n"/>
      <c r="H408" s="49" t="n"/>
      <c r="I408" s="49" t="n"/>
      <c r="J408" s="50" t="n"/>
      <c r="K408" s="50" t="n"/>
    </row>
    <row r="409">
      <c r="B409" s="49" t="n"/>
      <c r="C409" s="49" t="n"/>
      <c r="D409" s="49" t="n"/>
      <c r="E409" s="49" t="n"/>
      <c r="F409" s="49" t="n"/>
      <c r="H409" s="49" t="n"/>
      <c r="I409" s="49" t="n"/>
      <c r="J409" s="50" t="n"/>
      <c r="K409" s="50" t="n"/>
    </row>
    <row r="410">
      <c r="B410" s="49" t="n"/>
      <c r="C410" s="49" t="n"/>
      <c r="D410" s="49" t="n"/>
      <c r="E410" s="49" t="n"/>
      <c r="F410" s="49" t="n"/>
      <c r="H410" s="49" t="n"/>
      <c r="I410" s="49" t="n"/>
      <c r="J410" s="50" t="n"/>
      <c r="K410" s="50" t="n"/>
    </row>
    <row r="411">
      <c r="B411" s="49" t="n"/>
      <c r="C411" s="49" t="n"/>
      <c r="D411" s="49" t="n"/>
      <c r="E411" s="49" t="n"/>
      <c r="F411" s="49" t="n"/>
      <c r="H411" s="49" t="n"/>
      <c r="I411" s="49" t="n"/>
      <c r="J411" s="50" t="n"/>
      <c r="K411" s="50" t="n"/>
    </row>
    <row r="412">
      <c r="B412" s="49" t="n"/>
      <c r="C412" s="49" t="n"/>
      <c r="D412" s="49" t="n"/>
      <c r="E412" s="49" t="n"/>
      <c r="F412" s="49" t="n"/>
      <c r="H412" s="49" t="n"/>
      <c r="I412" s="49" t="n"/>
      <c r="J412" s="50" t="n"/>
      <c r="K412" s="50" t="n"/>
    </row>
    <row r="413">
      <c r="B413" s="49" t="n"/>
      <c r="C413" s="49" t="n"/>
      <c r="D413" s="49" t="n"/>
      <c r="E413" s="49" t="n"/>
      <c r="F413" s="49" t="n"/>
      <c r="H413" s="49" t="n"/>
      <c r="I413" s="49" t="n"/>
      <c r="J413" s="50" t="n"/>
      <c r="K413" s="50" t="n"/>
    </row>
    <row r="414">
      <c r="B414" s="49" t="n"/>
      <c r="C414" s="49" t="n"/>
      <c r="D414" s="49" t="n"/>
      <c r="E414" s="49" t="n"/>
      <c r="F414" s="49" t="n"/>
      <c r="H414" s="49" t="n"/>
      <c r="I414" s="49" t="n"/>
      <c r="J414" s="50" t="n"/>
      <c r="K414" s="50" t="n"/>
    </row>
    <row r="415">
      <c r="B415" s="49" t="n"/>
      <c r="C415" s="49" t="n"/>
      <c r="D415" s="49" t="n"/>
      <c r="E415" s="49" t="n"/>
      <c r="F415" s="49" t="n"/>
      <c r="H415" s="49" t="n"/>
      <c r="I415" s="49" t="n"/>
      <c r="J415" s="50" t="n"/>
      <c r="K415" s="50" t="n"/>
    </row>
    <row r="416">
      <c r="B416" s="49" t="n"/>
      <c r="C416" s="49" t="n"/>
      <c r="D416" s="49" t="n"/>
      <c r="E416" s="49" t="n"/>
      <c r="F416" s="49" t="n"/>
      <c r="H416" s="49" t="n"/>
      <c r="I416" s="49" t="n"/>
      <c r="J416" s="50" t="n"/>
      <c r="K416" s="50" t="n"/>
    </row>
    <row r="417">
      <c r="B417" s="49" t="n"/>
      <c r="C417" s="49" t="n"/>
      <c r="D417" s="49" t="n"/>
      <c r="E417" s="49" t="n"/>
      <c r="F417" s="49" t="n"/>
      <c r="H417" s="49" t="n"/>
      <c r="I417" s="49" t="n"/>
      <c r="J417" s="50" t="n"/>
      <c r="K417" s="50" t="n"/>
    </row>
    <row r="418">
      <c r="B418" s="49" t="n"/>
      <c r="C418" s="49" t="n"/>
      <c r="D418" s="49" t="n"/>
      <c r="E418" s="49" t="n"/>
      <c r="F418" s="49" t="n"/>
      <c r="H418" s="49" t="n"/>
      <c r="I418" s="49" t="n"/>
      <c r="J418" s="50" t="n"/>
      <c r="K418" s="50" t="n"/>
    </row>
    <row r="419">
      <c r="B419" s="49" t="n"/>
      <c r="C419" s="49" t="n"/>
      <c r="D419" s="49" t="n"/>
      <c r="E419" s="49" t="n"/>
      <c r="F419" s="49" t="n"/>
      <c r="H419" s="49" t="n"/>
      <c r="I419" s="49" t="n"/>
      <c r="J419" s="50" t="n"/>
      <c r="K419" s="50" t="n"/>
    </row>
    <row r="420">
      <c r="B420" s="49" t="n"/>
      <c r="C420" s="49" t="n"/>
      <c r="D420" s="49" t="n"/>
      <c r="E420" s="49" t="n"/>
      <c r="F420" s="49" t="n"/>
      <c r="H420" s="49" t="n"/>
      <c r="I420" s="49" t="n"/>
      <c r="J420" s="50" t="n"/>
      <c r="K420" s="50" t="n"/>
    </row>
    <row r="421">
      <c r="B421" s="49" t="n"/>
      <c r="C421" s="49" t="n"/>
      <c r="D421" s="49" t="n"/>
      <c r="E421" s="49" t="n"/>
      <c r="F421" s="49" t="n"/>
      <c r="H421" s="49" t="n"/>
      <c r="I421" s="49" t="n"/>
      <c r="J421" s="50" t="n"/>
      <c r="K421" s="50" t="n"/>
    </row>
    <row r="422">
      <c r="B422" s="49" t="n"/>
      <c r="C422" s="49" t="n"/>
      <c r="D422" s="49" t="n"/>
      <c r="E422" s="49" t="n"/>
      <c r="F422" s="49" t="n"/>
      <c r="H422" s="49" t="n"/>
      <c r="I422" s="49" t="n"/>
      <c r="J422" s="50" t="n"/>
      <c r="K422" s="50" t="n"/>
    </row>
    <row r="423">
      <c r="B423" s="49" t="n"/>
      <c r="C423" s="49" t="n"/>
      <c r="D423" s="49" t="n"/>
      <c r="E423" s="49" t="n"/>
      <c r="F423" s="49" t="n"/>
      <c r="H423" s="49" t="n"/>
      <c r="I423" s="49" t="n"/>
      <c r="J423" s="50" t="n"/>
      <c r="K423" s="50" t="n"/>
    </row>
    <row r="424">
      <c r="B424" s="49" t="n"/>
      <c r="C424" s="49" t="n"/>
      <c r="D424" s="49" t="n"/>
      <c r="E424" s="49" t="n"/>
      <c r="F424" s="49" t="n"/>
      <c r="H424" s="49" t="n"/>
      <c r="I424" s="49" t="n"/>
      <c r="J424" s="50" t="n"/>
      <c r="K424" s="50" t="n"/>
    </row>
    <row r="425">
      <c r="B425" s="49" t="n"/>
      <c r="C425" s="49" t="n"/>
      <c r="D425" s="49" t="n"/>
      <c r="E425" s="49" t="n"/>
      <c r="F425" s="49" t="n"/>
      <c r="H425" s="49" t="n"/>
      <c r="I425" s="49" t="n"/>
      <c r="J425" s="50" t="n"/>
      <c r="K425" s="50" t="n"/>
    </row>
    <row r="426">
      <c r="B426" s="49" t="n"/>
      <c r="C426" s="49" t="n"/>
      <c r="D426" s="49" t="n"/>
      <c r="E426" s="49" t="n"/>
      <c r="F426" s="49" t="n"/>
      <c r="H426" s="49" t="n"/>
      <c r="I426" s="49" t="n"/>
      <c r="J426" s="50" t="n"/>
      <c r="K426" s="50" t="n"/>
    </row>
    <row r="427">
      <c r="B427" s="49" t="n"/>
      <c r="C427" s="49" t="n"/>
      <c r="D427" s="49" t="n"/>
      <c r="E427" s="49" t="n"/>
      <c r="F427" s="49" t="n"/>
      <c r="H427" s="49" t="n"/>
      <c r="I427" s="49" t="n"/>
      <c r="J427" s="50" t="n"/>
      <c r="K427" s="50" t="n"/>
    </row>
    <row r="428">
      <c r="B428" s="49" t="n"/>
      <c r="C428" s="49" t="n"/>
      <c r="D428" s="49" t="n"/>
      <c r="E428" s="49" t="n"/>
      <c r="F428" s="49" t="n"/>
      <c r="H428" s="49" t="n"/>
      <c r="I428" s="49" t="n"/>
      <c r="J428" s="50" t="n"/>
      <c r="K428" s="50" t="n"/>
    </row>
    <row r="429">
      <c r="B429" s="49" t="n"/>
      <c r="C429" s="49" t="n"/>
      <c r="D429" s="49" t="n"/>
      <c r="E429" s="49" t="n"/>
      <c r="F429" s="49" t="n"/>
      <c r="H429" s="49" t="n"/>
      <c r="I429" s="49" t="n"/>
      <c r="J429" s="50" t="n"/>
      <c r="K429" s="50" t="n"/>
    </row>
    <row r="430">
      <c r="B430" s="49" t="n"/>
      <c r="C430" s="49" t="n"/>
      <c r="D430" s="49" t="n"/>
      <c r="E430" s="49" t="n"/>
      <c r="F430" s="49" t="n"/>
      <c r="H430" s="49" t="n"/>
      <c r="I430" s="49" t="n"/>
      <c r="J430" s="50" t="n"/>
      <c r="K430" s="50" t="n"/>
    </row>
    <row r="431">
      <c r="B431" s="49" t="n"/>
      <c r="C431" s="49" t="n"/>
      <c r="D431" s="49" t="n"/>
      <c r="E431" s="49" t="n"/>
      <c r="F431" s="49" t="n"/>
      <c r="H431" s="49" t="n"/>
      <c r="I431" s="49" t="n"/>
      <c r="J431" s="50" t="n"/>
      <c r="K431" s="50" t="n"/>
    </row>
    <row r="432">
      <c r="B432" s="49" t="n"/>
      <c r="C432" s="49" t="n"/>
      <c r="D432" s="49" t="n"/>
      <c r="E432" s="49" t="n"/>
      <c r="F432" s="49" t="n"/>
      <c r="H432" s="49" t="n"/>
      <c r="I432" s="49" t="n"/>
      <c r="J432" s="50" t="n"/>
      <c r="K432" s="50" t="n"/>
    </row>
    <row r="433">
      <c r="B433" s="49" t="n"/>
      <c r="C433" s="49" t="n"/>
      <c r="D433" s="49" t="n"/>
      <c r="E433" s="49" t="n"/>
      <c r="F433" s="49" t="n"/>
      <c r="H433" s="49" t="n"/>
      <c r="I433" s="49" t="n"/>
      <c r="J433" s="50" t="n"/>
      <c r="K433" s="50" t="n"/>
    </row>
    <row r="434">
      <c r="B434" s="49" t="n"/>
      <c r="C434" s="49" t="n"/>
      <c r="D434" s="49" t="n"/>
      <c r="E434" s="49" t="n"/>
      <c r="F434" s="49" t="n"/>
      <c r="H434" s="49" t="n"/>
      <c r="I434" s="49" t="n"/>
      <c r="J434" s="50" t="n"/>
      <c r="K434" s="50" t="n"/>
    </row>
    <row r="435">
      <c r="B435" s="49" t="n"/>
      <c r="C435" s="49" t="n"/>
      <c r="D435" s="49" t="n"/>
      <c r="E435" s="49" t="n"/>
      <c r="F435" s="49" t="n"/>
      <c r="H435" s="49" t="n"/>
      <c r="I435" s="49" t="n"/>
      <c r="J435" s="50" t="n"/>
      <c r="K435" s="50" t="n"/>
    </row>
    <row r="436">
      <c r="B436" s="49" t="n"/>
      <c r="C436" s="49" t="n"/>
      <c r="D436" s="49" t="n"/>
      <c r="E436" s="49" t="n"/>
      <c r="F436" s="49" t="n"/>
      <c r="H436" s="49" t="n"/>
      <c r="I436" s="49" t="n"/>
      <c r="J436" s="50" t="n"/>
      <c r="K436" s="50" t="n"/>
    </row>
    <row r="437">
      <c r="B437" s="49" t="n"/>
      <c r="C437" s="49" t="n"/>
      <c r="D437" s="49" t="n"/>
      <c r="E437" s="49" t="n"/>
      <c r="F437" s="49" t="n"/>
      <c r="H437" s="49" t="n"/>
      <c r="I437" s="49" t="n"/>
      <c r="J437" s="50" t="n"/>
      <c r="K437" s="50" t="n"/>
    </row>
    <row r="438">
      <c r="B438" s="49" t="n"/>
      <c r="C438" s="49" t="n"/>
      <c r="D438" s="49" t="n"/>
      <c r="E438" s="49" t="n"/>
      <c r="F438" s="49" t="n"/>
      <c r="H438" s="49" t="n"/>
      <c r="I438" s="49" t="n"/>
      <c r="J438" s="50" t="n"/>
      <c r="K438" s="50" t="n"/>
    </row>
    <row r="439">
      <c r="B439" s="49" t="n"/>
      <c r="C439" s="49" t="n"/>
      <c r="D439" s="49" t="n"/>
      <c r="E439" s="49" t="n"/>
      <c r="F439" s="49" t="n"/>
      <c r="H439" s="49" t="n"/>
      <c r="I439" s="49" t="n"/>
      <c r="J439" s="50" t="n"/>
      <c r="K439" s="50" t="n"/>
    </row>
    <row r="440">
      <c r="B440" s="49" t="n"/>
      <c r="C440" s="49" t="n"/>
      <c r="D440" s="49" t="n"/>
      <c r="E440" s="49" t="n"/>
      <c r="F440" s="49" t="n"/>
      <c r="H440" s="49" t="n"/>
      <c r="I440" s="49" t="n"/>
      <c r="J440" s="50" t="n"/>
      <c r="K440" s="50" t="n"/>
    </row>
    <row r="441">
      <c r="B441" s="49" t="n"/>
      <c r="C441" s="49" t="n"/>
      <c r="D441" s="49" t="n"/>
      <c r="E441" s="49" t="n"/>
      <c r="F441" s="49" t="n"/>
      <c r="H441" s="49" t="n"/>
      <c r="I441" s="49" t="n"/>
      <c r="J441" s="50" t="n"/>
      <c r="K441" s="50" t="n"/>
    </row>
    <row r="442">
      <c r="B442" s="49" t="n"/>
      <c r="C442" s="49" t="n"/>
      <c r="D442" s="49" t="n"/>
      <c r="E442" s="49" t="n"/>
      <c r="F442" s="49" t="n"/>
      <c r="H442" s="49" t="n"/>
      <c r="I442" s="49" t="n"/>
      <c r="J442" s="50" t="n"/>
      <c r="K442" s="50" t="n"/>
    </row>
    <row r="443">
      <c r="B443" s="49" t="n"/>
      <c r="C443" s="49" t="n"/>
      <c r="D443" s="49" t="n"/>
      <c r="E443" s="49" t="n"/>
      <c r="F443" s="49" t="n"/>
      <c r="H443" s="49" t="n"/>
      <c r="I443" s="49" t="n"/>
      <c r="J443" s="50" t="n"/>
      <c r="K443" s="50" t="n"/>
    </row>
    <row r="444">
      <c r="B444" s="49" t="n"/>
      <c r="C444" s="49" t="n"/>
      <c r="D444" s="49" t="n"/>
      <c r="E444" s="49" t="n"/>
      <c r="F444" s="49" t="n"/>
      <c r="H444" s="49" t="n"/>
      <c r="I444" s="49" t="n"/>
      <c r="J444" s="50" t="n"/>
      <c r="K444" s="50" t="n"/>
    </row>
    <row r="445">
      <c r="B445" s="49" t="n"/>
      <c r="C445" s="49" t="n"/>
      <c r="D445" s="49" t="n"/>
      <c r="E445" s="49" t="n"/>
      <c r="F445" s="49" t="n"/>
      <c r="H445" s="49" t="n"/>
      <c r="I445" s="49" t="n"/>
      <c r="J445" s="50" t="n"/>
      <c r="K445" s="50" t="n"/>
    </row>
    <row r="446">
      <c r="B446" s="49" t="n"/>
      <c r="C446" s="49" t="n"/>
      <c r="D446" s="49" t="n"/>
      <c r="E446" s="49" t="n"/>
      <c r="F446" s="49" t="n"/>
      <c r="H446" s="49" t="n"/>
      <c r="I446" s="49" t="n"/>
      <c r="J446" s="50" t="n"/>
      <c r="K446" s="50" t="n"/>
    </row>
    <row r="447">
      <c r="B447" s="49" t="n"/>
      <c r="C447" s="49" t="n"/>
      <c r="D447" s="49" t="n"/>
      <c r="E447" s="49" t="n"/>
      <c r="F447" s="49" t="n"/>
      <c r="H447" s="49" t="n"/>
      <c r="I447" s="49" t="n"/>
      <c r="J447" s="50" t="n"/>
      <c r="K447" s="50" t="n"/>
    </row>
    <row r="448">
      <c r="B448" s="49" t="n"/>
      <c r="C448" s="49" t="n"/>
      <c r="D448" s="49" t="n"/>
      <c r="E448" s="49" t="n"/>
      <c r="F448" s="49" t="n"/>
      <c r="H448" s="49" t="n"/>
      <c r="I448" s="49" t="n"/>
      <c r="J448" s="50" t="n"/>
      <c r="K448" s="50" t="n"/>
    </row>
    <row r="449">
      <c r="B449" s="49" t="n"/>
      <c r="C449" s="49" t="n"/>
      <c r="D449" s="49" t="n"/>
      <c r="E449" s="49" t="n"/>
      <c r="F449" s="49" t="n"/>
      <c r="H449" s="49" t="n"/>
      <c r="I449" s="49" t="n"/>
      <c r="J449" s="50" t="n"/>
      <c r="K449" s="50" t="n"/>
    </row>
    <row r="450">
      <c r="B450" s="49" t="n"/>
      <c r="C450" s="49" t="n"/>
      <c r="D450" s="49" t="n"/>
      <c r="E450" s="49" t="n"/>
      <c r="F450" s="49" t="n"/>
      <c r="H450" s="49" t="n"/>
      <c r="I450" s="49" t="n"/>
      <c r="J450" s="50" t="n"/>
      <c r="K450" s="50" t="n"/>
    </row>
    <row r="451">
      <c r="B451" s="49" t="n"/>
      <c r="C451" s="49" t="n"/>
      <c r="D451" s="49" t="n"/>
      <c r="E451" s="49" t="n"/>
      <c r="F451" s="49" t="n"/>
      <c r="H451" s="49" t="n"/>
      <c r="I451" s="49" t="n"/>
      <c r="J451" s="50" t="n"/>
      <c r="K451" s="50" t="n"/>
    </row>
    <row r="452">
      <c r="B452" s="49" t="n"/>
      <c r="C452" s="49" t="n"/>
      <c r="D452" s="49" t="n"/>
      <c r="E452" s="49" t="n"/>
      <c r="F452" s="49" t="n"/>
      <c r="H452" s="49" t="n"/>
      <c r="I452" s="49" t="n"/>
      <c r="J452" s="50" t="n"/>
      <c r="K452" s="50" t="n"/>
    </row>
    <row r="453">
      <c r="B453" s="49" t="n"/>
      <c r="C453" s="49" t="n"/>
      <c r="D453" s="49" t="n"/>
      <c r="E453" s="49" t="n"/>
      <c r="F453" s="49" t="n"/>
      <c r="H453" s="49" t="n"/>
      <c r="I453" s="49" t="n"/>
      <c r="J453" s="50" t="n"/>
      <c r="K453" s="50" t="n"/>
    </row>
    <row r="454">
      <c r="B454" s="49" t="n"/>
      <c r="C454" s="49" t="n"/>
      <c r="D454" s="49" t="n"/>
      <c r="E454" s="49" t="n"/>
      <c r="F454" s="49" t="n"/>
      <c r="H454" s="49" t="n"/>
      <c r="I454" s="49" t="n"/>
      <c r="J454" s="50" t="n"/>
      <c r="K454" s="50" t="n"/>
    </row>
    <row r="455">
      <c r="B455" s="49" t="n"/>
      <c r="C455" s="49" t="n"/>
      <c r="D455" s="49" t="n"/>
      <c r="E455" s="49" t="n"/>
      <c r="F455" s="49" t="n"/>
      <c r="H455" s="49" t="n"/>
      <c r="I455" s="49" t="n"/>
      <c r="J455" s="50" t="n"/>
      <c r="K455" s="50" t="n"/>
    </row>
    <row r="456">
      <c r="B456" s="49" t="n"/>
      <c r="C456" s="49" t="n"/>
      <c r="D456" s="49" t="n"/>
      <c r="E456" s="49" t="n"/>
      <c r="F456" s="49" t="n"/>
      <c r="H456" s="49" t="n"/>
      <c r="I456" s="49" t="n"/>
      <c r="J456" s="50" t="n"/>
      <c r="K456" s="50" t="n"/>
    </row>
    <row r="457">
      <c r="B457" s="49" t="n"/>
      <c r="C457" s="49" t="n"/>
      <c r="D457" s="49" t="n"/>
      <c r="E457" s="49" t="n"/>
      <c r="F457" s="49" t="n"/>
      <c r="H457" s="49" t="n"/>
      <c r="I457" s="49" t="n"/>
      <c r="J457" s="50" t="n"/>
      <c r="K457" s="50" t="n"/>
    </row>
    <row r="458">
      <c r="B458" s="49" t="n"/>
      <c r="C458" s="49" t="n"/>
      <c r="D458" s="49" t="n"/>
      <c r="E458" s="49" t="n"/>
      <c r="F458" s="49" t="n"/>
      <c r="H458" s="49" t="n"/>
      <c r="I458" s="49" t="n"/>
      <c r="J458" s="50" t="n"/>
      <c r="K458" s="50" t="n"/>
    </row>
    <row r="459">
      <c r="B459" s="49" t="n"/>
      <c r="C459" s="49" t="n"/>
      <c r="D459" s="49" t="n"/>
      <c r="E459" s="49" t="n"/>
      <c r="F459" s="49" t="n"/>
      <c r="H459" s="49" t="n"/>
      <c r="I459" s="49" t="n"/>
      <c r="J459" s="50" t="n"/>
      <c r="K459" s="50" t="n"/>
    </row>
    <row r="460">
      <c r="B460" s="49" t="n"/>
      <c r="C460" s="49" t="n"/>
      <c r="D460" s="49" t="n"/>
      <c r="E460" s="49" t="n"/>
      <c r="F460" s="49" t="n"/>
      <c r="H460" s="49" t="n"/>
      <c r="I460" s="49" t="n"/>
      <c r="J460" s="50" t="n"/>
      <c r="K460" s="50" t="n"/>
    </row>
    <row r="461">
      <c r="B461" s="49" t="n"/>
      <c r="C461" s="49" t="n"/>
      <c r="D461" s="49" t="n"/>
      <c r="E461" s="49" t="n"/>
      <c r="F461" s="49" t="n"/>
      <c r="H461" s="49" t="n"/>
      <c r="I461" s="49" t="n"/>
      <c r="J461" s="50" t="n"/>
      <c r="K461" s="50" t="n"/>
    </row>
    <row r="462">
      <c r="B462" s="49" t="n"/>
      <c r="C462" s="49" t="n"/>
      <c r="D462" s="49" t="n"/>
      <c r="E462" s="49" t="n"/>
      <c r="F462" s="49" t="n"/>
      <c r="H462" s="49" t="n"/>
      <c r="I462" s="49" t="n"/>
      <c r="J462" s="50" t="n"/>
      <c r="K462" s="50" t="n"/>
    </row>
    <row r="463">
      <c r="B463" s="49" t="n"/>
      <c r="C463" s="49" t="n"/>
      <c r="D463" s="49" t="n"/>
      <c r="E463" s="49" t="n"/>
      <c r="F463" s="49" t="n"/>
      <c r="H463" s="49" t="n"/>
      <c r="I463" s="49" t="n"/>
      <c r="J463" s="50" t="n"/>
      <c r="K463" s="50" t="n"/>
    </row>
    <row r="464">
      <c r="B464" s="49" t="n"/>
      <c r="C464" s="49" t="n"/>
      <c r="D464" s="49" t="n"/>
      <c r="E464" s="49" t="n"/>
      <c r="F464" s="49" t="n"/>
      <c r="H464" s="49" t="n"/>
      <c r="I464" s="49" t="n"/>
      <c r="J464" s="50" t="n"/>
      <c r="K464" s="50" t="n"/>
    </row>
    <row r="465">
      <c r="B465" s="49" t="n"/>
      <c r="C465" s="49" t="n"/>
      <c r="D465" s="49" t="n"/>
      <c r="E465" s="49" t="n"/>
      <c r="F465" s="49" t="n"/>
      <c r="H465" s="49" t="n"/>
      <c r="I465" s="49" t="n"/>
      <c r="J465" s="50" t="n"/>
      <c r="K465" s="50" t="n"/>
    </row>
    <row r="466">
      <c r="B466" s="49" t="n"/>
      <c r="C466" s="49" t="n"/>
      <c r="D466" s="49" t="n"/>
      <c r="E466" s="49" t="n"/>
      <c r="F466" s="49" t="n"/>
      <c r="H466" s="49" t="n"/>
      <c r="I466" s="49" t="n"/>
      <c r="J466" s="50" t="n"/>
      <c r="K466" s="50" t="n"/>
    </row>
    <row r="467">
      <c r="B467" s="49" t="n"/>
      <c r="C467" s="49" t="n"/>
      <c r="D467" s="49" t="n"/>
      <c r="E467" s="49" t="n"/>
      <c r="F467" s="49" t="n"/>
      <c r="H467" s="49" t="n"/>
      <c r="I467" s="49" t="n"/>
      <c r="J467" s="50" t="n"/>
      <c r="K467" s="50" t="n"/>
    </row>
    <row r="468">
      <c r="B468" s="49" t="n"/>
      <c r="C468" s="49" t="n"/>
      <c r="D468" s="49" t="n"/>
      <c r="E468" s="49" t="n"/>
      <c r="F468" s="49" t="n"/>
      <c r="H468" s="49" t="n"/>
      <c r="I468" s="49" t="n"/>
      <c r="J468" s="50" t="n"/>
      <c r="K468" s="50" t="n"/>
    </row>
    <row r="469">
      <c r="B469" s="49" t="n"/>
      <c r="C469" s="49" t="n"/>
      <c r="D469" s="49" t="n"/>
      <c r="E469" s="49" t="n"/>
      <c r="F469" s="49" t="n"/>
      <c r="H469" s="49" t="n"/>
      <c r="I469" s="49" t="n"/>
      <c r="J469" s="50" t="n"/>
      <c r="K469" s="50" t="n"/>
    </row>
    <row r="470">
      <c r="B470" s="49" t="n"/>
      <c r="C470" s="49" t="n"/>
      <c r="D470" s="49" t="n"/>
      <c r="E470" s="49" t="n"/>
      <c r="F470" s="49" t="n"/>
      <c r="H470" s="49" t="n"/>
      <c r="I470" s="49" t="n"/>
      <c r="J470" s="50" t="n"/>
      <c r="K470" s="50" t="n"/>
    </row>
    <row r="471">
      <c r="B471" s="49" t="n"/>
      <c r="C471" s="49" t="n"/>
      <c r="D471" s="49" t="n"/>
      <c r="E471" s="49" t="n"/>
      <c r="F471" s="49" t="n"/>
      <c r="H471" s="49" t="n"/>
      <c r="I471" s="49" t="n"/>
      <c r="J471" s="50" t="n"/>
      <c r="K471" s="50" t="n"/>
    </row>
    <row r="472">
      <c r="B472" s="49" t="n"/>
      <c r="C472" s="49" t="n"/>
      <c r="D472" s="49" t="n"/>
      <c r="E472" s="49" t="n"/>
      <c r="F472" s="49" t="n"/>
      <c r="H472" s="49" t="n"/>
      <c r="I472" s="49" t="n"/>
      <c r="J472" s="50" t="n"/>
      <c r="K472" s="50" t="n"/>
    </row>
    <row r="473">
      <c r="B473" s="49" t="n"/>
      <c r="C473" s="49" t="n"/>
      <c r="D473" s="49" t="n"/>
      <c r="E473" s="49" t="n"/>
      <c r="F473" s="49" t="n"/>
      <c r="H473" s="49" t="n"/>
      <c r="I473" s="49" t="n"/>
      <c r="J473" s="50" t="n"/>
      <c r="K473" s="50" t="n"/>
    </row>
    <row r="474">
      <c r="B474" s="49" t="n"/>
      <c r="C474" s="49" t="n"/>
      <c r="D474" s="49" t="n"/>
      <c r="E474" s="49" t="n"/>
      <c r="F474" s="49" t="n"/>
      <c r="H474" s="49" t="n"/>
      <c r="I474" s="49" t="n"/>
      <c r="J474" s="50" t="n"/>
      <c r="K474" s="50" t="n"/>
    </row>
    <row r="475">
      <c r="B475" s="49" t="n"/>
      <c r="C475" s="49" t="n"/>
      <c r="D475" s="49" t="n"/>
      <c r="E475" s="49" t="n"/>
      <c r="F475" s="49" t="n"/>
      <c r="H475" s="49" t="n"/>
      <c r="I475" s="49" t="n"/>
      <c r="J475" s="50" t="n"/>
      <c r="K475" s="50" t="n"/>
    </row>
    <row r="476">
      <c r="B476" s="49" t="n"/>
      <c r="C476" s="49" t="n"/>
      <c r="D476" s="49" t="n"/>
      <c r="E476" s="49" t="n"/>
      <c r="F476" s="49" t="n"/>
      <c r="H476" s="49" t="n"/>
      <c r="I476" s="49" t="n"/>
      <c r="J476" s="50" t="n"/>
      <c r="K476" s="50" t="n"/>
    </row>
    <row r="477">
      <c r="B477" s="49" t="n"/>
      <c r="C477" s="49" t="n"/>
      <c r="D477" s="49" t="n"/>
      <c r="E477" s="49" t="n"/>
      <c r="F477" s="49" t="n"/>
      <c r="H477" s="49" t="n"/>
      <c r="I477" s="49" t="n"/>
      <c r="J477" s="50" t="n"/>
      <c r="K477" s="50" t="n"/>
    </row>
    <row r="478">
      <c r="B478" s="49" t="n"/>
      <c r="C478" s="49" t="n"/>
      <c r="D478" s="49" t="n"/>
      <c r="E478" s="49" t="n"/>
      <c r="F478" s="49" t="n"/>
      <c r="H478" s="49" t="n"/>
      <c r="I478" s="49" t="n"/>
      <c r="J478" s="50" t="n"/>
      <c r="K478" s="50" t="n"/>
    </row>
    <row r="479">
      <c r="B479" s="49" t="n"/>
      <c r="C479" s="49" t="n"/>
      <c r="D479" s="49" t="n"/>
      <c r="E479" s="49" t="n"/>
      <c r="F479" s="49" t="n"/>
      <c r="H479" s="49" t="n"/>
      <c r="I479" s="49" t="n"/>
      <c r="J479" s="50" t="n"/>
      <c r="K479" s="50" t="n"/>
    </row>
    <row r="480">
      <c r="B480" s="49" t="n"/>
      <c r="C480" s="49" t="n"/>
      <c r="D480" s="49" t="n"/>
      <c r="E480" s="49" t="n"/>
      <c r="F480" s="49" t="n"/>
      <c r="H480" s="49" t="n"/>
      <c r="I480" s="49" t="n"/>
      <c r="J480" s="50" t="n"/>
      <c r="K480" s="50" t="n"/>
    </row>
    <row r="481">
      <c r="B481" s="49" t="n"/>
      <c r="C481" s="49" t="n"/>
      <c r="D481" s="49" t="n"/>
      <c r="E481" s="49" t="n"/>
      <c r="F481" s="49" t="n"/>
      <c r="H481" s="49" t="n"/>
      <c r="I481" s="49" t="n"/>
      <c r="J481" s="50" t="n"/>
      <c r="K481" s="50" t="n"/>
    </row>
    <row r="482">
      <c r="B482" s="49" t="n"/>
      <c r="C482" s="49" t="n"/>
      <c r="D482" s="49" t="n"/>
      <c r="E482" s="49" t="n"/>
      <c r="F482" s="49" t="n"/>
      <c r="H482" s="49" t="n"/>
      <c r="I482" s="49" t="n"/>
      <c r="J482" s="50" t="n"/>
      <c r="K482" s="50" t="n"/>
    </row>
    <row r="483">
      <c r="B483" s="49" t="n"/>
      <c r="C483" s="49" t="n"/>
      <c r="D483" s="49" t="n"/>
      <c r="E483" s="49" t="n"/>
      <c r="F483" s="49" t="n"/>
      <c r="H483" s="49" t="n"/>
      <c r="I483" s="49" t="n"/>
      <c r="J483" s="50" t="n"/>
      <c r="K483" s="50" t="n"/>
    </row>
    <row r="484">
      <c r="B484" s="49" t="n"/>
      <c r="C484" s="49" t="n"/>
      <c r="D484" s="49" t="n"/>
      <c r="E484" s="49" t="n"/>
      <c r="F484" s="49" t="n"/>
      <c r="H484" s="49" t="n"/>
      <c r="I484" s="49" t="n"/>
      <c r="J484" s="50" t="n"/>
      <c r="K484" s="50" t="n"/>
    </row>
    <row r="485">
      <c r="B485" s="49" t="n"/>
      <c r="C485" s="49" t="n"/>
      <c r="D485" s="49" t="n"/>
      <c r="E485" s="49" t="n"/>
      <c r="F485" s="49" t="n"/>
      <c r="H485" s="49" t="n"/>
      <c r="I485" s="49" t="n"/>
      <c r="J485" s="50" t="n"/>
      <c r="K485" s="50" t="n"/>
    </row>
    <row r="486">
      <c r="B486" s="49" t="n"/>
      <c r="C486" s="49" t="n"/>
      <c r="D486" s="49" t="n"/>
      <c r="E486" s="49" t="n"/>
      <c r="F486" s="49" t="n"/>
      <c r="H486" s="49" t="n"/>
      <c r="I486" s="49" t="n"/>
      <c r="J486" s="50" t="n"/>
      <c r="K486" s="50" t="n"/>
    </row>
    <row r="487">
      <c r="B487" s="49" t="n"/>
      <c r="C487" s="49" t="n"/>
      <c r="D487" s="49" t="n"/>
      <c r="E487" s="49" t="n"/>
      <c r="F487" s="49" t="n"/>
      <c r="H487" s="49" t="n"/>
      <c r="I487" s="49" t="n"/>
      <c r="J487" s="50" t="n"/>
      <c r="K487" s="50" t="n"/>
    </row>
    <row r="488">
      <c r="B488" s="49" t="n"/>
      <c r="C488" s="49" t="n"/>
      <c r="D488" s="49" t="n"/>
      <c r="E488" s="49" t="n"/>
      <c r="F488" s="49" t="n"/>
      <c r="H488" s="49" t="n"/>
      <c r="I488" s="49" t="n"/>
      <c r="J488" s="50" t="n"/>
      <c r="K488" s="50" t="n"/>
    </row>
    <row r="489">
      <c r="B489" s="49" t="n"/>
      <c r="C489" s="49" t="n"/>
      <c r="D489" s="49" t="n"/>
      <c r="E489" s="49" t="n"/>
      <c r="F489" s="49" t="n"/>
      <c r="H489" s="49" t="n"/>
      <c r="I489" s="49" t="n"/>
      <c r="J489" s="50" t="n"/>
      <c r="K489" s="50" t="n"/>
    </row>
    <row r="490">
      <c r="B490" s="49" t="n"/>
      <c r="C490" s="49" t="n"/>
      <c r="D490" s="49" t="n"/>
      <c r="E490" s="49" t="n"/>
      <c r="F490" s="49" t="n"/>
      <c r="H490" s="49" t="n"/>
      <c r="I490" s="49" t="n"/>
      <c r="J490" s="50" t="n"/>
      <c r="K490" s="50" t="n"/>
    </row>
    <row r="491">
      <c r="B491" s="49" t="n"/>
      <c r="C491" s="49" t="n"/>
      <c r="D491" s="49" t="n"/>
      <c r="E491" s="49" t="n"/>
      <c r="F491" s="49" t="n"/>
      <c r="H491" s="49" t="n"/>
      <c r="I491" s="49" t="n"/>
      <c r="J491" s="50" t="n"/>
      <c r="K491" s="50" t="n"/>
    </row>
    <row r="492">
      <c r="B492" s="49" t="n"/>
      <c r="C492" s="49" t="n"/>
      <c r="D492" s="49" t="n"/>
      <c r="E492" s="49" t="n"/>
      <c r="F492" s="49" t="n"/>
      <c r="H492" s="49" t="n"/>
      <c r="I492" s="49" t="n"/>
      <c r="J492" s="50" t="n"/>
      <c r="K492" s="50" t="n"/>
    </row>
    <row r="493">
      <c r="B493" s="49" t="n"/>
      <c r="C493" s="49" t="n"/>
      <c r="D493" s="49" t="n"/>
      <c r="E493" s="49" t="n"/>
      <c r="F493" s="49" t="n"/>
      <c r="H493" s="49" t="n"/>
      <c r="I493" s="49" t="n"/>
      <c r="J493" s="50" t="n"/>
      <c r="K493" s="50" t="n"/>
    </row>
    <row r="494">
      <c r="B494" s="49" t="n"/>
      <c r="C494" s="49" t="n"/>
      <c r="D494" s="49" t="n"/>
      <c r="E494" s="49" t="n"/>
      <c r="F494" s="49" t="n"/>
      <c r="H494" s="49" t="n"/>
      <c r="I494" s="49" t="n"/>
      <c r="J494" s="50" t="n"/>
      <c r="K494" s="50" t="n"/>
    </row>
    <row r="495">
      <c r="B495" s="49" t="n"/>
      <c r="C495" s="49" t="n"/>
      <c r="D495" s="49" t="n"/>
      <c r="E495" s="49" t="n"/>
      <c r="F495" s="49" t="n"/>
      <c r="H495" s="49" t="n"/>
      <c r="I495" s="49" t="n"/>
      <c r="J495" s="50" t="n"/>
      <c r="K495" s="50" t="n"/>
    </row>
    <row r="496">
      <c r="B496" s="49" t="n"/>
      <c r="C496" s="49" t="n"/>
      <c r="D496" s="49" t="n"/>
      <c r="E496" s="49" t="n"/>
      <c r="F496" s="49" t="n"/>
      <c r="H496" s="49" t="n"/>
      <c r="I496" s="49" t="n"/>
      <c r="J496" s="50" t="n"/>
      <c r="K496" s="50" t="n"/>
    </row>
    <row r="497">
      <c r="B497" s="49" t="n"/>
      <c r="C497" s="49" t="n"/>
      <c r="D497" s="49" t="n"/>
      <c r="E497" s="49" t="n"/>
      <c r="F497" s="49" t="n"/>
      <c r="H497" s="49" t="n"/>
      <c r="I497" s="49" t="n"/>
      <c r="J497" s="50" t="n"/>
      <c r="K497" s="50" t="n"/>
    </row>
    <row r="498">
      <c r="B498" s="49" t="n"/>
      <c r="C498" s="49" t="n"/>
      <c r="D498" s="49" t="n"/>
      <c r="E498" s="49" t="n"/>
      <c r="F498" s="49" t="n"/>
      <c r="H498" s="49" t="n"/>
      <c r="I498" s="49" t="n"/>
      <c r="J498" s="50" t="n"/>
      <c r="K498" s="50" t="n"/>
    </row>
    <row r="499">
      <c r="B499" s="49" t="n"/>
      <c r="C499" s="49" t="n"/>
      <c r="D499" s="49" t="n"/>
      <c r="E499" s="49" t="n"/>
      <c r="F499" s="49" t="n"/>
      <c r="H499" s="49" t="n"/>
      <c r="I499" s="49" t="n"/>
      <c r="J499" s="50" t="n"/>
      <c r="K499" s="50" t="n"/>
    </row>
    <row r="500">
      <c r="B500" s="49" t="n"/>
      <c r="C500" s="49" t="n"/>
      <c r="D500" s="49" t="n"/>
      <c r="E500" s="49" t="n"/>
      <c r="F500" s="49" t="n"/>
      <c r="H500" s="49" t="n"/>
      <c r="I500" s="49" t="n"/>
      <c r="J500" s="50" t="n"/>
      <c r="K500" s="50" t="n"/>
    </row>
    <row r="501">
      <c r="B501" s="49" t="n"/>
      <c r="C501" s="49" t="n"/>
      <c r="D501" s="49" t="n"/>
      <c r="E501" s="49" t="n"/>
      <c r="F501" s="49" t="n"/>
      <c r="H501" s="49" t="n"/>
      <c r="I501" s="49" t="n"/>
      <c r="J501" s="50" t="n"/>
      <c r="K501" s="50" t="n"/>
    </row>
    <row r="502">
      <c r="B502" s="49" t="n"/>
      <c r="C502" s="49" t="n"/>
      <c r="D502" s="49" t="n"/>
      <c r="E502" s="49" t="n"/>
      <c r="F502" s="49" t="n"/>
      <c r="H502" s="49" t="n"/>
      <c r="I502" s="49" t="n"/>
      <c r="J502" s="50" t="n"/>
      <c r="K502" s="50" t="n"/>
    </row>
    <row r="503">
      <c r="B503" s="49" t="n"/>
      <c r="C503" s="49" t="n"/>
      <c r="D503" s="49" t="n"/>
      <c r="E503" s="49" t="n"/>
      <c r="F503" s="49" t="n"/>
      <c r="H503" s="49" t="n"/>
      <c r="I503" s="49" t="n"/>
      <c r="J503" s="50" t="n"/>
      <c r="K503" s="50" t="n"/>
    </row>
    <row r="504">
      <c r="B504" s="49" t="n"/>
      <c r="C504" s="49" t="n"/>
      <c r="D504" s="49" t="n"/>
      <c r="E504" s="49" t="n"/>
      <c r="F504" s="49" t="n"/>
      <c r="H504" s="49" t="n"/>
      <c r="I504" s="49" t="n"/>
      <c r="J504" s="50" t="n"/>
      <c r="K504" s="50" t="n"/>
    </row>
    <row r="505">
      <c r="B505" s="49" t="n"/>
      <c r="C505" s="49" t="n"/>
      <c r="D505" s="49" t="n"/>
      <c r="E505" s="49" t="n"/>
      <c r="F505" s="49" t="n"/>
      <c r="H505" s="49" t="n"/>
      <c r="I505" s="49" t="n"/>
      <c r="J505" s="50" t="n"/>
      <c r="K505" s="50" t="n"/>
    </row>
    <row r="506">
      <c r="B506" s="49" t="n"/>
      <c r="C506" s="49" t="n"/>
      <c r="D506" s="49" t="n"/>
      <c r="E506" s="49" t="n"/>
      <c r="F506" s="49" t="n"/>
      <c r="H506" s="49" t="n"/>
      <c r="I506" s="49" t="n"/>
      <c r="J506" s="50" t="n"/>
      <c r="K506" s="50" t="n"/>
    </row>
    <row r="507">
      <c r="B507" s="49" t="n"/>
      <c r="C507" s="49" t="n"/>
      <c r="D507" s="49" t="n"/>
      <c r="E507" s="49" t="n"/>
      <c r="F507" s="49" t="n"/>
      <c r="H507" s="49" t="n"/>
      <c r="I507" s="49" t="n"/>
      <c r="J507" s="50" t="n"/>
      <c r="K507" s="50" t="n"/>
    </row>
    <row r="508">
      <c r="B508" s="49" t="n"/>
      <c r="C508" s="49" t="n"/>
      <c r="D508" s="49" t="n"/>
      <c r="E508" s="49" t="n"/>
      <c r="F508" s="49" t="n"/>
      <c r="H508" s="49" t="n"/>
      <c r="I508" s="49" t="n"/>
      <c r="J508" s="50" t="n"/>
      <c r="K508" s="50" t="n"/>
    </row>
    <row r="509">
      <c r="B509" s="49" t="n"/>
      <c r="C509" s="49" t="n"/>
      <c r="D509" s="49" t="n"/>
      <c r="E509" s="49" t="n"/>
      <c r="F509" s="49" t="n"/>
      <c r="H509" s="49" t="n"/>
      <c r="I509" s="49" t="n"/>
      <c r="J509" s="50" t="n"/>
      <c r="K509" s="50" t="n"/>
    </row>
    <row r="510">
      <c r="B510" s="49" t="n"/>
      <c r="C510" s="49" t="n"/>
      <c r="D510" s="49" t="n"/>
      <c r="E510" s="49" t="n"/>
      <c r="F510" s="49" t="n"/>
      <c r="H510" s="49" t="n"/>
      <c r="I510" s="49" t="n"/>
      <c r="J510" s="50" t="n"/>
      <c r="K510" s="50" t="n"/>
    </row>
    <row r="511">
      <c r="B511" s="49" t="n"/>
      <c r="C511" s="49" t="n"/>
      <c r="D511" s="49" t="n"/>
      <c r="E511" s="49" t="n"/>
      <c r="F511" s="49" t="n"/>
      <c r="H511" s="49" t="n"/>
      <c r="I511" s="49" t="n"/>
      <c r="J511" s="50" t="n"/>
      <c r="K511" s="50" t="n"/>
    </row>
    <row r="512">
      <c r="B512" s="49" t="n"/>
      <c r="C512" s="49" t="n"/>
      <c r="D512" s="49" t="n"/>
      <c r="E512" s="49" t="n"/>
      <c r="F512" s="49" t="n"/>
      <c r="H512" s="49" t="n"/>
      <c r="I512" s="49" t="n"/>
      <c r="J512" s="50" t="n"/>
      <c r="K512" s="50" t="n"/>
    </row>
    <row r="513">
      <c r="B513" s="49" t="n"/>
      <c r="C513" s="49" t="n"/>
      <c r="D513" s="49" t="n"/>
      <c r="E513" s="49" t="n"/>
      <c r="F513" s="49" t="n"/>
      <c r="H513" s="49" t="n"/>
      <c r="I513" s="49" t="n"/>
      <c r="J513" s="50" t="n"/>
      <c r="K513" s="50" t="n"/>
    </row>
    <row r="514">
      <c r="B514" s="49" t="n"/>
      <c r="C514" s="49" t="n"/>
      <c r="D514" s="49" t="n"/>
      <c r="E514" s="49" t="n"/>
      <c r="F514" s="49" t="n"/>
      <c r="H514" s="49" t="n"/>
      <c r="I514" s="49" t="n"/>
      <c r="J514" s="50" t="n"/>
      <c r="K514" s="50" t="n"/>
    </row>
    <row r="515">
      <c r="B515" s="49" t="n"/>
      <c r="C515" s="49" t="n"/>
      <c r="D515" s="49" t="n"/>
      <c r="E515" s="49" t="n"/>
      <c r="F515" s="49" t="n"/>
      <c r="H515" s="49" t="n"/>
      <c r="I515" s="49" t="n"/>
      <c r="J515" s="50" t="n"/>
      <c r="K515" s="50" t="n"/>
    </row>
    <row r="516">
      <c r="B516" s="49" t="n"/>
      <c r="C516" s="49" t="n"/>
      <c r="D516" s="49" t="n"/>
      <c r="E516" s="49" t="n"/>
      <c r="F516" s="49" t="n"/>
      <c r="H516" s="49" t="n"/>
      <c r="I516" s="49" t="n"/>
      <c r="J516" s="50" t="n"/>
      <c r="K516" s="50" t="n"/>
    </row>
    <row r="517">
      <c r="B517" s="49" t="n"/>
      <c r="C517" s="49" t="n"/>
      <c r="D517" s="49" t="n"/>
      <c r="E517" s="49" t="n"/>
      <c r="F517" s="49" t="n"/>
      <c r="H517" s="49" t="n"/>
      <c r="I517" s="49" t="n"/>
      <c r="J517" s="50" t="n"/>
      <c r="K517" s="50" t="n"/>
    </row>
    <row r="518">
      <c r="B518" s="49" t="n"/>
      <c r="C518" s="49" t="n"/>
      <c r="D518" s="49" t="n"/>
      <c r="E518" s="49" t="n"/>
      <c r="F518" s="49" t="n"/>
      <c r="H518" s="49" t="n"/>
      <c r="I518" s="49" t="n"/>
      <c r="J518" s="50" t="n"/>
      <c r="K518" s="50" t="n"/>
    </row>
    <row r="519">
      <c r="B519" s="49" t="n"/>
      <c r="C519" s="49" t="n"/>
      <c r="D519" s="49" t="n"/>
      <c r="E519" s="49" t="n"/>
      <c r="F519" s="49" t="n"/>
      <c r="H519" s="49" t="n"/>
      <c r="I519" s="49" t="n"/>
      <c r="J519" s="50" t="n"/>
      <c r="K519" s="50" t="n"/>
    </row>
  </sheetData>
  <mergeCells count="9">
    <mergeCell ref="B8:K8"/>
    <mergeCell ref="B4:K4"/>
    <mergeCell ref="B9:K9"/>
    <mergeCell ref="B7:K7"/>
    <mergeCell ref="B6:K6"/>
    <mergeCell ref="B10:K10"/>
    <mergeCell ref="B3:K3"/>
    <mergeCell ref="B5:K5"/>
    <mergeCell ref="B12:C12"/>
  </mergeCells>
  <conditionalFormatting sqref="E11">
    <cfRule type="cellIs" priority="1" operator="greaterThan" dxfId="5">
      <formula>0</formula>
    </cfRule>
  </conditionalFormatting>
  <conditionalFormatting sqref="B19:B519">
    <cfRule type="expression" priority="2" dxfId="6">
      <formula>AND(LEN($B19&amp;$C19&amp;$D19&amp;$E19&amp;$F19&amp;$G19&amp;$H19&amp;$I19&amp;$J19&amp;$K19)&gt;0,B19="")</formula>
    </cfRule>
  </conditionalFormatting>
  <conditionalFormatting sqref="C19:C519">
    <cfRule type="expression" priority="3" dxfId="6">
      <formula>AND(LEN($B19&amp;$C19&amp;$D19&amp;$E19&amp;$F19&amp;$G19&amp;$H19&amp;$I19&amp;$J19&amp;$K19)&gt;0,C19="")</formula>
    </cfRule>
  </conditionalFormatting>
  <conditionalFormatting sqref="D19:D519">
    <cfRule type="expression" priority="4" dxfId="6">
      <formula>AND(LEN($B19&amp;$C19&amp;$D19&amp;$E19&amp;$F19&amp;$G19&amp;$H19&amp;$I19&amp;$J19&amp;$K19)&gt;0,D19="")</formula>
    </cfRule>
  </conditionalFormatting>
  <conditionalFormatting sqref="G19:G519">
    <cfRule type="expression" priority="5" dxfId="6">
      <formula>AND(LEN($B19&amp;$C19&amp;$D19&amp;$E19&amp;$F19&amp;$G19&amp;$H19&amp;$I19&amp;$J19&amp;$K19)&gt;0,G19="")</formula>
    </cfRule>
  </conditionalFormatting>
  <conditionalFormatting sqref="H19:H519">
    <cfRule type="expression" priority="6" dxfId="6">
      <formula>AND(LEN($B19&amp;$C19&amp;$D19&amp;$E19&amp;$F19&amp;$G19&amp;$H19&amp;$I19&amp;$J19&amp;$K19)&gt;0,H19="")</formula>
    </cfRule>
  </conditionalFormatting>
  <conditionalFormatting sqref="J19:J519">
    <cfRule type="expression" priority="7" dxfId="6">
      <formula>AND(LEN($B19&amp;$C19&amp;$D19&amp;$E19&amp;$F19&amp;$G19&amp;$H19&amp;$I19&amp;$J19&amp;$K19)&gt;0,J19="")</formula>
    </cfRule>
  </conditionalFormatting>
  <dataValidations count="11">
    <dataValidation sqref="E12" showDropDown="0" showInputMessage="1" showErrorMessage="1" allowBlank="1" errorTitle="Date" error="Enter a date (dd-mmm-yyyy)." promptTitle="Date" prompt="Date the owner confirmed the content" type="date" operator="greaterThan">
      <formula1>DATE(2026,1,1)</formula1>
    </dataValidation>
    <dataValidation sqref="B19:B519" showDropDown="0" showInputMessage="1" showErrorMessage="0" allowBlank="1" promptTitle="Tax code" prompt="Yes. Code of the tax"/>
    <dataValidation sqref="C19:C519" showDropDown="0" showInputMessage="1" showErrorMessage="0" allowBlank="1" promptTitle="Name" prompt="Yes. Name of the tax"/>
    <dataValidation sqref="D19:D519" showDropDown="0" showInputMessage="1" showErrorMessage="1" allowBlank="1" errorTitle="Tax type" error="Choose a value of the list Tax type (BIBS) (sheet Reference lists)." promptTitle="Tax type" prompt="Yes. Kind of tax Allowed: List Tax type (BIBS): 12 values, see Reference lists" type="list" errorStyle="stop">
      <formula1>=LIST_D0_10_TAX_TYPE</formula1>
    </dataValidation>
    <dataValidation sqref="E19:E519" showDropDown="0" showInputMessage="1" showErrorMessage="0" allowBlank="1" promptTitle="ATC" prompt="Conditional: EWT, FWT. Alphanumeric tax code of the BIR"/>
    <dataValidation sqref="F19:F519" showDropDown="0" showInputMessage="1" showErrorMessage="1" allowBlank="1" errorTitle="Payee class" error="Choose a value of the list Payee class (BIR) (sheet Reference lists)." promptTitle="Payee class" prompt="No. Payee class of the withholding Allowed: INDIVIDUAL, CORPORATE (list Payee class (BIR))" type="list" errorStyle="stop">
      <formula1>=LIST_D0_10_PAYEE_CLASS</formula1>
    </dataValidation>
    <dataValidation sqref="G19:G519" showDropDown="0" showInputMessage="1" showErrorMessage="1" allowBlank="1" errorTitle="Rate %" error="Enter a number from 0 to 100." promptTitle="Rate %" prompt="Yes. Rate in percent Allowed: A number from 0 to 100" type="decimal" operator="between">
      <formula1>0</formula1>
      <formula2>100</formula2>
    </dataValidation>
    <dataValidation sqref="H19:H519" showDropDown="0" showInputMessage="1" showErrorMessage="1" allowBlank="1" errorTitle="GL account" error="The code is not in D0-06, column Account Code. Enter it there first, or keep it if it is a code BIBS already holds." promptTitle="GL account" prompt="Yes. Account the tax posts to Allowed: Code of an existing account of the chart of accounts" type="list" errorStyle="warning">
      <formula1>=CODES_D0_06_ACCOUNT_CODE</formula1>
    </dataValidation>
    <dataValidation sqref="I19:I519" showDropDown="0" showInputMessage="1" showErrorMessage="0" allowBlank="1" promptTitle="Income nature" prompt="No. Nature of the income"/>
    <dataValidation sqref="J19:J519" showDropDown="0" showInputMessage="1" showErrorMessage="1" allowBlank="1" errorTitle="Effective from" error="Enter a date, for example 15-Jan-2028." promptTitle="Effective from" prompt="Yes. First day of the rate Allowed: A date, for example 15-Jan-2028" type="date" operator="greaterThan">
      <formula1>DATE(1900,1,1)</formula1>
    </dataValidation>
    <dataValidation sqref="K19:K519" showDropDown="0" showInputMessage="1" showErrorMessage="1" allowBlank="1" errorTitle="Effective to" error="Enter a date, for example 15-Jan-2028." promptTitle="Effective to" prompt="No. Last day of the rate; blank = open Allowed: A date, for example 15-Jan-2028" type="date" operator="greaterThan">
      <formula1>DATE(1900,1,1)</formula1>
    </dataValidation>
  </dataValidations>
  <hyperlinks>
    <hyperlink ref="A2" location="'Start here'!A1"/>
    <hyperlink ref="K2" location="'Questions and comments'!A1"/>
    <hyperlink ref="B8" location="'D0-06 Chart of accounts'!A1"/>
    <hyperlink ref="D16" location="'Reference lists'!A363"/>
    <hyperlink ref="F16" location="'Reference lists'!A375"/>
    <hyperlink ref="H16"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fitToPage="1"/>
  </sheetPr>
  <dimension ref="A1:I16"/>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32" customWidth="1" min="3" max="3"/>
    <col width="44" customWidth="1" min="4" max="4"/>
    <col width="9" customWidth="1" min="5" max="5"/>
    <col width="10" customWidth="1" min="6" max="6"/>
    <col width="14" customWidth="1" min="7" max="7"/>
    <col width="36" customWidth="1" min="8" max="8"/>
    <col width="14" customWidth="1" min="9" max="9"/>
  </cols>
  <sheetData>
    <row r="1" ht="26" customHeight="1">
      <c r="A1" s="25" t="inlineStr">
        <is>
          <t>D0-10 Tax checklist: BDOI's own taxes</t>
        </is>
      </c>
    </row>
    <row r="2">
      <c r="A2" s="27" t="inlineStr">
        <is>
          <t>← Back to Start here</t>
        </is>
      </c>
      <c r="B2" s="55" t="inlineStr">
        <is>
          <t>One row per kind of tax: what BIBS does, where it is set up (D0-10 tax codes, TX-01 party tax profiles, TX-02 tax forms, D0-01 and D0-02 tax registration) and what BDOI provides</t>
        </is>
      </c>
    </row>
    <row r="4" ht="30" customHeight="1">
      <c r="A4" s="11" t="inlineStr">
        <is>
          <t>Tax</t>
        </is>
      </c>
      <c r="B4" s="11" t="inlineStr">
        <is>
          <t>What BIBS does</t>
        </is>
      </c>
      <c r="C4" s="11" t="inlineStr">
        <is>
          <t>Where it is set up</t>
        </is>
      </c>
      <c r="D4" s="11" t="inlineStr">
        <is>
          <t>What BDOI provides or confirms</t>
        </is>
      </c>
      <c r="E4" s="11" t="inlineStr">
        <is>
          <t>Held by BIBS</t>
        </is>
      </c>
      <c r="F4" s="11" t="inlineStr">
        <is>
          <t>Question</t>
        </is>
      </c>
      <c r="G4" s="11" t="inlineStr">
        <is>
          <t>Rule confirmed</t>
        </is>
      </c>
      <c r="H4" s="11" t="inlineStr">
        <is>
          <t>BDOI comments</t>
        </is>
      </c>
      <c r="I4" s="11" t="inlineStr">
        <is>
          <t>Status</t>
        </is>
      </c>
    </row>
    <row r="5">
      <c r="A5" s="14" t="inlineStr">
        <is>
          <t>Output VAT on commission and service fees</t>
        </is>
      </c>
      <c r="B5" s="14" t="inlineStr">
        <is>
          <t>Tax type VAT_OUTPUT; the VAT worksheet prepares the quarterly VAT return (2550Q) from the sales.</t>
        </is>
      </c>
      <c r="C5" s="14" t="inlineStr">
        <is>
          <t>D0-10 (code, rate, GL account); TX-02 form 2550Q</t>
        </is>
      </c>
      <c r="D5" s="14" t="inlineStr">
        <is>
          <t>Code, rate and GL account of output VAT</t>
        </is>
      </c>
      <c r="E5" s="14" t="inlineStr">
        <is>
          <t>Yes</t>
        </is>
      </c>
      <c r="F5" s="14" t="inlineStr">
        <is>
          <t>TX-Q05</t>
        </is>
      </c>
      <c r="G5" s="14" t="n"/>
      <c r="H5" s="14" t="n"/>
      <c r="I5" s="14" t="inlineStr">
        <is>
          <t>Not started</t>
        </is>
      </c>
    </row>
    <row r="6">
      <c r="A6" s="14" t="inlineStr">
        <is>
          <t>Zero-rated and VAT-exempt sales</t>
        </is>
      </c>
      <c r="B6" s="14" t="inlineStr">
        <is>
          <t>Tax types VAT_ZERO_RATED and VAT_EXEMPT; a client's VAT treatment (TX-01) classifies a sale without VAT.</t>
        </is>
      </c>
      <c r="C6" s="14" t="inlineStr">
        <is>
          <t>D0-10; TX-01 VAT treatment</t>
        </is>
      </c>
      <c r="D6" s="14" t="inlineStr">
        <is>
          <t>The zero-rated and exempt cases and the clients concerned</t>
        </is>
      </c>
      <c r="E6" s="14" t="inlineStr">
        <is>
          <t>Yes</t>
        </is>
      </c>
      <c r="F6" s="14" t="inlineStr">
        <is>
          <t>TX-Q05</t>
        </is>
      </c>
      <c r="G6" s="14" t="n"/>
      <c r="H6" s="14" t="n"/>
      <c r="I6" s="14" t="inlineStr">
        <is>
          <t>Not started</t>
        </is>
      </c>
    </row>
    <row r="7">
      <c r="A7" s="14" t="inlineStr">
        <is>
          <t>Input VAT</t>
        </is>
      </c>
      <c r="B7" s="14" t="inlineStr">
        <is>
          <t>Tax type VAT_INPUT; credited against output VAT on the VAT return.</t>
        </is>
      </c>
      <c r="C7" s="14" t="inlineStr">
        <is>
          <t>D0-10; TX-02 credit account</t>
        </is>
      </c>
      <c r="D7" s="14" t="inlineStr">
        <is>
          <t>Code, rate and GL account of input VAT</t>
        </is>
      </c>
      <c r="E7" s="14" t="inlineStr">
        <is>
          <t>Yes</t>
        </is>
      </c>
      <c r="F7" s="14" t="inlineStr">
        <is>
          <t>TX-Q05</t>
        </is>
      </c>
      <c r="G7" s="14" t="n"/>
      <c r="H7" s="14" t="n"/>
      <c r="I7" s="14" t="inlineStr">
        <is>
          <t>Not started</t>
        </is>
      </c>
    </row>
    <row r="8">
      <c r="A8" s="14" t="inlineStr">
        <is>
          <t>Creditable withholding tax withheld by insurers on BDOI's commission</t>
        </is>
      </c>
      <c r="B8" s="14" t="inlineStr">
        <is>
          <t>The 2307 certificates received are recorded on Certificates Received (ATC, income, tax) and posted against the receivable.</t>
        </is>
      </c>
      <c r="C8" s="14" t="inlineStr">
        <is>
          <t>D0-10 EWT codes; TX-01 default ATC of each insurer</t>
        </is>
      </c>
      <c r="D8" s="14" t="inlineStr">
        <is>
          <t>The ATCs and rates the insurers withhold on commission</t>
        </is>
      </c>
      <c r="E8" s="14" t="inlineStr">
        <is>
          <t>Yes</t>
        </is>
      </c>
      <c r="F8" s="14" t="inlineStr">
        <is>
          <t>TX-Q05</t>
        </is>
      </c>
      <c r="G8" s="14" t="n"/>
      <c r="H8" s="14" t="n"/>
      <c r="I8" s="14" t="inlineStr">
        <is>
          <t>Not started</t>
        </is>
      </c>
    </row>
    <row r="9">
      <c r="A9" s="14" t="inlineStr">
        <is>
          <t>EWT BDOI withholds on suppliers</t>
        </is>
      </c>
      <c r="B9" s="14" t="inlineStr">
        <is>
          <t>Tax type EWT, one code per ATC; withheld on payments, 2307 issued, monthly 0619-E, quarterly 1601-EQ, QAP and alphalists.</t>
        </is>
      </c>
      <c r="C9" s="14" t="inlineStr">
        <is>
          <t>D0-10 (one row per ATC); TX-01 default ATC of each supplier; TX-02 forms</t>
        </is>
      </c>
      <c r="D9" s="14" t="inlineStr">
        <is>
          <t>The ATC list with rates, income nature and GL account</t>
        </is>
      </c>
      <c r="E9" s="14" t="inlineStr">
        <is>
          <t>Yes</t>
        </is>
      </c>
      <c r="F9" s="14" t="inlineStr">
        <is>
          <t>TX-Q05</t>
        </is>
      </c>
      <c r="G9" s="14" t="n"/>
      <c r="H9" s="14" t="n"/>
      <c r="I9" s="14" t="inlineStr">
        <is>
          <t>Not started</t>
        </is>
      </c>
    </row>
    <row r="10">
      <c r="A10" s="14" t="inlineStr">
        <is>
          <t>Government payors (final VAT and final tax withheld)</t>
        </is>
      </c>
      <c r="B10" s="14" t="inlineStr">
        <is>
          <t>Tax types FINAL_VAT (final VAT withheld) and FWT (final withholding tax, one code per ATC); the party tax profile marks the government payor, which is always a withholding agent.</t>
        </is>
      </c>
      <c r="C10" s="14" t="inlineStr">
        <is>
          <t>D0-10 (FINAL_VAT, FWT); TX-01 Government payor</t>
        </is>
      </c>
      <c r="D10" s="14" t="inlineStr">
        <is>
          <t>The codes, ATCs, rates and accounts, and the government payors among the clients</t>
        </is>
      </c>
      <c r="E10" s="14" t="inlineStr">
        <is>
          <t>Yes</t>
        </is>
      </c>
      <c r="F10" s="14" t="inlineStr">
        <is>
          <t>TX-Q06</t>
        </is>
      </c>
      <c r="G10" s="14" t="n"/>
      <c r="H10" s="14" t="n"/>
      <c r="I10" s="14" t="inlineStr">
        <is>
          <t>Not started</t>
        </is>
      </c>
    </row>
    <row r="11">
      <c r="A11" s="14" t="inlineStr">
        <is>
          <t>Top withholding agent clients</t>
        </is>
      </c>
      <c r="B11" s="14" t="inlineStr">
        <is>
          <t>Withholding by a client is recorded as a 2307 received; the party tax profile marks the withholding agents and the top withholding agents.</t>
        </is>
      </c>
      <c r="C11" s="14" t="inlineStr">
        <is>
          <t>TX-01 Withholding agent, Top withholding agent</t>
        </is>
      </c>
      <c r="D11" s="14" t="inlineStr">
        <is>
          <t>The clients that are withholding agents or top withholding agents</t>
        </is>
      </c>
      <c r="E11" s="14" t="inlineStr">
        <is>
          <t>Yes</t>
        </is>
      </c>
      <c r="F11" s="14" t="inlineStr">
        <is>
          <t>TX-Q09</t>
        </is>
      </c>
      <c r="G11" s="14" t="n"/>
      <c r="H11" s="14" t="n"/>
      <c r="I11" s="14" t="inlineStr">
        <is>
          <t>Not started</t>
        </is>
      </c>
    </row>
    <row r="12">
      <c r="A12" s="14" t="inlineStr">
        <is>
          <t>Final tax on bank interest</t>
        </is>
      </c>
      <c r="B12" s="14" t="inlineStr">
        <is>
          <t>Tax type FWT, one code per ATC.</t>
        </is>
      </c>
      <c r="C12" s="14" t="inlineStr">
        <is>
          <t>D0-10 (FWT)</t>
        </is>
      </c>
      <c r="D12" s="14" t="inlineStr">
        <is>
          <t>The ATC, rate and account of the final tax on bank interest</t>
        </is>
      </c>
      <c r="E12" s="14" t="inlineStr">
        <is>
          <t>Yes</t>
        </is>
      </c>
      <c r="F12" s="14" t="inlineStr">
        <is>
          <t>TX-Q06</t>
        </is>
      </c>
      <c r="G12" s="14" t="n"/>
      <c r="H12" s="14" t="n"/>
      <c r="I12" s="14" t="inlineStr">
        <is>
          <t>Not started</t>
        </is>
      </c>
    </row>
    <row r="13">
      <c r="A13" s="14" t="inlineStr">
        <is>
          <t>Percentage tax on BDOI's own receipts</t>
        </is>
      </c>
      <c r="B13" s="14" t="inlineStr">
        <is>
          <t>Tax type PERCENTAGE_TAX on BDOI's own receipts not subject to VAT (the premium tax of PM-04 stays a charge on premiums).</t>
        </is>
      </c>
      <c r="C13" s="14" t="inlineStr">
        <is>
          <t>D0-10 (PERCENTAGE_TAX)</t>
        </is>
      </c>
      <c r="D13" s="14" t="inlineStr">
        <is>
          <t>Whether any BDOI income is subject to percentage tax, with its rate and account</t>
        </is>
      </c>
      <c r="E13" s="14" t="inlineStr">
        <is>
          <t>Yes</t>
        </is>
      </c>
      <c r="F13" s="14" t="inlineStr">
        <is>
          <t>TX-Q06</t>
        </is>
      </c>
      <c r="G13" s="14" t="n"/>
      <c r="H13" s="14" t="n"/>
      <c r="I13" s="14" t="inlineStr">
        <is>
          <t>Not started</t>
        </is>
      </c>
    </row>
    <row r="14">
      <c r="A14" s="14" t="inlineStr">
        <is>
          <t>Tax returns and the filing calendar</t>
        </is>
      </c>
      <c r="B14" s="14" t="inlineStr">
        <is>
          <t>BIBS prepares the VAT return 2550Q and the withholding tax forms 0619-E and 1601-EQ from its worksheets and reminds of 1601-C (prepared in the payroll system). The premium-levy returns (DST, premium tax, local business tax, FST) are the insurers' returns and are not kept in BIBS.</t>
        </is>
      </c>
      <c r="C14" s="14" t="inlineStr">
        <is>
          <t>TX-02</t>
        </is>
      </c>
      <c r="D14" s="14" t="inlineStr">
        <is>
          <t>The forms BDOI files, their due dates and accounts</t>
        </is>
      </c>
      <c r="E14" s="14" t="inlineStr">
        <is>
          <t>Yes</t>
        </is>
      </c>
      <c r="F14" s="14" t="inlineStr">
        <is>
          <t>TX-Q07</t>
        </is>
      </c>
      <c r="G14" s="14" t="n"/>
      <c r="H14" s="14" t="n"/>
      <c r="I14" s="14" t="inlineStr">
        <is>
          <t>Not started</t>
        </is>
      </c>
    </row>
    <row r="15">
      <c r="A15" s="14" t="inlineStr">
        <is>
          <t>Tax exemption certificates of clients</t>
        </is>
      </c>
      <c r="B15" s="14" t="inlineStr">
        <is>
          <t>The party tax profile keeps the certificate number and its validity; a zero-rated or exempt invoice dated outside the validity is flagged on the VAT worksheet for checking before the return is filed.</t>
        </is>
      </c>
      <c r="C15" s="14" t="inlineStr">
        <is>
          <t>TX-01 Tax exemption certificate no., Certificate valid from / to</t>
        </is>
      </c>
      <c r="D15" s="14" t="inlineStr">
        <is>
          <t>The certificates of the exempt parties</t>
        </is>
      </c>
      <c r="E15" s="14" t="inlineStr">
        <is>
          <t>Yes</t>
        </is>
      </c>
      <c r="F15" s="14" t="inlineStr">
        <is>
          <t>TX-Q09</t>
        </is>
      </c>
      <c r="G15" s="14" t="n"/>
      <c r="H15" s="14" t="n"/>
      <c r="I15" s="14" t="inlineStr">
        <is>
          <t>Not started</t>
        </is>
      </c>
    </row>
    <row r="16">
      <c r="A16" s="14" t="inlineStr">
        <is>
          <t>Company tax registration</t>
        </is>
      </c>
      <c r="B16" s="14" t="inlineStr">
        <is>
          <t>BIBS keeps the TIN with its branch code, the RDO, the VAT registration and the CAS and e-invoicing permits of the company, and the BIR branch code and RDO of each branch; the RDO is printed on the BIR exports.</t>
        </is>
      </c>
      <c r="C16" s="14" t="inlineStr">
        <is>
          <t>D0-01 RDO code, VAT registered, CAS and e-invoicing permits; D0-02 BIR branch code, RDO code</t>
        </is>
      </c>
      <c r="D16" s="14" t="inlineStr">
        <is>
          <t>The registration details of the company and of each registered branch</t>
        </is>
      </c>
      <c r="E16" s="14" t="inlineStr">
        <is>
          <t>Yes</t>
        </is>
      </c>
      <c r="F16" s="14" t="inlineStr">
        <is>
          <t>TX-Q08</t>
        </is>
      </c>
      <c r="G16" s="14" t="n"/>
      <c r="H16" s="14" t="n"/>
      <c r="I16" s="14" t="inlineStr">
        <is>
          <t>Not started</t>
        </is>
      </c>
    </row>
  </sheetData>
  <autoFilter ref="A4:I16"/>
  <conditionalFormatting sqref="I5:I16">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I16">
    <cfRule type="expression" priority="6" dxfId="7">
      <formula>AND(MOD(ROW(),2)=0,$A5&lt;&gt;"")</formula>
    </cfRule>
  </conditionalFormatting>
  <dataValidations count="3">
    <dataValidation sqref="E5:E16" showDropDown="0" showInputMessage="1" showErrorMessage="1" allowBlank="1" errorTitle="Held by BIBS" error="Choose a value of the list Held by BIBS (sheet Reference lists)." promptTitle="Held by BIBS" prompt="Yes, or No (sheet Gaps)" type="list" errorStyle="stop">
      <formula1>=LIST_HELD_BY_BIBS</formula1>
    </dataValidation>
    <dataValidation sqref="G5:G16" showDropDown="0" showInputMessage="1" showErrorMessage="1" allowBlank="1" errorTitle="Rule confirmed" error="Choose a value of the list Rule confirmed (sheet Reference lists)." promptTitle="Rule confirmed" prompt="Agree, or Change (describe in BDOI comments)" type="list" errorStyle="stop">
      <formula1>=LIST_RULE_CONFIRMED</formula1>
    </dataValidation>
    <dataValidation sqref="I5:I16" showDropDown="0" showInputMessage="1" showErrorMessage="1" allowBlank="1" errorTitle="Status" error="Choose a value of the list Status (sheet Reference lists)." promptTitle="Status" prompt="Status of the item"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tabColor rgb="00004EA8"/>
    <outlinePr summaryBelow="0" summaryRight="1"/>
    <pageSetUpPr fitToPage="1"/>
  </sheetPr>
  <dimension ref="A1:J5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24" customWidth="1" min="3" max="3"/>
    <col width="30" customWidth="1" min="4" max="4"/>
    <col width="19" customWidth="1" min="5" max="5"/>
    <col width="13" customWidth="1" min="6" max="6"/>
    <col width="15" customWidth="1" min="7" max="7"/>
    <col width="25" customWidth="1" min="8" max="8"/>
    <col width="16" customWidth="1" min="9" max="9"/>
    <col width="32" customWidth="1" min="10" max="10"/>
  </cols>
  <sheetData>
    <row r="1" ht="26" customHeight="1">
      <c r="A1" s="25" t="inlineStr">
        <is>
          <t>D0-11 Company bank accounts</t>
        </is>
      </c>
      <c r="J1" s="26" t="inlineStr">
        <is>
          <t>Step 25 of 52</t>
        </is>
      </c>
    </row>
    <row r="2">
      <c r="A2" s="27" t="inlineStr">
        <is>
          <t>← Back to Start here</t>
        </is>
      </c>
      <c r="B2" s="28" t="inlineStr">
        <is>
          <t>Step 25 of 52. Fill in one row per record below the column headers; the guide above each column says what to enter.</t>
        </is>
      </c>
      <c r="J2" s="29" t="inlineStr">
        <is>
          <t>Ask a question →</t>
        </is>
      </c>
    </row>
    <row r="3" outlineLevel="1" ht="15.5" customHeight="1">
      <c r="A3" s="30" t="inlineStr">
        <is>
          <t>Purpose</t>
        </is>
      </c>
      <c r="B3" s="31" t="inlineStr">
        <is>
          <t>The bank accounts of BDOI used for collections and disbursements</t>
        </is>
      </c>
    </row>
    <row r="4" outlineLevel="1" ht="15.5" customHeight="1">
      <c r="A4" s="30" t="inlineStr">
        <is>
          <t>Provided by</t>
        </is>
      </c>
      <c r="B4" s="31" t="inlineStr">
        <is>
          <t>Head, Comptrollership; Treasury</t>
        </is>
      </c>
    </row>
    <row r="5" outlineLevel="1" ht="15.5" customHeight="1">
      <c r="A5" s="30" t="inlineStr">
        <is>
          <t>Due</t>
        </is>
      </c>
      <c r="B5" s="32" t="inlineStr">
        <is>
          <t>4-Jan-2027 – Platform set-up for Drop 1 SIT</t>
        </is>
      </c>
    </row>
    <row r="6" outlineLevel="1" ht="15.5" customHeight="1">
      <c r="A6" s="30" t="inlineStr">
        <is>
          <t>How it is loaded</t>
        </is>
      </c>
      <c r="B6" s="31" t="inlineStr">
        <is>
          <t>Upload on the configuration screen Finance › Disbursement › Bank Accounts and Checks, approved by a second user</t>
        </is>
      </c>
    </row>
    <row r="7" outlineLevel="1" ht="15.5" customHeight="1">
      <c r="A7" s="30" t="inlineStr">
        <is>
          <t>Source</t>
        </is>
      </c>
      <c r="B7" s="31" t="inlineStr">
        <is>
          <t>Upload template of the configuration screen (the same columns, headers, mandatory flags and allowed values)</t>
        </is>
      </c>
    </row>
    <row r="8" outlineLevel="1" ht="15" customHeight="1">
      <c r="A8" s="30" t="inlineStr">
        <is>
          <t>Depends on</t>
        </is>
      </c>
      <c r="B8" s="53" t="inlineStr">
        <is>
          <t>D0-06 Chart of accounts →</t>
        </is>
      </c>
      <c r="D8" s="53" t="inlineStr">
        <is>
          <t>D0-02 Branches →</t>
        </is>
      </c>
    </row>
    <row r="9" outlineLevel="1" ht="15.5" customHeight="1">
      <c r="A9" s="30" t="inlineStr">
        <is>
          <t>Payment notification format</t>
        </is>
      </c>
      <c r="B9" s="31" t="inlineStr">
        <is>
          <t>FIXED_WIDTH, CSV or DCTF, the formats the upload accepts; an e-mail advice is not a format of the bank account</t>
        </is>
      </c>
    </row>
    <row r="10" ht="26" customHeight="1">
      <c r="A10" s="34" t="inlineStr">
        <is>
          <t>Progress</t>
        </is>
      </c>
      <c r="B10" s="35" t="inlineStr">
        <is>
          <t>Rows entered</t>
        </is>
      </c>
      <c r="C10" s="36">
        <f>SUMPRODUCT(((ROW($B$18:$B$518)&gt;18)+($B$18&lt;&gt;"BNK-CA-001")&gt;0)*(LEN($B$18:$B$518&amp;$C$18:$C$518&amp;$D$18:$D$518&amp;$E$18:$E$518&amp;$F$18:$F$518&amp;$G$18:$G$518&amp;$H$18:$H$518&amp;$I$18:$I$518&amp;$J$18:$J$518)&gt;0))</f>
        <v/>
      </c>
      <c r="D10" s="35" t="inlineStr">
        <is>
          <t>Mandatory cells missing</t>
        </is>
      </c>
      <c r="E10" s="36">
        <f>SUMPRODUCT(((ROW($B$18:$B$518)&gt;18)+($B$18&lt;&gt;"BNK-CA-001")&gt;0)*(LEN($B$18:$B$518&amp;$C$18:$C$518&amp;$D$18:$D$518&amp;$E$18:$E$518&amp;$F$18:$F$518&amp;$G$18:$G$518&amp;$H$18:$H$518&amp;$I$18:$I$518&amp;$J$18:$J$518)&gt;0)*(($B$18:$B$518="")+($C$18:$C$518="")+($D$18:$D$518="")+($E$18:$E$518="")+($F$18:$F$518="")+($G$18:$G$518="")+($J$18:$J$518="")))</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c r="I12" s="40" t="n"/>
      <c r="J12" s="40" t="n"/>
    </row>
    <row r="13" ht="17" customHeight="1">
      <c r="A13" s="41" t="inlineStr">
        <is>
          <t>Mandatory</t>
        </is>
      </c>
      <c r="B13" s="42" t="inlineStr">
        <is>
          <t>Yes</t>
        </is>
      </c>
      <c r="C13" s="42" t="inlineStr">
        <is>
          <t>Yes</t>
        </is>
      </c>
      <c r="D13" s="42" t="inlineStr">
        <is>
          <t>Yes</t>
        </is>
      </c>
      <c r="E13" s="42" t="inlineStr">
        <is>
          <t>Yes</t>
        </is>
      </c>
      <c r="F13" s="42" t="inlineStr">
        <is>
          <t>Yes</t>
        </is>
      </c>
      <c r="G13" s="42" t="inlineStr">
        <is>
          <t>Yes</t>
        </is>
      </c>
      <c r="H13" s="43" t="inlineStr">
        <is>
          <t>No</t>
        </is>
      </c>
      <c r="I13" s="43" t="inlineStr">
        <is>
          <t>No</t>
        </is>
      </c>
      <c r="J13" s="42" t="inlineStr">
        <is>
          <t>Yes</t>
        </is>
      </c>
    </row>
    <row r="14" ht="17" customHeight="1">
      <c r="A14" s="41" t="inlineStr">
        <is>
          <t>Format</t>
        </is>
      </c>
      <c r="B14" s="43" t="inlineStr">
        <is>
          <t>Up to 20 capitals</t>
        </is>
      </c>
      <c r="C14" s="43" t="inlineStr">
        <is>
          <t>Text</t>
        </is>
      </c>
      <c r="D14" s="43" t="inlineStr">
        <is>
          <t>Text</t>
        </is>
      </c>
      <c r="E14" s="43" t="inlineStr">
        <is>
          <t>Text</t>
        </is>
      </c>
      <c r="F14" s="43" t="inlineStr">
        <is>
          <t>Text</t>
        </is>
      </c>
      <c r="G14" s="43" t="inlineStr">
        <is>
          <t>Text</t>
        </is>
      </c>
      <c r="H14" s="43" t="inlineStr">
        <is>
          <t>Text</t>
        </is>
      </c>
      <c r="I14" s="43" t="inlineStr">
        <is>
          <t>Text</t>
        </is>
      </c>
      <c r="J14" s="43" t="inlineStr">
        <is>
          <t>Code from the drop-down</t>
        </is>
      </c>
    </row>
    <row r="15" ht="56" customHeight="1">
      <c r="A15" s="41" t="inlineStr">
        <is>
          <t>Allowed values</t>
        </is>
      </c>
      <c r="B15" s="43" t="inlineStr">
        <is>
          <t>Free entry</t>
        </is>
      </c>
      <c r="C15" s="43" t="inlineStr">
        <is>
          <t>Free entry</t>
        </is>
      </c>
      <c r="D15" s="43" t="inlineStr">
        <is>
          <t>Free entry</t>
        </is>
      </c>
      <c r="E15" s="43" t="inlineStr">
        <is>
          <t>Free entry</t>
        </is>
      </c>
      <c r="F15" s="43" t="inlineStr">
        <is>
          <t>Free entry</t>
        </is>
      </c>
      <c r="G15" s="51" t="inlineStr">
        <is>
          <t>Code of an existing account of the chart of accounts</t>
        </is>
      </c>
      <c r="H15" s="51" t="inlineStr">
        <is>
          <t>Code of an existing account of the chart of accounts</t>
        </is>
      </c>
      <c r="I15" s="51" t="inlineStr">
        <is>
          <t>Code of an existing branch</t>
        </is>
      </c>
      <c r="J15" s="51" t="inlineStr">
        <is>
          <t>FIXED_WIDTH, CSV, DCTF (list Payment notification format (D0-11))</t>
        </is>
      </c>
    </row>
    <row r="16" ht="43" customHeight="1">
      <c r="A16" s="41" t="inlineStr">
        <is>
          <t>What to enter</t>
        </is>
      </c>
      <c r="B16" s="43" t="inlineStr">
        <is>
          <t>Code of the bank account</t>
        </is>
      </c>
      <c r="C16" s="43" t="inlineStr">
        <is>
          <t>Name of the account</t>
        </is>
      </c>
      <c r="D16" s="43" t="inlineStr">
        <is>
          <t>Bank name</t>
        </is>
      </c>
      <c r="E16" s="43" t="inlineStr">
        <is>
          <t>As printed by the bank</t>
        </is>
      </c>
      <c r="F16" s="43" t="inlineStr">
        <is>
          <t>Currency of the account</t>
        </is>
      </c>
      <c r="G16" s="43" t="inlineStr">
        <is>
          <t>Account of the chart with a bank category</t>
        </is>
      </c>
      <c r="H16" s="43" t="inlineStr">
        <is>
          <t>Account of the post-dated checks</t>
        </is>
      </c>
      <c r="I16" s="43" t="inlineStr">
        <is>
          <t>Branch of the account</t>
        </is>
      </c>
      <c r="J16" s="43" t="inlineStr">
        <is>
          <t>Format of the bank advice</t>
        </is>
      </c>
    </row>
    <row r="17" ht="30" customHeight="1">
      <c r="A17" s="44" t="inlineStr">
        <is>
          <t>Row</t>
        </is>
      </c>
      <c r="B17" s="45" t="inlineStr">
        <is>
          <t>Bank account code *</t>
        </is>
      </c>
      <c r="C17" s="45" t="inlineStr">
        <is>
          <t>Name *</t>
        </is>
      </c>
      <c r="D17" s="45" t="inlineStr">
        <is>
          <t>Bank *</t>
        </is>
      </c>
      <c r="E17" s="45" t="inlineStr">
        <is>
          <t>Account number *</t>
        </is>
      </c>
      <c r="F17" s="45" t="inlineStr">
        <is>
          <t>Currency *</t>
        </is>
      </c>
      <c r="G17" s="45" t="inlineStr">
        <is>
          <t>GL account *</t>
        </is>
      </c>
      <c r="H17" s="45" t="inlineStr">
        <is>
          <t>PDC clearing account</t>
        </is>
      </c>
      <c r="I17" s="45" t="inlineStr">
        <is>
          <t>Branch code</t>
        </is>
      </c>
      <c r="J17" s="45" t="inlineStr">
        <is>
          <t>Payment notification format *</t>
        </is>
      </c>
    </row>
    <row r="18" ht="18" customHeight="1">
      <c r="A18" s="46" t="inlineStr">
        <is>
          <t>Example – overwrite or delete</t>
        </is>
      </c>
      <c r="B18" s="47" t="inlineStr">
        <is>
          <t>BNK-CA-001</t>
        </is>
      </c>
      <c r="C18" s="47" t="inlineStr">
        <is>
          <t>Makati current account</t>
        </is>
      </c>
      <c r="D18" s="47" t="inlineStr">
        <is>
          <t>Metropolitan Commercial Bank</t>
        </is>
      </c>
      <c r="E18" s="47" t="inlineStr">
        <is>
          <t>000123456789</t>
        </is>
      </c>
      <c r="F18" s="47" t="inlineStr">
        <is>
          <t>PHP</t>
        </is>
      </c>
      <c r="G18" s="47" t="inlineStr">
        <is>
          <t>1110.01</t>
        </is>
      </c>
      <c r="H18" s="47" t="inlineStr">
        <is>
          <t>2241</t>
        </is>
      </c>
      <c r="I18" s="47" t="inlineStr">
        <is>
          <t>HO</t>
        </is>
      </c>
      <c r="J18" s="47" t="inlineStr">
        <is>
          <t>CSV</t>
        </is>
      </c>
    </row>
    <row r="19">
      <c r="B19" s="49" t="n"/>
      <c r="C19" s="49" t="n"/>
      <c r="D19" s="49" t="n"/>
      <c r="E19" s="49" t="n"/>
      <c r="F19" s="49" t="n"/>
      <c r="G19" s="49" t="n"/>
      <c r="H19" s="49" t="n"/>
      <c r="I19" s="49" t="n"/>
      <c r="J19" s="49" t="n"/>
    </row>
    <row r="20">
      <c r="B20" s="49" t="n"/>
      <c r="C20" s="49" t="n"/>
      <c r="D20" s="49" t="n"/>
      <c r="E20" s="49" t="n"/>
      <c r="F20" s="49" t="n"/>
      <c r="G20" s="49" t="n"/>
      <c r="H20" s="49" t="n"/>
      <c r="I20" s="49" t="n"/>
      <c r="J20" s="49" t="n"/>
    </row>
    <row r="21">
      <c r="B21" s="49" t="n"/>
      <c r="C21" s="49" t="n"/>
      <c r="D21" s="49" t="n"/>
      <c r="E21" s="49" t="n"/>
      <c r="F21" s="49" t="n"/>
      <c r="G21" s="49" t="n"/>
      <c r="H21" s="49" t="n"/>
      <c r="I21" s="49" t="n"/>
      <c r="J21" s="49" t="n"/>
    </row>
    <row r="22">
      <c r="B22" s="49" t="n"/>
      <c r="C22" s="49" t="n"/>
      <c r="D22" s="49" t="n"/>
      <c r="E22" s="49" t="n"/>
      <c r="F22" s="49" t="n"/>
      <c r="G22" s="49" t="n"/>
      <c r="H22" s="49" t="n"/>
      <c r="I22" s="49" t="n"/>
      <c r="J22" s="49" t="n"/>
    </row>
    <row r="23">
      <c r="B23" s="49" t="n"/>
      <c r="C23" s="49" t="n"/>
      <c r="D23" s="49" t="n"/>
      <c r="E23" s="49" t="n"/>
      <c r="F23" s="49" t="n"/>
      <c r="G23" s="49" t="n"/>
      <c r="H23" s="49" t="n"/>
      <c r="I23" s="49" t="n"/>
      <c r="J23" s="49" t="n"/>
    </row>
    <row r="24">
      <c r="B24" s="49" t="n"/>
      <c r="C24" s="49" t="n"/>
      <c r="D24" s="49" t="n"/>
      <c r="E24" s="49" t="n"/>
      <c r="F24" s="49" t="n"/>
      <c r="G24" s="49" t="n"/>
      <c r="H24" s="49" t="n"/>
      <c r="I24" s="49" t="n"/>
      <c r="J24" s="49" t="n"/>
    </row>
    <row r="25">
      <c r="B25" s="49" t="n"/>
      <c r="C25" s="49" t="n"/>
      <c r="D25" s="49" t="n"/>
      <c r="E25" s="49" t="n"/>
      <c r="F25" s="49" t="n"/>
      <c r="G25" s="49" t="n"/>
      <c r="H25" s="49" t="n"/>
      <c r="I25" s="49" t="n"/>
      <c r="J25" s="49" t="n"/>
    </row>
    <row r="26">
      <c r="B26" s="49" t="n"/>
      <c r="C26" s="49" t="n"/>
      <c r="D26" s="49" t="n"/>
      <c r="E26" s="49" t="n"/>
      <c r="F26" s="49" t="n"/>
      <c r="G26" s="49" t="n"/>
      <c r="H26" s="49" t="n"/>
      <c r="I26" s="49" t="n"/>
      <c r="J26" s="49" t="n"/>
    </row>
    <row r="27">
      <c r="B27" s="49" t="n"/>
      <c r="C27" s="49" t="n"/>
      <c r="D27" s="49" t="n"/>
      <c r="E27" s="49" t="n"/>
      <c r="F27" s="49" t="n"/>
      <c r="G27" s="49" t="n"/>
      <c r="H27" s="49" t="n"/>
      <c r="I27" s="49" t="n"/>
      <c r="J27" s="49" t="n"/>
    </row>
    <row r="28">
      <c r="B28" s="49" t="n"/>
      <c r="C28" s="49" t="n"/>
      <c r="D28" s="49" t="n"/>
      <c r="E28" s="49" t="n"/>
      <c r="F28" s="49" t="n"/>
      <c r="G28" s="49" t="n"/>
      <c r="H28" s="49" t="n"/>
      <c r="I28" s="49" t="n"/>
      <c r="J28" s="49" t="n"/>
    </row>
    <row r="29">
      <c r="B29" s="49" t="n"/>
      <c r="C29" s="49" t="n"/>
      <c r="D29" s="49" t="n"/>
      <c r="E29" s="49" t="n"/>
      <c r="F29" s="49" t="n"/>
      <c r="G29" s="49" t="n"/>
      <c r="H29" s="49" t="n"/>
      <c r="I29" s="49" t="n"/>
      <c r="J29" s="49" t="n"/>
    </row>
    <row r="30">
      <c r="B30" s="49" t="n"/>
      <c r="C30" s="49" t="n"/>
      <c r="D30" s="49" t="n"/>
      <c r="E30" s="49" t="n"/>
      <c r="F30" s="49" t="n"/>
      <c r="G30" s="49" t="n"/>
      <c r="H30" s="49" t="n"/>
      <c r="I30" s="49" t="n"/>
      <c r="J30" s="49" t="n"/>
    </row>
    <row r="31">
      <c r="B31" s="49" t="n"/>
      <c r="C31" s="49" t="n"/>
      <c r="D31" s="49" t="n"/>
      <c r="E31" s="49" t="n"/>
      <c r="F31" s="49" t="n"/>
      <c r="G31" s="49" t="n"/>
      <c r="H31" s="49" t="n"/>
      <c r="I31" s="49" t="n"/>
      <c r="J31" s="49" t="n"/>
    </row>
    <row r="32">
      <c r="B32" s="49" t="n"/>
      <c r="C32" s="49" t="n"/>
      <c r="D32" s="49" t="n"/>
      <c r="E32" s="49" t="n"/>
      <c r="F32" s="49" t="n"/>
      <c r="G32" s="49" t="n"/>
      <c r="H32" s="49" t="n"/>
      <c r="I32" s="49" t="n"/>
      <c r="J32" s="49" t="n"/>
    </row>
    <row r="33">
      <c r="B33" s="49" t="n"/>
      <c r="C33" s="49" t="n"/>
      <c r="D33" s="49" t="n"/>
      <c r="E33" s="49" t="n"/>
      <c r="F33" s="49" t="n"/>
      <c r="G33" s="49" t="n"/>
      <c r="H33" s="49" t="n"/>
      <c r="I33" s="49" t="n"/>
      <c r="J33" s="49" t="n"/>
    </row>
    <row r="34">
      <c r="B34" s="49" t="n"/>
      <c r="C34" s="49" t="n"/>
      <c r="D34" s="49" t="n"/>
      <c r="E34" s="49" t="n"/>
      <c r="F34" s="49" t="n"/>
      <c r="G34" s="49" t="n"/>
      <c r="H34" s="49" t="n"/>
      <c r="I34" s="49" t="n"/>
      <c r="J34" s="49" t="n"/>
    </row>
    <row r="35">
      <c r="B35" s="49" t="n"/>
      <c r="C35" s="49" t="n"/>
      <c r="D35" s="49" t="n"/>
      <c r="E35" s="49" t="n"/>
      <c r="F35" s="49" t="n"/>
      <c r="G35" s="49" t="n"/>
      <c r="H35" s="49" t="n"/>
      <c r="I35" s="49" t="n"/>
      <c r="J35" s="49" t="n"/>
    </row>
    <row r="36">
      <c r="B36" s="49" t="n"/>
      <c r="C36" s="49" t="n"/>
      <c r="D36" s="49" t="n"/>
      <c r="E36" s="49" t="n"/>
      <c r="F36" s="49" t="n"/>
      <c r="G36" s="49" t="n"/>
      <c r="H36" s="49" t="n"/>
      <c r="I36" s="49" t="n"/>
      <c r="J36" s="49" t="n"/>
    </row>
    <row r="37">
      <c r="B37" s="49" t="n"/>
      <c r="C37" s="49" t="n"/>
      <c r="D37" s="49" t="n"/>
      <c r="E37" s="49" t="n"/>
      <c r="F37" s="49" t="n"/>
      <c r="G37" s="49" t="n"/>
      <c r="H37" s="49" t="n"/>
      <c r="I37" s="49" t="n"/>
      <c r="J37" s="49" t="n"/>
    </row>
    <row r="38">
      <c r="B38" s="49" t="n"/>
      <c r="C38" s="49" t="n"/>
      <c r="D38" s="49" t="n"/>
      <c r="E38" s="49" t="n"/>
      <c r="F38" s="49" t="n"/>
      <c r="G38" s="49" t="n"/>
      <c r="H38" s="49" t="n"/>
      <c r="I38" s="49" t="n"/>
      <c r="J38" s="49" t="n"/>
    </row>
    <row r="39">
      <c r="B39" s="49" t="n"/>
      <c r="C39" s="49" t="n"/>
      <c r="D39" s="49" t="n"/>
      <c r="E39" s="49" t="n"/>
      <c r="F39" s="49" t="n"/>
      <c r="G39" s="49" t="n"/>
      <c r="H39" s="49" t="n"/>
      <c r="I39" s="49" t="n"/>
      <c r="J39" s="49" t="n"/>
    </row>
    <row r="40">
      <c r="B40" s="49" t="n"/>
      <c r="C40" s="49" t="n"/>
      <c r="D40" s="49" t="n"/>
      <c r="E40" s="49" t="n"/>
      <c r="F40" s="49" t="n"/>
      <c r="G40" s="49" t="n"/>
      <c r="H40" s="49" t="n"/>
      <c r="I40" s="49" t="n"/>
      <c r="J40" s="49" t="n"/>
    </row>
    <row r="41">
      <c r="B41" s="49" t="n"/>
      <c r="C41" s="49" t="n"/>
      <c r="D41" s="49" t="n"/>
      <c r="E41" s="49" t="n"/>
      <c r="F41" s="49" t="n"/>
      <c r="G41" s="49" t="n"/>
      <c r="H41" s="49" t="n"/>
      <c r="I41" s="49" t="n"/>
      <c r="J41" s="49" t="n"/>
    </row>
    <row r="42">
      <c r="B42" s="49" t="n"/>
      <c r="C42" s="49" t="n"/>
      <c r="D42" s="49" t="n"/>
      <c r="E42" s="49" t="n"/>
      <c r="F42" s="49" t="n"/>
      <c r="G42" s="49" t="n"/>
      <c r="H42" s="49" t="n"/>
      <c r="I42" s="49" t="n"/>
      <c r="J42" s="49" t="n"/>
    </row>
    <row r="43">
      <c r="B43" s="49" t="n"/>
      <c r="C43" s="49" t="n"/>
      <c r="D43" s="49" t="n"/>
      <c r="E43" s="49" t="n"/>
      <c r="F43" s="49" t="n"/>
      <c r="G43" s="49" t="n"/>
      <c r="H43" s="49" t="n"/>
      <c r="I43" s="49" t="n"/>
      <c r="J43" s="49" t="n"/>
    </row>
    <row r="44">
      <c r="B44" s="49" t="n"/>
      <c r="C44" s="49" t="n"/>
      <c r="D44" s="49" t="n"/>
      <c r="E44" s="49" t="n"/>
      <c r="F44" s="49" t="n"/>
      <c r="G44" s="49" t="n"/>
      <c r="H44" s="49" t="n"/>
      <c r="I44" s="49" t="n"/>
      <c r="J44" s="49" t="n"/>
    </row>
    <row r="45">
      <c r="B45" s="49" t="n"/>
      <c r="C45" s="49" t="n"/>
      <c r="D45" s="49" t="n"/>
      <c r="E45" s="49" t="n"/>
      <c r="F45" s="49" t="n"/>
      <c r="G45" s="49" t="n"/>
      <c r="H45" s="49" t="n"/>
      <c r="I45" s="49" t="n"/>
      <c r="J45" s="49" t="n"/>
    </row>
    <row r="46">
      <c r="B46" s="49" t="n"/>
      <c r="C46" s="49" t="n"/>
      <c r="D46" s="49" t="n"/>
      <c r="E46" s="49" t="n"/>
      <c r="F46" s="49" t="n"/>
      <c r="G46" s="49" t="n"/>
      <c r="H46" s="49" t="n"/>
      <c r="I46" s="49" t="n"/>
      <c r="J46" s="49" t="n"/>
    </row>
    <row r="47">
      <c r="B47" s="49" t="n"/>
      <c r="C47" s="49" t="n"/>
      <c r="D47" s="49" t="n"/>
      <c r="E47" s="49" t="n"/>
      <c r="F47" s="49" t="n"/>
      <c r="G47" s="49" t="n"/>
      <c r="H47" s="49" t="n"/>
      <c r="I47" s="49" t="n"/>
      <c r="J47" s="49" t="n"/>
    </row>
    <row r="48">
      <c r="B48" s="49" t="n"/>
      <c r="C48" s="49" t="n"/>
      <c r="D48" s="49" t="n"/>
      <c r="E48" s="49" t="n"/>
      <c r="F48" s="49" t="n"/>
      <c r="G48" s="49" t="n"/>
      <c r="H48" s="49" t="n"/>
      <c r="I48" s="49" t="n"/>
      <c r="J48" s="49" t="n"/>
    </row>
    <row r="49">
      <c r="B49" s="49" t="n"/>
      <c r="C49" s="49" t="n"/>
      <c r="D49" s="49" t="n"/>
      <c r="E49" s="49" t="n"/>
      <c r="F49" s="49" t="n"/>
      <c r="G49" s="49" t="n"/>
      <c r="H49" s="49" t="n"/>
      <c r="I49" s="49" t="n"/>
      <c r="J49" s="49" t="n"/>
    </row>
    <row r="50">
      <c r="B50" s="49" t="n"/>
      <c r="C50" s="49" t="n"/>
      <c r="D50" s="49" t="n"/>
      <c r="E50" s="49" t="n"/>
      <c r="F50" s="49" t="n"/>
      <c r="G50" s="49" t="n"/>
      <c r="H50" s="49" t="n"/>
      <c r="I50" s="49" t="n"/>
      <c r="J50" s="49" t="n"/>
    </row>
    <row r="51">
      <c r="B51" s="49" t="n"/>
      <c r="C51" s="49" t="n"/>
      <c r="D51" s="49" t="n"/>
      <c r="E51" s="49" t="n"/>
      <c r="F51" s="49" t="n"/>
      <c r="G51" s="49" t="n"/>
      <c r="H51" s="49" t="n"/>
      <c r="I51" s="49" t="n"/>
      <c r="J51" s="49" t="n"/>
    </row>
    <row r="52">
      <c r="B52" s="49" t="n"/>
      <c r="C52" s="49" t="n"/>
      <c r="D52" s="49" t="n"/>
      <c r="E52" s="49" t="n"/>
      <c r="F52" s="49" t="n"/>
      <c r="G52" s="49" t="n"/>
      <c r="H52" s="49" t="n"/>
      <c r="I52" s="49" t="n"/>
      <c r="J52" s="49" t="n"/>
    </row>
    <row r="53">
      <c r="B53" s="49" t="n"/>
      <c r="C53" s="49" t="n"/>
      <c r="D53" s="49" t="n"/>
      <c r="E53" s="49" t="n"/>
      <c r="F53" s="49" t="n"/>
      <c r="G53" s="49" t="n"/>
      <c r="H53" s="49" t="n"/>
      <c r="I53" s="49" t="n"/>
      <c r="J53" s="49" t="n"/>
    </row>
    <row r="54">
      <c r="B54" s="49" t="n"/>
      <c r="C54" s="49" t="n"/>
      <c r="D54" s="49" t="n"/>
      <c r="E54" s="49" t="n"/>
      <c r="F54" s="49" t="n"/>
      <c r="G54" s="49" t="n"/>
      <c r="H54" s="49" t="n"/>
      <c r="I54" s="49" t="n"/>
      <c r="J54" s="49" t="n"/>
    </row>
    <row r="55">
      <c r="B55" s="49" t="n"/>
      <c r="C55" s="49" t="n"/>
      <c r="D55" s="49" t="n"/>
      <c r="E55" s="49" t="n"/>
      <c r="F55" s="49" t="n"/>
      <c r="G55" s="49" t="n"/>
      <c r="H55" s="49" t="n"/>
      <c r="I55" s="49" t="n"/>
      <c r="J55" s="49" t="n"/>
    </row>
    <row r="56">
      <c r="B56" s="49" t="n"/>
      <c r="C56" s="49" t="n"/>
      <c r="D56" s="49" t="n"/>
      <c r="E56" s="49" t="n"/>
      <c r="F56" s="49" t="n"/>
      <c r="G56" s="49" t="n"/>
      <c r="H56" s="49" t="n"/>
      <c r="I56" s="49" t="n"/>
      <c r="J56" s="49" t="n"/>
    </row>
    <row r="57">
      <c r="B57" s="49" t="n"/>
      <c r="C57" s="49" t="n"/>
      <c r="D57" s="49" t="n"/>
      <c r="E57" s="49" t="n"/>
      <c r="F57" s="49" t="n"/>
      <c r="G57" s="49" t="n"/>
      <c r="H57" s="49" t="n"/>
      <c r="I57" s="49" t="n"/>
      <c r="J57" s="49" t="n"/>
    </row>
    <row r="58">
      <c r="B58" s="49" t="n"/>
      <c r="C58" s="49" t="n"/>
      <c r="D58" s="49" t="n"/>
      <c r="E58" s="49" t="n"/>
      <c r="F58" s="49" t="n"/>
      <c r="G58" s="49" t="n"/>
      <c r="H58" s="49" t="n"/>
      <c r="I58" s="49" t="n"/>
      <c r="J58" s="49" t="n"/>
    </row>
    <row r="59">
      <c r="B59" s="49" t="n"/>
      <c r="C59" s="49" t="n"/>
      <c r="D59" s="49" t="n"/>
      <c r="E59" s="49" t="n"/>
      <c r="F59" s="49" t="n"/>
      <c r="G59" s="49" t="n"/>
      <c r="H59" s="49" t="n"/>
      <c r="I59" s="49" t="n"/>
      <c r="J59" s="49" t="n"/>
    </row>
    <row r="60">
      <c r="B60" s="49" t="n"/>
      <c r="C60" s="49" t="n"/>
      <c r="D60" s="49" t="n"/>
      <c r="E60" s="49" t="n"/>
      <c r="F60" s="49" t="n"/>
      <c r="G60" s="49" t="n"/>
      <c r="H60" s="49" t="n"/>
      <c r="I60" s="49" t="n"/>
      <c r="J60" s="49" t="n"/>
    </row>
    <row r="61">
      <c r="B61" s="49" t="n"/>
      <c r="C61" s="49" t="n"/>
      <c r="D61" s="49" t="n"/>
      <c r="E61" s="49" t="n"/>
      <c r="F61" s="49" t="n"/>
      <c r="G61" s="49" t="n"/>
      <c r="H61" s="49" t="n"/>
      <c r="I61" s="49" t="n"/>
      <c r="J61" s="49" t="n"/>
    </row>
    <row r="62">
      <c r="B62" s="49" t="n"/>
      <c r="C62" s="49" t="n"/>
      <c r="D62" s="49" t="n"/>
      <c r="E62" s="49" t="n"/>
      <c r="F62" s="49" t="n"/>
      <c r="G62" s="49" t="n"/>
      <c r="H62" s="49" t="n"/>
      <c r="I62" s="49" t="n"/>
      <c r="J62" s="49" t="n"/>
    </row>
    <row r="63">
      <c r="B63" s="49" t="n"/>
      <c r="C63" s="49" t="n"/>
      <c r="D63" s="49" t="n"/>
      <c r="E63" s="49" t="n"/>
      <c r="F63" s="49" t="n"/>
      <c r="G63" s="49" t="n"/>
      <c r="H63" s="49" t="n"/>
      <c r="I63" s="49" t="n"/>
      <c r="J63" s="49" t="n"/>
    </row>
    <row r="64">
      <c r="B64" s="49" t="n"/>
      <c r="C64" s="49" t="n"/>
      <c r="D64" s="49" t="n"/>
      <c r="E64" s="49" t="n"/>
      <c r="F64" s="49" t="n"/>
      <c r="G64" s="49" t="n"/>
      <c r="H64" s="49" t="n"/>
      <c r="I64" s="49" t="n"/>
      <c r="J64" s="49" t="n"/>
    </row>
    <row r="65">
      <c r="B65" s="49" t="n"/>
      <c r="C65" s="49" t="n"/>
      <c r="D65" s="49" t="n"/>
      <c r="E65" s="49" t="n"/>
      <c r="F65" s="49" t="n"/>
      <c r="G65" s="49" t="n"/>
      <c r="H65" s="49" t="n"/>
      <c r="I65" s="49" t="n"/>
      <c r="J65" s="49" t="n"/>
    </row>
    <row r="66">
      <c r="B66" s="49" t="n"/>
      <c r="C66" s="49" t="n"/>
      <c r="D66" s="49" t="n"/>
      <c r="E66" s="49" t="n"/>
      <c r="F66" s="49" t="n"/>
      <c r="G66" s="49" t="n"/>
      <c r="H66" s="49" t="n"/>
      <c r="I66" s="49" t="n"/>
      <c r="J66" s="49" t="n"/>
    </row>
    <row r="67">
      <c r="B67" s="49" t="n"/>
      <c r="C67" s="49" t="n"/>
      <c r="D67" s="49" t="n"/>
      <c r="E67" s="49" t="n"/>
      <c r="F67" s="49" t="n"/>
      <c r="G67" s="49" t="n"/>
      <c r="H67" s="49" t="n"/>
      <c r="I67" s="49" t="n"/>
      <c r="J67" s="49" t="n"/>
    </row>
    <row r="68">
      <c r="B68" s="49" t="n"/>
      <c r="C68" s="49" t="n"/>
      <c r="D68" s="49" t="n"/>
      <c r="E68" s="49" t="n"/>
      <c r="F68" s="49" t="n"/>
      <c r="G68" s="49" t="n"/>
      <c r="H68" s="49" t="n"/>
      <c r="I68" s="49" t="n"/>
      <c r="J68" s="49" t="n"/>
    </row>
    <row r="69">
      <c r="B69" s="49" t="n"/>
      <c r="C69" s="49" t="n"/>
      <c r="D69" s="49" t="n"/>
      <c r="E69" s="49" t="n"/>
      <c r="F69" s="49" t="n"/>
      <c r="G69" s="49" t="n"/>
      <c r="H69" s="49" t="n"/>
      <c r="I69" s="49" t="n"/>
      <c r="J69" s="49" t="n"/>
    </row>
    <row r="70">
      <c r="B70" s="49" t="n"/>
      <c r="C70" s="49" t="n"/>
      <c r="D70" s="49" t="n"/>
      <c r="E70" s="49" t="n"/>
      <c r="F70" s="49" t="n"/>
      <c r="G70" s="49" t="n"/>
      <c r="H70" s="49" t="n"/>
      <c r="I70" s="49" t="n"/>
      <c r="J70" s="49" t="n"/>
    </row>
    <row r="71">
      <c r="B71" s="49" t="n"/>
      <c r="C71" s="49" t="n"/>
      <c r="D71" s="49" t="n"/>
      <c r="E71" s="49" t="n"/>
      <c r="F71" s="49" t="n"/>
      <c r="G71" s="49" t="n"/>
      <c r="H71" s="49" t="n"/>
      <c r="I71" s="49" t="n"/>
      <c r="J71" s="49" t="n"/>
    </row>
    <row r="72">
      <c r="B72" s="49" t="n"/>
      <c r="C72" s="49" t="n"/>
      <c r="D72" s="49" t="n"/>
      <c r="E72" s="49" t="n"/>
      <c r="F72" s="49" t="n"/>
      <c r="G72" s="49" t="n"/>
      <c r="H72" s="49" t="n"/>
      <c r="I72" s="49" t="n"/>
      <c r="J72" s="49" t="n"/>
    </row>
    <row r="73">
      <c r="B73" s="49" t="n"/>
      <c r="C73" s="49" t="n"/>
      <c r="D73" s="49" t="n"/>
      <c r="E73" s="49" t="n"/>
      <c r="F73" s="49" t="n"/>
      <c r="G73" s="49" t="n"/>
      <c r="H73" s="49" t="n"/>
      <c r="I73" s="49" t="n"/>
      <c r="J73" s="49" t="n"/>
    </row>
    <row r="74">
      <c r="B74" s="49" t="n"/>
      <c r="C74" s="49" t="n"/>
      <c r="D74" s="49" t="n"/>
      <c r="E74" s="49" t="n"/>
      <c r="F74" s="49" t="n"/>
      <c r="G74" s="49" t="n"/>
      <c r="H74" s="49" t="n"/>
      <c r="I74" s="49" t="n"/>
      <c r="J74" s="49" t="n"/>
    </row>
    <row r="75">
      <c r="B75" s="49" t="n"/>
      <c r="C75" s="49" t="n"/>
      <c r="D75" s="49" t="n"/>
      <c r="E75" s="49" t="n"/>
      <c r="F75" s="49" t="n"/>
      <c r="G75" s="49" t="n"/>
      <c r="H75" s="49" t="n"/>
      <c r="I75" s="49" t="n"/>
      <c r="J75" s="49" t="n"/>
    </row>
    <row r="76">
      <c r="B76" s="49" t="n"/>
      <c r="C76" s="49" t="n"/>
      <c r="D76" s="49" t="n"/>
      <c r="E76" s="49" t="n"/>
      <c r="F76" s="49" t="n"/>
      <c r="G76" s="49" t="n"/>
      <c r="H76" s="49" t="n"/>
      <c r="I76" s="49" t="n"/>
      <c r="J76" s="49" t="n"/>
    </row>
    <row r="77">
      <c r="B77" s="49" t="n"/>
      <c r="C77" s="49" t="n"/>
      <c r="D77" s="49" t="n"/>
      <c r="E77" s="49" t="n"/>
      <c r="F77" s="49" t="n"/>
      <c r="G77" s="49" t="n"/>
      <c r="H77" s="49" t="n"/>
      <c r="I77" s="49" t="n"/>
      <c r="J77" s="49" t="n"/>
    </row>
    <row r="78">
      <c r="B78" s="49" t="n"/>
      <c r="C78" s="49" t="n"/>
      <c r="D78" s="49" t="n"/>
      <c r="E78" s="49" t="n"/>
      <c r="F78" s="49" t="n"/>
      <c r="G78" s="49" t="n"/>
      <c r="H78" s="49" t="n"/>
      <c r="I78" s="49" t="n"/>
      <c r="J78" s="49" t="n"/>
    </row>
    <row r="79">
      <c r="B79" s="49" t="n"/>
      <c r="C79" s="49" t="n"/>
      <c r="D79" s="49" t="n"/>
      <c r="E79" s="49" t="n"/>
      <c r="F79" s="49" t="n"/>
      <c r="G79" s="49" t="n"/>
      <c r="H79" s="49" t="n"/>
      <c r="I79" s="49" t="n"/>
      <c r="J79" s="49" t="n"/>
    </row>
    <row r="80">
      <c r="B80" s="49" t="n"/>
      <c r="C80" s="49" t="n"/>
      <c r="D80" s="49" t="n"/>
      <c r="E80" s="49" t="n"/>
      <c r="F80" s="49" t="n"/>
      <c r="G80" s="49" t="n"/>
      <c r="H80" s="49" t="n"/>
      <c r="I80" s="49" t="n"/>
      <c r="J80" s="49" t="n"/>
    </row>
    <row r="81">
      <c r="B81" s="49" t="n"/>
      <c r="C81" s="49" t="n"/>
      <c r="D81" s="49" t="n"/>
      <c r="E81" s="49" t="n"/>
      <c r="F81" s="49" t="n"/>
      <c r="G81" s="49" t="n"/>
      <c r="H81" s="49" t="n"/>
      <c r="I81" s="49" t="n"/>
      <c r="J81" s="49" t="n"/>
    </row>
    <row r="82">
      <c r="B82" s="49" t="n"/>
      <c r="C82" s="49" t="n"/>
      <c r="D82" s="49" t="n"/>
      <c r="E82" s="49" t="n"/>
      <c r="F82" s="49" t="n"/>
      <c r="G82" s="49" t="n"/>
      <c r="H82" s="49" t="n"/>
      <c r="I82" s="49" t="n"/>
      <c r="J82" s="49" t="n"/>
    </row>
    <row r="83">
      <c r="B83" s="49" t="n"/>
      <c r="C83" s="49" t="n"/>
      <c r="D83" s="49" t="n"/>
      <c r="E83" s="49" t="n"/>
      <c r="F83" s="49" t="n"/>
      <c r="G83" s="49" t="n"/>
      <c r="H83" s="49" t="n"/>
      <c r="I83" s="49" t="n"/>
      <c r="J83" s="49" t="n"/>
    </row>
    <row r="84">
      <c r="B84" s="49" t="n"/>
      <c r="C84" s="49" t="n"/>
      <c r="D84" s="49" t="n"/>
      <c r="E84" s="49" t="n"/>
      <c r="F84" s="49" t="n"/>
      <c r="G84" s="49" t="n"/>
      <c r="H84" s="49" t="n"/>
      <c r="I84" s="49" t="n"/>
      <c r="J84" s="49" t="n"/>
    </row>
    <row r="85">
      <c r="B85" s="49" t="n"/>
      <c r="C85" s="49" t="n"/>
      <c r="D85" s="49" t="n"/>
      <c r="E85" s="49" t="n"/>
      <c r="F85" s="49" t="n"/>
      <c r="G85" s="49" t="n"/>
      <c r="H85" s="49" t="n"/>
      <c r="I85" s="49" t="n"/>
      <c r="J85" s="49" t="n"/>
    </row>
    <row r="86">
      <c r="B86" s="49" t="n"/>
      <c r="C86" s="49" t="n"/>
      <c r="D86" s="49" t="n"/>
      <c r="E86" s="49" t="n"/>
      <c r="F86" s="49" t="n"/>
      <c r="G86" s="49" t="n"/>
      <c r="H86" s="49" t="n"/>
      <c r="I86" s="49" t="n"/>
      <c r="J86" s="49" t="n"/>
    </row>
    <row r="87">
      <c r="B87" s="49" t="n"/>
      <c r="C87" s="49" t="n"/>
      <c r="D87" s="49" t="n"/>
      <c r="E87" s="49" t="n"/>
      <c r="F87" s="49" t="n"/>
      <c r="G87" s="49" t="n"/>
      <c r="H87" s="49" t="n"/>
      <c r="I87" s="49" t="n"/>
      <c r="J87" s="49" t="n"/>
    </row>
    <row r="88">
      <c r="B88" s="49" t="n"/>
      <c r="C88" s="49" t="n"/>
      <c r="D88" s="49" t="n"/>
      <c r="E88" s="49" t="n"/>
      <c r="F88" s="49" t="n"/>
      <c r="G88" s="49" t="n"/>
      <c r="H88" s="49" t="n"/>
      <c r="I88" s="49" t="n"/>
      <c r="J88" s="49" t="n"/>
    </row>
    <row r="89">
      <c r="B89" s="49" t="n"/>
      <c r="C89" s="49" t="n"/>
      <c r="D89" s="49" t="n"/>
      <c r="E89" s="49" t="n"/>
      <c r="F89" s="49" t="n"/>
      <c r="G89" s="49" t="n"/>
      <c r="H89" s="49" t="n"/>
      <c r="I89" s="49" t="n"/>
      <c r="J89" s="49" t="n"/>
    </row>
    <row r="90">
      <c r="B90" s="49" t="n"/>
      <c r="C90" s="49" t="n"/>
      <c r="D90" s="49" t="n"/>
      <c r="E90" s="49" t="n"/>
      <c r="F90" s="49" t="n"/>
      <c r="G90" s="49" t="n"/>
      <c r="H90" s="49" t="n"/>
      <c r="I90" s="49" t="n"/>
      <c r="J90" s="49" t="n"/>
    </row>
    <row r="91">
      <c r="B91" s="49" t="n"/>
      <c r="C91" s="49" t="n"/>
      <c r="D91" s="49" t="n"/>
      <c r="E91" s="49" t="n"/>
      <c r="F91" s="49" t="n"/>
      <c r="G91" s="49" t="n"/>
      <c r="H91" s="49" t="n"/>
      <c r="I91" s="49" t="n"/>
      <c r="J91" s="49" t="n"/>
    </row>
    <row r="92">
      <c r="B92" s="49" t="n"/>
      <c r="C92" s="49" t="n"/>
      <c r="D92" s="49" t="n"/>
      <c r="E92" s="49" t="n"/>
      <c r="F92" s="49" t="n"/>
      <c r="G92" s="49" t="n"/>
      <c r="H92" s="49" t="n"/>
      <c r="I92" s="49" t="n"/>
      <c r="J92" s="49" t="n"/>
    </row>
    <row r="93">
      <c r="B93" s="49" t="n"/>
      <c r="C93" s="49" t="n"/>
      <c r="D93" s="49" t="n"/>
      <c r="E93" s="49" t="n"/>
      <c r="F93" s="49" t="n"/>
      <c r="G93" s="49" t="n"/>
      <c r="H93" s="49" t="n"/>
      <c r="I93" s="49" t="n"/>
      <c r="J93" s="49" t="n"/>
    </row>
    <row r="94">
      <c r="B94" s="49" t="n"/>
      <c r="C94" s="49" t="n"/>
      <c r="D94" s="49" t="n"/>
      <c r="E94" s="49" t="n"/>
      <c r="F94" s="49" t="n"/>
      <c r="G94" s="49" t="n"/>
      <c r="H94" s="49" t="n"/>
      <c r="I94" s="49" t="n"/>
      <c r="J94" s="49" t="n"/>
    </row>
    <row r="95">
      <c r="B95" s="49" t="n"/>
      <c r="C95" s="49" t="n"/>
      <c r="D95" s="49" t="n"/>
      <c r="E95" s="49" t="n"/>
      <c r="F95" s="49" t="n"/>
      <c r="G95" s="49" t="n"/>
      <c r="H95" s="49" t="n"/>
      <c r="I95" s="49" t="n"/>
      <c r="J95" s="49" t="n"/>
    </row>
    <row r="96">
      <c r="B96" s="49" t="n"/>
      <c r="C96" s="49" t="n"/>
      <c r="D96" s="49" t="n"/>
      <c r="E96" s="49" t="n"/>
      <c r="F96" s="49" t="n"/>
      <c r="G96" s="49" t="n"/>
      <c r="H96" s="49" t="n"/>
      <c r="I96" s="49" t="n"/>
      <c r="J96" s="49" t="n"/>
    </row>
    <row r="97">
      <c r="B97" s="49" t="n"/>
      <c r="C97" s="49" t="n"/>
      <c r="D97" s="49" t="n"/>
      <c r="E97" s="49" t="n"/>
      <c r="F97" s="49" t="n"/>
      <c r="G97" s="49" t="n"/>
      <c r="H97" s="49" t="n"/>
      <c r="I97" s="49" t="n"/>
      <c r="J97" s="49" t="n"/>
    </row>
    <row r="98">
      <c r="B98" s="49" t="n"/>
      <c r="C98" s="49" t="n"/>
      <c r="D98" s="49" t="n"/>
      <c r="E98" s="49" t="n"/>
      <c r="F98" s="49" t="n"/>
      <c r="G98" s="49" t="n"/>
      <c r="H98" s="49" t="n"/>
      <c r="I98" s="49" t="n"/>
      <c r="J98" s="49" t="n"/>
    </row>
    <row r="99">
      <c r="B99" s="49" t="n"/>
      <c r="C99" s="49" t="n"/>
      <c r="D99" s="49" t="n"/>
      <c r="E99" s="49" t="n"/>
      <c r="F99" s="49" t="n"/>
      <c r="G99" s="49" t="n"/>
      <c r="H99" s="49" t="n"/>
      <c r="I99" s="49" t="n"/>
      <c r="J99" s="49" t="n"/>
    </row>
    <row r="100">
      <c r="B100" s="49" t="n"/>
      <c r="C100" s="49" t="n"/>
      <c r="D100" s="49" t="n"/>
      <c r="E100" s="49" t="n"/>
      <c r="F100" s="49" t="n"/>
      <c r="G100" s="49" t="n"/>
      <c r="H100" s="49" t="n"/>
      <c r="I100" s="49" t="n"/>
      <c r="J100" s="49" t="n"/>
    </row>
    <row r="101">
      <c r="B101" s="49" t="n"/>
      <c r="C101" s="49" t="n"/>
      <c r="D101" s="49" t="n"/>
      <c r="E101" s="49" t="n"/>
      <c r="F101" s="49" t="n"/>
      <c r="G101" s="49" t="n"/>
      <c r="H101" s="49" t="n"/>
      <c r="I101" s="49" t="n"/>
      <c r="J101" s="49" t="n"/>
    </row>
    <row r="102">
      <c r="B102" s="49" t="n"/>
      <c r="C102" s="49" t="n"/>
      <c r="D102" s="49" t="n"/>
      <c r="E102" s="49" t="n"/>
      <c r="F102" s="49" t="n"/>
      <c r="G102" s="49" t="n"/>
      <c r="H102" s="49" t="n"/>
      <c r="I102" s="49" t="n"/>
      <c r="J102" s="49" t="n"/>
    </row>
    <row r="103">
      <c r="B103" s="49" t="n"/>
      <c r="C103" s="49" t="n"/>
      <c r="D103" s="49" t="n"/>
      <c r="E103" s="49" t="n"/>
      <c r="F103" s="49" t="n"/>
      <c r="G103" s="49" t="n"/>
      <c r="H103" s="49" t="n"/>
      <c r="I103" s="49" t="n"/>
      <c r="J103" s="49" t="n"/>
    </row>
    <row r="104">
      <c r="B104" s="49" t="n"/>
      <c r="C104" s="49" t="n"/>
      <c r="D104" s="49" t="n"/>
      <c r="E104" s="49" t="n"/>
      <c r="F104" s="49" t="n"/>
      <c r="G104" s="49" t="n"/>
      <c r="H104" s="49" t="n"/>
      <c r="I104" s="49" t="n"/>
      <c r="J104" s="49" t="n"/>
    </row>
    <row r="105">
      <c r="B105" s="49" t="n"/>
      <c r="C105" s="49" t="n"/>
      <c r="D105" s="49" t="n"/>
      <c r="E105" s="49" t="n"/>
      <c r="F105" s="49" t="n"/>
      <c r="G105" s="49" t="n"/>
      <c r="H105" s="49" t="n"/>
      <c r="I105" s="49" t="n"/>
      <c r="J105" s="49" t="n"/>
    </row>
    <row r="106">
      <c r="B106" s="49" t="n"/>
      <c r="C106" s="49" t="n"/>
      <c r="D106" s="49" t="n"/>
      <c r="E106" s="49" t="n"/>
      <c r="F106" s="49" t="n"/>
      <c r="G106" s="49" t="n"/>
      <c r="H106" s="49" t="n"/>
      <c r="I106" s="49" t="n"/>
      <c r="J106" s="49" t="n"/>
    </row>
    <row r="107">
      <c r="B107" s="49" t="n"/>
      <c r="C107" s="49" t="n"/>
      <c r="D107" s="49" t="n"/>
      <c r="E107" s="49" t="n"/>
      <c r="F107" s="49" t="n"/>
      <c r="G107" s="49" t="n"/>
      <c r="H107" s="49" t="n"/>
      <c r="I107" s="49" t="n"/>
      <c r="J107" s="49" t="n"/>
    </row>
    <row r="108">
      <c r="B108" s="49" t="n"/>
      <c r="C108" s="49" t="n"/>
      <c r="D108" s="49" t="n"/>
      <c r="E108" s="49" t="n"/>
      <c r="F108" s="49" t="n"/>
      <c r="G108" s="49" t="n"/>
      <c r="H108" s="49" t="n"/>
      <c r="I108" s="49" t="n"/>
      <c r="J108" s="49" t="n"/>
    </row>
    <row r="109">
      <c r="B109" s="49" t="n"/>
      <c r="C109" s="49" t="n"/>
      <c r="D109" s="49" t="n"/>
      <c r="E109" s="49" t="n"/>
      <c r="F109" s="49" t="n"/>
      <c r="G109" s="49" t="n"/>
      <c r="H109" s="49" t="n"/>
      <c r="I109" s="49" t="n"/>
      <c r="J109" s="49" t="n"/>
    </row>
    <row r="110">
      <c r="B110" s="49" t="n"/>
      <c r="C110" s="49" t="n"/>
      <c r="D110" s="49" t="n"/>
      <c r="E110" s="49" t="n"/>
      <c r="F110" s="49" t="n"/>
      <c r="G110" s="49" t="n"/>
      <c r="H110" s="49" t="n"/>
      <c r="I110" s="49" t="n"/>
      <c r="J110" s="49" t="n"/>
    </row>
    <row r="111">
      <c r="B111" s="49" t="n"/>
      <c r="C111" s="49" t="n"/>
      <c r="D111" s="49" t="n"/>
      <c r="E111" s="49" t="n"/>
      <c r="F111" s="49" t="n"/>
      <c r="G111" s="49" t="n"/>
      <c r="H111" s="49" t="n"/>
      <c r="I111" s="49" t="n"/>
      <c r="J111" s="49" t="n"/>
    </row>
    <row r="112">
      <c r="B112" s="49" t="n"/>
      <c r="C112" s="49" t="n"/>
      <c r="D112" s="49" t="n"/>
      <c r="E112" s="49" t="n"/>
      <c r="F112" s="49" t="n"/>
      <c r="G112" s="49" t="n"/>
      <c r="H112" s="49" t="n"/>
      <c r="I112" s="49" t="n"/>
      <c r="J112" s="49" t="n"/>
    </row>
    <row r="113">
      <c r="B113" s="49" t="n"/>
      <c r="C113" s="49" t="n"/>
      <c r="D113" s="49" t="n"/>
      <c r="E113" s="49" t="n"/>
      <c r="F113" s="49" t="n"/>
      <c r="G113" s="49" t="n"/>
      <c r="H113" s="49" t="n"/>
      <c r="I113" s="49" t="n"/>
      <c r="J113" s="49" t="n"/>
    </row>
    <row r="114">
      <c r="B114" s="49" t="n"/>
      <c r="C114" s="49" t="n"/>
      <c r="D114" s="49" t="n"/>
      <c r="E114" s="49" t="n"/>
      <c r="F114" s="49" t="n"/>
      <c r="G114" s="49" t="n"/>
      <c r="H114" s="49" t="n"/>
      <c r="I114" s="49" t="n"/>
      <c r="J114" s="49" t="n"/>
    </row>
    <row r="115">
      <c r="B115" s="49" t="n"/>
      <c r="C115" s="49" t="n"/>
      <c r="D115" s="49" t="n"/>
      <c r="E115" s="49" t="n"/>
      <c r="F115" s="49" t="n"/>
      <c r="G115" s="49" t="n"/>
      <c r="H115" s="49" t="n"/>
      <c r="I115" s="49" t="n"/>
      <c r="J115" s="49" t="n"/>
    </row>
    <row r="116">
      <c r="B116" s="49" t="n"/>
      <c r="C116" s="49" t="n"/>
      <c r="D116" s="49" t="n"/>
      <c r="E116" s="49" t="n"/>
      <c r="F116" s="49" t="n"/>
      <c r="G116" s="49" t="n"/>
      <c r="H116" s="49" t="n"/>
      <c r="I116" s="49" t="n"/>
      <c r="J116" s="49" t="n"/>
    </row>
    <row r="117">
      <c r="B117" s="49" t="n"/>
      <c r="C117" s="49" t="n"/>
      <c r="D117" s="49" t="n"/>
      <c r="E117" s="49" t="n"/>
      <c r="F117" s="49" t="n"/>
      <c r="G117" s="49" t="n"/>
      <c r="H117" s="49" t="n"/>
      <c r="I117" s="49" t="n"/>
      <c r="J117" s="49" t="n"/>
    </row>
    <row r="118">
      <c r="B118" s="49" t="n"/>
      <c r="C118" s="49" t="n"/>
      <c r="D118" s="49" t="n"/>
      <c r="E118" s="49" t="n"/>
      <c r="F118" s="49" t="n"/>
      <c r="G118" s="49" t="n"/>
      <c r="H118" s="49" t="n"/>
      <c r="I118" s="49" t="n"/>
      <c r="J118" s="49" t="n"/>
    </row>
    <row r="119">
      <c r="B119" s="49" t="n"/>
      <c r="C119" s="49" t="n"/>
      <c r="D119" s="49" t="n"/>
      <c r="E119" s="49" t="n"/>
      <c r="F119" s="49" t="n"/>
      <c r="G119" s="49" t="n"/>
      <c r="H119" s="49" t="n"/>
      <c r="I119" s="49" t="n"/>
      <c r="J119" s="49" t="n"/>
    </row>
    <row r="120">
      <c r="B120" s="49" t="n"/>
      <c r="C120" s="49" t="n"/>
      <c r="D120" s="49" t="n"/>
      <c r="E120" s="49" t="n"/>
      <c r="F120" s="49" t="n"/>
      <c r="G120" s="49" t="n"/>
      <c r="H120" s="49" t="n"/>
      <c r="I120" s="49" t="n"/>
      <c r="J120" s="49" t="n"/>
    </row>
    <row r="121">
      <c r="B121" s="49" t="n"/>
      <c r="C121" s="49" t="n"/>
      <c r="D121" s="49" t="n"/>
      <c r="E121" s="49" t="n"/>
      <c r="F121" s="49" t="n"/>
      <c r="G121" s="49" t="n"/>
      <c r="H121" s="49" t="n"/>
      <c r="I121" s="49" t="n"/>
      <c r="J121" s="49" t="n"/>
    </row>
    <row r="122">
      <c r="B122" s="49" t="n"/>
      <c r="C122" s="49" t="n"/>
      <c r="D122" s="49" t="n"/>
      <c r="E122" s="49" t="n"/>
      <c r="F122" s="49" t="n"/>
      <c r="G122" s="49" t="n"/>
      <c r="H122" s="49" t="n"/>
      <c r="I122" s="49" t="n"/>
      <c r="J122" s="49" t="n"/>
    </row>
    <row r="123">
      <c r="B123" s="49" t="n"/>
      <c r="C123" s="49" t="n"/>
      <c r="D123" s="49" t="n"/>
      <c r="E123" s="49" t="n"/>
      <c r="F123" s="49" t="n"/>
      <c r="G123" s="49" t="n"/>
      <c r="H123" s="49" t="n"/>
      <c r="I123" s="49" t="n"/>
      <c r="J123" s="49" t="n"/>
    </row>
    <row r="124">
      <c r="B124" s="49" t="n"/>
      <c r="C124" s="49" t="n"/>
      <c r="D124" s="49" t="n"/>
      <c r="E124" s="49" t="n"/>
      <c r="F124" s="49" t="n"/>
      <c r="G124" s="49" t="n"/>
      <c r="H124" s="49" t="n"/>
      <c r="I124" s="49" t="n"/>
      <c r="J124" s="49" t="n"/>
    </row>
    <row r="125">
      <c r="B125" s="49" t="n"/>
      <c r="C125" s="49" t="n"/>
      <c r="D125" s="49" t="n"/>
      <c r="E125" s="49" t="n"/>
      <c r="F125" s="49" t="n"/>
      <c r="G125" s="49" t="n"/>
      <c r="H125" s="49" t="n"/>
      <c r="I125" s="49" t="n"/>
      <c r="J125" s="49" t="n"/>
    </row>
    <row r="126">
      <c r="B126" s="49" t="n"/>
      <c r="C126" s="49" t="n"/>
      <c r="D126" s="49" t="n"/>
      <c r="E126" s="49" t="n"/>
      <c r="F126" s="49" t="n"/>
      <c r="G126" s="49" t="n"/>
      <c r="H126" s="49" t="n"/>
      <c r="I126" s="49" t="n"/>
      <c r="J126" s="49" t="n"/>
    </row>
    <row r="127">
      <c r="B127" s="49" t="n"/>
      <c r="C127" s="49" t="n"/>
      <c r="D127" s="49" t="n"/>
      <c r="E127" s="49" t="n"/>
      <c r="F127" s="49" t="n"/>
      <c r="G127" s="49" t="n"/>
      <c r="H127" s="49" t="n"/>
      <c r="I127" s="49" t="n"/>
      <c r="J127" s="49" t="n"/>
    </row>
    <row r="128">
      <c r="B128" s="49" t="n"/>
      <c r="C128" s="49" t="n"/>
      <c r="D128" s="49" t="n"/>
      <c r="E128" s="49" t="n"/>
      <c r="F128" s="49" t="n"/>
      <c r="G128" s="49" t="n"/>
      <c r="H128" s="49" t="n"/>
      <c r="I128" s="49" t="n"/>
      <c r="J128" s="49" t="n"/>
    </row>
    <row r="129">
      <c r="B129" s="49" t="n"/>
      <c r="C129" s="49" t="n"/>
      <c r="D129" s="49" t="n"/>
      <c r="E129" s="49" t="n"/>
      <c r="F129" s="49" t="n"/>
      <c r="G129" s="49" t="n"/>
      <c r="H129" s="49" t="n"/>
      <c r="I129" s="49" t="n"/>
      <c r="J129" s="49" t="n"/>
    </row>
    <row r="130">
      <c r="B130" s="49" t="n"/>
      <c r="C130" s="49" t="n"/>
      <c r="D130" s="49" t="n"/>
      <c r="E130" s="49" t="n"/>
      <c r="F130" s="49" t="n"/>
      <c r="G130" s="49" t="n"/>
      <c r="H130" s="49" t="n"/>
      <c r="I130" s="49" t="n"/>
      <c r="J130" s="49" t="n"/>
    </row>
    <row r="131">
      <c r="B131" s="49" t="n"/>
      <c r="C131" s="49" t="n"/>
      <c r="D131" s="49" t="n"/>
      <c r="E131" s="49" t="n"/>
      <c r="F131" s="49" t="n"/>
      <c r="G131" s="49" t="n"/>
      <c r="H131" s="49" t="n"/>
      <c r="I131" s="49" t="n"/>
      <c r="J131" s="49" t="n"/>
    </row>
    <row r="132">
      <c r="B132" s="49" t="n"/>
      <c r="C132" s="49" t="n"/>
      <c r="D132" s="49" t="n"/>
      <c r="E132" s="49" t="n"/>
      <c r="F132" s="49" t="n"/>
      <c r="G132" s="49" t="n"/>
      <c r="H132" s="49" t="n"/>
      <c r="I132" s="49" t="n"/>
      <c r="J132" s="49" t="n"/>
    </row>
    <row r="133">
      <c r="B133" s="49" t="n"/>
      <c r="C133" s="49" t="n"/>
      <c r="D133" s="49" t="n"/>
      <c r="E133" s="49" t="n"/>
      <c r="F133" s="49" t="n"/>
      <c r="G133" s="49" t="n"/>
      <c r="H133" s="49" t="n"/>
      <c r="I133" s="49" t="n"/>
      <c r="J133" s="49" t="n"/>
    </row>
    <row r="134">
      <c r="B134" s="49" t="n"/>
      <c r="C134" s="49" t="n"/>
      <c r="D134" s="49" t="n"/>
      <c r="E134" s="49" t="n"/>
      <c r="F134" s="49" t="n"/>
      <c r="G134" s="49" t="n"/>
      <c r="H134" s="49" t="n"/>
      <c r="I134" s="49" t="n"/>
      <c r="J134" s="49" t="n"/>
    </row>
    <row r="135">
      <c r="B135" s="49" t="n"/>
      <c r="C135" s="49" t="n"/>
      <c r="D135" s="49" t="n"/>
      <c r="E135" s="49" t="n"/>
      <c r="F135" s="49" t="n"/>
      <c r="G135" s="49" t="n"/>
      <c r="H135" s="49" t="n"/>
      <c r="I135" s="49" t="n"/>
      <c r="J135" s="49" t="n"/>
    </row>
    <row r="136">
      <c r="B136" s="49" t="n"/>
      <c r="C136" s="49" t="n"/>
      <c r="D136" s="49" t="n"/>
      <c r="E136" s="49" t="n"/>
      <c r="F136" s="49" t="n"/>
      <c r="G136" s="49" t="n"/>
      <c r="H136" s="49" t="n"/>
      <c r="I136" s="49" t="n"/>
      <c r="J136" s="49" t="n"/>
    </row>
    <row r="137">
      <c r="B137" s="49" t="n"/>
      <c r="C137" s="49" t="n"/>
      <c r="D137" s="49" t="n"/>
      <c r="E137" s="49" t="n"/>
      <c r="F137" s="49" t="n"/>
      <c r="G137" s="49" t="n"/>
      <c r="H137" s="49" t="n"/>
      <c r="I137" s="49" t="n"/>
      <c r="J137" s="49" t="n"/>
    </row>
    <row r="138">
      <c r="B138" s="49" t="n"/>
      <c r="C138" s="49" t="n"/>
      <c r="D138" s="49" t="n"/>
      <c r="E138" s="49" t="n"/>
      <c r="F138" s="49" t="n"/>
      <c r="G138" s="49" t="n"/>
      <c r="H138" s="49" t="n"/>
      <c r="I138" s="49" t="n"/>
      <c r="J138" s="49" t="n"/>
    </row>
    <row r="139">
      <c r="B139" s="49" t="n"/>
      <c r="C139" s="49" t="n"/>
      <c r="D139" s="49" t="n"/>
      <c r="E139" s="49" t="n"/>
      <c r="F139" s="49" t="n"/>
      <c r="G139" s="49" t="n"/>
      <c r="H139" s="49" t="n"/>
      <c r="I139" s="49" t="n"/>
      <c r="J139" s="49" t="n"/>
    </row>
    <row r="140">
      <c r="B140" s="49" t="n"/>
      <c r="C140" s="49" t="n"/>
      <c r="D140" s="49" t="n"/>
      <c r="E140" s="49" t="n"/>
      <c r="F140" s="49" t="n"/>
      <c r="G140" s="49" t="n"/>
      <c r="H140" s="49" t="n"/>
      <c r="I140" s="49" t="n"/>
      <c r="J140" s="49" t="n"/>
    </row>
    <row r="141">
      <c r="B141" s="49" t="n"/>
      <c r="C141" s="49" t="n"/>
      <c r="D141" s="49" t="n"/>
      <c r="E141" s="49" t="n"/>
      <c r="F141" s="49" t="n"/>
      <c r="G141" s="49" t="n"/>
      <c r="H141" s="49" t="n"/>
      <c r="I141" s="49" t="n"/>
      <c r="J141" s="49" t="n"/>
    </row>
    <row r="142">
      <c r="B142" s="49" t="n"/>
      <c r="C142" s="49" t="n"/>
      <c r="D142" s="49" t="n"/>
      <c r="E142" s="49" t="n"/>
      <c r="F142" s="49" t="n"/>
      <c r="G142" s="49" t="n"/>
      <c r="H142" s="49" t="n"/>
      <c r="I142" s="49" t="n"/>
      <c r="J142" s="49" t="n"/>
    </row>
    <row r="143">
      <c r="B143" s="49" t="n"/>
      <c r="C143" s="49" t="n"/>
      <c r="D143" s="49" t="n"/>
      <c r="E143" s="49" t="n"/>
      <c r="F143" s="49" t="n"/>
      <c r="G143" s="49" t="n"/>
      <c r="H143" s="49" t="n"/>
      <c r="I143" s="49" t="n"/>
      <c r="J143" s="49" t="n"/>
    </row>
    <row r="144">
      <c r="B144" s="49" t="n"/>
      <c r="C144" s="49" t="n"/>
      <c r="D144" s="49" t="n"/>
      <c r="E144" s="49" t="n"/>
      <c r="F144" s="49" t="n"/>
      <c r="G144" s="49" t="n"/>
      <c r="H144" s="49" t="n"/>
      <c r="I144" s="49" t="n"/>
      <c r="J144" s="49" t="n"/>
    </row>
    <row r="145">
      <c r="B145" s="49" t="n"/>
      <c r="C145" s="49" t="n"/>
      <c r="D145" s="49" t="n"/>
      <c r="E145" s="49" t="n"/>
      <c r="F145" s="49" t="n"/>
      <c r="G145" s="49" t="n"/>
      <c r="H145" s="49" t="n"/>
      <c r="I145" s="49" t="n"/>
      <c r="J145" s="49" t="n"/>
    </row>
    <row r="146">
      <c r="B146" s="49" t="n"/>
      <c r="C146" s="49" t="n"/>
      <c r="D146" s="49" t="n"/>
      <c r="E146" s="49" t="n"/>
      <c r="F146" s="49" t="n"/>
      <c r="G146" s="49" t="n"/>
      <c r="H146" s="49" t="n"/>
      <c r="I146" s="49" t="n"/>
      <c r="J146" s="49" t="n"/>
    </row>
    <row r="147">
      <c r="B147" s="49" t="n"/>
      <c r="C147" s="49" t="n"/>
      <c r="D147" s="49" t="n"/>
      <c r="E147" s="49" t="n"/>
      <c r="F147" s="49" t="n"/>
      <c r="G147" s="49" t="n"/>
      <c r="H147" s="49" t="n"/>
      <c r="I147" s="49" t="n"/>
      <c r="J147" s="49" t="n"/>
    </row>
    <row r="148">
      <c r="B148" s="49" t="n"/>
      <c r="C148" s="49" t="n"/>
      <c r="D148" s="49" t="n"/>
      <c r="E148" s="49" t="n"/>
      <c r="F148" s="49" t="n"/>
      <c r="G148" s="49" t="n"/>
      <c r="H148" s="49" t="n"/>
      <c r="I148" s="49" t="n"/>
      <c r="J148" s="49" t="n"/>
    </row>
    <row r="149">
      <c r="B149" s="49" t="n"/>
      <c r="C149" s="49" t="n"/>
      <c r="D149" s="49" t="n"/>
      <c r="E149" s="49" t="n"/>
      <c r="F149" s="49" t="n"/>
      <c r="G149" s="49" t="n"/>
      <c r="H149" s="49" t="n"/>
      <c r="I149" s="49" t="n"/>
      <c r="J149" s="49" t="n"/>
    </row>
    <row r="150">
      <c r="B150" s="49" t="n"/>
      <c r="C150" s="49" t="n"/>
      <c r="D150" s="49" t="n"/>
      <c r="E150" s="49" t="n"/>
      <c r="F150" s="49" t="n"/>
      <c r="G150" s="49" t="n"/>
      <c r="H150" s="49" t="n"/>
      <c r="I150" s="49" t="n"/>
      <c r="J150" s="49" t="n"/>
    </row>
    <row r="151">
      <c r="B151" s="49" t="n"/>
      <c r="C151" s="49" t="n"/>
      <c r="D151" s="49" t="n"/>
      <c r="E151" s="49" t="n"/>
      <c r="F151" s="49" t="n"/>
      <c r="G151" s="49" t="n"/>
      <c r="H151" s="49" t="n"/>
      <c r="I151" s="49" t="n"/>
      <c r="J151" s="49" t="n"/>
    </row>
    <row r="152">
      <c r="B152" s="49" t="n"/>
      <c r="C152" s="49" t="n"/>
      <c r="D152" s="49" t="n"/>
      <c r="E152" s="49" t="n"/>
      <c r="F152" s="49" t="n"/>
      <c r="G152" s="49" t="n"/>
      <c r="H152" s="49" t="n"/>
      <c r="I152" s="49" t="n"/>
      <c r="J152" s="49" t="n"/>
    </row>
    <row r="153">
      <c r="B153" s="49" t="n"/>
      <c r="C153" s="49" t="n"/>
      <c r="D153" s="49" t="n"/>
      <c r="E153" s="49" t="n"/>
      <c r="F153" s="49" t="n"/>
      <c r="G153" s="49" t="n"/>
      <c r="H153" s="49" t="n"/>
      <c r="I153" s="49" t="n"/>
      <c r="J153" s="49" t="n"/>
    </row>
    <row r="154">
      <c r="B154" s="49" t="n"/>
      <c r="C154" s="49" t="n"/>
      <c r="D154" s="49" t="n"/>
      <c r="E154" s="49" t="n"/>
      <c r="F154" s="49" t="n"/>
      <c r="G154" s="49" t="n"/>
      <c r="H154" s="49" t="n"/>
      <c r="I154" s="49" t="n"/>
      <c r="J154" s="49" t="n"/>
    </row>
    <row r="155">
      <c r="B155" s="49" t="n"/>
      <c r="C155" s="49" t="n"/>
      <c r="D155" s="49" t="n"/>
      <c r="E155" s="49" t="n"/>
      <c r="F155" s="49" t="n"/>
      <c r="G155" s="49" t="n"/>
      <c r="H155" s="49" t="n"/>
      <c r="I155" s="49" t="n"/>
      <c r="J155" s="49" t="n"/>
    </row>
    <row r="156">
      <c r="B156" s="49" t="n"/>
      <c r="C156" s="49" t="n"/>
      <c r="D156" s="49" t="n"/>
      <c r="E156" s="49" t="n"/>
      <c r="F156" s="49" t="n"/>
      <c r="G156" s="49" t="n"/>
      <c r="H156" s="49" t="n"/>
      <c r="I156" s="49" t="n"/>
      <c r="J156" s="49" t="n"/>
    </row>
    <row r="157">
      <c r="B157" s="49" t="n"/>
      <c r="C157" s="49" t="n"/>
      <c r="D157" s="49" t="n"/>
      <c r="E157" s="49" t="n"/>
      <c r="F157" s="49" t="n"/>
      <c r="G157" s="49" t="n"/>
      <c r="H157" s="49" t="n"/>
      <c r="I157" s="49" t="n"/>
      <c r="J157" s="49" t="n"/>
    </row>
    <row r="158">
      <c r="B158" s="49" t="n"/>
      <c r="C158" s="49" t="n"/>
      <c r="D158" s="49" t="n"/>
      <c r="E158" s="49" t="n"/>
      <c r="F158" s="49" t="n"/>
      <c r="G158" s="49" t="n"/>
      <c r="H158" s="49" t="n"/>
      <c r="I158" s="49" t="n"/>
      <c r="J158" s="49" t="n"/>
    </row>
    <row r="159">
      <c r="B159" s="49" t="n"/>
      <c r="C159" s="49" t="n"/>
      <c r="D159" s="49" t="n"/>
      <c r="E159" s="49" t="n"/>
      <c r="F159" s="49" t="n"/>
      <c r="G159" s="49" t="n"/>
      <c r="H159" s="49" t="n"/>
      <c r="I159" s="49" t="n"/>
      <c r="J159" s="49" t="n"/>
    </row>
    <row r="160">
      <c r="B160" s="49" t="n"/>
      <c r="C160" s="49" t="n"/>
      <c r="D160" s="49" t="n"/>
      <c r="E160" s="49" t="n"/>
      <c r="F160" s="49" t="n"/>
      <c r="G160" s="49" t="n"/>
      <c r="H160" s="49" t="n"/>
      <c r="I160" s="49" t="n"/>
      <c r="J160" s="49" t="n"/>
    </row>
    <row r="161">
      <c r="B161" s="49" t="n"/>
      <c r="C161" s="49" t="n"/>
      <c r="D161" s="49" t="n"/>
      <c r="E161" s="49" t="n"/>
      <c r="F161" s="49" t="n"/>
      <c r="G161" s="49" t="n"/>
      <c r="H161" s="49" t="n"/>
      <c r="I161" s="49" t="n"/>
      <c r="J161" s="49" t="n"/>
    </row>
    <row r="162">
      <c r="B162" s="49" t="n"/>
      <c r="C162" s="49" t="n"/>
      <c r="D162" s="49" t="n"/>
      <c r="E162" s="49" t="n"/>
      <c r="F162" s="49" t="n"/>
      <c r="G162" s="49" t="n"/>
      <c r="H162" s="49" t="n"/>
      <c r="I162" s="49" t="n"/>
      <c r="J162" s="49" t="n"/>
    </row>
    <row r="163">
      <c r="B163" s="49" t="n"/>
      <c r="C163" s="49" t="n"/>
      <c r="D163" s="49" t="n"/>
      <c r="E163" s="49" t="n"/>
      <c r="F163" s="49" t="n"/>
      <c r="G163" s="49" t="n"/>
      <c r="H163" s="49" t="n"/>
      <c r="I163" s="49" t="n"/>
      <c r="J163" s="49" t="n"/>
    </row>
    <row r="164">
      <c r="B164" s="49" t="n"/>
      <c r="C164" s="49" t="n"/>
      <c r="D164" s="49" t="n"/>
      <c r="E164" s="49" t="n"/>
      <c r="F164" s="49" t="n"/>
      <c r="G164" s="49" t="n"/>
      <c r="H164" s="49" t="n"/>
      <c r="I164" s="49" t="n"/>
      <c r="J164" s="49" t="n"/>
    </row>
    <row r="165">
      <c r="B165" s="49" t="n"/>
      <c r="C165" s="49" t="n"/>
      <c r="D165" s="49" t="n"/>
      <c r="E165" s="49" t="n"/>
      <c r="F165" s="49" t="n"/>
      <c r="G165" s="49" t="n"/>
      <c r="H165" s="49" t="n"/>
      <c r="I165" s="49" t="n"/>
      <c r="J165" s="49" t="n"/>
    </row>
    <row r="166">
      <c r="B166" s="49" t="n"/>
      <c r="C166" s="49" t="n"/>
      <c r="D166" s="49" t="n"/>
      <c r="E166" s="49" t="n"/>
      <c r="F166" s="49" t="n"/>
      <c r="G166" s="49" t="n"/>
      <c r="H166" s="49" t="n"/>
      <c r="I166" s="49" t="n"/>
      <c r="J166" s="49" t="n"/>
    </row>
    <row r="167">
      <c r="B167" s="49" t="n"/>
      <c r="C167" s="49" t="n"/>
      <c r="D167" s="49" t="n"/>
      <c r="E167" s="49" t="n"/>
      <c r="F167" s="49" t="n"/>
      <c r="G167" s="49" t="n"/>
      <c r="H167" s="49" t="n"/>
      <c r="I167" s="49" t="n"/>
      <c r="J167" s="49" t="n"/>
    </row>
    <row r="168">
      <c r="B168" s="49" t="n"/>
      <c r="C168" s="49" t="n"/>
      <c r="D168" s="49" t="n"/>
      <c r="E168" s="49" t="n"/>
      <c r="F168" s="49" t="n"/>
      <c r="G168" s="49" t="n"/>
      <c r="H168" s="49" t="n"/>
      <c r="I168" s="49" t="n"/>
      <c r="J168" s="49" t="n"/>
    </row>
    <row r="169">
      <c r="B169" s="49" t="n"/>
      <c r="C169" s="49" t="n"/>
      <c r="D169" s="49" t="n"/>
      <c r="E169" s="49" t="n"/>
      <c r="F169" s="49" t="n"/>
      <c r="G169" s="49" t="n"/>
      <c r="H169" s="49" t="n"/>
      <c r="I169" s="49" t="n"/>
      <c r="J169" s="49" t="n"/>
    </row>
    <row r="170">
      <c r="B170" s="49" t="n"/>
      <c r="C170" s="49" t="n"/>
      <c r="D170" s="49" t="n"/>
      <c r="E170" s="49" t="n"/>
      <c r="F170" s="49" t="n"/>
      <c r="G170" s="49" t="n"/>
      <c r="H170" s="49" t="n"/>
      <c r="I170" s="49" t="n"/>
      <c r="J170" s="49" t="n"/>
    </row>
    <row r="171">
      <c r="B171" s="49" t="n"/>
      <c r="C171" s="49" t="n"/>
      <c r="D171" s="49" t="n"/>
      <c r="E171" s="49" t="n"/>
      <c r="F171" s="49" t="n"/>
      <c r="G171" s="49" t="n"/>
      <c r="H171" s="49" t="n"/>
      <c r="I171" s="49" t="n"/>
      <c r="J171" s="49" t="n"/>
    </row>
    <row r="172">
      <c r="B172" s="49" t="n"/>
      <c r="C172" s="49" t="n"/>
      <c r="D172" s="49" t="n"/>
      <c r="E172" s="49" t="n"/>
      <c r="F172" s="49" t="n"/>
      <c r="G172" s="49" t="n"/>
      <c r="H172" s="49" t="n"/>
      <c r="I172" s="49" t="n"/>
      <c r="J172" s="49" t="n"/>
    </row>
    <row r="173">
      <c r="B173" s="49" t="n"/>
      <c r="C173" s="49" t="n"/>
      <c r="D173" s="49" t="n"/>
      <c r="E173" s="49" t="n"/>
      <c r="F173" s="49" t="n"/>
      <c r="G173" s="49" t="n"/>
      <c r="H173" s="49" t="n"/>
      <c r="I173" s="49" t="n"/>
      <c r="J173" s="49" t="n"/>
    </row>
    <row r="174">
      <c r="B174" s="49" t="n"/>
      <c r="C174" s="49" t="n"/>
      <c r="D174" s="49" t="n"/>
      <c r="E174" s="49" t="n"/>
      <c r="F174" s="49" t="n"/>
      <c r="G174" s="49" t="n"/>
      <c r="H174" s="49" t="n"/>
      <c r="I174" s="49" t="n"/>
      <c r="J174" s="49" t="n"/>
    </row>
    <row r="175">
      <c r="B175" s="49" t="n"/>
      <c r="C175" s="49" t="n"/>
      <c r="D175" s="49" t="n"/>
      <c r="E175" s="49" t="n"/>
      <c r="F175" s="49" t="n"/>
      <c r="G175" s="49" t="n"/>
      <c r="H175" s="49" t="n"/>
      <c r="I175" s="49" t="n"/>
      <c r="J175" s="49" t="n"/>
    </row>
    <row r="176">
      <c r="B176" s="49" t="n"/>
      <c r="C176" s="49" t="n"/>
      <c r="D176" s="49" t="n"/>
      <c r="E176" s="49" t="n"/>
      <c r="F176" s="49" t="n"/>
      <c r="G176" s="49" t="n"/>
      <c r="H176" s="49" t="n"/>
      <c r="I176" s="49" t="n"/>
      <c r="J176" s="49" t="n"/>
    </row>
    <row r="177">
      <c r="B177" s="49" t="n"/>
      <c r="C177" s="49" t="n"/>
      <c r="D177" s="49" t="n"/>
      <c r="E177" s="49" t="n"/>
      <c r="F177" s="49" t="n"/>
      <c r="G177" s="49" t="n"/>
      <c r="H177" s="49" t="n"/>
      <c r="I177" s="49" t="n"/>
      <c r="J177" s="49" t="n"/>
    </row>
    <row r="178">
      <c r="B178" s="49" t="n"/>
      <c r="C178" s="49" t="n"/>
      <c r="D178" s="49" t="n"/>
      <c r="E178" s="49" t="n"/>
      <c r="F178" s="49" t="n"/>
      <c r="G178" s="49" t="n"/>
      <c r="H178" s="49" t="n"/>
      <c r="I178" s="49" t="n"/>
      <c r="J178" s="49" t="n"/>
    </row>
    <row r="179">
      <c r="B179" s="49" t="n"/>
      <c r="C179" s="49" t="n"/>
      <c r="D179" s="49" t="n"/>
      <c r="E179" s="49" t="n"/>
      <c r="F179" s="49" t="n"/>
      <c r="G179" s="49" t="n"/>
      <c r="H179" s="49" t="n"/>
      <c r="I179" s="49" t="n"/>
      <c r="J179" s="49" t="n"/>
    </row>
    <row r="180">
      <c r="B180" s="49" t="n"/>
      <c r="C180" s="49" t="n"/>
      <c r="D180" s="49" t="n"/>
      <c r="E180" s="49" t="n"/>
      <c r="F180" s="49" t="n"/>
      <c r="G180" s="49" t="n"/>
      <c r="H180" s="49" t="n"/>
      <c r="I180" s="49" t="n"/>
      <c r="J180" s="49" t="n"/>
    </row>
    <row r="181">
      <c r="B181" s="49" t="n"/>
      <c r="C181" s="49" t="n"/>
      <c r="D181" s="49" t="n"/>
      <c r="E181" s="49" t="n"/>
      <c r="F181" s="49" t="n"/>
      <c r="G181" s="49" t="n"/>
      <c r="H181" s="49" t="n"/>
      <c r="I181" s="49" t="n"/>
      <c r="J181" s="49" t="n"/>
    </row>
    <row r="182">
      <c r="B182" s="49" t="n"/>
      <c r="C182" s="49" t="n"/>
      <c r="D182" s="49" t="n"/>
      <c r="E182" s="49" t="n"/>
      <c r="F182" s="49" t="n"/>
      <c r="G182" s="49" t="n"/>
      <c r="H182" s="49" t="n"/>
      <c r="I182" s="49" t="n"/>
      <c r="J182" s="49" t="n"/>
    </row>
    <row r="183">
      <c r="B183" s="49" t="n"/>
      <c r="C183" s="49" t="n"/>
      <c r="D183" s="49" t="n"/>
      <c r="E183" s="49" t="n"/>
      <c r="F183" s="49" t="n"/>
      <c r="G183" s="49" t="n"/>
      <c r="H183" s="49" t="n"/>
      <c r="I183" s="49" t="n"/>
      <c r="J183" s="49" t="n"/>
    </row>
    <row r="184">
      <c r="B184" s="49" t="n"/>
      <c r="C184" s="49" t="n"/>
      <c r="D184" s="49" t="n"/>
      <c r="E184" s="49" t="n"/>
      <c r="F184" s="49" t="n"/>
      <c r="G184" s="49" t="n"/>
      <c r="H184" s="49" t="n"/>
      <c r="I184" s="49" t="n"/>
      <c r="J184" s="49" t="n"/>
    </row>
    <row r="185">
      <c r="B185" s="49" t="n"/>
      <c r="C185" s="49" t="n"/>
      <c r="D185" s="49" t="n"/>
      <c r="E185" s="49" t="n"/>
      <c r="F185" s="49" t="n"/>
      <c r="G185" s="49" t="n"/>
      <c r="H185" s="49" t="n"/>
      <c r="I185" s="49" t="n"/>
      <c r="J185" s="49" t="n"/>
    </row>
    <row r="186">
      <c r="B186" s="49" t="n"/>
      <c r="C186" s="49" t="n"/>
      <c r="D186" s="49" t="n"/>
      <c r="E186" s="49" t="n"/>
      <c r="F186" s="49" t="n"/>
      <c r="G186" s="49" t="n"/>
      <c r="H186" s="49" t="n"/>
      <c r="I186" s="49" t="n"/>
      <c r="J186" s="49" t="n"/>
    </row>
    <row r="187">
      <c r="B187" s="49" t="n"/>
      <c r="C187" s="49" t="n"/>
      <c r="D187" s="49" t="n"/>
      <c r="E187" s="49" t="n"/>
      <c r="F187" s="49" t="n"/>
      <c r="G187" s="49" t="n"/>
      <c r="H187" s="49" t="n"/>
      <c r="I187" s="49" t="n"/>
      <c r="J187" s="49" t="n"/>
    </row>
    <row r="188">
      <c r="B188" s="49" t="n"/>
      <c r="C188" s="49" t="n"/>
      <c r="D188" s="49" t="n"/>
      <c r="E188" s="49" t="n"/>
      <c r="F188" s="49" t="n"/>
      <c r="G188" s="49" t="n"/>
      <c r="H188" s="49" t="n"/>
      <c r="I188" s="49" t="n"/>
      <c r="J188" s="49" t="n"/>
    </row>
    <row r="189">
      <c r="B189" s="49" t="n"/>
      <c r="C189" s="49" t="n"/>
      <c r="D189" s="49" t="n"/>
      <c r="E189" s="49" t="n"/>
      <c r="F189" s="49" t="n"/>
      <c r="G189" s="49" t="n"/>
      <c r="H189" s="49" t="n"/>
      <c r="I189" s="49" t="n"/>
      <c r="J189" s="49" t="n"/>
    </row>
    <row r="190">
      <c r="B190" s="49" t="n"/>
      <c r="C190" s="49" t="n"/>
      <c r="D190" s="49" t="n"/>
      <c r="E190" s="49" t="n"/>
      <c r="F190" s="49" t="n"/>
      <c r="G190" s="49" t="n"/>
      <c r="H190" s="49" t="n"/>
      <c r="I190" s="49" t="n"/>
      <c r="J190" s="49" t="n"/>
    </row>
    <row r="191">
      <c r="B191" s="49" t="n"/>
      <c r="C191" s="49" t="n"/>
      <c r="D191" s="49" t="n"/>
      <c r="E191" s="49" t="n"/>
      <c r="F191" s="49" t="n"/>
      <c r="G191" s="49" t="n"/>
      <c r="H191" s="49" t="n"/>
      <c r="I191" s="49" t="n"/>
      <c r="J191" s="49" t="n"/>
    </row>
    <row r="192">
      <c r="B192" s="49" t="n"/>
      <c r="C192" s="49" t="n"/>
      <c r="D192" s="49" t="n"/>
      <c r="E192" s="49" t="n"/>
      <c r="F192" s="49" t="n"/>
      <c r="G192" s="49" t="n"/>
      <c r="H192" s="49" t="n"/>
      <c r="I192" s="49" t="n"/>
      <c r="J192" s="49" t="n"/>
    </row>
    <row r="193">
      <c r="B193" s="49" t="n"/>
      <c r="C193" s="49" t="n"/>
      <c r="D193" s="49" t="n"/>
      <c r="E193" s="49" t="n"/>
      <c r="F193" s="49" t="n"/>
      <c r="G193" s="49" t="n"/>
      <c r="H193" s="49" t="n"/>
      <c r="I193" s="49" t="n"/>
      <c r="J193" s="49" t="n"/>
    </row>
    <row r="194">
      <c r="B194" s="49" t="n"/>
      <c r="C194" s="49" t="n"/>
      <c r="D194" s="49" t="n"/>
      <c r="E194" s="49" t="n"/>
      <c r="F194" s="49" t="n"/>
      <c r="G194" s="49" t="n"/>
      <c r="H194" s="49" t="n"/>
      <c r="I194" s="49" t="n"/>
      <c r="J194" s="49" t="n"/>
    </row>
    <row r="195">
      <c r="B195" s="49" t="n"/>
      <c r="C195" s="49" t="n"/>
      <c r="D195" s="49" t="n"/>
      <c r="E195" s="49" t="n"/>
      <c r="F195" s="49" t="n"/>
      <c r="G195" s="49" t="n"/>
      <c r="H195" s="49" t="n"/>
      <c r="I195" s="49" t="n"/>
      <c r="J195" s="49" t="n"/>
    </row>
    <row r="196">
      <c r="B196" s="49" t="n"/>
      <c r="C196" s="49" t="n"/>
      <c r="D196" s="49" t="n"/>
      <c r="E196" s="49" t="n"/>
      <c r="F196" s="49" t="n"/>
      <c r="G196" s="49" t="n"/>
      <c r="H196" s="49" t="n"/>
      <c r="I196" s="49" t="n"/>
      <c r="J196" s="49" t="n"/>
    </row>
    <row r="197">
      <c r="B197" s="49" t="n"/>
      <c r="C197" s="49" t="n"/>
      <c r="D197" s="49" t="n"/>
      <c r="E197" s="49" t="n"/>
      <c r="F197" s="49" t="n"/>
      <c r="G197" s="49" t="n"/>
      <c r="H197" s="49" t="n"/>
      <c r="I197" s="49" t="n"/>
      <c r="J197" s="49" t="n"/>
    </row>
    <row r="198">
      <c r="B198" s="49" t="n"/>
      <c r="C198" s="49" t="n"/>
      <c r="D198" s="49" t="n"/>
      <c r="E198" s="49" t="n"/>
      <c r="F198" s="49" t="n"/>
      <c r="G198" s="49" t="n"/>
      <c r="H198" s="49" t="n"/>
      <c r="I198" s="49" t="n"/>
      <c r="J198" s="49" t="n"/>
    </row>
    <row r="199">
      <c r="B199" s="49" t="n"/>
      <c r="C199" s="49" t="n"/>
      <c r="D199" s="49" t="n"/>
      <c r="E199" s="49" t="n"/>
      <c r="F199" s="49" t="n"/>
      <c r="G199" s="49" t="n"/>
      <c r="H199" s="49" t="n"/>
      <c r="I199" s="49" t="n"/>
      <c r="J199" s="49" t="n"/>
    </row>
    <row r="200">
      <c r="B200" s="49" t="n"/>
      <c r="C200" s="49" t="n"/>
      <c r="D200" s="49" t="n"/>
      <c r="E200" s="49" t="n"/>
      <c r="F200" s="49" t="n"/>
      <c r="G200" s="49" t="n"/>
      <c r="H200" s="49" t="n"/>
      <c r="I200" s="49" t="n"/>
      <c r="J200" s="49" t="n"/>
    </row>
    <row r="201">
      <c r="B201" s="49" t="n"/>
      <c r="C201" s="49" t="n"/>
      <c r="D201" s="49" t="n"/>
      <c r="E201" s="49" t="n"/>
      <c r="F201" s="49" t="n"/>
      <c r="G201" s="49" t="n"/>
      <c r="H201" s="49" t="n"/>
      <c r="I201" s="49" t="n"/>
      <c r="J201" s="49" t="n"/>
    </row>
    <row r="202">
      <c r="B202" s="49" t="n"/>
      <c r="C202" s="49" t="n"/>
      <c r="D202" s="49" t="n"/>
      <c r="E202" s="49" t="n"/>
      <c r="F202" s="49" t="n"/>
      <c r="G202" s="49" t="n"/>
      <c r="H202" s="49" t="n"/>
      <c r="I202" s="49" t="n"/>
      <c r="J202" s="49" t="n"/>
    </row>
    <row r="203">
      <c r="B203" s="49" t="n"/>
      <c r="C203" s="49" t="n"/>
      <c r="D203" s="49" t="n"/>
      <c r="E203" s="49" t="n"/>
      <c r="F203" s="49" t="n"/>
      <c r="G203" s="49" t="n"/>
      <c r="H203" s="49" t="n"/>
      <c r="I203" s="49" t="n"/>
      <c r="J203" s="49" t="n"/>
    </row>
    <row r="204">
      <c r="B204" s="49" t="n"/>
      <c r="C204" s="49" t="n"/>
      <c r="D204" s="49" t="n"/>
      <c r="E204" s="49" t="n"/>
      <c r="F204" s="49" t="n"/>
      <c r="G204" s="49" t="n"/>
      <c r="H204" s="49" t="n"/>
      <c r="I204" s="49" t="n"/>
      <c r="J204" s="49" t="n"/>
    </row>
    <row r="205">
      <c r="B205" s="49" t="n"/>
      <c r="C205" s="49" t="n"/>
      <c r="D205" s="49" t="n"/>
      <c r="E205" s="49" t="n"/>
      <c r="F205" s="49" t="n"/>
      <c r="G205" s="49" t="n"/>
      <c r="H205" s="49" t="n"/>
      <c r="I205" s="49" t="n"/>
      <c r="J205" s="49" t="n"/>
    </row>
    <row r="206">
      <c r="B206" s="49" t="n"/>
      <c r="C206" s="49" t="n"/>
      <c r="D206" s="49" t="n"/>
      <c r="E206" s="49" t="n"/>
      <c r="F206" s="49" t="n"/>
      <c r="G206" s="49" t="n"/>
      <c r="H206" s="49" t="n"/>
      <c r="I206" s="49" t="n"/>
      <c r="J206" s="49" t="n"/>
    </row>
    <row r="207">
      <c r="B207" s="49" t="n"/>
      <c r="C207" s="49" t="n"/>
      <c r="D207" s="49" t="n"/>
      <c r="E207" s="49" t="n"/>
      <c r="F207" s="49" t="n"/>
      <c r="G207" s="49" t="n"/>
      <c r="H207" s="49" t="n"/>
      <c r="I207" s="49" t="n"/>
      <c r="J207" s="49" t="n"/>
    </row>
    <row r="208">
      <c r="B208" s="49" t="n"/>
      <c r="C208" s="49" t="n"/>
      <c r="D208" s="49" t="n"/>
      <c r="E208" s="49" t="n"/>
      <c r="F208" s="49" t="n"/>
      <c r="G208" s="49" t="n"/>
      <c r="H208" s="49" t="n"/>
      <c r="I208" s="49" t="n"/>
      <c r="J208" s="49" t="n"/>
    </row>
    <row r="209">
      <c r="B209" s="49" t="n"/>
      <c r="C209" s="49" t="n"/>
      <c r="D209" s="49" t="n"/>
      <c r="E209" s="49" t="n"/>
      <c r="F209" s="49" t="n"/>
      <c r="G209" s="49" t="n"/>
      <c r="H209" s="49" t="n"/>
      <c r="I209" s="49" t="n"/>
      <c r="J209" s="49" t="n"/>
    </row>
    <row r="210">
      <c r="B210" s="49" t="n"/>
      <c r="C210" s="49" t="n"/>
      <c r="D210" s="49" t="n"/>
      <c r="E210" s="49" t="n"/>
      <c r="F210" s="49" t="n"/>
      <c r="G210" s="49" t="n"/>
      <c r="H210" s="49" t="n"/>
      <c r="I210" s="49" t="n"/>
      <c r="J210" s="49" t="n"/>
    </row>
    <row r="211">
      <c r="B211" s="49" t="n"/>
      <c r="C211" s="49" t="n"/>
      <c r="D211" s="49" t="n"/>
      <c r="E211" s="49" t="n"/>
      <c r="F211" s="49" t="n"/>
      <c r="G211" s="49" t="n"/>
      <c r="H211" s="49" t="n"/>
      <c r="I211" s="49" t="n"/>
      <c r="J211" s="49" t="n"/>
    </row>
    <row r="212">
      <c r="B212" s="49" t="n"/>
      <c r="C212" s="49" t="n"/>
      <c r="D212" s="49" t="n"/>
      <c r="E212" s="49" t="n"/>
      <c r="F212" s="49" t="n"/>
      <c r="G212" s="49" t="n"/>
      <c r="H212" s="49" t="n"/>
      <c r="I212" s="49" t="n"/>
      <c r="J212" s="49" t="n"/>
    </row>
    <row r="213">
      <c r="B213" s="49" t="n"/>
      <c r="C213" s="49" t="n"/>
      <c r="D213" s="49" t="n"/>
      <c r="E213" s="49" t="n"/>
      <c r="F213" s="49" t="n"/>
      <c r="G213" s="49" t="n"/>
      <c r="H213" s="49" t="n"/>
      <c r="I213" s="49" t="n"/>
      <c r="J213" s="49" t="n"/>
    </row>
    <row r="214">
      <c r="B214" s="49" t="n"/>
      <c r="C214" s="49" t="n"/>
      <c r="D214" s="49" t="n"/>
      <c r="E214" s="49" t="n"/>
      <c r="F214" s="49" t="n"/>
      <c r="G214" s="49" t="n"/>
      <c r="H214" s="49" t="n"/>
      <c r="I214" s="49" t="n"/>
      <c r="J214" s="49" t="n"/>
    </row>
    <row r="215">
      <c r="B215" s="49" t="n"/>
      <c r="C215" s="49" t="n"/>
      <c r="D215" s="49" t="n"/>
      <c r="E215" s="49" t="n"/>
      <c r="F215" s="49" t="n"/>
      <c r="G215" s="49" t="n"/>
      <c r="H215" s="49" t="n"/>
      <c r="I215" s="49" t="n"/>
      <c r="J215" s="49" t="n"/>
    </row>
    <row r="216">
      <c r="B216" s="49" t="n"/>
      <c r="C216" s="49" t="n"/>
      <c r="D216" s="49" t="n"/>
      <c r="E216" s="49" t="n"/>
      <c r="F216" s="49" t="n"/>
      <c r="G216" s="49" t="n"/>
      <c r="H216" s="49" t="n"/>
      <c r="I216" s="49" t="n"/>
      <c r="J216" s="49" t="n"/>
    </row>
    <row r="217">
      <c r="B217" s="49" t="n"/>
      <c r="C217" s="49" t="n"/>
      <c r="D217" s="49" t="n"/>
      <c r="E217" s="49" t="n"/>
      <c r="F217" s="49" t="n"/>
      <c r="G217" s="49" t="n"/>
      <c r="H217" s="49" t="n"/>
      <c r="I217" s="49" t="n"/>
      <c r="J217" s="49" t="n"/>
    </row>
    <row r="218">
      <c r="B218" s="49" t="n"/>
      <c r="C218" s="49" t="n"/>
      <c r="D218" s="49" t="n"/>
      <c r="E218" s="49" t="n"/>
      <c r="F218" s="49" t="n"/>
      <c r="G218" s="49" t="n"/>
      <c r="H218" s="49" t="n"/>
      <c r="I218" s="49" t="n"/>
      <c r="J218" s="49" t="n"/>
    </row>
    <row r="219">
      <c r="B219" s="49" t="n"/>
      <c r="C219" s="49" t="n"/>
      <c r="D219" s="49" t="n"/>
      <c r="E219" s="49" t="n"/>
      <c r="F219" s="49" t="n"/>
      <c r="G219" s="49" t="n"/>
      <c r="H219" s="49" t="n"/>
      <c r="I219" s="49" t="n"/>
      <c r="J219" s="49" t="n"/>
    </row>
    <row r="220">
      <c r="B220" s="49" t="n"/>
      <c r="C220" s="49" t="n"/>
      <c r="D220" s="49" t="n"/>
      <c r="E220" s="49" t="n"/>
      <c r="F220" s="49" t="n"/>
      <c r="G220" s="49" t="n"/>
      <c r="H220" s="49" t="n"/>
      <c r="I220" s="49" t="n"/>
      <c r="J220" s="49" t="n"/>
    </row>
    <row r="221">
      <c r="B221" s="49" t="n"/>
      <c r="C221" s="49" t="n"/>
      <c r="D221" s="49" t="n"/>
      <c r="E221" s="49" t="n"/>
      <c r="F221" s="49" t="n"/>
      <c r="G221" s="49" t="n"/>
      <c r="H221" s="49" t="n"/>
      <c r="I221" s="49" t="n"/>
      <c r="J221" s="49" t="n"/>
    </row>
    <row r="222">
      <c r="B222" s="49" t="n"/>
      <c r="C222" s="49" t="n"/>
      <c r="D222" s="49" t="n"/>
      <c r="E222" s="49" t="n"/>
      <c r="F222" s="49" t="n"/>
      <c r="G222" s="49" t="n"/>
      <c r="H222" s="49" t="n"/>
      <c r="I222" s="49" t="n"/>
      <c r="J222" s="49" t="n"/>
    </row>
    <row r="223">
      <c r="B223" s="49" t="n"/>
      <c r="C223" s="49" t="n"/>
      <c r="D223" s="49" t="n"/>
      <c r="E223" s="49" t="n"/>
      <c r="F223" s="49" t="n"/>
      <c r="G223" s="49" t="n"/>
      <c r="H223" s="49" t="n"/>
      <c r="I223" s="49" t="n"/>
      <c r="J223" s="49" t="n"/>
    </row>
    <row r="224">
      <c r="B224" s="49" t="n"/>
      <c r="C224" s="49" t="n"/>
      <c r="D224" s="49" t="n"/>
      <c r="E224" s="49" t="n"/>
      <c r="F224" s="49" t="n"/>
      <c r="G224" s="49" t="n"/>
      <c r="H224" s="49" t="n"/>
      <c r="I224" s="49" t="n"/>
      <c r="J224" s="49" t="n"/>
    </row>
    <row r="225">
      <c r="B225" s="49" t="n"/>
      <c r="C225" s="49" t="n"/>
      <c r="D225" s="49" t="n"/>
      <c r="E225" s="49" t="n"/>
      <c r="F225" s="49" t="n"/>
      <c r="G225" s="49" t="n"/>
      <c r="H225" s="49" t="n"/>
      <c r="I225" s="49" t="n"/>
      <c r="J225" s="49" t="n"/>
    </row>
    <row r="226">
      <c r="B226" s="49" t="n"/>
      <c r="C226" s="49" t="n"/>
      <c r="D226" s="49" t="n"/>
      <c r="E226" s="49" t="n"/>
      <c r="F226" s="49" t="n"/>
      <c r="G226" s="49" t="n"/>
      <c r="H226" s="49" t="n"/>
      <c r="I226" s="49" t="n"/>
      <c r="J226" s="49" t="n"/>
    </row>
    <row r="227">
      <c r="B227" s="49" t="n"/>
      <c r="C227" s="49" t="n"/>
      <c r="D227" s="49" t="n"/>
      <c r="E227" s="49" t="n"/>
      <c r="F227" s="49" t="n"/>
      <c r="G227" s="49" t="n"/>
      <c r="H227" s="49" t="n"/>
      <c r="I227" s="49" t="n"/>
      <c r="J227" s="49" t="n"/>
    </row>
    <row r="228">
      <c r="B228" s="49" t="n"/>
      <c r="C228" s="49" t="n"/>
      <c r="D228" s="49" t="n"/>
      <c r="E228" s="49" t="n"/>
      <c r="F228" s="49" t="n"/>
      <c r="G228" s="49" t="n"/>
      <c r="H228" s="49" t="n"/>
      <c r="I228" s="49" t="n"/>
      <c r="J228" s="49" t="n"/>
    </row>
    <row r="229">
      <c r="B229" s="49" t="n"/>
      <c r="C229" s="49" t="n"/>
      <c r="D229" s="49" t="n"/>
      <c r="E229" s="49" t="n"/>
      <c r="F229" s="49" t="n"/>
      <c r="G229" s="49" t="n"/>
      <c r="H229" s="49" t="n"/>
      <c r="I229" s="49" t="n"/>
      <c r="J229" s="49" t="n"/>
    </row>
    <row r="230">
      <c r="B230" s="49" t="n"/>
      <c r="C230" s="49" t="n"/>
      <c r="D230" s="49" t="n"/>
      <c r="E230" s="49" t="n"/>
      <c r="F230" s="49" t="n"/>
      <c r="G230" s="49" t="n"/>
      <c r="H230" s="49" t="n"/>
      <c r="I230" s="49" t="n"/>
      <c r="J230" s="49" t="n"/>
    </row>
    <row r="231">
      <c r="B231" s="49" t="n"/>
      <c r="C231" s="49" t="n"/>
      <c r="D231" s="49" t="n"/>
      <c r="E231" s="49" t="n"/>
      <c r="F231" s="49" t="n"/>
      <c r="G231" s="49" t="n"/>
      <c r="H231" s="49" t="n"/>
      <c r="I231" s="49" t="n"/>
      <c r="J231" s="49" t="n"/>
    </row>
    <row r="232">
      <c r="B232" s="49" t="n"/>
      <c r="C232" s="49" t="n"/>
      <c r="D232" s="49" t="n"/>
      <c r="E232" s="49" t="n"/>
      <c r="F232" s="49" t="n"/>
      <c r="G232" s="49" t="n"/>
      <c r="H232" s="49" t="n"/>
      <c r="I232" s="49" t="n"/>
      <c r="J232" s="49" t="n"/>
    </row>
    <row r="233">
      <c r="B233" s="49" t="n"/>
      <c r="C233" s="49" t="n"/>
      <c r="D233" s="49" t="n"/>
      <c r="E233" s="49" t="n"/>
      <c r="F233" s="49" t="n"/>
      <c r="G233" s="49" t="n"/>
      <c r="H233" s="49" t="n"/>
      <c r="I233" s="49" t="n"/>
      <c r="J233" s="49" t="n"/>
    </row>
    <row r="234">
      <c r="B234" s="49" t="n"/>
      <c r="C234" s="49" t="n"/>
      <c r="D234" s="49" t="n"/>
      <c r="E234" s="49" t="n"/>
      <c r="F234" s="49" t="n"/>
      <c r="G234" s="49" t="n"/>
      <c r="H234" s="49" t="n"/>
      <c r="I234" s="49" t="n"/>
      <c r="J234" s="49" t="n"/>
    </row>
    <row r="235">
      <c r="B235" s="49" t="n"/>
      <c r="C235" s="49" t="n"/>
      <c r="D235" s="49" t="n"/>
      <c r="E235" s="49" t="n"/>
      <c r="F235" s="49" t="n"/>
      <c r="G235" s="49" t="n"/>
      <c r="H235" s="49" t="n"/>
      <c r="I235" s="49" t="n"/>
      <c r="J235" s="49" t="n"/>
    </row>
    <row r="236">
      <c r="B236" s="49" t="n"/>
      <c r="C236" s="49" t="n"/>
      <c r="D236" s="49" t="n"/>
      <c r="E236" s="49" t="n"/>
      <c r="F236" s="49" t="n"/>
      <c r="G236" s="49" t="n"/>
      <c r="H236" s="49" t="n"/>
      <c r="I236" s="49" t="n"/>
      <c r="J236" s="49" t="n"/>
    </row>
    <row r="237">
      <c r="B237" s="49" t="n"/>
      <c r="C237" s="49" t="n"/>
      <c r="D237" s="49" t="n"/>
      <c r="E237" s="49" t="n"/>
      <c r="F237" s="49" t="n"/>
      <c r="G237" s="49" t="n"/>
      <c r="H237" s="49" t="n"/>
      <c r="I237" s="49" t="n"/>
      <c r="J237" s="49" t="n"/>
    </row>
    <row r="238">
      <c r="B238" s="49" t="n"/>
      <c r="C238" s="49" t="n"/>
      <c r="D238" s="49" t="n"/>
      <c r="E238" s="49" t="n"/>
      <c r="F238" s="49" t="n"/>
      <c r="G238" s="49" t="n"/>
      <c r="H238" s="49" t="n"/>
      <c r="I238" s="49" t="n"/>
      <c r="J238" s="49" t="n"/>
    </row>
    <row r="239">
      <c r="B239" s="49" t="n"/>
      <c r="C239" s="49" t="n"/>
      <c r="D239" s="49" t="n"/>
      <c r="E239" s="49" t="n"/>
      <c r="F239" s="49" t="n"/>
      <c r="G239" s="49" t="n"/>
      <c r="H239" s="49" t="n"/>
      <c r="I239" s="49" t="n"/>
      <c r="J239" s="49" t="n"/>
    </row>
    <row r="240">
      <c r="B240" s="49" t="n"/>
      <c r="C240" s="49" t="n"/>
      <c r="D240" s="49" t="n"/>
      <c r="E240" s="49" t="n"/>
      <c r="F240" s="49" t="n"/>
      <c r="G240" s="49" t="n"/>
      <c r="H240" s="49" t="n"/>
      <c r="I240" s="49" t="n"/>
      <c r="J240" s="49" t="n"/>
    </row>
    <row r="241">
      <c r="B241" s="49" t="n"/>
      <c r="C241" s="49" t="n"/>
      <c r="D241" s="49" t="n"/>
      <c r="E241" s="49" t="n"/>
      <c r="F241" s="49" t="n"/>
      <c r="G241" s="49" t="n"/>
      <c r="H241" s="49" t="n"/>
      <c r="I241" s="49" t="n"/>
      <c r="J241" s="49" t="n"/>
    </row>
    <row r="242">
      <c r="B242" s="49" t="n"/>
      <c r="C242" s="49" t="n"/>
      <c r="D242" s="49" t="n"/>
      <c r="E242" s="49" t="n"/>
      <c r="F242" s="49" t="n"/>
      <c r="G242" s="49" t="n"/>
      <c r="H242" s="49" t="n"/>
      <c r="I242" s="49" t="n"/>
      <c r="J242" s="49" t="n"/>
    </row>
    <row r="243">
      <c r="B243" s="49" t="n"/>
      <c r="C243" s="49" t="n"/>
      <c r="D243" s="49" t="n"/>
      <c r="E243" s="49" t="n"/>
      <c r="F243" s="49" t="n"/>
      <c r="G243" s="49" t="n"/>
      <c r="H243" s="49" t="n"/>
      <c r="I243" s="49" t="n"/>
      <c r="J243" s="49" t="n"/>
    </row>
    <row r="244">
      <c r="B244" s="49" t="n"/>
      <c r="C244" s="49" t="n"/>
      <c r="D244" s="49" t="n"/>
      <c r="E244" s="49" t="n"/>
      <c r="F244" s="49" t="n"/>
      <c r="G244" s="49" t="n"/>
      <c r="H244" s="49" t="n"/>
      <c r="I244" s="49" t="n"/>
      <c r="J244" s="49" t="n"/>
    </row>
    <row r="245">
      <c r="B245" s="49" t="n"/>
      <c r="C245" s="49" t="n"/>
      <c r="D245" s="49" t="n"/>
      <c r="E245" s="49" t="n"/>
      <c r="F245" s="49" t="n"/>
      <c r="G245" s="49" t="n"/>
      <c r="H245" s="49" t="n"/>
      <c r="I245" s="49" t="n"/>
      <c r="J245" s="49" t="n"/>
    </row>
    <row r="246">
      <c r="B246" s="49" t="n"/>
      <c r="C246" s="49" t="n"/>
      <c r="D246" s="49" t="n"/>
      <c r="E246" s="49" t="n"/>
      <c r="F246" s="49" t="n"/>
      <c r="G246" s="49" t="n"/>
      <c r="H246" s="49" t="n"/>
      <c r="I246" s="49" t="n"/>
      <c r="J246" s="49" t="n"/>
    </row>
    <row r="247">
      <c r="B247" s="49" t="n"/>
      <c r="C247" s="49" t="n"/>
      <c r="D247" s="49" t="n"/>
      <c r="E247" s="49" t="n"/>
      <c r="F247" s="49" t="n"/>
      <c r="G247" s="49" t="n"/>
      <c r="H247" s="49" t="n"/>
      <c r="I247" s="49" t="n"/>
      <c r="J247" s="49" t="n"/>
    </row>
    <row r="248">
      <c r="B248" s="49" t="n"/>
      <c r="C248" s="49" t="n"/>
      <c r="D248" s="49" t="n"/>
      <c r="E248" s="49" t="n"/>
      <c r="F248" s="49" t="n"/>
      <c r="G248" s="49" t="n"/>
      <c r="H248" s="49" t="n"/>
      <c r="I248" s="49" t="n"/>
      <c r="J248" s="49" t="n"/>
    </row>
    <row r="249">
      <c r="B249" s="49" t="n"/>
      <c r="C249" s="49" t="n"/>
      <c r="D249" s="49" t="n"/>
      <c r="E249" s="49" t="n"/>
      <c r="F249" s="49" t="n"/>
      <c r="G249" s="49" t="n"/>
      <c r="H249" s="49" t="n"/>
      <c r="I249" s="49" t="n"/>
      <c r="J249" s="49" t="n"/>
    </row>
    <row r="250">
      <c r="B250" s="49" t="n"/>
      <c r="C250" s="49" t="n"/>
      <c r="D250" s="49" t="n"/>
      <c r="E250" s="49" t="n"/>
      <c r="F250" s="49" t="n"/>
      <c r="G250" s="49" t="n"/>
      <c r="H250" s="49" t="n"/>
      <c r="I250" s="49" t="n"/>
      <c r="J250" s="49" t="n"/>
    </row>
    <row r="251">
      <c r="B251" s="49" t="n"/>
      <c r="C251" s="49" t="n"/>
      <c r="D251" s="49" t="n"/>
      <c r="E251" s="49" t="n"/>
      <c r="F251" s="49" t="n"/>
      <c r="G251" s="49" t="n"/>
      <c r="H251" s="49" t="n"/>
      <c r="I251" s="49" t="n"/>
      <c r="J251" s="49" t="n"/>
    </row>
    <row r="252">
      <c r="B252" s="49" t="n"/>
      <c r="C252" s="49" t="n"/>
      <c r="D252" s="49" t="n"/>
      <c r="E252" s="49" t="n"/>
      <c r="F252" s="49" t="n"/>
      <c r="G252" s="49" t="n"/>
      <c r="H252" s="49" t="n"/>
      <c r="I252" s="49" t="n"/>
      <c r="J252" s="49" t="n"/>
    </row>
    <row r="253">
      <c r="B253" s="49" t="n"/>
      <c r="C253" s="49" t="n"/>
      <c r="D253" s="49" t="n"/>
      <c r="E253" s="49" t="n"/>
      <c r="F253" s="49" t="n"/>
      <c r="G253" s="49" t="n"/>
      <c r="H253" s="49" t="n"/>
      <c r="I253" s="49" t="n"/>
      <c r="J253" s="49" t="n"/>
    </row>
    <row r="254">
      <c r="B254" s="49" t="n"/>
      <c r="C254" s="49" t="n"/>
      <c r="D254" s="49" t="n"/>
      <c r="E254" s="49" t="n"/>
      <c r="F254" s="49" t="n"/>
      <c r="G254" s="49" t="n"/>
      <c r="H254" s="49" t="n"/>
      <c r="I254" s="49" t="n"/>
      <c r="J254" s="49" t="n"/>
    </row>
    <row r="255">
      <c r="B255" s="49" t="n"/>
      <c r="C255" s="49" t="n"/>
      <c r="D255" s="49" t="n"/>
      <c r="E255" s="49" t="n"/>
      <c r="F255" s="49" t="n"/>
      <c r="G255" s="49" t="n"/>
      <c r="H255" s="49" t="n"/>
      <c r="I255" s="49" t="n"/>
      <c r="J255" s="49" t="n"/>
    </row>
    <row r="256">
      <c r="B256" s="49" t="n"/>
      <c r="C256" s="49" t="n"/>
      <c r="D256" s="49" t="n"/>
      <c r="E256" s="49" t="n"/>
      <c r="F256" s="49" t="n"/>
      <c r="G256" s="49" t="n"/>
      <c r="H256" s="49" t="n"/>
      <c r="I256" s="49" t="n"/>
      <c r="J256" s="49" t="n"/>
    </row>
    <row r="257">
      <c r="B257" s="49" t="n"/>
      <c r="C257" s="49" t="n"/>
      <c r="D257" s="49" t="n"/>
      <c r="E257" s="49" t="n"/>
      <c r="F257" s="49" t="n"/>
      <c r="G257" s="49" t="n"/>
      <c r="H257" s="49" t="n"/>
      <c r="I257" s="49" t="n"/>
      <c r="J257" s="49" t="n"/>
    </row>
    <row r="258">
      <c r="B258" s="49" t="n"/>
      <c r="C258" s="49" t="n"/>
      <c r="D258" s="49" t="n"/>
      <c r="E258" s="49" t="n"/>
      <c r="F258" s="49" t="n"/>
      <c r="G258" s="49" t="n"/>
      <c r="H258" s="49" t="n"/>
      <c r="I258" s="49" t="n"/>
      <c r="J258" s="49" t="n"/>
    </row>
    <row r="259">
      <c r="B259" s="49" t="n"/>
      <c r="C259" s="49" t="n"/>
      <c r="D259" s="49" t="n"/>
      <c r="E259" s="49" t="n"/>
      <c r="F259" s="49" t="n"/>
      <c r="G259" s="49" t="n"/>
      <c r="H259" s="49" t="n"/>
      <c r="I259" s="49" t="n"/>
      <c r="J259" s="49" t="n"/>
    </row>
    <row r="260">
      <c r="B260" s="49" t="n"/>
      <c r="C260" s="49" t="n"/>
      <c r="D260" s="49" t="n"/>
      <c r="E260" s="49" t="n"/>
      <c r="F260" s="49" t="n"/>
      <c r="G260" s="49" t="n"/>
      <c r="H260" s="49" t="n"/>
      <c r="I260" s="49" t="n"/>
      <c r="J260" s="49" t="n"/>
    </row>
    <row r="261">
      <c r="B261" s="49" t="n"/>
      <c r="C261" s="49" t="n"/>
      <c r="D261" s="49" t="n"/>
      <c r="E261" s="49" t="n"/>
      <c r="F261" s="49" t="n"/>
      <c r="G261" s="49" t="n"/>
      <c r="H261" s="49" t="n"/>
      <c r="I261" s="49" t="n"/>
      <c r="J261" s="49" t="n"/>
    </row>
    <row r="262">
      <c r="B262" s="49" t="n"/>
      <c r="C262" s="49" t="n"/>
      <c r="D262" s="49" t="n"/>
      <c r="E262" s="49" t="n"/>
      <c r="F262" s="49" t="n"/>
      <c r="G262" s="49" t="n"/>
      <c r="H262" s="49" t="n"/>
      <c r="I262" s="49" t="n"/>
      <c r="J262" s="49" t="n"/>
    </row>
    <row r="263">
      <c r="B263" s="49" t="n"/>
      <c r="C263" s="49" t="n"/>
      <c r="D263" s="49" t="n"/>
      <c r="E263" s="49" t="n"/>
      <c r="F263" s="49" t="n"/>
      <c r="G263" s="49" t="n"/>
      <c r="H263" s="49" t="n"/>
      <c r="I263" s="49" t="n"/>
      <c r="J263" s="49" t="n"/>
    </row>
    <row r="264">
      <c r="B264" s="49" t="n"/>
      <c r="C264" s="49" t="n"/>
      <c r="D264" s="49" t="n"/>
      <c r="E264" s="49" t="n"/>
      <c r="F264" s="49" t="n"/>
      <c r="G264" s="49" t="n"/>
      <c r="H264" s="49" t="n"/>
      <c r="I264" s="49" t="n"/>
      <c r="J264" s="49" t="n"/>
    </row>
    <row r="265">
      <c r="B265" s="49" t="n"/>
      <c r="C265" s="49" t="n"/>
      <c r="D265" s="49" t="n"/>
      <c r="E265" s="49" t="n"/>
      <c r="F265" s="49" t="n"/>
      <c r="G265" s="49" t="n"/>
      <c r="H265" s="49" t="n"/>
      <c r="I265" s="49" t="n"/>
      <c r="J265" s="49" t="n"/>
    </row>
    <row r="266">
      <c r="B266" s="49" t="n"/>
      <c r="C266" s="49" t="n"/>
      <c r="D266" s="49" t="n"/>
      <c r="E266" s="49" t="n"/>
      <c r="F266" s="49" t="n"/>
      <c r="G266" s="49" t="n"/>
      <c r="H266" s="49" t="n"/>
      <c r="I266" s="49" t="n"/>
      <c r="J266" s="49" t="n"/>
    </row>
    <row r="267">
      <c r="B267" s="49" t="n"/>
      <c r="C267" s="49" t="n"/>
      <c r="D267" s="49" t="n"/>
      <c r="E267" s="49" t="n"/>
      <c r="F267" s="49" t="n"/>
      <c r="G267" s="49" t="n"/>
      <c r="H267" s="49" t="n"/>
      <c r="I267" s="49" t="n"/>
      <c r="J267" s="49" t="n"/>
    </row>
    <row r="268">
      <c r="B268" s="49" t="n"/>
      <c r="C268" s="49" t="n"/>
      <c r="D268" s="49" t="n"/>
      <c r="E268" s="49" t="n"/>
      <c r="F268" s="49" t="n"/>
      <c r="G268" s="49" t="n"/>
      <c r="H268" s="49" t="n"/>
      <c r="I268" s="49" t="n"/>
      <c r="J268" s="49" t="n"/>
    </row>
    <row r="269">
      <c r="B269" s="49" t="n"/>
      <c r="C269" s="49" t="n"/>
      <c r="D269" s="49" t="n"/>
      <c r="E269" s="49" t="n"/>
      <c r="F269" s="49" t="n"/>
      <c r="G269" s="49" t="n"/>
      <c r="H269" s="49" t="n"/>
      <c r="I269" s="49" t="n"/>
      <c r="J269" s="49" t="n"/>
    </row>
    <row r="270">
      <c r="B270" s="49" t="n"/>
      <c r="C270" s="49" t="n"/>
      <c r="D270" s="49" t="n"/>
      <c r="E270" s="49" t="n"/>
      <c r="F270" s="49" t="n"/>
      <c r="G270" s="49" t="n"/>
      <c r="H270" s="49" t="n"/>
      <c r="I270" s="49" t="n"/>
      <c r="J270" s="49" t="n"/>
    </row>
    <row r="271">
      <c r="B271" s="49" t="n"/>
      <c r="C271" s="49" t="n"/>
      <c r="D271" s="49" t="n"/>
      <c r="E271" s="49" t="n"/>
      <c r="F271" s="49" t="n"/>
      <c r="G271" s="49" t="n"/>
      <c r="H271" s="49" t="n"/>
      <c r="I271" s="49" t="n"/>
      <c r="J271" s="49" t="n"/>
    </row>
    <row r="272">
      <c r="B272" s="49" t="n"/>
      <c r="C272" s="49" t="n"/>
      <c r="D272" s="49" t="n"/>
      <c r="E272" s="49" t="n"/>
      <c r="F272" s="49" t="n"/>
      <c r="G272" s="49" t="n"/>
      <c r="H272" s="49" t="n"/>
      <c r="I272" s="49" t="n"/>
      <c r="J272" s="49" t="n"/>
    </row>
    <row r="273">
      <c r="B273" s="49" t="n"/>
      <c r="C273" s="49" t="n"/>
      <c r="D273" s="49" t="n"/>
      <c r="E273" s="49" t="n"/>
      <c r="F273" s="49" t="n"/>
      <c r="G273" s="49" t="n"/>
      <c r="H273" s="49" t="n"/>
      <c r="I273" s="49" t="n"/>
      <c r="J273" s="49" t="n"/>
    </row>
    <row r="274">
      <c r="B274" s="49" t="n"/>
      <c r="C274" s="49" t="n"/>
      <c r="D274" s="49" t="n"/>
      <c r="E274" s="49" t="n"/>
      <c r="F274" s="49" t="n"/>
      <c r="G274" s="49" t="n"/>
      <c r="H274" s="49" t="n"/>
      <c r="I274" s="49" t="n"/>
      <c r="J274" s="49" t="n"/>
    </row>
    <row r="275">
      <c r="B275" s="49" t="n"/>
      <c r="C275" s="49" t="n"/>
      <c r="D275" s="49" t="n"/>
      <c r="E275" s="49" t="n"/>
      <c r="F275" s="49" t="n"/>
      <c r="G275" s="49" t="n"/>
      <c r="H275" s="49" t="n"/>
      <c r="I275" s="49" t="n"/>
      <c r="J275" s="49" t="n"/>
    </row>
    <row r="276">
      <c r="B276" s="49" t="n"/>
      <c r="C276" s="49" t="n"/>
      <c r="D276" s="49" t="n"/>
      <c r="E276" s="49" t="n"/>
      <c r="F276" s="49" t="n"/>
      <c r="G276" s="49" t="n"/>
      <c r="H276" s="49" t="n"/>
      <c r="I276" s="49" t="n"/>
      <c r="J276" s="49" t="n"/>
    </row>
    <row r="277">
      <c r="B277" s="49" t="n"/>
      <c r="C277" s="49" t="n"/>
      <c r="D277" s="49" t="n"/>
      <c r="E277" s="49" t="n"/>
      <c r="F277" s="49" t="n"/>
      <c r="G277" s="49" t="n"/>
      <c r="H277" s="49" t="n"/>
      <c r="I277" s="49" t="n"/>
      <c r="J277" s="49" t="n"/>
    </row>
    <row r="278">
      <c r="B278" s="49" t="n"/>
      <c r="C278" s="49" t="n"/>
      <c r="D278" s="49" t="n"/>
      <c r="E278" s="49" t="n"/>
      <c r="F278" s="49" t="n"/>
      <c r="G278" s="49" t="n"/>
      <c r="H278" s="49" t="n"/>
      <c r="I278" s="49" t="n"/>
      <c r="J278" s="49" t="n"/>
    </row>
    <row r="279">
      <c r="B279" s="49" t="n"/>
      <c r="C279" s="49" t="n"/>
      <c r="D279" s="49" t="n"/>
      <c r="E279" s="49" t="n"/>
      <c r="F279" s="49" t="n"/>
      <c r="G279" s="49" t="n"/>
      <c r="H279" s="49" t="n"/>
      <c r="I279" s="49" t="n"/>
      <c r="J279" s="49" t="n"/>
    </row>
    <row r="280">
      <c r="B280" s="49" t="n"/>
      <c r="C280" s="49" t="n"/>
      <c r="D280" s="49" t="n"/>
      <c r="E280" s="49" t="n"/>
      <c r="F280" s="49" t="n"/>
      <c r="G280" s="49" t="n"/>
      <c r="H280" s="49" t="n"/>
      <c r="I280" s="49" t="n"/>
      <c r="J280" s="49" t="n"/>
    </row>
    <row r="281">
      <c r="B281" s="49" t="n"/>
      <c r="C281" s="49" t="n"/>
      <c r="D281" s="49" t="n"/>
      <c r="E281" s="49" t="n"/>
      <c r="F281" s="49" t="n"/>
      <c r="G281" s="49" t="n"/>
      <c r="H281" s="49" t="n"/>
      <c r="I281" s="49" t="n"/>
      <c r="J281" s="49" t="n"/>
    </row>
    <row r="282">
      <c r="B282" s="49" t="n"/>
      <c r="C282" s="49" t="n"/>
      <c r="D282" s="49" t="n"/>
      <c r="E282" s="49" t="n"/>
      <c r="F282" s="49" t="n"/>
      <c r="G282" s="49" t="n"/>
      <c r="H282" s="49" t="n"/>
      <c r="I282" s="49" t="n"/>
      <c r="J282" s="49" t="n"/>
    </row>
    <row r="283">
      <c r="B283" s="49" t="n"/>
      <c r="C283" s="49" t="n"/>
      <c r="D283" s="49" t="n"/>
      <c r="E283" s="49" t="n"/>
      <c r="F283" s="49" t="n"/>
      <c r="G283" s="49" t="n"/>
      <c r="H283" s="49" t="n"/>
      <c r="I283" s="49" t="n"/>
      <c r="J283" s="49" t="n"/>
    </row>
    <row r="284">
      <c r="B284" s="49" t="n"/>
      <c r="C284" s="49" t="n"/>
      <c r="D284" s="49" t="n"/>
      <c r="E284" s="49" t="n"/>
      <c r="F284" s="49" t="n"/>
      <c r="G284" s="49" t="n"/>
      <c r="H284" s="49" t="n"/>
      <c r="I284" s="49" t="n"/>
      <c r="J284" s="49" t="n"/>
    </row>
    <row r="285">
      <c r="B285" s="49" t="n"/>
      <c r="C285" s="49" t="n"/>
      <c r="D285" s="49" t="n"/>
      <c r="E285" s="49" t="n"/>
      <c r="F285" s="49" t="n"/>
      <c r="G285" s="49" t="n"/>
      <c r="H285" s="49" t="n"/>
      <c r="I285" s="49" t="n"/>
      <c r="J285" s="49" t="n"/>
    </row>
    <row r="286">
      <c r="B286" s="49" t="n"/>
      <c r="C286" s="49" t="n"/>
      <c r="D286" s="49" t="n"/>
      <c r="E286" s="49" t="n"/>
      <c r="F286" s="49" t="n"/>
      <c r="G286" s="49" t="n"/>
      <c r="H286" s="49" t="n"/>
      <c r="I286" s="49" t="n"/>
      <c r="J286" s="49" t="n"/>
    </row>
    <row r="287">
      <c r="B287" s="49" t="n"/>
      <c r="C287" s="49" t="n"/>
      <c r="D287" s="49" t="n"/>
      <c r="E287" s="49" t="n"/>
      <c r="F287" s="49" t="n"/>
      <c r="G287" s="49" t="n"/>
      <c r="H287" s="49" t="n"/>
      <c r="I287" s="49" t="n"/>
      <c r="J287" s="49" t="n"/>
    </row>
    <row r="288">
      <c r="B288" s="49" t="n"/>
      <c r="C288" s="49" t="n"/>
      <c r="D288" s="49" t="n"/>
      <c r="E288" s="49" t="n"/>
      <c r="F288" s="49" t="n"/>
      <c r="G288" s="49" t="n"/>
      <c r="H288" s="49" t="n"/>
      <c r="I288" s="49" t="n"/>
      <c r="J288" s="49" t="n"/>
    </row>
    <row r="289">
      <c r="B289" s="49" t="n"/>
      <c r="C289" s="49" t="n"/>
      <c r="D289" s="49" t="n"/>
      <c r="E289" s="49" t="n"/>
      <c r="F289" s="49" t="n"/>
      <c r="G289" s="49" t="n"/>
      <c r="H289" s="49" t="n"/>
      <c r="I289" s="49" t="n"/>
      <c r="J289" s="49" t="n"/>
    </row>
    <row r="290">
      <c r="B290" s="49" t="n"/>
      <c r="C290" s="49" t="n"/>
      <c r="D290" s="49" t="n"/>
      <c r="E290" s="49" t="n"/>
      <c r="F290" s="49" t="n"/>
      <c r="G290" s="49" t="n"/>
      <c r="H290" s="49" t="n"/>
      <c r="I290" s="49" t="n"/>
      <c r="J290" s="49" t="n"/>
    </row>
    <row r="291">
      <c r="B291" s="49" t="n"/>
      <c r="C291" s="49" t="n"/>
      <c r="D291" s="49" t="n"/>
      <c r="E291" s="49" t="n"/>
      <c r="F291" s="49" t="n"/>
      <c r="G291" s="49" t="n"/>
      <c r="H291" s="49" t="n"/>
      <c r="I291" s="49" t="n"/>
      <c r="J291" s="49" t="n"/>
    </row>
    <row r="292">
      <c r="B292" s="49" t="n"/>
      <c r="C292" s="49" t="n"/>
      <c r="D292" s="49" t="n"/>
      <c r="E292" s="49" t="n"/>
      <c r="F292" s="49" t="n"/>
      <c r="G292" s="49" t="n"/>
      <c r="H292" s="49" t="n"/>
      <c r="I292" s="49" t="n"/>
      <c r="J292" s="49" t="n"/>
    </row>
    <row r="293">
      <c r="B293" s="49" t="n"/>
      <c r="C293" s="49" t="n"/>
      <c r="D293" s="49" t="n"/>
      <c r="E293" s="49" t="n"/>
      <c r="F293" s="49" t="n"/>
      <c r="G293" s="49" t="n"/>
      <c r="H293" s="49" t="n"/>
      <c r="I293" s="49" t="n"/>
      <c r="J293" s="49" t="n"/>
    </row>
    <row r="294">
      <c r="B294" s="49" t="n"/>
      <c r="C294" s="49" t="n"/>
      <c r="D294" s="49" t="n"/>
      <c r="E294" s="49" t="n"/>
      <c r="F294" s="49" t="n"/>
      <c r="G294" s="49" t="n"/>
      <c r="H294" s="49" t="n"/>
      <c r="I294" s="49" t="n"/>
      <c r="J294" s="49" t="n"/>
    </row>
    <row r="295">
      <c r="B295" s="49" t="n"/>
      <c r="C295" s="49" t="n"/>
      <c r="D295" s="49" t="n"/>
      <c r="E295" s="49" t="n"/>
      <c r="F295" s="49" t="n"/>
      <c r="G295" s="49" t="n"/>
      <c r="H295" s="49" t="n"/>
      <c r="I295" s="49" t="n"/>
      <c r="J295" s="49" t="n"/>
    </row>
    <row r="296">
      <c r="B296" s="49" t="n"/>
      <c r="C296" s="49" t="n"/>
      <c r="D296" s="49" t="n"/>
      <c r="E296" s="49" t="n"/>
      <c r="F296" s="49" t="n"/>
      <c r="G296" s="49" t="n"/>
      <c r="H296" s="49" t="n"/>
      <c r="I296" s="49" t="n"/>
      <c r="J296" s="49" t="n"/>
    </row>
    <row r="297">
      <c r="B297" s="49" t="n"/>
      <c r="C297" s="49" t="n"/>
      <c r="D297" s="49" t="n"/>
      <c r="E297" s="49" t="n"/>
      <c r="F297" s="49" t="n"/>
      <c r="G297" s="49" t="n"/>
      <c r="H297" s="49" t="n"/>
      <c r="I297" s="49" t="n"/>
      <c r="J297" s="49" t="n"/>
    </row>
    <row r="298">
      <c r="B298" s="49" t="n"/>
      <c r="C298" s="49" t="n"/>
      <c r="D298" s="49" t="n"/>
      <c r="E298" s="49" t="n"/>
      <c r="F298" s="49" t="n"/>
      <c r="G298" s="49" t="n"/>
      <c r="H298" s="49" t="n"/>
      <c r="I298" s="49" t="n"/>
      <c r="J298" s="49" t="n"/>
    </row>
    <row r="299">
      <c r="B299" s="49" t="n"/>
      <c r="C299" s="49" t="n"/>
      <c r="D299" s="49" t="n"/>
      <c r="E299" s="49" t="n"/>
      <c r="F299" s="49" t="n"/>
      <c r="G299" s="49" t="n"/>
      <c r="H299" s="49" t="n"/>
      <c r="I299" s="49" t="n"/>
      <c r="J299" s="49" t="n"/>
    </row>
    <row r="300">
      <c r="B300" s="49" t="n"/>
      <c r="C300" s="49" t="n"/>
      <c r="D300" s="49" t="n"/>
      <c r="E300" s="49" t="n"/>
      <c r="F300" s="49" t="n"/>
      <c r="G300" s="49" t="n"/>
      <c r="H300" s="49" t="n"/>
      <c r="I300" s="49" t="n"/>
      <c r="J300" s="49" t="n"/>
    </row>
    <row r="301">
      <c r="B301" s="49" t="n"/>
      <c r="C301" s="49" t="n"/>
      <c r="D301" s="49" t="n"/>
      <c r="E301" s="49" t="n"/>
      <c r="F301" s="49" t="n"/>
      <c r="G301" s="49" t="n"/>
      <c r="H301" s="49" t="n"/>
      <c r="I301" s="49" t="n"/>
      <c r="J301" s="49" t="n"/>
    </row>
    <row r="302">
      <c r="B302" s="49" t="n"/>
      <c r="C302" s="49" t="n"/>
      <c r="D302" s="49" t="n"/>
      <c r="E302" s="49" t="n"/>
      <c r="F302" s="49" t="n"/>
      <c r="G302" s="49" t="n"/>
      <c r="H302" s="49" t="n"/>
      <c r="I302" s="49" t="n"/>
      <c r="J302" s="49" t="n"/>
    </row>
    <row r="303">
      <c r="B303" s="49" t="n"/>
      <c r="C303" s="49" t="n"/>
      <c r="D303" s="49" t="n"/>
      <c r="E303" s="49" t="n"/>
      <c r="F303" s="49" t="n"/>
      <c r="G303" s="49" t="n"/>
      <c r="H303" s="49" t="n"/>
      <c r="I303" s="49" t="n"/>
      <c r="J303" s="49" t="n"/>
    </row>
    <row r="304">
      <c r="B304" s="49" t="n"/>
      <c r="C304" s="49" t="n"/>
      <c r="D304" s="49" t="n"/>
      <c r="E304" s="49" t="n"/>
      <c r="F304" s="49" t="n"/>
      <c r="G304" s="49" t="n"/>
      <c r="H304" s="49" t="n"/>
      <c r="I304" s="49" t="n"/>
      <c r="J304" s="49" t="n"/>
    </row>
    <row r="305">
      <c r="B305" s="49" t="n"/>
      <c r="C305" s="49" t="n"/>
      <c r="D305" s="49" t="n"/>
      <c r="E305" s="49" t="n"/>
      <c r="F305" s="49" t="n"/>
      <c r="G305" s="49" t="n"/>
      <c r="H305" s="49" t="n"/>
      <c r="I305" s="49" t="n"/>
      <c r="J305" s="49" t="n"/>
    </row>
    <row r="306">
      <c r="B306" s="49" t="n"/>
      <c r="C306" s="49" t="n"/>
      <c r="D306" s="49" t="n"/>
      <c r="E306" s="49" t="n"/>
      <c r="F306" s="49" t="n"/>
      <c r="G306" s="49" t="n"/>
      <c r="H306" s="49" t="n"/>
      <c r="I306" s="49" t="n"/>
      <c r="J306" s="49" t="n"/>
    </row>
    <row r="307">
      <c r="B307" s="49" t="n"/>
      <c r="C307" s="49" t="n"/>
      <c r="D307" s="49" t="n"/>
      <c r="E307" s="49" t="n"/>
      <c r="F307" s="49" t="n"/>
      <c r="G307" s="49" t="n"/>
      <c r="H307" s="49" t="n"/>
      <c r="I307" s="49" t="n"/>
      <c r="J307" s="49" t="n"/>
    </row>
    <row r="308">
      <c r="B308" s="49" t="n"/>
      <c r="C308" s="49" t="n"/>
      <c r="D308" s="49" t="n"/>
      <c r="E308" s="49" t="n"/>
      <c r="F308" s="49" t="n"/>
      <c r="G308" s="49" t="n"/>
      <c r="H308" s="49" t="n"/>
      <c r="I308" s="49" t="n"/>
      <c r="J308" s="49" t="n"/>
    </row>
    <row r="309">
      <c r="B309" s="49" t="n"/>
      <c r="C309" s="49" t="n"/>
      <c r="D309" s="49" t="n"/>
      <c r="E309" s="49" t="n"/>
      <c r="F309" s="49" t="n"/>
      <c r="G309" s="49" t="n"/>
      <c r="H309" s="49" t="n"/>
      <c r="I309" s="49" t="n"/>
      <c r="J309" s="49" t="n"/>
    </row>
    <row r="310">
      <c r="B310" s="49" t="n"/>
      <c r="C310" s="49" t="n"/>
      <c r="D310" s="49" t="n"/>
      <c r="E310" s="49" t="n"/>
      <c r="F310" s="49" t="n"/>
      <c r="G310" s="49" t="n"/>
      <c r="H310" s="49" t="n"/>
      <c r="I310" s="49" t="n"/>
      <c r="J310" s="49" t="n"/>
    </row>
    <row r="311">
      <c r="B311" s="49" t="n"/>
      <c r="C311" s="49" t="n"/>
      <c r="D311" s="49" t="n"/>
      <c r="E311" s="49" t="n"/>
      <c r="F311" s="49" t="n"/>
      <c r="G311" s="49" t="n"/>
      <c r="H311" s="49" t="n"/>
      <c r="I311" s="49" t="n"/>
      <c r="J311" s="49" t="n"/>
    </row>
    <row r="312">
      <c r="B312" s="49" t="n"/>
      <c r="C312" s="49" t="n"/>
      <c r="D312" s="49" t="n"/>
      <c r="E312" s="49" t="n"/>
      <c r="F312" s="49" t="n"/>
      <c r="G312" s="49" t="n"/>
      <c r="H312" s="49" t="n"/>
      <c r="I312" s="49" t="n"/>
      <c r="J312" s="49" t="n"/>
    </row>
    <row r="313">
      <c r="B313" s="49" t="n"/>
      <c r="C313" s="49" t="n"/>
      <c r="D313" s="49" t="n"/>
      <c r="E313" s="49" t="n"/>
      <c r="F313" s="49" t="n"/>
      <c r="G313" s="49" t="n"/>
      <c r="H313" s="49" t="n"/>
      <c r="I313" s="49" t="n"/>
      <c r="J313" s="49" t="n"/>
    </row>
    <row r="314">
      <c r="B314" s="49" t="n"/>
      <c r="C314" s="49" t="n"/>
      <c r="D314" s="49" t="n"/>
      <c r="E314" s="49" t="n"/>
      <c r="F314" s="49" t="n"/>
      <c r="G314" s="49" t="n"/>
      <c r="H314" s="49" t="n"/>
      <c r="I314" s="49" t="n"/>
      <c r="J314" s="49" t="n"/>
    </row>
    <row r="315">
      <c r="B315" s="49" t="n"/>
      <c r="C315" s="49" t="n"/>
      <c r="D315" s="49" t="n"/>
      <c r="E315" s="49" t="n"/>
      <c r="F315" s="49" t="n"/>
      <c r="G315" s="49" t="n"/>
      <c r="H315" s="49" t="n"/>
      <c r="I315" s="49" t="n"/>
      <c r="J315" s="49" t="n"/>
    </row>
    <row r="316">
      <c r="B316" s="49" t="n"/>
      <c r="C316" s="49" t="n"/>
      <c r="D316" s="49" t="n"/>
      <c r="E316" s="49" t="n"/>
      <c r="F316" s="49" t="n"/>
      <c r="G316" s="49" t="n"/>
      <c r="H316" s="49" t="n"/>
      <c r="I316" s="49" t="n"/>
      <c r="J316" s="49" t="n"/>
    </row>
    <row r="317">
      <c r="B317" s="49" t="n"/>
      <c r="C317" s="49" t="n"/>
      <c r="D317" s="49" t="n"/>
      <c r="E317" s="49" t="n"/>
      <c r="F317" s="49" t="n"/>
      <c r="G317" s="49" t="n"/>
      <c r="H317" s="49" t="n"/>
      <c r="I317" s="49" t="n"/>
      <c r="J317" s="49" t="n"/>
    </row>
    <row r="318">
      <c r="B318" s="49" t="n"/>
      <c r="C318" s="49" t="n"/>
      <c r="D318" s="49" t="n"/>
      <c r="E318" s="49" t="n"/>
      <c r="F318" s="49" t="n"/>
      <c r="G318" s="49" t="n"/>
      <c r="H318" s="49" t="n"/>
      <c r="I318" s="49" t="n"/>
      <c r="J318" s="49" t="n"/>
    </row>
    <row r="319">
      <c r="B319" s="49" t="n"/>
      <c r="C319" s="49" t="n"/>
      <c r="D319" s="49" t="n"/>
      <c r="E319" s="49" t="n"/>
      <c r="F319" s="49" t="n"/>
      <c r="G319" s="49" t="n"/>
      <c r="H319" s="49" t="n"/>
      <c r="I319" s="49" t="n"/>
      <c r="J319" s="49" t="n"/>
    </row>
    <row r="320">
      <c r="B320" s="49" t="n"/>
      <c r="C320" s="49" t="n"/>
      <c r="D320" s="49" t="n"/>
      <c r="E320" s="49" t="n"/>
      <c r="F320" s="49" t="n"/>
      <c r="G320" s="49" t="n"/>
      <c r="H320" s="49" t="n"/>
      <c r="I320" s="49" t="n"/>
      <c r="J320" s="49" t="n"/>
    </row>
    <row r="321">
      <c r="B321" s="49" t="n"/>
      <c r="C321" s="49" t="n"/>
      <c r="D321" s="49" t="n"/>
      <c r="E321" s="49" t="n"/>
      <c r="F321" s="49" t="n"/>
      <c r="G321" s="49" t="n"/>
      <c r="H321" s="49" t="n"/>
      <c r="I321" s="49" t="n"/>
      <c r="J321" s="49" t="n"/>
    </row>
    <row r="322">
      <c r="B322" s="49" t="n"/>
      <c r="C322" s="49" t="n"/>
      <c r="D322" s="49" t="n"/>
      <c r="E322" s="49" t="n"/>
      <c r="F322" s="49" t="n"/>
      <c r="G322" s="49" t="n"/>
      <c r="H322" s="49" t="n"/>
      <c r="I322" s="49" t="n"/>
      <c r="J322" s="49" t="n"/>
    </row>
    <row r="323">
      <c r="B323" s="49" t="n"/>
      <c r="C323" s="49" t="n"/>
      <c r="D323" s="49" t="n"/>
      <c r="E323" s="49" t="n"/>
      <c r="F323" s="49" t="n"/>
      <c r="G323" s="49" t="n"/>
      <c r="H323" s="49" t="n"/>
      <c r="I323" s="49" t="n"/>
      <c r="J323" s="49" t="n"/>
    </row>
    <row r="324">
      <c r="B324" s="49" t="n"/>
      <c r="C324" s="49" t="n"/>
      <c r="D324" s="49" t="n"/>
      <c r="E324" s="49" t="n"/>
      <c r="F324" s="49" t="n"/>
      <c r="G324" s="49" t="n"/>
      <c r="H324" s="49" t="n"/>
      <c r="I324" s="49" t="n"/>
      <c r="J324" s="49" t="n"/>
    </row>
    <row r="325">
      <c r="B325" s="49" t="n"/>
      <c r="C325" s="49" t="n"/>
      <c r="D325" s="49" t="n"/>
      <c r="E325" s="49" t="n"/>
      <c r="F325" s="49" t="n"/>
      <c r="G325" s="49" t="n"/>
      <c r="H325" s="49" t="n"/>
      <c r="I325" s="49" t="n"/>
      <c r="J325" s="49" t="n"/>
    </row>
    <row r="326">
      <c r="B326" s="49" t="n"/>
      <c r="C326" s="49" t="n"/>
      <c r="D326" s="49" t="n"/>
      <c r="E326" s="49" t="n"/>
      <c r="F326" s="49" t="n"/>
      <c r="G326" s="49" t="n"/>
      <c r="H326" s="49" t="n"/>
      <c r="I326" s="49" t="n"/>
      <c r="J326" s="49" t="n"/>
    </row>
    <row r="327">
      <c r="B327" s="49" t="n"/>
      <c r="C327" s="49" t="n"/>
      <c r="D327" s="49" t="n"/>
      <c r="E327" s="49" t="n"/>
      <c r="F327" s="49" t="n"/>
      <c r="G327" s="49" t="n"/>
      <c r="H327" s="49" t="n"/>
      <c r="I327" s="49" t="n"/>
      <c r="J327" s="49" t="n"/>
    </row>
    <row r="328">
      <c r="B328" s="49" t="n"/>
      <c r="C328" s="49" t="n"/>
      <c r="D328" s="49" t="n"/>
      <c r="E328" s="49" t="n"/>
      <c r="F328" s="49" t="n"/>
      <c r="G328" s="49" t="n"/>
      <c r="H328" s="49" t="n"/>
      <c r="I328" s="49" t="n"/>
      <c r="J328" s="49" t="n"/>
    </row>
    <row r="329">
      <c r="B329" s="49" t="n"/>
      <c r="C329" s="49" t="n"/>
      <c r="D329" s="49" t="n"/>
      <c r="E329" s="49" t="n"/>
      <c r="F329" s="49" t="n"/>
      <c r="G329" s="49" t="n"/>
      <c r="H329" s="49" t="n"/>
      <c r="I329" s="49" t="n"/>
      <c r="J329" s="49" t="n"/>
    </row>
    <row r="330">
      <c r="B330" s="49" t="n"/>
      <c r="C330" s="49" t="n"/>
      <c r="D330" s="49" t="n"/>
      <c r="E330" s="49" t="n"/>
      <c r="F330" s="49" t="n"/>
      <c r="G330" s="49" t="n"/>
      <c r="H330" s="49" t="n"/>
      <c r="I330" s="49" t="n"/>
      <c r="J330" s="49" t="n"/>
    </row>
    <row r="331">
      <c r="B331" s="49" t="n"/>
      <c r="C331" s="49" t="n"/>
      <c r="D331" s="49" t="n"/>
      <c r="E331" s="49" t="n"/>
      <c r="F331" s="49" t="n"/>
      <c r="G331" s="49" t="n"/>
      <c r="H331" s="49" t="n"/>
      <c r="I331" s="49" t="n"/>
      <c r="J331" s="49" t="n"/>
    </row>
    <row r="332">
      <c r="B332" s="49" t="n"/>
      <c r="C332" s="49" t="n"/>
      <c r="D332" s="49" t="n"/>
      <c r="E332" s="49" t="n"/>
      <c r="F332" s="49" t="n"/>
      <c r="G332" s="49" t="n"/>
      <c r="H332" s="49" t="n"/>
      <c r="I332" s="49" t="n"/>
      <c r="J332" s="49" t="n"/>
    </row>
    <row r="333">
      <c r="B333" s="49" t="n"/>
      <c r="C333" s="49" t="n"/>
      <c r="D333" s="49" t="n"/>
      <c r="E333" s="49" t="n"/>
      <c r="F333" s="49" t="n"/>
      <c r="G333" s="49" t="n"/>
      <c r="H333" s="49" t="n"/>
      <c r="I333" s="49" t="n"/>
      <c r="J333" s="49" t="n"/>
    </row>
    <row r="334">
      <c r="B334" s="49" t="n"/>
      <c r="C334" s="49" t="n"/>
      <c r="D334" s="49" t="n"/>
      <c r="E334" s="49" t="n"/>
      <c r="F334" s="49" t="n"/>
      <c r="G334" s="49" t="n"/>
      <c r="H334" s="49" t="n"/>
      <c r="I334" s="49" t="n"/>
      <c r="J334" s="49" t="n"/>
    </row>
    <row r="335">
      <c r="B335" s="49" t="n"/>
      <c r="C335" s="49" t="n"/>
      <c r="D335" s="49" t="n"/>
      <c r="E335" s="49" t="n"/>
      <c r="F335" s="49" t="n"/>
      <c r="G335" s="49" t="n"/>
      <c r="H335" s="49" t="n"/>
      <c r="I335" s="49" t="n"/>
      <c r="J335" s="49" t="n"/>
    </row>
    <row r="336">
      <c r="B336" s="49" t="n"/>
      <c r="C336" s="49" t="n"/>
      <c r="D336" s="49" t="n"/>
      <c r="E336" s="49" t="n"/>
      <c r="F336" s="49" t="n"/>
      <c r="G336" s="49" t="n"/>
      <c r="H336" s="49" t="n"/>
      <c r="I336" s="49" t="n"/>
      <c r="J336" s="49" t="n"/>
    </row>
    <row r="337">
      <c r="B337" s="49" t="n"/>
      <c r="C337" s="49" t="n"/>
      <c r="D337" s="49" t="n"/>
      <c r="E337" s="49" t="n"/>
      <c r="F337" s="49" t="n"/>
      <c r="G337" s="49" t="n"/>
      <c r="H337" s="49" t="n"/>
      <c r="I337" s="49" t="n"/>
      <c r="J337" s="49" t="n"/>
    </row>
    <row r="338">
      <c r="B338" s="49" t="n"/>
      <c r="C338" s="49" t="n"/>
      <c r="D338" s="49" t="n"/>
      <c r="E338" s="49" t="n"/>
      <c r="F338" s="49" t="n"/>
      <c r="G338" s="49" t="n"/>
      <c r="H338" s="49" t="n"/>
      <c r="I338" s="49" t="n"/>
      <c r="J338" s="49" t="n"/>
    </row>
    <row r="339">
      <c r="B339" s="49" t="n"/>
      <c r="C339" s="49" t="n"/>
      <c r="D339" s="49" t="n"/>
      <c r="E339" s="49" t="n"/>
      <c r="F339" s="49" t="n"/>
      <c r="G339" s="49" t="n"/>
      <c r="H339" s="49" t="n"/>
      <c r="I339" s="49" t="n"/>
      <c r="J339" s="49" t="n"/>
    </row>
    <row r="340">
      <c r="B340" s="49" t="n"/>
      <c r="C340" s="49" t="n"/>
      <c r="D340" s="49" t="n"/>
      <c r="E340" s="49" t="n"/>
      <c r="F340" s="49" t="n"/>
      <c r="G340" s="49" t="n"/>
      <c r="H340" s="49" t="n"/>
      <c r="I340" s="49" t="n"/>
      <c r="J340" s="49" t="n"/>
    </row>
    <row r="341">
      <c r="B341" s="49" t="n"/>
      <c r="C341" s="49" t="n"/>
      <c r="D341" s="49" t="n"/>
      <c r="E341" s="49" t="n"/>
      <c r="F341" s="49" t="n"/>
      <c r="G341" s="49" t="n"/>
      <c r="H341" s="49" t="n"/>
      <c r="I341" s="49" t="n"/>
      <c r="J341" s="49" t="n"/>
    </row>
    <row r="342">
      <c r="B342" s="49" t="n"/>
      <c r="C342" s="49" t="n"/>
      <c r="D342" s="49" t="n"/>
      <c r="E342" s="49" t="n"/>
      <c r="F342" s="49" t="n"/>
      <c r="G342" s="49" t="n"/>
      <c r="H342" s="49" t="n"/>
      <c r="I342" s="49" t="n"/>
      <c r="J342" s="49" t="n"/>
    </row>
    <row r="343">
      <c r="B343" s="49" t="n"/>
      <c r="C343" s="49" t="n"/>
      <c r="D343" s="49" t="n"/>
      <c r="E343" s="49" t="n"/>
      <c r="F343" s="49" t="n"/>
      <c r="G343" s="49" t="n"/>
      <c r="H343" s="49" t="n"/>
      <c r="I343" s="49" t="n"/>
      <c r="J343" s="49" t="n"/>
    </row>
    <row r="344">
      <c r="B344" s="49" t="n"/>
      <c r="C344" s="49" t="n"/>
      <c r="D344" s="49" t="n"/>
      <c r="E344" s="49" t="n"/>
      <c r="F344" s="49" t="n"/>
      <c r="G344" s="49" t="n"/>
      <c r="H344" s="49" t="n"/>
      <c r="I344" s="49" t="n"/>
      <c r="J344" s="49" t="n"/>
    </row>
    <row r="345">
      <c r="B345" s="49" t="n"/>
      <c r="C345" s="49" t="n"/>
      <c r="D345" s="49" t="n"/>
      <c r="E345" s="49" t="n"/>
      <c r="F345" s="49" t="n"/>
      <c r="G345" s="49" t="n"/>
      <c r="H345" s="49" t="n"/>
      <c r="I345" s="49" t="n"/>
      <c r="J345" s="49" t="n"/>
    </row>
    <row r="346">
      <c r="B346" s="49" t="n"/>
      <c r="C346" s="49" t="n"/>
      <c r="D346" s="49" t="n"/>
      <c r="E346" s="49" t="n"/>
      <c r="F346" s="49" t="n"/>
      <c r="G346" s="49" t="n"/>
      <c r="H346" s="49" t="n"/>
      <c r="I346" s="49" t="n"/>
      <c r="J346" s="49" t="n"/>
    </row>
    <row r="347">
      <c r="B347" s="49" t="n"/>
      <c r="C347" s="49" t="n"/>
      <c r="D347" s="49" t="n"/>
      <c r="E347" s="49" t="n"/>
      <c r="F347" s="49" t="n"/>
      <c r="G347" s="49" t="n"/>
      <c r="H347" s="49" t="n"/>
      <c r="I347" s="49" t="n"/>
      <c r="J347" s="49" t="n"/>
    </row>
    <row r="348">
      <c r="B348" s="49" t="n"/>
      <c r="C348" s="49" t="n"/>
      <c r="D348" s="49" t="n"/>
      <c r="E348" s="49" t="n"/>
      <c r="F348" s="49" t="n"/>
      <c r="G348" s="49" t="n"/>
      <c r="H348" s="49" t="n"/>
      <c r="I348" s="49" t="n"/>
      <c r="J348" s="49" t="n"/>
    </row>
    <row r="349">
      <c r="B349" s="49" t="n"/>
      <c r="C349" s="49" t="n"/>
      <c r="D349" s="49" t="n"/>
      <c r="E349" s="49" t="n"/>
      <c r="F349" s="49" t="n"/>
      <c r="G349" s="49" t="n"/>
      <c r="H349" s="49" t="n"/>
      <c r="I349" s="49" t="n"/>
      <c r="J349" s="49" t="n"/>
    </row>
    <row r="350">
      <c r="B350" s="49" t="n"/>
      <c r="C350" s="49" t="n"/>
      <c r="D350" s="49" t="n"/>
      <c r="E350" s="49" t="n"/>
      <c r="F350" s="49" t="n"/>
      <c r="G350" s="49" t="n"/>
      <c r="H350" s="49" t="n"/>
      <c r="I350" s="49" t="n"/>
      <c r="J350" s="49" t="n"/>
    </row>
    <row r="351">
      <c r="B351" s="49" t="n"/>
      <c r="C351" s="49" t="n"/>
      <c r="D351" s="49" t="n"/>
      <c r="E351" s="49" t="n"/>
      <c r="F351" s="49" t="n"/>
      <c r="G351" s="49" t="n"/>
      <c r="H351" s="49" t="n"/>
      <c r="I351" s="49" t="n"/>
      <c r="J351" s="49" t="n"/>
    </row>
    <row r="352">
      <c r="B352" s="49" t="n"/>
      <c r="C352" s="49" t="n"/>
      <c r="D352" s="49" t="n"/>
      <c r="E352" s="49" t="n"/>
      <c r="F352" s="49" t="n"/>
      <c r="G352" s="49" t="n"/>
      <c r="H352" s="49" t="n"/>
      <c r="I352" s="49" t="n"/>
      <c r="J352" s="49" t="n"/>
    </row>
    <row r="353">
      <c r="B353" s="49" t="n"/>
      <c r="C353" s="49" t="n"/>
      <c r="D353" s="49" t="n"/>
      <c r="E353" s="49" t="n"/>
      <c r="F353" s="49" t="n"/>
      <c r="G353" s="49" t="n"/>
      <c r="H353" s="49" t="n"/>
      <c r="I353" s="49" t="n"/>
      <c r="J353" s="49" t="n"/>
    </row>
    <row r="354">
      <c r="B354" s="49" t="n"/>
      <c r="C354" s="49" t="n"/>
      <c r="D354" s="49" t="n"/>
      <c r="E354" s="49" t="n"/>
      <c r="F354" s="49" t="n"/>
      <c r="G354" s="49" t="n"/>
      <c r="H354" s="49" t="n"/>
      <c r="I354" s="49" t="n"/>
      <c r="J354" s="49" t="n"/>
    </row>
    <row r="355">
      <c r="B355" s="49" t="n"/>
      <c r="C355" s="49" t="n"/>
      <c r="D355" s="49" t="n"/>
      <c r="E355" s="49" t="n"/>
      <c r="F355" s="49" t="n"/>
      <c r="G355" s="49" t="n"/>
      <c r="H355" s="49" t="n"/>
      <c r="I355" s="49" t="n"/>
      <c r="J355" s="49" t="n"/>
    </row>
    <row r="356">
      <c r="B356" s="49" t="n"/>
      <c r="C356" s="49" t="n"/>
      <c r="D356" s="49" t="n"/>
      <c r="E356" s="49" t="n"/>
      <c r="F356" s="49" t="n"/>
      <c r="G356" s="49" t="n"/>
      <c r="H356" s="49" t="n"/>
      <c r="I356" s="49" t="n"/>
      <c r="J356" s="49" t="n"/>
    </row>
    <row r="357">
      <c r="B357" s="49" t="n"/>
      <c r="C357" s="49" t="n"/>
      <c r="D357" s="49" t="n"/>
      <c r="E357" s="49" t="n"/>
      <c r="F357" s="49" t="n"/>
      <c r="G357" s="49" t="n"/>
      <c r="H357" s="49" t="n"/>
      <c r="I357" s="49" t="n"/>
      <c r="J357" s="49" t="n"/>
    </row>
    <row r="358">
      <c r="B358" s="49" t="n"/>
      <c r="C358" s="49" t="n"/>
      <c r="D358" s="49" t="n"/>
      <c r="E358" s="49" t="n"/>
      <c r="F358" s="49" t="n"/>
      <c r="G358" s="49" t="n"/>
      <c r="H358" s="49" t="n"/>
      <c r="I358" s="49" t="n"/>
      <c r="J358" s="49" t="n"/>
    </row>
    <row r="359">
      <c r="B359" s="49" t="n"/>
      <c r="C359" s="49" t="n"/>
      <c r="D359" s="49" t="n"/>
      <c r="E359" s="49" t="n"/>
      <c r="F359" s="49" t="n"/>
      <c r="G359" s="49" t="n"/>
      <c r="H359" s="49" t="n"/>
      <c r="I359" s="49" t="n"/>
      <c r="J359" s="49" t="n"/>
    </row>
    <row r="360">
      <c r="B360" s="49" t="n"/>
      <c r="C360" s="49" t="n"/>
      <c r="D360" s="49" t="n"/>
      <c r="E360" s="49" t="n"/>
      <c r="F360" s="49" t="n"/>
      <c r="G360" s="49" t="n"/>
      <c r="H360" s="49" t="n"/>
      <c r="I360" s="49" t="n"/>
      <c r="J360" s="49" t="n"/>
    </row>
    <row r="361">
      <c r="B361" s="49" t="n"/>
      <c r="C361" s="49" t="n"/>
      <c r="D361" s="49" t="n"/>
      <c r="E361" s="49" t="n"/>
      <c r="F361" s="49" t="n"/>
      <c r="G361" s="49" t="n"/>
      <c r="H361" s="49" t="n"/>
      <c r="I361" s="49" t="n"/>
      <c r="J361" s="49" t="n"/>
    </row>
    <row r="362">
      <c r="B362" s="49" t="n"/>
      <c r="C362" s="49" t="n"/>
      <c r="D362" s="49" t="n"/>
      <c r="E362" s="49" t="n"/>
      <c r="F362" s="49" t="n"/>
      <c r="G362" s="49" t="n"/>
      <c r="H362" s="49" t="n"/>
      <c r="I362" s="49" t="n"/>
      <c r="J362" s="49" t="n"/>
    </row>
    <row r="363">
      <c r="B363" s="49" t="n"/>
      <c r="C363" s="49" t="n"/>
      <c r="D363" s="49" t="n"/>
      <c r="E363" s="49" t="n"/>
      <c r="F363" s="49" t="n"/>
      <c r="G363" s="49" t="n"/>
      <c r="H363" s="49" t="n"/>
      <c r="I363" s="49" t="n"/>
      <c r="J363" s="49" t="n"/>
    </row>
    <row r="364">
      <c r="B364" s="49" t="n"/>
      <c r="C364" s="49" t="n"/>
      <c r="D364" s="49" t="n"/>
      <c r="E364" s="49" t="n"/>
      <c r="F364" s="49" t="n"/>
      <c r="G364" s="49" t="n"/>
      <c r="H364" s="49" t="n"/>
      <c r="I364" s="49" t="n"/>
      <c r="J364" s="49" t="n"/>
    </row>
    <row r="365">
      <c r="B365" s="49" t="n"/>
      <c r="C365" s="49" t="n"/>
      <c r="D365" s="49" t="n"/>
      <c r="E365" s="49" t="n"/>
      <c r="F365" s="49" t="n"/>
      <c r="G365" s="49" t="n"/>
      <c r="H365" s="49" t="n"/>
      <c r="I365" s="49" t="n"/>
      <c r="J365" s="49" t="n"/>
    </row>
    <row r="366">
      <c r="B366" s="49" t="n"/>
      <c r="C366" s="49" t="n"/>
      <c r="D366" s="49" t="n"/>
      <c r="E366" s="49" t="n"/>
      <c r="F366" s="49" t="n"/>
      <c r="G366" s="49" t="n"/>
      <c r="H366" s="49" t="n"/>
      <c r="I366" s="49" t="n"/>
      <c r="J366" s="49" t="n"/>
    </row>
    <row r="367">
      <c r="B367" s="49" t="n"/>
      <c r="C367" s="49" t="n"/>
      <c r="D367" s="49" t="n"/>
      <c r="E367" s="49" t="n"/>
      <c r="F367" s="49" t="n"/>
      <c r="G367" s="49" t="n"/>
      <c r="H367" s="49" t="n"/>
      <c r="I367" s="49" t="n"/>
      <c r="J367" s="49" t="n"/>
    </row>
    <row r="368">
      <c r="B368" s="49" t="n"/>
      <c r="C368" s="49" t="n"/>
      <c r="D368" s="49" t="n"/>
      <c r="E368" s="49" t="n"/>
      <c r="F368" s="49" t="n"/>
      <c r="G368" s="49" t="n"/>
      <c r="H368" s="49" t="n"/>
      <c r="I368" s="49" t="n"/>
      <c r="J368" s="49" t="n"/>
    </row>
    <row r="369">
      <c r="B369" s="49" t="n"/>
      <c r="C369" s="49" t="n"/>
      <c r="D369" s="49" t="n"/>
      <c r="E369" s="49" t="n"/>
      <c r="F369" s="49" t="n"/>
      <c r="G369" s="49" t="n"/>
      <c r="H369" s="49" t="n"/>
      <c r="I369" s="49" t="n"/>
      <c r="J369" s="49" t="n"/>
    </row>
    <row r="370">
      <c r="B370" s="49" t="n"/>
      <c r="C370" s="49" t="n"/>
      <c r="D370" s="49" t="n"/>
      <c r="E370" s="49" t="n"/>
      <c r="F370" s="49" t="n"/>
      <c r="G370" s="49" t="n"/>
      <c r="H370" s="49" t="n"/>
      <c r="I370" s="49" t="n"/>
      <c r="J370" s="49" t="n"/>
    </row>
    <row r="371">
      <c r="B371" s="49" t="n"/>
      <c r="C371" s="49" t="n"/>
      <c r="D371" s="49" t="n"/>
      <c r="E371" s="49" t="n"/>
      <c r="F371" s="49" t="n"/>
      <c r="G371" s="49" t="n"/>
      <c r="H371" s="49" t="n"/>
      <c r="I371" s="49" t="n"/>
      <c r="J371" s="49" t="n"/>
    </row>
    <row r="372">
      <c r="B372" s="49" t="n"/>
      <c r="C372" s="49" t="n"/>
      <c r="D372" s="49" t="n"/>
      <c r="E372" s="49" t="n"/>
      <c r="F372" s="49" t="n"/>
      <c r="G372" s="49" t="n"/>
      <c r="H372" s="49" t="n"/>
      <c r="I372" s="49" t="n"/>
      <c r="J372" s="49" t="n"/>
    </row>
    <row r="373">
      <c r="B373" s="49" t="n"/>
      <c r="C373" s="49" t="n"/>
      <c r="D373" s="49" t="n"/>
      <c r="E373" s="49" t="n"/>
      <c r="F373" s="49" t="n"/>
      <c r="G373" s="49" t="n"/>
      <c r="H373" s="49" t="n"/>
      <c r="I373" s="49" t="n"/>
      <c r="J373" s="49" t="n"/>
    </row>
    <row r="374">
      <c r="B374" s="49" t="n"/>
      <c r="C374" s="49" t="n"/>
      <c r="D374" s="49" t="n"/>
      <c r="E374" s="49" t="n"/>
      <c r="F374" s="49" t="n"/>
      <c r="G374" s="49" t="n"/>
      <c r="H374" s="49" t="n"/>
      <c r="I374" s="49" t="n"/>
      <c r="J374" s="49" t="n"/>
    </row>
    <row r="375">
      <c r="B375" s="49" t="n"/>
      <c r="C375" s="49" t="n"/>
      <c r="D375" s="49" t="n"/>
      <c r="E375" s="49" t="n"/>
      <c r="F375" s="49" t="n"/>
      <c r="G375" s="49" t="n"/>
      <c r="H375" s="49" t="n"/>
      <c r="I375" s="49" t="n"/>
      <c r="J375" s="49" t="n"/>
    </row>
    <row r="376">
      <c r="B376" s="49" t="n"/>
      <c r="C376" s="49" t="n"/>
      <c r="D376" s="49" t="n"/>
      <c r="E376" s="49" t="n"/>
      <c r="F376" s="49" t="n"/>
      <c r="G376" s="49" t="n"/>
      <c r="H376" s="49" t="n"/>
      <c r="I376" s="49" t="n"/>
      <c r="J376" s="49" t="n"/>
    </row>
    <row r="377">
      <c r="B377" s="49" t="n"/>
      <c r="C377" s="49" t="n"/>
      <c r="D377" s="49" t="n"/>
      <c r="E377" s="49" t="n"/>
      <c r="F377" s="49" t="n"/>
      <c r="G377" s="49" t="n"/>
      <c r="H377" s="49" t="n"/>
      <c r="I377" s="49" t="n"/>
      <c r="J377" s="49" t="n"/>
    </row>
    <row r="378">
      <c r="B378" s="49" t="n"/>
      <c r="C378" s="49" t="n"/>
      <c r="D378" s="49" t="n"/>
      <c r="E378" s="49" t="n"/>
      <c r="F378" s="49" t="n"/>
      <c r="G378" s="49" t="n"/>
      <c r="H378" s="49" t="n"/>
      <c r="I378" s="49" t="n"/>
      <c r="J378" s="49" t="n"/>
    </row>
    <row r="379">
      <c r="B379" s="49" t="n"/>
      <c r="C379" s="49" t="n"/>
      <c r="D379" s="49" t="n"/>
      <c r="E379" s="49" t="n"/>
      <c r="F379" s="49" t="n"/>
      <c r="G379" s="49" t="n"/>
      <c r="H379" s="49" t="n"/>
      <c r="I379" s="49" t="n"/>
      <c r="J379" s="49" t="n"/>
    </row>
    <row r="380">
      <c r="B380" s="49" t="n"/>
      <c r="C380" s="49" t="n"/>
      <c r="D380" s="49" t="n"/>
      <c r="E380" s="49" t="n"/>
      <c r="F380" s="49" t="n"/>
      <c r="G380" s="49" t="n"/>
      <c r="H380" s="49" t="n"/>
      <c r="I380" s="49" t="n"/>
      <c r="J380" s="49" t="n"/>
    </row>
    <row r="381">
      <c r="B381" s="49" t="n"/>
      <c r="C381" s="49" t="n"/>
      <c r="D381" s="49" t="n"/>
      <c r="E381" s="49" t="n"/>
      <c r="F381" s="49" t="n"/>
      <c r="G381" s="49" t="n"/>
      <c r="H381" s="49" t="n"/>
      <c r="I381" s="49" t="n"/>
      <c r="J381" s="49" t="n"/>
    </row>
    <row r="382">
      <c r="B382" s="49" t="n"/>
      <c r="C382" s="49" t="n"/>
      <c r="D382" s="49" t="n"/>
      <c r="E382" s="49" t="n"/>
      <c r="F382" s="49" t="n"/>
      <c r="G382" s="49" t="n"/>
      <c r="H382" s="49" t="n"/>
      <c r="I382" s="49" t="n"/>
      <c r="J382" s="49" t="n"/>
    </row>
    <row r="383">
      <c r="B383" s="49" t="n"/>
      <c r="C383" s="49" t="n"/>
      <c r="D383" s="49" t="n"/>
      <c r="E383" s="49" t="n"/>
      <c r="F383" s="49" t="n"/>
      <c r="G383" s="49" t="n"/>
      <c r="H383" s="49" t="n"/>
      <c r="I383" s="49" t="n"/>
      <c r="J383" s="49" t="n"/>
    </row>
    <row r="384">
      <c r="B384" s="49" t="n"/>
      <c r="C384" s="49" t="n"/>
      <c r="D384" s="49" t="n"/>
      <c r="E384" s="49" t="n"/>
      <c r="F384" s="49" t="n"/>
      <c r="G384" s="49" t="n"/>
      <c r="H384" s="49" t="n"/>
      <c r="I384" s="49" t="n"/>
      <c r="J384" s="49" t="n"/>
    </row>
    <row r="385">
      <c r="B385" s="49" t="n"/>
      <c r="C385" s="49" t="n"/>
      <c r="D385" s="49" t="n"/>
      <c r="E385" s="49" t="n"/>
      <c r="F385" s="49" t="n"/>
      <c r="G385" s="49" t="n"/>
      <c r="H385" s="49" t="n"/>
      <c r="I385" s="49" t="n"/>
      <c r="J385" s="49" t="n"/>
    </row>
    <row r="386">
      <c r="B386" s="49" t="n"/>
      <c r="C386" s="49" t="n"/>
      <c r="D386" s="49" t="n"/>
      <c r="E386" s="49" t="n"/>
      <c r="F386" s="49" t="n"/>
      <c r="G386" s="49" t="n"/>
      <c r="H386" s="49" t="n"/>
      <c r="I386" s="49" t="n"/>
      <c r="J386" s="49" t="n"/>
    </row>
    <row r="387">
      <c r="B387" s="49" t="n"/>
      <c r="C387" s="49" t="n"/>
      <c r="D387" s="49" t="n"/>
      <c r="E387" s="49" t="n"/>
      <c r="F387" s="49" t="n"/>
      <c r="G387" s="49" t="n"/>
      <c r="H387" s="49" t="n"/>
      <c r="I387" s="49" t="n"/>
      <c r="J387" s="49" t="n"/>
    </row>
    <row r="388">
      <c r="B388" s="49" t="n"/>
      <c r="C388" s="49" t="n"/>
      <c r="D388" s="49" t="n"/>
      <c r="E388" s="49" t="n"/>
      <c r="F388" s="49" t="n"/>
      <c r="G388" s="49" t="n"/>
      <c r="H388" s="49" t="n"/>
      <c r="I388" s="49" t="n"/>
      <c r="J388" s="49" t="n"/>
    </row>
    <row r="389">
      <c r="B389" s="49" t="n"/>
      <c r="C389" s="49" t="n"/>
      <c r="D389" s="49" t="n"/>
      <c r="E389" s="49" t="n"/>
      <c r="F389" s="49" t="n"/>
      <c r="G389" s="49" t="n"/>
      <c r="H389" s="49" t="n"/>
      <c r="I389" s="49" t="n"/>
      <c r="J389" s="49" t="n"/>
    </row>
    <row r="390">
      <c r="B390" s="49" t="n"/>
      <c r="C390" s="49" t="n"/>
      <c r="D390" s="49" t="n"/>
      <c r="E390" s="49" t="n"/>
      <c r="F390" s="49" t="n"/>
      <c r="G390" s="49" t="n"/>
      <c r="H390" s="49" t="n"/>
      <c r="I390" s="49" t="n"/>
      <c r="J390" s="49" t="n"/>
    </row>
    <row r="391">
      <c r="B391" s="49" t="n"/>
      <c r="C391" s="49" t="n"/>
      <c r="D391" s="49" t="n"/>
      <c r="E391" s="49" t="n"/>
      <c r="F391" s="49" t="n"/>
      <c r="G391" s="49" t="n"/>
      <c r="H391" s="49" t="n"/>
      <c r="I391" s="49" t="n"/>
      <c r="J391" s="49" t="n"/>
    </row>
    <row r="392">
      <c r="B392" s="49" t="n"/>
      <c r="C392" s="49" t="n"/>
      <c r="D392" s="49" t="n"/>
      <c r="E392" s="49" t="n"/>
      <c r="F392" s="49" t="n"/>
      <c r="G392" s="49" t="n"/>
      <c r="H392" s="49" t="n"/>
      <c r="I392" s="49" t="n"/>
      <c r="J392" s="49" t="n"/>
    </row>
    <row r="393">
      <c r="B393" s="49" t="n"/>
      <c r="C393" s="49" t="n"/>
      <c r="D393" s="49" t="n"/>
      <c r="E393" s="49" t="n"/>
      <c r="F393" s="49" t="n"/>
      <c r="G393" s="49" t="n"/>
      <c r="H393" s="49" t="n"/>
      <c r="I393" s="49" t="n"/>
      <c r="J393" s="49" t="n"/>
    </row>
    <row r="394">
      <c r="B394" s="49" t="n"/>
      <c r="C394" s="49" t="n"/>
      <c r="D394" s="49" t="n"/>
      <c r="E394" s="49" t="n"/>
      <c r="F394" s="49" t="n"/>
      <c r="G394" s="49" t="n"/>
      <c r="H394" s="49" t="n"/>
      <c r="I394" s="49" t="n"/>
      <c r="J394" s="49" t="n"/>
    </row>
    <row r="395">
      <c r="B395" s="49" t="n"/>
      <c r="C395" s="49" t="n"/>
      <c r="D395" s="49" t="n"/>
      <c r="E395" s="49" t="n"/>
      <c r="F395" s="49" t="n"/>
      <c r="G395" s="49" t="n"/>
      <c r="H395" s="49" t="n"/>
      <c r="I395" s="49" t="n"/>
      <c r="J395" s="49" t="n"/>
    </row>
    <row r="396">
      <c r="B396" s="49" t="n"/>
      <c r="C396" s="49" t="n"/>
      <c r="D396" s="49" t="n"/>
      <c r="E396" s="49" t="n"/>
      <c r="F396" s="49" t="n"/>
      <c r="G396" s="49" t="n"/>
      <c r="H396" s="49" t="n"/>
      <c r="I396" s="49" t="n"/>
      <c r="J396" s="49" t="n"/>
    </row>
    <row r="397">
      <c r="B397" s="49" t="n"/>
      <c r="C397" s="49" t="n"/>
      <c r="D397" s="49" t="n"/>
      <c r="E397" s="49" t="n"/>
      <c r="F397" s="49" t="n"/>
      <c r="G397" s="49" t="n"/>
      <c r="H397" s="49" t="n"/>
      <c r="I397" s="49" t="n"/>
      <c r="J397" s="49" t="n"/>
    </row>
    <row r="398">
      <c r="B398" s="49" t="n"/>
      <c r="C398" s="49" t="n"/>
      <c r="D398" s="49" t="n"/>
      <c r="E398" s="49" t="n"/>
      <c r="F398" s="49" t="n"/>
      <c r="G398" s="49" t="n"/>
      <c r="H398" s="49" t="n"/>
      <c r="I398" s="49" t="n"/>
      <c r="J398" s="49" t="n"/>
    </row>
    <row r="399">
      <c r="B399" s="49" t="n"/>
      <c r="C399" s="49" t="n"/>
      <c r="D399" s="49" t="n"/>
      <c r="E399" s="49" t="n"/>
      <c r="F399" s="49" t="n"/>
      <c r="G399" s="49" t="n"/>
      <c r="H399" s="49" t="n"/>
      <c r="I399" s="49" t="n"/>
      <c r="J399" s="49" t="n"/>
    </row>
    <row r="400">
      <c r="B400" s="49" t="n"/>
      <c r="C400" s="49" t="n"/>
      <c r="D400" s="49" t="n"/>
      <c r="E400" s="49" t="n"/>
      <c r="F400" s="49" t="n"/>
      <c r="G400" s="49" t="n"/>
      <c r="H400" s="49" t="n"/>
      <c r="I400" s="49" t="n"/>
      <c r="J400" s="49" t="n"/>
    </row>
    <row r="401">
      <c r="B401" s="49" t="n"/>
      <c r="C401" s="49" t="n"/>
      <c r="D401" s="49" t="n"/>
      <c r="E401" s="49" t="n"/>
      <c r="F401" s="49" t="n"/>
      <c r="G401" s="49" t="n"/>
      <c r="H401" s="49" t="n"/>
      <c r="I401" s="49" t="n"/>
      <c r="J401" s="49" t="n"/>
    </row>
    <row r="402">
      <c r="B402" s="49" t="n"/>
      <c r="C402" s="49" t="n"/>
      <c r="D402" s="49" t="n"/>
      <c r="E402" s="49" t="n"/>
      <c r="F402" s="49" t="n"/>
      <c r="G402" s="49" t="n"/>
      <c r="H402" s="49" t="n"/>
      <c r="I402" s="49" t="n"/>
      <c r="J402" s="49" t="n"/>
    </row>
    <row r="403">
      <c r="B403" s="49" t="n"/>
      <c r="C403" s="49" t="n"/>
      <c r="D403" s="49" t="n"/>
      <c r="E403" s="49" t="n"/>
      <c r="F403" s="49" t="n"/>
      <c r="G403" s="49" t="n"/>
      <c r="H403" s="49" t="n"/>
      <c r="I403" s="49" t="n"/>
      <c r="J403" s="49" t="n"/>
    </row>
    <row r="404">
      <c r="B404" s="49" t="n"/>
      <c r="C404" s="49" t="n"/>
      <c r="D404" s="49" t="n"/>
      <c r="E404" s="49" t="n"/>
      <c r="F404" s="49" t="n"/>
      <c r="G404" s="49" t="n"/>
      <c r="H404" s="49" t="n"/>
      <c r="I404" s="49" t="n"/>
      <c r="J404" s="49" t="n"/>
    </row>
    <row r="405">
      <c r="B405" s="49" t="n"/>
      <c r="C405" s="49" t="n"/>
      <c r="D405" s="49" t="n"/>
      <c r="E405" s="49" t="n"/>
      <c r="F405" s="49" t="n"/>
      <c r="G405" s="49" t="n"/>
      <c r="H405" s="49" t="n"/>
      <c r="I405" s="49" t="n"/>
      <c r="J405" s="49" t="n"/>
    </row>
    <row r="406">
      <c r="B406" s="49" t="n"/>
      <c r="C406" s="49" t="n"/>
      <c r="D406" s="49" t="n"/>
      <c r="E406" s="49" t="n"/>
      <c r="F406" s="49" t="n"/>
      <c r="G406" s="49" t="n"/>
      <c r="H406" s="49" t="n"/>
      <c r="I406" s="49" t="n"/>
      <c r="J406" s="49" t="n"/>
    </row>
    <row r="407">
      <c r="B407" s="49" t="n"/>
      <c r="C407" s="49" t="n"/>
      <c r="D407" s="49" t="n"/>
      <c r="E407" s="49" t="n"/>
      <c r="F407" s="49" t="n"/>
      <c r="G407" s="49" t="n"/>
      <c r="H407" s="49" t="n"/>
      <c r="I407" s="49" t="n"/>
      <c r="J407" s="49" t="n"/>
    </row>
    <row r="408">
      <c r="B408" s="49" t="n"/>
      <c r="C408" s="49" t="n"/>
      <c r="D408" s="49" t="n"/>
      <c r="E408" s="49" t="n"/>
      <c r="F408" s="49" t="n"/>
      <c r="G408" s="49" t="n"/>
      <c r="H408" s="49" t="n"/>
      <c r="I408" s="49" t="n"/>
      <c r="J408" s="49" t="n"/>
    </row>
    <row r="409">
      <c r="B409" s="49" t="n"/>
      <c r="C409" s="49" t="n"/>
      <c r="D409" s="49" t="n"/>
      <c r="E409" s="49" t="n"/>
      <c r="F409" s="49" t="n"/>
      <c r="G409" s="49" t="n"/>
      <c r="H409" s="49" t="n"/>
      <c r="I409" s="49" t="n"/>
      <c r="J409" s="49" t="n"/>
    </row>
    <row r="410">
      <c r="B410" s="49" t="n"/>
      <c r="C410" s="49" t="n"/>
      <c r="D410" s="49" t="n"/>
      <c r="E410" s="49" t="n"/>
      <c r="F410" s="49" t="n"/>
      <c r="G410" s="49" t="n"/>
      <c r="H410" s="49" t="n"/>
      <c r="I410" s="49" t="n"/>
      <c r="J410" s="49" t="n"/>
    </row>
    <row r="411">
      <c r="B411" s="49" t="n"/>
      <c r="C411" s="49" t="n"/>
      <c r="D411" s="49" t="n"/>
      <c r="E411" s="49" t="n"/>
      <c r="F411" s="49" t="n"/>
      <c r="G411" s="49" t="n"/>
      <c r="H411" s="49" t="n"/>
      <c r="I411" s="49" t="n"/>
      <c r="J411" s="49" t="n"/>
    </row>
    <row r="412">
      <c r="B412" s="49" t="n"/>
      <c r="C412" s="49" t="n"/>
      <c r="D412" s="49" t="n"/>
      <c r="E412" s="49" t="n"/>
      <c r="F412" s="49" t="n"/>
      <c r="G412" s="49" t="n"/>
      <c r="H412" s="49" t="n"/>
      <c r="I412" s="49" t="n"/>
      <c r="J412" s="49" t="n"/>
    </row>
    <row r="413">
      <c r="B413" s="49" t="n"/>
      <c r="C413" s="49" t="n"/>
      <c r="D413" s="49" t="n"/>
      <c r="E413" s="49" t="n"/>
      <c r="F413" s="49" t="n"/>
      <c r="G413" s="49" t="n"/>
      <c r="H413" s="49" t="n"/>
      <c r="I413" s="49" t="n"/>
      <c r="J413" s="49" t="n"/>
    </row>
    <row r="414">
      <c r="B414" s="49" t="n"/>
      <c r="C414" s="49" t="n"/>
      <c r="D414" s="49" t="n"/>
      <c r="E414" s="49" t="n"/>
      <c r="F414" s="49" t="n"/>
      <c r="G414" s="49" t="n"/>
      <c r="H414" s="49" t="n"/>
      <c r="I414" s="49" t="n"/>
      <c r="J414" s="49" t="n"/>
    </row>
    <row r="415">
      <c r="B415" s="49" t="n"/>
      <c r="C415" s="49" t="n"/>
      <c r="D415" s="49" t="n"/>
      <c r="E415" s="49" t="n"/>
      <c r="F415" s="49" t="n"/>
      <c r="G415" s="49" t="n"/>
      <c r="H415" s="49" t="n"/>
      <c r="I415" s="49" t="n"/>
      <c r="J415" s="49" t="n"/>
    </row>
    <row r="416">
      <c r="B416" s="49" t="n"/>
      <c r="C416" s="49" t="n"/>
      <c r="D416" s="49" t="n"/>
      <c r="E416" s="49" t="n"/>
      <c r="F416" s="49" t="n"/>
      <c r="G416" s="49" t="n"/>
      <c r="H416" s="49" t="n"/>
      <c r="I416" s="49" t="n"/>
      <c r="J416" s="49" t="n"/>
    </row>
    <row r="417">
      <c r="B417" s="49" t="n"/>
      <c r="C417" s="49" t="n"/>
      <c r="D417" s="49" t="n"/>
      <c r="E417" s="49" t="n"/>
      <c r="F417" s="49" t="n"/>
      <c r="G417" s="49" t="n"/>
      <c r="H417" s="49" t="n"/>
      <c r="I417" s="49" t="n"/>
      <c r="J417" s="49" t="n"/>
    </row>
    <row r="418">
      <c r="B418" s="49" t="n"/>
      <c r="C418" s="49" t="n"/>
      <c r="D418" s="49" t="n"/>
      <c r="E418" s="49" t="n"/>
      <c r="F418" s="49" t="n"/>
      <c r="G418" s="49" t="n"/>
      <c r="H418" s="49" t="n"/>
      <c r="I418" s="49" t="n"/>
      <c r="J418" s="49" t="n"/>
    </row>
    <row r="419">
      <c r="B419" s="49" t="n"/>
      <c r="C419" s="49" t="n"/>
      <c r="D419" s="49" t="n"/>
      <c r="E419" s="49" t="n"/>
      <c r="F419" s="49" t="n"/>
      <c r="G419" s="49" t="n"/>
      <c r="H419" s="49" t="n"/>
      <c r="I419" s="49" t="n"/>
      <c r="J419" s="49" t="n"/>
    </row>
    <row r="420">
      <c r="B420" s="49" t="n"/>
      <c r="C420" s="49" t="n"/>
      <c r="D420" s="49" t="n"/>
      <c r="E420" s="49" t="n"/>
      <c r="F420" s="49" t="n"/>
      <c r="G420" s="49" t="n"/>
      <c r="H420" s="49" t="n"/>
      <c r="I420" s="49" t="n"/>
      <c r="J420" s="49" t="n"/>
    </row>
    <row r="421">
      <c r="B421" s="49" t="n"/>
      <c r="C421" s="49" t="n"/>
      <c r="D421" s="49" t="n"/>
      <c r="E421" s="49" t="n"/>
      <c r="F421" s="49" t="n"/>
      <c r="G421" s="49" t="n"/>
      <c r="H421" s="49" t="n"/>
      <c r="I421" s="49" t="n"/>
      <c r="J421" s="49" t="n"/>
    </row>
    <row r="422">
      <c r="B422" s="49" t="n"/>
      <c r="C422" s="49" t="n"/>
      <c r="D422" s="49" t="n"/>
      <c r="E422" s="49" t="n"/>
      <c r="F422" s="49" t="n"/>
      <c r="G422" s="49" t="n"/>
      <c r="H422" s="49" t="n"/>
      <c r="I422" s="49" t="n"/>
      <c r="J422" s="49" t="n"/>
    </row>
    <row r="423">
      <c r="B423" s="49" t="n"/>
      <c r="C423" s="49" t="n"/>
      <c r="D423" s="49" t="n"/>
      <c r="E423" s="49" t="n"/>
      <c r="F423" s="49" t="n"/>
      <c r="G423" s="49" t="n"/>
      <c r="H423" s="49" t="n"/>
      <c r="I423" s="49" t="n"/>
      <c r="J423" s="49" t="n"/>
    </row>
    <row r="424">
      <c r="B424" s="49" t="n"/>
      <c r="C424" s="49" t="n"/>
      <c r="D424" s="49" t="n"/>
      <c r="E424" s="49" t="n"/>
      <c r="F424" s="49" t="n"/>
      <c r="G424" s="49" t="n"/>
      <c r="H424" s="49" t="n"/>
      <c r="I424" s="49" t="n"/>
      <c r="J424" s="49" t="n"/>
    </row>
    <row r="425">
      <c r="B425" s="49" t="n"/>
      <c r="C425" s="49" t="n"/>
      <c r="D425" s="49" t="n"/>
      <c r="E425" s="49" t="n"/>
      <c r="F425" s="49" t="n"/>
      <c r="G425" s="49" t="n"/>
      <c r="H425" s="49" t="n"/>
      <c r="I425" s="49" t="n"/>
      <c r="J425" s="49" t="n"/>
    </row>
    <row r="426">
      <c r="B426" s="49" t="n"/>
      <c r="C426" s="49" t="n"/>
      <c r="D426" s="49" t="n"/>
      <c r="E426" s="49" t="n"/>
      <c r="F426" s="49" t="n"/>
      <c r="G426" s="49" t="n"/>
      <c r="H426" s="49" t="n"/>
      <c r="I426" s="49" t="n"/>
      <c r="J426" s="49" t="n"/>
    </row>
    <row r="427">
      <c r="B427" s="49" t="n"/>
      <c r="C427" s="49" t="n"/>
      <c r="D427" s="49" t="n"/>
      <c r="E427" s="49" t="n"/>
      <c r="F427" s="49" t="n"/>
      <c r="G427" s="49" t="n"/>
      <c r="H427" s="49" t="n"/>
      <c r="I427" s="49" t="n"/>
      <c r="J427" s="49" t="n"/>
    </row>
    <row r="428">
      <c r="B428" s="49" t="n"/>
      <c r="C428" s="49" t="n"/>
      <c r="D428" s="49" t="n"/>
      <c r="E428" s="49" t="n"/>
      <c r="F428" s="49" t="n"/>
      <c r="G428" s="49" t="n"/>
      <c r="H428" s="49" t="n"/>
      <c r="I428" s="49" t="n"/>
      <c r="J428" s="49" t="n"/>
    </row>
    <row r="429">
      <c r="B429" s="49" t="n"/>
      <c r="C429" s="49" t="n"/>
      <c r="D429" s="49" t="n"/>
      <c r="E429" s="49" t="n"/>
      <c r="F429" s="49" t="n"/>
      <c r="G429" s="49" t="n"/>
      <c r="H429" s="49" t="n"/>
      <c r="I429" s="49" t="n"/>
      <c r="J429" s="49" t="n"/>
    </row>
    <row r="430">
      <c r="B430" s="49" t="n"/>
      <c r="C430" s="49" t="n"/>
      <c r="D430" s="49" t="n"/>
      <c r="E430" s="49" t="n"/>
      <c r="F430" s="49" t="n"/>
      <c r="G430" s="49" t="n"/>
      <c r="H430" s="49" t="n"/>
      <c r="I430" s="49" t="n"/>
      <c r="J430" s="49" t="n"/>
    </row>
    <row r="431">
      <c r="B431" s="49" t="n"/>
      <c r="C431" s="49" t="n"/>
      <c r="D431" s="49" t="n"/>
      <c r="E431" s="49" t="n"/>
      <c r="F431" s="49" t="n"/>
      <c r="G431" s="49" t="n"/>
      <c r="H431" s="49" t="n"/>
      <c r="I431" s="49" t="n"/>
      <c r="J431" s="49" t="n"/>
    </row>
    <row r="432">
      <c r="B432" s="49" t="n"/>
      <c r="C432" s="49" t="n"/>
      <c r="D432" s="49" t="n"/>
      <c r="E432" s="49" t="n"/>
      <c r="F432" s="49" t="n"/>
      <c r="G432" s="49" t="n"/>
      <c r="H432" s="49" t="n"/>
      <c r="I432" s="49" t="n"/>
      <c r="J432" s="49" t="n"/>
    </row>
    <row r="433">
      <c r="B433" s="49" t="n"/>
      <c r="C433" s="49" t="n"/>
      <c r="D433" s="49" t="n"/>
      <c r="E433" s="49" t="n"/>
      <c r="F433" s="49" t="n"/>
      <c r="G433" s="49" t="n"/>
      <c r="H433" s="49" t="n"/>
      <c r="I433" s="49" t="n"/>
      <c r="J433" s="49" t="n"/>
    </row>
    <row r="434">
      <c r="B434" s="49" t="n"/>
      <c r="C434" s="49" t="n"/>
      <c r="D434" s="49" t="n"/>
      <c r="E434" s="49" t="n"/>
      <c r="F434" s="49" t="n"/>
      <c r="G434" s="49" t="n"/>
      <c r="H434" s="49" t="n"/>
      <c r="I434" s="49" t="n"/>
      <c r="J434" s="49" t="n"/>
    </row>
    <row r="435">
      <c r="B435" s="49" t="n"/>
      <c r="C435" s="49" t="n"/>
      <c r="D435" s="49" t="n"/>
      <c r="E435" s="49" t="n"/>
      <c r="F435" s="49" t="n"/>
      <c r="G435" s="49" t="n"/>
      <c r="H435" s="49" t="n"/>
      <c r="I435" s="49" t="n"/>
      <c r="J435" s="49" t="n"/>
    </row>
    <row r="436">
      <c r="B436" s="49" t="n"/>
      <c r="C436" s="49" t="n"/>
      <c r="D436" s="49" t="n"/>
      <c r="E436" s="49" t="n"/>
      <c r="F436" s="49" t="n"/>
      <c r="G436" s="49" t="n"/>
      <c r="H436" s="49" t="n"/>
      <c r="I436" s="49" t="n"/>
      <c r="J436" s="49" t="n"/>
    </row>
    <row r="437">
      <c r="B437" s="49" t="n"/>
      <c r="C437" s="49" t="n"/>
      <c r="D437" s="49" t="n"/>
      <c r="E437" s="49" t="n"/>
      <c r="F437" s="49" t="n"/>
      <c r="G437" s="49" t="n"/>
      <c r="H437" s="49" t="n"/>
      <c r="I437" s="49" t="n"/>
      <c r="J437" s="49" t="n"/>
    </row>
    <row r="438">
      <c r="B438" s="49" t="n"/>
      <c r="C438" s="49" t="n"/>
      <c r="D438" s="49" t="n"/>
      <c r="E438" s="49" t="n"/>
      <c r="F438" s="49" t="n"/>
      <c r="G438" s="49" t="n"/>
      <c r="H438" s="49" t="n"/>
      <c r="I438" s="49" t="n"/>
      <c r="J438" s="49" t="n"/>
    </row>
    <row r="439">
      <c r="B439" s="49" t="n"/>
      <c r="C439" s="49" t="n"/>
      <c r="D439" s="49" t="n"/>
      <c r="E439" s="49" t="n"/>
      <c r="F439" s="49" t="n"/>
      <c r="G439" s="49" t="n"/>
      <c r="H439" s="49" t="n"/>
      <c r="I439" s="49" t="n"/>
      <c r="J439" s="49" t="n"/>
    </row>
    <row r="440">
      <c r="B440" s="49" t="n"/>
      <c r="C440" s="49" t="n"/>
      <c r="D440" s="49" t="n"/>
      <c r="E440" s="49" t="n"/>
      <c r="F440" s="49" t="n"/>
      <c r="G440" s="49" t="n"/>
      <c r="H440" s="49" t="n"/>
      <c r="I440" s="49" t="n"/>
      <c r="J440" s="49" t="n"/>
    </row>
    <row r="441">
      <c r="B441" s="49" t="n"/>
      <c r="C441" s="49" t="n"/>
      <c r="D441" s="49" t="n"/>
      <c r="E441" s="49" t="n"/>
      <c r="F441" s="49" t="n"/>
      <c r="G441" s="49" t="n"/>
      <c r="H441" s="49" t="n"/>
      <c r="I441" s="49" t="n"/>
      <c r="J441" s="49" t="n"/>
    </row>
    <row r="442">
      <c r="B442" s="49" t="n"/>
      <c r="C442" s="49" t="n"/>
      <c r="D442" s="49" t="n"/>
      <c r="E442" s="49" t="n"/>
      <c r="F442" s="49" t="n"/>
      <c r="G442" s="49" t="n"/>
      <c r="H442" s="49" t="n"/>
      <c r="I442" s="49" t="n"/>
      <c r="J442" s="49" t="n"/>
    </row>
    <row r="443">
      <c r="B443" s="49" t="n"/>
      <c r="C443" s="49" t="n"/>
      <c r="D443" s="49" t="n"/>
      <c r="E443" s="49" t="n"/>
      <c r="F443" s="49" t="n"/>
      <c r="G443" s="49" t="n"/>
      <c r="H443" s="49" t="n"/>
      <c r="I443" s="49" t="n"/>
      <c r="J443" s="49" t="n"/>
    </row>
    <row r="444">
      <c r="B444" s="49" t="n"/>
      <c r="C444" s="49" t="n"/>
      <c r="D444" s="49" t="n"/>
      <c r="E444" s="49" t="n"/>
      <c r="F444" s="49" t="n"/>
      <c r="G444" s="49" t="n"/>
      <c r="H444" s="49" t="n"/>
      <c r="I444" s="49" t="n"/>
      <c r="J444" s="49" t="n"/>
    </row>
    <row r="445">
      <c r="B445" s="49" t="n"/>
      <c r="C445" s="49" t="n"/>
      <c r="D445" s="49" t="n"/>
      <c r="E445" s="49" t="n"/>
      <c r="F445" s="49" t="n"/>
      <c r="G445" s="49" t="n"/>
      <c r="H445" s="49" t="n"/>
      <c r="I445" s="49" t="n"/>
      <c r="J445" s="49" t="n"/>
    </row>
    <row r="446">
      <c r="B446" s="49" t="n"/>
      <c r="C446" s="49" t="n"/>
      <c r="D446" s="49" t="n"/>
      <c r="E446" s="49" t="n"/>
      <c r="F446" s="49" t="n"/>
      <c r="G446" s="49" t="n"/>
      <c r="H446" s="49" t="n"/>
      <c r="I446" s="49" t="n"/>
      <c r="J446" s="49" t="n"/>
    </row>
    <row r="447">
      <c r="B447" s="49" t="n"/>
      <c r="C447" s="49" t="n"/>
      <c r="D447" s="49" t="n"/>
      <c r="E447" s="49" t="n"/>
      <c r="F447" s="49" t="n"/>
      <c r="G447" s="49" t="n"/>
      <c r="H447" s="49" t="n"/>
      <c r="I447" s="49" t="n"/>
      <c r="J447" s="49" t="n"/>
    </row>
    <row r="448">
      <c r="B448" s="49" t="n"/>
      <c r="C448" s="49" t="n"/>
      <c r="D448" s="49" t="n"/>
      <c r="E448" s="49" t="n"/>
      <c r="F448" s="49" t="n"/>
      <c r="G448" s="49" t="n"/>
      <c r="H448" s="49" t="n"/>
      <c r="I448" s="49" t="n"/>
      <c r="J448" s="49" t="n"/>
    </row>
    <row r="449">
      <c r="B449" s="49" t="n"/>
      <c r="C449" s="49" t="n"/>
      <c r="D449" s="49" t="n"/>
      <c r="E449" s="49" t="n"/>
      <c r="F449" s="49" t="n"/>
      <c r="G449" s="49" t="n"/>
      <c r="H449" s="49" t="n"/>
      <c r="I449" s="49" t="n"/>
      <c r="J449" s="49" t="n"/>
    </row>
    <row r="450">
      <c r="B450" s="49" t="n"/>
      <c r="C450" s="49" t="n"/>
      <c r="D450" s="49" t="n"/>
      <c r="E450" s="49" t="n"/>
      <c r="F450" s="49" t="n"/>
      <c r="G450" s="49" t="n"/>
      <c r="H450" s="49" t="n"/>
      <c r="I450" s="49" t="n"/>
      <c r="J450" s="49" t="n"/>
    </row>
    <row r="451">
      <c r="B451" s="49" t="n"/>
      <c r="C451" s="49" t="n"/>
      <c r="D451" s="49" t="n"/>
      <c r="E451" s="49" t="n"/>
      <c r="F451" s="49" t="n"/>
      <c r="G451" s="49" t="n"/>
      <c r="H451" s="49" t="n"/>
      <c r="I451" s="49" t="n"/>
      <c r="J451" s="49" t="n"/>
    </row>
    <row r="452">
      <c r="B452" s="49" t="n"/>
      <c r="C452" s="49" t="n"/>
      <c r="D452" s="49" t="n"/>
      <c r="E452" s="49" t="n"/>
      <c r="F452" s="49" t="n"/>
      <c r="G452" s="49" t="n"/>
      <c r="H452" s="49" t="n"/>
      <c r="I452" s="49" t="n"/>
      <c r="J452" s="49" t="n"/>
    </row>
    <row r="453">
      <c r="B453" s="49" t="n"/>
      <c r="C453" s="49" t="n"/>
      <c r="D453" s="49" t="n"/>
      <c r="E453" s="49" t="n"/>
      <c r="F453" s="49" t="n"/>
      <c r="G453" s="49" t="n"/>
      <c r="H453" s="49" t="n"/>
      <c r="I453" s="49" t="n"/>
      <c r="J453" s="49" t="n"/>
    </row>
    <row r="454">
      <c r="B454" s="49" t="n"/>
      <c r="C454" s="49" t="n"/>
      <c r="D454" s="49" t="n"/>
      <c r="E454" s="49" t="n"/>
      <c r="F454" s="49" t="n"/>
      <c r="G454" s="49" t="n"/>
      <c r="H454" s="49" t="n"/>
      <c r="I454" s="49" t="n"/>
      <c r="J454" s="49" t="n"/>
    </row>
    <row r="455">
      <c r="B455" s="49" t="n"/>
      <c r="C455" s="49" t="n"/>
      <c r="D455" s="49" t="n"/>
      <c r="E455" s="49" t="n"/>
      <c r="F455" s="49" t="n"/>
      <c r="G455" s="49" t="n"/>
      <c r="H455" s="49" t="n"/>
      <c r="I455" s="49" t="n"/>
      <c r="J455" s="49" t="n"/>
    </row>
    <row r="456">
      <c r="B456" s="49" t="n"/>
      <c r="C456" s="49" t="n"/>
      <c r="D456" s="49" t="n"/>
      <c r="E456" s="49" t="n"/>
      <c r="F456" s="49" t="n"/>
      <c r="G456" s="49" t="n"/>
      <c r="H456" s="49" t="n"/>
      <c r="I456" s="49" t="n"/>
      <c r="J456" s="49" t="n"/>
    </row>
    <row r="457">
      <c r="B457" s="49" t="n"/>
      <c r="C457" s="49" t="n"/>
      <c r="D457" s="49" t="n"/>
      <c r="E457" s="49" t="n"/>
      <c r="F457" s="49" t="n"/>
      <c r="G457" s="49" t="n"/>
      <c r="H457" s="49" t="n"/>
      <c r="I457" s="49" t="n"/>
      <c r="J457" s="49" t="n"/>
    </row>
    <row r="458">
      <c r="B458" s="49" t="n"/>
      <c r="C458" s="49" t="n"/>
      <c r="D458" s="49" t="n"/>
      <c r="E458" s="49" t="n"/>
      <c r="F458" s="49" t="n"/>
      <c r="G458" s="49" t="n"/>
      <c r="H458" s="49" t="n"/>
      <c r="I458" s="49" t="n"/>
      <c r="J458" s="49" t="n"/>
    </row>
    <row r="459">
      <c r="B459" s="49" t="n"/>
      <c r="C459" s="49" t="n"/>
      <c r="D459" s="49" t="n"/>
      <c r="E459" s="49" t="n"/>
      <c r="F459" s="49" t="n"/>
      <c r="G459" s="49" t="n"/>
      <c r="H459" s="49" t="n"/>
      <c r="I459" s="49" t="n"/>
      <c r="J459" s="49" t="n"/>
    </row>
    <row r="460">
      <c r="B460" s="49" t="n"/>
      <c r="C460" s="49" t="n"/>
      <c r="D460" s="49" t="n"/>
      <c r="E460" s="49" t="n"/>
      <c r="F460" s="49" t="n"/>
      <c r="G460" s="49" t="n"/>
      <c r="H460" s="49" t="n"/>
      <c r="I460" s="49" t="n"/>
      <c r="J460" s="49" t="n"/>
    </row>
    <row r="461">
      <c r="B461" s="49" t="n"/>
      <c r="C461" s="49" t="n"/>
      <c r="D461" s="49" t="n"/>
      <c r="E461" s="49" t="n"/>
      <c r="F461" s="49" t="n"/>
      <c r="G461" s="49" t="n"/>
      <c r="H461" s="49" t="n"/>
      <c r="I461" s="49" t="n"/>
      <c r="J461" s="49" t="n"/>
    </row>
    <row r="462">
      <c r="B462" s="49" t="n"/>
      <c r="C462" s="49" t="n"/>
      <c r="D462" s="49" t="n"/>
      <c r="E462" s="49" t="n"/>
      <c r="F462" s="49" t="n"/>
      <c r="G462" s="49" t="n"/>
      <c r="H462" s="49" t="n"/>
      <c r="I462" s="49" t="n"/>
      <c r="J462" s="49" t="n"/>
    </row>
    <row r="463">
      <c r="B463" s="49" t="n"/>
      <c r="C463" s="49" t="n"/>
      <c r="D463" s="49" t="n"/>
      <c r="E463" s="49" t="n"/>
      <c r="F463" s="49" t="n"/>
      <c r="G463" s="49" t="n"/>
      <c r="H463" s="49" t="n"/>
      <c r="I463" s="49" t="n"/>
      <c r="J463" s="49" t="n"/>
    </row>
    <row r="464">
      <c r="B464" s="49" t="n"/>
      <c r="C464" s="49" t="n"/>
      <c r="D464" s="49" t="n"/>
      <c r="E464" s="49" t="n"/>
      <c r="F464" s="49" t="n"/>
      <c r="G464" s="49" t="n"/>
      <c r="H464" s="49" t="n"/>
      <c r="I464" s="49" t="n"/>
      <c r="J464" s="49" t="n"/>
    </row>
    <row r="465">
      <c r="B465" s="49" t="n"/>
      <c r="C465" s="49" t="n"/>
      <c r="D465" s="49" t="n"/>
      <c r="E465" s="49" t="n"/>
      <c r="F465" s="49" t="n"/>
      <c r="G465" s="49" t="n"/>
      <c r="H465" s="49" t="n"/>
      <c r="I465" s="49" t="n"/>
      <c r="J465" s="49" t="n"/>
    </row>
    <row r="466">
      <c r="B466" s="49" t="n"/>
      <c r="C466" s="49" t="n"/>
      <c r="D466" s="49" t="n"/>
      <c r="E466" s="49" t="n"/>
      <c r="F466" s="49" t="n"/>
      <c r="G466" s="49" t="n"/>
      <c r="H466" s="49" t="n"/>
      <c r="I466" s="49" t="n"/>
      <c r="J466" s="49" t="n"/>
    </row>
    <row r="467">
      <c r="B467" s="49" t="n"/>
      <c r="C467" s="49" t="n"/>
      <c r="D467" s="49" t="n"/>
      <c r="E467" s="49" t="n"/>
      <c r="F467" s="49" t="n"/>
      <c r="G467" s="49" t="n"/>
      <c r="H467" s="49" t="n"/>
      <c r="I467" s="49" t="n"/>
      <c r="J467" s="49" t="n"/>
    </row>
    <row r="468">
      <c r="B468" s="49" t="n"/>
      <c r="C468" s="49" t="n"/>
      <c r="D468" s="49" t="n"/>
      <c r="E468" s="49" t="n"/>
      <c r="F468" s="49" t="n"/>
      <c r="G468" s="49" t="n"/>
      <c r="H468" s="49" t="n"/>
      <c r="I468" s="49" t="n"/>
      <c r="J468" s="49" t="n"/>
    </row>
    <row r="469">
      <c r="B469" s="49" t="n"/>
      <c r="C469" s="49" t="n"/>
      <c r="D469" s="49" t="n"/>
      <c r="E469" s="49" t="n"/>
      <c r="F469" s="49" t="n"/>
      <c r="G469" s="49" t="n"/>
      <c r="H469" s="49" t="n"/>
      <c r="I469" s="49" t="n"/>
      <c r="J469" s="49" t="n"/>
    </row>
    <row r="470">
      <c r="B470" s="49" t="n"/>
      <c r="C470" s="49" t="n"/>
      <c r="D470" s="49" t="n"/>
      <c r="E470" s="49" t="n"/>
      <c r="F470" s="49" t="n"/>
      <c r="G470" s="49" t="n"/>
      <c r="H470" s="49" t="n"/>
      <c r="I470" s="49" t="n"/>
      <c r="J470" s="49" t="n"/>
    </row>
    <row r="471">
      <c r="B471" s="49" t="n"/>
      <c r="C471" s="49" t="n"/>
      <c r="D471" s="49" t="n"/>
      <c r="E471" s="49" t="n"/>
      <c r="F471" s="49" t="n"/>
      <c r="G471" s="49" t="n"/>
      <c r="H471" s="49" t="n"/>
      <c r="I471" s="49" t="n"/>
      <c r="J471" s="49" t="n"/>
    </row>
    <row r="472">
      <c r="B472" s="49" t="n"/>
      <c r="C472" s="49" t="n"/>
      <c r="D472" s="49" t="n"/>
      <c r="E472" s="49" t="n"/>
      <c r="F472" s="49" t="n"/>
      <c r="G472" s="49" t="n"/>
      <c r="H472" s="49" t="n"/>
      <c r="I472" s="49" t="n"/>
      <c r="J472" s="49" t="n"/>
    </row>
    <row r="473">
      <c r="B473" s="49" t="n"/>
      <c r="C473" s="49" t="n"/>
      <c r="D473" s="49" t="n"/>
      <c r="E473" s="49" t="n"/>
      <c r="F473" s="49" t="n"/>
      <c r="G473" s="49" t="n"/>
      <c r="H473" s="49" t="n"/>
      <c r="I473" s="49" t="n"/>
      <c r="J473" s="49" t="n"/>
    </row>
    <row r="474">
      <c r="B474" s="49" t="n"/>
      <c r="C474" s="49" t="n"/>
      <c r="D474" s="49" t="n"/>
      <c r="E474" s="49" t="n"/>
      <c r="F474" s="49" t="n"/>
      <c r="G474" s="49" t="n"/>
      <c r="H474" s="49" t="n"/>
      <c r="I474" s="49" t="n"/>
      <c r="J474" s="49" t="n"/>
    </row>
    <row r="475">
      <c r="B475" s="49" t="n"/>
      <c r="C475" s="49" t="n"/>
      <c r="D475" s="49" t="n"/>
      <c r="E475" s="49" t="n"/>
      <c r="F475" s="49" t="n"/>
      <c r="G475" s="49" t="n"/>
      <c r="H475" s="49" t="n"/>
      <c r="I475" s="49" t="n"/>
      <c r="J475" s="49" t="n"/>
    </row>
    <row r="476">
      <c r="B476" s="49" t="n"/>
      <c r="C476" s="49" t="n"/>
      <c r="D476" s="49" t="n"/>
      <c r="E476" s="49" t="n"/>
      <c r="F476" s="49" t="n"/>
      <c r="G476" s="49" t="n"/>
      <c r="H476" s="49" t="n"/>
      <c r="I476" s="49" t="n"/>
      <c r="J476" s="49" t="n"/>
    </row>
    <row r="477">
      <c r="B477" s="49" t="n"/>
      <c r="C477" s="49" t="n"/>
      <c r="D477" s="49" t="n"/>
      <c r="E477" s="49" t="n"/>
      <c r="F477" s="49" t="n"/>
      <c r="G477" s="49" t="n"/>
      <c r="H477" s="49" t="n"/>
      <c r="I477" s="49" t="n"/>
      <c r="J477" s="49" t="n"/>
    </row>
    <row r="478">
      <c r="B478" s="49" t="n"/>
      <c r="C478" s="49" t="n"/>
      <c r="D478" s="49" t="n"/>
      <c r="E478" s="49" t="n"/>
      <c r="F478" s="49" t="n"/>
      <c r="G478" s="49" t="n"/>
      <c r="H478" s="49" t="n"/>
      <c r="I478" s="49" t="n"/>
      <c r="J478" s="49" t="n"/>
    </row>
    <row r="479">
      <c r="B479" s="49" t="n"/>
      <c r="C479" s="49" t="n"/>
      <c r="D479" s="49" t="n"/>
      <c r="E479" s="49" t="n"/>
      <c r="F479" s="49" t="n"/>
      <c r="G479" s="49" t="n"/>
      <c r="H479" s="49" t="n"/>
      <c r="I479" s="49" t="n"/>
      <c r="J479" s="49" t="n"/>
    </row>
    <row r="480">
      <c r="B480" s="49" t="n"/>
      <c r="C480" s="49" t="n"/>
      <c r="D480" s="49" t="n"/>
      <c r="E480" s="49" t="n"/>
      <c r="F480" s="49" t="n"/>
      <c r="G480" s="49" t="n"/>
      <c r="H480" s="49" t="n"/>
      <c r="I480" s="49" t="n"/>
      <c r="J480" s="49" t="n"/>
    </row>
    <row r="481">
      <c r="B481" s="49" t="n"/>
      <c r="C481" s="49" t="n"/>
      <c r="D481" s="49" t="n"/>
      <c r="E481" s="49" t="n"/>
      <c r="F481" s="49" t="n"/>
      <c r="G481" s="49" t="n"/>
      <c r="H481" s="49" t="n"/>
      <c r="I481" s="49" t="n"/>
      <c r="J481" s="49" t="n"/>
    </row>
    <row r="482">
      <c r="B482" s="49" t="n"/>
      <c r="C482" s="49" t="n"/>
      <c r="D482" s="49" t="n"/>
      <c r="E482" s="49" t="n"/>
      <c r="F482" s="49" t="n"/>
      <c r="G482" s="49" t="n"/>
      <c r="H482" s="49" t="n"/>
      <c r="I482" s="49" t="n"/>
      <c r="J482" s="49" t="n"/>
    </row>
    <row r="483">
      <c r="B483" s="49" t="n"/>
      <c r="C483" s="49" t="n"/>
      <c r="D483" s="49" t="n"/>
      <c r="E483" s="49" t="n"/>
      <c r="F483" s="49" t="n"/>
      <c r="G483" s="49" t="n"/>
      <c r="H483" s="49" t="n"/>
      <c r="I483" s="49" t="n"/>
      <c r="J483" s="49" t="n"/>
    </row>
    <row r="484">
      <c r="B484" s="49" t="n"/>
      <c r="C484" s="49" t="n"/>
      <c r="D484" s="49" t="n"/>
      <c r="E484" s="49" t="n"/>
      <c r="F484" s="49" t="n"/>
      <c r="G484" s="49" t="n"/>
      <c r="H484" s="49" t="n"/>
      <c r="I484" s="49" t="n"/>
      <c r="J484" s="49" t="n"/>
    </row>
    <row r="485">
      <c r="B485" s="49" t="n"/>
      <c r="C485" s="49" t="n"/>
      <c r="D485" s="49" t="n"/>
      <c r="E485" s="49" t="n"/>
      <c r="F485" s="49" t="n"/>
      <c r="G485" s="49" t="n"/>
      <c r="H485" s="49" t="n"/>
      <c r="I485" s="49" t="n"/>
      <c r="J485" s="49" t="n"/>
    </row>
    <row r="486">
      <c r="B486" s="49" t="n"/>
      <c r="C486" s="49" t="n"/>
      <c r="D486" s="49" t="n"/>
      <c r="E486" s="49" t="n"/>
      <c r="F486" s="49" t="n"/>
      <c r="G486" s="49" t="n"/>
      <c r="H486" s="49" t="n"/>
      <c r="I486" s="49" t="n"/>
      <c r="J486" s="49" t="n"/>
    </row>
    <row r="487">
      <c r="B487" s="49" t="n"/>
      <c r="C487" s="49" t="n"/>
      <c r="D487" s="49" t="n"/>
      <c r="E487" s="49" t="n"/>
      <c r="F487" s="49" t="n"/>
      <c r="G487" s="49" t="n"/>
      <c r="H487" s="49" t="n"/>
      <c r="I487" s="49" t="n"/>
      <c r="J487" s="49" t="n"/>
    </row>
    <row r="488">
      <c r="B488" s="49" t="n"/>
      <c r="C488" s="49" t="n"/>
      <c r="D488" s="49" t="n"/>
      <c r="E488" s="49" t="n"/>
      <c r="F488" s="49" t="n"/>
      <c r="G488" s="49" t="n"/>
      <c r="H488" s="49" t="n"/>
      <c r="I488" s="49" t="n"/>
      <c r="J488" s="49" t="n"/>
    </row>
    <row r="489">
      <c r="B489" s="49" t="n"/>
      <c r="C489" s="49" t="n"/>
      <c r="D489" s="49" t="n"/>
      <c r="E489" s="49" t="n"/>
      <c r="F489" s="49" t="n"/>
      <c r="G489" s="49" t="n"/>
      <c r="H489" s="49" t="n"/>
      <c r="I489" s="49" t="n"/>
      <c r="J489" s="49" t="n"/>
    </row>
    <row r="490">
      <c r="B490" s="49" t="n"/>
      <c r="C490" s="49" t="n"/>
      <c r="D490" s="49" t="n"/>
      <c r="E490" s="49" t="n"/>
      <c r="F490" s="49" t="n"/>
      <c r="G490" s="49" t="n"/>
      <c r="H490" s="49" t="n"/>
      <c r="I490" s="49" t="n"/>
      <c r="J490" s="49" t="n"/>
    </row>
    <row r="491">
      <c r="B491" s="49" t="n"/>
      <c r="C491" s="49" t="n"/>
      <c r="D491" s="49" t="n"/>
      <c r="E491" s="49" t="n"/>
      <c r="F491" s="49" t="n"/>
      <c r="G491" s="49" t="n"/>
      <c r="H491" s="49" t="n"/>
      <c r="I491" s="49" t="n"/>
      <c r="J491" s="49" t="n"/>
    </row>
    <row r="492">
      <c r="B492" s="49" t="n"/>
      <c r="C492" s="49" t="n"/>
      <c r="D492" s="49" t="n"/>
      <c r="E492" s="49" t="n"/>
      <c r="F492" s="49" t="n"/>
      <c r="G492" s="49" t="n"/>
      <c r="H492" s="49" t="n"/>
      <c r="I492" s="49" t="n"/>
      <c r="J492" s="49" t="n"/>
    </row>
    <row r="493">
      <c r="B493" s="49" t="n"/>
      <c r="C493" s="49" t="n"/>
      <c r="D493" s="49" t="n"/>
      <c r="E493" s="49" t="n"/>
      <c r="F493" s="49" t="n"/>
      <c r="G493" s="49" t="n"/>
      <c r="H493" s="49" t="n"/>
      <c r="I493" s="49" t="n"/>
      <c r="J493" s="49" t="n"/>
    </row>
    <row r="494">
      <c r="B494" s="49" t="n"/>
      <c r="C494" s="49" t="n"/>
      <c r="D494" s="49" t="n"/>
      <c r="E494" s="49" t="n"/>
      <c r="F494" s="49" t="n"/>
      <c r="G494" s="49" t="n"/>
      <c r="H494" s="49" t="n"/>
      <c r="I494" s="49" t="n"/>
      <c r="J494" s="49" t="n"/>
    </row>
    <row r="495">
      <c r="B495" s="49" t="n"/>
      <c r="C495" s="49" t="n"/>
      <c r="D495" s="49" t="n"/>
      <c r="E495" s="49" t="n"/>
      <c r="F495" s="49" t="n"/>
      <c r="G495" s="49" t="n"/>
      <c r="H495" s="49" t="n"/>
      <c r="I495" s="49" t="n"/>
      <c r="J495" s="49" t="n"/>
    </row>
    <row r="496">
      <c r="B496" s="49" t="n"/>
      <c r="C496" s="49" t="n"/>
      <c r="D496" s="49" t="n"/>
      <c r="E496" s="49" t="n"/>
      <c r="F496" s="49" t="n"/>
      <c r="G496" s="49" t="n"/>
      <c r="H496" s="49" t="n"/>
      <c r="I496" s="49" t="n"/>
      <c r="J496" s="49" t="n"/>
    </row>
    <row r="497">
      <c r="B497" s="49" t="n"/>
      <c r="C497" s="49" t="n"/>
      <c r="D497" s="49" t="n"/>
      <c r="E497" s="49" t="n"/>
      <c r="F497" s="49" t="n"/>
      <c r="G497" s="49" t="n"/>
      <c r="H497" s="49" t="n"/>
      <c r="I497" s="49" t="n"/>
      <c r="J497" s="49" t="n"/>
    </row>
    <row r="498">
      <c r="B498" s="49" t="n"/>
      <c r="C498" s="49" t="n"/>
      <c r="D498" s="49" t="n"/>
      <c r="E498" s="49" t="n"/>
      <c r="F498" s="49" t="n"/>
      <c r="G498" s="49" t="n"/>
      <c r="H498" s="49" t="n"/>
      <c r="I498" s="49" t="n"/>
      <c r="J498" s="49" t="n"/>
    </row>
    <row r="499">
      <c r="B499" s="49" t="n"/>
      <c r="C499" s="49" t="n"/>
      <c r="D499" s="49" t="n"/>
      <c r="E499" s="49" t="n"/>
      <c r="F499" s="49" t="n"/>
      <c r="G499" s="49" t="n"/>
      <c r="H499" s="49" t="n"/>
      <c r="I499" s="49" t="n"/>
      <c r="J499" s="49" t="n"/>
    </row>
    <row r="500">
      <c r="B500" s="49" t="n"/>
      <c r="C500" s="49" t="n"/>
      <c r="D500" s="49" t="n"/>
      <c r="E500" s="49" t="n"/>
      <c r="F500" s="49" t="n"/>
      <c r="G500" s="49" t="n"/>
      <c r="H500" s="49" t="n"/>
      <c r="I500" s="49" t="n"/>
      <c r="J500" s="49" t="n"/>
    </row>
    <row r="501">
      <c r="B501" s="49" t="n"/>
      <c r="C501" s="49" t="n"/>
      <c r="D501" s="49" t="n"/>
      <c r="E501" s="49" t="n"/>
      <c r="F501" s="49" t="n"/>
      <c r="G501" s="49" t="n"/>
      <c r="H501" s="49" t="n"/>
      <c r="I501" s="49" t="n"/>
      <c r="J501" s="49" t="n"/>
    </row>
    <row r="502">
      <c r="B502" s="49" t="n"/>
      <c r="C502" s="49" t="n"/>
      <c r="D502" s="49" t="n"/>
      <c r="E502" s="49" t="n"/>
      <c r="F502" s="49" t="n"/>
      <c r="G502" s="49" t="n"/>
      <c r="H502" s="49" t="n"/>
      <c r="I502" s="49" t="n"/>
      <c r="J502" s="49" t="n"/>
    </row>
    <row r="503">
      <c r="B503" s="49" t="n"/>
      <c r="C503" s="49" t="n"/>
      <c r="D503" s="49" t="n"/>
      <c r="E503" s="49" t="n"/>
      <c r="F503" s="49" t="n"/>
      <c r="G503" s="49" t="n"/>
      <c r="H503" s="49" t="n"/>
      <c r="I503" s="49" t="n"/>
      <c r="J503" s="49" t="n"/>
    </row>
    <row r="504">
      <c r="B504" s="49" t="n"/>
      <c r="C504" s="49" t="n"/>
      <c r="D504" s="49" t="n"/>
      <c r="E504" s="49" t="n"/>
      <c r="F504" s="49" t="n"/>
      <c r="G504" s="49" t="n"/>
      <c r="H504" s="49" t="n"/>
      <c r="I504" s="49" t="n"/>
      <c r="J504" s="49" t="n"/>
    </row>
    <row r="505">
      <c r="B505" s="49" t="n"/>
      <c r="C505" s="49" t="n"/>
      <c r="D505" s="49" t="n"/>
      <c r="E505" s="49" t="n"/>
      <c r="F505" s="49" t="n"/>
      <c r="G505" s="49" t="n"/>
      <c r="H505" s="49" t="n"/>
      <c r="I505" s="49" t="n"/>
      <c r="J505" s="49" t="n"/>
    </row>
    <row r="506">
      <c r="B506" s="49" t="n"/>
      <c r="C506" s="49" t="n"/>
      <c r="D506" s="49" t="n"/>
      <c r="E506" s="49" t="n"/>
      <c r="F506" s="49" t="n"/>
      <c r="G506" s="49" t="n"/>
      <c r="H506" s="49" t="n"/>
      <c r="I506" s="49" t="n"/>
      <c r="J506" s="49" t="n"/>
    </row>
    <row r="507">
      <c r="B507" s="49" t="n"/>
      <c r="C507" s="49" t="n"/>
      <c r="D507" s="49" t="n"/>
      <c r="E507" s="49" t="n"/>
      <c r="F507" s="49" t="n"/>
      <c r="G507" s="49" t="n"/>
      <c r="H507" s="49" t="n"/>
      <c r="I507" s="49" t="n"/>
      <c r="J507" s="49" t="n"/>
    </row>
    <row r="508">
      <c r="B508" s="49" t="n"/>
      <c r="C508" s="49" t="n"/>
      <c r="D508" s="49" t="n"/>
      <c r="E508" s="49" t="n"/>
      <c r="F508" s="49" t="n"/>
      <c r="G508" s="49" t="n"/>
      <c r="H508" s="49" t="n"/>
      <c r="I508" s="49" t="n"/>
      <c r="J508" s="49" t="n"/>
    </row>
    <row r="509">
      <c r="B509" s="49" t="n"/>
      <c r="C509" s="49" t="n"/>
      <c r="D509" s="49" t="n"/>
      <c r="E509" s="49" t="n"/>
      <c r="F509" s="49" t="n"/>
      <c r="G509" s="49" t="n"/>
      <c r="H509" s="49" t="n"/>
      <c r="I509" s="49" t="n"/>
      <c r="J509" s="49" t="n"/>
    </row>
    <row r="510">
      <c r="B510" s="49" t="n"/>
      <c r="C510" s="49" t="n"/>
      <c r="D510" s="49" t="n"/>
      <c r="E510" s="49" t="n"/>
      <c r="F510" s="49" t="n"/>
      <c r="G510" s="49" t="n"/>
      <c r="H510" s="49" t="n"/>
      <c r="I510" s="49" t="n"/>
      <c r="J510" s="49" t="n"/>
    </row>
    <row r="511">
      <c r="B511" s="49" t="n"/>
      <c r="C511" s="49" t="n"/>
      <c r="D511" s="49" t="n"/>
      <c r="E511" s="49" t="n"/>
      <c r="F511" s="49" t="n"/>
      <c r="G511" s="49" t="n"/>
      <c r="H511" s="49" t="n"/>
      <c r="I511" s="49" t="n"/>
      <c r="J511" s="49" t="n"/>
    </row>
    <row r="512">
      <c r="B512" s="49" t="n"/>
      <c r="C512" s="49" t="n"/>
      <c r="D512" s="49" t="n"/>
      <c r="E512" s="49" t="n"/>
      <c r="F512" s="49" t="n"/>
      <c r="G512" s="49" t="n"/>
      <c r="H512" s="49" t="n"/>
      <c r="I512" s="49" t="n"/>
      <c r="J512" s="49" t="n"/>
    </row>
    <row r="513">
      <c r="B513" s="49" t="n"/>
      <c r="C513" s="49" t="n"/>
      <c r="D513" s="49" t="n"/>
      <c r="E513" s="49" t="n"/>
      <c r="F513" s="49" t="n"/>
      <c r="G513" s="49" t="n"/>
      <c r="H513" s="49" t="n"/>
      <c r="I513" s="49" t="n"/>
      <c r="J513" s="49" t="n"/>
    </row>
    <row r="514">
      <c r="B514" s="49" t="n"/>
      <c r="C514" s="49" t="n"/>
      <c r="D514" s="49" t="n"/>
      <c r="E514" s="49" t="n"/>
      <c r="F514" s="49" t="n"/>
      <c r="G514" s="49" t="n"/>
      <c r="H514" s="49" t="n"/>
      <c r="I514" s="49" t="n"/>
      <c r="J514" s="49" t="n"/>
    </row>
    <row r="515">
      <c r="B515" s="49" t="n"/>
      <c r="C515" s="49" t="n"/>
      <c r="D515" s="49" t="n"/>
      <c r="E515" s="49" t="n"/>
      <c r="F515" s="49" t="n"/>
      <c r="G515" s="49" t="n"/>
      <c r="H515" s="49" t="n"/>
      <c r="I515" s="49" t="n"/>
      <c r="J515" s="49" t="n"/>
    </row>
    <row r="516">
      <c r="B516" s="49" t="n"/>
      <c r="C516" s="49" t="n"/>
      <c r="D516" s="49" t="n"/>
      <c r="E516" s="49" t="n"/>
      <c r="F516" s="49" t="n"/>
      <c r="G516" s="49" t="n"/>
      <c r="H516" s="49" t="n"/>
      <c r="I516" s="49" t="n"/>
      <c r="J516" s="49" t="n"/>
    </row>
    <row r="517">
      <c r="B517" s="49" t="n"/>
      <c r="C517" s="49" t="n"/>
      <c r="D517" s="49" t="n"/>
      <c r="E517" s="49" t="n"/>
      <c r="F517" s="49" t="n"/>
      <c r="G517" s="49" t="n"/>
      <c r="H517" s="49" t="n"/>
      <c r="I517" s="49" t="n"/>
      <c r="J517" s="49" t="n"/>
    </row>
    <row r="518">
      <c r="B518" s="49" t="n"/>
      <c r="C518" s="49" t="n"/>
      <c r="D518" s="49" t="n"/>
      <c r="E518" s="49" t="n"/>
      <c r="F518" s="49" t="n"/>
      <c r="G518" s="49" t="n"/>
      <c r="H518" s="49" t="n"/>
      <c r="I518" s="49" t="n"/>
      <c r="J518" s="49" t="n"/>
    </row>
  </sheetData>
  <mergeCells count="9">
    <mergeCell ref="B7:J7"/>
    <mergeCell ref="B3:J3"/>
    <mergeCell ref="B5:J5"/>
    <mergeCell ref="B11:C11"/>
    <mergeCell ref="D8:J8"/>
    <mergeCell ref="B9:J9"/>
    <mergeCell ref="B4:J4"/>
    <mergeCell ref="B8:C8"/>
    <mergeCell ref="B6:J6"/>
  </mergeCells>
  <conditionalFormatting sqref="E10">
    <cfRule type="cellIs" priority="1" operator="greaterThan" dxfId="5">
      <formula>0</formula>
    </cfRule>
  </conditionalFormatting>
  <conditionalFormatting sqref="B18:B518">
    <cfRule type="expression" priority="2" dxfId="6">
      <formula>AND(LEN($B18&amp;$C18&amp;$D18&amp;$E18&amp;$F18&amp;$G18&amp;$H18&amp;$I18&amp;$J18)&gt;0,B18="")</formula>
    </cfRule>
  </conditionalFormatting>
  <conditionalFormatting sqref="C18:C518">
    <cfRule type="expression" priority="3" dxfId="6">
      <formula>AND(LEN($B18&amp;$C18&amp;$D18&amp;$E18&amp;$F18&amp;$G18&amp;$H18&amp;$I18&amp;$J18)&gt;0,C18="")</formula>
    </cfRule>
  </conditionalFormatting>
  <conditionalFormatting sqref="D18:D518">
    <cfRule type="expression" priority="4" dxfId="6">
      <formula>AND(LEN($B18&amp;$C18&amp;$D18&amp;$E18&amp;$F18&amp;$G18&amp;$H18&amp;$I18&amp;$J18)&gt;0,D18="")</formula>
    </cfRule>
  </conditionalFormatting>
  <conditionalFormatting sqref="E18:E518">
    <cfRule type="expression" priority="5" dxfId="6">
      <formula>AND(LEN($B18&amp;$C18&amp;$D18&amp;$E18&amp;$F18&amp;$G18&amp;$H18&amp;$I18&amp;$J18)&gt;0,E18="")</formula>
    </cfRule>
  </conditionalFormatting>
  <conditionalFormatting sqref="F18:F518">
    <cfRule type="expression" priority="6" dxfId="6">
      <formula>AND(LEN($B18&amp;$C18&amp;$D18&amp;$E18&amp;$F18&amp;$G18&amp;$H18&amp;$I18&amp;$J18)&gt;0,F18="")</formula>
    </cfRule>
  </conditionalFormatting>
  <conditionalFormatting sqref="G18:G518">
    <cfRule type="expression" priority="7" dxfId="6">
      <formula>AND(LEN($B18&amp;$C18&amp;$D18&amp;$E18&amp;$F18&amp;$G18&amp;$H18&amp;$I18&amp;$J18)&gt;0,G18="")</formula>
    </cfRule>
  </conditionalFormatting>
  <conditionalFormatting sqref="J18:J518">
    <cfRule type="expression" priority="8" dxfId="6">
      <formula>AND(LEN($B18&amp;$C18&amp;$D18&amp;$E18&amp;$F18&amp;$G18&amp;$H18&amp;$I18&amp;$J18)&gt;0,J18="")</formula>
    </cfRule>
  </conditionalFormatting>
  <dataValidations count="10">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8:B518" showDropDown="0" showInputMessage="1" showErrorMessage="0" allowBlank="1" promptTitle="Bank account code" prompt="Yes. Code of the bank account"/>
    <dataValidation sqref="C18:C518" showDropDown="0" showInputMessage="1" showErrorMessage="0" allowBlank="1" promptTitle="Name" prompt="Yes. Name of the account"/>
    <dataValidation sqref="D18:D518" showDropDown="0" showInputMessage="1" showErrorMessage="0" allowBlank="1" promptTitle="Bank" prompt="Yes. Bank name"/>
    <dataValidation sqref="E18:E518" showDropDown="0" showInputMessage="1" showErrorMessage="0" allowBlank="1" promptTitle="Account number" prompt="Yes. As printed by the bank"/>
    <dataValidation sqref="F18:F518" showDropDown="0" showInputMessage="1" showErrorMessage="0" allowBlank="1" promptTitle="Currency" prompt="Yes. Currency of the account"/>
    <dataValidation sqref="G18:G518" showDropDown="0" showInputMessage="1" showErrorMessage="1" allowBlank="1" errorTitle="GL account" error="The code is not in D0-06, column Account Code. Enter it there first, or keep it if it is a code BIBS already holds." promptTitle="GL account" prompt="Yes. Account of the chart with a bank category Allowed: Code of an existing account of the chart of accounts" type="list" errorStyle="warning">
      <formula1>=CODES_D0_06_ACCOUNT_CODE</formula1>
    </dataValidation>
    <dataValidation sqref="H18:H518" showDropDown="0" showInputMessage="1" showErrorMessage="1" allowBlank="1" errorTitle="PDC clearing account" error="The code is not in D0-06, column Account Code. Enter it there first, or keep it if it is a code BIBS already holds." promptTitle="PDC clearing account" prompt="No. Account of the post-dated checks Allowed: Code of an existing account of the chart of accounts" type="list" errorStyle="warning">
      <formula1>=CODES_D0_06_ACCOUNT_CODE</formula1>
    </dataValidation>
    <dataValidation sqref="I18:I518" showDropDown="0" showInputMessage="1" showErrorMessage="1" allowBlank="1" errorTitle="Branch code" error="The code is not in D0-02, column Branch code. Enter it there first, or keep it if it is a code BIBS already holds." promptTitle="Branch code" prompt="No. Branch of the account Allowed: Code of an existing branch" type="list" errorStyle="warning">
      <formula1>=CODES_D0_02_BRANCH_CODE</formula1>
    </dataValidation>
    <dataValidation sqref="J18:J518" showDropDown="0" showInputMessage="1" showErrorMessage="1" allowBlank="1" errorTitle="Payment notification format" error="Choose a value of the list Payment notification format (D0-11) (sheet Reference lists)." promptTitle="Payment notification format" prompt="Yes. Format of the bank advice Allowed: FIXED_WIDTH, CSV, DCTF (list Payment notification format (D0-11))" type="list" errorStyle="stop">
      <formula1>=LIST_D0_11_PAYMENT_NOTIFICATION_FORMAT</formula1>
    </dataValidation>
  </dataValidations>
  <hyperlinks>
    <hyperlink ref="A2" location="'Start here'!A1"/>
    <hyperlink ref="J2" location="'Questions and comments'!A1"/>
    <hyperlink ref="B8" location="'D0-06 Chart of accounts'!A1"/>
    <hyperlink ref="D8" location="'D0-02 Branches'!A1"/>
    <hyperlink ref="G15" location="'D0-06 Chart of accounts'!C16"/>
    <hyperlink ref="H15" location="'D0-06 Chart of accounts'!C16"/>
    <hyperlink ref="I15" location="'D0-02 Branches'!B17"/>
    <hyperlink ref="J15" location="'Reference lists'!A40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8.xml><?xml version="1.0" encoding="utf-8"?>
<worksheet xmlns="http://schemas.openxmlformats.org/spreadsheetml/2006/main">
  <sheetPr>
    <tabColor rgb="00004EA8"/>
    <outlinePr summaryBelow="0" summaryRight="1"/>
    <pageSetUpPr fitToPage="1"/>
  </sheetPr>
  <dimension ref="A1:W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4" customWidth="1" min="3" max="3"/>
    <col width="22" customWidth="1" min="4" max="4"/>
    <col width="20" customWidth="1" min="5" max="5"/>
    <col width="20" customWidth="1" min="6" max="6"/>
    <col width="22" customWidth="1" min="7" max="7"/>
    <col width="14" customWidth="1" min="8" max="8"/>
    <col width="18" customWidth="1" min="9" max="9"/>
    <col width="16" customWidth="1" min="10" max="10"/>
    <col width="12" customWidth="1" min="11" max="11"/>
    <col width="20" customWidth="1" min="12" max="12"/>
    <col width="20" customWidth="1" min="13" max="13"/>
    <col width="15" customWidth="1" min="14" max="14"/>
    <col width="19" customWidth="1" min="15" max="15"/>
    <col width="25" customWidth="1" min="16" max="16"/>
    <col width="20" customWidth="1" min="17" max="17"/>
    <col width="22" customWidth="1" min="18" max="18"/>
    <col width="12" customWidth="1" min="19" max="19"/>
    <col width="21" customWidth="1" min="20" max="20"/>
    <col width="27" customWidth="1" min="21" max="21"/>
    <col width="30" customWidth="1" min="22" max="22"/>
    <col width="20" customWidth="1" min="23" max="23"/>
  </cols>
  <sheetData>
    <row r="1" ht="26" customHeight="1">
      <c r="A1" s="25" t="inlineStr">
        <is>
          <t>PM-01 Product catalogue</t>
        </is>
      </c>
      <c r="W1" s="26" t="inlineStr">
        <is>
          <t>Step 26 of 52</t>
        </is>
      </c>
    </row>
    <row r="2">
      <c r="A2" s="27" t="inlineStr">
        <is>
          <t>← Back to Start here</t>
        </is>
      </c>
      <c r="B2" s="28" t="inlineStr">
        <is>
          <t>Step 26 of 52. Fill in one row per record below the column headers; the guide above each column says what to enter.</t>
        </is>
      </c>
      <c r="W2" s="29" t="inlineStr">
        <is>
          <t>Ask a question →</t>
        </is>
      </c>
    </row>
    <row r="3" outlineLevel="1" ht="15.5" customHeight="1">
      <c r="A3" s="30" t="inlineStr">
        <is>
          <t>Purpose</t>
        </is>
      </c>
      <c r="B3" s="31" t="inlineStr">
        <is>
          <t>Product lines, cover types and subtypes, and every product (risk code) with its features</t>
        </is>
      </c>
    </row>
    <row r="4" outlineLevel="1" ht="15.5" customHeight="1">
      <c r="A4" s="30" t="inlineStr">
        <is>
          <t>Provided by</t>
        </is>
      </c>
      <c r="B4" s="31" t="inlineStr">
        <is>
          <t>Product Owner, Marketing Business System (MBS)</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Data migration object R05 (product lines, cover types, products) through the catalogue services, pending authorisation; after go-live on Products (SCR-PM-11)</t>
        </is>
      </c>
    </row>
    <row r="7" outlineLevel="1" ht="15.5" customHeight="1">
      <c r="A7" s="30" t="inlineStr">
        <is>
          <t>Source</t>
        </is>
      </c>
      <c r="B7" s="31" t="inlineStr">
        <is>
          <t>Legacy QPS and EBIX product lists, completed by MBS</t>
        </is>
      </c>
    </row>
    <row r="8" outlineLevel="1" ht="26" customHeight="1">
      <c r="A8" s="30" t="inlineStr">
        <is>
          <t>Depends on</t>
        </is>
      </c>
      <c r="B8" s="53" t="inlineStr">
        <is>
          <t>PM-09 Lists of values and parameters →</t>
        </is>
      </c>
      <c r="D8" s="53" t="inlineStr">
        <is>
          <t>R05 Product lines, cover types, products and risk codes →</t>
        </is>
      </c>
    </row>
    <row r="9" ht="26" customHeight="1">
      <c r="A9" s="34" t="inlineStr">
        <is>
          <t>Progress</t>
        </is>
      </c>
      <c r="B9" s="35" t="inlineStr">
        <is>
          <t>Rows entered</t>
        </is>
      </c>
      <c r="C9" s="36">
        <f>SUMPRODUCT(((ROW($B$17:$B$517)&gt;17)+($B$17&lt;&gt;"MOTOR")&gt;0)*(LEN($B$17:$B$517&amp;$C$17:$C$517&amp;$D$17:$D$517&amp;$E$17:$E$517&amp;$F$17:$F$517&amp;$G$17:$G$517&amp;$H$17:$H$517&amp;$I$17:$I$517&amp;$J$17:$J$517&amp;$K$17:$K$517&amp;$L$17:$L$517&amp;$M$17:$M$517&amp;$N$17:$N$517&amp;$O$17:$O$517&amp;$P$17:$P$517&amp;$Q$17:$Q$517&amp;$R$17:$R$517&amp;$S$17:$S$517&amp;$T$17:$T$517&amp;$U$17:$U$517&amp;$V$17:$V$517&amp;$W$17:$W$517)&gt;0))</f>
        <v/>
      </c>
      <c r="D9" s="35" t="inlineStr">
        <is>
          <t>Mandatory cells missing</t>
        </is>
      </c>
      <c r="E9" s="36">
        <f>SUMPRODUCT(((ROW($B$17:$B$517)&gt;17)+($B$17&lt;&gt;"MOTOR")&gt;0)*(LEN($B$17:$B$517&amp;$C$17:$C$517&amp;$D$17:$D$517&amp;$E$17:$E$517&amp;$F$17:$F$517&amp;$G$17:$G$517&amp;$H$17:$H$517&amp;$I$17:$I$517&amp;$J$17:$J$517&amp;$K$17:$K$517&amp;$L$17:$L$517&amp;$M$17:$M$517&amp;$N$17:$N$517&amp;$O$17:$O$517&amp;$P$17:$P$517&amp;$Q$17:$Q$517&amp;$R$17:$R$517&amp;$S$17:$S$517&amp;$T$17:$T$517&amp;$U$17:$U$517&amp;$V$17:$V$517&amp;$W$17:$W$517)&gt;0)*(($B$17:$B$517="")+($C$17:$C$517="")+($H$17:$H$517="")+($I$17:$I$517="")+($K$17:$K$517="")+($M$17:$M$517="")+($P$17:$P$517="")+($Q$17:$Q$517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row>
    <row r="12" ht="30" customHeight="1">
      <c r="A12" s="41" t="inlineStr">
        <is>
          <t>Mandatory</t>
        </is>
      </c>
      <c r="B12" s="42" t="inlineStr">
        <is>
          <t>Yes</t>
        </is>
      </c>
      <c r="C12" s="42" t="inlineStr">
        <is>
          <t>Yes</t>
        </is>
      </c>
      <c r="D12" s="43" t="inlineStr">
        <is>
          <t>No</t>
        </is>
      </c>
      <c r="E12" s="43" t="inlineStr">
        <is>
          <t>Conditional: package products</t>
        </is>
      </c>
      <c r="F12" s="43" t="inlineStr">
        <is>
          <t>Conditional: with the code</t>
        </is>
      </c>
      <c r="G12" s="43" t="inlineStr">
        <is>
          <t>No</t>
        </is>
      </c>
      <c r="H12" s="42" t="inlineStr">
        <is>
          <t>Yes</t>
        </is>
      </c>
      <c r="I12" s="42" t="inlineStr">
        <is>
          <t>Yes</t>
        </is>
      </c>
      <c r="J12" s="43" t="inlineStr">
        <is>
          <t>No</t>
        </is>
      </c>
      <c r="K12" s="42" t="inlineStr">
        <is>
          <t>Yes</t>
        </is>
      </c>
      <c r="L12" s="43" t="inlineStr">
        <is>
          <t>No</t>
        </is>
      </c>
      <c r="M12" s="42" t="inlineStr">
        <is>
          <t>Yes</t>
        </is>
      </c>
      <c r="N12" s="43" t="inlineStr">
        <is>
          <t>No</t>
        </is>
      </c>
      <c r="O12" s="43" t="inlineStr">
        <is>
          <t>No</t>
        </is>
      </c>
      <c r="P12" s="42" t="inlineStr">
        <is>
          <t>Yes</t>
        </is>
      </c>
      <c r="Q12" s="42" t="inlineStr">
        <is>
          <t>Yes</t>
        </is>
      </c>
      <c r="R12" s="43" t="inlineStr">
        <is>
          <t>No</t>
        </is>
      </c>
      <c r="S12" s="43" t="inlineStr">
        <is>
          <t>No</t>
        </is>
      </c>
      <c r="T12" s="43" t="inlineStr">
        <is>
          <t>No</t>
        </is>
      </c>
      <c r="U12" s="43" t="inlineStr">
        <is>
          <t>No</t>
        </is>
      </c>
      <c r="V12" s="43" t="inlineStr">
        <is>
          <t>No</t>
        </is>
      </c>
      <c r="W12" s="43" t="inlineStr">
        <is>
          <t>No</t>
        </is>
      </c>
    </row>
    <row r="13" ht="30" customHeight="1">
      <c r="A13" s="41" t="inlineStr">
        <is>
          <t>Format</t>
        </is>
      </c>
      <c r="B13" s="43" t="inlineStr">
        <is>
          <t>Up to 30 capitals</t>
        </is>
      </c>
      <c r="C13" s="43" t="inlineStr">
        <is>
          <t>Text</t>
        </is>
      </c>
      <c r="D13" s="43" t="inlineStr">
        <is>
          <t>Regular expression</t>
        </is>
      </c>
      <c r="E13" s="43" t="inlineStr">
        <is>
          <t>Up to 30 capitals</t>
        </is>
      </c>
      <c r="F13" s="43" t="inlineStr">
        <is>
          <t>Text</t>
        </is>
      </c>
      <c r="G13" s="43" t="inlineStr">
        <is>
          <t>Cover type code</t>
        </is>
      </c>
      <c r="H13" s="43" t="inlineStr">
        <is>
          <t>1 to 20 capitals or digits</t>
        </is>
      </c>
      <c r="I13" s="43" t="inlineStr">
        <is>
          <t>Up to 200 characters</t>
        </is>
      </c>
      <c r="J13" s="43" t="inlineStr">
        <is>
          <t>Text</t>
        </is>
      </c>
      <c r="K13" s="43" t="inlineStr">
        <is>
          <t>Y or N</t>
        </is>
      </c>
      <c r="L13" s="43" t="inlineStr">
        <is>
          <t>Codes separated by commas; blank = all</t>
        </is>
      </c>
      <c r="M13" s="43" t="inlineStr">
        <is>
          <t>PAID or CLIENT_CONFIRMATION</t>
        </is>
      </c>
      <c r="N13" s="43" t="inlineStr">
        <is>
          <t>BY_RULES, ALWAYS or NEVER</t>
        </is>
      </c>
      <c r="O13" s="43" t="inlineStr">
        <is>
          <t>Up to four decimals</t>
        </is>
      </c>
      <c r="P13" s="43" t="inlineStr">
        <is>
          <t>Percentage</t>
        </is>
      </c>
      <c r="Q13" s="43" t="inlineStr">
        <is>
          <t>Amount in PHP</t>
        </is>
      </c>
      <c r="R13" s="43" t="inlineStr">
        <is>
          <t>Amount in PHP</t>
        </is>
      </c>
      <c r="S13" s="43" t="inlineStr">
        <is>
          <t>Y or N</t>
        </is>
      </c>
      <c r="T13" s="43" t="inlineStr">
        <is>
          <t>Y or N</t>
        </is>
      </c>
      <c r="U13" s="43" t="inlineStr">
        <is>
          <t>Y or N</t>
        </is>
      </c>
      <c r="V13" s="43" t="inlineStr">
        <is>
          <t>Y or N; 2 to 10 years</t>
        </is>
      </c>
      <c r="W13" s="43" t="inlineStr">
        <is>
          <t>Y or N</t>
        </is>
      </c>
    </row>
    <row r="14" ht="56" customHeight="1">
      <c r="A14" s="41" t="inlineStr">
        <is>
          <t>Allowed values</t>
        </is>
      </c>
      <c r="B14" s="43" t="inlineStr">
        <is>
          <t>Free entry, up to 30 characters</t>
        </is>
      </c>
      <c r="C14" s="43" t="inlineStr">
        <is>
          <t>Free entry</t>
        </is>
      </c>
      <c r="D14" s="43" t="inlineStr">
        <is>
          <t>Free entry</t>
        </is>
      </c>
      <c r="E14" s="43" t="inlineStr">
        <is>
          <t>Free entry, up to 30 characters</t>
        </is>
      </c>
      <c r="F14" s="43" t="inlineStr">
        <is>
          <t>Free entry</t>
        </is>
      </c>
      <c r="G14" s="51" t="inlineStr">
        <is>
          <t>A code of PM-01 Product catalogue, column Cover type code</t>
        </is>
      </c>
      <c r="H14" s="43" t="inlineStr">
        <is>
          <t>Free entry, up to 20 characters</t>
        </is>
      </c>
      <c r="I14" s="43" t="inlineStr">
        <is>
          <t>Free entry, up to 200 characters</t>
        </is>
      </c>
      <c r="J14" s="43" t="inlineStr">
        <is>
          <t>Free entry</t>
        </is>
      </c>
      <c r="K14" s="43" t="inlineStr">
        <is>
          <t>Y or N</t>
        </is>
      </c>
      <c r="L14" s="51" t="inlineStr">
        <is>
          <t>One or more codes of the list Market segment (Reference lists), separated by commas</t>
        </is>
      </c>
      <c r="M14" s="51" t="inlineStr">
        <is>
          <t>PAID, CLIENT_CONFIRMATION (list Placement after)</t>
        </is>
      </c>
      <c r="N14" s="51" t="inlineStr">
        <is>
          <t>BY_RULES, ALWAYS, NEVER (list TSU review)</t>
        </is>
      </c>
      <c r="O14" s="43" t="inlineStr">
        <is>
          <t>A number from 0 to 100</t>
        </is>
      </c>
      <c r="P14" s="43" t="inlineStr">
        <is>
          <t>A number from 0 to 100</t>
        </is>
      </c>
      <c r="Q14" s="43" t="inlineStr">
        <is>
          <t>A number</t>
        </is>
      </c>
      <c r="R14" s="43" t="inlineStr">
        <is>
          <t>A number</t>
        </is>
      </c>
      <c r="S14" s="43" t="inlineStr">
        <is>
          <t>Y or N</t>
        </is>
      </c>
      <c r="T14" s="43" t="inlineStr">
        <is>
          <t>Y or N</t>
        </is>
      </c>
      <c r="U14" s="43" t="inlineStr">
        <is>
          <t>Y or N</t>
        </is>
      </c>
      <c r="V14" s="43" t="inlineStr">
        <is>
          <t>Free entry</t>
        </is>
      </c>
      <c r="W14" s="43" t="inlineStr">
        <is>
          <t>Y or N</t>
        </is>
      </c>
    </row>
    <row r="15" ht="69" customHeight="1">
      <c r="A15" s="41" t="inlineStr">
        <is>
          <t>What to enter</t>
        </is>
      </c>
      <c r="B15" s="43" t="inlineStr">
        <is>
          <t>Product line (level 1), for example MOTOR, PROPERTY</t>
        </is>
      </c>
      <c r="C15" s="43" t="inlineStr">
        <is>
          <t>Name shown in the drop-downs</t>
        </is>
      </c>
      <c r="D15" s="43" t="inlineStr">
        <is>
          <t>Naming convention of the risk codes of the line, when BDOI states one</t>
        </is>
      </c>
      <c r="E15" s="43" t="inlineStr">
        <is>
          <t>Cover type (level 2) of the line</t>
        </is>
      </c>
      <c r="F15" s="43" t="inlineStr">
        <is>
          <t>Name of the cover type</t>
        </is>
      </c>
      <c r="G15" s="43" t="inlineStr">
        <is>
          <t>Only for a subtype (one level below a cover type)</t>
        </is>
      </c>
      <c r="H15" s="43" t="inlineStr">
        <is>
          <t>Product code (level 3); unique</t>
        </is>
      </c>
      <c r="I15" s="43" t="inlineStr">
        <is>
          <t>Name shown to users</t>
        </is>
      </c>
      <c r="J15" s="43" t="inlineStr">
        <is>
          <t>Code of the product in QPS or EBIX, for the migration map</t>
        </is>
      </c>
      <c r="K15" s="43" t="inlineStr">
        <is>
          <t>Y for a package product (terms change through versions)</t>
        </is>
      </c>
      <c r="L15" s="43" t="inlineStr">
        <is>
          <t>Segments the product is offered to (list MARKET_SEGMENT)</t>
        </is>
      </c>
      <c r="M15" s="43" t="inlineStr">
        <is>
          <t>Payment gate before placement</t>
        </is>
      </c>
      <c r="N15" s="43" t="inlineStr">
        <is>
          <t>When TSU reviews an account of the product</t>
        </is>
      </c>
      <c r="O15" s="43" t="inlineStr">
        <is>
          <t>Rate of a non-package product; for a package, of version 1</t>
        </is>
      </c>
      <c r="P15" s="43" t="inlineStr">
        <is>
          <t>Commission when no insurer rate applies</t>
        </is>
      </c>
      <c r="Q15" s="43" t="inlineStr">
        <is>
          <t>Minimum premium of the product</t>
        </is>
      </c>
      <c r="R15" s="43" t="inlineStr">
        <is>
          <t>Above it the account goes to TSU</t>
        </is>
      </c>
      <c r="S15" s="43" t="inlineStr">
        <is>
          <t>Several vehicles on one account</t>
        </is>
      </c>
      <c r="T15" s="43" t="inlineStr">
        <is>
          <t>Mortgage or loan related</t>
        </is>
      </c>
      <c r="U15" s="43" t="inlineStr">
        <is>
          <t>Premium may be paid directly to the insurer</t>
        </is>
      </c>
      <c r="V15" s="43" t="inlineStr">
        <is>
          <t>Multi-year term and its maximum</t>
        </is>
      </c>
      <c r="W15" s="43" t="inlineStr">
        <is>
          <t>Free First Year eligible</t>
        </is>
      </c>
    </row>
    <row r="16" ht="30" customHeight="1">
      <c r="A16" s="44" t="inlineStr">
        <is>
          <t>Row</t>
        </is>
      </c>
      <c r="B16" s="45" t="inlineStr">
        <is>
          <t>Line code *</t>
        </is>
      </c>
      <c r="C16" s="45" t="inlineStr">
        <is>
          <t>Line name *</t>
        </is>
      </c>
      <c r="D16" s="45" t="inlineStr">
        <is>
          <t>Risk-code pattern</t>
        </is>
      </c>
      <c r="E16" s="45" t="inlineStr">
        <is>
          <t>Cover type code</t>
        </is>
      </c>
      <c r="F16" s="45" t="inlineStr">
        <is>
          <t>Cover type name</t>
        </is>
      </c>
      <c r="G16" s="45" t="inlineStr">
        <is>
          <t>Parent cover type</t>
        </is>
      </c>
      <c r="H16" s="45" t="inlineStr">
        <is>
          <t>Risk code *</t>
        </is>
      </c>
      <c r="I16" s="45" t="inlineStr">
        <is>
          <t>Product name *</t>
        </is>
      </c>
      <c r="J16" s="45" t="inlineStr">
        <is>
          <t>Legacy code</t>
        </is>
      </c>
      <c r="K16" s="45" t="inlineStr">
        <is>
          <t>Package *</t>
        </is>
      </c>
      <c r="L16" s="45" t="inlineStr">
        <is>
          <t>Market segments</t>
        </is>
      </c>
      <c r="M16" s="45" t="inlineStr">
        <is>
          <t>Placement after *</t>
        </is>
      </c>
      <c r="N16" s="45" t="inlineStr">
        <is>
          <t>TSU review</t>
        </is>
      </c>
      <c r="O16" s="45" t="inlineStr">
        <is>
          <t>Default rate %</t>
        </is>
      </c>
      <c r="P16" s="45" t="inlineStr">
        <is>
          <t>Default commission % *</t>
        </is>
      </c>
      <c r="Q16" s="45" t="inlineStr">
        <is>
          <t>Minimum premium *</t>
        </is>
      </c>
      <c r="R16" s="45" t="inlineStr">
        <is>
          <t>Package TSI limit</t>
        </is>
      </c>
      <c r="S16" s="45" t="inlineStr">
        <is>
          <t>Fleet</t>
        </is>
      </c>
      <c r="T16" s="45" t="inlineStr">
        <is>
          <t>Mortgage related</t>
        </is>
      </c>
      <c r="U16" s="45" t="inlineStr">
        <is>
          <t>Direct payment allowed</t>
        </is>
      </c>
      <c r="V16" s="45" t="inlineStr">
        <is>
          <t>Multi-year / Maximum term</t>
        </is>
      </c>
      <c r="W16" s="45" t="inlineStr">
        <is>
          <t>Free First Year</t>
        </is>
      </c>
    </row>
    <row r="17" ht="18" customHeight="1">
      <c r="A17" s="46" t="inlineStr">
        <is>
          <t>Example – overwrite or delete</t>
        </is>
      </c>
      <c r="B17" s="47" t="inlineStr">
        <is>
          <t>MOTOR</t>
        </is>
      </c>
      <c r="C17" s="47" t="inlineStr">
        <is>
          <t>Motor</t>
        </is>
      </c>
      <c r="D17" s="47" t="inlineStr">
        <is>
          <t>MTR[0-9]{2}</t>
        </is>
      </c>
      <c r="E17" s="47" t="inlineStr">
        <is>
          <t>COMPREHENSIVE</t>
        </is>
      </c>
      <c r="F17" s="47" t="inlineStr">
        <is>
          <t>Comprehensive</t>
        </is>
      </c>
      <c r="G17" s="47" t="n"/>
      <c r="H17" s="47" t="inlineStr">
        <is>
          <t>MTR30</t>
        </is>
      </c>
      <c r="I17" s="47" t="inlineStr">
        <is>
          <t>Motor Fleet Plus</t>
        </is>
      </c>
      <c r="J17" s="47" t="inlineStr">
        <is>
          <t>QPS-MFP</t>
        </is>
      </c>
      <c r="K17" s="47" t="inlineStr">
        <is>
          <t>Y</t>
        </is>
      </c>
      <c r="L17" s="47" t="inlineStr">
        <is>
          <t>COMBANK</t>
        </is>
      </c>
      <c r="M17" s="47" t="inlineStr">
        <is>
          <t>PAID</t>
        </is>
      </c>
      <c r="N17" s="47" t="inlineStr">
        <is>
          <t>BY_RULES</t>
        </is>
      </c>
      <c r="O17" s="52" t="n">
        <v>1.2</v>
      </c>
      <c r="P17" s="52" t="n">
        <v>15</v>
      </c>
      <c r="Q17" s="52" t="n">
        <v>5000</v>
      </c>
      <c r="R17" s="52" t="n">
        <v>5000000</v>
      </c>
      <c r="S17" s="47" t="inlineStr">
        <is>
          <t>Y</t>
        </is>
      </c>
      <c r="T17" s="47" t="inlineStr">
        <is>
          <t>N</t>
        </is>
      </c>
      <c r="U17" s="47" t="inlineStr">
        <is>
          <t>N</t>
        </is>
      </c>
      <c r="V17" s="47" t="inlineStr">
        <is>
          <t>N</t>
        </is>
      </c>
      <c r="W17" s="47" t="inlineStr">
        <is>
          <t>N</t>
        </is>
      </c>
    </row>
    <row r="18">
      <c r="B18" s="49" t="n"/>
      <c r="C18" s="49" t="n"/>
      <c r="D18" s="49" t="n"/>
      <c r="E18" s="49" t="n"/>
      <c r="F18" s="49" t="n"/>
      <c r="G18" s="49" t="n"/>
      <c r="H18" s="49" t="n"/>
      <c r="I18" s="49" t="n"/>
      <c r="J18" s="49" t="n"/>
      <c r="K18" s="49" t="n"/>
      <c r="L18" s="49" t="n"/>
      <c r="M18" s="49" t="n"/>
      <c r="N18" s="49" t="n"/>
      <c r="S18" s="49" t="n"/>
      <c r="T18" s="49" t="n"/>
      <c r="U18" s="49" t="n"/>
      <c r="V18" s="49" t="n"/>
      <c r="W18" s="49" t="n"/>
    </row>
    <row r="19">
      <c r="B19" s="49" t="n"/>
      <c r="C19" s="49" t="n"/>
      <c r="D19" s="49" t="n"/>
      <c r="E19" s="49" t="n"/>
      <c r="F19" s="49" t="n"/>
      <c r="G19" s="49" t="n"/>
      <c r="H19" s="49" t="n"/>
      <c r="I19" s="49" t="n"/>
      <c r="J19" s="49" t="n"/>
      <c r="K19" s="49" t="n"/>
      <c r="L19" s="49" t="n"/>
      <c r="M19" s="49" t="n"/>
      <c r="N19" s="49" t="n"/>
      <c r="S19" s="49" t="n"/>
      <c r="T19" s="49" t="n"/>
      <c r="U19" s="49" t="n"/>
      <c r="V19" s="49" t="n"/>
      <c r="W19" s="49" t="n"/>
    </row>
    <row r="20">
      <c r="B20" s="49" t="n"/>
      <c r="C20" s="49" t="n"/>
      <c r="D20" s="49" t="n"/>
      <c r="E20" s="49" t="n"/>
      <c r="F20" s="49" t="n"/>
      <c r="G20" s="49" t="n"/>
      <c r="H20" s="49" t="n"/>
      <c r="I20" s="49" t="n"/>
      <c r="J20" s="49" t="n"/>
      <c r="K20" s="49" t="n"/>
      <c r="L20" s="49" t="n"/>
      <c r="M20" s="49" t="n"/>
      <c r="N20" s="49" t="n"/>
      <c r="S20" s="49" t="n"/>
      <c r="T20" s="49" t="n"/>
      <c r="U20" s="49" t="n"/>
      <c r="V20" s="49" t="n"/>
      <c r="W20" s="49" t="n"/>
    </row>
    <row r="21">
      <c r="B21" s="49" t="n"/>
      <c r="C21" s="49" t="n"/>
      <c r="D21" s="49" t="n"/>
      <c r="E21" s="49" t="n"/>
      <c r="F21" s="49" t="n"/>
      <c r="G21" s="49" t="n"/>
      <c r="H21" s="49" t="n"/>
      <c r="I21" s="49" t="n"/>
      <c r="J21" s="49" t="n"/>
      <c r="K21" s="49" t="n"/>
      <c r="L21" s="49" t="n"/>
      <c r="M21" s="49" t="n"/>
      <c r="N21" s="49" t="n"/>
      <c r="S21" s="49" t="n"/>
      <c r="T21" s="49" t="n"/>
      <c r="U21" s="49" t="n"/>
      <c r="V21" s="49" t="n"/>
      <c r="W21" s="49" t="n"/>
    </row>
    <row r="22">
      <c r="B22" s="49" t="n"/>
      <c r="C22" s="49" t="n"/>
      <c r="D22" s="49" t="n"/>
      <c r="E22" s="49" t="n"/>
      <c r="F22" s="49" t="n"/>
      <c r="G22" s="49" t="n"/>
      <c r="H22" s="49" t="n"/>
      <c r="I22" s="49" t="n"/>
      <c r="J22" s="49" t="n"/>
      <c r="K22" s="49" t="n"/>
      <c r="L22" s="49" t="n"/>
      <c r="M22" s="49" t="n"/>
      <c r="N22" s="49" t="n"/>
      <c r="S22" s="49" t="n"/>
      <c r="T22" s="49" t="n"/>
      <c r="U22" s="49" t="n"/>
      <c r="V22" s="49" t="n"/>
      <c r="W22" s="49" t="n"/>
    </row>
    <row r="23">
      <c r="B23" s="49" t="n"/>
      <c r="C23" s="49" t="n"/>
      <c r="D23" s="49" t="n"/>
      <c r="E23" s="49" t="n"/>
      <c r="F23" s="49" t="n"/>
      <c r="G23" s="49" t="n"/>
      <c r="H23" s="49" t="n"/>
      <c r="I23" s="49" t="n"/>
      <c r="J23" s="49" t="n"/>
      <c r="K23" s="49" t="n"/>
      <c r="L23" s="49" t="n"/>
      <c r="M23" s="49" t="n"/>
      <c r="N23" s="49" t="n"/>
      <c r="S23" s="49" t="n"/>
      <c r="T23" s="49" t="n"/>
      <c r="U23" s="49" t="n"/>
      <c r="V23" s="49" t="n"/>
      <c r="W23" s="49" t="n"/>
    </row>
    <row r="24">
      <c r="B24" s="49" t="n"/>
      <c r="C24" s="49" t="n"/>
      <c r="D24" s="49" t="n"/>
      <c r="E24" s="49" t="n"/>
      <c r="F24" s="49" t="n"/>
      <c r="G24" s="49" t="n"/>
      <c r="H24" s="49" t="n"/>
      <c r="I24" s="49" t="n"/>
      <c r="J24" s="49" t="n"/>
      <c r="K24" s="49" t="n"/>
      <c r="L24" s="49" t="n"/>
      <c r="M24" s="49" t="n"/>
      <c r="N24" s="49" t="n"/>
      <c r="S24" s="49" t="n"/>
      <c r="T24" s="49" t="n"/>
      <c r="U24" s="49" t="n"/>
      <c r="V24" s="49" t="n"/>
      <c r="W24" s="49" t="n"/>
    </row>
    <row r="25">
      <c r="B25" s="49" t="n"/>
      <c r="C25" s="49" t="n"/>
      <c r="D25" s="49" t="n"/>
      <c r="E25" s="49" t="n"/>
      <c r="F25" s="49" t="n"/>
      <c r="G25" s="49" t="n"/>
      <c r="H25" s="49" t="n"/>
      <c r="I25" s="49" t="n"/>
      <c r="J25" s="49" t="n"/>
      <c r="K25" s="49" t="n"/>
      <c r="L25" s="49" t="n"/>
      <c r="M25" s="49" t="n"/>
      <c r="N25" s="49" t="n"/>
      <c r="S25" s="49" t="n"/>
      <c r="T25" s="49" t="n"/>
      <c r="U25" s="49" t="n"/>
      <c r="V25" s="49" t="n"/>
      <c r="W25" s="49" t="n"/>
    </row>
    <row r="26">
      <c r="B26" s="49" t="n"/>
      <c r="C26" s="49" t="n"/>
      <c r="D26" s="49" t="n"/>
      <c r="E26" s="49" t="n"/>
      <c r="F26" s="49" t="n"/>
      <c r="G26" s="49" t="n"/>
      <c r="H26" s="49" t="n"/>
      <c r="I26" s="49" t="n"/>
      <c r="J26" s="49" t="n"/>
      <c r="K26" s="49" t="n"/>
      <c r="L26" s="49" t="n"/>
      <c r="M26" s="49" t="n"/>
      <c r="N26" s="49" t="n"/>
      <c r="S26" s="49" t="n"/>
      <c r="T26" s="49" t="n"/>
      <c r="U26" s="49" t="n"/>
      <c r="V26" s="49" t="n"/>
      <c r="W26" s="49" t="n"/>
    </row>
    <row r="27">
      <c r="B27" s="49" t="n"/>
      <c r="C27" s="49" t="n"/>
      <c r="D27" s="49" t="n"/>
      <c r="E27" s="49" t="n"/>
      <c r="F27" s="49" t="n"/>
      <c r="G27" s="49" t="n"/>
      <c r="H27" s="49" t="n"/>
      <c r="I27" s="49" t="n"/>
      <c r="J27" s="49" t="n"/>
      <c r="K27" s="49" t="n"/>
      <c r="L27" s="49" t="n"/>
      <c r="M27" s="49" t="n"/>
      <c r="N27" s="49" t="n"/>
      <c r="S27" s="49" t="n"/>
      <c r="T27" s="49" t="n"/>
      <c r="U27" s="49" t="n"/>
      <c r="V27" s="49" t="n"/>
      <c r="W27" s="49" t="n"/>
    </row>
    <row r="28">
      <c r="B28" s="49" t="n"/>
      <c r="C28" s="49" t="n"/>
      <c r="D28" s="49" t="n"/>
      <c r="E28" s="49" t="n"/>
      <c r="F28" s="49" t="n"/>
      <c r="G28" s="49" t="n"/>
      <c r="H28" s="49" t="n"/>
      <c r="I28" s="49" t="n"/>
      <c r="J28" s="49" t="n"/>
      <c r="K28" s="49" t="n"/>
      <c r="L28" s="49" t="n"/>
      <c r="M28" s="49" t="n"/>
      <c r="N28" s="49" t="n"/>
      <c r="S28" s="49" t="n"/>
      <c r="T28" s="49" t="n"/>
      <c r="U28" s="49" t="n"/>
      <c r="V28" s="49" t="n"/>
      <c r="W28" s="49" t="n"/>
    </row>
    <row r="29">
      <c r="B29" s="49" t="n"/>
      <c r="C29" s="49" t="n"/>
      <c r="D29" s="49" t="n"/>
      <c r="E29" s="49" t="n"/>
      <c r="F29" s="49" t="n"/>
      <c r="G29" s="49" t="n"/>
      <c r="H29" s="49" t="n"/>
      <c r="I29" s="49" t="n"/>
      <c r="J29" s="49" t="n"/>
      <c r="K29" s="49" t="n"/>
      <c r="L29" s="49" t="n"/>
      <c r="M29" s="49" t="n"/>
      <c r="N29" s="49" t="n"/>
      <c r="S29" s="49" t="n"/>
      <c r="T29" s="49" t="n"/>
      <c r="U29" s="49" t="n"/>
      <c r="V29" s="49" t="n"/>
      <c r="W29" s="49" t="n"/>
    </row>
    <row r="30">
      <c r="B30" s="49" t="n"/>
      <c r="C30" s="49" t="n"/>
      <c r="D30" s="49" t="n"/>
      <c r="E30" s="49" t="n"/>
      <c r="F30" s="49" t="n"/>
      <c r="G30" s="49" t="n"/>
      <c r="H30" s="49" t="n"/>
      <c r="I30" s="49" t="n"/>
      <c r="J30" s="49" t="n"/>
      <c r="K30" s="49" t="n"/>
      <c r="L30" s="49" t="n"/>
      <c r="M30" s="49" t="n"/>
      <c r="N30" s="49" t="n"/>
      <c r="S30" s="49" t="n"/>
      <c r="T30" s="49" t="n"/>
      <c r="U30" s="49" t="n"/>
      <c r="V30" s="49" t="n"/>
      <c r="W30" s="49" t="n"/>
    </row>
    <row r="31">
      <c r="B31" s="49" t="n"/>
      <c r="C31" s="49" t="n"/>
      <c r="D31" s="49" t="n"/>
      <c r="E31" s="49" t="n"/>
      <c r="F31" s="49" t="n"/>
      <c r="G31" s="49" t="n"/>
      <c r="H31" s="49" t="n"/>
      <c r="I31" s="49" t="n"/>
      <c r="J31" s="49" t="n"/>
      <c r="K31" s="49" t="n"/>
      <c r="L31" s="49" t="n"/>
      <c r="M31" s="49" t="n"/>
      <c r="N31" s="49" t="n"/>
      <c r="S31" s="49" t="n"/>
      <c r="T31" s="49" t="n"/>
      <c r="U31" s="49" t="n"/>
      <c r="V31" s="49" t="n"/>
      <c r="W31" s="49" t="n"/>
    </row>
    <row r="32">
      <c r="B32" s="49" t="n"/>
      <c r="C32" s="49" t="n"/>
      <c r="D32" s="49" t="n"/>
      <c r="E32" s="49" t="n"/>
      <c r="F32" s="49" t="n"/>
      <c r="G32" s="49" t="n"/>
      <c r="H32" s="49" t="n"/>
      <c r="I32" s="49" t="n"/>
      <c r="J32" s="49" t="n"/>
      <c r="K32" s="49" t="n"/>
      <c r="L32" s="49" t="n"/>
      <c r="M32" s="49" t="n"/>
      <c r="N32" s="49" t="n"/>
      <c r="S32" s="49" t="n"/>
      <c r="T32" s="49" t="n"/>
      <c r="U32" s="49" t="n"/>
      <c r="V32" s="49" t="n"/>
      <c r="W32" s="49" t="n"/>
    </row>
    <row r="33">
      <c r="B33" s="49" t="n"/>
      <c r="C33" s="49" t="n"/>
      <c r="D33" s="49" t="n"/>
      <c r="E33" s="49" t="n"/>
      <c r="F33" s="49" t="n"/>
      <c r="G33" s="49" t="n"/>
      <c r="H33" s="49" t="n"/>
      <c r="I33" s="49" t="n"/>
      <c r="J33" s="49" t="n"/>
      <c r="K33" s="49" t="n"/>
      <c r="L33" s="49" t="n"/>
      <c r="M33" s="49" t="n"/>
      <c r="N33" s="49" t="n"/>
      <c r="S33" s="49" t="n"/>
      <c r="T33" s="49" t="n"/>
      <c r="U33" s="49" t="n"/>
      <c r="V33" s="49" t="n"/>
      <c r="W33" s="49" t="n"/>
    </row>
    <row r="34">
      <c r="B34" s="49" t="n"/>
      <c r="C34" s="49" t="n"/>
      <c r="D34" s="49" t="n"/>
      <c r="E34" s="49" t="n"/>
      <c r="F34" s="49" t="n"/>
      <c r="G34" s="49" t="n"/>
      <c r="H34" s="49" t="n"/>
      <c r="I34" s="49" t="n"/>
      <c r="J34" s="49" t="n"/>
      <c r="K34" s="49" t="n"/>
      <c r="L34" s="49" t="n"/>
      <c r="M34" s="49" t="n"/>
      <c r="N34" s="49" t="n"/>
      <c r="S34" s="49" t="n"/>
      <c r="T34" s="49" t="n"/>
      <c r="U34" s="49" t="n"/>
      <c r="V34" s="49" t="n"/>
      <c r="W34" s="49" t="n"/>
    </row>
    <row r="35">
      <c r="B35" s="49" t="n"/>
      <c r="C35" s="49" t="n"/>
      <c r="D35" s="49" t="n"/>
      <c r="E35" s="49" t="n"/>
      <c r="F35" s="49" t="n"/>
      <c r="G35" s="49" t="n"/>
      <c r="H35" s="49" t="n"/>
      <c r="I35" s="49" t="n"/>
      <c r="J35" s="49" t="n"/>
      <c r="K35" s="49" t="n"/>
      <c r="L35" s="49" t="n"/>
      <c r="M35" s="49" t="n"/>
      <c r="N35" s="49" t="n"/>
      <c r="S35" s="49" t="n"/>
      <c r="T35" s="49" t="n"/>
      <c r="U35" s="49" t="n"/>
      <c r="V35" s="49" t="n"/>
      <c r="W35" s="49" t="n"/>
    </row>
    <row r="36">
      <c r="B36" s="49" t="n"/>
      <c r="C36" s="49" t="n"/>
      <c r="D36" s="49" t="n"/>
      <c r="E36" s="49" t="n"/>
      <c r="F36" s="49" t="n"/>
      <c r="G36" s="49" t="n"/>
      <c r="H36" s="49" t="n"/>
      <c r="I36" s="49" t="n"/>
      <c r="J36" s="49" t="n"/>
      <c r="K36" s="49" t="n"/>
      <c r="L36" s="49" t="n"/>
      <c r="M36" s="49" t="n"/>
      <c r="N36" s="49" t="n"/>
      <c r="S36" s="49" t="n"/>
      <c r="T36" s="49" t="n"/>
      <c r="U36" s="49" t="n"/>
      <c r="V36" s="49" t="n"/>
      <c r="W36" s="49" t="n"/>
    </row>
    <row r="37">
      <c r="B37" s="49" t="n"/>
      <c r="C37" s="49" t="n"/>
      <c r="D37" s="49" t="n"/>
      <c r="E37" s="49" t="n"/>
      <c r="F37" s="49" t="n"/>
      <c r="G37" s="49" t="n"/>
      <c r="H37" s="49" t="n"/>
      <c r="I37" s="49" t="n"/>
      <c r="J37" s="49" t="n"/>
      <c r="K37" s="49" t="n"/>
      <c r="L37" s="49" t="n"/>
      <c r="M37" s="49" t="n"/>
      <c r="N37" s="49" t="n"/>
      <c r="S37" s="49" t="n"/>
      <c r="T37" s="49" t="n"/>
      <c r="U37" s="49" t="n"/>
      <c r="V37" s="49" t="n"/>
      <c r="W37" s="49" t="n"/>
    </row>
    <row r="38">
      <c r="B38" s="49" t="n"/>
      <c r="C38" s="49" t="n"/>
      <c r="D38" s="49" t="n"/>
      <c r="E38" s="49" t="n"/>
      <c r="F38" s="49" t="n"/>
      <c r="G38" s="49" t="n"/>
      <c r="H38" s="49" t="n"/>
      <c r="I38" s="49" t="n"/>
      <c r="J38" s="49" t="n"/>
      <c r="K38" s="49" t="n"/>
      <c r="L38" s="49" t="n"/>
      <c r="M38" s="49" t="n"/>
      <c r="N38" s="49" t="n"/>
      <c r="S38" s="49" t="n"/>
      <c r="T38" s="49" t="n"/>
      <c r="U38" s="49" t="n"/>
      <c r="V38" s="49" t="n"/>
      <c r="W38" s="49" t="n"/>
    </row>
    <row r="39">
      <c r="B39" s="49" t="n"/>
      <c r="C39" s="49" t="n"/>
      <c r="D39" s="49" t="n"/>
      <c r="E39" s="49" t="n"/>
      <c r="F39" s="49" t="n"/>
      <c r="G39" s="49" t="n"/>
      <c r="H39" s="49" t="n"/>
      <c r="I39" s="49" t="n"/>
      <c r="J39" s="49" t="n"/>
      <c r="K39" s="49" t="n"/>
      <c r="L39" s="49" t="n"/>
      <c r="M39" s="49" t="n"/>
      <c r="N39" s="49" t="n"/>
      <c r="S39" s="49" t="n"/>
      <c r="T39" s="49" t="n"/>
      <c r="U39" s="49" t="n"/>
      <c r="V39" s="49" t="n"/>
      <c r="W39" s="49" t="n"/>
    </row>
    <row r="40">
      <c r="B40" s="49" t="n"/>
      <c r="C40" s="49" t="n"/>
      <c r="D40" s="49" t="n"/>
      <c r="E40" s="49" t="n"/>
      <c r="F40" s="49" t="n"/>
      <c r="G40" s="49" t="n"/>
      <c r="H40" s="49" t="n"/>
      <c r="I40" s="49" t="n"/>
      <c r="J40" s="49" t="n"/>
      <c r="K40" s="49" t="n"/>
      <c r="L40" s="49" t="n"/>
      <c r="M40" s="49" t="n"/>
      <c r="N40" s="49" t="n"/>
      <c r="S40" s="49" t="n"/>
      <c r="T40" s="49" t="n"/>
      <c r="U40" s="49" t="n"/>
      <c r="V40" s="49" t="n"/>
      <c r="W40" s="49" t="n"/>
    </row>
    <row r="41">
      <c r="B41" s="49" t="n"/>
      <c r="C41" s="49" t="n"/>
      <c r="D41" s="49" t="n"/>
      <c r="E41" s="49" t="n"/>
      <c r="F41" s="49" t="n"/>
      <c r="G41" s="49" t="n"/>
      <c r="H41" s="49" t="n"/>
      <c r="I41" s="49" t="n"/>
      <c r="J41" s="49" t="n"/>
      <c r="K41" s="49" t="n"/>
      <c r="L41" s="49" t="n"/>
      <c r="M41" s="49" t="n"/>
      <c r="N41" s="49" t="n"/>
      <c r="S41" s="49" t="n"/>
      <c r="T41" s="49" t="n"/>
      <c r="U41" s="49" t="n"/>
      <c r="V41" s="49" t="n"/>
      <c r="W41" s="49" t="n"/>
    </row>
    <row r="42">
      <c r="B42" s="49" t="n"/>
      <c r="C42" s="49" t="n"/>
      <c r="D42" s="49" t="n"/>
      <c r="E42" s="49" t="n"/>
      <c r="F42" s="49" t="n"/>
      <c r="G42" s="49" t="n"/>
      <c r="H42" s="49" t="n"/>
      <c r="I42" s="49" t="n"/>
      <c r="J42" s="49" t="n"/>
      <c r="K42" s="49" t="n"/>
      <c r="L42" s="49" t="n"/>
      <c r="M42" s="49" t="n"/>
      <c r="N42" s="49" t="n"/>
      <c r="S42" s="49" t="n"/>
      <c r="T42" s="49" t="n"/>
      <c r="U42" s="49" t="n"/>
      <c r="V42" s="49" t="n"/>
      <c r="W42" s="49" t="n"/>
    </row>
    <row r="43">
      <c r="B43" s="49" t="n"/>
      <c r="C43" s="49" t="n"/>
      <c r="D43" s="49" t="n"/>
      <c r="E43" s="49" t="n"/>
      <c r="F43" s="49" t="n"/>
      <c r="G43" s="49" t="n"/>
      <c r="H43" s="49" t="n"/>
      <c r="I43" s="49" t="n"/>
      <c r="J43" s="49" t="n"/>
      <c r="K43" s="49" t="n"/>
      <c r="L43" s="49" t="n"/>
      <c r="M43" s="49" t="n"/>
      <c r="N43" s="49" t="n"/>
      <c r="S43" s="49" t="n"/>
      <c r="T43" s="49" t="n"/>
      <c r="U43" s="49" t="n"/>
      <c r="V43" s="49" t="n"/>
      <c r="W43" s="49" t="n"/>
    </row>
    <row r="44">
      <c r="B44" s="49" t="n"/>
      <c r="C44" s="49" t="n"/>
      <c r="D44" s="49" t="n"/>
      <c r="E44" s="49" t="n"/>
      <c r="F44" s="49" t="n"/>
      <c r="G44" s="49" t="n"/>
      <c r="H44" s="49" t="n"/>
      <c r="I44" s="49" t="n"/>
      <c r="J44" s="49" t="n"/>
      <c r="K44" s="49" t="n"/>
      <c r="L44" s="49" t="n"/>
      <c r="M44" s="49" t="n"/>
      <c r="N44" s="49" t="n"/>
      <c r="S44" s="49" t="n"/>
      <c r="T44" s="49" t="n"/>
      <c r="U44" s="49" t="n"/>
      <c r="V44" s="49" t="n"/>
      <c r="W44" s="49" t="n"/>
    </row>
    <row r="45">
      <c r="B45" s="49" t="n"/>
      <c r="C45" s="49" t="n"/>
      <c r="D45" s="49" t="n"/>
      <c r="E45" s="49" t="n"/>
      <c r="F45" s="49" t="n"/>
      <c r="G45" s="49" t="n"/>
      <c r="H45" s="49" t="n"/>
      <c r="I45" s="49" t="n"/>
      <c r="J45" s="49" t="n"/>
      <c r="K45" s="49" t="n"/>
      <c r="L45" s="49" t="n"/>
      <c r="M45" s="49" t="n"/>
      <c r="N45" s="49" t="n"/>
      <c r="S45" s="49" t="n"/>
      <c r="T45" s="49" t="n"/>
      <c r="U45" s="49" t="n"/>
      <c r="V45" s="49" t="n"/>
      <c r="W45" s="49" t="n"/>
    </row>
    <row r="46">
      <c r="B46" s="49" t="n"/>
      <c r="C46" s="49" t="n"/>
      <c r="D46" s="49" t="n"/>
      <c r="E46" s="49" t="n"/>
      <c r="F46" s="49" t="n"/>
      <c r="G46" s="49" t="n"/>
      <c r="H46" s="49" t="n"/>
      <c r="I46" s="49" t="n"/>
      <c r="J46" s="49" t="n"/>
      <c r="K46" s="49" t="n"/>
      <c r="L46" s="49" t="n"/>
      <c r="M46" s="49" t="n"/>
      <c r="N46" s="49" t="n"/>
      <c r="S46" s="49" t="n"/>
      <c r="T46" s="49" t="n"/>
      <c r="U46" s="49" t="n"/>
      <c r="V46" s="49" t="n"/>
      <c r="W46" s="49" t="n"/>
    </row>
    <row r="47">
      <c r="B47" s="49" t="n"/>
      <c r="C47" s="49" t="n"/>
      <c r="D47" s="49" t="n"/>
      <c r="E47" s="49" t="n"/>
      <c r="F47" s="49" t="n"/>
      <c r="G47" s="49" t="n"/>
      <c r="H47" s="49" t="n"/>
      <c r="I47" s="49" t="n"/>
      <c r="J47" s="49" t="n"/>
      <c r="K47" s="49" t="n"/>
      <c r="L47" s="49" t="n"/>
      <c r="M47" s="49" t="n"/>
      <c r="N47" s="49" t="n"/>
      <c r="S47" s="49" t="n"/>
      <c r="T47" s="49" t="n"/>
      <c r="U47" s="49" t="n"/>
      <c r="V47" s="49" t="n"/>
      <c r="W47" s="49" t="n"/>
    </row>
    <row r="48">
      <c r="B48" s="49" t="n"/>
      <c r="C48" s="49" t="n"/>
      <c r="D48" s="49" t="n"/>
      <c r="E48" s="49" t="n"/>
      <c r="F48" s="49" t="n"/>
      <c r="G48" s="49" t="n"/>
      <c r="H48" s="49" t="n"/>
      <c r="I48" s="49" t="n"/>
      <c r="J48" s="49" t="n"/>
      <c r="K48" s="49" t="n"/>
      <c r="L48" s="49" t="n"/>
      <c r="M48" s="49" t="n"/>
      <c r="N48" s="49" t="n"/>
      <c r="S48" s="49" t="n"/>
      <c r="T48" s="49" t="n"/>
      <c r="U48" s="49" t="n"/>
      <c r="V48" s="49" t="n"/>
      <c r="W48" s="49" t="n"/>
    </row>
    <row r="49">
      <c r="B49" s="49" t="n"/>
      <c r="C49" s="49" t="n"/>
      <c r="D49" s="49" t="n"/>
      <c r="E49" s="49" t="n"/>
      <c r="F49" s="49" t="n"/>
      <c r="G49" s="49" t="n"/>
      <c r="H49" s="49" t="n"/>
      <c r="I49" s="49" t="n"/>
      <c r="J49" s="49" t="n"/>
      <c r="K49" s="49" t="n"/>
      <c r="L49" s="49" t="n"/>
      <c r="M49" s="49" t="n"/>
      <c r="N49" s="49" t="n"/>
      <c r="S49" s="49" t="n"/>
      <c r="T49" s="49" t="n"/>
      <c r="U49" s="49" t="n"/>
      <c r="V49" s="49" t="n"/>
      <c r="W49" s="49" t="n"/>
    </row>
    <row r="50">
      <c r="B50" s="49" t="n"/>
      <c r="C50" s="49" t="n"/>
      <c r="D50" s="49" t="n"/>
      <c r="E50" s="49" t="n"/>
      <c r="F50" s="49" t="n"/>
      <c r="G50" s="49" t="n"/>
      <c r="H50" s="49" t="n"/>
      <c r="I50" s="49" t="n"/>
      <c r="J50" s="49" t="n"/>
      <c r="K50" s="49" t="n"/>
      <c r="L50" s="49" t="n"/>
      <c r="M50" s="49" t="n"/>
      <c r="N50" s="49" t="n"/>
      <c r="S50" s="49" t="n"/>
      <c r="T50" s="49" t="n"/>
      <c r="U50" s="49" t="n"/>
      <c r="V50" s="49" t="n"/>
      <c r="W50" s="49" t="n"/>
    </row>
    <row r="51">
      <c r="B51" s="49" t="n"/>
      <c r="C51" s="49" t="n"/>
      <c r="D51" s="49" t="n"/>
      <c r="E51" s="49" t="n"/>
      <c r="F51" s="49" t="n"/>
      <c r="G51" s="49" t="n"/>
      <c r="H51" s="49" t="n"/>
      <c r="I51" s="49" t="n"/>
      <c r="J51" s="49" t="n"/>
      <c r="K51" s="49" t="n"/>
      <c r="L51" s="49" t="n"/>
      <c r="M51" s="49" t="n"/>
      <c r="N51" s="49" t="n"/>
      <c r="S51" s="49" t="n"/>
      <c r="T51" s="49" t="n"/>
      <c r="U51" s="49" t="n"/>
      <c r="V51" s="49" t="n"/>
      <c r="W51" s="49" t="n"/>
    </row>
    <row r="52">
      <c r="B52" s="49" t="n"/>
      <c r="C52" s="49" t="n"/>
      <c r="D52" s="49" t="n"/>
      <c r="E52" s="49" t="n"/>
      <c r="F52" s="49" t="n"/>
      <c r="G52" s="49" t="n"/>
      <c r="H52" s="49" t="n"/>
      <c r="I52" s="49" t="n"/>
      <c r="J52" s="49" t="n"/>
      <c r="K52" s="49" t="n"/>
      <c r="L52" s="49" t="n"/>
      <c r="M52" s="49" t="n"/>
      <c r="N52" s="49" t="n"/>
      <c r="S52" s="49" t="n"/>
      <c r="T52" s="49" t="n"/>
      <c r="U52" s="49" t="n"/>
      <c r="V52" s="49" t="n"/>
      <c r="W52" s="49" t="n"/>
    </row>
    <row r="53">
      <c r="B53" s="49" t="n"/>
      <c r="C53" s="49" t="n"/>
      <c r="D53" s="49" t="n"/>
      <c r="E53" s="49" t="n"/>
      <c r="F53" s="49" t="n"/>
      <c r="G53" s="49" t="n"/>
      <c r="H53" s="49" t="n"/>
      <c r="I53" s="49" t="n"/>
      <c r="J53" s="49" t="n"/>
      <c r="K53" s="49" t="n"/>
      <c r="L53" s="49" t="n"/>
      <c r="M53" s="49" t="n"/>
      <c r="N53" s="49" t="n"/>
      <c r="S53" s="49" t="n"/>
      <c r="T53" s="49" t="n"/>
      <c r="U53" s="49" t="n"/>
      <c r="V53" s="49" t="n"/>
      <c r="W53" s="49" t="n"/>
    </row>
    <row r="54">
      <c r="B54" s="49" t="n"/>
      <c r="C54" s="49" t="n"/>
      <c r="D54" s="49" t="n"/>
      <c r="E54" s="49" t="n"/>
      <c r="F54" s="49" t="n"/>
      <c r="G54" s="49" t="n"/>
      <c r="H54" s="49" t="n"/>
      <c r="I54" s="49" t="n"/>
      <c r="J54" s="49" t="n"/>
      <c r="K54" s="49" t="n"/>
      <c r="L54" s="49" t="n"/>
      <c r="M54" s="49" t="n"/>
      <c r="N54" s="49" t="n"/>
      <c r="S54" s="49" t="n"/>
      <c r="T54" s="49" t="n"/>
      <c r="U54" s="49" t="n"/>
      <c r="V54" s="49" t="n"/>
      <c r="W54" s="49" t="n"/>
    </row>
    <row r="55">
      <c r="B55" s="49" t="n"/>
      <c r="C55" s="49" t="n"/>
      <c r="D55" s="49" t="n"/>
      <c r="E55" s="49" t="n"/>
      <c r="F55" s="49" t="n"/>
      <c r="G55" s="49" t="n"/>
      <c r="H55" s="49" t="n"/>
      <c r="I55" s="49" t="n"/>
      <c r="J55" s="49" t="n"/>
      <c r="K55" s="49" t="n"/>
      <c r="L55" s="49" t="n"/>
      <c r="M55" s="49" t="n"/>
      <c r="N55" s="49" t="n"/>
      <c r="S55" s="49" t="n"/>
      <c r="T55" s="49" t="n"/>
      <c r="U55" s="49" t="n"/>
      <c r="V55" s="49" t="n"/>
      <c r="W55" s="49" t="n"/>
    </row>
    <row r="56">
      <c r="B56" s="49" t="n"/>
      <c r="C56" s="49" t="n"/>
      <c r="D56" s="49" t="n"/>
      <c r="E56" s="49" t="n"/>
      <c r="F56" s="49" t="n"/>
      <c r="G56" s="49" t="n"/>
      <c r="H56" s="49" t="n"/>
      <c r="I56" s="49" t="n"/>
      <c r="J56" s="49" t="n"/>
      <c r="K56" s="49" t="n"/>
      <c r="L56" s="49" t="n"/>
      <c r="M56" s="49" t="n"/>
      <c r="N56" s="49" t="n"/>
      <c r="S56" s="49" t="n"/>
      <c r="T56" s="49" t="n"/>
      <c r="U56" s="49" t="n"/>
      <c r="V56" s="49" t="n"/>
      <c r="W56" s="49" t="n"/>
    </row>
    <row r="57">
      <c r="B57" s="49" t="n"/>
      <c r="C57" s="49" t="n"/>
      <c r="D57" s="49" t="n"/>
      <c r="E57" s="49" t="n"/>
      <c r="F57" s="49" t="n"/>
      <c r="G57" s="49" t="n"/>
      <c r="H57" s="49" t="n"/>
      <c r="I57" s="49" t="n"/>
      <c r="J57" s="49" t="n"/>
      <c r="K57" s="49" t="n"/>
      <c r="L57" s="49" t="n"/>
      <c r="M57" s="49" t="n"/>
      <c r="N57" s="49" t="n"/>
      <c r="S57" s="49" t="n"/>
      <c r="T57" s="49" t="n"/>
      <c r="U57" s="49" t="n"/>
      <c r="V57" s="49" t="n"/>
      <c r="W57" s="49" t="n"/>
    </row>
    <row r="58">
      <c r="B58" s="49" t="n"/>
      <c r="C58" s="49" t="n"/>
      <c r="D58" s="49" t="n"/>
      <c r="E58" s="49" t="n"/>
      <c r="F58" s="49" t="n"/>
      <c r="G58" s="49" t="n"/>
      <c r="H58" s="49" t="n"/>
      <c r="I58" s="49" t="n"/>
      <c r="J58" s="49" t="n"/>
      <c r="K58" s="49" t="n"/>
      <c r="L58" s="49" t="n"/>
      <c r="M58" s="49" t="n"/>
      <c r="N58" s="49" t="n"/>
      <c r="S58" s="49" t="n"/>
      <c r="T58" s="49" t="n"/>
      <c r="U58" s="49" t="n"/>
      <c r="V58" s="49" t="n"/>
      <c r="W58" s="49" t="n"/>
    </row>
    <row r="59">
      <c r="B59" s="49" t="n"/>
      <c r="C59" s="49" t="n"/>
      <c r="D59" s="49" t="n"/>
      <c r="E59" s="49" t="n"/>
      <c r="F59" s="49" t="n"/>
      <c r="G59" s="49" t="n"/>
      <c r="H59" s="49" t="n"/>
      <c r="I59" s="49" t="n"/>
      <c r="J59" s="49" t="n"/>
      <c r="K59" s="49" t="n"/>
      <c r="L59" s="49" t="n"/>
      <c r="M59" s="49" t="n"/>
      <c r="N59" s="49" t="n"/>
      <c r="S59" s="49" t="n"/>
      <c r="T59" s="49" t="n"/>
      <c r="U59" s="49" t="n"/>
      <c r="V59" s="49" t="n"/>
      <c r="W59" s="49" t="n"/>
    </row>
    <row r="60">
      <c r="B60" s="49" t="n"/>
      <c r="C60" s="49" t="n"/>
      <c r="D60" s="49" t="n"/>
      <c r="E60" s="49" t="n"/>
      <c r="F60" s="49" t="n"/>
      <c r="G60" s="49" t="n"/>
      <c r="H60" s="49" t="n"/>
      <c r="I60" s="49" t="n"/>
      <c r="J60" s="49" t="n"/>
      <c r="K60" s="49" t="n"/>
      <c r="L60" s="49" t="n"/>
      <c r="M60" s="49" t="n"/>
      <c r="N60" s="49" t="n"/>
      <c r="S60" s="49" t="n"/>
      <c r="T60" s="49" t="n"/>
      <c r="U60" s="49" t="n"/>
      <c r="V60" s="49" t="n"/>
      <c r="W60" s="49" t="n"/>
    </row>
    <row r="61">
      <c r="B61" s="49" t="n"/>
      <c r="C61" s="49" t="n"/>
      <c r="D61" s="49" t="n"/>
      <c r="E61" s="49" t="n"/>
      <c r="F61" s="49" t="n"/>
      <c r="G61" s="49" t="n"/>
      <c r="H61" s="49" t="n"/>
      <c r="I61" s="49" t="n"/>
      <c r="J61" s="49" t="n"/>
      <c r="K61" s="49" t="n"/>
      <c r="L61" s="49" t="n"/>
      <c r="M61" s="49" t="n"/>
      <c r="N61" s="49" t="n"/>
      <c r="S61" s="49" t="n"/>
      <c r="T61" s="49" t="n"/>
      <c r="U61" s="49" t="n"/>
      <c r="V61" s="49" t="n"/>
      <c r="W61" s="49" t="n"/>
    </row>
    <row r="62">
      <c r="B62" s="49" t="n"/>
      <c r="C62" s="49" t="n"/>
      <c r="D62" s="49" t="n"/>
      <c r="E62" s="49" t="n"/>
      <c r="F62" s="49" t="n"/>
      <c r="G62" s="49" t="n"/>
      <c r="H62" s="49" t="n"/>
      <c r="I62" s="49" t="n"/>
      <c r="J62" s="49" t="n"/>
      <c r="K62" s="49" t="n"/>
      <c r="L62" s="49" t="n"/>
      <c r="M62" s="49" t="n"/>
      <c r="N62" s="49" t="n"/>
      <c r="S62" s="49" t="n"/>
      <c r="T62" s="49" t="n"/>
      <c r="U62" s="49" t="n"/>
      <c r="V62" s="49" t="n"/>
      <c r="W62" s="49" t="n"/>
    </row>
    <row r="63">
      <c r="B63" s="49" t="n"/>
      <c r="C63" s="49" t="n"/>
      <c r="D63" s="49" t="n"/>
      <c r="E63" s="49" t="n"/>
      <c r="F63" s="49" t="n"/>
      <c r="G63" s="49" t="n"/>
      <c r="H63" s="49" t="n"/>
      <c r="I63" s="49" t="n"/>
      <c r="J63" s="49" t="n"/>
      <c r="K63" s="49" t="n"/>
      <c r="L63" s="49" t="n"/>
      <c r="M63" s="49" t="n"/>
      <c r="N63" s="49" t="n"/>
      <c r="S63" s="49" t="n"/>
      <c r="T63" s="49" t="n"/>
      <c r="U63" s="49" t="n"/>
      <c r="V63" s="49" t="n"/>
      <c r="W63" s="49" t="n"/>
    </row>
    <row r="64">
      <c r="B64" s="49" t="n"/>
      <c r="C64" s="49" t="n"/>
      <c r="D64" s="49" t="n"/>
      <c r="E64" s="49" t="n"/>
      <c r="F64" s="49" t="n"/>
      <c r="G64" s="49" t="n"/>
      <c r="H64" s="49" t="n"/>
      <c r="I64" s="49" t="n"/>
      <c r="J64" s="49" t="n"/>
      <c r="K64" s="49" t="n"/>
      <c r="L64" s="49" t="n"/>
      <c r="M64" s="49" t="n"/>
      <c r="N64" s="49" t="n"/>
      <c r="S64" s="49" t="n"/>
      <c r="T64" s="49" t="n"/>
      <c r="U64" s="49" t="n"/>
      <c r="V64" s="49" t="n"/>
      <c r="W64" s="49" t="n"/>
    </row>
    <row r="65">
      <c r="B65" s="49" t="n"/>
      <c r="C65" s="49" t="n"/>
      <c r="D65" s="49" t="n"/>
      <c r="E65" s="49" t="n"/>
      <c r="F65" s="49" t="n"/>
      <c r="G65" s="49" t="n"/>
      <c r="H65" s="49" t="n"/>
      <c r="I65" s="49" t="n"/>
      <c r="J65" s="49" t="n"/>
      <c r="K65" s="49" t="n"/>
      <c r="L65" s="49" t="n"/>
      <c r="M65" s="49" t="n"/>
      <c r="N65" s="49" t="n"/>
      <c r="S65" s="49" t="n"/>
      <c r="T65" s="49" t="n"/>
      <c r="U65" s="49" t="n"/>
      <c r="V65" s="49" t="n"/>
      <c r="W65" s="49" t="n"/>
    </row>
    <row r="66">
      <c r="B66" s="49" t="n"/>
      <c r="C66" s="49" t="n"/>
      <c r="D66" s="49" t="n"/>
      <c r="E66" s="49" t="n"/>
      <c r="F66" s="49" t="n"/>
      <c r="G66" s="49" t="n"/>
      <c r="H66" s="49" t="n"/>
      <c r="I66" s="49" t="n"/>
      <c r="J66" s="49" t="n"/>
      <c r="K66" s="49" t="n"/>
      <c r="L66" s="49" t="n"/>
      <c r="M66" s="49" t="n"/>
      <c r="N66" s="49" t="n"/>
      <c r="S66" s="49" t="n"/>
      <c r="T66" s="49" t="n"/>
      <c r="U66" s="49" t="n"/>
      <c r="V66" s="49" t="n"/>
      <c r="W66" s="49" t="n"/>
    </row>
    <row r="67">
      <c r="B67" s="49" t="n"/>
      <c r="C67" s="49" t="n"/>
      <c r="D67" s="49" t="n"/>
      <c r="E67" s="49" t="n"/>
      <c r="F67" s="49" t="n"/>
      <c r="G67" s="49" t="n"/>
      <c r="H67" s="49" t="n"/>
      <c r="I67" s="49" t="n"/>
      <c r="J67" s="49" t="n"/>
      <c r="K67" s="49" t="n"/>
      <c r="L67" s="49" t="n"/>
      <c r="M67" s="49" t="n"/>
      <c r="N67" s="49" t="n"/>
      <c r="S67" s="49" t="n"/>
      <c r="T67" s="49" t="n"/>
      <c r="U67" s="49" t="n"/>
      <c r="V67" s="49" t="n"/>
      <c r="W67" s="49" t="n"/>
    </row>
    <row r="68">
      <c r="B68" s="49" t="n"/>
      <c r="C68" s="49" t="n"/>
      <c r="D68" s="49" t="n"/>
      <c r="E68" s="49" t="n"/>
      <c r="F68" s="49" t="n"/>
      <c r="G68" s="49" t="n"/>
      <c r="H68" s="49" t="n"/>
      <c r="I68" s="49" t="n"/>
      <c r="J68" s="49" t="n"/>
      <c r="K68" s="49" t="n"/>
      <c r="L68" s="49" t="n"/>
      <c r="M68" s="49" t="n"/>
      <c r="N68" s="49" t="n"/>
      <c r="S68" s="49" t="n"/>
      <c r="T68" s="49" t="n"/>
      <c r="U68" s="49" t="n"/>
      <c r="V68" s="49" t="n"/>
      <c r="W68" s="49" t="n"/>
    </row>
    <row r="69">
      <c r="B69" s="49" t="n"/>
      <c r="C69" s="49" t="n"/>
      <c r="D69" s="49" t="n"/>
      <c r="E69" s="49" t="n"/>
      <c r="F69" s="49" t="n"/>
      <c r="G69" s="49" t="n"/>
      <c r="H69" s="49" t="n"/>
      <c r="I69" s="49" t="n"/>
      <c r="J69" s="49" t="n"/>
      <c r="K69" s="49" t="n"/>
      <c r="L69" s="49" t="n"/>
      <c r="M69" s="49" t="n"/>
      <c r="N69" s="49" t="n"/>
      <c r="S69" s="49" t="n"/>
      <c r="T69" s="49" t="n"/>
      <c r="U69" s="49" t="n"/>
      <c r="V69" s="49" t="n"/>
      <c r="W69" s="49" t="n"/>
    </row>
    <row r="70">
      <c r="B70" s="49" t="n"/>
      <c r="C70" s="49" t="n"/>
      <c r="D70" s="49" t="n"/>
      <c r="E70" s="49" t="n"/>
      <c r="F70" s="49" t="n"/>
      <c r="G70" s="49" t="n"/>
      <c r="H70" s="49" t="n"/>
      <c r="I70" s="49" t="n"/>
      <c r="J70" s="49" t="n"/>
      <c r="K70" s="49" t="n"/>
      <c r="L70" s="49" t="n"/>
      <c r="M70" s="49" t="n"/>
      <c r="N70" s="49" t="n"/>
      <c r="S70" s="49" t="n"/>
      <c r="T70" s="49" t="n"/>
      <c r="U70" s="49" t="n"/>
      <c r="V70" s="49" t="n"/>
      <c r="W70" s="49" t="n"/>
    </row>
    <row r="71">
      <c r="B71" s="49" t="n"/>
      <c r="C71" s="49" t="n"/>
      <c r="D71" s="49" t="n"/>
      <c r="E71" s="49" t="n"/>
      <c r="F71" s="49" t="n"/>
      <c r="G71" s="49" t="n"/>
      <c r="H71" s="49" t="n"/>
      <c r="I71" s="49" t="n"/>
      <c r="J71" s="49" t="n"/>
      <c r="K71" s="49" t="n"/>
      <c r="L71" s="49" t="n"/>
      <c r="M71" s="49" t="n"/>
      <c r="N71" s="49" t="n"/>
      <c r="S71" s="49" t="n"/>
      <c r="T71" s="49" t="n"/>
      <c r="U71" s="49" t="n"/>
      <c r="V71" s="49" t="n"/>
      <c r="W71" s="49" t="n"/>
    </row>
    <row r="72">
      <c r="B72" s="49" t="n"/>
      <c r="C72" s="49" t="n"/>
      <c r="D72" s="49" t="n"/>
      <c r="E72" s="49" t="n"/>
      <c r="F72" s="49" t="n"/>
      <c r="G72" s="49" t="n"/>
      <c r="H72" s="49" t="n"/>
      <c r="I72" s="49" t="n"/>
      <c r="J72" s="49" t="n"/>
      <c r="K72" s="49" t="n"/>
      <c r="L72" s="49" t="n"/>
      <c r="M72" s="49" t="n"/>
      <c r="N72" s="49" t="n"/>
      <c r="S72" s="49" t="n"/>
      <c r="T72" s="49" t="n"/>
      <c r="U72" s="49" t="n"/>
      <c r="V72" s="49" t="n"/>
      <c r="W72" s="49" t="n"/>
    </row>
    <row r="73">
      <c r="B73" s="49" t="n"/>
      <c r="C73" s="49" t="n"/>
      <c r="D73" s="49" t="n"/>
      <c r="E73" s="49" t="n"/>
      <c r="F73" s="49" t="n"/>
      <c r="G73" s="49" t="n"/>
      <c r="H73" s="49" t="n"/>
      <c r="I73" s="49" t="n"/>
      <c r="J73" s="49" t="n"/>
      <c r="K73" s="49" t="n"/>
      <c r="L73" s="49" t="n"/>
      <c r="M73" s="49" t="n"/>
      <c r="N73" s="49" t="n"/>
      <c r="S73" s="49" t="n"/>
      <c r="T73" s="49" t="n"/>
      <c r="U73" s="49" t="n"/>
      <c r="V73" s="49" t="n"/>
      <c r="W73" s="49" t="n"/>
    </row>
    <row r="74">
      <c r="B74" s="49" t="n"/>
      <c r="C74" s="49" t="n"/>
      <c r="D74" s="49" t="n"/>
      <c r="E74" s="49" t="n"/>
      <c r="F74" s="49" t="n"/>
      <c r="G74" s="49" t="n"/>
      <c r="H74" s="49" t="n"/>
      <c r="I74" s="49" t="n"/>
      <c r="J74" s="49" t="n"/>
      <c r="K74" s="49" t="n"/>
      <c r="L74" s="49" t="n"/>
      <c r="M74" s="49" t="n"/>
      <c r="N74" s="49" t="n"/>
      <c r="S74" s="49" t="n"/>
      <c r="T74" s="49" t="n"/>
      <c r="U74" s="49" t="n"/>
      <c r="V74" s="49" t="n"/>
      <c r="W74" s="49" t="n"/>
    </row>
    <row r="75">
      <c r="B75" s="49" t="n"/>
      <c r="C75" s="49" t="n"/>
      <c r="D75" s="49" t="n"/>
      <c r="E75" s="49" t="n"/>
      <c r="F75" s="49" t="n"/>
      <c r="G75" s="49" t="n"/>
      <c r="H75" s="49" t="n"/>
      <c r="I75" s="49" t="n"/>
      <c r="J75" s="49" t="n"/>
      <c r="K75" s="49" t="n"/>
      <c r="L75" s="49" t="n"/>
      <c r="M75" s="49" t="n"/>
      <c r="N75" s="49" t="n"/>
      <c r="S75" s="49" t="n"/>
      <c r="T75" s="49" t="n"/>
      <c r="U75" s="49" t="n"/>
      <c r="V75" s="49" t="n"/>
      <c r="W75" s="49" t="n"/>
    </row>
    <row r="76">
      <c r="B76" s="49" t="n"/>
      <c r="C76" s="49" t="n"/>
      <c r="D76" s="49" t="n"/>
      <c r="E76" s="49" t="n"/>
      <c r="F76" s="49" t="n"/>
      <c r="G76" s="49" t="n"/>
      <c r="H76" s="49" t="n"/>
      <c r="I76" s="49" t="n"/>
      <c r="J76" s="49" t="n"/>
      <c r="K76" s="49" t="n"/>
      <c r="L76" s="49" t="n"/>
      <c r="M76" s="49" t="n"/>
      <c r="N76" s="49" t="n"/>
      <c r="S76" s="49" t="n"/>
      <c r="T76" s="49" t="n"/>
      <c r="U76" s="49" t="n"/>
      <c r="V76" s="49" t="n"/>
      <c r="W76" s="49" t="n"/>
    </row>
    <row r="77">
      <c r="B77" s="49" t="n"/>
      <c r="C77" s="49" t="n"/>
      <c r="D77" s="49" t="n"/>
      <c r="E77" s="49" t="n"/>
      <c r="F77" s="49" t="n"/>
      <c r="G77" s="49" t="n"/>
      <c r="H77" s="49" t="n"/>
      <c r="I77" s="49" t="n"/>
      <c r="J77" s="49" t="n"/>
      <c r="K77" s="49" t="n"/>
      <c r="L77" s="49" t="n"/>
      <c r="M77" s="49" t="n"/>
      <c r="N77" s="49" t="n"/>
      <c r="S77" s="49" t="n"/>
      <c r="T77" s="49" t="n"/>
      <c r="U77" s="49" t="n"/>
      <c r="V77" s="49" t="n"/>
      <c r="W77" s="49" t="n"/>
    </row>
    <row r="78">
      <c r="B78" s="49" t="n"/>
      <c r="C78" s="49" t="n"/>
      <c r="D78" s="49" t="n"/>
      <c r="E78" s="49" t="n"/>
      <c r="F78" s="49" t="n"/>
      <c r="G78" s="49" t="n"/>
      <c r="H78" s="49" t="n"/>
      <c r="I78" s="49" t="n"/>
      <c r="J78" s="49" t="n"/>
      <c r="K78" s="49" t="n"/>
      <c r="L78" s="49" t="n"/>
      <c r="M78" s="49" t="n"/>
      <c r="N78" s="49" t="n"/>
      <c r="S78" s="49" t="n"/>
      <c r="T78" s="49" t="n"/>
      <c r="U78" s="49" t="n"/>
      <c r="V78" s="49" t="n"/>
      <c r="W78" s="49" t="n"/>
    </row>
    <row r="79">
      <c r="B79" s="49" t="n"/>
      <c r="C79" s="49" t="n"/>
      <c r="D79" s="49" t="n"/>
      <c r="E79" s="49" t="n"/>
      <c r="F79" s="49" t="n"/>
      <c r="G79" s="49" t="n"/>
      <c r="H79" s="49" t="n"/>
      <c r="I79" s="49" t="n"/>
      <c r="J79" s="49" t="n"/>
      <c r="K79" s="49" t="n"/>
      <c r="L79" s="49" t="n"/>
      <c r="M79" s="49" t="n"/>
      <c r="N79" s="49" t="n"/>
      <c r="S79" s="49" t="n"/>
      <c r="T79" s="49" t="n"/>
      <c r="U79" s="49" t="n"/>
      <c r="V79" s="49" t="n"/>
      <c r="W79" s="49" t="n"/>
    </row>
    <row r="80">
      <c r="B80" s="49" t="n"/>
      <c r="C80" s="49" t="n"/>
      <c r="D80" s="49" t="n"/>
      <c r="E80" s="49" t="n"/>
      <c r="F80" s="49" t="n"/>
      <c r="G80" s="49" t="n"/>
      <c r="H80" s="49" t="n"/>
      <c r="I80" s="49" t="n"/>
      <c r="J80" s="49" t="n"/>
      <c r="K80" s="49" t="n"/>
      <c r="L80" s="49" t="n"/>
      <c r="M80" s="49" t="n"/>
      <c r="N80" s="49" t="n"/>
      <c r="S80" s="49" t="n"/>
      <c r="T80" s="49" t="n"/>
      <c r="U80" s="49" t="n"/>
      <c r="V80" s="49" t="n"/>
      <c r="W80" s="49" t="n"/>
    </row>
    <row r="81">
      <c r="B81" s="49" t="n"/>
      <c r="C81" s="49" t="n"/>
      <c r="D81" s="49" t="n"/>
      <c r="E81" s="49" t="n"/>
      <c r="F81" s="49" t="n"/>
      <c r="G81" s="49" t="n"/>
      <c r="H81" s="49" t="n"/>
      <c r="I81" s="49" t="n"/>
      <c r="J81" s="49" t="n"/>
      <c r="K81" s="49" t="n"/>
      <c r="L81" s="49" t="n"/>
      <c r="M81" s="49" t="n"/>
      <c r="N81" s="49" t="n"/>
      <c r="S81" s="49" t="n"/>
      <c r="T81" s="49" t="n"/>
      <c r="U81" s="49" t="n"/>
      <c r="V81" s="49" t="n"/>
      <c r="W81" s="49" t="n"/>
    </row>
    <row r="82">
      <c r="B82" s="49" t="n"/>
      <c r="C82" s="49" t="n"/>
      <c r="D82" s="49" t="n"/>
      <c r="E82" s="49" t="n"/>
      <c r="F82" s="49" t="n"/>
      <c r="G82" s="49" t="n"/>
      <c r="H82" s="49" t="n"/>
      <c r="I82" s="49" t="n"/>
      <c r="J82" s="49" t="n"/>
      <c r="K82" s="49" t="n"/>
      <c r="L82" s="49" t="n"/>
      <c r="M82" s="49" t="n"/>
      <c r="N82" s="49" t="n"/>
      <c r="S82" s="49" t="n"/>
      <c r="T82" s="49" t="n"/>
      <c r="U82" s="49" t="n"/>
      <c r="V82" s="49" t="n"/>
      <c r="W82" s="49" t="n"/>
    </row>
    <row r="83">
      <c r="B83" s="49" t="n"/>
      <c r="C83" s="49" t="n"/>
      <c r="D83" s="49" t="n"/>
      <c r="E83" s="49" t="n"/>
      <c r="F83" s="49" t="n"/>
      <c r="G83" s="49" t="n"/>
      <c r="H83" s="49" t="n"/>
      <c r="I83" s="49" t="n"/>
      <c r="J83" s="49" t="n"/>
      <c r="K83" s="49" t="n"/>
      <c r="L83" s="49" t="n"/>
      <c r="M83" s="49" t="n"/>
      <c r="N83" s="49" t="n"/>
      <c r="S83" s="49" t="n"/>
      <c r="T83" s="49" t="n"/>
      <c r="U83" s="49" t="n"/>
      <c r="V83" s="49" t="n"/>
      <c r="W83" s="49" t="n"/>
    </row>
    <row r="84">
      <c r="B84" s="49" t="n"/>
      <c r="C84" s="49" t="n"/>
      <c r="D84" s="49" t="n"/>
      <c r="E84" s="49" t="n"/>
      <c r="F84" s="49" t="n"/>
      <c r="G84" s="49" t="n"/>
      <c r="H84" s="49" t="n"/>
      <c r="I84" s="49" t="n"/>
      <c r="J84" s="49" t="n"/>
      <c r="K84" s="49" t="n"/>
      <c r="L84" s="49" t="n"/>
      <c r="M84" s="49" t="n"/>
      <c r="N84" s="49" t="n"/>
      <c r="S84" s="49" t="n"/>
      <c r="T84" s="49" t="n"/>
      <c r="U84" s="49" t="n"/>
      <c r="V84" s="49" t="n"/>
      <c r="W84" s="49" t="n"/>
    </row>
    <row r="85">
      <c r="B85" s="49" t="n"/>
      <c r="C85" s="49" t="n"/>
      <c r="D85" s="49" t="n"/>
      <c r="E85" s="49" t="n"/>
      <c r="F85" s="49" t="n"/>
      <c r="G85" s="49" t="n"/>
      <c r="H85" s="49" t="n"/>
      <c r="I85" s="49" t="n"/>
      <c r="J85" s="49" t="n"/>
      <c r="K85" s="49" t="n"/>
      <c r="L85" s="49" t="n"/>
      <c r="M85" s="49" t="n"/>
      <c r="N85" s="49" t="n"/>
      <c r="S85" s="49" t="n"/>
      <c r="T85" s="49" t="n"/>
      <c r="U85" s="49" t="n"/>
      <c r="V85" s="49" t="n"/>
      <c r="W85" s="49" t="n"/>
    </row>
    <row r="86">
      <c r="B86" s="49" t="n"/>
      <c r="C86" s="49" t="n"/>
      <c r="D86" s="49" t="n"/>
      <c r="E86" s="49" t="n"/>
      <c r="F86" s="49" t="n"/>
      <c r="G86" s="49" t="n"/>
      <c r="H86" s="49" t="n"/>
      <c r="I86" s="49" t="n"/>
      <c r="J86" s="49" t="n"/>
      <c r="K86" s="49" t="n"/>
      <c r="L86" s="49" t="n"/>
      <c r="M86" s="49" t="n"/>
      <c r="N86" s="49" t="n"/>
      <c r="S86" s="49" t="n"/>
      <c r="T86" s="49" t="n"/>
      <c r="U86" s="49" t="n"/>
      <c r="V86" s="49" t="n"/>
      <c r="W86" s="49" t="n"/>
    </row>
    <row r="87">
      <c r="B87" s="49" t="n"/>
      <c r="C87" s="49" t="n"/>
      <c r="D87" s="49" t="n"/>
      <c r="E87" s="49" t="n"/>
      <c r="F87" s="49" t="n"/>
      <c r="G87" s="49" t="n"/>
      <c r="H87" s="49" t="n"/>
      <c r="I87" s="49" t="n"/>
      <c r="J87" s="49" t="n"/>
      <c r="K87" s="49" t="n"/>
      <c r="L87" s="49" t="n"/>
      <c r="M87" s="49" t="n"/>
      <c r="N87" s="49" t="n"/>
      <c r="S87" s="49" t="n"/>
      <c r="T87" s="49" t="n"/>
      <c r="U87" s="49" t="n"/>
      <c r="V87" s="49" t="n"/>
      <c r="W87" s="49" t="n"/>
    </row>
    <row r="88">
      <c r="B88" s="49" t="n"/>
      <c r="C88" s="49" t="n"/>
      <c r="D88" s="49" t="n"/>
      <c r="E88" s="49" t="n"/>
      <c r="F88" s="49" t="n"/>
      <c r="G88" s="49" t="n"/>
      <c r="H88" s="49" t="n"/>
      <c r="I88" s="49" t="n"/>
      <c r="J88" s="49" t="n"/>
      <c r="K88" s="49" t="n"/>
      <c r="L88" s="49" t="n"/>
      <c r="M88" s="49" t="n"/>
      <c r="N88" s="49" t="n"/>
      <c r="S88" s="49" t="n"/>
      <c r="T88" s="49" t="n"/>
      <c r="U88" s="49" t="n"/>
      <c r="V88" s="49" t="n"/>
      <c r="W88" s="49" t="n"/>
    </row>
    <row r="89">
      <c r="B89" s="49" t="n"/>
      <c r="C89" s="49" t="n"/>
      <c r="D89" s="49" t="n"/>
      <c r="E89" s="49" t="n"/>
      <c r="F89" s="49" t="n"/>
      <c r="G89" s="49" t="n"/>
      <c r="H89" s="49" t="n"/>
      <c r="I89" s="49" t="n"/>
      <c r="J89" s="49" t="n"/>
      <c r="K89" s="49" t="n"/>
      <c r="L89" s="49" t="n"/>
      <c r="M89" s="49" t="n"/>
      <c r="N89" s="49" t="n"/>
      <c r="S89" s="49" t="n"/>
      <c r="T89" s="49" t="n"/>
      <c r="U89" s="49" t="n"/>
      <c r="V89" s="49" t="n"/>
      <c r="W89" s="49" t="n"/>
    </row>
    <row r="90">
      <c r="B90" s="49" t="n"/>
      <c r="C90" s="49" t="n"/>
      <c r="D90" s="49" t="n"/>
      <c r="E90" s="49" t="n"/>
      <c r="F90" s="49" t="n"/>
      <c r="G90" s="49" t="n"/>
      <c r="H90" s="49" t="n"/>
      <c r="I90" s="49" t="n"/>
      <c r="J90" s="49" t="n"/>
      <c r="K90" s="49" t="n"/>
      <c r="L90" s="49" t="n"/>
      <c r="M90" s="49" t="n"/>
      <c r="N90" s="49" t="n"/>
      <c r="S90" s="49" t="n"/>
      <c r="T90" s="49" t="n"/>
      <c r="U90" s="49" t="n"/>
      <c r="V90" s="49" t="n"/>
      <c r="W90" s="49" t="n"/>
    </row>
    <row r="91">
      <c r="B91" s="49" t="n"/>
      <c r="C91" s="49" t="n"/>
      <c r="D91" s="49" t="n"/>
      <c r="E91" s="49" t="n"/>
      <c r="F91" s="49" t="n"/>
      <c r="G91" s="49" t="n"/>
      <c r="H91" s="49" t="n"/>
      <c r="I91" s="49" t="n"/>
      <c r="J91" s="49" t="n"/>
      <c r="K91" s="49" t="n"/>
      <c r="L91" s="49" t="n"/>
      <c r="M91" s="49" t="n"/>
      <c r="N91" s="49" t="n"/>
      <c r="S91" s="49" t="n"/>
      <c r="T91" s="49" t="n"/>
      <c r="U91" s="49" t="n"/>
      <c r="V91" s="49" t="n"/>
      <c r="W91" s="49" t="n"/>
    </row>
    <row r="92">
      <c r="B92" s="49" t="n"/>
      <c r="C92" s="49" t="n"/>
      <c r="D92" s="49" t="n"/>
      <c r="E92" s="49" t="n"/>
      <c r="F92" s="49" t="n"/>
      <c r="G92" s="49" t="n"/>
      <c r="H92" s="49" t="n"/>
      <c r="I92" s="49" t="n"/>
      <c r="J92" s="49" t="n"/>
      <c r="K92" s="49" t="n"/>
      <c r="L92" s="49" t="n"/>
      <c r="M92" s="49" t="n"/>
      <c r="N92" s="49" t="n"/>
      <c r="S92" s="49" t="n"/>
      <c r="T92" s="49" t="n"/>
      <c r="U92" s="49" t="n"/>
      <c r="V92" s="49" t="n"/>
      <c r="W92" s="49" t="n"/>
    </row>
    <row r="93">
      <c r="B93" s="49" t="n"/>
      <c r="C93" s="49" t="n"/>
      <c r="D93" s="49" t="n"/>
      <c r="E93" s="49" t="n"/>
      <c r="F93" s="49" t="n"/>
      <c r="G93" s="49" t="n"/>
      <c r="H93" s="49" t="n"/>
      <c r="I93" s="49" t="n"/>
      <c r="J93" s="49" t="n"/>
      <c r="K93" s="49" t="n"/>
      <c r="L93" s="49" t="n"/>
      <c r="M93" s="49" t="n"/>
      <c r="N93" s="49" t="n"/>
      <c r="S93" s="49" t="n"/>
      <c r="T93" s="49" t="n"/>
      <c r="U93" s="49" t="n"/>
      <c r="V93" s="49" t="n"/>
      <c r="W93" s="49" t="n"/>
    </row>
    <row r="94">
      <c r="B94" s="49" t="n"/>
      <c r="C94" s="49" t="n"/>
      <c r="D94" s="49" t="n"/>
      <c r="E94" s="49" t="n"/>
      <c r="F94" s="49" t="n"/>
      <c r="G94" s="49" t="n"/>
      <c r="H94" s="49" t="n"/>
      <c r="I94" s="49" t="n"/>
      <c r="J94" s="49" t="n"/>
      <c r="K94" s="49" t="n"/>
      <c r="L94" s="49" t="n"/>
      <c r="M94" s="49" t="n"/>
      <c r="N94" s="49" t="n"/>
      <c r="S94" s="49" t="n"/>
      <c r="T94" s="49" t="n"/>
      <c r="U94" s="49" t="n"/>
      <c r="V94" s="49" t="n"/>
      <c r="W94" s="49" t="n"/>
    </row>
    <row r="95">
      <c r="B95" s="49" t="n"/>
      <c r="C95" s="49" t="n"/>
      <c r="D95" s="49" t="n"/>
      <c r="E95" s="49" t="n"/>
      <c r="F95" s="49" t="n"/>
      <c r="G95" s="49" t="n"/>
      <c r="H95" s="49" t="n"/>
      <c r="I95" s="49" t="n"/>
      <c r="J95" s="49" t="n"/>
      <c r="K95" s="49" t="n"/>
      <c r="L95" s="49" t="n"/>
      <c r="M95" s="49" t="n"/>
      <c r="N95" s="49" t="n"/>
      <c r="S95" s="49" t="n"/>
      <c r="T95" s="49" t="n"/>
      <c r="U95" s="49" t="n"/>
      <c r="V95" s="49" t="n"/>
      <c r="W95" s="49" t="n"/>
    </row>
    <row r="96">
      <c r="B96" s="49" t="n"/>
      <c r="C96" s="49" t="n"/>
      <c r="D96" s="49" t="n"/>
      <c r="E96" s="49" t="n"/>
      <c r="F96" s="49" t="n"/>
      <c r="G96" s="49" t="n"/>
      <c r="H96" s="49" t="n"/>
      <c r="I96" s="49" t="n"/>
      <c r="J96" s="49" t="n"/>
      <c r="K96" s="49" t="n"/>
      <c r="L96" s="49" t="n"/>
      <c r="M96" s="49" t="n"/>
      <c r="N96" s="49" t="n"/>
      <c r="S96" s="49" t="n"/>
      <c r="T96" s="49" t="n"/>
      <c r="U96" s="49" t="n"/>
      <c r="V96" s="49" t="n"/>
      <c r="W96" s="49" t="n"/>
    </row>
    <row r="97">
      <c r="B97" s="49" t="n"/>
      <c r="C97" s="49" t="n"/>
      <c r="D97" s="49" t="n"/>
      <c r="E97" s="49" t="n"/>
      <c r="F97" s="49" t="n"/>
      <c r="G97" s="49" t="n"/>
      <c r="H97" s="49" t="n"/>
      <c r="I97" s="49" t="n"/>
      <c r="J97" s="49" t="n"/>
      <c r="K97" s="49" t="n"/>
      <c r="L97" s="49" t="n"/>
      <c r="M97" s="49" t="n"/>
      <c r="N97" s="49" t="n"/>
      <c r="S97" s="49" t="n"/>
      <c r="T97" s="49" t="n"/>
      <c r="U97" s="49" t="n"/>
      <c r="V97" s="49" t="n"/>
      <c r="W97" s="49" t="n"/>
    </row>
    <row r="98">
      <c r="B98" s="49" t="n"/>
      <c r="C98" s="49" t="n"/>
      <c r="D98" s="49" t="n"/>
      <c r="E98" s="49" t="n"/>
      <c r="F98" s="49" t="n"/>
      <c r="G98" s="49" t="n"/>
      <c r="H98" s="49" t="n"/>
      <c r="I98" s="49" t="n"/>
      <c r="J98" s="49" t="n"/>
      <c r="K98" s="49" t="n"/>
      <c r="L98" s="49" t="n"/>
      <c r="M98" s="49" t="n"/>
      <c r="N98" s="49" t="n"/>
      <c r="S98" s="49" t="n"/>
      <c r="T98" s="49" t="n"/>
      <c r="U98" s="49" t="n"/>
      <c r="V98" s="49" t="n"/>
      <c r="W98" s="49" t="n"/>
    </row>
    <row r="99">
      <c r="B99" s="49" t="n"/>
      <c r="C99" s="49" t="n"/>
      <c r="D99" s="49" t="n"/>
      <c r="E99" s="49" t="n"/>
      <c r="F99" s="49" t="n"/>
      <c r="G99" s="49" t="n"/>
      <c r="H99" s="49" t="n"/>
      <c r="I99" s="49" t="n"/>
      <c r="J99" s="49" t="n"/>
      <c r="K99" s="49" t="n"/>
      <c r="L99" s="49" t="n"/>
      <c r="M99" s="49" t="n"/>
      <c r="N99" s="49" t="n"/>
      <c r="S99" s="49" t="n"/>
      <c r="T99" s="49" t="n"/>
      <c r="U99" s="49" t="n"/>
      <c r="V99" s="49" t="n"/>
      <c r="W99" s="49" t="n"/>
    </row>
    <row r="100">
      <c r="B100" s="49" t="n"/>
      <c r="C100" s="49" t="n"/>
      <c r="D100" s="49" t="n"/>
      <c r="E100" s="49" t="n"/>
      <c r="F100" s="49" t="n"/>
      <c r="G100" s="49" t="n"/>
      <c r="H100" s="49" t="n"/>
      <c r="I100" s="49" t="n"/>
      <c r="J100" s="49" t="n"/>
      <c r="K100" s="49" t="n"/>
      <c r="L100" s="49" t="n"/>
      <c r="M100" s="49" t="n"/>
      <c r="N100" s="49" t="n"/>
      <c r="S100" s="49" t="n"/>
      <c r="T100" s="49" t="n"/>
      <c r="U100" s="49" t="n"/>
      <c r="V100" s="49" t="n"/>
      <c r="W100" s="49" t="n"/>
    </row>
    <row r="101">
      <c r="B101" s="49" t="n"/>
      <c r="C101" s="49" t="n"/>
      <c r="D101" s="49" t="n"/>
      <c r="E101" s="49" t="n"/>
      <c r="F101" s="49" t="n"/>
      <c r="G101" s="49" t="n"/>
      <c r="H101" s="49" t="n"/>
      <c r="I101" s="49" t="n"/>
      <c r="J101" s="49" t="n"/>
      <c r="K101" s="49" t="n"/>
      <c r="L101" s="49" t="n"/>
      <c r="M101" s="49" t="n"/>
      <c r="N101" s="49" t="n"/>
      <c r="S101" s="49" t="n"/>
      <c r="T101" s="49" t="n"/>
      <c r="U101" s="49" t="n"/>
      <c r="V101" s="49" t="n"/>
      <c r="W101" s="49" t="n"/>
    </row>
    <row r="102">
      <c r="B102" s="49" t="n"/>
      <c r="C102" s="49" t="n"/>
      <c r="D102" s="49" t="n"/>
      <c r="E102" s="49" t="n"/>
      <c r="F102" s="49" t="n"/>
      <c r="G102" s="49" t="n"/>
      <c r="H102" s="49" t="n"/>
      <c r="I102" s="49" t="n"/>
      <c r="J102" s="49" t="n"/>
      <c r="K102" s="49" t="n"/>
      <c r="L102" s="49" t="n"/>
      <c r="M102" s="49" t="n"/>
      <c r="N102" s="49" t="n"/>
      <c r="S102" s="49" t="n"/>
      <c r="T102" s="49" t="n"/>
      <c r="U102" s="49" t="n"/>
      <c r="V102" s="49" t="n"/>
      <c r="W102" s="49" t="n"/>
    </row>
    <row r="103">
      <c r="B103" s="49" t="n"/>
      <c r="C103" s="49" t="n"/>
      <c r="D103" s="49" t="n"/>
      <c r="E103" s="49" t="n"/>
      <c r="F103" s="49" t="n"/>
      <c r="G103" s="49" t="n"/>
      <c r="H103" s="49" t="n"/>
      <c r="I103" s="49" t="n"/>
      <c r="J103" s="49" t="n"/>
      <c r="K103" s="49" t="n"/>
      <c r="L103" s="49" t="n"/>
      <c r="M103" s="49" t="n"/>
      <c r="N103" s="49" t="n"/>
      <c r="S103" s="49" t="n"/>
      <c r="T103" s="49" t="n"/>
      <c r="U103" s="49" t="n"/>
      <c r="V103" s="49" t="n"/>
      <c r="W103" s="49" t="n"/>
    </row>
    <row r="104">
      <c r="B104" s="49" t="n"/>
      <c r="C104" s="49" t="n"/>
      <c r="D104" s="49" t="n"/>
      <c r="E104" s="49" t="n"/>
      <c r="F104" s="49" t="n"/>
      <c r="G104" s="49" t="n"/>
      <c r="H104" s="49" t="n"/>
      <c r="I104" s="49" t="n"/>
      <c r="J104" s="49" t="n"/>
      <c r="K104" s="49" t="n"/>
      <c r="L104" s="49" t="n"/>
      <c r="M104" s="49" t="n"/>
      <c r="N104" s="49" t="n"/>
      <c r="S104" s="49" t="n"/>
      <c r="T104" s="49" t="n"/>
      <c r="U104" s="49" t="n"/>
      <c r="V104" s="49" t="n"/>
      <c r="W104" s="49" t="n"/>
    </row>
    <row r="105">
      <c r="B105" s="49" t="n"/>
      <c r="C105" s="49" t="n"/>
      <c r="D105" s="49" t="n"/>
      <c r="E105" s="49" t="n"/>
      <c r="F105" s="49" t="n"/>
      <c r="G105" s="49" t="n"/>
      <c r="H105" s="49" t="n"/>
      <c r="I105" s="49" t="n"/>
      <c r="J105" s="49" t="n"/>
      <c r="K105" s="49" t="n"/>
      <c r="L105" s="49" t="n"/>
      <c r="M105" s="49" t="n"/>
      <c r="N105" s="49" t="n"/>
      <c r="S105" s="49" t="n"/>
      <c r="T105" s="49" t="n"/>
      <c r="U105" s="49" t="n"/>
      <c r="V105" s="49" t="n"/>
      <c r="W105" s="49" t="n"/>
    </row>
    <row r="106">
      <c r="B106" s="49" t="n"/>
      <c r="C106" s="49" t="n"/>
      <c r="D106" s="49" t="n"/>
      <c r="E106" s="49" t="n"/>
      <c r="F106" s="49" t="n"/>
      <c r="G106" s="49" t="n"/>
      <c r="H106" s="49" t="n"/>
      <c r="I106" s="49" t="n"/>
      <c r="J106" s="49" t="n"/>
      <c r="K106" s="49" t="n"/>
      <c r="L106" s="49" t="n"/>
      <c r="M106" s="49" t="n"/>
      <c r="N106" s="49" t="n"/>
      <c r="S106" s="49" t="n"/>
      <c r="T106" s="49" t="n"/>
      <c r="U106" s="49" t="n"/>
      <c r="V106" s="49" t="n"/>
      <c r="W106" s="49" t="n"/>
    </row>
    <row r="107">
      <c r="B107" s="49" t="n"/>
      <c r="C107" s="49" t="n"/>
      <c r="D107" s="49" t="n"/>
      <c r="E107" s="49" t="n"/>
      <c r="F107" s="49" t="n"/>
      <c r="G107" s="49" t="n"/>
      <c r="H107" s="49" t="n"/>
      <c r="I107" s="49" t="n"/>
      <c r="J107" s="49" t="n"/>
      <c r="K107" s="49" t="n"/>
      <c r="L107" s="49" t="n"/>
      <c r="M107" s="49" t="n"/>
      <c r="N107" s="49" t="n"/>
      <c r="S107" s="49" t="n"/>
      <c r="T107" s="49" t="n"/>
      <c r="U107" s="49" t="n"/>
      <c r="V107" s="49" t="n"/>
      <c r="W107" s="49" t="n"/>
    </row>
    <row r="108">
      <c r="B108" s="49" t="n"/>
      <c r="C108" s="49" t="n"/>
      <c r="D108" s="49" t="n"/>
      <c r="E108" s="49" t="n"/>
      <c r="F108" s="49" t="n"/>
      <c r="G108" s="49" t="n"/>
      <c r="H108" s="49" t="n"/>
      <c r="I108" s="49" t="n"/>
      <c r="J108" s="49" t="n"/>
      <c r="K108" s="49" t="n"/>
      <c r="L108" s="49" t="n"/>
      <c r="M108" s="49" t="n"/>
      <c r="N108" s="49" t="n"/>
      <c r="S108" s="49" t="n"/>
      <c r="T108" s="49" t="n"/>
      <c r="U108" s="49" t="n"/>
      <c r="V108" s="49" t="n"/>
      <c r="W108" s="49" t="n"/>
    </row>
    <row r="109">
      <c r="B109" s="49" t="n"/>
      <c r="C109" s="49" t="n"/>
      <c r="D109" s="49" t="n"/>
      <c r="E109" s="49" t="n"/>
      <c r="F109" s="49" t="n"/>
      <c r="G109" s="49" t="n"/>
      <c r="H109" s="49" t="n"/>
      <c r="I109" s="49" t="n"/>
      <c r="J109" s="49" t="n"/>
      <c r="K109" s="49" t="n"/>
      <c r="L109" s="49" t="n"/>
      <c r="M109" s="49" t="n"/>
      <c r="N109" s="49" t="n"/>
      <c r="S109" s="49" t="n"/>
      <c r="T109" s="49" t="n"/>
      <c r="U109" s="49" t="n"/>
      <c r="V109" s="49" t="n"/>
      <c r="W109" s="49" t="n"/>
    </row>
    <row r="110">
      <c r="B110" s="49" t="n"/>
      <c r="C110" s="49" t="n"/>
      <c r="D110" s="49" t="n"/>
      <c r="E110" s="49" t="n"/>
      <c r="F110" s="49" t="n"/>
      <c r="G110" s="49" t="n"/>
      <c r="H110" s="49" t="n"/>
      <c r="I110" s="49" t="n"/>
      <c r="J110" s="49" t="n"/>
      <c r="K110" s="49" t="n"/>
      <c r="L110" s="49" t="n"/>
      <c r="M110" s="49" t="n"/>
      <c r="N110" s="49" t="n"/>
      <c r="S110" s="49" t="n"/>
      <c r="T110" s="49" t="n"/>
      <c r="U110" s="49" t="n"/>
      <c r="V110" s="49" t="n"/>
      <c r="W110" s="49" t="n"/>
    </row>
    <row r="111">
      <c r="B111" s="49" t="n"/>
      <c r="C111" s="49" t="n"/>
      <c r="D111" s="49" t="n"/>
      <c r="E111" s="49" t="n"/>
      <c r="F111" s="49" t="n"/>
      <c r="G111" s="49" t="n"/>
      <c r="H111" s="49" t="n"/>
      <c r="I111" s="49" t="n"/>
      <c r="J111" s="49" t="n"/>
      <c r="K111" s="49" t="n"/>
      <c r="L111" s="49" t="n"/>
      <c r="M111" s="49" t="n"/>
      <c r="N111" s="49" t="n"/>
      <c r="S111" s="49" t="n"/>
      <c r="T111" s="49" t="n"/>
      <c r="U111" s="49" t="n"/>
      <c r="V111" s="49" t="n"/>
      <c r="W111" s="49" t="n"/>
    </row>
    <row r="112">
      <c r="B112" s="49" t="n"/>
      <c r="C112" s="49" t="n"/>
      <c r="D112" s="49" t="n"/>
      <c r="E112" s="49" t="n"/>
      <c r="F112" s="49" t="n"/>
      <c r="G112" s="49" t="n"/>
      <c r="H112" s="49" t="n"/>
      <c r="I112" s="49" t="n"/>
      <c r="J112" s="49" t="n"/>
      <c r="K112" s="49" t="n"/>
      <c r="L112" s="49" t="n"/>
      <c r="M112" s="49" t="n"/>
      <c r="N112" s="49" t="n"/>
      <c r="S112" s="49" t="n"/>
      <c r="T112" s="49" t="n"/>
      <c r="U112" s="49" t="n"/>
      <c r="V112" s="49" t="n"/>
      <c r="W112" s="49" t="n"/>
    </row>
    <row r="113">
      <c r="B113" s="49" t="n"/>
      <c r="C113" s="49" t="n"/>
      <c r="D113" s="49" t="n"/>
      <c r="E113" s="49" t="n"/>
      <c r="F113" s="49" t="n"/>
      <c r="G113" s="49" t="n"/>
      <c r="H113" s="49" t="n"/>
      <c r="I113" s="49" t="n"/>
      <c r="J113" s="49" t="n"/>
      <c r="K113" s="49" t="n"/>
      <c r="L113" s="49" t="n"/>
      <c r="M113" s="49" t="n"/>
      <c r="N113" s="49" t="n"/>
      <c r="S113" s="49" t="n"/>
      <c r="T113" s="49" t="n"/>
      <c r="U113" s="49" t="n"/>
      <c r="V113" s="49" t="n"/>
      <c r="W113" s="49" t="n"/>
    </row>
    <row r="114">
      <c r="B114" s="49" t="n"/>
      <c r="C114" s="49" t="n"/>
      <c r="D114" s="49" t="n"/>
      <c r="E114" s="49" t="n"/>
      <c r="F114" s="49" t="n"/>
      <c r="G114" s="49" t="n"/>
      <c r="H114" s="49" t="n"/>
      <c r="I114" s="49" t="n"/>
      <c r="J114" s="49" t="n"/>
      <c r="K114" s="49" t="n"/>
      <c r="L114" s="49" t="n"/>
      <c r="M114" s="49" t="n"/>
      <c r="N114" s="49" t="n"/>
      <c r="S114" s="49" t="n"/>
      <c r="T114" s="49" t="n"/>
      <c r="U114" s="49" t="n"/>
      <c r="V114" s="49" t="n"/>
      <c r="W114" s="49" t="n"/>
    </row>
    <row r="115">
      <c r="B115" s="49" t="n"/>
      <c r="C115" s="49" t="n"/>
      <c r="D115" s="49" t="n"/>
      <c r="E115" s="49" t="n"/>
      <c r="F115" s="49" t="n"/>
      <c r="G115" s="49" t="n"/>
      <c r="H115" s="49" t="n"/>
      <c r="I115" s="49" t="n"/>
      <c r="J115" s="49" t="n"/>
      <c r="K115" s="49" t="n"/>
      <c r="L115" s="49" t="n"/>
      <c r="M115" s="49" t="n"/>
      <c r="N115" s="49" t="n"/>
      <c r="S115" s="49" t="n"/>
      <c r="T115" s="49" t="n"/>
      <c r="U115" s="49" t="n"/>
      <c r="V115" s="49" t="n"/>
      <c r="W115" s="49" t="n"/>
    </row>
    <row r="116">
      <c r="B116" s="49" t="n"/>
      <c r="C116" s="49" t="n"/>
      <c r="D116" s="49" t="n"/>
      <c r="E116" s="49" t="n"/>
      <c r="F116" s="49" t="n"/>
      <c r="G116" s="49" t="n"/>
      <c r="H116" s="49" t="n"/>
      <c r="I116" s="49" t="n"/>
      <c r="J116" s="49" t="n"/>
      <c r="K116" s="49" t="n"/>
      <c r="L116" s="49" t="n"/>
      <c r="M116" s="49" t="n"/>
      <c r="N116" s="49" t="n"/>
      <c r="S116" s="49" t="n"/>
      <c r="T116" s="49" t="n"/>
      <c r="U116" s="49" t="n"/>
      <c r="V116" s="49" t="n"/>
      <c r="W116" s="49" t="n"/>
    </row>
    <row r="117">
      <c r="B117" s="49" t="n"/>
      <c r="C117" s="49" t="n"/>
      <c r="D117" s="49" t="n"/>
      <c r="E117" s="49" t="n"/>
      <c r="F117" s="49" t="n"/>
      <c r="G117" s="49" t="n"/>
      <c r="H117" s="49" t="n"/>
      <c r="I117" s="49" t="n"/>
      <c r="J117" s="49" t="n"/>
      <c r="K117" s="49" t="n"/>
      <c r="L117" s="49" t="n"/>
      <c r="M117" s="49" t="n"/>
      <c r="N117" s="49" t="n"/>
      <c r="S117" s="49" t="n"/>
      <c r="T117" s="49" t="n"/>
      <c r="U117" s="49" t="n"/>
      <c r="V117" s="49" t="n"/>
      <c r="W117" s="49" t="n"/>
    </row>
    <row r="118">
      <c r="B118" s="49" t="n"/>
      <c r="C118" s="49" t="n"/>
      <c r="D118" s="49" t="n"/>
      <c r="E118" s="49" t="n"/>
      <c r="F118" s="49" t="n"/>
      <c r="G118" s="49" t="n"/>
      <c r="H118" s="49" t="n"/>
      <c r="I118" s="49" t="n"/>
      <c r="J118" s="49" t="n"/>
      <c r="K118" s="49" t="n"/>
      <c r="L118" s="49" t="n"/>
      <c r="M118" s="49" t="n"/>
      <c r="N118" s="49" t="n"/>
      <c r="S118" s="49" t="n"/>
      <c r="T118" s="49" t="n"/>
      <c r="U118" s="49" t="n"/>
      <c r="V118" s="49" t="n"/>
      <c r="W118" s="49" t="n"/>
    </row>
    <row r="119">
      <c r="B119" s="49" t="n"/>
      <c r="C119" s="49" t="n"/>
      <c r="D119" s="49" t="n"/>
      <c r="E119" s="49" t="n"/>
      <c r="F119" s="49" t="n"/>
      <c r="G119" s="49" t="n"/>
      <c r="H119" s="49" t="n"/>
      <c r="I119" s="49" t="n"/>
      <c r="J119" s="49" t="n"/>
      <c r="K119" s="49" t="n"/>
      <c r="L119" s="49" t="n"/>
      <c r="M119" s="49" t="n"/>
      <c r="N119" s="49" t="n"/>
      <c r="S119" s="49" t="n"/>
      <c r="T119" s="49" t="n"/>
      <c r="U119" s="49" t="n"/>
      <c r="V119" s="49" t="n"/>
      <c r="W119" s="49" t="n"/>
    </row>
    <row r="120">
      <c r="B120" s="49" t="n"/>
      <c r="C120" s="49" t="n"/>
      <c r="D120" s="49" t="n"/>
      <c r="E120" s="49" t="n"/>
      <c r="F120" s="49" t="n"/>
      <c r="G120" s="49" t="n"/>
      <c r="H120" s="49" t="n"/>
      <c r="I120" s="49" t="n"/>
      <c r="J120" s="49" t="n"/>
      <c r="K120" s="49" t="n"/>
      <c r="L120" s="49" t="n"/>
      <c r="M120" s="49" t="n"/>
      <c r="N120" s="49" t="n"/>
      <c r="S120" s="49" t="n"/>
      <c r="T120" s="49" t="n"/>
      <c r="U120" s="49" t="n"/>
      <c r="V120" s="49" t="n"/>
      <c r="W120" s="49" t="n"/>
    </row>
    <row r="121">
      <c r="B121" s="49" t="n"/>
      <c r="C121" s="49" t="n"/>
      <c r="D121" s="49" t="n"/>
      <c r="E121" s="49" t="n"/>
      <c r="F121" s="49" t="n"/>
      <c r="G121" s="49" t="n"/>
      <c r="H121" s="49" t="n"/>
      <c r="I121" s="49" t="n"/>
      <c r="J121" s="49" t="n"/>
      <c r="K121" s="49" t="n"/>
      <c r="L121" s="49" t="n"/>
      <c r="M121" s="49" t="n"/>
      <c r="N121" s="49" t="n"/>
      <c r="S121" s="49" t="n"/>
      <c r="T121" s="49" t="n"/>
      <c r="U121" s="49" t="n"/>
      <c r="V121" s="49" t="n"/>
      <c r="W121" s="49" t="n"/>
    </row>
    <row r="122">
      <c r="B122" s="49" t="n"/>
      <c r="C122" s="49" t="n"/>
      <c r="D122" s="49" t="n"/>
      <c r="E122" s="49" t="n"/>
      <c r="F122" s="49" t="n"/>
      <c r="G122" s="49" t="n"/>
      <c r="H122" s="49" t="n"/>
      <c r="I122" s="49" t="n"/>
      <c r="J122" s="49" t="n"/>
      <c r="K122" s="49" t="n"/>
      <c r="L122" s="49" t="n"/>
      <c r="M122" s="49" t="n"/>
      <c r="N122" s="49" t="n"/>
      <c r="S122" s="49" t="n"/>
      <c r="T122" s="49" t="n"/>
      <c r="U122" s="49" t="n"/>
      <c r="V122" s="49" t="n"/>
      <c r="W122" s="49" t="n"/>
    </row>
    <row r="123">
      <c r="B123" s="49" t="n"/>
      <c r="C123" s="49" t="n"/>
      <c r="D123" s="49" t="n"/>
      <c r="E123" s="49" t="n"/>
      <c r="F123" s="49" t="n"/>
      <c r="G123" s="49" t="n"/>
      <c r="H123" s="49" t="n"/>
      <c r="I123" s="49" t="n"/>
      <c r="J123" s="49" t="n"/>
      <c r="K123" s="49" t="n"/>
      <c r="L123" s="49" t="n"/>
      <c r="M123" s="49" t="n"/>
      <c r="N123" s="49" t="n"/>
      <c r="S123" s="49" t="n"/>
      <c r="T123" s="49" t="n"/>
      <c r="U123" s="49" t="n"/>
      <c r="V123" s="49" t="n"/>
      <c r="W123" s="49" t="n"/>
    </row>
    <row r="124">
      <c r="B124" s="49" t="n"/>
      <c r="C124" s="49" t="n"/>
      <c r="D124" s="49" t="n"/>
      <c r="E124" s="49" t="n"/>
      <c r="F124" s="49" t="n"/>
      <c r="G124" s="49" t="n"/>
      <c r="H124" s="49" t="n"/>
      <c r="I124" s="49" t="n"/>
      <c r="J124" s="49" t="n"/>
      <c r="K124" s="49" t="n"/>
      <c r="L124" s="49" t="n"/>
      <c r="M124" s="49" t="n"/>
      <c r="N124" s="49" t="n"/>
      <c r="S124" s="49" t="n"/>
      <c r="T124" s="49" t="n"/>
      <c r="U124" s="49" t="n"/>
      <c r="V124" s="49" t="n"/>
      <c r="W124" s="49" t="n"/>
    </row>
    <row r="125">
      <c r="B125" s="49" t="n"/>
      <c r="C125" s="49" t="n"/>
      <c r="D125" s="49" t="n"/>
      <c r="E125" s="49" t="n"/>
      <c r="F125" s="49" t="n"/>
      <c r="G125" s="49" t="n"/>
      <c r="H125" s="49" t="n"/>
      <c r="I125" s="49" t="n"/>
      <c r="J125" s="49" t="n"/>
      <c r="K125" s="49" t="n"/>
      <c r="L125" s="49" t="n"/>
      <c r="M125" s="49" t="n"/>
      <c r="N125" s="49" t="n"/>
      <c r="S125" s="49" t="n"/>
      <c r="T125" s="49" t="n"/>
      <c r="U125" s="49" t="n"/>
      <c r="V125" s="49" t="n"/>
      <c r="W125" s="49" t="n"/>
    </row>
    <row r="126">
      <c r="B126" s="49" t="n"/>
      <c r="C126" s="49" t="n"/>
      <c r="D126" s="49" t="n"/>
      <c r="E126" s="49" t="n"/>
      <c r="F126" s="49" t="n"/>
      <c r="G126" s="49" t="n"/>
      <c r="H126" s="49" t="n"/>
      <c r="I126" s="49" t="n"/>
      <c r="J126" s="49" t="n"/>
      <c r="K126" s="49" t="n"/>
      <c r="L126" s="49" t="n"/>
      <c r="M126" s="49" t="n"/>
      <c r="N126" s="49" t="n"/>
      <c r="S126" s="49" t="n"/>
      <c r="T126" s="49" t="n"/>
      <c r="U126" s="49" t="n"/>
      <c r="V126" s="49" t="n"/>
      <c r="W126" s="49" t="n"/>
    </row>
    <row r="127">
      <c r="B127" s="49" t="n"/>
      <c r="C127" s="49" t="n"/>
      <c r="D127" s="49" t="n"/>
      <c r="E127" s="49" t="n"/>
      <c r="F127" s="49" t="n"/>
      <c r="G127" s="49" t="n"/>
      <c r="H127" s="49" t="n"/>
      <c r="I127" s="49" t="n"/>
      <c r="J127" s="49" t="n"/>
      <c r="K127" s="49" t="n"/>
      <c r="L127" s="49" t="n"/>
      <c r="M127" s="49" t="n"/>
      <c r="N127" s="49" t="n"/>
      <c r="S127" s="49" t="n"/>
      <c r="T127" s="49" t="n"/>
      <c r="U127" s="49" t="n"/>
      <c r="V127" s="49" t="n"/>
      <c r="W127" s="49" t="n"/>
    </row>
    <row r="128">
      <c r="B128" s="49" t="n"/>
      <c r="C128" s="49" t="n"/>
      <c r="D128" s="49" t="n"/>
      <c r="E128" s="49" t="n"/>
      <c r="F128" s="49" t="n"/>
      <c r="G128" s="49" t="n"/>
      <c r="H128" s="49" t="n"/>
      <c r="I128" s="49" t="n"/>
      <c r="J128" s="49" t="n"/>
      <c r="K128" s="49" t="n"/>
      <c r="L128" s="49" t="n"/>
      <c r="M128" s="49" t="n"/>
      <c r="N128" s="49" t="n"/>
      <c r="S128" s="49" t="n"/>
      <c r="T128" s="49" t="n"/>
      <c r="U128" s="49" t="n"/>
      <c r="V128" s="49" t="n"/>
      <c r="W128" s="49" t="n"/>
    </row>
    <row r="129">
      <c r="B129" s="49" t="n"/>
      <c r="C129" s="49" t="n"/>
      <c r="D129" s="49" t="n"/>
      <c r="E129" s="49" t="n"/>
      <c r="F129" s="49" t="n"/>
      <c r="G129" s="49" t="n"/>
      <c r="H129" s="49" t="n"/>
      <c r="I129" s="49" t="n"/>
      <c r="J129" s="49" t="n"/>
      <c r="K129" s="49" t="n"/>
      <c r="L129" s="49" t="n"/>
      <c r="M129" s="49" t="n"/>
      <c r="N129" s="49" t="n"/>
      <c r="S129" s="49" t="n"/>
      <c r="T129" s="49" t="n"/>
      <c r="U129" s="49" t="n"/>
      <c r="V129" s="49" t="n"/>
      <c r="W129" s="49" t="n"/>
    </row>
    <row r="130">
      <c r="B130" s="49" t="n"/>
      <c r="C130" s="49" t="n"/>
      <c r="D130" s="49" t="n"/>
      <c r="E130" s="49" t="n"/>
      <c r="F130" s="49" t="n"/>
      <c r="G130" s="49" t="n"/>
      <c r="H130" s="49" t="n"/>
      <c r="I130" s="49" t="n"/>
      <c r="J130" s="49" t="n"/>
      <c r="K130" s="49" t="n"/>
      <c r="L130" s="49" t="n"/>
      <c r="M130" s="49" t="n"/>
      <c r="N130" s="49" t="n"/>
      <c r="S130" s="49" t="n"/>
      <c r="T130" s="49" t="n"/>
      <c r="U130" s="49" t="n"/>
      <c r="V130" s="49" t="n"/>
      <c r="W130" s="49" t="n"/>
    </row>
    <row r="131">
      <c r="B131" s="49" t="n"/>
      <c r="C131" s="49" t="n"/>
      <c r="D131" s="49" t="n"/>
      <c r="E131" s="49" t="n"/>
      <c r="F131" s="49" t="n"/>
      <c r="G131" s="49" t="n"/>
      <c r="H131" s="49" t="n"/>
      <c r="I131" s="49" t="n"/>
      <c r="J131" s="49" t="n"/>
      <c r="K131" s="49" t="n"/>
      <c r="L131" s="49" t="n"/>
      <c r="M131" s="49" t="n"/>
      <c r="N131" s="49" t="n"/>
      <c r="S131" s="49" t="n"/>
      <c r="T131" s="49" t="n"/>
      <c r="U131" s="49" t="n"/>
      <c r="V131" s="49" t="n"/>
      <c r="W131" s="49" t="n"/>
    </row>
    <row r="132">
      <c r="B132" s="49" t="n"/>
      <c r="C132" s="49" t="n"/>
      <c r="D132" s="49" t="n"/>
      <c r="E132" s="49" t="n"/>
      <c r="F132" s="49" t="n"/>
      <c r="G132" s="49" t="n"/>
      <c r="H132" s="49" t="n"/>
      <c r="I132" s="49" t="n"/>
      <c r="J132" s="49" t="n"/>
      <c r="K132" s="49" t="n"/>
      <c r="L132" s="49" t="n"/>
      <c r="M132" s="49" t="n"/>
      <c r="N132" s="49" t="n"/>
      <c r="S132" s="49" t="n"/>
      <c r="T132" s="49" t="n"/>
      <c r="U132" s="49" t="n"/>
      <c r="V132" s="49" t="n"/>
      <c r="W132" s="49" t="n"/>
    </row>
    <row r="133">
      <c r="B133" s="49" t="n"/>
      <c r="C133" s="49" t="n"/>
      <c r="D133" s="49" t="n"/>
      <c r="E133" s="49" t="n"/>
      <c r="F133" s="49" t="n"/>
      <c r="G133" s="49" t="n"/>
      <c r="H133" s="49" t="n"/>
      <c r="I133" s="49" t="n"/>
      <c r="J133" s="49" t="n"/>
      <c r="K133" s="49" t="n"/>
      <c r="L133" s="49" t="n"/>
      <c r="M133" s="49" t="n"/>
      <c r="N133" s="49" t="n"/>
      <c r="S133" s="49" t="n"/>
      <c r="T133" s="49" t="n"/>
      <c r="U133" s="49" t="n"/>
      <c r="V133" s="49" t="n"/>
      <c r="W133" s="49" t="n"/>
    </row>
    <row r="134">
      <c r="B134" s="49" t="n"/>
      <c r="C134" s="49" t="n"/>
      <c r="D134" s="49" t="n"/>
      <c r="E134" s="49" t="n"/>
      <c r="F134" s="49" t="n"/>
      <c r="G134" s="49" t="n"/>
      <c r="H134" s="49" t="n"/>
      <c r="I134" s="49" t="n"/>
      <c r="J134" s="49" t="n"/>
      <c r="K134" s="49" t="n"/>
      <c r="L134" s="49" t="n"/>
      <c r="M134" s="49" t="n"/>
      <c r="N134" s="49" t="n"/>
      <c r="S134" s="49" t="n"/>
      <c r="T134" s="49" t="n"/>
      <c r="U134" s="49" t="n"/>
      <c r="V134" s="49" t="n"/>
      <c r="W134" s="49" t="n"/>
    </row>
    <row r="135">
      <c r="B135" s="49" t="n"/>
      <c r="C135" s="49" t="n"/>
      <c r="D135" s="49" t="n"/>
      <c r="E135" s="49" t="n"/>
      <c r="F135" s="49" t="n"/>
      <c r="G135" s="49" t="n"/>
      <c r="H135" s="49" t="n"/>
      <c r="I135" s="49" t="n"/>
      <c r="J135" s="49" t="n"/>
      <c r="K135" s="49" t="n"/>
      <c r="L135" s="49" t="n"/>
      <c r="M135" s="49" t="n"/>
      <c r="N135" s="49" t="n"/>
      <c r="S135" s="49" t="n"/>
      <c r="T135" s="49" t="n"/>
      <c r="U135" s="49" t="n"/>
      <c r="V135" s="49" t="n"/>
      <c r="W135" s="49" t="n"/>
    </row>
    <row r="136">
      <c r="B136" s="49" t="n"/>
      <c r="C136" s="49" t="n"/>
      <c r="D136" s="49" t="n"/>
      <c r="E136" s="49" t="n"/>
      <c r="F136" s="49" t="n"/>
      <c r="G136" s="49" t="n"/>
      <c r="H136" s="49" t="n"/>
      <c r="I136" s="49" t="n"/>
      <c r="J136" s="49" t="n"/>
      <c r="K136" s="49" t="n"/>
      <c r="L136" s="49" t="n"/>
      <c r="M136" s="49" t="n"/>
      <c r="N136" s="49" t="n"/>
      <c r="S136" s="49" t="n"/>
      <c r="T136" s="49" t="n"/>
      <c r="U136" s="49" t="n"/>
      <c r="V136" s="49" t="n"/>
      <c r="W136" s="49" t="n"/>
    </row>
    <row r="137">
      <c r="B137" s="49" t="n"/>
      <c r="C137" s="49" t="n"/>
      <c r="D137" s="49" t="n"/>
      <c r="E137" s="49" t="n"/>
      <c r="F137" s="49" t="n"/>
      <c r="G137" s="49" t="n"/>
      <c r="H137" s="49" t="n"/>
      <c r="I137" s="49" t="n"/>
      <c r="J137" s="49" t="n"/>
      <c r="K137" s="49" t="n"/>
      <c r="L137" s="49" t="n"/>
      <c r="M137" s="49" t="n"/>
      <c r="N137" s="49" t="n"/>
      <c r="S137" s="49" t="n"/>
      <c r="T137" s="49" t="n"/>
      <c r="U137" s="49" t="n"/>
      <c r="V137" s="49" t="n"/>
      <c r="W137" s="49" t="n"/>
    </row>
    <row r="138">
      <c r="B138" s="49" t="n"/>
      <c r="C138" s="49" t="n"/>
      <c r="D138" s="49" t="n"/>
      <c r="E138" s="49" t="n"/>
      <c r="F138" s="49" t="n"/>
      <c r="G138" s="49" t="n"/>
      <c r="H138" s="49" t="n"/>
      <c r="I138" s="49" t="n"/>
      <c r="J138" s="49" t="n"/>
      <c r="K138" s="49" t="n"/>
      <c r="L138" s="49" t="n"/>
      <c r="M138" s="49" t="n"/>
      <c r="N138" s="49" t="n"/>
      <c r="S138" s="49" t="n"/>
      <c r="T138" s="49" t="n"/>
      <c r="U138" s="49" t="n"/>
      <c r="V138" s="49" t="n"/>
      <c r="W138" s="49" t="n"/>
    </row>
    <row r="139">
      <c r="B139" s="49" t="n"/>
      <c r="C139" s="49" t="n"/>
      <c r="D139" s="49" t="n"/>
      <c r="E139" s="49" t="n"/>
      <c r="F139" s="49" t="n"/>
      <c r="G139" s="49" t="n"/>
      <c r="H139" s="49" t="n"/>
      <c r="I139" s="49" t="n"/>
      <c r="J139" s="49" t="n"/>
      <c r="K139" s="49" t="n"/>
      <c r="L139" s="49" t="n"/>
      <c r="M139" s="49" t="n"/>
      <c r="N139" s="49" t="n"/>
      <c r="S139" s="49" t="n"/>
      <c r="T139" s="49" t="n"/>
      <c r="U139" s="49" t="n"/>
      <c r="V139" s="49" t="n"/>
      <c r="W139" s="49" t="n"/>
    </row>
    <row r="140">
      <c r="B140" s="49" t="n"/>
      <c r="C140" s="49" t="n"/>
      <c r="D140" s="49" t="n"/>
      <c r="E140" s="49" t="n"/>
      <c r="F140" s="49" t="n"/>
      <c r="G140" s="49" t="n"/>
      <c r="H140" s="49" t="n"/>
      <c r="I140" s="49" t="n"/>
      <c r="J140" s="49" t="n"/>
      <c r="K140" s="49" t="n"/>
      <c r="L140" s="49" t="n"/>
      <c r="M140" s="49" t="n"/>
      <c r="N140" s="49" t="n"/>
      <c r="S140" s="49" t="n"/>
      <c r="T140" s="49" t="n"/>
      <c r="U140" s="49" t="n"/>
      <c r="V140" s="49" t="n"/>
      <c r="W140" s="49" t="n"/>
    </row>
    <row r="141">
      <c r="B141" s="49" t="n"/>
      <c r="C141" s="49" t="n"/>
      <c r="D141" s="49" t="n"/>
      <c r="E141" s="49" t="n"/>
      <c r="F141" s="49" t="n"/>
      <c r="G141" s="49" t="n"/>
      <c r="H141" s="49" t="n"/>
      <c r="I141" s="49" t="n"/>
      <c r="J141" s="49" t="n"/>
      <c r="K141" s="49" t="n"/>
      <c r="L141" s="49" t="n"/>
      <c r="M141" s="49" t="n"/>
      <c r="N141" s="49" t="n"/>
      <c r="S141" s="49" t="n"/>
      <c r="T141" s="49" t="n"/>
      <c r="U141" s="49" t="n"/>
      <c r="V141" s="49" t="n"/>
      <c r="W141" s="49" t="n"/>
    </row>
    <row r="142">
      <c r="B142" s="49" t="n"/>
      <c r="C142" s="49" t="n"/>
      <c r="D142" s="49" t="n"/>
      <c r="E142" s="49" t="n"/>
      <c r="F142" s="49" t="n"/>
      <c r="G142" s="49" t="n"/>
      <c r="H142" s="49" t="n"/>
      <c r="I142" s="49" t="n"/>
      <c r="J142" s="49" t="n"/>
      <c r="K142" s="49" t="n"/>
      <c r="L142" s="49" t="n"/>
      <c r="M142" s="49" t="n"/>
      <c r="N142" s="49" t="n"/>
      <c r="S142" s="49" t="n"/>
      <c r="T142" s="49" t="n"/>
      <c r="U142" s="49" t="n"/>
      <c r="V142" s="49" t="n"/>
      <c r="W142" s="49" t="n"/>
    </row>
    <row r="143">
      <c r="B143" s="49" t="n"/>
      <c r="C143" s="49" t="n"/>
      <c r="D143" s="49" t="n"/>
      <c r="E143" s="49" t="n"/>
      <c r="F143" s="49" t="n"/>
      <c r="G143" s="49" t="n"/>
      <c r="H143" s="49" t="n"/>
      <c r="I143" s="49" t="n"/>
      <c r="J143" s="49" t="n"/>
      <c r="K143" s="49" t="n"/>
      <c r="L143" s="49" t="n"/>
      <c r="M143" s="49" t="n"/>
      <c r="N143" s="49" t="n"/>
      <c r="S143" s="49" t="n"/>
      <c r="T143" s="49" t="n"/>
      <c r="U143" s="49" t="n"/>
      <c r="V143" s="49" t="n"/>
      <c r="W143" s="49" t="n"/>
    </row>
    <row r="144">
      <c r="B144" s="49" t="n"/>
      <c r="C144" s="49" t="n"/>
      <c r="D144" s="49" t="n"/>
      <c r="E144" s="49" t="n"/>
      <c r="F144" s="49" t="n"/>
      <c r="G144" s="49" t="n"/>
      <c r="H144" s="49" t="n"/>
      <c r="I144" s="49" t="n"/>
      <c r="J144" s="49" t="n"/>
      <c r="K144" s="49" t="n"/>
      <c r="L144" s="49" t="n"/>
      <c r="M144" s="49" t="n"/>
      <c r="N144" s="49" t="n"/>
      <c r="S144" s="49" t="n"/>
      <c r="T144" s="49" t="n"/>
      <c r="U144" s="49" t="n"/>
      <c r="V144" s="49" t="n"/>
      <c r="W144" s="49" t="n"/>
    </row>
    <row r="145">
      <c r="B145" s="49" t="n"/>
      <c r="C145" s="49" t="n"/>
      <c r="D145" s="49" t="n"/>
      <c r="E145" s="49" t="n"/>
      <c r="F145" s="49" t="n"/>
      <c r="G145" s="49" t="n"/>
      <c r="H145" s="49" t="n"/>
      <c r="I145" s="49" t="n"/>
      <c r="J145" s="49" t="n"/>
      <c r="K145" s="49" t="n"/>
      <c r="L145" s="49" t="n"/>
      <c r="M145" s="49" t="n"/>
      <c r="N145" s="49" t="n"/>
      <c r="S145" s="49" t="n"/>
      <c r="T145" s="49" t="n"/>
      <c r="U145" s="49" t="n"/>
      <c r="V145" s="49" t="n"/>
      <c r="W145" s="49" t="n"/>
    </row>
    <row r="146">
      <c r="B146" s="49" t="n"/>
      <c r="C146" s="49" t="n"/>
      <c r="D146" s="49" t="n"/>
      <c r="E146" s="49" t="n"/>
      <c r="F146" s="49" t="n"/>
      <c r="G146" s="49" t="n"/>
      <c r="H146" s="49" t="n"/>
      <c r="I146" s="49" t="n"/>
      <c r="J146" s="49" t="n"/>
      <c r="K146" s="49" t="n"/>
      <c r="L146" s="49" t="n"/>
      <c r="M146" s="49" t="n"/>
      <c r="N146" s="49" t="n"/>
      <c r="S146" s="49" t="n"/>
      <c r="T146" s="49" t="n"/>
      <c r="U146" s="49" t="n"/>
      <c r="V146" s="49" t="n"/>
      <c r="W146" s="49" t="n"/>
    </row>
    <row r="147">
      <c r="B147" s="49" t="n"/>
      <c r="C147" s="49" t="n"/>
      <c r="D147" s="49" t="n"/>
      <c r="E147" s="49" t="n"/>
      <c r="F147" s="49" t="n"/>
      <c r="G147" s="49" t="n"/>
      <c r="H147" s="49" t="n"/>
      <c r="I147" s="49" t="n"/>
      <c r="J147" s="49" t="n"/>
      <c r="K147" s="49" t="n"/>
      <c r="L147" s="49" t="n"/>
      <c r="M147" s="49" t="n"/>
      <c r="N147" s="49" t="n"/>
      <c r="S147" s="49" t="n"/>
      <c r="T147" s="49" t="n"/>
      <c r="U147" s="49" t="n"/>
      <c r="V147" s="49" t="n"/>
      <c r="W147" s="49" t="n"/>
    </row>
    <row r="148">
      <c r="B148" s="49" t="n"/>
      <c r="C148" s="49" t="n"/>
      <c r="D148" s="49" t="n"/>
      <c r="E148" s="49" t="n"/>
      <c r="F148" s="49" t="n"/>
      <c r="G148" s="49" t="n"/>
      <c r="H148" s="49" t="n"/>
      <c r="I148" s="49" t="n"/>
      <c r="J148" s="49" t="n"/>
      <c r="K148" s="49" t="n"/>
      <c r="L148" s="49" t="n"/>
      <c r="M148" s="49" t="n"/>
      <c r="N148" s="49" t="n"/>
      <c r="S148" s="49" t="n"/>
      <c r="T148" s="49" t="n"/>
      <c r="U148" s="49" t="n"/>
      <c r="V148" s="49" t="n"/>
      <c r="W148" s="49" t="n"/>
    </row>
    <row r="149">
      <c r="B149" s="49" t="n"/>
      <c r="C149" s="49" t="n"/>
      <c r="D149" s="49" t="n"/>
      <c r="E149" s="49" t="n"/>
      <c r="F149" s="49" t="n"/>
      <c r="G149" s="49" t="n"/>
      <c r="H149" s="49" t="n"/>
      <c r="I149" s="49" t="n"/>
      <c r="J149" s="49" t="n"/>
      <c r="K149" s="49" t="n"/>
      <c r="L149" s="49" t="n"/>
      <c r="M149" s="49" t="n"/>
      <c r="N149" s="49" t="n"/>
      <c r="S149" s="49" t="n"/>
      <c r="T149" s="49" t="n"/>
      <c r="U149" s="49" t="n"/>
      <c r="V149" s="49" t="n"/>
      <c r="W149" s="49" t="n"/>
    </row>
    <row r="150">
      <c r="B150" s="49" t="n"/>
      <c r="C150" s="49" t="n"/>
      <c r="D150" s="49" t="n"/>
      <c r="E150" s="49" t="n"/>
      <c r="F150" s="49" t="n"/>
      <c r="G150" s="49" t="n"/>
      <c r="H150" s="49" t="n"/>
      <c r="I150" s="49" t="n"/>
      <c r="J150" s="49" t="n"/>
      <c r="K150" s="49" t="n"/>
      <c r="L150" s="49" t="n"/>
      <c r="M150" s="49" t="n"/>
      <c r="N150" s="49" t="n"/>
      <c r="S150" s="49" t="n"/>
      <c r="T150" s="49" t="n"/>
      <c r="U150" s="49" t="n"/>
      <c r="V150" s="49" t="n"/>
      <c r="W150" s="49" t="n"/>
    </row>
    <row r="151">
      <c r="B151" s="49" t="n"/>
      <c r="C151" s="49" t="n"/>
      <c r="D151" s="49" t="n"/>
      <c r="E151" s="49" t="n"/>
      <c r="F151" s="49" t="n"/>
      <c r="G151" s="49" t="n"/>
      <c r="H151" s="49" t="n"/>
      <c r="I151" s="49" t="n"/>
      <c r="J151" s="49" t="n"/>
      <c r="K151" s="49" t="n"/>
      <c r="L151" s="49" t="n"/>
      <c r="M151" s="49" t="n"/>
      <c r="N151" s="49" t="n"/>
      <c r="S151" s="49" t="n"/>
      <c r="T151" s="49" t="n"/>
      <c r="U151" s="49" t="n"/>
      <c r="V151" s="49" t="n"/>
      <c r="W151" s="49" t="n"/>
    </row>
    <row r="152">
      <c r="B152" s="49" t="n"/>
      <c r="C152" s="49" t="n"/>
      <c r="D152" s="49" t="n"/>
      <c r="E152" s="49" t="n"/>
      <c r="F152" s="49" t="n"/>
      <c r="G152" s="49" t="n"/>
      <c r="H152" s="49" t="n"/>
      <c r="I152" s="49" t="n"/>
      <c r="J152" s="49" t="n"/>
      <c r="K152" s="49" t="n"/>
      <c r="L152" s="49" t="n"/>
      <c r="M152" s="49" t="n"/>
      <c r="N152" s="49" t="n"/>
      <c r="S152" s="49" t="n"/>
      <c r="T152" s="49" t="n"/>
      <c r="U152" s="49" t="n"/>
      <c r="V152" s="49" t="n"/>
      <c r="W152" s="49" t="n"/>
    </row>
    <row r="153">
      <c r="B153" s="49" t="n"/>
      <c r="C153" s="49" t="n"/>
      <c r="D153" s="49" t="n"/>
      <c r="E153" s="49" t="n"/>
      <c r="F153" s="49" t="n"/>
      <c r="G153" s="49" t="n"/>
      <c r="H153" s="49" t="n"/>
      <c r="I153" s="49" t="n"/>
      <c r="J153" s="49" t="n"/>
      <c r="K153" s="49" t="n"/>
      <c r="L153" s="49" t="n"/>
      <c r="M153" s="49" t="n"/>
      <c r="N153" s="49" t="n"/>
      <c r="S153" s="49" t="n"/>
      <c r="T153" s="49" t="n"/>
      <c r="U153" s="49" t="n"/>
      <c r="V153" s="49" t="n"/>
      <c r="W153" s="49" t="n"/>
    </row>
    <row r="154">
      <c r="B154" s="49" t="n"/>
      <c r="C154" s="49" t="n"/>
      <c r="D154" s="49" t="n"/>
      <c r="E154" s="49" t="n"/>
      <c r="F154" s="49" t="n"/>
      <c r="G154" s="49" t="n"/>
      <c r="H154" s="49" t="n"/>
      <c r="I154" s="49" t="n"/>
      <c r="J154" s="49" t="n"/>
      <c r="K154" s="49" t="n"/>
      <c r="L154" s="49" t="n"/>
      <c r="M154" s="49" t="n"/>
      <c r="N154" s="49" t="n"/>
      <c r="S154" s="49" t="n"/>
      <c r="T154" s="49" t="n"/>
      <c r="U154" s="49" t="n"/>
      <c r="V154" s="49" t="n"/>
      <c r="W154" s="49" t="n"/>
    </row>
    <row r="155">
      <c r="B155" s="49" t="n"/>
      <c r="C155" s="49" t="n"/>
      <c r="D155" s="49" t="n"/>
      <c r="E155" s="49" t="n"/>
      <c r="F155" s="49" t="n"/>
      <c r="G155" s="49" t="n"/>
      <c r="H155" s="49" t="n"/>
      <c r="I155" s="49" t="n"/>
      <c r="J155" s="49" t="n"/>
      <c r="K155" s="49" t="n"/>
      <c r="L155" s="49" t="n"/>
      <c r="M155" s="49" t="n"/>
      <c r="N155" s="49" t="n"/>
      <c r="S155" s="49" t="n"/>
      <c r="T155" s="49" t="n"/>
      <c r="U155" s="49" t="n"/>
      <c r="V155" s="49" t="n"/>
      <c r="W155" s="49" t="n"/>
    </row>
    <row r="156">
      <c r="B156" s="49" t="n"/>
      <c r="C156" s="49" t="n"/>
      <c r="D156" s="49" t="n"/>
      <c r="E156" s="49" t="n"/>
      <c r="F156" s="49" t="n"/>
      <c r="G156" s="49" t="n"/>
      <c r="H156" s="49" t="n"/>
      <c r="I156" s="49" t="n"/>
      <c r="J156" s="49" t="n"/>
      <c r="K156" s="49" t="n"/>
      <c r="L156" s="49" t="n"/>
      <c r="M156" s="49" t="n"/>
      <c r="N156" s="49" t="n"/>
      <c r="S156" s="49" t="n"/>
      <c r="T156" s="49" t="n"/>
      <c r="U156" s="49" t="n"/>
      <c r="V156" s="49" t="n"/>
      <c r="W156" s="49" t="n"/>
    </row>
    <row r="157">
      <c r="B157" s="49" t="n"/>
      <c r="C157" s="49" t="n"/>
      <c r="D157" s="49" t="n"/>
      <c r="E157" s="49" t="n"/>
      <c r="F157" s="49" t="n"/>
      <c r="G157" s="49" t="n"/>
      <c r="H157" s="49" t="n"/>
      <c r="I157" s="49" t="n"/>
      <c r="J157" s="49" t="n"/>
      <c r="K157" s="49" t="n"/>
      <c r="L157" s="49" t="n"/>
      <c r="M157" s="49" t="n"/>
      <c r="N157" s="49" t="n"/>
      <c r="S157" s="49" t="n"/>
      <c r="T157" s="49" t="n"/>
      <c r="U157" s="49" t="n"/>
      <c r="V157" s="49" t="n"/>
      <c r="W157" s="49" t="n"/>
    </row>
    <row r="158">
      <c r="B158" s="49" t="n"/>
      <c r="C158" s="49" t="n"/>
      <c r="D158" s="49" t="n"/>
      <c r="E158" s="49" t="n"/>
      <c r="F158" s="49" t="n"/>
      <c r="G158" s="49" t="n"/>
      <c r="H158" s="49" t="n"/>
      <c r="I158" s="49" t="n"/>
      <c r="J158" s="49" t="n"/>
      <c r="K158" s="49" t="n"/>
      <c r="L158" s="49" t="n"/>
      <c r="M158" s="49" t="n"/>
      <c r="N158" s="49" t="n"/>
      <c r="S158" s="49" t="n"/>
      <c r="T158" s="49" t="n"/>
      <c r="U158" s="49" t="n"/>
      <c r="V158" s="49" t="n"/>
      <c r="W158" s="49" t="n"/>
    </row>
    <row r="159">
      <c r="B159" s="49" t="n"/>
      <c r="C159" s="49" t="n"/>
      <c r="D159" s="49" t="n"/>
      <c r="E159" s="49" t="n"/>
      <c r="F159" s="49" t="n"/>
      <c r="G159" s="49" t="n"/>
      <c r="H159" s="49" t="n"/>
      <c r="I159" s="49" t="n"/>
      <c r="J159" s="49" t="n"/>
      <c r="K159" s="49" t="n"/>
      <c r="L159" s="49" t="n"/>
      <c r="M159" s="49" t="n"/>
      <c r="N159" s="49" t="n"/>
      <c r="S159" s="49" t="n"/>
      <c r="T159" s="49" t="n"/>
      <c r="U159" s="49" t="n"/>
      <c r="V159" s="49" t="n"/>
      <c r="W159" s="49" t="n"/>
    </row>
    <row r="160">
      <c r="B160" s="49" t="n"/>
      <c r="C160" s="49" t="n"/>
      <c r="D160" s="49" t="n"/>
      <c r="E160" s="49" t="n"/>
      <c r="F160" s="49" t="n"/>
      <c r="G160" s="49" t="n"/>
      <c r="H160" s="49" t="n"/>
      <c r="I160" s="49" t="n"/>
      <c r="J160" s="49" t="n"/>
      <c r="K160" s="49" t="n"/>
      <c r="L160" s="49" t="n"/>
      <c r="M160" s="49" t="n"/>
      <c r="N160" s="49" t="n"/>
      <c r="S160" s="49" t="n"/>
      <c r="T160" s="49" t="n"/>
      <c r="U160" s="49" t="n"/>
      <c r="V160" s="49" t="n"/>
      <c r="W160" s="49" t="n"/>
    </row>
    <row r="161">
      <c r="B161" s="49" t="n"/>
      <c r="C161" s="49" t="n"/>
      <c r="D161" s="49" t="n"/>
      <c r="E161" s="49" t="n"/>
      <c r="F161" s="49" t="n"/>
      <c r="G161" s="49" t="n"/>
      <c r="H161" s="49" t="n"/>
      <c r="I161" s="49" t="n"/>
      <c r="J161" s="49" t="n"/>
      <c r="K161" s="49" t="n"/>
      <c r="L161" s="49" t="n"/>
      <c r="M161" s="49" t="n"/>
      <c r="N161" s="49" t="n"/>
      <c r="S161" s="49" t="n"/>
      <c r="T161" s="49" t="n"/>
      <c r="U161" s="49" t="n"/>
      <c r="V161" s="49" t="n"/>
      <c r="W161" s="49" t="n"/>
    </row>
    <row r="162">
      <c r="B162" s="49" t="n"/>
      <c r="C162" s="49" t="n"/>
      <c r="D162" s="49" t="n"/>
      <c r="E162" s="49" t="n"/>
      <c r="F162" s="49" t="n"/>
      <c r="G162" s="49" t="n"/>
      <c r="H162" s="49" t="n"/>
      <c r="I162" s="49" t="n"/>
      <c r="J162" s="49" t="n"/>
      <c r="K162" s="49" t="n"/>
      <c r="L162" s="49" t="n"/>
      <c r="M162" s="49" t="n"/>
      <c r="N162" s="49" t="n"/>
      <c r="S162" s="49" t="n"/>
      <c r="T162" s="49" t="n"/>
      <c r="U162" s="49" t="n"/>
      <c r="V162" s="49" t="n"/>
      <c r="W162" s="49" t="n"/>
    </row>
    <row r="163">
      <c r="B163" s="49" t="n"/>
      <c r="C163" s="49" t="n"/>
      <c r="D163" s="49" t="n"/>
      <c r="E163" s="49" t="n"/>
      <c r="F163" s="49" t="n"/>
      <c r="G163" s="49" t="n"/>
      <c r="H163" s="49" t="n"/>
      <c r="I163" s="49" t="n"/>
      <c r="J163" s="49" t="n"/>
      <c r="K163" s="49" t="n"/>
      <c r="L163" s="49" t="n"/>
      <c r="M163" s="49" t="n"/>
      <c r="N163" s="49" t="n"/>
      <c r="S163" s="49" t="n"/>
      <c r="T163" s="49" t="n"/>
      <c r="U163" s="49" t="n"/>
      <c r="V163" s="49" t="n"/>
      <c r="W163" s="49" t="n"/>
    </row>
    <row r="164">
      <c r="B164" s="49" t="n"/>
      <c r="C164" s="49" t="n"/>
      <c r="D164" s="49" t="n"/>
      <c r="E164" s="49" t="n"/>
      <c r="F164" s="49" t="n"/>
      <c r="G164" s="49" t="n"/>
      <c r="H164" s="49" t="n"/>
      <c r="I164" s="49" t="n"/>
      <c r="J164" s="49" t="n"/>
      <c r="K164" s="49" t="n"/>
      <c r="L164" s="49" t="n"/>
      <c r="M164" s="49" t="n"/>
      <c r="N164" s="49" t="n"/>
      <c r="S164" s="49" t="n"/>
      <c r="T164" s="49" t="n"/>
      <c r="U164" s="49" t="n"/>
      <c r="V164" s="49" t="n"/>
      <c r="W164" s="49" t="n"/>
    </row>
    <row r="165">
      <c r="B165" s="49" t="n"/>
      <c r="C165" s="49" t="n"/>
      <c r="D165" s="49" t="n"/>
      <c r="E165" s="49" t="n"/>
      <c r="F165" s="49" t="n"/>
      <c r="G165" s="49" t="n"/>
      <c r="H165" s="49" t="n"/>
      <c r="I165" s="49" t="n"/>
      <c r="J165" s="49" t="n"/>
      <c r="K165" s="49" t="n"/>
      <c r="L165" s="49" t="n"/>
      <c r="M165" s="49" t="n"/>
      <c r="N165" s="49" t="n"/>
      <c r="S165" s="49" t="n"/>
      <c r="T165" s="49" t="n"/>
      <c r="U165" s="49" t="n"/>
      <c r="V165" s="49" t="n"/>
      <c r="W165" s="49" t="n"/>
    </row>
    <row r="166">
      <c r="B166" s="49" t="n"/>
      <c r="C166" s="49" t="n"/>
      <c r="D166" s="49" t="n"/>
      <c r="E166" s="49" t="n"/>
      <c r="F166" s="49" t="n"/>
      <c r="G166" s="49" t="n"/>
      <c r="H166" s="49" t="n"/>
      <c r="I166" s="49" t="n"/>
      <c r="J166" s="49" t="n"/>
      <c r="K166" s="49" t="n"/>
      <c r="L166" s="49" t="n"/>
      <c r="M166" s="49" t="n"/>
      <c r="N166" s="49" t="n"/>
      <c r="S166" s="49" t="n"/>
      <c r="T166" s="49" t="n"/>
      <c r="U166" s="49" t="n"/>
      <c r="V166" s="49" t="n"/>
      <c r="W166" s="49" t="n"/>
    </row>
    <row r="167">
      <c r="B167" s="49" t="n"/>
      <c r="C167" s="49" t="n"/>
      <c r="D167" s="49" t="n"/>
      <c r="E167" s="49" t="n"/>
      <c r="F167" s="49" t="n"/>
      <c r="G167" s="49" t="n"/>
      <c r="H167" s="49" t="n"/>
      <c r="I167" s="49" t="n"/>
      <c r="J167" s="49" t="n"/>
      <c r="K167" s="49" t="n"/>
      <c r="L167" s="49" t="n"/>
      <c r="M167" s="49" t="n"/>
      <c r="N167" s="49" t="n"/>
      <c r="S167" s="49" t="n"/>
      <c r="T167" s="49" t="n"/>
      <c r="U167" s="49" t="n"/>
      <c r="V167" s="49" t="n"/>
      <c r="W167" s="49" t="n"/>
    </row>
    <row r="168">
      <c r="B168" s="49" t="n"/>
      <c r="C168" s="49" t="n"/>
      <c r="D168" s="49" t="n"/>
      <c r="E168" s="49" t="n"/>
      <c r="F168" s="49" t="n"/>
      <c r="G168" s="49" t="n"/>
      <c r="H168" s="49" t="n"/>
      <c r="I168" s="49" t="n"/>
      <c r="J168" s="49" t="n"/>
      <c r="K168" s="49" t="n"/>
      <c r="L168" s="49" t="n"/>
      <c r="M168" s="49" t="n"/>
      <c r="N168" s="49" t="n"/>
      <c r="S168" s="49" t="n"/>
      <c r="T168" s="49" t="n"/>
      <c r="U168" s="49" t="n"/>
      <c r="V168" s="49" t="n"/>
      <c r="W168" s="49" t="n"/>
    </row>
    <row r="169">
      <c r="B169" s="49" t="n"/>
      <c r="C169" s="49" t="n"/>
      <c r="D169" s="49" t="n"/>
      <c r="E169" s="49" t="n"/>
      <c r="F169" s="49" t="n"/>
      <c r="G169" s="49" t="n"/>
      <c r="H169" s="49" t="n"/>
      <c r="I169" s="49" t="n"/>
      <c r="J169" s="49" t="n"/>
      <c r="K169" s="49" t="n"/>
      <c r="L169" s="49" t="n"/>
      <c r="M169" s="49" t="n"/>
      <c r="N169" s="49" t="n"/>
      <c r="S169" s="49" t="n"/>
      <c r="T169" s="49" t="n"/>
      <c r="U169" s="49" t="n"/>
      <c r="V169" s="49" t="n"/>
      <c r="W169" s="49" t="n"/>
    </row>
    <row r="170">
      <c r="B170" s="49" t="n"/>
      <c r="C170" s="49" t="n"/>
      <c r="D170" s="49" t="n"/>
      <c r="E170" s="49" t="n"/>
      <c r="F170" s="49" t="n"/>
      <c r="G170" s="49" t="n"/>
      <c r="H170" s="49" t="n"/>
      <c r="I170" s="49" t="n"/>
      <c r="J170" s="49" t="n"/>
      <c r="K170" s="49" t="n"/>
      <c r="L170" s="49" t="n"/>
      <c r="M170" s="49" t="n"/>
      <c r="N170" s="49" t="n"/>
      <c r="S170" s="49" t="n"/>
      <c r="T170" s="49" t="n"/>
      <c r="U170" s="49" t="n"/>
      <c r="V170" s="49" t="n"/>
      <c r="W170" s="49" t="n"/>
    </row>
    <row r="171">
      <c r="B171" s="49" t="n"/>
      <c r="C171" s="49" t="n"/>
      <c r="D171" s="49" t="n"/>
      <c r="E171" s="49" t="n"/>
      <c r="F171" s="49" t="n"/>
      <c r="G171" s="49" t="n"/>
      <c r="H171" s="49" t="n"/>
      <c r="I171" s="49" t="n"/>
      <c r="J171" s="49" t="n"/>
      <c r="K171" s="49" t="n"/>
      <c r="L171" s="49" t="n"/>
      <c r="M171" s="49" t="n"/>
      <c r="N171" s="49" t="n"/>
      <c r="S171" s="49" t="n"/>
      <c r="T171" s="49" t="n"/>
      <c r="U171" s="49" t="n"/>
      <c r="V171" s="49" t="n"/>
      <c r="W171" s="49" t="n"/>
    </row>
    <row r="172">
      <c r="B172" s="49" t="n"/>
      <c r="C172" s="49" t="n"/>
      <c r="D172" s="49" t="n"/>
      <c r="E172" s="49" t="n"/>
      <c r="F172" s="49" t="n"/>
      <c r="G172" s="49" t="n"/>
      <c r="H172" s="49" t="n"/>
      <c r="I172" s="49" t="n"/>
      <c r="J172" s="49" t="n"/>
      <c r="K172" s="49" t="n"/>
      <c r="L172" s="49" t="n"/>
      <c r="M172" s="49" t="n"/>
      <c r="N172" s="49" t="n"/>
      <c r="S172" s="49" t="n"/>
      <c r="T172" s="49" t="n"/>
      <c r="U172" s="49" t="n"/>
      <c r="V172" s="49" t="n"/>
      <c r="W172" s="49" t="n"/>
    </row>
    <row r="173">
      <c r="B173" s="49" t="n"/>
      <c r="C173" s="49" t="n"/>
      <c r="D173" s="49" t="n"/>
      <c r="E173" s="49" t="n"/>
      <c r="F173" s="49" t="n"/>
      <c r="G173" s="49" t="n"/>
      <c r="H173" s="49" t="n"/>
      <c r="I173" s="49" t="n"/>
      <c r="J173" s="49" t="n"/>
      <c r="K173" s="49" t="n"/>
      <c r="L173" s="49" t="n"/>
      <c r="M173" s="49" t="n"/>
      <c r="N173" s="49" t="n"/>
      <c r="S173" s="49" t="n"/>
      <c r="T173" s="49" t="n"/>
      <c r="U173" s="49" t="n"/>
      <c r="V173" s="49" t="n"/>
      <c r="W173" s="49" t="n"/>
    </row>
    <row r="174">
      <c r="B174" s="49" t="n"/>
      <c r="C174" s="49" t="n"/>
      <c r="D174" s="49" t="n"/>
      <c r="E174" s="49" t="n"/>
      <c r="F174" s="49" t="n"/>
      <c r="G174" s="49" t="n"/>
      <c r="H174" s="49" t="n"/>
      <c r="I174" s="49" t="n"/>
      <c r="J174" s="49" t="n"/>
      <c r="K174" s="49" t="n"/>
      <c r="L174" s="49" t="n"/>
      <c r="M174" s="49" t="n"/>
      <c r="N174" s="49" t="n"/>
      <c r="S174" s="49" t="n"/>
      <c r="T174" s="49" t="n"/>
      <c r="U174" s="49" t="n"/>
      <c r="V174" s="49" t="n"/>
      <c r="W174" s="49" t="n"/>
    </row>
    <row r="175">
      <c r="B175" s="49" t="n"/>
      <c r="C175" s="49" t="n"/>
      <c r="D175" s="49" t="n"/>
      <c r="E175" s="49" t="n"/>
      <c r="F175" s="49" t="n"/>
      <c r="G175" s="49" t="n"/>
      <c r="H175" s="49" t="n"/>
      <c r="I175" s="49" t="n"/>
      <c r="J175" s="49" t="n"/>
      <c r="K175" s="49" t="n"/>
      <c r="L175" s="49" t="n"/>
      <c r="M175" s="49" t="n"/>
      <c r="N175" s="49" t="n"/>
      <c r="S175" s="49" t="n"/>
      <c r="T175" s="49" t="n"/>
      <c r="U175" s="49" t="n"/>
      <c r="V175" s="49" t="n"/>
      <c r="W175" s="49" t="n"/>
    </row>
    <row r="176">
      <c r="B176" s="49" t="n"/>
      <c r="C176" s="49" t="n"/>
      <c r="D176" s="49" t="n"/>
      <c r="E176" s="49" t="n"/>
      <c r="F176" s="49" t="n"/>
      <c r="G176" s="49" t="n"/>
      <c r="H176" s="49" t="n"/>
      <c r="I176" s="49" t="n"/>
      <c r="J176" s="49" t="n"/>
      <c r="K176" s="49" t="n"/>
      <c r="L176" s="49" t="n"/>
      <c r="M176" s="49" t="n"/>
      <c r="N176" s="49" t="n"/>
      <c r="S176" s="49" t="n"/>
      <c r="T176" s="49" t="n"/>
      <c r="U176" s="49" t="n"/>
      <c r="V176" s="49" t="n"/>
      <c r="W176" s="49" t="n"/>
    </row>
    <row r="177">
      <c r="B177" s="49" t="n"/>
      <c r="C177" s="49" t="n"/>
      <c r="D177" s="49" t="n"/>
      <c r="E177" s="49" t="n"/>
      <c r="F177" s="49" t="n"/>
      <c r="G177" s="49" t="n"/>
      <c r="H177" s="49" t="n"/>
      <c r="I177" s="49" t="n"/>
      <c r="J177" s="49" t="n"/>
      <c r="K177" s="49" t="n"/>
      <c r="L177" s="49" t="n"/>
      <c r="M177" s="49" t="n"/>
      <c r="N177" s="49" t="n"/>
      <c r="S177" s="49" t="n"/>
      <c r="T177" s="49" t="n"/>
      <c r="U177" s="49" t="n"/>
      <c r="V177" s="49" t="n"/>
      <c r="W177" s="49" t="n"/>
    </row>
    <row r="178">
      <c r="B178" s="49" t="n"/>
      <c r="C178" s="49" t="n"/>
      <c r="D178" s="49" t="n"/>
      <c r="E178" s="49" t="n"/>
      <c r="F178" s="49" t="n"/>
      <c r="G178" s="49" t="n"/>
      <c r="H178" s="49" t="n"/>
      <c r="I178" s="49" t="n"/>
      <c r="J178" s="49" t="n"/>
      <c r="K178" s="49" t="n"/>
      <c r="L178" s="49" t="n"/>
      <c r="M178" s="49" t="n"/>
      <c r="N178" s="49" t="n"/>
      <c r="S178" s="49" t="n"/>
      <c r="T178" s="49" t="n"/>
      <c r="U178" s="49" t="n"/>
      <c r="V178" s="49" t="n"/>
      <c r="W178" s="49" t="n"/>
    </row>
    <row r="179">
      <c r="B179" s="49" t="n"/>
      <c r="C179" s="49" t="n"/>
      <c r="D179" s="49" t="n"/>
      <c r="E179" s="49" t="n"/>
      <c r="F179" s="49" t="n"/>
      <c r="G179" s="49" t="n"/>
      <c r="H179" s="49" t="n"/>
      <c r="I179" s="49" t="n"/>
      <c r="J179" s="49" t="n"/>
      <c r="K179" s="49" t="n"/>
      <c r="L179" s="49" t="n"/>
      <c r="M179" s="49" t="n"/>
      <c r="N179" s="49" t="n"/>
      <c r="S179" s="49" t="n"/>
      <c r="T179" s="49" t="n"/>
      <c r="U179" s="49" t="n"/>
      <c r="V179" s="49" t="n"/>
      <c r="W179" s="49" t="n"/>
    </row>
    <row r="180">
      <c r="B180" s="49" t="n"/>
      <c r="C180" s="49" t="n"/>
      <c r="D180" s="49" t="n"/>
      <c r="E180" s="49" t="n"/>
      <c r="F180" s="49" t="n"/>
      <c r="G180" s="49" t="n"/>
      <c r="H180" s="49" t="n"/>
      <c r="I180" s="49" t="n"/>
      <c r="J180" s="49" t="n"/>
      <c r="K180" s="49" t="n"/>
      <c r="L180" s="49" t="n"/>
      <c r="M180" s="49" t="n"/>
      <c r="N180" s="49" t="n"/>
      <c r="S180" s="49" t="n"/>
      <c r="T180" s="49" t="n"/>
      <c r="U180" s="49" t="n"/>
      <c r="V180" s="49" t="n"/>
      <c r="W180" s="49" t="n"/>
    </row>
    <row r="181">
      <c r="B181" s="49" t="n"/>
      <c r="C181" s="49" t="n"/>
      <c r="D181" s="49" t="n"/>
      <c r="E181" s="49" t="n"/>
      <c r="F181" s="49" t="n"/>
      <c r="G181" s="49" t="n"/>
      <c r="H181" s="49" t="n"/>
      <c r="I181" s="49" t="n"/>
      <c r="J181" s="49" t="n"/>
      <c r="K181" s="49" t="n"/>
      <c r="L181" s="49" t="n"/>
      <c r="M181" s="49" t="n"/>
      <c r="N181" s="49" t="n"/>
      <c r="S181" s="49" t="n"/>
      <c r="T181" s="49" t="n"/>
      <c r="U181" s="49" t="n"/>
      <c r="V181" s="49" t="n"/>
      <c r="W181" s="49" t="n"/>
    </row>
    <row r="182">
      <c r="B182" s="49" t="n"/>
      <c r="C182" s="49" t="n"/>
      <c r="D182" s="49" t="n"/>
      <c r="E182" s="49" t="n"/>
      <c r="F182" s="49" t="n"/>
      <c r="G182" s="49" t="n"/>
      <c r="H182" s="49" t="n"/>
      <c r="I182" s="49" t="n"/>
      <c r="J182" s="49" t="n"/>
      <c r="K182" s="49" t="n"/>
      <c r="L182" s="49" t="n"/>
      <c r="M182" s="49" t="n"/>
      <c r="N182" s="49" t="n"/>
      <c r="S182" s="49" t="n"/>
      <c r="T182" s="49" t="n"/>
      <c r="U182" s="49" t="n"/>
      <c r="V182" s="49" t="n"/>
      <c r="W182" s="49" t="n"/>
    </row>
    <row r="183">
      <c r="B183" s="49" t="n"/>
      <c r="C183" s="49" t="n"/>
      <c r="D183" s="49" t="n"/>
      <c r="E183" s="49" t="n"/>
      <c r="F183" s="49" t="n"/>
      <c r="G183" s="49" t="n"/>
      <c r="H183" s="49" t="n"/>
      <c r="I183" s="49" t="n"/>
      <c r="J183" s="49" t="n"/>
      <c r="K183" s="49" t="n"/>
      <c r="L183" s="49" t="n"/>
      <c r="M183" s="49" t="n"/>
      <c r="N183" s="49" t="n"/>
      <c r="S183" s="49" t="n"/>
      <c r="T183" s="49" t="n"/>
      <c r="U183" s="49" t="n"/>
      <c r="V183" s="49" t="n"/>
      <c r="W183" s="49" t="n"/>
    </row>
    <row r="184">
      <c r="B184" s="49" t="n"/>
      <c r="C184" s="49" t="n"/>
      <c r="D184" s="49" t="n"/>
      <c r="E184" s="49" t="n"/>
      <c r="F184" s="49" t="n"/>
      <c r="G184" s="49" t="n"/>
      <c r="H184" s="49" t="n"/>
      <c r="I184" s="49" t="n"/>
      <c r="J184" s="49" t="n"/>
      <c r="K184" s="49" t="n"/>
      <c r="L184" s="49" t="n"/>
      <c r="M184" s="49" t="n"/>
      <c r="N184" s="49" t="n"/>
      <c r="S184" s="49" t="n"/>
      <c r="T184" s="49" t="n"/>
      <c r="U184" s="49" t="n"/>
      <c r="V184" s="49" t="n"/>
      <c r="W184" s="49" t="n"/>
    </row>
    <row r="185">
      <c r="B185" s="49" t="n"/>
      <c r="C185" s="49" t="n"/>
      <c r="D185" s="49" t="n"/>
      <c r="E185" s="49" t="n"/>
      <c r="F185" s="49" t="n"/>
      <c r="G185" s="49" t="n"/>
      <c r="H185" s="49" t="n"/>
      <c r="I185" s="49" t="n"/>
      <c r="J185" s="49" t="n"/>
      <c r="K185" s="49" t="n"/>
      <c r="L185" s="49" t="n"/>
      <c r="M185" s="49" t="n"/>
      <c r="N185" s="49" t="n"/>
      <c r="S185" s="49" t="n"/>
      <c r="T185" s="49" t="n"/>
      <c r="U185" s="49" t="n"/>
      <c r="V185" s="49" t="n"/>
      <c r="W185" s="49" t="n"/>
    </row>
    <row r="186">
      <c r="B186" s="49" t="n"/>
      <c r="C186" s="49" t="n"/>
      <c r="D186" s="49" t="n"/>
      <c r="E186" s="49" t="n"/>
      <c r="F186" s="49" t="n"/>
      <c r="G186" s="49" t="n"/>
      <c r="H186" s="49" t="n"/>
      <c r="I186" s="49" t="n"/>
      <c r="J186" s="49" t="n"/>
      <c r="K186" s="49" t="n"/>
      <c r="L186" s="49" t="n"/>
      <c r="M186" s="49" t="n"/>
      <c r="N186" s="49" t="n"/>
      <c r="S186" s="49" t="n"/>
      <c r="T186" s="49" t="n"/>
      <c r="U186" s="49" t="n"/>
      <c r="V186" s="49" t="n"/>
      <c r="W186" s="49" t="n"/>
    </row>
    <row r="187">
      <c r="B187" s="49" t="n"/>
      <c r="C187" s="49" t="n"/>
      <c r="D187" s="49" t="n"/>
      <c r="E187" s="49" t="n"/>
      <c r="F187" s="49" t="n"/>
      <c r="G187" s="49" t="n"/>
      <c r="H187" s="49" t="n"/>
      <c r="I187" s="49" t="n"/>
      <c r="J187" s="49" t="n"/>
      <c r="K187" s="49" t="n"/>
      <c r="L187" s="49" t="n"/>
      <c r="M187" s="49" t="n"/>
      <c r="N187" s="49" t="n"/>
      <c r="S187" s="49" t="n"/>
      <c r="T187" s="49" t="n"/>
      <c r="U187" s="49" t="n"/>
      <c r="V187" s="49" t="n"/>
      <c r="W187" s="49" t="n"/>
    </row>
    <row r="188">
      <c r="B188" s="49" t="n"/>
      <c r="C188" s="49" t="n"/>
      <c r="D188" s="49" t="n"/>
      <c r="E188" s="49" t="n"/>
      <c r="F188" s="49" t="n"/>
      <c r="G188" s="49" t="n"/>
      <c r="H188" s="49" t="n"/>
      <c r="I188" s="49" t="n"/>
      <c r="J188" s="49" t="n"/>
      <c r="K188" s="49" t="n"/>
      <c r="L188" s="49" t="n"/>
      <c r="M188" s="49" t="n"/>
      <c r="N188" s="49" t="n"/>
      <c r="S188" s="49" t="n"/>
      <c r="T188" s="49" t="n"/>
      <c r="U188" s="49" t="n"/>
      <c r="V188" s="49" t="n"/>
      <c r="W188" s="49" t="n"/>
    </row>
    <row r="189">
      <c r="B189" s="49" t="n"/>
      <c r="C189" s="49" t="n"/>
      <c r="D189" s="49" t="n"/>
      <c r="E189" s="49" t="n"/>
      <c r="F189" s="49" t="n"/>
      <c r="G189" s="49" t="n"/>
      <c r="H189" s="49" t="n"/>
      <c r="I189" s="49" t="n"/>
      <c r="J189" s="49" t="n"/>
      <c r="K189" s="49" t="n"/>
      <c r="L189" s="49" t="n"/>
      <c r="M189" s="49" t="n"/>
      <c r="N189" s="49" t="n"/>
      <c r="S189" s="49" t="n"/>
      <c r="T189" s="49" t="n"/>
      <c r="U189" s="49" t="n"/>
      <c r="V189" s="49" t="n"/>
      <c r="W189" s="49" t="n"/>
    </row>
    <row r="190">
      <c r="B190" s="49" t="n"/>
      <c r="C190" s="49" t="n"/>
      <c r="D190" s="49" t="n"/>
      <c r="E190" s="49" t="n"/>
      <c r="F190" s="49" t="n"/>
      <c r="G190" s="49" t="n"/>
      <c r="H190" s="49" t="n"/>
      <c r="I190" s="49" t="n"/>
      <c r="J190" s="49" t="n"/>
      <c r="K190" s="49" t="n"/>
      <c r="L190" s="49" t="n"/>
      <c r="M190" s="49" t="n"/>
      <c r="N190" s="49" t="n"/>
      <c r="S190" s="49" t="n"/>
      <c r="T190" s="49" t="n"/>
      <c r="U190" s="49" t="n"/>
      <c r="V190" s="49" t="n"/>
      <c r="W190" s="49" t="n"/>
    </row>
    <row r="191">
      <c r="B191" s="49" t="n"/>
      <c r="C191" s="49" t="n"/>
      <c r="D191" s="49" t="n"/>
      <c r="E191" s="49" t="n"/>
      <c r="F191" s="49" t="n"/>
      <c r="G191" s="49" t="n"/>
      <c r="H191" s="49" t="n"/>
      <c r="I191" s="49" t="n"/>
      <c r="J191" s="49" t="n"/>
      <c r="K191" s="49" t="n"/>
      <c r="L191" s="49" t="n"/>
      <c r="M191" s="49" t="n"/>
      <c r="N191" s="49" t="n"/>
      <c r="S191" s="49" t="n"/>
      <c r="T191" s="49" t="n"/>
      <c r="U191" s="49" t="n"/>
      <c r="V191" s="49" t="n"/>
      <c r="W191" s="49" t="n"/>
    </row>
    <row r="192">
      <c r="B192" s="49" t="n"/>
      <c r="C192" s="49" t="n"/>
      <c r="D192" s="49" t="n"/>
      <c r="E192" s="49" t="n"/>
      <c r="F192" s="49" t="n"/>
      <c r="G192" s="49" t="n"/>
      <c r="H192" s="49" t="n"/>
      <c r="I192" s="49" t="n"/>
      <c r="J192" s="49" t="n"/>
      <c r="K192" s="49" t="n"/>
      <c r="L192" s="49" t="n"/>
      <c r="M192" s="49" t="n"/>
      <c r="N192" s="49" t="n"/>
      <c r="S192" s="49" t="n"/>
      <c r="T192" s="49" t="n"/>
      <c r="U192" s="49" t="n"/>
      <c r="V192" s="49" t="n"/>
      <c r="W192" s="49" t="n"/>
    </row>
    <row r="193">
      <c r="B193" s="49" t="n"/>
      <c r="C193" s="49" t="n"/>
      <c r="D193" s="49" t="n"/>
      <c r="E193" s="49" t="n"/>
      <c r="F193" s="49" t="n"/>
      <c r="G193" s="49" t="n"/>
      <c r="H193" s="49" t="n"/>
      <c r="I193" s="49" t="n"/>
      <c r="J193" s="49" t="n"/>
      <c r="K193" s="49" t="n"/>
      <c r="L193" s="49" t="n"/>
      <c r="M193" s="49" t="n"/>
      <c r="N193" s="49" t="n"/>
      <c r="S193" s="49" t="n"/>
      <c r="T193" s="49" t="n"/>
      <c r="U193" s="49" t="n"/>
      <c r="V193" s="49" t="n"/>
      <c r="W193" s="49" t="n"/>
    </row>
    <row r="194">
      <c r="B194" s="49" t="n"/>
      <c r="C194" s="49" t="n"/>
      <c r="D194" s="49" t="n"/>
      <c r="E194" s="49" t="n"/>
      <c r="F194" s="49" t="n"/>
      <c r="G194" s="49" t="n"/>
      <c r="H194" s="49" t="n"/>
      <c r="I194" s="49" t="n"/>
      <c r="J194" s="49" t="n"/>
      <c r="K194" s="49" t="n"/>
      <c r="L194" s="49" t="n"/>
      <c r="M194" s="49" t="n"/>
      <c r="N194" s="49" t="n"/>
      <c r="S194" s="49" t="n"/>
      <c r="T194" s="49" t="n"/>
      <c r="U194" s="49" t="n"/>
      <c r="V194" s="49" t="n"/>
      <c r="W194" s="49" t="n"/>
    </row>
    <row r="195">
      <c r="B195" s="49" t="n"/>
      <c r="C195" s="49" t="n"/>
      <c r="D195" s="49" t="n"/>
      <c r="E195" s="49" t="n"/>
      <c r="F195" s="49" t="n"/>
      <c r="G195" s="49" t="n"/>
      <c r="H195" s="49" t="n"/>
      <c r="I195" s="49" t="n"/>
      <c r="J195" s="49" t="n"/>
      <c r="K195" s="49" t="n"/>
      <c r="L195" s="49" t="n"/>
      <c r="M195" s="49" t="n"/>
      <c r="N195" s="49" t="n"/>
      <c r="S195" s="49" t="n"/>
      <c r="T195" s="49" t="n"/>
      <c r="U195" s="49" t="n"/>
      <c r="V195" s="49" t="n"/>
      <c r="W195" s="49" t="n"/>
    </row>
    <row r="196">
      <c r="B196" s="49" t="n"/>
      <c r="C196" s="49" t="n"/>
      <c r="D196" s="49" t="n"/>
      <c r="E196" s="49" t="n"/>
      <c r="F196" s="49" t="n"/>
      <c r="G196" s="49" t="n"/>
      <c r="H196" s="49" t="n"/>
      <c r="I196" s="49" t="n"/>
      <c r="J196" s="49" t="n"/>
      <c r="K196" s="49" t="n"/>
      <c r="L196" s="49" t="n"/>
      <c r="M196" s="49" t="n"/>
      <c r="N196" s="49" t="n"/>
      <c r="S196" s="49" t="n"/>
      <c r="T196" s="49" t="n"/>
      <c r="U196" s="49" t="n"/>
      <c r="V196" s="49" t="n"/>
      <c r="W196" s="49" t="n"/>
    </row>
    <row r="197">
      <c r="B197" s="49" t="n"/>
      <c r="C197" s="49" t="n"/>
      <c r="D197" s="49" t="n"/>
      <c r="E197" s="49" t="n"/>
      <c r="F197" s="49" t="n"/>
      <c r="G197" s="49" t="n"/>
      <c r="H197" s="49" t="n"/>
      <c r="I197" s="49" t="n"/>
      <c r="J197" s="49" t="n"/>
      <c r="K197" s="49" t="n"/>
      <c r="L197" s="49" t="n"/>
      <c r="M197" s="49" t="n"/>
      <c r="N197" s="49" t="n"/>
      <c r="S197" s="49" t="n"/>
      <c r="T197" s="49" t="n"/>
      <c r="U197" s="49" t="n"/>
      <c r="V197" s="49" t="n"/>
      <c r="W197" s="49" t="n"/>
    </row>
    <row r="198">
      <c r="B198" s="49" t="n"/>
      <c r="C198" s="49" t="n"/>
      <c r="D198" s="49" t="n"/>
      <c r="E198" s="49" t="n"/>
      <c r="F198" s="49" t="n"/>
      <c r="G198" s="49" t="n"/>
      <c r="H198" s="49" t="n"/>
      <c r="I198" s="49" t="n"/>
      <c r="J198" s="49" t="n"/>
      <c r="K198" s="49" t="n"/>
      <c r="L198" s="49" t="n"/>
      <c r="M198" s="49" t="n"/>
      <c r="N198" s="49" t="n"/>
      <c r="S198" s="49" t="n"/>
      <c r="T198" s="49" t="n"/>
      <c r="U198" s="49" t="n"/>
      <c r="V198" s="49" t="n"/>
      <c r="W198" s="49" t="n"/>
    </row>
    <row r="199">
      <c r="B199" s="49" t="n"/>
      <c r="C199" s="49" t="n"/>
      <c r="D199" s="49" t="n"/>
      <c r="E199" s="49" t="n"/>
      <c r="F199" s="49" t="n"/>
      <c r="G199" s="49" t="n"/>
      <c r="H199" s="49" t="n"/>
      <c r="I199" s="49" t="n"/>
      <c r="J199" s="49" t="n"/>
      <c r="K199" s="49" t="n"/>
      <c r="L199" s="49" t="n"/>
      <c r="M199" s="49" t="n"/>
      <c r="N199" s="49" t="n"/>
      <c r="S199" s="49" t="n"/>
      <c r="T199" s="49" t="n"/>
      <c r="U199" s="49" t="n"/>
      <c r="V199" s="49" t="n"/>
      <c r="W199" s="49" t="n"/>
    </row>
    <row r="200">
      <c r="B200" s="49" t="n"/>
      <c r="C200" s="49" t="n"/>
      <c r="D200" s="49" t="n"/>
      <c r="E200" s="49" t="n"/>
      <c r="F200" s="49" t="n"/>
      <c r="G200" s="49" t="n"/>
      <c r="H200" s="49" t="n"/>
      <c r="I200" s="49" t="n"/>
      <c r="J200" s="49" t="n"/>
      <c r="K200" s="49" t="n"/>
      <c r="L200" s="49" t="n"/>
      <c r="M200" s="49" t="n"/>
      <c r="N200" s="49" t="n"/>
      <c r="S200" s="49" t="n"/>
      <c r="T200" s="49" t="n"/>
      <c r="U200" s="49" t="n"/>
      <c r="V200" s="49" t="n"/>
      <c r="W200" s="49" t="n"/>
    </row>
    <row r="201">
      <c r="B201" s="49" t="n"/>
      <c r="C201" s="49" t="n"/>
      <c r="D201" s="49" t="n"/>
      <c r="E201" s="49" t="n"/>
      <c r="F201" s="49" t="n"/>
      <c r="G201" s="49" t="n"/>
      <c r="H201" s="49" t="n"/>
      <c r="I201" s="49" t="n"/>
      <c r="J201" s="49" t="n"/>
      <c r="K201" s="49" t="n"/>
      <c r="L201" s="49" t="n"/>
      <c r="M201" s="49" t="n"/>
      <c r="N201" s="49" t="n"/>
      <c r="S201" s="49" t="n"/>
      <c r="T201" s="49" t="n"/>
      <c r="U201" s="49" t="n"/>
      <c r="V201" s="49" t="n"/>
      <c r="W201" s="49" t="n"/>
    </row>
    <row r="202">
      <c r="B202" s="49" t="n"/>
      <c r="C202" s="49" t="n"/>
      <c r="D202" s="49" t="n"/>
      <c r="E202" s="49" t="n"/>
      <c r="F202" s="49" t="n"/>
      <c r="G202" s="49" t="n"/>
      <c r="H202" s="49" t="n"/>
      <c r="I202" s="49" t="n"/>
      <c r="J202" s="49" t="n"/>
      <c r="K202" s="49" t="n"/>
      <c r="L202" s="49" t="n"/>
      <c r="M202" s="49" t="n"/>
      <c r="N202" s="49" t="n"/>
      <c r="S202" s="49" t="n"/>
      <c r="T202" s="49" t="n"/>
      <c r="U202" s="49" t="n"/>
      <c r="V202" s="49" t="n"/>
      <c r="W202" s="49" t="n"/>
    </row>
    <row r="203">
      <c r="B203" s="49" t="n"/>
      <c r="C203" s="49" t="n"/>
      <c r="D203" s="49" t="n"/>
      <c r="E203" s="49" t="n"/>
      <c r="F203" s="49" t="n"/>
      <c r="G203" s="49" t="n"/>
      <c r="H203" s="49" t="n"/>
      <c r="I203" s="49" t="n"/>
      <c r="J203" s="49" t="n"/>
      <c r="K203" s="49" t="n"/>
      <c r="L203" s="49" t="n"/>
      <c r="M203" s="49" t="n"/>
      <c r="N203" s="49" t="n"/>
      <c r="S203" s="49" t="n"/>
      <c r="T203" s="49" t="n"/>
      <c r="U203" s="49" t="n"/>
      <c r="V203" s="49" t="n"/>
      <c r="W203" s="49" t="n"/>
    </row>
    <row r="204">
      <c r="B204" s="49" t="n"/>
      <c r="C204" s="49" t="n"/>
      <c r="D204" s="49" t="n"/>
      <c r="E204" s="49" t="n"/>
      <c r="F204" s="49" t="n"/>
      <c r="G204" s="49" t="n"/>
      <c r="H204" s="49" t="n"/>
      <c r="I204" s="49" t="n"/>
      <c r="J204" s="49" t="n"/>
      <c r="K204" s="49" t="n"/>
      <c r="L204" s="49" t="n"/>
      <c r="M204" s="49" t="n"/>
      <c r="N204" s="49" t="n"/>
      <c r="S204" s="49" t="n"/>
      <c r="T204" s="49" t="n"/>
      <c r="U204" s="49" t="n"/>
      <c r="V204" s="49" t="n"/>
      <c r="W204" s="49" t="n"/>
    </row>
    <row r="205">
      <c r="B205" s="49" t="n"/>
      <c r="C205" s="49" t="n"/>
      <c r="D205" s="49" t="n"/>
      <c r="E205" s="49" t="n"/>
      <c r="F205" s="49" t="n"/>
      <c r="G205" s="49" t="n"/>
      <c r="H205" s="49" t="n"/>
      <c r="I205" s="49" t="n"/>
      <c r="J205" s="49" t="n"/>
      <c r="K205" s="49" t="n"/>
      <c r="L205" s="49" t="n"/>
      <c r="M205" s="49" t="n"/>
      <c r="N205" s="49" t="n"/>
      <c r="S205" s="49" t="n"/>
      <c r="T205" s="49" t="n"/>
      <c r="U205" s="49" t="n"/>
      <c r="V205" s="49" t="n"/>
      <c r="W205" s="49" t="n"/>
    </row>
    <row r="206">
      <c r="B206" s="49" t="n"/>
      <c r="C206" s="49" t="n"/>
      <c r="D206" s="49" t="n"/>
      <c r="E206" s="49" t="n"/>
      <c r="F206" s="49" t="n"/>
      <c r="G206" s="49" t="n"/>
      <c r="H206" s="49" t="n"/>
      <c r="I206" s="49" t="n"/>
      <c r="J206" s="49" t="n"/>
      <c r="K206" s="49" t="n"/>
      <c r="L206" s="49" t="n"/>
      <c r="M206" s="49" t="n"/>
      <c r="N206" s="49" t="n"/>
      <c r="S206" s="49" t="n"/>
      <c r="T206" s="49" t="n"/>
      <c r="U206" s="49" t="n"/>
      <c r="V206" s="49" t="n"/>
      <c r="W206" s="49" t="n"/>
    </row>
    <row r="207">
      <c r="B207" s="49" t="n"/>
      <c r="C207" s="49" t="n"/>
      <c r="D207" s="49" t="n"/>
      <c r="E207" s="49" t="n"/>
      <c r="F207" s="49" t="n"/>
      <c r="G207" s="49" t="n"/>
      <c r="H207" s="49" t="n"/>
      <c r="I207" s="49" t="n"/>
      <c r="J207" s="49" t="n"/>
      <c r="K207" s="49" t="n"/>
      <c r="L207" s="49" t="n"/>
      <c r="M207" s="49" t="n"/>
      <c r="N207" s="49" t="n"/>
      <c r="S207" s="49" t="n"/>
      <c r="T207" s="49" t="n"/>
      <c r="U207" s="49" t="n"/>
      <c r="V207" s="49" t="n"/>
      <c r="W207" s="49" t="n"/>
    </row>
    <row r="208">
      <c r="B208" s="49" t="n"/>
      <c r="C208" s="49" t="n"/>
      <c r="D208" s="49" t="n"/>
      <c r="E208" s="49" t="n"/>
      <c r="F208" s="49" t="n"/>
      <c r="G208" s="49" t="n"/>
      <c r="H208" s="49" t="n"/>
      <c r="I208" s="49" t="n"/>
      <c r="J208" s="49" t="n"/>
      <c r="K208" s="49" t="n"/>
      <c r="L208" s="49" t="n"/>
      <c r="M208" s="49" t="n"/>
      <c r="N208" s="49" t="n"/>
      <c r="S208" s="49" t="n"/>
      <c r="T208" s="49" t="n"/>
      <c r="U208" s="49" t="n"/>
      <c r="V208" s="49" t="n"/>
      <c r="W208" s="49" t="n"/>
    </row>
    <row r="209">
      <c r="B209" s="49" t="n"/>
      <c r="C209" s="49" t="n"/>
      <c r="D209" s="49" t="n"/>
      <c r="E209" s="49" t="n"/>
      <c r="F209" s="49" t="n"/>
      <c r="G209" s="49" t="n"/>
      <c r="H209" s="49" t="n"/>
      <c r="I209" s="49" t="n"/>
      <c r="J209" s="49" t="n"/>
      <c r="K209" s="49" t="n"/>
      <c r="L209" s="49" t="n"/>
      <c r="M209" s="49" t="n"/>
      <c r="N209" s="49" t="n"/>
      <c r="S209" s="49" t="n"/>
      <c r="T209" s="49" t="n"/>
      <c r="U209" s="49" t="n"/>
      <c r="V209" s="49" t="n"/>
      <c r="W209" s="49" t="n"/>
    </row>
    <row r="210">
      <c r="B210" s="49" t="n"/>
      <c r="C210" s="49" t="n"/>
      <c r="D210" s="49" t="n"/>
      <c r="E210" s="49" t="n"/>
      <c r="F210" s="49" t="n"/>
      <c r="G210" s="49" t="n"/>
      <c r="H210" s="49" t="n"/>
      <c r="I210" s="49" t="n"/>
      <c r="J210" s="49" t="n"/>
      <c r="K210" s="49" t="n"/>
      <c r="L210" s="49" t="n"/>
      <c r="M210" s="49" t="n"/>
      <c r="N210" s="49" t="n"/>
      <c r="S210" s="49" t="n"/>
      <c r="T210" s="49" t="n"/>
      <c r="U210" s="49" t="n"/>
      <c r="V210" s="49" t="n"/>
      <c r="W210" s="49" t="n"/>
    </row>
    <row r="211">
      <c r="B211" s="49" t="n"/>
      <c r="C211" s="49" t="n"/>
      <c r="D211" s="49" t="n"/>
      <c r="E211" s="49" t="n"/>
      <c r="F211" s="49" t="n"/>
      <c r="G211" s="49" t="n"/>
      <c r="H211" s="49" t="n"/>
      <c r="I211" s="49" t="n"/>
      <c r="J211" s="49" t="n"/>
      <c r="K211" s="49" t="n"/>
      <c r="L211" s="49" t="n"/>
      <c r="M211" s="49" t="n"/>
      <c r="N211" s="49" t="n"/>
      <c r="S211" s="49" t="n"/>
      <c r="T211" s="49" t="n"/>
      <c r="U211" s="49" t="n"/>
      <c r="V211" s="49" t="n"/>
      <c r="W211" s="49" t="n"/>
    </row>
    <row r="212">
      <c r="B212" s="49" t="n"/>
      <c r="C212" s="49" t="n"/>
      <c r="D212" s="49" t="n"/>
      <c r="E212" s="49" t="n"/>
      <c r="F212" s="49" t="n"/>
      <c r="G212" s="49" t="n"/>
      <c r="H212" s="49" t="n"/>
      <c r="I212" s="49" t="n"/>
      <c r="J212" s="49" t="n"/>
      <c r="K212" s="49" t="n"/>
      <c r="L212" s="49" t="n"/>
      <c r="M212" s="49" t="n"/>
      <c r="N212" s="49" t="n"/>
      <c r="S212" s="49" t="n"/>
      <c r="T212" s="49" t="n"/>
      <c r="U212" s="49" t="n"/>
      <c r="V212" s="49" t="n"/>
      <c r="W212" s="49" t="n"/>
    </row>
    <row r="213">
      <c r="B213" s="49" t="n"/>
      <c r="C213" s="49" t="n"/>
      <c r="D213" s="49" t="n"/>
      <c r="E213" s="49" t="n"/>
      <c r="F213" s="49" t="n"/>
      <c r="G213" s="49" t="n"/>
      <c r="H213" s="49" t="n"/>
      <c r="I213" s="49" t="n"/>
      <c r="J213" s="49" t="n"/>
      <c r="K213" s="49" t="n"/>
      <c r="L213" s="49" t="n"/>
      <c r="M213" s="49" t="n"/>
      <c r="N213" s="49" t="n"/>
      <c r="S213" s="49" t="n"/>
      <c r="T213" s="49" t="n"/>
      <c r="U213" s="49" t="n"/>
      <c r="V213" s="49" t="n"/>
      <c r="W213" s="49" t="n"/>
    </row>
    <row r="214">
      <c r="B214" s="49" t="n"/>
      <c r="C214" s="49" t="n"/>
      <c r="D214" s="49" t="n"/>
      <c r="E214" s="49" t="n"/>
      <c r="F214" s="49" t="n"/>
      <c r="G214" s="49" t="n"/>
      <c r="H214" s="49" t="n"/>
      <c r="I214" s="49" t="n"/>
      <c r="J214" s="49" t="n"/>
      <c r="K214" s="49" t="n"/>
      <c r="L214" s="49" t="n"/>
      <c r="M214" s="49" t="n"/>
      <c r="N214" s="49" t="n"/>
      <c r="S214" s="49" t="n"/>
      <c r="T214" s="49" t="n"/>
      <c r="U214" s="49" t="n"/>
      <c r="V214" s="49" t="n"/>
      <c r="W214" s="49" t="n"/>
    </row>
    <row r="215">
      <c r="B215" s="49" t="n"/>
      <c r="C215" s="49" t="n"/>
      <c r="D215" s="49" t="n"/>
      <c r="E215" s="49" t="n"/>
      <c r="F215" s="49" t="n"/>
      <c r="G215" s="49" t="n"/>
      <c r="H215" s="49" t="n"/>
      <c r="I215" s="49" t="n"/>
      <c r="J215" s="49" t="n"/>
      <c r="K215" s="49" t="n"/>
      <c r="L215" s="49" t="n"/>
      <c r="M215" s="49" t="n"/>
      <c r="N215" s="49" t="n"/>
      <c r="S215" s="49" t="n"/>
      <c r="T215" s="49" t="n"/>
      <c r="U215" s="49" t="n"/>
      <c r="V215" s="49" t="n"/>
      <c r="W215" s="49" t="n"/>
    </row>
    <row r="216">
      <c r="B216" s="49" t="n"/>
      <c r="C216" s="49" t="n"/>
      <c r="D216" s="49" t="n"/>
      <c r="E216" s="49" t="n"/>
      <c r="F216" s="49" t="n"/>
      <c r="G216" s="49" t="n"/>
      <c r="H216" s="49" t="n"/>
      <c r="I216" s="49" t="n"/>
      <c r="J216" s="49" t="n"/>
      <c r="K216" s="49" t="n"/>
      <c r="L216" s="49" t="n"/>
      <c r="M216" s="49" t="n"/>
      <c r="N216" s="49" t="n"/>
      <c r="S216" s="49" t="n"/>
      <c r="T216" s="49" t="n"/>
      <c r="U216" s="49" t="n"/>
      <c r="V216" s="49" t="n"/>
      <c r="W216" s="49" t="n"/>
    </row>
    <row r="217">
      <c r="B217" s="49" t="n"/>
      <c r="C217" s="49" t="n"/>
      <c r="D217" s="49" t="n"/>
      <c r="E217" s="49" t="n"/>
      <c r="F217" s="49" t="n"/>
      <c r="G217" s="49" t="n"/>
      <c r="H217" s="49" t="n"/>
      <c r="I217" s="49" t="n"/>
      <c r="J217" s="49" t="n"/>
      <c r="K217" s="49" t="n"/>
      <c r="L217" s="49" t="n"/>
      <c r="M217" s="49" t="n"/>
      <c r="N217" s="49" t="n"/>
      <c r="S217" s="49" t="n"/>
      <c r="T217" s="49" t="n"/>
      <c r="U217" s="49" t="n"/>
      <c r="V217" s="49" t="n"/>
      <c r="W217" s="49" t="n"/>
    </row>
    <row r="218">
      <c r="B218" s="49" t="n"/>
      <c r="C218" s="49" t="n"/>
      <c r="D218" s="49" t="n"/>
      <c r="E218" s="49" t="n"/>
      <c r="F218" s="49" t="n"/>
      <c r="G218" s="49" t="n"/>
      <c r="H218" s="49" t="n"/>
      <c r="I218" s="49" t="n"/>
      <c r="J218" s="49" t="n"/>
      <c r="K218" s="49" t="n"/>
      <c r="L218" s="49" t="n"/>
      <c r="M218" s="49" t="n"/>
      <c r="N218" s="49" t="n"/>
      <c r="S218" s="49" t="n"/>
      <c r="T218" s="49" t="n"/>
      <c r="U218" s="49" t="n"/>
      <c r="V218" s="49" t="n"/>
      <c r="W218" s="49" t="n"/>
    </row>
    <row r="219">
      <c r="B219" s="49" t="n"/>
      <c r="C219" s="49" t="n"/>
      <c r="D219" s="49" t="n"/>
      <c r="E219" s="49" t="n"/>
      <c r="F219" s="49" t="n"/>
      <c r="G219" s="49" t="n"/>
      <c r="H219" s="49" t="n"/>
      <c r="I219" s="49" t="n"/>
      <c r="J219" s="49" t="n"/>
      <c r="K219" s="49" t="n"/>
      <c r="L219" s="49" t="n"/>
      <c r="M219" s="49" t="n"/>
      <c r="N219" s="49" t="n"/>
      <c r="S219" s="49" t="n"/>
      <c r="T219" s="49" t="n"/>
      <c r="U219" s="49" t="n"/>
      <c r="V219" s="49" t="n"/>
      <c r="W219" s="49" t="n"/>
    </row>
    <row r="220">
      <c r="B220" s="49" t="n"/>
      <c r="C220" s="49" t="n"/>
      <c r="D220" s="49" t="n"/>
      <c r="E220" s="49" t="n"/>
      <c r="F220" s="49" t="n"/>
      <c r="G220" s="49" t="n"/>
      <c r="H220" s="49" t="n"/>
      <c r="I220" s="49" t="n"/>
      <c r="J220" s="49" t="n"/>
      <c r="K220" s="49" t="n"/>
      <c r="L220" s="49" t="n"/>
      <c r="M220" s="49" t="n"/>
      <c r="N220" s="49" t="n"/>
      <c r="S220" s="49" t="n"/>
      <c r="T220" s="49" t="n"/>
      <c r="U220" s="49" t="n"/>
      <c r="V220" s="49" t="n"/>
      <c r="W220" s="49" t="n"/>
    </row>
    <row r="221">
      <c r="B221" s="49" t="n"/>
      <c r="C221" s="49" t="n"/>
      <c r="D221" s="49" t="n"/>
      <c r="E221" s="49" t="n"/>
      <c r="F221" s="49" t="n"/>
      <c r="G221" s="49" t="n"/>
      <c r="H221" s="49" t="n"/>
      <c r="I221" s="49" t="n"/>
      <c r="J221" s="49" t="n"/>
      <c r="K221" s="49" t="n"/>
      <c r="L221" s="49" t="n"/>
      <c r="M221" s="49" t="n"/>
      <c r="N221" s="49" t="n"/>
      <c r="S221" s="49" t="n"/>
      <c r="T221" s="49" t="n"/>
      <c r="U221" s="49" t="n"/>
      <c r="V221" s="49" t="n"/>
      <c r="W221" s="49" t="n"/>
    </row>
    <row r="222">
      <c r="B222" s="49" t="n"/>
      <c r="C222" s="49" t="n"/>
      <c r="D222" s="49" t="n"/>
      <c r="E222" s="49" t="n"/>
      <c r="F222" s="49" t="n"/>
      <c r="G222" s="49" t="n"/>
      <c r="H222" s="49" t="n"/>
      <c r="I222" s="49" t="n"/>
      <c r="J222" s="49" t="n"/>
      <c r="K222" s="49" t="n"/>
      <c r="L222" s="49" t="n"/>
      <c r="M222" s="49" t="n"/>
      <c r="N222" s="49" t="n"/>
      <c r="S222" s="49" t="n"/>
      <c r="T222" s="49" t="n"/>
      <c r="U222" s="49" t="n"/>
      <c r="V222" s="49" t="n"/>
      <c r="W222" s="49" t="n"/>
    </row>
    <row r="223">
      <c r="B223" s="49" t="n"/>
      <c r="C223" s="49" t="n"/>
      <c r="D223" s="49" t="n"/>
      <c r="E223" s="49" t="n"/>
      <c r="F223" s="49" t="n"/>
      <c r="G223" s="49" t="n"/>
      <c r="H223" s="49" t="n"/>
      <c r="I223" s="49" t="n"/>
      <c r="J223" s="49" t="n"/>
      <c r="K223" s="49" t="n"/>
      <c r="L223" s="49" t="n"/>
      <c r="M223" s="49" t="n"/>
      <c r="N223" s="49" t="n"/>
      <c r="S223" s="49" t="n"/>
      <c r="T223" s="49" t="n"/>
      <c r="U223" s="49" t="n"/>
      <c r="V223" s="49" t="n"/>
      <c r="W223" s="49" t="n"/>
    </row>
    <row r="224">
      <c r="B224" s="49" t="n"/>
      <c r="C224" s="49" t="n"/>
      <c r="D224" s="49" t="n"/>
      <c r="E224" s="49" t="n"/>
      <c r="F224" s="49" t="n"/>
      <c r="G224" s="49" t="n"/>
      <c r="H224" s="49" t="n"/>
      <c r="I224" s="49" t="n"/>
      <c r="J224" s="49" t="n"/>
      <c r="K224" s="49" t="n"/>
      <c r="L224" s="49" t="n"/>
      <c r="M224" s="49" t="n"/>
      <c r="N224" s="49" t="n"/>
      <c r="S224" s="49" t="n"/>
      <c r="T224" s="49" t="n"/>
      <c r="U224" s="49" t="n"/>
      <c r="V224" s="49" t="n"/>
      <c r="W224" s="49" t="n"/>
    </row>
    <row r="225">
      <c r="B225" s="49" t="n"/>
      <c r="C225" s="49" t="n"/>
      <c r="D225" s="49" t="n"/>
      <c r="E225" s="49" t="n"/>
      <c r="F225" s="49" t="n"/>
      <c r="G225" s="49" t="n"/>
      <c r="H225" s="49" t="n"/>
      <c r="I225" s="49" t="n"/>
      <c r="J225" s="49" t="n"/>
      <c r="K225" s="49" t="n"/>
      <c r="L225" s="49" t="n"/>
      <c r="M225" s="49" t="n"/>
      <c r="N225" s="49" t="n"/>
      <c r="S225" s="49" t="n"/>
      <c r="T225" s="49" t="n"/>
      <c r="U225" s="49" t="n"/>
      <c r="V225" s="49" t="n"/>
      <c r="W225" s="49" t="n"/>
    </row>
    <row r="226">
      <c r="B226" s="49" t="n"/>
      <c r="C226" s="49" t="n"/>
      <c r="D226" s="49" t="n"/>
      <c r="E226" s="49" t="n"/>
      <c r="F226" s="49" t="n"/>
      <c r="G226" s="49" t="n"/>
      <c r="H226" s="49" t="n"/>
      <c r="I226" s="49" t="n"/>
      <c r="J226" s="49" t="n"/>
      <c r="K226" s="49" t="n"/>
      <c r="L226" s="49" t="n"/>
      <c r="M226" s="49" t="n"/>
      <c r="N226" s="49" t="n"/>
      <c r="S226" s="49" t="n"/>
      <c r="T226" s="49" t="n"/>
      <c r="U226" s="49" t="n"/>
      <c r="V226" s="49" t="n"/>
      <c r="W226" s="49" t="n"/>
    </row>
    <row r="227">
      <c r="B227" s="49" t="n"/>
      <c r="C227" s="49" t="n"/>
      <c r="D227" s="49" t="n"/>
      <c r="E227" s="49" t="n"/>
      <c r="F227" s="49" t="n"/>
      <c r="G227" s="49" t="n"/>
      <c r="H227" s="49" t="n"/>
      <c r="I227" s="49" t="n"/>
      <c r="J227" s="49" t="n"/>
      <c r="K227" s="49" t="n"/>
      <c r="L227" s="49" t="n"/>
      <c r="M227" s="49" t="n"/>
      <c r="N227" s="49" t="n"/>
      <c r="S227" s="49" t="n"/>
      <c r="T227" s="49" t="n"/>
      <c r="U227" s="49" t="n"/>
      <c r="V227" s="49" t="n"/>
      <c r="W227" s="49" t="n"/>
    </row>
    <row r="228">
      <c r="B228" s="49" t="n"/>
      <c r="C228" s="49" t="n"/>
      <c r="D228" s="49" t="n"/>
      <c r="E228" s="49" t="n"/>
      <c r="F228" s="49" t="n"/>
      <c r="G228" s="49" t="n"/>
      <c r="H228" s="49" t="n"/>
      <c r="I228" s="49" t="n"/>
      <c r="J228" s="49" t="n"/>
      <c r="K228" s="49" t="n"/>
      <c r="L228" s="49" t="n"/>
      <c r="M228" s="49" t="n"/>
      <c r="N228" s="49" t="n"/>
      <c r="S228" s="49" t="n"/>
      <c r="T228" s="49" t="n"/>
      <c r="U228" s="49" t="n"/>
      <c r="V228" s="49" t="n"/>
      <c r="W228" s="49" t="n"/>
    </row>
    <row r="229">
      <c r="B229" s="49" t="n"/>
      <c r="C229" s="49" t="n"/>
      <c r="D229" s="49" t="n"/>
      <c r="E229" s="49" t="n"/>
      <c r="F229" s="49" t="n"/>
      <c r="G229" s="49" t="n"/>
      <c r="H229" s="49" t="n"/>
      <c r="I229" s="49" t="n"/>
      <c r="J229" s="49" t="n"/>
      <c r="K229" s="49" t="n"/>
      <c r="L229" s="49" t="n"/>
      <c r="M229" s="49" t="n"/>
      <c r="N229" s="49" t="n"/>
      <c r="S229" s="49" t="n"/>
      <c r="T229" s="49" t="n"/>
      <c r="U229" s="49" t="n"/>
      <c r="V229" s="49" t="n"/>
      <c r="W229" s="49" t="n"/>
    </row>
    <row r="230">
      <c r="B230" s="49" t="n"/>
      <c r="C230" s="49" t="n"/>
      <c r="D230" s="49" t="n"/>
      <c r="E230" s="49" t="n"/>
      <c r="F230" s="49" t="n"/>
      <c r="G230" s="49" t="n"/>
      <c r="H230" s="49" t="n"/>
      <c r="I230" s="49" t="n"/>
      <c r="J230" s="49" t="n"/>
      <c r="K230" s="49" t="n"/>
      <c r="L230" s="49" t="n"/>
      <c r="M230" s="49" t="n"/>
      <c r="N230" s="49" t="n"/>
      <c r="S230" s="49" t="n"/>
      <c r="T230" s="49" t="n"/>
      <c r="U230" s="49" t="n"/>
      <c r="V230" s="49" t="n"/>
      <c r="W230" s="49" t="n"/>
    </row>
    <row r="231">
      <c r="B231" s="49" t="n"/>
      <c r="C231" s="49" t="n"/>
      <c r="D231" s="49" t="n"/>
      <c r="E231" s="49" t="n"/>
      <c r="F231" s="49" t="n"/>
      <c r="G231" s="49" t="n"/>
      <c r="H231" s="49" t="n"/>
      <c r="I231" s="49" t="n"/>
      <c r="J231" s="49" t="n"/>
      <c r="K231" s="49" t="n"/>
      <c r="L231" s="49" t="n"/>
      <c r="M231" s="49" t="n"/>
      <c r="N231" s="49" t="n"/>
      <c r="S231" s="49" t="n"/>
      <c r="T231" s="49" t="n"/>
      <c r="U231" s="49" t="n"/>
      <c r="V231" s="49" t="n"/>
      <c r="W231" s="49" t="n"/>
    </row>
    <row r="232">
      <c r="B232" s="49" t="n"/>
      <c r="C232" s="49" t="n"/>
      <c r="D232" s="49" t="n"/>
      <c r="E232" s="49" t="n"/>
      <c r="F232" s="49" t="n"/>
      <c r="G232" s="49" t="n"/>
      <c r="H232" s="49" t="n"/>
      <c r="I232" s="49" t="n"/>
      <c r="J232" s="49" t="n"/>
      <c r="K232" s="49" t="n"/>
      <c r="L232" s="49" t="n"/>
      <c r="M232" s="49" t="n"/>
      <c r="N232" s="49" t="n"/>
      <c r="S232" s="49" t="n"/>
      <c r="T232" s="49" t="n"/>
      <c r="U232" s="49" t="n"/>
      <c r="V232" s="49" t="n"/>
      <c r="W232" s="49" t="n"/>
    </row>
    <row r="233">
      <c r="B233" s="49" t="n"/>
      <c r="C233" s="49" t="n"/>
      <c r="D233" s="49" t="n"/>
      <c r="E233" s="49" t="n"/>
      <c r="F233" s="49" t="n"/>
      <c r="G233" s="49" t="n"/>
      <c r="H233" s="49" t="n"/>
      <c r="I233" s="49" t="n"/>
      <c r="J233" s="49" t="n"/>
      <c r="K233" s="49" t="n"/>
      <c r="L233" s="49" t="n"/>
      <c r="M233" s="49" t="n"/>
      <c r="N233" s="49" t="n"/>
      <c r="S233" s="49" t="n"/>
      <c r="T233" s="49" t="n"/>
      <c r="U233" s="49" t="n"/>
      <c r="V233" s="49" t="n"/>
      <c r="W233" s="49" t="n"/>
    </row>
    <row r="234">
      <c r="B234" s="49" t="n"/>
      <c r="C234" s="49" t="n"/>
      <c r="D234" s="49" t="n"/>
      <c r="E234" s="49" t="n"/>
      <c r="F234" s="49" t="n"/>
      <c r="G234" s="49" t="n"/>
      <c r="H234" s="49" t="n"/>
      <c r="I234" s="49" t="n"/>
      <c r="J234" s="49" t="n"/>
      <c r="K234" s="49" t="n"/>
      <c r="L234" s="49" t="n"/>
      <c r="M234" s="49" t="n"/>
      <c r="N234" s="49" t="n"/>
      <c r="S234" s="49" t="n"/>
      <c r="T234" s="49" t="n"/>
      <c r="U234" s="49" t="n"/>
      <c r="V234" s="49" t="n"/>
      <c r="W234" s="49" t="n"/>
    </row>
    <row r="235">
      <c r="B235" s="49" t="n"/>
      <c r="C235" s="49" t="n"/>
      <c r="D235" s="49" t="n"/>
      <c r="E235" s="49" t="n"/>
      <c r="F235" s="49" t="n"/>
      <c r="G235" s="49" t="n"/>
      <c r="H235" s="49" t="n"/>
      <c r="I235" s="49" t="n"/>
      <c r="J235" s="49" t="n"/>
      <c r="K235" s="49" t="n"/>
      <c r="L235" s="49" t="n"/>
      <c r="M235" s="49" t="n"/>
      <c r="N235" s="49" t="n"/>
      <c r="S235" s="49" t="n"/>
      <c r="T235" s="49" t="n"/>
      <c r="U235" s="49" t="n"/>
      <c r="V235" s="49" t="n"/>
      <c r="W235" s="49" t="n"/>
    </row>
    <row r="236">
      <c r="B236" s="49" t="n"/>
      <c r="C236" s="49" t="n"/>
      <c r="D236" s="49" t="n"/>
      <c r="E236" s="49" t="n"/>
      <c r="F236" s="49" t="n"/>
      <c r="G236" s="49" t="n"/>
      <c r="H236" s="49" t="n"/>
      <c r="I236" s="49" t="n"/>
      <c r="J236" s="49" t="n"/>
      <c r="K236" s="49" t="n"/>
      <c r="L236" s="49" t="n"/>
      <c r="M236" s="49" t="n"/>
      <c r="N236" s="49" t="n"/>
      <c r="S236" s="49" t="n"/>
      <c r="T236" s="49" t="n"/>
      <c r="U236" s="49" t="n"/>
      <c r="V236" s="49" t="n"/>
      <c r="W236" s="49" t="n"/>
    </row>
    <row r="237">
      <c r="B237" s="49" t="n"/>
      <c r="C237" s="49" t="n"/>
      <c r="D237" s="49" t="n"/>
      <c r="E237" s="49" t="n"/>
      <c r="F237" s="49" t="n"/>
      <c r="G237" s="49" t="n"/>
      <c r="H237" s="49" t="n"/>
      <c r="I237" s="49" t="n"/>
      <c r="J237" s="49" t="n"/>
      <c r="K237" s="49" t="n"/>
      <c r="L237" s="49" t="n"/>
      <c r="M237" s="49" t="n"/>
      <c r="N237" s="49" t="n"/>
      <c r="S237" s="49" t="n"/>
      <c r="T237" s="49" t="n"/>
      <c r="U237" s="49" t="n"/>
      <c r="V237" s="49" t="n"/>
      <c r="W237" s="49" t="n"/>
    </row>
    <row r="238">
      <c r="B238" s="49" t="n"/>
      <c r="C238" s="49" t="n"/>
      <c r="D238" s="49" t="n"/>
      <c r="E238" s="49" t="n"/>
      <c r="F238" s="49" t="n"/>
      <c r="G238" s="49" t="n"/>
      <c r="H238" s="49" t="n"/>
      <c r="I238" s="49" t="n"/>
      <c r="J238" s="49" t="n"/>
      <c r="K238" s="49" t="n"/>
      <c r="L238" s="49" t="n"/>
      <c r="M238" s="49" t="n"/>
      <c r="N238" s="49" t="n"/>
      <c r="S238" s="49" t="n"/>
      <c r="T238" s="49" t="n"/>
      <c r="U238" s="49" t="n"/>
      <c r="V238" s="49" t="n"/>
      <c r="W238" s="49" t="n"/>
    </row>
    <row r="239">
      <c r="B239" s="49" t="n"/>
      <c r="C239" s="49" t="n"/>
      <c r="D239" s="49" t="n"/>
      <c r="E239" s="49" t="n"/>
      <c r="F239" s="49" t="n"/>
      <c r="G239" s="49" t="n"/>
      <c r="H239" s="49" t="n"/>
      <c r="I239" s="49" t="n"/>
      <c r="J239" s="49" t="n"/>
      <c r="K239" s="49" t="n"/>
      <c r="L239" s="49" t="n"/>
      <c r="M239" s="49" t="n"/>
      <c r="N239" s="49" t="n"/>
      <c r="S239" s="49" t="n"/>
      <c r="T239" s="49" t="n"/>
      <c r="U239" s="49" t="n"/>
      <c r="V239" s="49" t="n"/>
      <c r="W239" s="49" t="n"/>
    </row>
    <row r="240">
      <c r="B240" s="49" t="n"/>
      <c r="C240" s="49" t="n"/>
      <c r="D240" s="49" t="n"/>
      <c r="E240" s="49" t="n"/>
      <c r="F240" s="49" t="n"/>
      <c r="G240" s="49" t="n"/>
      <c r="H240" s="49" t="n"/>
      <c r="I240" s="49" t="n"/>
      <c r="J240" s="49" t="n"/>
      <c r="K240" s="49" t="n"/>
      <c r="L240" s="49" t="n"/>
      <c r="M240" s="49" t="n"/>
      <c r="N240" s="49" t="n"/>
      <c r="S240" s="49" t="n"/>
      <c r="T240" s="49" t="n"/>
      <c r="U240" s="49" t="n"/>
      <c r="V240" s="49" t="n"/>
      <c r="W240" s="49" t="n"/>
    </row>
    <row r="241">
      <c r="B241" s="49" t="n"/>
      <c r="C241" s="49" t="n"/>
      <c r="D241" s="49" t="n"/>
      <c r="E241" s="49" t="n"/>
      <c r="F241" s="49" t="n"/>
      <c r="G241" s="49" t="n"/>
      <c r="H241" s="49" t="n"/>
      <c r="I241" s="49" t="n"/>
      <c r="J241" s="49" t="n"/>
      <c r="K241" s="49" t="n"/>
      <c r="L241" s="49" t="n"/>
      <c r="M241" s="49" t="n"/>
      <c r="N241" s="49" t="n"/>
      <c r="S241" s="49" t="n"/>
      <c r="T241" s="49" t="n"/>
      <c r="U241" s="49" t="n"/>
      <c r="V241" s="49" t="n"/>
      <c r="W241" s="49" t="n"/>
    </row>
    <row r="242">
      <c r="B242" s="49" t="n"/>
      <c r="C242" s="49" t="n"/>
      <c r="D242" s="49" t="n"/>
      <c r="E242" s="49" t="n"/>
      <c r="F242" s="49" t="n"/>
      <c r="G242" s="49" t="n"/>
      <c r="H242" s="49" t="n"/>
      <c r="I242" s="49" t="n"/>
      <c r="J242" s="49" t="n"/>
      <c r="K242" s="49" t="n"/>
      <c r="L242" s="49" t="n"/>
      <c r="M242" s="49" t="n"/>
      <c r="N242" s="49" t="n"/>
      <c r="S242" s="49" t="n"/>
      <c r="T242" s="49" t="n"/>
      <c r="U242" s="49" t="n"/>
      <c r="V242" s="49" t="n"/>
      <c r="W242" s="49" t="n"/>
    </row>
    <row r="243">
      <c r="B243" s="49" t="n"/>
      <c r="C243" s="49" t="n"/>
      <c r="D243" s="49" t="n"/>
      <c r="E243" s="49" t="n"/>
      <c r="F243" s="49" t="n"/>
      <c r="G243" s="49" t="n"/>
      <c r="H243" s="49" t="n"/>
      <c r="I243" s="49" t="n"/>
      <c r="J243" s="49" t="n"/>
      <c r="K243" s="49" t="n"/>
      <c r="L243" s="49" t="n"/>
      <c r="M243" s="49" t="n"/>
      <c r="N243" s="49" t="n"/>
      <c r="S243" s="49" t="n"/>
      <c r="T243" s="49" t="n"/>
      <c r="U243" s="49" t="n"/>
      <c r="V243" s="49" t="n"/>
      <c r="W243" s="49" t="n"/>
    </row>
    <row r="244">
      <c r="B244" s="49" t="n"/>
      <c r="C244" s="49" t="n"/>
      <c r="D244" s="49" t="n"/>
      <c r="E244" s="49" t="n"/>
      <c r="F244" s="49" t="n"/>
      <c r="G244" s="49" t="n"/>
      <c r="H244" s="49" t="n"/>
      <c r="I244" s="49" t="n"/>
      <c r="J244" s="49" t="n"/>
      <c r="K244" s="49" t="n"/>
      <c r="L244" s="49" t="n"/>
      <c r="M244" s="49" t="n"/>
      <c r="N244" s="49" t="n"/>
      <c r="S244" s="49" t="n"/>
      <c r="T244" s="49" t="n"/>
      <c r="U244" s="49" t="n"/>
      <c r="V244" s="49" t="n"/>
      <c r="W244" s="49" t="n"/>
    </row>
    <row r="245">
      <c r="B245" s="49" t="n"/>
      <c r="C245" s="49" t="n"/>
      <c r="D245" s="49" t="n"/>
      <c r="E245" s="49" t="n"/>
      <c r="F245" s="49" t="n"/>
      <c r="G245" s="49" t="n"/>
      <c r="H245" s="49" t="n"/>
      <c r="I245" s="49" t="n"/>
      <c r="J245" s="49" t="n"/>
      <c r="K245" s="49" t="n"/>
      <c r="L245" s="49" t="n"/>
      <c r="M245" s="49" t="n"/>
      <c r="N245" s="49" t="n"/>
      <c r="S245" s="49" t="n"/>
      <c r="T245" s="49" t="n"/>
      <c r="U245" s="49" t="n"/>
      <c r="V245" s="49" t="n"/>
      <c r="W245" s="49" t="n"/>
    </row>
    <row r="246">
      <c r="B246" s="49" t="n"/>
      <c r="C246" s="49" t="n"/>
      <c r="D246" s="49" t="n"/>
      <c r="E246" s="49" t="n"/>
      <c r="F246" s="49" t="n"/>
      <c r="G246" s="49" t="n"/>
      <c r="H246" s="49" t="n"/>
      <c r="I246" s="49" t="n"/>
      <c r="J246" s="49" t="n"/>
      <c r="K246" s="49" t="n"/>
      <c r="L246" s="49" t="n"/>
      <c r="M246" s="49" t="n"/>
      <c r="N246" s="49" t="n"/>
      <c r="S246" s="49" t="n"/>
      <c r="T246" s="49" t="n"/>
      <c r="U246" s="49" t="n"/>
      <c r="V246" s="49" t="n"/>
      <c r="W246" s="49" t="n"/>
    </row>
    <row r="247">
      <c r="B247" s="49" t="n"/>
      <c r="C247" s="49" t="n"/>
      <c r="D247" s="49" t="n"/>
      <c r="E247" s="49" t="n"/>
      <c r="F247" s="49" t="n"/>
      <c r="G247" s="49" t="n"/>
      <c r="H247" s="49" t="n"/>
      <c r="I247" s="49" t="n"/>
      <c r="J247" s="49" t="n"/>
      <c r="K247" s="49" t="n"/>
      <c r="L247" s="49" t="n"/>
      <c r="M247" s="49" t="n"/>
      <c r="N247" s="49" t="n"/>
      <c r="S247" s="49" t="n"/>
      <c r="T247" s="49" t="n"/>
      <c r="U247" s="49" t="n"/>
      <c r="V247" s="49" t="n"/>
      <c r="W247" s="49" t="n"/>
    </row>
    <row r="248">
      <c r="B248" s="49" t="n"/>
      <c r="C248" s="49" t="n"/>
      <c r="D248" s="49" t="n"/>
      <c r="E248" s="49" t="n"/>
      <c r="F248" s="49" t="n"/>
      <c r="G248" s="49" t="n"/>
      <c r="H248" s="49" t="n"/>
      <c r="I248" s="49" t="n"/>
      <c r="J248" s="49" t="n"/>
      <c r="K248" s="49" t="n"/>
      <c r="L248" s="49" t="n"/>
      <c r="M248" s="49" t="n"/>
      <c r="N248" s="49" t="n"/>
      <c r="S248" s="49" t="n"/>
      <c r="T248" s="49" t="n"/>
      <c r="U248" s="49" t="n"/>
      <c r="V248" s="49" t="n"/>
      <c r="W248" s="49" t="n"/>
    </row>
    <row r="249">
      <c r="B249" s="49" t="n"/>
      <c r="C249" s="49" t="n"/>
      <c r="D249" s="49" t="n"/>
      <c r="E249" s="49" t="n"/>
      <c r="F249" s="49" t="n"/>
      <c r="G249" s="49" t="n"/>
      <c r="H249" s="49" t="n"/>
      <c r="I249" s="49" t="n"/>
      <c r="J249" s="49" t="n"/>
      <c r="K249" s="49" t="n"/>
      <c r="L249" s="49" t="n"/>
      <c r="M249" s="49" t="n"/>
      <c r="N249" s="49" t="n"/>
      <c r="S249" s="49" t="n"/>
      <c r="T249" s="49" t="n"/>
      <c r="U249" s="49" t="n"/>
      <c r="V249" s="49" t="n"/>
      <c r="W249" s="49" t="n"/>
    </row>
    <row r="250">
      <c r="B250" s="49" t="n"/>
      <c r="C250" s="49" t="n"/>
      <c r="D250" s="49" t="n"/>
      <c r="E250" s="49" t="n"/>
      <c r="F250" s="49" t="n"/>
      <c r="G250" s="49" t="n"/>
      <c r="H250" s="49" t="n"/>
      <c r="I250" s="49" t="n"/>
      <c r="J250" s="49" t="n"/>
      <c r="K250" s="49" t="n"/>
      <c r="L250" s="49" t="n"/>
      <c r="M250" s="49" t="n"/>
      <c r="N250" s="49" t="n"/>
      <c r="S250" s="49" t="n"/>
      <c r="T250" s="49" t="n"/>
      <c r="U250" s="49" t="n"/>
      <c r="V250" s="49" t="n"/>
      <c r="W250" s="49" t="n"/>
    </row>
    <row r="251">
      <c r="B251" s="49" t="n"/>
      <c r="C251" s="49" t="n"/>
      <c r="D251" s="49" t="n"/>
      <c r="E251" s="49" t="n"/>
      <c r="F251" s="49" t="n"/>
      <c r="G251" s="49" t="n"/>
      <c r="H251" s="49" t="n"/>
      <c r="I251" s="49" t="n"/>
      <c r="J251" s="49" t="n"/>
      <c r="K251" s="49" t="n"/>
      <c r="L251" s="49" t="n"/>
      <c r="M251" s="49" t="n"/>
      <c r="N251" s="49" t="n"/>
      <c r="S251" s="49" t="n"/>
      <c r="T251" s="49" t="n"/>
      <c r="U251" s="49" t="n"/>
      <c r="V251" s="49" t="n"/>
      <c r="W251" s="49" t="n"/>
    </row>
    <row r="252">
      <c r="B252" s="49" t="n"/>
      <c r="C252" s="49" t="n"/>
      <c r="D252" s="49" t="n"/>
      <c r="E252" s="49" t="n"/>
      <c r="F252" s="49" t="n"/>
      <c r="G252" s="49" t="n"/>
      <c r="H252" s="49" t="n"/>
      <c r="I252" s="49" t="n"/>
      <c r="J252" s="49" t="n"/>
      <c r="K252" s="49" t="n"/>
      <c r="L252" s="49" t="n"/>
      <c r="M252" s="49" t="n"/>
      <c r="N252" s="49" t="n"/>
      <c r="S252" s="49" t="n"/>
      <c r="T252" s="49" t="n"/>
      <c r="U252" s="49" t="n"/>
      <c r="V252" s="49" t="n"/>
      <c r="W252" s="49" t="n"/>
    </row>
    <row r="253">
      <c r="B253" s="49" t="n"/>
      <c r="C253" s="49" t="n"/>
      <c r="D253" s="49" t="n"/>
      <c r="E253" s="49" t="n"/>
      <c r="F253" s="49" t="n"/>
      <c r="G253" s="49" t="n"/>
      <c r="H253" s="49" t="n"/>
      <c r="I253" s="49" t="n"/>
      <c r="J253" s="49" t="n"/>
      <c r="K253" s="49" t="n"/>
      <c r="L253" s="49" t="n"/>
      <c r="M253" s="49" t="n"/>
      <c r="N253" s="49" t="n"/>
      <c r="S253" s="49" t="n"/>
      <c r="T253" s="49" t="n"/>
      <c r="U253" s="49" t="n"/>
      <c r="V253" s="49" t="n"/>
      <c r="W253" s="49" t="n"/>
    </row>
    <row r="254">
      <c r="B254" s="49" t="n"/>
      <c r="C254" s="49" t="n"/>
      <c r="D254" s="49" t="n"/>
      <c r="E254" s="49" t="n"/>
      <c r="F254" s="49" t="n"/>
      <c r="G254" s="49" t="n"/>
      <c r="H254" s="49" t="n"/>
      <c r="I254" s="49" t="n"/>
      <c r="J254" s="49" t="n"/>
      <c r="K254" s="49" t="n"/>
      <c r="L254" s="49" t="n"/>
      <c r="M254" s="49" t="n"/>
      <c r="N254" s="49" t="n"/>
      <c r="S254" s="49" t="n"/>
      <c r="T254" s="49" t="n"/>
      <c r="U254" s="49" t="n"/>
      <c r="V254" s="49" t="n"/>
      <c r="W254" s="49" t="n"/>
    </row>
    <row r="255">
      <c r="B255" s="49" t="n"/>
      <c r="C255" s="49" t="n"/>
      <c r="D255" s="49" t="n"/>
      <c r="E255" s="49" t="n"/>
      <c r="F255" s="49" t="n"/>
      <c r="G255" s="49" t="n"/>
      <c r="H255" s="49" t="n"/>
      <c r="I255" s="49" t="n"/>
      <c r="J255" s="49" t="n"/>
      <c r="K255" s="49" t="n"/>
      <c r="L255" s="49" t="n"/>
      <c r="M255" s="49" t="n"/>
      <c r="N255" s="49" t="n"/>
      <c r="S255" s="49" t="n"/>
      <c r="T255" s="49" t="n"/>
      <c r="U255" s="49" t="n"/>
      <c r="V255" s="49" t="n"/>
      <c r="W255" s="49" t="n"/>
    </row>
    <row r="256">
      <c r="B256" s="49" t="n"/>
      <c r="C256" s="49" t="n"/>
      <c r="D256" s="49" t="n"/>
      <c r="E256" s="49" t="n"/>
      <c r="F256" s="49" t="n"/>
      <c r="G256" s="49" t="n"/>
      <c r="H256" s="49" t="n"/>
      <c r="I256" s="49" t="n"/>
      <c r="J256" s="49" t="n"/>
      <c r="K256" s="49" t="n"/>
      <c r="L256" s="49" t="n"/>
      <c r="M256" s="49" t="n"/>
      <c r="N256" s="49" t="n"/>
      <c r="S256" s="49" t="n"/>
      <c r="T256" s="49" t="n"/>
      <c r="U256" s="49" t="n"/>
      <c r="V256" s="49" t="n"/>
      <c r="W256" s="49" t="n"/>
    </row>
    <row r="257">
      <c r="B257" s="49" t="n"/>
      <c r="C257" s="49" t="n"/>
      <c r="D257" s="49" t="n"/>
      <c r="E257" s="49" t="n"/>
      <c r="F257" s="49" t="n"/>
      <c r="G257" s="49" t="n"/>
      <c r="H257" s="49" t="n"/>
      <c r="I257" s="49" t="n"/>
      <c r="J257" s="49" t="n"/>
      <c r="K257" s="49" t="n"/>
      <c r="L257" s="49" t="n"/>
      <c r="M257" s="49" t="n"/>
      <c r="N257" s="49" t="n"/>
      <c r="S257" s="49" t="n"/>
      <c r="T257" s="49" t="n"/>
      <c r="U257" s="49" t="n"/>
      <c r="V257" s="49" t="n"/>
      <c r="W257" s="49" t="n"/>
    </row>
    <row r="258">
      <c r="B258" s="49" t="n"/>
      <c r="C258" s="49" t="n"/>
      <c r="D258" s="49" t="n"/>
      <c r="E258" s="49" t="n"/>
      <c r="F258" s="49" t="n"/>
      <c r="G258" s="49" t="n"/>
      <c r="H258" s="49" t="n"/>
      <c r="I258" s="49" t="n"/>
      <c r="J258" s="49" t="n"/>
      <c r="K258" s="49" t="n"/>
      <c r="L258" s="49" t="n"/>
      <c r="M258" s="49" t="n"/>
      <c r="N258" s="49" t="n"/>
      <c r="S258" s="49" t="n"/>
      <c r="T258" s="49" t="n"/>
      <c r="U258" s="49" t="n"/>
      <c r="V258" s="49" t="n"/>
      <c r="W258" s="49" t="n"/>
    </row>
    <row r="259">
      <c r="B259" s="49" t="n"/>
      <c r="C259" s="49" t="n"/>
      <c r="D259" s="49" t="n"/>
      <c r="E259" s="49" t="n"/>
      <c r="F259" s="49" t="n"/>
      <c r="G259" s="49" t="n"/>
      <c r="H259" s="49" t="n"/>
      <c r="I259" s="49" t="n"/>
      <c r="J259" s="49" t="n"/>
      <c r="K259" s="49" t="n"/>
      <c r="L259" s="49" t="n"/>
      <c r="M259" s="49" t="n"/>
      <c r="N259" s="49" t="n"/>
      <c r="S259" s="49" t="n"/>
      <c r="T259" s="49" t="n"/>
      <c r="U259" s="49" t="n"/>
      <c r="V259" s="49" t="n"/>
      <c r="W259" s="49" t="n"/>
    </row>
    <row r="260">
      <c r="B260" s="49" t="n"/>
      <c r="C260" s="49" t="n"/>
      <c r="D260" s="49" t="n"/>
      <c r="E260" s="49" t="n"/>
      <c r="F260" s="49" t="n"/>
      <c r="G260" s="49" t="n"/>
      <c r="H260" s="49" t="n"/>
      <c r="I260" s="49" t="n"/>
      <c r="J260" s="49" t="n"/>
      <c r="K260" s="49" t="n"/>
      <c r="L260" s="49" t="n"/>
      <c r="M260" s="49" t="n"/>
      <c r="N260" s="49" t="n"/>
      <c r="S260" s="49" t="n"/>
      <c r="T260" s="49" t="n"/>
      <c r="U260" s="49" t="n"/>
      <c r="V260" s="49" t="n"/>
      <c r="W260" s="49" t="n"/>
    </row>
    <row r="261">
      <c r="B261" s="49" t="n"/>
      <c r="C261" s="49" t="n"/>
      <c r="D261" s="49" t="n"/>
      <c r="E261" s="49" t="n"/>
      <c r="F261" s="49" t="n"/>
      <c r="G261" s="49" t="n"/>
      <c r="H261" s="49" t="n"/>
      <c r="I261" s="49" t="n"/>
      <c r="J261" s="49" t="n"/>
      <c r="K261" s="49" t="n"/>
      <c r="L261" s="49" t="n"/>
      <c r="M261" s="49" t="n"/>
      <c r="N261" s="49" t="n"/>
      <c r="S261" s="49" t="n"/>
      <c r="T261" s="49" t="n"/>
      <c r="U261" s="49" t="n"/>
      <c r="V261" s="49" t="n"/>
      <c r="W261" s="49" t="n"/>
    </row>
    <row r="262">
      <c r="B262" s="49" t="n"/>
      <c r="C262" s="49" t="n"/>
      <c r="D262" s="49" t="n"/>
      <c r="E262" s="49" t="n"/>
      <c r="F262" s="49" t="n"/>
      <c r="G262" s="49" t="n"/>
      <c r="H262" s="49" t="n"/>
      <c r="I262" s="49" t="n"/>
      <c r="J262" s="49" t="n"/>
      <c r="K262" s="49" t="n"/>
      <c r="L262" s="49" t="n"/>
      <c r="M262" s="49" t="n"/>
      <c r="N262" s="49" t="n"/>
      <c r="S262" s="49" t="n"/>
      <c r="T262" s="49" t="n"/>
      <c r="U262" s="49" t="n"/>
      <c r="V262" s="49" t="n"/>
      <c r="W262" s="49" t="n"/>
    </row>
    <row r="263">
      <c r="B263" s="49" t="n"/>
      <c r="C263" s="49" t="n"/>
      <c r="D263" s="49" t="n"/>
      <c r="E263" s="49" t="n"/>
      <c r="F263" s="49" t="n"/>
      <c r="G263" s="49" t="n"/>
      <c r="H263" s="49" t="n"/>
      <c r="I263" s="49" t="n"/>
      <c r="J263" s="49" t="n"/>
      <c r="K263" s="49" t="n"/>
      <c r="L263" s="49" t="n"/>
      <c r="M263" s="49" t="n"/>
      <c r="N263" s="49" t="n"/>
      <c r="S263" s="49" t="n"/>
      <c r="T263" s="49" t="n"/>
      <c r="U263" s="49" t="n"/>
      <c r="V263" s="49" t="n"/>
      <c r="W263" s="49" t="n"/>
    </row>
    <row r="264">
      <c r="B264" s="49" t="n"/>
      <c r="C264" s="49" t="n"/>
      <c r="D264" s="49" t="n"/>
      <c r="E264" s="49" t="n"/>
      <c r="F264" s="49" t="n"/>
      <c r="G264" s="49" t="n"/>
      <c r="H264" s="49" t="n"/>
      <c r="I264" s="49" t="n"/>
      <c r="J264" s="49" t="n"/>
      <c r="K264" s="49" t="n"/>
      <c r="L264" s="49" t="n"/>
      <c r="M264" s="49" t="n"/>
      <c r="N264" s="49" t="n"/>
      <c r="S264" s="49" t="n"/>
      <c r="T264" s="49" t="n"/>
      <c r="U264" s="49" t="n"/>
      <c r="V264" s="49" t="n"/>
      <c r="W264" s="49" t="n"/>
    </row>
    <row r="265">
      <c r="B265" s="49" t="n"/>
      <c r="C265" s="49" t="n"/>
      <c r="D265" s="49" t="n"/>
      <c r="E265" s="49" t="n"/>
      <c r="F265" s="49" t="n"/>
      <c r="G265" s="49" t="n"/>
      <c r="H265" s="49" t="n"/>
      <c r="I265" s="49" t="n"/>
      <c r="J265" s="49" t="n"/>
      <c r="K265" s="49" t="n"/>
      <c r="L265" s="49" t="n"/>
      <c r="M265" s="49" t="n"/>
      <c r="N265" s="49" t="n"/>
      <c r="S265" s="49" t="n"/>
      <c r="T265" s="49" t="n"/>
      <c r="U265" s="49" t="n"/>
      <c r="V265" s="49" t="n"/>
      <c r="W265" s="49" t="n"/>
    </row>
    <row r="266">
      <c r="B266" s="49" t="n"/>
      <c r="C266" s="49" t="n"/>
      <c r="D266" s="49" t="n"/>
      <c r="E266" s="49" t="n"/>
      <c r="F266" s="49" t="n"/>
      <c r="G266" s="49" t="n"/>
      <c r="H266" s="49" t="n"/>
      <c r="I266" s="49" t="n"/>
      <c r="J266" s="49" t="n"/>
      <c r="K266" s="49" t="n"/>
      <c r="L266" s="49" t="n"/>
      <c r="M266" s="49" t="n"/>
      <c r="N266" s="49" t="n"/>
      <c r="S266" s="49" t="n"/>
      <c r="T266" s="49" t="n"/>
      <c r="U266" s="49" t="n"/>
      <c r="V266" s="49" t="n"/>
      <c r="W266" s="49" t="n"/>
    </row>
    <row r="267">
      <c r="B267" s="49" t="n"/>
      <c r="C267" s="49" t="n"/>
      <c r="D267" s="49" t="n"/>
      <c r="E267" s="49" t="n"/>
      <c r="F267" s="49" t="n"/>
      <c r="G267" s="49" t="n"/>
      <c r="H267" s="49" t="n"/>
      <c r="I267" s="49" t="n"/>
      <c r="J267" s="49" t="n"/>
      <c r="K267" s="49" t="n"/>
      <c r="L267" s="49" t="n"/>
      <c r="M267" s="49" t="n"/>
      <c r="N267" s="49" t="n"/>
      <c r="S267" s="49" t="n"/>
      <c r="T267" s="49" t="n"/>
      <c r="U267" s="49" t="n"/>
      <c r="V267" s="49" t="n"/>
      <c r="W267" s="49" t="n"/>
    </row>
    <row r="268">
      <c r="B268" s="49" t="n"/>
      <c r="C268" s="49" t="n"/>
      <c r="D268" s="49" t="n"/>
      <c r="E268" s="49" t="n"/>
      <c r="F268" s="49" t="n"/>
      <c r="G268" s="49" t="n"/>
      <c r="H268" s="49" t="n"/>
      <c r="I268" s="49" t="n"/>
      <c r="J268" s="49" t="n"/>
      <c r="K268" s="49" t="n"/>
      <c r="L268" s="49" t="n"/>
      <c r="M268" s="49" t="n"/>
      <c r="N268" s="49" t="n"/>
      <c r="S268" s="49" t="n"/>
      <c r="T268" s="49" t="n"/>
      <c r="U268" s="49" t="n"/>
      <c r="V268" s="49" t="n"/>
      <c r="W268" s="49" t="n"/>
    </row>
    <row r="269">
      <c r="B269" s="49" t="n"/>
      <c r="C269" s="49" t="n"/>
      <c r="D269" s="49" t="n"/>
      <c r="E269" s="49" t="n"/>
      <c r="F269" s="49" t="n"/>
      <c r="G269" s="49" t="n"/>
      <c r="H269" s="49" t="n"/>
      <c r="I269" s="49" t="n"/>
      <c r="J269" s="49" t="n"/>
      <c r="K269" s="49" t="n"/>
      <c r="L269" s="49" t="n"/>
      <c r="M269" s="49" t="n"/>
      <c r="N269" s="49" t="n"/>
      <c r="S269" s="49" t="n"/>
      <c r="T269" s="49" t="n"/>
      <c r="U269" s="49" t="n"/>
      <c r="V269" s="49" t="n"/>
      <c r="W269" s="49" t="n"/>
    </row>
    <row r="270">
      <c r="B270" s="49" t="n"/>
      <c r="C270" s="49" t="n"/>
      <c r="D270" s="49" t="n"/>
      <c r="E270" s="49" t="n"/>
      <c r="F270" s="49" t="n"/>
      <c r="G270" s="49" t="n"/>
      <c r="H270" s="49" t="n"/>
      <c r="I270" s="49" t="n"/>
      <c r="J270" s="49" t="n"/>
      <c r="K270" s="49" t="n"/>
      <c r="L270" s="49" t="n"/>
      <c r="M270" s="49" t="n"/>
      <c r="N270" s="49" t="n"/>
      <c r="S270" s="49" t="n"/>
      <c r="T270" s="49" t="n"/>
      <c r="U270" s="49" t="n"/>
      <c r="V270" s="49" t="n"/>
      <c r="W270" s="49" t="n"/>
    </row>
    <row r="271">
      <c r="B271" s="49" t="n"/>
      <c r="C271" s="49" t="n"/>
      <c r="D271" s="49" t="n"/>
      <c r="E271" s="49" t="n"/>
      <c r="F271" s="49" t="n"/>
      <c r="G271" s="49" t="n"/>
      <c r="H271" s="49" t="n"/>
      <c r="I271" s="49" t="n"/>
      <c r="J271" s="49" t="n"/>
      <c r="K271" s="49" t="n"/>
      <c r="L271" s="49" t="n"/>
      <c r="M271" s="49" t="n"/>
      <c r="N271" s="49" t="n"/>
      <c r="S271" s="49" t="n"/>
      <c r="T271" s="49" t="n"/>
      <c r="U271" s="49" t="n"/>
      <c r="V271" s="49" t="n"/>
      <c r="W271" s="49" t="n"/>
    </row>
    <row r="272">
      <c r="B272" s="49" t="n"/>
      <c r="C272" s="49" t="n"/>
      <c r="D272" s="49" t="n"/>
      <c r="E272" s="49" t="n"/>
      <c r="F272" s="49" t="n"/>
      <c r="G272" s="49" t="n"/>
      <c r="H272" s="49" t="n"/>
      <c r="I272" s="49" t="n"/>
      <c r="J272" s="49" t="n"/>
      <c r="K272" s="49" t="n"/>
      <c r="L272" s="49" t="n"/>
      <c r="M272" s="49" t="n"/>
      <c r="N272" s="49" t="n"/>
      <c r="S272" s="49" t="n"/>
      <c r="T272" s="49" t="n"/>
      <c r="U272" s="49" t="n"/>
      <c r="V272" s="49" t="n"/>
      <c r="W272" s="49" t="n"/>
    </row>
    <row r="273">
      <c r="B273" s="49" t="n"/>
      <c r="C273" s="49" t="n"/>
      <c r="D273" s="49" t="n"/>
      <c r="E273" s="49" t="n"/>
      <c r="F273" s="49" t="n"/>
      <c r="G273" s="49" t="n"/>
      <c r="H273" s="49" t="n"/>
      <c r="I273" s="49" t="n"/>
      <c r="J273" s="49" t="n"/>
      <c r="K273" s="49" t="n"/>
      <c r="L273" s="49" t="n"/>
      <c r="M273" s="49" t="n"/>
      <c r="N273" s="49" t="n"/>
      <c r="S273" s="49" t="n"/>
      <c r="T273" s="49" t="n"/>
      <c r="U273" s="49" t="n"/>
      <c r="V273" s="49" t="n"/>
      <c r="W273" s="49" t="n"/>
    </row>
    <row r="274">
      <c r="B274" s="49" t="n"/>
      <c r="C274" s="49" t="n"/>
      <c r="D274" s="49" t="n"/>
      <c r="E274" s="49" t="n"/>
      <c r="F274" s="49" t="n"/>
      <c r="G274" s="49" t="n"/>
      <c r="H274" s="49" t="n"/>
      <c r="I274" s="49" t="n"/>
      <c r="J274" s="49" t="n"/>
      <c r="K274" s="49" t="n"/>
      <c r="L274" s="49" t="n"/>
      <c r="M274" s="49" t="n"/>
      <c r="N274" s="49" t="n"/>
      <c r="S274" s="49" t="n"/>
      <c r="T274" s="49" t="n"/>
      <c r="U274" s="49" t="n"/>
      <c r="V274" s="49" t="n"/>
      <c r="W274" s="49" t="n"/>
    </row>
    <row r="275">
      <c r="B275" s="49" t="n"/>
      <c r="C275" s="49" t="n"/>
      <c r="D275" s="49" t="n"/>
      <c r="E275" s="49" t="n"/>
      <c r="F275" s="49" t="n"/>
      <c r="G275" s="49" t="n"/>
      <c r="H275" s="49" t="n"/>
      <c r="I275" s="49" t="n"/>
      <c r="J275" s="49" t="n"/>
      <c r="K275" s="49" t="n"/>
      <c r="L275" s="49" t="n"/>
      <c r="M275" s="49" t="n"/>
      <c r="N275" s="49" t="n"/>
      <c r="S275" s="49" t="n"/>
      <c r="T275" s="49" t="n"/>
      <c r="U275" s="49" t="n"/>
      <c r="V275" s="49" t="n"/>
      <c r="W275" s="49" t="n"/>
    </row>
    <row r="276">
      <c r="B276" s="49" t="n"/>
      <c r="C276" s="49" t="n"/>
      <c r="D276" s="49" t="n"/>
      <c r="E276" s="49" t="n"/>
      <c r="F276" s="49" t="n"/>
      <c r="G276" s="49" t="n"/>
      <c r="H276" s="49" t="n"/>
      <c r="I276" s="49" t="n"/>
      <c r="J276" s="49" t="n"/>
      <c r="K276" s="49" t="n"/>
      <c r="L276" s="49" t="n"/>
      <c r="M276" s="49" t="n"/>
      <c r="N276" s="49" t="n"/>
      <c r="S276" s="49" t="n"/>
      <c r="T276" s="49" t="n"/>
      <c r="U276" s="49" t="n"/>
      <c r="V276" s="49" t="n"/>
      <c r="W276" s="49" t="n"/>
    </row>
    <row r="277">
      <c r="B277" s="49" t="n"/>
      <c r="C277" s="49" t="n"/>
      <c r="D277" s="49" t="n"/>
      <c r="E277" s="49" t="n"/>
      <c r="F277" s="49" t="n"/>
      <c r="G277" s="49" t="n"/>
      <c r="H277" s="49" t="n"/>
      <c r="I277" s="49" t="n"/>
      <c r="J277" s="49" t="n"/>
      <c r="K277" s="49" t="n"/>
      <c r="L277" s="49" t="n"/>
      <c r="M277" s="49" t="n"/>
      <c r="N277" s="49" t="n"/>
      <c r="S277" s="49" t="n"/>
      <c r="T277" s="49" t="n"/>
      <c r="U277" s="49" t="n"/>
      <c r="V277" s="49" t="n"/>
      <c r="W277" s="49" t="n"/>
    </row>
    <row r="278">
      <c r="B278" s="49" t="n"/>
      <c r="C278" s="49" t="n"/>
      <c r="D278" s="49" t="n"/>
      <c r="E278" s="49" t="n"/>
      <c r="F278" s="49" t="n"/>
      <c r="G278" s="49" t="n"/>
      <c r="H278" s="49" t="n"/>
      <c r="I278" s="49" t="n"/>
      <c r="J278" s="49" t="n"/>
      <c r="K278" s="49" t="n"/>
      <c r="L278" s="49" t="n"/>
      <c r="M278" s="49" t="n"/>
      <c r="N278" s="49" t="n"/>
      <c r="S278" s="49" t="n"/>
      <c r="T278" s="49" t="n"/>
      <c r="U278" s="49" t="n"/>
      <c r="V278" s="49" t="n"/>
      <c r="W278" s="49" t="n"/>
    </row>
    <row r="279">
      <c r="B279" s="49" t="n"/>
      <c r="C279" s="49" t="n"/>
      <c r="D279" s="49" t="n"/>
      <c r="E279" s="49" t="n"/>
      <c r="F279" s="49" t="n"/>
      <c r="G279" s="49" t="n"/>
      <c r="H279" s="49" t="n"/>
      <c r="I279" s="49" t="n"/>
      <c r="J279" s="49" t="n"/>
      <c r="K279" s="49" t="n"/>
      <c r="L279" s="49" t="n"/>
      <c r="M279" s="49" t="n"/>
      <c r="N279" s="49" t="n"/>
      <c r="S279" s="49" t="n"/>
      <c r="T279" s="49" t="n"/>
      <c r="U279" s="49" t="n"/>
      <c r="V279" s="49" t="n"/>
      <c r="W279" s="49" t="n"/>
    </row>
    <row r="280">
      <c r="B280" s="49" t="n"/>
      <c r="C280" s="49" t="n"/>
      <c r="D280" s="49" t="n"/>
      <c r="E280" s="49" t="n"/>
      <c r="F280" s="49" t="n"/>
      <c r="G280" s="49" t="n"/>
      <c r="H280" s="49" t="n"/>
      <c r="I280" s="49" t="n"/>
      <c r="J280" s="49" t="n"/>
      <c r="K280" s="49" t="n"/>
      <c r="L280" s="49" t="n"/>
      <c r="M280" s="49" t="n"/>
      <c r="N280" s="49" t="n"/>
      <c r="S280" s="49" t="n"/>
      <c r="T280" s="49" t="n"/>
      <c r="U280" s="49" t="n"/>
      <c r="V280" s="49" t="n"/>
      <c r="W280" s="49" t="n"/>
    </row>
    <row r="281">
      <c r="B281" s="49" t="n"/>
      <c r="C281" s="49" t="n"/>
      <c r="D281" s="49" t="n"/>
      <c r="E281" s="49" t="n"/>
      <c r="F281" s="49" t="n"/>
      <c r="G281" s="49" t="n"/>
      <c r="H281" s="49" t="n"/>
      <c r="I281" s="49" t="n"/>
      <c r="J281" s="49" t="n"/>
      <c r="K281" s="49" t="n"/>
      <c r="L281" s="49" t="n"/>
      <c r="M281" s="49" t="n"/>
      <c r="N281" s="49" t="n"/>
      <c r="S281" s="49" t="n"/>
      <c r="T281" s="49" t="n"/>
      <c r="U281" s="49" t="n"/>
      <c r="V281" s="49" t="n"/>
      <c r="W281" s="49" t="n"/>
    </row>
    <row r="282">
      <c r="B282" s="49" t="n"/>
      <c r="C282" s="49" t="n"/>
      <c r="D282" s="49" t="n"/>
      <c r="E282" s="49" t="n"/>
      <c r="F282" s="49" t="n"/>
      <c r="G282" s="49" t="n"/>
      <c r="H282" s="49" t="n"/>
      <c r="I282" s="49" t="n"/>
      <c r="J282" s="49" t="n"/>
      <c r="K282" s="49" t="n"/>
      <c r="L282" s="49" t="n"/>
      <c r="M282" s="49" t="n"/>
      <c r="N282" s="49" t="n"/>
      <c r="S282" s="49" t="n"/>
      <c r="T282" s="49" t="n"/>
      <c r="U282" s="49" t="n"/>
      <c r="V282" s="49" t="n"/>
      <c r="W282" s="49" t="n"/>
    </row>
    <row r="283">
      <c r="B283" s="49" t="n"/>
      <c r="C283" s="49" t="n"/>
      <c r="D283" s="49" t="n"/>
      <c r="E283" s="49" t="n"/>
      <c r="F283" s="49" t="n"/>
      <c r="G283" s="49" t="n"/>
      <c r="H283" s="49" t="n"/>
      <c r="I283" s="49" t="n"/>
      <c r="J283" s="49" t="n"/>
      <c r="K283" s="49" t="n"/>
      <c r="L283" s="49" t="n"/>
      <c r="M283" s="49" t="n"/>
      <c r="N283" s="49" t="n"/>
      <c r="S283" s="49" t="n"/>
      <c r="T283" s="49" t="n"/>
      <c r="U283" s="49" t="n"/>
      <c r="V283" s="49" t="n"/>
      <c r="W283" s="49" t="n"/>
    </row>
    <row r="284">
      <c r="B284" s="49" t="n"/>
      <c r="C284" s="49" t="n"/>
      <c r="D284" s="49" t="n"/>
      <c r="E284" s="49" t="n"/>
      <c r="F284" s="49" t="n"/>
      <c r="G284" s="49" t="n"/>
      <c r="H284" s="49" t="n"/>
      <c r="I284" s="49" t="n"/>
      <c r="J284" s="49" t="n"/>
      <c r="K284" s="49" t="n"/>
      <c r="L284" s="49" t="n"/>
      <c r="M284" s="49" t="n"/>
      <c r="N284" s="49" t="n"/>
      <c r="S284" s="49" t="n"/>
      <c r="T284" s="49" t="n"/>
      <c r="U284" s="49" t="n"/>
      <c r="V284" s="49" t="n"/>
      <c r="W284" s="49" t="n"/>
    </row>
    <row r="285">
      <c r="B285" s="49" t="n"/>
      <c r="C285" s="49" t="n"/>
      <c r="D285" s="49" t="n"/>
      <c r="E285" s="49" t="n"/>
      <c r="F285" s="49" t="n"/>
      <c r="G285" s="49" t="n"/>
      <c r="H285" s="49" t="n"/>
      <c r="I285" s="49" t="n"/>
      <c r="J285" s="49" t="n"/>
      <c r="K285" s="49" t="n"/>
      <c r="L285" s="49" t="n"/>
      <c r="M285" s="49" t="n"/>
      <c r="N285" s="49" t="n"/>
      <c r="S285" s="49" t="n"/>
      <c r="T285" s="49" t="n"/>
      <c r="U285" s="49" t="n"/>
      <c r="V285" s="49" t="n"/>
      <c r="W285" s="49" t="n"/>
    </row>
    <row r="286">
      <c r="B286" s="49" t="n"/>
      <c r="C286" s="49" t="n"/>
      <c r="D286" s="49" t="n"/>
      <c r="E286" s="49" t="n"/>
      <c r="F286" s="49" t="n"/>
      <c r="G286" s="49" t="n"/>
      <c r="H286" s="49" t="n"/>
      <c r="I286" s="49" t="n"/>
      <c r="J286" s="49" t="n"/>
      <c r="K286" s="49" t="n"/>
      <c r="L286" s="49" t="n"/>
      <c r="M286" s="49" t="n"/>
      <c r="N286" s="49" t="n"/>
      <c r="S286" s="49" t="n"/>
      <c r="T286" s="49" t="n"/>
      <c r="U286" s="49" t="n"/>
      <c r="V286" s="49" t="n"/>
      <c r="W286" s="49" t="n"/>
    </row>
    <row r="287">
      <c r="B287" s="49" t="n"/>
      <c r="C287" s="49" t="n"/>
      <c r="D287" s="49" t="n"/>
      <c r="E287" s="49" t="n"/>
      <c r="F287" s="49" t="n"/>
      <c r="G287" s="49" t="n"/>
      <c r="H287" s="49" t="n"/>
      <c r="I287" s="49" t="n"/>
      <c r="J287" s="49" t="n"/>
      <c r="K287" s="49" t="n"/>
      <c r="L287" s="49" t="n"/>
      <c r="M287" s="49" t="n"/>
      <c r="N287" s="49" t="n"/>
      <c r="S287" s="49" t="n"/>
      <c r="T287" s="49" t="n"/>
      <c r="U287" s="49" t="n"/>
      <c r="V287" s="49" t="n"/>
      <c r="W287" s="49" t="n"/>
    </row>
    <row r="288">
      <c r="B288" s="49" t="n"/>
      <c r="C288" s="49" t="n"/>
      <c r="D288" s="49" t="n"/>
      <c r="E288" s="49" t="n"/>
      <c r="F288" s="49" t="n"/>
      <c r="G288" s="49" t="n"/>
      <c r="H288" s="49" t="n"/>
      <c r="I288" s="49" t="n"/>
      <c r="J288" s="49" t="n"/>
      <c r="K288" s="49" t="n"/>
      <c r="L288" s="49" t="n"/>
      <c r="M288" s="49" t="n"/>
      <c r="N288" s="49" t="n"/>
      <c r="S288" s="49" t="n"/>
      <c r="T288" s="49" t="n"/>
      <c r="U288" s="49" t="n"/>
      <c r="V288" s="49" t="n"/>
      <c r="W288" s="49" t="n"/>
    </row>
    <row r="289">
      <c r="B289" s="49" t="n"/>
      <c r="C289" s="49" t="n"/>
      <c r="D289" s="49" t="n"/>
      <c r="E289" s="49" t="n"/>
      <c r="F289" s="49" t="n"/>
      <c r="G289" s="49" t="n"/>
      <c r="H289" s="49" t="n"/>
      <c r="I289" s="49" t="n"/>
      <c r="J289" s="49" t="n"/>
      <c r="K289" s="49" t="n"/>
      <c r="L289" s="49" t="n"/>
      <c r="M289" s="49" t="n"/>
      <c r="N289" s="49" t="n"/>
      <c r="S289" s="49" t="n"/>
      <c r="T289" s="49" t="n"/>
      <c r="U289" s="49" t="n"/>
      <c r="V289" s="49" t="n"/>
      <c r="W289" s="49" t="n"/>
    </row>
    <row r="290">
      <c r="B290" s="49" t="n"/>
      <c r="C290" s="49" t="n"/>
      <c r="D290" s="49" t="n"/>
      <c r="E290" s="49" t="n"/>
      <c r="F290" s="49" t="n"/>
      <c r="G290" s="49" t="n"/>
      <c r="H290" s="49" t="n"/>
      <c r="I290" s="49" t="n"/>
      <c r="J290" s="49" t="n"/>
      <c r="K290" s="49" t="n"/>
      <c r="L290" s="49" t="n"/>
      <c r="M290" s="49" t="n"/>
      <c r="N290" s="49" t="n"/>
      <c r="S290" s="49" t="n"/>
      <c r="T290" s="49" t="n"/>
      <c r="U290" s="49" t="n"/>
      <c r="V290" s="49" t="n"/>
      <c r="W290" s="49" t="n"/>
    </row>
    <row r="291">
      <c r="B291" s="49" t="n"/>
      <c r="C291" s="49" t="n"/>
      <c r="D291" s="49" t="n"/>
      <c r="E291" s="49" t="n"/>
      <c r="F291" s="49" t="n"/>
      <c r="G291" s="49" t="n"/>
      <c r="H291" s="49" t="n"/>
      <c r="I291" s="49" t="n"/>
      <c r="J291" s="49" t="n"/>
      <c r="K291" s="49" t="n"/>
      <c r="L291" s="49" t="n"/>
      <c r="M291" s="49" t="n"/>
      <c r="N291" s="49" t="n"/>
      <c r="S291" s="49" t="n"/>
      <c r="T291" s="49" t="n"/>
      <c r="U291" s="49" t="n"/>
      <c r="V291" s="49" t="n"/>
      <c r="W291" s="49" t="n"/>
    </row>
    <row r="292">
      <c r="B292" s="49" t="n"/>
      <c r="C292" s="49" t="n"/>
      <c r="D292" s="49" t="n"/>
      <c r="E292" s="49" t="n"/>
      <c r="F292" s="49" t="n"/>
      <c r="G292" s="49" t="n"/>
      <c r="H292" s="49" t="n"/>
      <c r="I292" s="49" t="n"/>
      <c r="J292" s="49" t="n"/>
      <c r="K292" s="49" t="n"/>
      <c r="L292" s="49" t="n"/>
      <c r="M292" s="49" t="n"/>
      <c r="N292" s="49" t="n"/>
      <c r="S292" s="49" t="n"/>
      <c r="T292" s="49" t="n"/>
      <c r="U292" s="49" t="n"/>
      <c r="V292" s="49" t="n"/>
      <c r="W292" s="49" t="n"/>
    </row>
    <row r="293">
      <c r="B293" s="49" t="n"/>
      <c r="C293" s="49" t="n"/>
      <c r="D293" s="49" t="n"/>
      <c r="E293" s="49" t="n"/>
      <c r="F293" s="49" t="n"/>
      <c r="G293" s="49" t="n"/>
      <c r="H293" s="49" t="n"/>
      <c r="I293" s="49" t="n"/>
      <c r="J293" s="49" t="n"/>
      <c r="K293" s="49" t="n"/>
      <c r="L293" s="49" t="n"/>
      <c r="M293" s="49" t="n"/>
      <c r="N293" s="49" t="n"/>
      <c r="S293" s="49" t="n"/>
      <c r="T293" s="49" t="n"/>
      <c r="U293" s="49" t="n"/>
      <c r="V293" s="49" t="n"/>
      <c r="W293" s="49" t="n"/>
    </row>
    <row r="294">
      <c r="B294" s="49" t="n"/>
      <c r="C294" s="49" t="n"/>
      <c r="D294" s="49" t="n"/>
      <c r="E294" s="49" t="n"/>
      <c r="F294" s="49" t="n"/>
      <c r="G294" s="49" t="n"/>
      <c r="H294" s="49" t="n"/>
      <c r="I294" s="49" t="n"/>
      <c r="J294" s="49" t="n"/>
      <c r="K294" s="49" t="n"/>
      <c r="L294" s="49" t="n"/>
      <c r="M294" s="49" t="n"/>
      <c r="N294" s="49" t="n"/>
      <c r="S294" s="49" t="n"/>
      <c r="T294" s="49" t="n"/>
      <c r="U294" s="49" t="n"/>
      <c r="V294" s="49" t="n"/>
      <c r="W294" s="49" t="n"/>
    </row>
    <row r="295">
      <c r="B295" s="49" t="n"/>
      <c r="C295" s="49" t="n"/>
      <c r="D295" s="49" t="n"/>
      <c r="E295" s="49" t="n"/>
      <c r="F295" s="49" t="n"/>
      <c r="G295" s="49" t="n"/>
      <c r="H295" s="49" t="n"/>
      <c r="I295" s="49" t="n"/>
      <c r="J295" s="49" t="n"/>
      <c r="K295" s="49" t="n"/>
      <c r="L295" s="49" t="n"/>
      <c r="M295" s="49" t="n"/>
      <c r="N295" s="49" t="n"/>
      <c r="S295" s="49" t="n"/>
      <c r="T295" s="49" t="n"/>
      <c r="U295" s="49" t="n"/>
      <c r="V295" s="49" t="n"/>
      <c r="W295" s="49" t="n"/>
    </row>
    <row r="296">
      <c r="B296" s="49" t="n"/>
      <c r="C296" s="49" t="n"/>
      <c r="D296" s="49" t="n"/>
      <c r="E296" s="49" t="n"/>
      <c r="F296" s="49" t="n"/>
      <c r="G296" s="49" t="n"/>
      <c r="H296" s="49" t="n"/>
      <c r="I296" s="49" t="n"/>
      <c r="J296" s="49" t="n"/>
      <c r="K296" s="49" t="n"/>
      <c r="L296" s="49" t="n"/>
      <c r="M296" s="49" t="n"/>
      <c r="N296" s="49" t="n"/>
      <c r="S296" s="49" t="n"/>
      <c r="T296" s="49" t="n"/>
      <c r="U296" s="49" t="n"/>
      <c r="V296" s="49" t="n"/>
      <c r="W296" s="49" t="n"/>
    </row>
    <row r="297">
      <c r="B297" s="49" t="n"/>
      <c r="C297" s="49" t="n"/>
      <c r="D297" s="49" t="n"/>
      <c r="E297" s="49" t="n"/>
      <c r="F297" s="49" t="n"/>
      <c r="G297" s="49" t="n"/>
      <c r="H297" s="49" t="n"/>
      <c r="I297" s="49" t="n"/>
      <c r="J297" s="49" t="n"/>
      <c r="K297" s="49" t="n"/>
      <c r="L297" s="49" t="n"/>
      <c r="M297" s="49" t="n"/>
      <c r="N297" s="49" t="n"/>
      <c r="S297" s="49" t="n"/>
      <c r="T297" s="49" t="n"/>
      <c r="U297" s="49" t="n"/>
      <c r="V297" s="49" t="n"/>
      <c r="W297" s="49" t="n"/>
    </row>
    <row r="298">
      <c r="B298" s="49" t="n"/>
      <c r="C298" s="49" t="n"/>
      <c r="D298" s="49" t="n"/>
      <c r="E298" s="49" t="n"/>
      <c r="F298" s="49" t="n"/>
      <c r="G298" s="49" t="n"/>
      <c r="H298" s="49" t="n"/>
      <c r="I298" s="49" t="n"/>
      <c r="J298" s="49" t="n"/>
      <c r="K298" s="49" t="n"/>
      <c r="L298" s="49" t="n"/>
      <c r="M298" s="49" t="n"/>
      <c r="N298" s="49" t="n"/>
      <c r="S298" s="49" t="n"/>
      <c r="T298" s="49" t="n"/>
      <c r="U298" s="49" t="n"/>
      <c r="V298" s="49" t="n"/>
      <c r="W298" s="49" t="n"/>
    </row>
    <row r="299">
      <c r="B299" s="49" t="n"/>
      <c r="C299" s="49" t="n"/>
      <c r="D299" s="49" t="n"/>
      <c r="E299" s="49" t="n"/>
      <c r="F299" s="49" t="n"/>
      <c r="G299" s="49" t="n"/>
      <c r="H299" s="49" t="n"/>
      <c r="I299" s="49" t="n"/>
      <c r="J299" s="49" t="n"/>
      <c r="K299" s="49" t="n"/>
      <c r="L299" s="49" t="n"/>
      <c r="M299" s="49" t="n"/>
      <c r="N299" s="49" t="n"/>
      <c r="S299" s="49" t="n"/>
      <c r="T299" s="49" t="n"/>
      <c r="U299" s="49" t="n"/>
      <c r="V299" s="49" t="n"/>
      <c r="W299" s="49" t="n"/>
    </row>
    <row r="300">
      <c r="B300" s="49" t="n"/>
      <c r="C300" s="49" t="n"/>
      <c r="D300" s="49" t="n"/>
      <c r="E300" s="49" t="n"/>
      <c r="F300" s="49" t="n"/>
      <c r="G300" s="49" t="n"/>
      <c r="H300" s="49" t="n"/>
      <c r="I300" s="49" t="n"/>
      <c r="J300" s="49" t="n"/>
      <c r="K300" s="49" t="n"/>
      <c r="L300" s="49" t="n"/>
      <c r="M300" s="49" t="n"/>
      <c r="N300" s="49" t="n"/>
      <c r="S300" s="49" t="n"/>
      <c r="T300" s="49" t="n"/>
      <c r="U300" s="49" t="n"/>
      <c r="V300" s="49" t="n"/>
      <c r="W300" s="49" t="n"/>
    </row>
    <row r="301">
      <c r="B301" s="49" t="n"/>
      <c r="C301" s="49" t="n"/>
      <c r="D301" s="49" t="n"/>
      <c r="E301" s="49" t="n"/>
      <c r="F301" s="49" t="n"/>
      <c r="G301" s="49" t="n"/>
      <c r="H301" s="49" t="n"/>
      <c r="I301" s="49" t="n"/>
      <c r="J301" s="49" t="n"/>
      <c r="K301" s="49" t="n"/>
      <c r="L301" s="49" t="n"/>
      <c r="M301" s="49" t="n"/>
      <c r="N301" s="49" t="n"/>
      <c r="S301" s="49" t="n"/>
      <c r="T301" s="49" t="n"/>
      <c r="U301" s="49" t="n"/>
      <c r="V301" s="49" t="n"/>
      <c r="W301" s="49" t="n"/>
    </row>
    <row r="302">
      <c r="B302" s="49" t="n"/>
      <c r="C302" s="49" t="n"/>
      <c r="D302" s="49" t="n"/>
      <c r="E302" s="49" t="n"/>
      <c r="F302" s="49" t="n"/>
      <c r="G302" s="49" t="n"/>
      <c r="H302" s="49" t="n"/>
      <c r="I302" s="49" t="n"/>
      <c r="J302" s="49" t="n"/>
      <c r="K302" s="49" t="n"/>
      <c r="L302" s="49" t="n"/>
      <c r="M302" s="49" t="n"/>
      <c r="N302" s="49" t="n"/>
      <c r="S302" s="49" t="n"/>
      <c r="T302" s="49" t="n"/>
      <c r="U302" s="49" t="n"/>
      <c r="V302" s="49" t="n"/>
      <c r="W302" s="49" t="n"/>
    </row>
    <row r="303">
      <c r="B303" s="49" t="n"/>
      <c r="C303" s="49" t="n"/>
      <c r="D303" s="49" t="n"/>
      <c r="E303" s="49" t="n"/>
      <c r="F303" s="49" t="n"/>
      <c r="G303" s="49" t="n"/>
      <c r="H303" s="49" t="n"/>
      <c r="I303" s="49" t="n"/>
      <c r="J303" s="49" t="n"/>
      <c r="K303" s="49" t="n"/>
      <c r="L303" s="49" t="n"/>
      <c r="M303" s="49" t="n"/>
      <c r="N303" s="49" t="n"/>
      <c r="S303" s="49" t="n"/>
      <c r="T303" s="49" t="n"/>
      <c r="U303" s="49" t="n"/>
      <c r="V303" s="49" t="n"/>
      <c r="W303" s="49" t="n"/>
    </row>
    <row r="304">
      <c r="B304" s="49" t="n"/>
      <c r="C304" s="49" t="n"/>
      <c r="D304" s="49" t="n"/>
      <c r="E304" s="49" t="n"/>
      <c r="F304" s="49" t="n"/>
      <c r="G304" s="49" t="n"/>
      <c r="H304" s="49" t="n"/>
      <c r="I304" s="49" t="n"/>
      <c r="J304" s="49" t="n"/>
      <c r="K304" s="49" t="n"/>
      <c r="L304" s="49" t="n"/>
      <c r="M304" s="49" t="n"/>
      <c r="N304" s="49" t="n"/>
      <c r="S304" s="49" t="n"/>
      <c r="T304" s="49" t="n"/>
      <c r="U304" s="49" t="n"/>
      <c r="V304" s="49" t="n"/>
      <c r="W304" s="49" t="n"/>
    </row>
    <row r="305">
      <c r="B305" s="49" t="n"/>
      <c r="C305" s="49" t="n"/>
      <c r="D305" s="49" t="n"/>
      <c r="E305" s="49" t="n"/>
      <c r="F305" s="49" t="n"/>
      <c r="G305" s="49" t="n"/>
      <c r="H305" s="49" t="n"/>
      <c r="I305" s="49" t="n"/>
      <c r="J305" s="49" t="n"/>
      <c r="K305" s="49" t="n"/>
      <c r="L305" s="49" t="n"/>
      <c r="M305" s="49" t="n"/>
      <c r="N305" s="49" t="n"/>
      <c r="S305" s="49" t="n"/>
      <c r="T305" s="49" t="n"/>
      <c r="U305" s="49" t="n"/>
      <c r="V305" s="49" t="n"/>
      <c r="W305" s="49" t="n"/>
    </row>
    <row r="306">
      <c r="B306" s="49" t="n"/>
      <c r="C306" s="49" t="n"/>
      <c r="D306" s="49" t="n"/>
      <c r="E306" s="49" t="n"/>
      <c r="F306" s="49" t="n"/>
      <c r="G306" s="49" t="n"/>
      <c r="H306" s="49" t="n"/>
      <c r="I306" s="49" t="n"/>
      <c r="J306" s="49" t="n"/>
      <c r="K306" s="49" t="n"/>
      <c r="L306" s="49" t="n"/>
      <c r="M306" s="49" t="n"/>
      <c r="N306" s="49" t="n"/>
      <c r="S306" s="49" t="n"/>
      <c r="T306" s="49" t="n"/>
      <c r="U306" s="49" t="n"/>
      <c r="V306" s="49" t="n"/>
      <c r="W306" s="49" t="n"/>
    </row>
    <row r="307">
      <c r="B307" s="49" t="n"/>
      <c r="C307" s="49" t="n"/>
      <c r="D307" s="49" t="n"/>
      <c r="E307" s="49" t="n"/>
      <c r="F307" s="49" t="n"/>
      <c r="G307" s="49" t="n"/>
      <c r="H307" s="49" t="n"/>
      <c r="I307" s="49" t="n"/>
      <c r="J307" s="49" t="n"/>
      <c r="K307" s="49" t="n"/>
      <c r="L307" s="49" t="n"/>
      <c r="M307" s="49" t="n"/>
      <c r="N307" s="49" t="n"/>
      <c r="S307" s="49" t="n"/>
      <c r="T307" s="49" t="n"/>
      <c r="U307" s="49" t="n"/>
      <c r="V307" s="49" t="n"/>
      <c r="W307" s="49" t="n"/>
    </row>
    <row r="308">
      <c r="B308" s="49" t="n"/>
      <c r="C308" s="49" t="n"/>
      <c r="D308" s="49" t="n"/>
      <c r="E308" s="49" t="n"/>
      <c r="F308" s="49" t="n"/>
      <c r="G308" s="49" t="n"/>
      <c r="H308" s="49" t="n"/>
      <c r="I308" s="49" t="n"/>
      <c r="J308" s="49" t="n"/>
      <c r="K308" s="49" t="n"/>
      <c r="L308" s="49" t="n"/>
      <c r="M308" s="49" t="n"/>
      <c r="N308" s="49" t="n"/>
      <c r="S308" s="49" t="n"/>
      <c r="T308" s="49" t="n"/>
      <c r="U308" s="49" t="n"/>
      <c r="V308" s="49" t="n"/>
      <c r="W308" s="49" t="n"/>
    </row>
    <row r="309">
      <c r="B309" s="49" t="n"/>
      <c r="C309" s="49" t="n"/>
      <c r="D309" s="49" t="n"/>
      <c r="E309" s="49" t="n"/>
      <c r="F309" s="49" t="n"/>
      <c r="G309" s="49" t="n"/>
      <c r="H309" s="49" t="n"/>
      <c r="I309" s="49" t="n"/>
      <c r="J309" s="49" t="n"/>
      <c r="K309" s="49" t="n"/>
      <c r="L309" s="49" t="n"/>
      <c r="M309" s="49" t="n"/>
      <c r="N309" s="49" t="n"/>
      <c r="S309" s="49" t="n"/>
      <c r="T309" s="49" t="n"/>
      <c r="U309" s="49" t="n"/>
      <c r="V309" s="49" t="n"/>
      <c r="W309" s="49" t="n"/>
    </row>
    <row r="310">
      <c r="B310" s="49" t="n"/>
      <c r="C310" s="49" t="n"/>
      <c r="D310" s="49" t="n"/>
      <c r="E310" s="49" t="n"/>
      <c r="F310" s="49" t="n"/>
      <c r="G310" s="49" t="n"/>
      <c r="H310" s="49" t="n"/>
      <c r="I310" s="49" t="n"/>
      <c r="J310" s="49" t="n"/>
      <c r="K310" s="49" t="n"/>
      <c r="L310" s="49" t="n"/>
      <c r="M310" s="49" t="n"/>
      <c r="N310" s="49" t="n"/>
      <c r="S310" s="49" t="n"/>
      <c r="T310" s="49" t="n"/>
      <c r="U310" s="49" t="n"/>
      <c r="V310" s="49" t="n"/>
      <c r="W310" s="49" t="n"/>
    </row>
    <row r="311">
      <c r="B311" s="49" t="n"/>
      <c r="C311" s="49" t="n"/>
      <c r="D311" s="49" t="n"/>
      <c r="E311" s="49" t="n"/>
      <c r="F311" s="49" t="n"/>
      <c r="G311" s="49" t="n"/>
      <c r="H311" s="49" t="n"/>
      <c r="I311" s="49" t="n"/>
      <c r="J311" s="49" t="n"/>
      <c r="K311" s="49" t="n"/>
      <c r="L311" s="49" t="n"/>
      <c r="M311" s="49" t="n"/>
      <c r="N311" s="49" t="n"/>
      <c r="S311" s="49" t="n"/>
      <c r="T311" s="49" t="n"/>
      <c r="U311" s="49" t="n"/>
      <c r="V311" s="49" t="n"/>
      <c r="W311" s="49" t="n"/>
    </row>
    <row r="312">
      <c r="B312" s="49" t="n"/>
      <c r="C312" s="49" t="n"/>
      <c r="D312" s="49" t="n"/>
      <c r="E312" s="49" t="n"/>
      <c r="F312" s="49" t="n"/>
      <c r="G312" s="49" t="n"/>
      <c r="H312" s="49" t="n"/>
      <c r="I312" s="49" t="n"/>
      <c r="J312" s="49" t="n"/>
      <c r="K312" s="49" t="n"/>
      <c r="L312" s="49" t="n"/>
      <c r="M312" s="49" t="n"/>
      <c r="N312" s="49" t="n"/>
      <c r="S312" s="49" t="n"/>
      <c r="T312" s="49" t="n"/>
      <c r="U312" s="49" t="n"/>
      <c r="V312" s="49" t="n"/>
      <c r="W312" s="49" t="n"/>
    </row>
    <row r="313">
      <c r="B313" s="49" t="n"/>
      <c r="C313" s="49" t="n"/>
      <c r="D313" s="49" t="n"/>
      <c r="E313" s="49" t="n"/>
      <c r="F313" s="49" t="n"/>
      <c r="G313" s="49" t="n"/>
      <c r="H313" s="49" t="n"/>
      <c r="I313" s="49" t="n"/>
      <c r="J313" s="49" t="n"/>
      <c r="K313" s="49" t="n"/>
      <c r="L313" s="49" t="n"/>
      <c r="M313" s="49" t="n"/>
      <c r="N313" s="49" t="n"/>
      <c r="S313" s="49" t="n"/>
      <c r="T313" s="49" t="n"/>
      <c r="U313" s="49" t="n"/>
      <c r="V313" s="49" t="n"/>
      <c r="W313" s="49" t="n"/>
    </row>
    <row r="314">
      <c r="B314" s="49" t="n"/>
      <c r="C314" s="49" t="n"/>
      <c r="D314" s="49" t="n"/>
      <c r="E314" s="49" t="n"/>
      <c r="F314" s="49" t="n"/>
      <c r="G314" s="49" t="n"/>
      <c r="H314" s="49" t="n"/>
      <c r="I314" s="49" t="n"/>
      <c r="J314" s="49" t="n"/>
      <c r="K314" s="49" t="n"/>
      <c r="L314" s="49" t="n"/>
      <c r="M314" s="49" t="n"/>
      <c r="N314" s="49" t="n"/>
      <c r="S314" s="49" t="n"/>
      <c r="T314" s="49" t="n"/>
      <c r="U314" s="49" t="n"/>
      <c r="V314" s="49" t="n"/>
      <c r="W314" s="49" t="n"/>
    </row>
    <row r="315">
      <c r="B315" s="49" t="n"/>
      <c r="C315" s="49" t="n"/>
      <c r="D315" s="49" t="n"/>
      <c r="E315" s="49" t="n"/>
      <c r="F315" s="49" t="n"/>
      <c r="G315" s="49" t="n"/>
      <c r="H315" s="49" t="n"/>
      <c r="I315" s="49" t="n"/>
      <c r="J315" s="49" t="n"/>
      <c r="K315" s="49" t="n"/>
      <c r="L315" s="49" t="n"/>
      <c r="M315" s="49" t="n"/>
      <c r="N315" s="49" t="n"/>
      <c r="S315" s="49" t="n"/>
      <c r="T315" s="49" t="n"/>
      <c r="U315" s="49" t="n"/>
      <c r="V315" s="49" t="n"/>
      <c r="W315" s="49" t="n"/>
    </row>
    <row r="316">
      <c r="B316" s="49" t="n"/>
      <c r="C316" s="49" t="n"/>
      <c r="D316" s="49" t="n"/>
      <c r="E316" s="49" t="n"/>
      <c r="F316" s="49" t="n"/>
      <c r="G316" s="49" t="n"/>
      <c r="H316" s="49" t="n"/>
      <c r="I316" s="49" t="n"/>
      <c r="J316" s="49" t="n"/>
      <c r="K316" s="49" t="n"/>
      <c r="L316" s="49" t="n"/>
      <c r="M316" s="49" t="n"/>
      <c r="N316" s="49" t="n"/>
      <c r="S316" s="49" t="n"/>
      <c r="T316" s="49" t="n"/>
      <c r="U316" s="49" t="n"/>
      <c r="V316" s="49" t="n"/>
      <c r="W316" s="49" t="n"/>
    </row>
    <row r="317">
      <c r="B317" s="49" t="n"/>
      <c r="C317" s="49" t="n"/>
      <c r="D317" s="49" t="n"/>
      <c r="E317" s="49" t="n"/>
      <c r="F317" s="49" t="n"/>
      <c r="G317" s="49" t="n"/>
      <c r="H317" s="49" t="n"/>
      <c r="I317" s="49" t="n"/>
      <c r="J317" s="49" t="n"/>
      <c r="K317" s="49" t="n"/>
      <c r="L317" s="49" t="n"/>
      <c r="M317" s="49" t="n"/>
      <c r="N317" s="49" t="n"/>
      <c r="S317" s="49" t="n"/>
      <c r="T317" s="49" t="n"/>
      <c r="U317" s="49" t="n"/>
      <c r="V317" s="49" t="n"/>
      <c r="W317" s="49" t="n"/>
    </row>
    <row r="318">
      <c r="B318" s="49" t="n"/>
      <c r="C318" s="49" t="n"/>
      <c r="D318" s="49" t="n"/>
      <c r="E318" s="49" t="n"/>
      <c r="F318" s="49" t="n"/>
      <c r="G318" s="49" t="n"/>
      <c r="H318" s="49" t="n"/>
      <c r="I318" s="49" t="n"/>
      <c r="J318" s="49" t="n"/>
      <c r="K318" s="49" t="n"/>
      <c r="L318" s="49" t="n"/>
      <c r="M318" s="49" t="n"/>
      <c r="N318" s="49" t="n"/>
      <c r="S318" s="49" t="n"/>
      <c r="T318" s="49" t="n"/>
      <c r="U318" s="49" t="n"/>
      <c r="V318" s="49" t="n"/>
      <c r="W318" s="49" t="n"/>
    </row>
    <row r="319">
      <c r="B319" s="49" t="n"/>
      <c r="C319" s="49" t="n"/>
      <c r="D319" s="49" t="n"/>
      <c r="E319" s="49" t="n"/>
      <c r="F319" s="49" t="n"/>
      <c r="G319" s="49" t="n"/>
      <c r="H319" s="49" t="n"/>
      <c r="I319" s="49" t="n"/>
      <c r="J319" s="49" t="n"/>
      <c r="K319" s="49" t="n"/>
      <c r="L319" s="49" t="n"/>
      <c r="M319" s="49" t="n"/>
      <c r="N319" s="49" t="n"/>
      <c r="S319" s="49" t="n"/>
      <c r="T319" s="49" t="n"/>
      <c r="U319" s="49" t="n"/>
      <c r="V319" s="49" t="n"/>
      <c r="W319" s="49" t="n"/>
    </row>
    <row r="320">
      <c r="B320" s="49" t="n"/>
      <c r="C320" s="49" t="n"/>
      <c r="D320" s="49" t="n"/>
      <c r="E320" s="49" t="n"/>
      <c r="F320" s="49" t="n"/>
      <c r="G320" s="49" t="n"/>
      <c r="H320" s="49" t="n"/>
      <c r="I320" s="49" t="n"/>
      <c r="J320" s="49" t="n"/>
      <c r="K320" s="49" t="n"/>
      <c r="L320" s="49" t="n"/>
      <c r="M320" s="49" t="n"/>
      <c r="N320" s="49" t="n"/>
      <c r="S320" s="49" t="n"/>
      <c r="T320" s="49" t="n"/>
      <c r="U320" s="49" t="n"/>
      <c r="V320" s="49" t="n"/>
      <c r="W320" s="49" t="n"/>
    </row>
    <row r="321">
      <c r="B321" s="49" t="n"/>
      <c r="C321" s="49" t="n"/>
      <c r="D321" s="49" t="n"/>
      <c r="E321" s="49" t="n"/>
      <c r="F321" s="49" t="n"/>
      <c r="G321" s="49" t="n"/>
      <c r="H321" s="49" t="n"/>
      <c r="I321" s="49" t="n"/>
      <c r="J321" s="49" t="n"/>
      <c r="K321" s="49" t="n"/>
      <c r="L321" s="49" t="n"/>
      <c r="M321" s="49" t="n"/>
      <c r="N321" s="49" t="n"/>
      <c r="S321" s="49" t="n"/>
      <c r="T321" s="49" t="n"/>
      <c r="U321" s="49" t="n"/>
      <c r="V321" s="49" t="n"/>
      <c r="W321" s="49" t="n"/>
    </row>
    <row r="322">
      <c r="B322" s="49" t="n"/>
      <c r="C322" s="49" t="n"/>
      <c r="D322" s="49" t="n"/>
      <c r="E322" s="49" t="n"/>
      <c r="F322" s="49" t="n"/>
      <c r="G322" s="49" t="n"/>
      <c r="H322" s="49" t="n"/>
      <c r="I322" s="49" t="n"/>
      <c r="J322" s="49" t="n"/>
      <c r="K322" s="49" t="n"/>
      <c r="L322" s="49" t="n"/>
      <c r="M322" s="49" t="n"/>
      <c r="N322" s="49" t="n"/>
      <c r="S322" s="49" t="n"/>
      <c r="T322" s="49" t="n"/>
      <c r="U322" s="49" t="n"/>
      <c r="V322" s="49" t="n"/>
      <c r="W322" s="49" t="n"/>
    </row>
    <row r="323">
      <c r="B323" s="49" t="n"/>
      <c r="C323" s="49" t="n"/>
      <c r="D323" s="49" t="n"/>
      <c r="E323" s="49" t="n"/>
      <c r="F323" s="49" t="n"/>
      <c r="G323" s="49" t="n"/>
      <c r="H323" s="49" t="n"/>
      <c r="I323" s="49" t="n"/>
      <c r="J323" s="49" t="n"/>
      <c r="K323" s="49" t="n"/>
      <c r="L323" s="49" t="n"/>
      <c r="M323" s="49" t="n"/>
      <c r="N323" s="49" t="n"/>
      <c r="S323" s="49" t="n"/>
      <c r="T323" s="49" t="n"/>
      <c r="U323" s="49" t="n"/>
      <c r="V323" s="49" t="n"/>
      <c r="W323" s="49" t="n"/>
    </row>
    <row r="324">
      <c r="B324" s="49" t="n"/>
      <c r="C324" s="49" t="n"/>
      <c r="D324" s="49" t="n"/>
      <c r="E324" s="49" t="n"/>
      <c r="F324" s="49" t="n"/>
      <c r="G324" s="49" t="n"/>
      <c r="H324" s="49" t="n"/>
      <c r="I324" s="49" t="n"/>
      <c r="J324" s="49" t="n"/>
      <c r="K324" s="49" t="n"/>
      <c r="L324" s="49" t="n"/>
      <c r="M324" s="49" t="n"/>
      <c r="N324" s="49" t="n"/>
      <c r="S324" s="49" t="n"/>
      <c r="T324" s="49" t="n"/>
      <c r="U324" s="49" t="n"/>
      <c r="V324" s="49" t="n"/>
      <c r="W324" s="49" t="n"/>
    </row>
    <row r="325">
      <c r="B325" s="49" t="n"/>
      <c r="C325" s="49" t="n"/>
      <c r="D325" s="49" t="n"/>
      <c r="E325" s="49" t="n"/>
      <c r="F325" s="49" t="n"/>
      <c r="G325" s="49" t="n"/>
      <c r="H325" s="49" t="n"/>
      <c r="I325" s="49" t="n"/>
      <c r="J325" s="49" t="n"/>
      <c r="K325" s="49" t="n"/>
      <c r="L325" s="49" t="n"/>
      <c r="M325" s="49" t="n"/>
      <c r="N325" s="49" t="n"/>
      <c r="S325" s="49" t="n"/>
      <c r="T325" s="49" t="n"/>
      <c r="U325" s="49" t="n"/>
      <c r="V325" s="49" t="n"/>
      <c r="W325" s="49" t="n"/>
    </row>
    <row r="326">
      <c r="B326" s="49" t="n"/>
      <c r="C326" s="49" t="n"/>
      <c r="D326" s="49" t="n"/>
      <c r="E326" s="49" t="n"/>
      <c r="F326" s="49" t="n"/>
      <c r="G326" s="49" t="n"/>
      <c r="H326" s="49" t="n"/>
      <c r="I326" s="49" t="n"/>
      <c r="J326" s="49" t="n"/>
      <c r="K326" s="49" t="n"/>
      <c r="L326" s="49" t="n"/>
      <c r="M326" s="49" t="n"/>
      <c r="N326" s="49" t="n"/>
      <c r="S326" s="49" t="n"/>
      <c r="T326" s="49" t="n"/>
      <c r="U326" s="49" t="n"/>
      <c r="V326" s="49" t="n"/>
      <c r="W326" s="49" t="n"/>
    </row>
    <row r="327">
      <c r="B327" s="49" t="n"/>
      <c r="C327" s="49" t="n"/>
      <c r="D327" s="49" t="n"/>
      <c r="E327" s="49" t="n"/>
      <c r="F327" s="49" t="n"/>
      <c r="G327" s="49" t="n"/>
      <c r="H327" s="49" t="n"/>
      <c r="I327" s="49" t="n"/>
      <c r="J327" s="49" t="n"/>
      <c r="K327" s="49" t="n"/>
      <c r="L327" s="49" t="n"/>
      <c r="M327" s="49" t="n"/>
      <c r="N327" s="49" t="n"/>
      <c r="S327" s="49" t="n"/>
      <c r="T327" s="49" t="n"/>
      <c r="U327" s="49" t="n"/>
      <c r="V327" s="49" t="n"/>
      <c r="W327" s="49" t="n"/>
    </row>
    <row r="328">
      <c r="B328" s="49" t="n"/>
      <c r="C328" s="49" t="n"/>
      <c r="D328" s="49" t="n"/>
      <c r="E328" s="49" t="n"/>
      <c r="F328" s="49" t="n"/>
      <c r="G328" s="49" t="n"/>
      <c r="H328" s="49" t="n"/>
      <c r="I328" s="49" t="n"/>
      <c r="J328" s="49" t="n"/>
      <c r="K328" s="49" t="n"/>
      <c r="L328" s="49" t="n"/>
      <c r="M328" s="49" t="n"/>
      <c r="N328" s="49" t="n"/>
      <c r="S328" s="49" t="n"/>
      <c r="T328" s="49" t="n"/>
      <c r="U328" s="49" t="n"/>
      <c r="V328" s="49" t="n"/>
      <c r="W328" s="49" t="n"/>
    </row>
    <row r="329">
      <c r="B329" s="49" t="n"/>
      <c r="C329" s="49" t="n"/>
      <c r="D329" s="49" t="n"/>
      <c r="E329" s="49" t="n"/>
      <c r="F329" s="49" t="n"/>
      <c r="G329" s="49" t="n"/>
      <c r="H329" s="49" t="n"/>
      <c r="I329" s="49" t="n"/>
      <c r="J329" s="49" t="n"/>
      <c r="K329" s="49" t="n"/>
      <c r="L329" s="49" t="n"/>
      <c r="M329" s="49" t="n"/>
      <c r="N329" s="49" t="n"/>
      <c r="S329" s="49" t="n"/>
      <c r="T329" s="49" t="n"/>
      <c r="U329" s="49" t="n"/>
      <c r="V329" s="49" t="n"/>
      <c r="W329" s="49" t="n"/>
    </row>
    <row r="330">
      <c r="B330" s="49" t="n"/>
      <c r="C330" s="49" t="n"/>
      <c r="D330" s="49" t="n"/>
      <c r="E330" s="49" t="n"/>
      <c r="F330" s="49" t="n"/>
      <c r="G330" s="49" t="n"/>
      <c r="H330" s="49" t="n"/>
      <c r="I330" s="49" t="n"/>
      <c r="J330" s="49" t="n"/>
      <c r="K330" s="49" t="n"/>
      <c r="L330" s="49" t="n"/>
      <c r="M330" s="49" t="n"/>
      <c r="N330" s="49" t="n"/>
      <c r="S330" s="49" t="n"/>
      <c r="T330" s="49" t="n"/>
      <c r="U330" s="49" t="n"/>
      <c r="V330" s="49" t="n"/>
      <c r="W330" s="49" t="n"/>
    </row>
    <row r="331">
      <c r="B331" s="49" t="n"/>
      <c r="C331" s="49" t="n"/>
      <c r="D331" s="49" t="n"/>
      <c r="E331" s="49" t="n"/>
      <c r="F331" s="49" t="n"/>
      <c r="G331" s="49" t="n"/>
      <c r="H331" s="49" t="n"/>
      <c r="I331" s="49" t="n"/>
      <c r="J331" s="49" t="n"/>
      <c r="K331" s="49" t="n"/>
      <c r="L331" s="49" t="n"/>
      <c r="M331" s="49" t="n"/>
      <c r="N331" s="49" t="n"/>
      <c r="S331" s="49" t="n"/>
      <c r="T331" s="49" t="n"/>
      <c r="U331" s="49" t="n"/>
      <c r="V331" s="49" t="n"/>
      <c r="W331" s="49" t="n"/>
    </row>
    <row r="332">
      <c r="B332" s="49" t="n"/>
      <c r="C332" s="49" t="n"/>
      <c r="D332" s="49" t="n"/>
      <c r="E332" s="49" t="n"/>
      <c r="F332" s="49" t="n"/>
      <c r="G332" s="49" t="n"/>
      <c r="H332" s="49" t="n"/>
      <c r="I332" s="49" t="n"/>
      <c r="J332" s="49" t="n"/>
      <c r="K332" s="49" t="n"/>
      <c r="L332" s="49" t="n"/>
      <c r="M332" s="49" t="n"/>
      <c r="N332" s="49" t="n"/>
      <c r="S332" s="49" t="n"/>
      <c r="T332" s="49" t="n"/>
      <c r="U332" s="49" t="n"/>
      <c r="V332" s="49" t="n"/>
      <c r="W332" s="49" t="n"/>
    </row>
    <row r="333">
      <c r="B333" s="49" t="n"/>
      <c r="C333" s="49" t="n"/>
      <c r="D333" s="49" t="n"/>
      <c r="E333" s="49" t="n"/>
      <c r="F333" s="49" t="n"/>
      <c r="G333" s="49" t="n"/>
      <c r="H333" s="49" t="n"/>
      <c r="I333" s="49" t="n"/>
      <c r="J333" s="49" t="n"/>
      <c r="K333" s="49" t="n"/>
      <c r="L333" s="49" t="n"/>
      <c r="M333" s="49" t="n"/>
      <c r="N333" s="49" t="n"/>
      <c r="S333" s="49" t="n"/>
      <c r="T333" s="49" t="n"/>
      <c r="U333" s="49" t="n"/>
      <c r="V333" s="49" t="n"/>
      <c r="W333" s="49" t="n"/>
    </row>
    <row r="334">
      <c r="B334" s="49" t="n"/>
      <c r="C334" s="49" t="n"/>
      <c r="D334" s="49" t="n"/>
      <c r="E334" s="49" t="n"/>
      <c r="F334" s="49" t="n"/>
      <c r="G334" s="49" t="n"/>
      <c r="H334" s="49" t="n"/>
      <c r="I334" s="49" t="n"/>
      <c r="J334" s="49" t="n"/>
      <c r="K334" s="49" t="n"/>
      <c r="L334" s="49" t="n"/>
      <c r="M334" s="49" t="n"/>
      <c r="N334" s="49" t="n"/>
      <c r="S334" s="49" t="n"/>
      <c r="T334" s="49" t="n"/>
      <c r="U334" s="49" t="n"/>
      <c r="V334" s="49" t="n"/>
      <c r="W334" s="49" t="n"/>
    </row>
    <row r="335">
      <c r="B335" s="49" t="n"/>
      <c r="C335" s="49" t="n"/>
      <c r="D335" s="49" t="n"/>
      <c r="E335" s="49" t="n"/>
      <c r="F335" s="49" t="n"/>
      <c r="G335" s="49" t="n"/>
      <c r="H335" s="49" t="n"/>
      <c r="I335" s="49" t="n"/>
      <c r="J335" s="49" t="n"/>
      <c r="K335" s="49" t="n"/>
      <c r="L335" s="49" t="n"/>
      <c r="M335" s="49" t="n"/>
      <c r="N335" s="49" t="n"/>
      <c r="S335" s="49" t="n"/>
      <c r="T335" s="49" t="n"/>
      <c r="U335" s="49" t="n"/>
      <c r="V335" s="49" t="n"/>
      <c r="W335" s="49" t="n"/>
    </row>
    <row r="336">
      <c r="B336" s="49" t="n"/>
      <c r="C336" s="49" t="n"/>
      <c r="D336" s="49" t="n"/>
      <c r="E336" s="49" t="n"/>
      <c r="F336" s="49" t="n"/>
      <c r="G336" s="49" t="n"/>
      <c r="H336" s="49" t="n"/>
      <c r="I336" s="49" t="n"/>
      <c r="J336" s="49" t="n"/>
      <c r="K336" s="49" t="n"/>
      <c r="L336" s="49" t="n"/>
      <c r="M336" s="49" t="n"/>
      <c r="N336" s="49" t="n"/>
      <c r="S336" s="49" t="n"/>
      <c r="T336" s="49" t="n"/>
      <c r="U336" s="49" t="n"/>
      <c r="V336" s="49" t="n"/>
      <c r="W336" s="49" t="n"/>
    </row>
    <row r="337">
      <c r="B337" s="49" t="n"/>
      <c r="C337" s="49" t="n"/>
      <c r="D337" s="49" t="n"/>
      <c r="E337" s="49" t="n"/>
      <c r="F337" s="49" t="n"/>
      <c r="G337" s="49" t="n"/>
      <c r="H337" s="49" t="n"/>
      <c r="I337" s="49" t="n"/>
      <c r="J337" s="49" t="n"/>
      <c r="K337" s="49" t="n"/>
      <c r="L337" s="49" t="n"/>
      <c r="M337" s="49" t="n"/>
      <c r="N337" s="49" t="n"/>
      <c r="S337" s="49" t="n"/>
      <c r="T337" s="49" t="n"/>
      <c r="U337" s="49" t="n"/>
      <c r="V337" s="49" t="n"/>
      <c r="W337" s="49" t="n"/>
    </row>
    <row r="338">
      <c r="B338" s="49" t="n"/>
      <c r="C338" s="49" t="n"/>
      <c r="D338" s="49" t="n"/>
      <c r="E338" s="49" t="n"/>
      <c r="F338" s="49" t="n"/>
      <c r="G338" s="49" t="n"/>
      <c r="H338" s="49" t="n"/>
      <c r="I338" s="49" t="n"/>
      <c r="J338" s="49" t="n"/>
      <c r="K338" s="49" t="n"/>
      <c r="L338" s="49" t="n"/>
      <c r="M338" s="49" t="n"/>
      <c r="N338" s="49" t="n"/>
      <c r="S338" s="49" t="n"/>
      <c r="T338" s="49" t="n"/>
      <c r="U338" s="49" t="n"/>
      <c r="V338" s="49" t="n"/>
      <c r="W338" s="49" t="n"/>
    </row>
    <row r="339">
      <c r="B339" s="49" t="n"/>
      <c r="C339" s="49" t="n"/>
      <c r="D339" s="49" t="n"/>
      <c r="E339" s="49" t="n"/>
      <c r="F339" s="49" t="n"/>
      <c r="G339" s="49" t="n"/>
      <c r="H339" s="49" t="n"/>
      <c r="I339" s="49" t="n"/>
      <c r="J339" s="49" t="n"/>
      <c r="K339" s="49" t="n"/>
      <c r="L339" s="49" t="n"/>
      <c r="M339" s="49" t="n"/>
      <c r="N339" s="49" t="n"/>
      <c r="S339" s="49" t="n"/>
      <c r="T339" s="49" t="n"/>
      <c r="U339" s="49" t="n"/>
      <c r="V339" s="49" t="n"/>
      <c r="W339" s="49" t="n"/>
    </row>
    <row r="340">
      <c r="B340" s="49" t="n"/>
      <c r="C340" s="49" t="n"/>
      <c r="D340" s="49" t="n"/>
      <c r="E340" s="49" t="n"/>
      <c r="F340" s="49" t="n"/>
      <c r="G340" s="49" t="n"/>
      <c r="H340" s="49" t="n"/>
      <c r="I340" s="49" t="n"/>
      <c r="J340" s="49" t="n"/>
      <c r="K340" s="49" t="n"/>
      <c r="L340" s="49" t="n"/>
      <c r="M340" s="49" t="n"/>
      <c r="N340" s="49" t="n"/>
      <c r="S340" s="49" t="n"/>
      <c r="T340" s="49" t="n"/>
      <c r="U340" s="49" t="n"/>
      <c r="V340" s="49" t="n"/>
      <c r="W340" s="49" t="n"/>
    </row>
    <row r="341">
      <c r="B341" s="49" t="n"/>
      <c r="C341" s="49" t="n"/>
      <c r="D341" s="49" t="n"/>
      <c r="E341" s="49" t="n"/>
      <c r="F341" s="49" t="n"/>
      <c r="G341" s="49" t="n"/>
      <c r="H341" s="49" t="n"/>
      <c r="I341" s="49" t="n"/>
      <c r="J341" s="49" t="n"/>
      <c r="K341" s="49" t="n"/>
      <c r="L341" s="49" t="n"/>
      <c r="M341" s="49" t="n"/>
      <c r="N341" s="49" t="n"/>
      <c r="S341" s="49" t="n"/>
      <c r="T341" s="49" t="n"/>
      <c r="U341" s="49" t="n"/>
      <c r="V341" s="49" t="n"/>
      <c r="W341" s="49" t="n"/>
    </row>
    <row r="342">
      <c r="B342" s="49" t="n"/>
      <c r="C342" s="49" t="n"/>
      <c r="D342" s="49" t="n"/>
      <c r="E342" s="49" t="n"/>
      <c r="F342" s="49" t="n"/>
      <c r="G342" s="49" t="n"/>
      <c r="H342" s="49" t="n"/>
      <c r="I342" s="49" t="n"/>
      <c r="J342" s="49" t="n"/>
      <c r="K342" s="49" t="n"/>
      <c r="L342" s="49" t="n"/>
      <c r="M342" s="49" t="n"/>
      <c r="N342" s="49" t="n"/>
      <c r="S342" s="49" t="n"/>
      <c r="T342" s="49" t="n"/>
      <c r="U342" s="49" t="n"/>
      <c r="V342" s="49" t="n"/>
      <c r="W342" s="49" t="n"/>
    </row>
    <row r="343">
      <c r="B343" s="49" t="n"/>
      <c r="C343" s="49" t="n"/>
      <c r="D343" s="49" t="n"/>
      <c r="E343" s="49" t="n"/>
      <c r="F343" s="49" t="n"/>
      <c r="G343" s="49" t="n"/>
      <c r="H343" s="49" t="n"/>
      <c r="I343" s="49" t="n"/>
      <c r="J343" s="49" t="n"/>
      <c r="K343" s="49" t="n"/>
      <c r="L343" s="49" t="n"/>
      <c r="M343" s="49" t="n"/>
      <c r="N343" s="49" t="n"/>
      <c r="S343" s="49" t="n"/>
      <c r="T343" s="49" t="n"/>
      <c r="U343" s="49" t="n"/>
      <c r="V343" s="49" t="n"/>
      <c r="W343" s="49" t="n"/>
    </row>
    <row r="344">
      <c r="B344" s="49" t="n"/>
      <c r="C344" s="49" t="n"/>
      <c r="D344" s="49" t="n"/>
      <c r="E344" s="49" t="n"/>
      <c r="F344" s="49" t="n"/>
      <c r="G344" s="49" t="n"/>
      <c r="H344" s="49" t="n"/>
      <c r="I344" s="49" t="n"/>
      <c r="J344" s="49" t="n"/>
      <c r="K344" s="49" t="n"/>
      <c r="L344" s="49" t="n"/>
      <c r="M344" s="49" t="n"/>
      <c r="N344" s="49" t="n"/>
      <c r="S344" s="49" t="n"/>
      <c r="T344" s="49" t="n"/>
      <c r="U344" s="49" t="n"/>
      <c r="V344" s="49" t="n"/>
      <c r="W344" s="49" t="n"/>
    </row>
    <row r="345">
      <c r="B345" s="49" t="n"/>
      <c r="C345" s="49" t="n"/>
      <c r="D345" s="49" t="n"/>
      <c r="E345" s="49" t="n"/>
      <c r="F345" s="49" t="n"/>
      <c r="G345" s="49" t="n"/>
      <c r="H345" s="49" t="n"/>
      <c r="I345" s="49" t="n"/>
      <c r="J345" s="49" t="n"/>
      <c r="K345" s="49" t="n"/>
      <c r="L345" s="49" t="n"/>
      <c r="M345" s="49" t="n"/>
      <c r="N345" s="49" t="n"/>
      <c r="S345" s="49" t="n"/>
      <c r="T345" s="49" t="n"/>
      <c r="U345" s="49" t="n"/>
      <c r="V345" s="49" t="n"/>
      <c r="W345" s="49" t="n"/>
    </row>
    <row r="346">
      <c r="B346" s="49" t="n"/>
      <c r="C346" s="49" t="n"/>
      <c r="D346" s="49" t="n"/>
      <c r="E346" s="49" t="n"/>
      <c r="F346" s="49" t="n"/>
      <c r="G346" s="49" t="n"/>
      <c r="H346" s="49" t="n"/>
      <c r="I346" s="49" t="n"/>
      <c r="J346" s="49" t="n"/>
      <c r="K346" s="49" t="n"/>
      <c r="L346" s="49" t="n"/>
      <c r="M346" s="49" t="n"/>
      <c r="N346" s="49" t="n"/>
      <c r="S346" s="49" t="n"/>
      <c r="T346" s="49" t="n"/>
      <c r="U346" s="49" t="n"/>
      <c r="V346" s="49" t="n"/>
      <c r="W346" s="49" t="n"/>
    </row>
    <row r="347">
      <c r="B347" s="49" t="n"/>
      <c r="C347" s="49" t="n"/>
      <c r="D347" s="49" t="n"/>
      <c r="E347" s="49" t="n"/>
      <c r="F347" s="49" t="n"/>
      <c r="G347" s="49" t="n"/>
      <c r="H347" s="49" t="n"/>
      <c r="I347" s="49" t="n"/>
      <c r="J347" s="49" t="n"/>
      <c r="K347" s="49" t="n"/>
      <c r="L347" s="49" t="n"/>
      <c r="M347" s="49" t="n"/>
      <c r="N347" s="49" t="n"/>
      <c r="S347" s="49" t="n"/>
      <c r="T347" s="49" t="n"/>
      <c r="U347" s="49" t="n"/>
      <c r="V347" s="49" t="n"/>
      <c r="W347" s="49" t="n"/>
    </row>
    <row r="348">
      <c r="B348" s="49" t="n"/>
      <c r="C348" s="49" t="n"/>
      <c r="D348" s="49" t="n"/>
      <c r="E348" s="49" t="n"/>
      <c r="F348" s="49" t="n"/>
      <c r="G348" s="49" t="n"/>
      <c r="H348" s="49" t="n"/>
      <c r="I348" s="49" t="n"/>
      <c r="J348" s="49" t="n"/>
      <c r="K348" s="49" t="n"/>
      <c r="L348" s="49" t="n"/>
      <c r="M348" s="49" t="n"/>
      <c r="N348" s="49" t="n"/>
      <c r="S348" s="49" t="n"/>
      <c r="T348" s="49" t="n"/>
      <c r="U348" s="49" t="n"/>
      <c r="V348" s="49" t="n"/>
      <c r="W348" s="49" t="n"/>
    </row>
    <row r="349">
      <c r="B349" s="49" t="n"/>
      <c r="C349" s="49" t="n"/>
      <c r="D349" s="49" t="n"/>
      <c r="E349" s="49" t="n"/>
      <c r="F349" s="49" t="n"/>
      <c r="G349" s="49" t="n"/>
      <c r="H349" s="49" t="n"/>
      <c r="I349" s="49" t="n"/>
      <c r="J349" s="49" t="n"/>
      <c r="K349" s="49" t="n"/>
      <c r="L349" s="49" t="n"/>
      <c r="M349" s="49" t="n"/>
      <c r="N349" s="49" t="n"/>
      <c r="S349" s="49" t="n"/>
      <c r="T349" s="49" t="n"/>
      <c r="U349" s="49" t="n"/>
      <c r="V349" s="49" t="n"/>
      <c r="W349" s="49" t="n"/>
    </row>
    <row r="350">
      <c r="B350" s="49" t="n"/>
      <c r="C350" s="49" t="n"/>
      <c r="D350" s="49" t="n"/>
      <c r="E350" s="49" t="n"/>
      <c r="F350" s="49" t="n"/>
      <c r="G350" s="49" t="n"/>
      <c r="H350" s="49" t="n"/>
      <c r="I350" s="49" t="n"/>
      <c r="J350" s="49" t="n"/>
      <c r="K350" s="49" t="n"/>
      <c r="L350" s="49" t="n"/>
      <c r="M350" s="49" t="n"/>
      <c r="N350" s="49" t="n"/>
      <c r="S350" s="49" t="n"/>
      <c r="T350" s="49" t="n"/>
      <c r="U350" s="49" t="n"/>
      <c r="V350" s="49" t="n"/>
      <c r="W350" s="49" t="n"/>
    </row>
    <row r="351">
      <c r="B351" s="49" t="n"/>
      <c r="C351" s="49" t="n"/>
      <c r="D351" s="49" t="n"/>
      <c r="E351" s="49" t="n"/>
      <c r="F351" s="49" t="n"/>
      <c r="G351" s="49" t="n"/>
      <c r="H351" s="49" t="n"/>
      <c r="I351" s="49" t="n"/>
      <c r="J351" s="49" t="n"/>
      <c r="K351" s="49" t="n"/>
      <c r="L351" s="49" t="n"/>
      <c r="M351" s="49" t="n"/>
      <c r="N351" s="49" t="n"/>
      <c r="S351" s="49" t="n"/>
      <c r="T351" s="49" t="n"/>
      <c r="U351" s="49" t="n"/>
      <c r="V351" s="49" t="n"/>
      <c r="W351" s="49" t="n"/>
    </row>
    <row r="352">
      <c r="B352" s="49" t="n"/>
      <c r="C352" s="49" t="n"/>
      <c r="D352" s="49" t="n"/>
      <c r="E352" s="49" t="n"/>
      <c r="F352" s="49" t="n"/>
      <c r="G352" s="49" t="n"/>
      <c r="H352" s="49" t="n"/>
      <c r="I352" s="49" t="n"/>
      <c r="J352" s="49" t="n"/>
      <c r="K352" s="49" t="n"/>
      <c r="L352" s="49" t="n"/>
      <c r="M352" s="49" t="n"/>
      <c r="N352" s="49" t="n"/>
      <c r="S352" s="49" t="n"/>
      <c r="T352" s="49" t="n"/>
      <c r="U352" s="49" t="n"/>
      <c r="V352" s="49" t="n"/>
      <c r="W352" s="49" t="n"/>
    </row>
    <row r="353">
      <c r="B353" s="49" t="n"/>
      <c r="C353" s="49" t="n"/>
      <c r="D353" s="49" t="n"/>
      <c r="E353" s="49" t="n"/>
      <c r="F353" s="49" t="n"/>
      <c r="G353" s="49" t="n"/>
      <c r="H353" s="49" t="n"/>
      <c r="I353" s="49" t="n"/>
      <c r="J353" s="49" t="n"/>
      <c r="K353" s="49" t="n"/>
      <c r="L353" s="49" t="n"/>
      <c r="M353" s="49" t="n"/>
      <c r="N353" s="49" t="n"/>
      <c r="S353" s="49" t="n"/>
      <c r="T353" s="49" t="n"/>
      <c r="U353" s="49" t="n"/>
      <c r="V353" s="49" t="n"/>
      <c r="W353" s="49" t="n"/>
    </row>
    <row r="354">
      <c r="B354" s="49" t="n"/>
      <c r="C354" s="49" t="n"/>
      <c r="D354" s="49" t="n"/>
      <c r="E354" s="49" t="n"/>
      <c r="F354" s="49" t="n"/>
      <c r="G354" s="49" t="n"/>
      <c r="H354" s="49" t="n"/>
      <c r="I354" s="49" t="n"/>
      <c r="J354" s="49" t="n"/>
      <c r="K354" s="49" t="n"/>
      <c r="L354" s="49" t="n"/>
      <c r="M354" s="49" t="n"/>
      <c r="N354" s="49" t="n"/>
      <c r="S354" s="49" t="n"/>
      <c r="T354" s="49" t="n"/>
      <c r="U354" s="49" t="n"/>
      <c r="V354" s="49" t="n"/>
      <c r="W354" s="49" t="n"/>
    </row>
    <row r="355">
      <c r="B355" s="49" t="n"/>
      <c r="C355" s="49" t="n"/>
      <c r="D355" s="49" t="n"/>
      <c r="E355" s="49" t="n"/>
      <c r="F355" s="49" t="n"/>
      <c r="G355" s="49" t="n"/>
      <c r="H355" s="49" t="n"/>
      <c r="I355" s="49" t="n"/>
      <c r="J355" s="49" t="n"/>
      <c r="K355" s="49" t="n"/>
      <c r="L355" s="49" t="n"/>
      <c r="M355" s="49" t="n"/>
      <c r="N355" s="49" t="n"/>
      <c r="S355" s="49" t="n"/>
      <c r="T355" s="49" t="n"/>
      <c r="U355" s="49" t="n"/>
      <c r="V355" s="49" t="n"/>
      <c r="W355" s="49" t="n"/>
    </row>
    <row r="356">
      <c r="B356" s="49" t="n"/>
      <c r="C356" s="49" t="n"/>
      <c r="D356" s="49" t="n"/>
      <c r="E356" s="49" t="n"/>
      <c r="F356" s="49" t="n"/>
      <c r="G356" s="49" t="n"/>
      <c r="H356" s="49" t="n"/>
      <c r="I356" s="49" t="n"/>
      <c r="J356" s="49" t="n"/>
      <c r="K356" s="49" t="n"/>
      <c r="L356" s="49" t="n"/>
      <c r="M356" s="49" t="n"/>
      <c r="N356" s="49" t="n"/>
      <c r="S356" s="49" t="n"/>
      <c r="T356" s="49" t="n"/>
      <c r="U356" s="49" t="n"/>
      <c r="V356" s="49" t="n"/>
      <c r="W356" s="49" t="n"/>
    </row>
    <row r="357">
      <c r="B357" s="49" t="n"/>
      <c r="C357" s="49" t="n"/>
      <c r="D357" s="49" t="n"/>
      <c r="E357" s="49" t="n"/>
      <c r="F357" s="49" t="n"/>
      <c r="G357" s="49" t="n"/>
      <c r="H357" s="49" t="n"/>
      <c r="I357" s="49" t="n"/>
      <c r="J357" s="49" t="n"/>
      <c r="K357" s="49" t="n"/>
      <c r="L357" s="49" t="n"/>
      <c r="M357" s="49" t="n"/>
      <c r="N357" s="49" t="n"/>
      <c r="S357" s="49" t="n"/>
      <c r="T357" s="49" t="n"/>
      <c r="U357" s="49" t="n"/>
      <c r="V357" s="49" t="n"/>
      <c r="W357" s="49" t="n"/>
    </row>
    <row r="358">
      <c r="B358" s="49" t="n"/>
      <c r="C358" s="49" t="n"/>
      <c r="D358" s="49" t="n"/>
      <c r="E358" s="49" t="n"/>
      <c r="F358" s="49" t="n"/>
      <c r="G358" s="49" t="n"/>
      <c r="H358" s="49" t="n"/>
      <c r="I358" s="49" t="n"/>
      <c r="J358" s="49" t="n"/>
      <c r="K358" s="49" t="n"/>
      <c r="L358" s="49" t="n"/>
      <c r="M358" s="49" t="n"/>
      <c r="N358" s="49" t="n"/>
      <c r="S358" s="49" t="n"/>
      <c r="T358" s="49" t="n"/>
      <c r="U358" s="49" t="n"/>
      <c r="V358" s="49" t="n"/>
      <c r="W358" s="49" t="n"/>
    </row>
    <row r="359">
      <c r="B359" s="49" t="n"/>
      <c r="C359" s="49" t="n"/>
      <c r="D359" s="49" t="n"/>
      <c r="E359" s="49" t="n"/>
      <c r="F359" s="49" t="n"/>
      <c r="G359" s="49" t="n"/>
      <c r="H359" s="49" t="n"/>
      <c r="I359" s="49" t="n"/>
      <c r="J359" s="49" t="n"/>
      <c r="K359" s="49" t="n"/>
      <c r="L359" s="49" t="n"/>
      <c r="M359" s="49" t="n"/>
      <c r="N359" s="49" t="n"/>
      <c r="S359" s="49" t="n"/>
      <c r="T359" s="49" t="n"/>
      <c r="U359" s="49" t="n"/>
      <c r="V359" s="49" t="n"/>
      <c r="W359" s="49" t="n"/>
    </row>
    <row r="360">
      <c r="B360" s="49" t="n"/>
      <c r="C360" s="49" t="n"/>
      <c r="D360" s="49" t="n"/>
      <c r="E360" s="49" t="n"/>
      <c r="F360" s="49" t="n"/>
      <c r="G360" s="49" t="n"/>
      <c r="H360" s="49" t="n"/>
      <c r="I360" s="49" t="n"/>
      <c r="J360" s="49" t="n"/>
      <c r="K360" s="49" t="n"/>
      <c r="L360" s="49" t="n"/>
      <c r="M360" s="49" t="n"/>
      <c r="N360" s="49" t="n"/>
      <c r="S360" s="49" t="n"/>
      <c r="T360" s="49" t="n"/>
      <c r="U360" s="49" t="n"/>
      <c r="V360" s="49" t="n"/>
      <c r="W360" s="49" t="n"/>
    </row>
    <row r="361">
      <c r="B361" s="49" t="n"/>
      <c r="C361" s="49" t="n"/>
      <c r="D361" s="49" t="n"/>
      <c r="E361" s="49" t="n"/>
      <c r="F361" s="49" t="n"/>
      <c r="G361" s="49" t="n"/>
      <c r="H361" s="49" t="n"/>
      <c r="I361" s="49" t="n"/>
      <c r="J361" s="49" t="n"/>
      <c r="K361" s="49" t="n"/>
      <c r="L361" s="49" t="n"/>
      <c r="M361" s="49" t="n"/>
      <c r="N361" s="49" t="n"/>
      <c r="S361" s="49" t="n"/>
      <c r="T361" s="49" t="n"/>
      <c r="U361" s="49" t="n"/>
      <c r="V361" s="49" t="n"/>
      <c r="W361" s="49" t="n"/>
    </row>
    <row r="362">
      <c r="B362" s="49" t="n"/>
      <c r="C362" s="49" t="n"/>
      <c r="D362" s="49" t="n"/>
      <c r="E362" s="49" t="n"/>
      <c r="F362" s="49" t="n"/>
      <c r="G362" s="49" t="n"/>
      <c r="H362" s="49" t="n"/>
      <c r="I362" s="49" t="n"/>
      <c r="J362" s="49" t="n"/>
      <c r="K362" s="49" t="n"/>
      <c r="L362" s="49" t="n"/>
      <c r="M362" s="49" t="n"/>
      <c r="N362" s="49" t="n"/>
      <c r="S362" s="49" t="n"/>
      <c r="T362" s="49" t="n"/>
      <c r="U362" s="49" t="n"/>
      <c r="V362" s="49" t="n"/>
      <c r="W362" s="49" t="n"/>
    </row>
    <row r="363">
      <c r="B363" s="49" t="n"/>
      <c r="C363" s="49" t="n"/>
      <c r="D363" s="49" t="n"/>
      <c r="E363" s="49" t="n"/>
      <c r="F363" s="49" t="n"/>
      <c r="G363" s="49" t="n"/>
      <c r="H363" s="49" t="n"/>
      <c r="I363" s="49" t="n"/>
      <c r="J363" s="49" t="n"/>
      <c r="K363" s="49" t="n"/>
      <c r="L363" s="49" t="n"/>
      <c r="M363" s="49" t="n"/>
      <c r="N363" s="49" t="n"/>
      <c r="S363" s="49" t="n"/>
      <c r="T363" s="49" t="n"/>
      <c r="U363" s="49" t="n"/>
      <c r="V363" s="49" t="n"/>
      <c r="W363" s="49" t="n"/>
    </row>
    <row r="364">
      <c r="B364" s="49" t="n"/>
      <c r="C364" s="49" t="n"/>
      <c r="D364" s="49" t="n"/>
      <c r="E364" s="49" t="n"/>
      <c r="F364" s="49" t="n"/>
      <c r="G364" s="49" t="n"/>
      <c r="H364" s="49" t="n"/>
      <c r="I364" s="49" t="n"/>
      <c r="J364" s="49" t="n"/>
      <c r="K364" s="49" t="n"/>
      <c r="L364" s="49" t="n"/>
      <c r="M364" s="49" t="n"/>
      <c r="N364" s="49" t="n"/>
      <c r="S364" s="49" t="n"/>
      <c r="T364" s="49" t="n"/>
      <c r="U364" s="49" t="n"/>
      <c r="V364" s="49" t="n"/>
      <c r="W364" s="49" t="n"/>
    </row>
    <row r="365">
      <c r="B365" s="49" t="n"/>
      <c r="C365" s="49" t="n"/>
      <c r="D365" s="49" t="n"/>
      <c r="E365" s="49" t="n"/>
      <c r="F365" s="49" t="n"/>
      <c r="G365" s="49" t="n"/>
      <c r="H365" s="49" t="n"/>
      <c r="I365" s="49" t="n"/>
      <c r="J365" s="49" t="n"/>
      <c r="K365" s="49" t="n"/>
      <c r="L365" s="49" t="n"/>
      <c r="M365" s="49" t="n"/>
      <c r="N365" s="49" t="n"/>
      <c r="S365" s="49" t="n"/>
      <c r="T365" s="49" t="n"/>
      <c r="U365" s="49" t="n"/>
      <c r="V365" s="49" t="n"/>
      <c r="W365" s="49" t="n"/>
    </row>
    <row r="366">
      <c r="B366" s="49" t="n"/>
      <c r="C366" s="49" t="n"/>
      <c r="D366" s="49" t="n"/>
      <c r="E366" s="49" t="n"/>
      <c r="F366" s="49" t="n"/>
      <c r="G366" s="49" t="n"/>
      <c r="H366" s="49" t="n"/>
      <c r="I366" s="49" t="n"/>
      <c r="J366" s="49" t="n"/>
      <c r="K366" s="49" t="n"/>
      <c r="L366" s="49" t="n"/>
      <c r="M366" s="49" t="n"/>
      <c r="N366" s="49" t="n"/>
      <c r="S366" s="49" t="n"/>
      <c r="T366" s="49" t="n"/>
      <c r="U366" s="49" t="n"/>
      <c r="V366" s="49" t="n"/>
      <c r="W366" s="49" t="n"/>
    </row>
    <row r="367">
      <c r="B367" s="49" t="n"/>
      <c r="C367" s="49" t="n"/>
      <c r="D367" s="49" t="n"/>
      <c r="E367" s="49" t="n"/>
      <c r="F367" s="49" t="n"/>
      <c r="G367" s="49" t="n"/>
      <c r="H367" s="49" t="n"/>
      <c r="I367" s="49" t="n"/>
      <c r="J367" s="49" t="n"/>
      <c r="K367" s="49" t="n"/>
      <c r="L367" s="49" t="n"/>
      <c r="M367" s="49" t="n"/>
      <c r="N367" s="49" t="n"/>
      <c r="S367" s="49" t="n"/>
      <c r="T367" s="49" t="n"/>
      <c r="U367" s="49" t="n"/>
      <c r="V367" s="49" t="n"/>
      <c r="W367" s="49" t="n"/>
    </row>
    <row r="368">
      <c r="B368" s="49" t="n"/>
      <c r="C368" s="49" t="n"/>
      <c r="D368" s="49" t="n"/>
      <c r="E368" s="49" t="n"/>
      <c r="F368" s="49" t="n"/>
      <c r="G368" s="49" t="n"/>
      <c r="H368" s="49" t="n"/>
      <c r="I368" s="49" t="n"/>
      <c r="J368" s="49" t="n"/>
      <c r="K368" s="49" t="n"/>
      <c r="L368" s="49" t="n"/>
      <c r="M368" s="49" t="n"/>
      <c r="N368" s="49" t="n"/>
      <c r="S368" s="49" t="n"/>
      <c r="T368" s="49" t="n"/>
      <c r="U368" s="49" t="n"/>
      <c r="V368" s="49" t="n"/>
      <c r="W368" s="49" t="n"/>
    </row>
    <row r="369">
      <c r="B369" s="49" t="n"/>
      <c r="C369" s="49" t="n"/>
      <c r="D369" s="49" t="n"/>
      <c r="E369" s="49" t="n"/>
      <c r="F369" s="49" t="n"/>
      <c r="G369" s="49" t="n"/>
      <c r="H369" s="49" t="n"/>
      <c r="I369" s="49" t="n"/>
      <c r="J369" s="49" t="n"/>
      <c r="K369" s="49" t="n"/>
      <c r="L369" s="49" t="n"/>
      <c r="M369" s="49" t="n"/>
      <c r="N369" s="49" t="n"/>
      <c r="S369" s="49" t="n"/>
      <c r="T369" s="49" t="n"/>
      <c r="U369" s="49" t="n"/>
      <c r="V369" s="49" t="n"/>
      <c r="W369" s="49" t="n"/>
    </row>
    <row r="370">
      <c r="B370" s="49" t="n"/>
      <c r="C370" s="49" t="n"/>
      <c r="D370" s="49" t="n"/>
      <c r="E370" s="49" t="n"/>
      <c r="F370" s="49" t="n"/>
      <c r="G370" s="49" t="n"/>
      <c r="H370" s="49" t="n"/>
      <c r="I370" s="49" t="n"/>
      <c r="J370" s="49" t="n"/>
      <c r="K370" s="49" t="n"/>
      <c r="L370" s="49" t="n"/>
      <c r="M370" s="49" t="n"/>
      <c r="N370" s="49" t="n"/>
      <c r="S370" s="49" t="n"/>
      <c r="T370" s="49" t="n"/>
      <c r="U370" s="49" t="n"/>
      <c r="V370" s="49" t="n"/>
      <c r="W370" s="49" t="n"/>
    </row>
    <row r="371">
      <c r="B371" s="49" t="n"/>
      <c r="C371" s="49" t="n"/>
      <c r="D371" s="49" t="n"/>
      <c r="E371" s="49" t="n"/>
      <c r="F371" s="49" t="n"/>
      <c r="G371" s="49" t="n"/>
      <c r="H371" s="49" t="n"/>
      <c r="I371" s="49" t="n"/>
      <c r="J371" s="49" t="n"/>
      <c r="K371" s="49" t="n"/>
      <c r="L371" s="49" t="n"/>
      <c r="M371" s="49" t="n"/>
      <c r="N371" s="49" t="n"/>
      <c r="S371" s="49" t="n"/>
      <c r="T371" s="49" t="n"/>
      <c r="U371" s="49" t="n"/>
      <c r="V371" s="49" t="n"/>
      <c r="W371" s="49" t="n"/>
    </row>
    <row r="372">
      <c r="B372" s="49" t="n"/>
      <c r="C372" s="49" t="n"/>
      <c r="D372" s="49" t="n"/>
      <c r="E372" s="49" t="n"/>
      <c r="F372" s="49" t="n"/>
      <c r="G372" s="49" t="n"/>
      <c r="H372" s="49" t="n"/>
      <c r="I372" s="49" t="n"/>
      <c r="J372" s="49" t="n"/>
      <c r="K372" s="49" t="n"/>
      <c r="L372" s="49" t="n"/>
      <c r="M372" s="49" t="n"/>
      <c r="N372" s="49" t="n"/>
      <c r="S372" s="49" t="n"/>
      <c r="T372" s="49" t="n"/>
      <c r="U372" s="49" t="n"/>
      <c r="V372" s="49" t="n"/>
      <c r="W372" s="49" t="n"/>
    </row>
    <row r="373">
      <c r="B373" s="49" t="n"/>
      <c r="C373" s="49" t="n"/>
      <c r="D373" s="49" t="n"/>
      <c r="E373" s="49" t="n"/>
      <c r="F373" s="49" t="n"/>
      <c r="G373" s="49" t="n"/>
      <c r="H373" s="49" t="n"/>
      <c r="I373" s="49" t="n"/>
      <c r="J373" s="49" t="n"/>
      <c r="K373" s="49" t="n"/>
      <c r="L373" s="49" t="n"/>
      <c r="M373" s="49" t="n"/>
      <c r="N373" s="49" t="n"/>
      <c r="S373" s="49" t="n"/>
      <c r="T373" s="49" t="n"/>
      <c r="U373" s="49" t="n"/>
      <c r="V373" s="49" t="n"/>
      <c r="W373" s="49" t="n"/>
    </row>
    <row r="374">
      <c r="B374" s="49" t="n"/>
      <c r="C374" s="49" t="n"/>
      <c r="D374" s="49" t="n"/>
      <c r="E374" s="49" t="n"/>
      <c r="F374" s="49" t="n"/>
      <c r="G374" s="49" t="n"/>
      <c r="H374" s="49" t="n"/>
      <c r="I374" s="49" t="n"/>
      <c r="J374" s="49" t="n"/>
      <c r="K374" s="49" t="n"/>
      <c r="L374" s="49" t="n"/>
      <c r="M374" s="49" t="n"/>
      <c r="N374" s="49" t="n"/>
      <c r="S374" s="49" t="n"/>
      <c r="T374" s="49" t="n"/>
      <c r="U374" s="49" t="n"/>
      <c r="V374" s="49" t="n"/>
      <c r="W374" s="49" t="n"/>
    </row>
    <row r="375">
      <c r="B375" s="49" t="n"/>
      <c r="C375" s="49" t="n"/>
      <c r="D375" s="49" t="n"/>
      <c r="E375" s="49" t="n"/>
      <c r="F375" s="49" t="n"/>
      <c r="G375" s="49" t="n"/>
      <c r="H375" s="49" t="n"/>
      <c r="I375" s="49" t="n"/>
      <c r="J375" s="49" t="n"/>
      <c r="K375" s="49" t="n"/>
      <c r="L375" s="49" t="n"/>
      <c r="M375" s="49" t="n"/>
      <c r="N375" s="49" t="n"/>
      <c r="S375" s="49" t="n"/>
      <c r="T375" s="49" t="n"/>
      <c r="U375" s="49" t="n"/>
      <c r="V375" s="49" t="n"/>
      <c r="W375" s="49" t="n"/>
    </row>
    <row r="376">
      <c r="B376" s="49" t="n"/>
      <c r="C376" s="49" t="n"/>
      <c r="D376" s="49" t="n"/>
      <c r="E376" s="49" t="n"/>
      <c r="F376" s="49" t="n"/>
      <c r="G376" s="49" t="n"/>
      <c r="H376" s="49" t="n"/>
      <c r="I376" s="49" t="n"/>
      <c r="J376" s="49" t="n"/>
      <c r="K376" s="49" t="n"/>
      <c r="L376" s="49" t="n"/>
      <c r="M376" s="49" t="n"/>
      <c r="N376" s="49" t="n"/>
      <c r="S376" s="49" t="n"/>
      <c r="T376" s="49" t="n"/>
      <c r="U376" s="49" t="n"/>
      <c r="V376" s="49" t="n"/>
      <c r="W376" s="49" t="n"/>
    </row>
    <row r="377">
      <c r="B377" s="49" t="n"/>
      <c r="C377" s="49" t="n"/>
      <c r="D377" s="49" t="n"/>
      <c r="E377" s="49" t="n"/>
      <c r="F377" s="49" t="n"/>
      <c r="G377" s="49" t="n"/>
      <c r="H377" s="49" t="n"/>
      <c r="I377" s="49" t="n"/>
      <c r="J377" s="49" t="n"/>
      <c r="K377" s="49" t="n"/>
      <c r="L377" s="49" t="n"/>
      <c r="M377" s="49" t="n"/>
      <c r="N377" s="49" t="n"/>
      <c r="S377" s="49" t="n"/>
      <c r="T377" s="49" t="n"/>
      <c r="U377" s="49" t="n"/>
      <c r="V377" s="49" t="n"/>
      <c r="W377" s="49" t="n"/>
    </row>
    <row r="378">
      <c r="B378" s="49" t="n"/>
      <c r="C378" s="49" t="n"/>
      <c r="D378" s="49" t="n"/>
      <c r="E378" s="49" t="n"/>
      <c r="F378" s="49" t="n"/>
      <c r="G378" s="49" t="n"/>
      <c r="H378" s="49" t="n"/>
      <c r="I378" s="49" t="n"/>
      <c r="J378" s="49" t="n"/>
      <c r="K378" s="49" t="n"/>
      <c r="L378" s="49" t="n"/>
      <c r="M378" s="49" t="n"/>
      <c r="N378" s="49" t="n"/>
      <c r="S378" s="49" t="n"/>
      <c r="T378" s="49" t="n"/>
      <c r="U378" s="49" t="n"/>
      <c r="V378" s="49" t="n"/>
      <c r="W378" s="49" t="n"/>
    </row>
    <row r="379">
      <c r="B379" s="49" t="n"/>
      <c r="C379" s="49" t="n"/>
      <c r="D379" s="49" t="n"/>
      <c r="E379" s="49" t="n"/>
      <c r="F379" s="49" t="n"/>
      <c r="G379" s="49" t="n"/>
      <c r="H379" s="49" t="n"/>
      <c r="I379" s="49" t="n"/>
      <c r="J379" s="49" t="n"/>
      <c r="K379" s="49" t="n"/>
      <c r="L379" s="49" t="n"/>
      <c r="M379" s="49" t="n"/>
      <c r="N379" s="49" t="n"/>
      <c r="S379" s="49" t="n"/>
      <c r="T379" s="49" t="n"/>
      <c r="U379" s="49" t="n"/>
      <c r="V379" s="49" t="n"/>
      <c r="W379" s="49" t="n"/>
    </row>
    <row r="380">
      <c r="B380" s="49" t="n"/>
      <c r="C380" s="49" t="n"/>
      <c r="D380" s="49" t="n"/>
      <c r="E380" s="49" t="n"/>
      <c r="F380" s="49" t="n"/>
      <c r="G380" s="49" t="n"/>
      <c r="H380" s="49" t="n"/>
      <c r="I380" s="49" t="n"/>
      <c r="J380" s="49" t="n"/>
      <c r="K380" s="49" t="n"/>
      <c r="L380" s="49" t="n"/>
      <c r="M380" s="49" t="n"/>
      <c r="N380" s="49" t="n"/>
      <c r="S380" s="49" t="n"/>
      <c r="T380" s="49" t="n"/>
      <c r="U380" s="49" t="n"/>
      <c r="V380" s="49" t="n"/>
      <c r="W380" s="49" t="n"/>
    </row>
    <row r="381">
      <c r="B381" s="49" t="n"/>
      <c r="C381" s="49" t="n"/>
      <c r="D381" s="49" t="n"/>
      <c r="E381" s="49" t="n"/>
      <c r="F381" s="49" t="n"/>
      <c r="G381" s="49" t="n"/>
      <c r="H381" s="49" t="n"/>
      <c r="I381" s="49" t="n"/>
      <c r="J381" s="49" t="n"/>
      <c r="K381" s="49" t="n"/>
      <c r="L381" s="49" t="n"/>
      <c r="M381" s="49" t="n"/>
      <c r="N381" s="49" t="n"/>
      <c r="S381" s="49" t="n"/>
      <c r="T381" s="49" t="n"/>
      <c r="U381" s="49" t="n"/>
      <c r="V381" s="49" t="n"/>
      <c r="W381" s="49" t="n"/>
    </row>
    <row r="382">
      <c r="B382" s="49" t="n"/>
      <c r="C382" s="49" t="n"/>
      <c r="D382" s="49" t="n"/>
      <c r="E382" s="49" t="n"/>
      <c r="F382" s="49" t="n"/>
      <c r="G382" s="49" t="n"/>
      <c r="H382" s="49" t="n"/>
      <c r="I382" s="49" t="n"/>
      <c r="J382" s="49" t="n"/>
      <c r="K382" s="49" t="n"/>
      <c r="L382" s="49" t="n"/>
      <c r="M382" s="49" t="n"/>
      <c r="N382" s="49" t="n"/>
      <c r="S382" s="49" t="n"/>
      <c r="T382" s="49" t="n"/>
      <c r="U382" s="49" t="n"/>
      <c r="V382" s="49" t="n"/>
      <c r="W382" s="49" t="n"/>
    </row>
    <row r="383">
      <c r="B383" s="49" t="n"/>
      <c r="C383" s="49" t="n"/>
      <c r="D383" s="49" t="n"/>
      <c r="E383" s="49" t="n"/>
      <c r="F383" s="49" t="n"/>
      <c r="G383" s="49" t="n"/>
      <c r="H383" s="49" t="n"/>
      <c r="I383" s="49" t="n"/>
      <c r="J383" s="49" t="n"/>
      <c r="K383" s="49" t="n"/>
      <c r="L383" s="49" t="n"/>
      <c r="M383" s="49" t="n"/>
      <c r="N383" s="49" t="n"/>
      <c r="S383" s="49" t="n"/>
      <c r="T383" s="49" t="n"/>
      <c r="U383" s="49" t="n"/>
      <c r="V383" s="49" t="n"/>
      <c r="W383" s="49" t="n"/>
    </row>
    <row r="384">
      <c r="B384" s="49" t="n"/>
      <c r="C384" s="49" t="n"/>
      <c r="D384" s="49" t="n"/>
      <c r="E384" s="49" t="n"/>
      <c r="F384" s="49" t="n"/>
      <c r="G384" s="49" t="n"/>
      <c r="H384" s="49" t="n"/>
      <c r="I384" s="49" t="n"/>
      <c r="J384" s="49" t="n"/>
      <c r="K384" s="49" t="n"/>
      <c r="L384" s="49" t="n"/>
      <c r="M384" s="49" t="n"/>
      <c r="N384" s="49" t="n"/>
      <c r="S384" s="49" t="n"/>
      <c r="T384" s="49" t="n"/>
      <c r="U384" s="49" t="n"/>
      <c r="V384" s="49" t="n"/>
      <c r="W384" s="49" t="n"/>
    </row>
    <row r="385">
      <c r="B385" s="49" t="n"/>
      <c r="C385" s="49" t="n"/>
      <c r="D385" s="49" t="n"/>
      <c r="E385" s="49" t="n"/>
      <c r="F385" s="49" t="n"/>
      <c r="G385" s="49" t="n"/>
      <c r="H385" s="49" t="n"/>
      <c r="I385" s="49" t="n"/>
      <c r="J385" s="49" t="n"/>
      <c r="K385" s="49" t="n"/>
      <c r="L385" s="49" t="n"/>
      <c r="M385" s="49" t="n"/>
      <c r="N385" s="49" t="n"/>
      <c r="S385" s="49" t="n"/>
      <c r="T385" s="49" t="n"/>
      <c r="U385" s="49" t="n"/>
      <c r="V385" s="49" t="n"/>
      <c r="W385" s="49" t="n"/>
    </row>
    <row r="386">
      <c r="B386" s="49" t="n"/>
      <c r="C386" s="49" t="n"/>
      <c r="D386" s="49" t="n"/>
      <c r="E386" s="49" t="n"/>
      <c r="F386" s="49" t="n"/>
      <c r="G386" s="49" t="n"/>
      <c r="H386" s="49" t="n"/>
      <c r="I386" s="49" t="n"/>
      <c r="J386" s="49" t="n"/>
      <c r="K386" s="49" t="n"/>
      <c r="L386" s="49" t="n"/>
      <c r="M386" s="49" t="n"/>
      <c r="N386" s="49" t="n"/>
      <c r="S386" s="49" t="n"/>
      <c r="T386" s="49" t="n"/>
      <c r="U386" s="49" t="n"/>
      <c r="V386" s="49" t="n"/>
      <c r="W386" s="49" t="n"/>
    </row>
    <row r="387">
      <c r="B387" s="49" t="n"/>
      <c r="C387" s="49" t="n"/>
      <c r="D387" s="49" t="n"/>
      <c r="E387" s="49" t="n"/>
      <c r="F387" s="49" t="n"/>
      <c r="G387" s="49" t="n"/>
      <c r="H387" s="49" t="n"/>
      <c r="I387" s="49" t="n"/>
      <c r="J387" s="49" t="n"/>
      <c r="K387" s="49" t="n"/>
      <c r="L387" s="49" t="n"/>
      <c r="M387" s="49" t="n"/>
      <c r="N387" s="49" t="n"/>
      <c r="S387" s="49" t="n"/>
      <c r="T387" s="49" t="n"/>
      <c r="U387" s="49" t="n"/>
      <c r="V387" s="49" t="n"/>
      <c r="W387" s="49" t="n"/>
    </row>
    <row r="388">
      <c r="B388" s="49" t="n"/>
      <c r="C388" s="49" t="n"/>
      <c r="D388" s="49" t="n"/>
      <c r="E388" s="49" t="n"/>
      <c r="F388" s="49" t="n"/>
      <c r="G388" s="49" t="n"/>
      <c r="H388" s="49" t="n"/>
      <c r="I388" s="49" t="n"/>
      <c r="J388" s="49" t="n"/>
      <c r="K388" s="49" t="n"/>
      <c r="L388" s="49" t="n"/>
      <c r="M388" s="49" t="n"/>
      <c r="N388" s="49" t="n"/>
      <c r="S388" s="49" t="n"/>
      <c r="T388" s="49" t="n"/>
      <c r="U388" s="49" t="n"/>
      <c r="V388" s="49" t="n"/>
      <c r="W388" s="49" t="n"/>
    </row>
    <row r="389">
      <c r="B389" s="49" t="n"/>
      <c r="C389" s="49" t="n"/>
      <c r="D389" s="49" t="n"/>
      <c r="E389" s="49" t="n"/>
      <c r="F389" s="49" t="n"/>
      <c r="G389" s="49" t="n"/>
      <c r="H389" s="49" t="n"/>
      <c r="I389" s="49" t="n"/>
      <c r="J389" s="49" t="n"/>
      <c r="K389" s="49" t="n"/>
      <c r="L389" s="49" t="n"/>
      <c r="M389" s="49" t="n"/>
      <c r="N389" s="49" t="n"/>
      <c r="S389" s="49" t="n"/>
      <c r="T389" s="49" t="n"/>
      <c r="U389" s="49" t="n"/>
      <c r="V389" s="49" t="n"/>
      <c r="W389" s="49" t="n"/>
    </row>
    <row r="390">
      <c r="B390" s="49" t="n"/>
      <c r="C390" s="49" t="n"/>
      <c r="D390" s="49" t="n"/>
      <c r="E390" s="49" t="n"/>
      <c r="F390" s="49" t="n"/>
      <c r="G390" s="49" t="n"/>
      <c r="H390" s="49" t="n"/>
      <c r="I390" s="49" t="n"/>
      <c r="J390" s="49" t="n"/>
      <c r="K390" s="49" t="n"/>
      <c r="L390" s="49" t="n"/>
      <c r="M390" s="49" t="n"/>
      <c r="N390" s="49" t="n"/>
      <c r="S390" s="49" t="n"/>
      <c r="T390" s="49" t="n"/>
      <c r="U390" s="49" t="n"/>
      <c r="V390" s="49" t="n"/>
      <c r="W390" s="49" t="n"/>
    </row>
    <row r="391">
      <c r="B391" s="49" t="n"/>
      <c r="C391" s="49" t="n"/>
      <c r="D391" s="49" t="n"/>
      <c r="E391" s="49" t="n"/>
      <c r="F391" s="49" t="n"/>
      <c r="G391" s="49" t="n"/>
      <c r="H391" s="49" t="n"/>
      <c r="I391" s="49" t="n"/>
      <c r="J391" s="49" t="n"/>
      <c r="K391" s="49" t="n"/>
      <c r="L391" s="49" t="n"/>
      <c r="M391" s="49" t="n"/>
      <c r="N391" s="49" t="n"/>
      <c r="S391" s="49" t="n"/>
      <c r="T391" s="49" t="n"/>
      <c r="U391" s="49" t="n"/>
      <c r="V391" s="49" t="n"/>
      <c r="W391" s="49" t="n"/>
    </row>
    <row r="392">
      <c r="B392" s="49" t="n"/>
      <c r="C392" s="49" t="n"/>
      <c r="D392" s="49" t="n"/>
      <c r="E392" s="49" t="n"/>
      <c r="F392" s="49" t="n"/>
      <c r="G392" s="49" t="n"/>
      <c r="H392" s="49" t="n"/>
      <c r="I392" s="49" t="n"/>
      <c r="J392" s="49" t="n"/>
      <c r="K392" s="49" t="n"/>
      <c r="L392" s="49" t="n"/>
      <c r="M392" s="49" t="n"/>
      <c r="N392" s="49" t="n"/>
      <c r="S392" s="49" t="n"/>
      <c r="T392" s="49" t="n"/>
      <c r="U392" s="49" t="n"/>
      <c r="V392" s="49" t="n"/>
      <c r="W392" s="49" t="n"/>
    </row>
    <row r="393">
      <c r="B393" s="49" t="n"/>
      <c r="C393" s="49" t="n"/>
      <c r="D393" s="49" t="n"/>
      <c r="E393" s="49" t="n"/>
      <c r="F393" s="49" t="n"/>
      <c r="G393" s="49" t="n"/>
      <c r="H393" s="49" t="n"/>
      <c r="I393" s="49" t="n"/>
      <c r="J393" s="49" t="n"/>
      <c r="K393" s="49" t="n"/>
      <c r="L393" s="49" t="n"/>
      <c r="M393" s="49" t="n"/>
      <c r="N393" s="49" t="n"/>
      <c r="S393" s="49" t="n"/>
      <c r="T393" s="49" t="n"/>
      <c r="U393" s="49" t="n"/>
      <c r="V393" s="49" t="n"/>
      <c r="W393" s="49" t="n"/>
    </row>
    <row r="394">
      <c r="B394" s="49" t="n"/>
      <c r="C394" s="49" t="n"/>
      <c r="D394" s="49" t="n"/>
      <c r="E394" s="49" t="n"/>
      <c r="F394" s="49" t="n"/>
      <c r="G394" s="49" t="n"/>
      <c r="H394" s="49" t="n"/>
      <c r="I394" s="49" t="n"/>
      <c r="J394" s="49" t="n"/>
      <c r="K394" s="49" t="n"/>
      <c r="L394" s="49" t="n"/>
      <c r="M394" s="49" t="n"/>
      <c r="N394" s="49" t="n"/>
      <c r="S394" s="49" t="n"/>
      <c r="T394" s="49" t="n"/>
      <c r="U394" s="49" t="n"/>
      <c r="V394" s="49" t="n"/>
      <c r="W394" s="49" t="n"/>
    </row>
    <row r="395">
      <c r="B395" s="49" t="n"/>
      <c r="C395" s="49" t="n"/>
      <c r="D395" s="49" t="n"/>
      <c r="E395" s="49" t="n"/>
      <c r="F395" s="49" t="n"/>
      <c r="G395" s="49" t="n"/>
      <c r="H395" s="49" t="n"/>
      <c r="I395" s="49" t="n"/>
      <c r="J395" s="49" t="n"/>
      <c r="K395" s="49" t="n"/>
      <c r="L395" s="49" t="n"/>
      <c r="M395" s="49" t="n"/>
      <c r="N395" s="49" t="n"/>
      <c r="S395" s="49" t="n"/>
      <c r="T395" s="49" t="n"/>
      <c r="U395" s="49" t="n"/>
      <c r="V395" s="49" t="n"/>
      <c r="W395" s="49" t="n"/>
    </row>
    <row r="396">
      <c r="B396" s="49" t="n"/>
      <c r="C396" s="49" t="n"/>
      <c r="D396" s="49" t="n"/>
      <c r="E396" s="49" t="n"/>
      <c r="F396" s="49" t="n"/>
      <c r="G396" s="49" t="n"/>
      <c r="H396" s="49" t="n"/>
      <c r="I396" s="49" t="n"/>
      <c r="J396" s="49" t="n"/>
      <c r="K396" s="49" t="n"/>
      <c r="L396" s="49" t="n"/>
      <c r="M396" s="49" t="n"/>
      <c r="N396" s="49" t="n"/>
      <c r="S396" s="49" t="n"/>
      <c r="T396" s="49" t="n"/>
      <c r="U396" s="49" t="n"/>
      <c r="V396" s="49" t="n"/>
      <c r="W396" s="49" t="n"/>
    </row>
    <row r="397">
      <c r="B397" s="49" t="n"/>
      <c r="C397" s="49" t="n"/>
      <c r="D397" s="49" t="n"/>
      <c r="E397" s="49" t="n"/>
      <c r="F397" s="49" t="n"/>
      <c r="G397" s="49" t="n"/>
      <c r="H397" s="49" t="n"/>
      <c r="I397" s="49" t="n"/>
      <c r="J397" s="49" t="n"/>
      <c r="K397" s="49" t="n"/>
      <c r="L397" s="49" t="n"/>
      <c r="M397" s="49" t="n"/>
      <c r="N397" s="49" t="n"/>
      <c r="S397" s="49" t="n"/>
      <c r="T397" s="49" t="n"/>
      <c r="U397" s="49" t="n"/>
      <c r="V397" s="49" t="n"/>
      <c r="W397" s="49" t="n"/>
    </row>
    <row r="398">
      <c r="B398" s="49" t="n"/>
      <c r="C398" s="49" t="n"/>
      <c r="D398" s="49" t="n"/>
      <c r="E398" s="49" t="n"/>
      <c r="F398" s="49" t="n"/>
      <c r="G398" s="49" t="n"/>
      <c r="H398" s="49" t="n"/>
      <c r="I398" s="49" t="n"/>
      <c r="J398" s="49" t="n"/>
      <c r="K398" s="49" t="n"/>
      <c r="L398" s="49" t="n"/>
      <c r="M398" s="49" t="n"/>
      <c r="N398" s="49" t="n"/>
      <c r="S398" s="49" t="n"/>
      <c r="T398" s="49" t="n"/>
      <c r="U398" s="49" t="n"/>
      <c r="V398" s="49" t="n"/>
      <c r="W398" s="49" t="n"/>
    </row>
    <row r="399">
      <c r="B399" s="49" t="n"/>
      <c r="C399" s="49" t="n"/>
      <c r="D399" s="49" t="n"/>
      <c r="E399" s="49" t="n"/>
      <c r="F399" s="49" t="n"/>
      <c r="G399" s="49" t="n"/>
      <c r="H399" s="49" t="n"/>
      <c r="I399" s="49" t="n"/>
      <c r="J399" s="49" t="n"/>
      <c r="K399" s="49" t="n"/>
      <c r="L399" s="49" t="n"/>
      <c r="M399" s="49" t="n"/>
      <c r="N399" s="49" t="n"/>
      <c r="S399" s="49" t="n"/>
      <c r="T399" s="49" t="n"/>
      <c r="U399" s="49" t="n"/>
      <c r="V399" s="49" t="n"/>
      <c r="W399" s="49" t="n"/>
    </row>
    <row r="400">
      <c r="B400" s="49" t="n"/>
      <c r="C400" s="49" t="n"/>
      <c r="D400" s="49" t="n"/>
      <c r="E400" s="49" t="n"/>
      <c r="F400" s="49" t="n"/>
      <c r="G400" s="49" t="n"/>
      <c r="H400" s="49" t="n"/>
      <c r="I400" s="49" t="n"/>
      <c r="J400" s="49" t="n"/>
      <c r="K400" s="49" t="n"/>
      <c r="L400" s="49" t="n"/>
      <c r="M400" s="49" t="n"/>
      <c r="N400" s="49" t="n"/>
      <c r="S400" s="49" t="n"/>
      <c r="T400" s="49" t="n"/>
      <c r="U400" s="49" t="n"/>
      <c r="V400" s="49" t="n"/>
      <c r="W400" s="49" t="n"/>
    </row>
    <row r="401">
      <c r="B401" s="49" t="n"/>
      <c r="C401" s="49" t="n"/>
      <c r="D401" s="49" t="n"/>
      <c r="E401" s="49" t="n"/>
      <c r="F401" s="49" t="n"/>
      <c r="G401" s="49" t="n"/>
      <c r="H401" s="49" t="n"/>
      <c r="I401" s="49" t="n"/>
      <c r="J401" s="49" t="n"/>
      <c r="K401" s="49" t="n"/>
      <c r="L401" s="49" t="n"/>
      <c r="M401" s="49" t="n"/>
      <c r="N401" s="49" t="n"/>
      <c r="S401" s="49" t="n"/>
      <c r="T401" s="49" t="n"/>
      <c r="U401" s="49" t="n"/>
      <c r="V401" s="49" t="n"/>
      <c r="W401" s="49" t="n"/>
    </row>
    <row r="402">
      <c r="B402" s="49" t="n"/>
      <c r="C402" s="49" t="n"/>
      <c r="D402" s="49" t="n"/>
      <c r="E402" s="49" t="n"/>
      <c r="F402" s="49" t="n"/>
      <c r="G402" s="49" t="n"/>
      <c r="H402" s="49" t="n"/>
      <c r="I402" s="49" t="n"/>
      <c r="J402" s="49" t="n"/>
      <c r="K402" s="49" t="n"/>
      <c r="L402" s="49" t="n"/>
      <c r="M402" s="49" t="n"/>
      <c r="N402" s="49" t="n"/>
      <c r="S402" s="49" t="n"/>
      <c r="T402" s="49" t="n"/>
      <c r="U402" s="49" t="n"/>
      <c r="V402" s="49" t="n"/>
      <c r="W402" s="49" t="n"/>
    </row>
    <row r="403">
      <c r="B403" s="49" t="n"/>
      <c r="C403" s="49" t="n"/>
      <c r="D403" s="49" t="n"/>
      <c r="E403" s="49" t="n"/>
      <c r="F403" s="49" t="n"/>
      <c r="G403" s="49" t="n"/>
      <c r="H403" s="49" t="n"/>
      <c r="I403" s="49" t="n"/>
      <c r="J403" s="49" t="n"/>
      <c r="K403" s="49" t="n"/>
      <c r="L403" s="49" t="n"/>
      <c r="M403" s="49" t="n"/>
      <c r="N403" s="49" t="n"/>
      <c r="S403" s="49" t="n"/>
      <c r="T403" s="49" t="n"/>
      <c r="U403" s="49" t="n"/>
      <c r="V403" s="49" t="n"/>
      <c r="W403" s="49" t="n"/>
    </row>
    <row r="404">
      <c r="B404" s="49" t="n"/>
      <c r="C404" s="49" t="n"/>
      <c r="D404" s="49" t="n"/>
      <c r="E404" s="49" t="n"/>
      <c r="F404" s="49" t="n"/>
      <c r="G404" s="49" t="n"/>
      <c r="H404" s="49" t="n"/>
      <c r="I404" s="49" t="n"/>
      <c r="J404" s="49" t="n"/>
      <c r="K404" s="49" t="n"/>
      <c r="L404" s="49" t="n"/>
      <c r="M404" s="49" t="n"/>
      <c r="N404" s="49" t="n"/>
      <c r="S404" s="49" t="n"/>
      <c r="T404" s="49" t="n"/>
      <c r="U404" s="49" t="n"/>
      <c r="V404" s="49" t="n"/>
      <c r="W404" s="49" t="n"/>
    </row>
    <row r="405">
      <c r="B405" s="49" t="n"/>
      <c r="C405" s="49" t="n"/>
      <c r="D405" s="49" t="n"/>
      <c r="E405" s="49" t="n"/>
      <c r="F405" s="49" t="n"/>
      <c r="G405" s="49" t="n"/>
      <c r="H405" s="49" t="n"/>
      <c r="I405" s="49" t="n"/>
      <c r="J405" s="49" t="n"/>
      <c r="K405" s="49" t="n"/>
      <c r="L405" s="49" t="n"/>
      <c r="M405" s="49" t="n"/>
      <c r="N405" s="49" t="n"/>
      <c r="S405" s="49" t="n"/>
      <c r="T405" s="49" t="n"/>
      <c r="U405" s="49" t="n"/>
      <c r="V405" s="49" t="n"/>
      <c r="W405" s="49" t="n"/>
    </row>
    <row r="406">
      <c r="B406" s="49" t="n"/>
      <c r="C406" s="49" t="n"/>
      <c r="D406" s="49" t="n"/>
      <c r="E406" s="49" t="n"/>
      <c r="F406" s="49" t="n"/>
      <c r="G406" s="49" t="n"/>
      <c r="H406" s="49" t="n"/>
      <c r="I406" s="49" t="n"/>
      <c r="J406" s="49" t="n"/>
      <c r="K406" s="49" t="n"/>
      <c r="L406" s="49" t="n"/>
      <c r="M406" s="49" t="n"/>
      <c r="N406" s="49" t="n"/>
      <c r="S406" s="49" t="n"/>
      <c r="T406" s="49" t="n"/>
      <c r="U406" s="49" t="n"/>
      <c r="V406" s="49" t="n"/>
      <c r="W406" s="49" t="n"/>
    </row>
    <row r="407">
      <c r="B407" s="49" t="n"/>
      <c r="C407" s="49" t="n"/>
      <c r="D407" s="49" t="n"/>
      <c r="E407" s="49" t="n"/>
      <c r="F407" s="49" t="n"/>
      <c r="G407" s="49" t="n"/>
      <c r="H407" s="49" t="n"/>
      <c r="I407" s="49" t="n"/>
      <c r="J407" s="49" t="n"/>
      <c r="K407" s="49" t="n"/>
      <c r="L407" s="49" t="n"/>
      <c r="M407" s="49" t="n"/>
      <c r="N407" s="49" t="n"/>
      <c r="S407" s="49" t="n"/>
      <c r="T407" s="49" t="n"/>
      <c r="U407" s="49" t="n"/>
      <c r="V407" s="49" t="n"/>
      <c r="W407" s="49" t="n"/>
    </row>
    <row r="408">
      <c r="B408" s="49" t="n"/>
      <c r="C408" s="49" t="n"/>
      <c r="D408" s="49" t="n"/>
      <c r="E408" s="49" t="n"/>
      <c r="F408" s="49" t="n"/>
      <c r="G408" s="49" t="n"/>
      <c r="H408" s="49" t="n"/>
      <c r="I408" s="49" t="n"/>
      <c r="J408" s="49" t="n"/>
      <c r="K408" s="49" t="n"/>
      <c r="L408" s="49" t="n"/>
      <c r="M408" s="49" t="n"/>
      <c r="N408" s="49" t="n"/>
      <c r="S408" s="49" t="n"/>
      <c r="T408" s="49" t="n"/>
      <c r="U408" s="49" t="n"/>
      <c r="V408" s="49" t="n"/>
      <c r="W408" s="49" t="n"/>
    </row>
    <row r="409">
      <c r="B409" s="49" t="n"/>
      <c r="C409" s="49" t="n"/>
      <c r="D409" s="49" t="n"/>
      <c r="E409" s="49" t="n"/>
      <c r="F409" s="49" t="n"/>
      <c r="G409" s="49" t="n"/>
      <c r="H409" s="49" t="n"/>
      <c r="I409" s="49" t="n"/>
      <c r="J409" s="49" t="n"/>
      <c r="K409" s="49" t="n"/>
      <c r="L409" s="49" t="n"/>
      <c r="M409" s="49" t="n"/>
      <c r="N409" s="49" t="n"/>
      <c r="S409" s="49" t="n"/>
      <c r="T409" s="49" t="n"/>
      <c r="U409" s="49" t="n"/>
      <c r="V409" s="49" t="n"/>
      <c r="W409" s="49" t="n"/>
    </row>
    <row r="410">
      <c r="B410" s="49" t="n"/>
      <c r="C410" s="49" t="n"/>
      <c r="D410" s="49" t="n"/>
      <c r="E410" s="49" t="n"/>
      <c r="F410" s="49" t="n"/>
      <c r="G410" s="49" t="n"/>
      <c r="H410" s="49" t="n"/>
      <c r="I410" s="49" t="n"/>
      <c r="J410" s="49" t="n"/>
      <c r="K410" s="49" t="n"/>
      <c r="L410" s="49" t="n"/>
      <c r="M410" s="49" t="n"/>
      <c r="N410" s="49" t="n"/>
      <c r="S410" s="49" t="n"/>
      <c r="T410" s="49" t="n"/>
      <c r="U410" s="49" t="n"/>
      <c r="V410" s="49" t="n"/>
      <c r="W410" s="49" t="n"/>
    </row>
    <row r="411">
      <c r="B411" s="49" t="n"/>
      <c r="C411" s="49" t="n"/>
      <c r="D411" s="49" t="n"/>
      <c r="E411" s="49" t="n"/>
      <c r="F411" s="49" t="n"/>
      <c r="G411" s="49" t="n"/>
      <c r="H411" s="49" t="n"/>
      <c r="I411" s="49" t="n"/>
      <c r="J411" s="49" t="n"/>
      <c r="K411" s="49" t="n"/>
      <c r="L411" s="49" t="n"/>
      <c r="M411" s="49" t="n"/>
      <c r="N411" s="49" t="n"/>
      <c r="S411" s="49" t="n"/>
      <c r="T411" s="49" t="n"/>
      <c r="U411" s="49" t="n"/>
      <c r="V411" s="49" t="n"/>
      <c r="W411" s="49" t="n"/>
    </row>
    <row r="412">
      <c r="B412" s="49" t="n"/>
      <c r="C412" s="49" t="n"/>
      <c r="D412" s="49" t="n"/>
      <c r="E412" s="49" t="n"/>
      <c r="F412" s="49" t="n"/>
      <c r="G412" s="49" t="n"/>
      <c r="H412" s="49" t="n"/>
      <c r="I412" s="49" t="n"/>
      <c r="J412" s="49" t="n"/>
      <c r="K412" s="49" t="n"/>
      <c r="L412" s="49" t="n"/>
      <c r="M412" s="49" t="n"/>
      <c r="N412" s="49" t="n"/>
      <c r="S412" s="49" t="n"/>
      <c r="T412" s="49" t="n"/>
      <c r="U412" s="49" t="n"/>
      <c r="V412" s="49" t="n"/>
      <c r="W412" s="49" t="n"/>
    </row>
    <row r="413">
      <c r="B413" s="49" t="n"/>
      <c r="C413" s="49" t="n"/>
      <c r="D413" s="49" t="n"/>
      <c r="E413" s="49" t="n"/>
      <c r="F413" s="49" t="n"/>
      <c r="G413" s="49" t="n"/>
      <c r="H413" s="49" t="n"/>
      <c r="I413" s="49" t="n"/>
      <c r="J413" s="49" t="n"/>
      <c r="K413" s="49" t="n"/>
      <c r="L413" s="49" t="n"/>
      <c r="M413" s="49" t="n"/>
      <c r="N413" s="49" t="n"/>
      <c r="S413" s="49" t="n"/>
      <c r="T413" s="49" t="n"/>
      <c r="U413" s="49" t="n"/>
      <c r="V413" s="49" t="n"/>
      <c r="W413" s="49" t="n"/>
    </row>
    <row r="414">
      <c r="B414" s="49" t="n"/>
      <c r="C414" s="49" t="n"/>
      <c r="D414" s="49" t="n"/>
      <c r="E414" s="49" t="n"/>
      <c r="F414" s="49" t="n"/>
      <c r="G414" s="49" t="n"/>
      <c r="H414" s="49" t="n"/>
      <c r="I414" s="49" t="n"/>
      <c r="J414" s="49" t="n"/>
      <c r="K414" s="49" t="n"/>
      <c r="L414" s="49" t="n"/>
      <c r="M414" s="49" t="n"/>
      <c r="N414" s="49" t="n"/>
      <c r="S414" s="49" t="n"/>
      <c r="T414" s="49" t="n"/>
      <c r="U414" s="49" t="n"/>
      <c r="V414" s="49" t="n"/>
      <c r="W414" s="49" t="n"/>
    </row>
    <row r="415">
      <c r="B415" s="49" t="n"/>
      <c r="C415" s="49" t="n"/>
      <c r="D415" s="49" t="n"/>
      <c r="E415" s="49" t="n"/>
      <c r="F415" s="49" t="n"/>
      <c r="G415" s="49" t="n"/>
      <c r="H415" s="49" t="n"/>
      <c r="I415" s="49" t="n"/>
      <c r="J415" s="49" t="n"/>
      <c r="K415" s="49" t="n"/>
      <c r="L415" s="49" t="n"/>
      <c r="M415" s="49" t="n"/>
      <c r="N415" s="49" t="n"/>
      <c r="S415" s="49" t="n"/>
      <c r="T415" s="49" t="n"/>
      <c r="U415" s="49" t="n"/>
      <c r="V415" s="49" t="n"/>
      <c r="W415" s="49" t="n"/>
    </row>
    <row r="416">
      <c r="B416" s="49" t="n"/>
      <c r="C416" s="49" t="n"/>
      <c r="D416" s="49" t="n"/>
      <c r="E416" s="49" t="n"/>
      <c r="F416" s="49" t="n"/>
      <c r="G416" s="49" t="n"/>
      <c r="H416" s="49" t="n"/>
      <c r="I416" s="49" t="n"/>
      <c r="J416" s="49" t="n"/>
      <c r="K416" s="49" t="n"/>
      <c r="L416" s="49" t="n"/>
      <c r="M416" s="49" t="n"/>
      <c r="N416" s="49" t="n"/>
      <c r="S416" s="49" t="n"/>
      <c r="T416" s="49" t="n"/>
      <c r="U416" s="49" t="n"/>
      <c r="V416" s="49" t="n"/>
      <c r="W416" s="49" t="n"/>
    </row>
    <row r="417">
      <c r="B417" s="49" t="n"/>
      <c r="C417" s="49" t="n"/>
      <c r="D417" s="49" t="n"/>
      <c r="E417" s="49" t="n"/>
      <c r="F417" s="49" t="n"/>
      <c r="G417" s="49" t="n"/>
      <c r="H417" s="49" t="n"/>
      <c r="I417" s="49" t="n"/>
      <c r="J417" s="49" t="n"/>
      <c r="K417" s="49" t="n"/>
      <c r="L417" s="49" t="n"/>
      <c r="M417" s="49" t="n"/>
      <c r="N417" s="49" t="n"/>
      <c r="S417" s="49" t="n"/>
      <c r="T417" s="49" t="n"/>
      <c r="U417" s="49" t="n"/>
      <c r="V417" s="49" t="n"/>
      <c r="W417" s="49" t="n"/>
    </row>
    <row r="418">
      <c r="B418" s="49" t="n"/>
      <c r="C418" s="49" t="n"/>
      <c r="D418" s="49" t="n"/>
      <c r="E418" s="49" t="n"/>
      <c r="F418" s="49" t="n"/>
      <c r="G418" s="49" t="n"/>
      <c r="H418" s="49" t="n"/>
      <c r="I418" s="49" t="n"/>
      <c r="J418" s="49" t="n"/>
      <c r="K418" s="49" t="n"/>
      <c r="L418" s="49" t="n"/>
      <c r="M418" s="49" t="n"/>
      <c r="N418" s="49" t="n"/>
      <c r="S418" s="49" t="n"/>
      <c r="T418" s="49" t="n"/>
      <c r="U418" s="49" t="n"/>
      <c r="V418" s="49" t="n"/>
      <c r="W418" s="49" t="n"/>
    </row>
    <row r="419">
      <c r="B419" s="49" t="n"/>
      <c r="C419" s="49" t="n"/>
      <c r="D419" s="49" t="n"/>
      <c r="E419" s="49" t="n"/>
      <c r="F419" s="49" t="n"/>
      <c r="G419" s="49" t="n"/>
      <c r="H419" s="49" t="n"/>
      <c r="I419" s="49" t="n"/>
      <c r="J419" s="49" t="n"/>
      <c r="K419" s="49" t="n"/>
      <c r="L419" s="49" t="n"/>
      <c r="M419" s="49" t="n"/>
      <c r="N419" s="49" t="n"/>
      <c r="S419" s="49" t="n"/>
      <c r="T419" s="49" t="n"/>
      <c r="U419" s="49" t="n"/>
      <c r="V419" s="49" t="n"/>
      <c r="W419" s="49" t="n"/>
    </row>
    <row r="420">
      <c r="B420" s="49" t="n"/>
      <c r="C420" s="49" t="n"/>
      <c r="D420" s="49" t="n"/>
      <c r="E420" s="49" t="n"/>
      <c r="F420" s="49" t="n"/>
      <c r="G420" s="49" t="n"/>
      <c r="H420" s="49" t="n"/>
      <c r="I420" s="49" t="n"/>
      <c r="J420" s="49" t="n"/>
      <c r="K420" s="49" t="n"/>
      <c r="L420" s="49" t="n"/>
      <c r="M420" s="49" t="n"/>
      <c r="N420" s="49" t="n"/>
      <c r="S420" s="49" t="n"/>
      <c r="T420" s="49" t="n"/>
      <c r="U420" s="49" t="n"/>
      <c r="V420" s="49" t="n"/>
      <c r="W420" s="49" t="n"/>
    </row>
    <row r="421">
      <c r="B421" s="49" t="n"/>
      <c r="C421" s="49" t="n"/>
      <c r="D421" s="49" t="n"/>
      <c r="E421" s="49" t="n"/>
      <c r="F421" s="49" t="n"/>
      <c r="G421" s="49" t="n"/>
      <c r="H421" s="49" t="n"/>
      <c r="I421" s="49" t="n"/>
      <c r="J421" s="49" t="n"/>
      <c r="K421" s="49" t="n"/>
      <c r="L421" s="49" t="n"/>
      <c r="M421" s="49" t="n"/>
      <c r="N421" s="49" t="n"/>
      <c r="S421" s="49" t="n"/>
      <c r="T421" s="49" t="n"/>
      <c r="U421" s="49" t="n"/>
      <c r="V421" s="49" t="n"/>
      <c r="W421" s="49" t="n"/>
    </row>
    <row r="422">
      <c r="B422" s="49" t="n"/>
      <c r="C422" s="49" t="n"/>
      <c r="D422" s="49" t="n"/>
      <c r="E422" s="49" t="n"/>
      <c r="F422" s="49" t="n"/>
      <c r="G422" s="49" t="n"/>
      <c r="H422" s="49" t="n"/>
      <c r="I422" s="49" t="n"/>
      <c r="J422" s="49" t="n"/>
      <c r="K422" s="49" t="n"/>
      <c r="L422" s="49" t="n"/>
      <c r="M422" s="49" t="n"/>
      <c r="N422" s="49" t="n"/>
      <c r="S422" s="49" t="n"/>
      <c r="T422" s="49" t="n"/>
      <c r="U422" s="49" t="n"/>
      <c r="V422" s="49" t="n"/>
      <c r="W422" s="49" t="n"/>
    </row>
    <row r="423">
      <c r="B423" s="49" t="n"/>
      <c r="C423" s="49" t="n"/>
      <c r="D423" s="49" t="n"/>
      <c r="E423" s="49" t="n"/>
      <c r="F423" s="49" t="n"/>
      <c r="G423" s="49" t="n"/>
      <c r="H423" s="49" t="n"/>
      <c r="I423" s="49" t="n"/>
      <c r="J423" s="49" t="n"/>
      <c r="K423" s="49" t="n"/>
      <c r="L423" s="49" t="n"/>
      <c r="M423" s="49" t="n"/>
      <c r="N423" s="49" t="n"/>
      <c r="S423" s="49" t="n"/>
      <c r="T423" s="49" t="n"/>
      <c r="U423" s="49" t="n"/>
      <c r="V423" s="49" t="n"/>
      <c r="W423" s="49" t="n"/>
    </row>
    <row r="424">
      <c r="B424" s="49" t="n"/>
      <c r="C424" s="49" t="n"/>
      <c r="D424" s="49" t="n"/>
      <c r="E424" s="49" t="n"/>
      <c r="F424" s="49" t="n"/>
      <c r="G424" s="49" t="n"/>
      <c r="H424" s="49" t="n"/>
      <c r="I424" s="49" t="n"/>
      <c r="J424" s="49" t="n"/>
      <c r="K424" s="49" t="n"/>
      <c r="L424" s="49" t="n"/>
      <c r="M424" s="49" t="n"/>
      <c r="N424" s="49" t="n"/>
      <c r="S424" s="49" t="n"/>
      <c r="T424" s="49" t="n"/>
      <c r="U424" s="49" t="n"/>
      <c r="V424" s="49" t="n"/>
      <c r="W424" s="49" t="n"/>
    </row>
    <row r="425">
      <c r="B425" s="49" t="n"/>
      <c r="C425" s="49" t="n"/>
      <c r="D425" s="49" t="n"/>
      <c r="E425" s="49" t="n"/>
      <c r="F425" s="49" t="n"/>
      <c r="G425" s="49" t="n"/>
      <c r="H425" s="49" t="n"/>
      <c r="I425" s="49" t="n"/>
      <c r="J425" s="49" t="n"/>
      <c r="K425" s="49" t="n"/>
      <c r="L425" s="49" t="n"/>
      <c r="M425" s="49" t="n"/>
      <c r="N425" s="49" t="n"/>
      <c r="S425" s="49" t="n"/>
      <c r="T425" s="49" t="n"/>
      <c r="U425" s="49" t="n"/>
      <c r="V425" s="49" t="n"/>
      <c r="W425" s="49" t="n"/>
    </row>
    <row r="426">
      <c r="B426" s="49" t="n"/>
      <c r="C426" s="49" t="n"/>
      <c r="D426" s="49" t="n"/>
      <c r="E426" s="49" t="n"/>
      <c r="F426" s="49" t="n"/>
      <c r="G426" s="49" t="n"/>
      <c r="H426" s="49" t="n"/>
      <c r="I426" s="49" t="n"/>
      <c r="J426" s="49" t="n"/>
      <c r="K426" s="49" t="n"/>
      <c r="L426" s="49" t="n"/>
      <c r="M426" s="49" t="n"/>
      <c r="N426" s="49" t="n"/>
      <c r="S426" s="49" t="n"/>
      <c r="T426" s="49" t="n"/>
      <c r="U426" s="49" t="n"/>
      <c r="V426" s="49" t="n"/>
      <c r="W426" s="49" t="n"/>
    </row>
    <row r="427">
      <c r="B427" s="49" t="n"/>
      <c r="C427" s="49" t="n"/>
      <c r="D427" s="49" t="n"/>
      <c r="E427" s="49" t="n"/>
      <c r="F427" s="49" t="n"/>
      <c r="G427" s="49" t="n"/>
      <c r="H427" s="49" t="n"/>
      <c r="I427" s="49" t="n"/>
      <c r="J427" s="49" t="n"/>
      <c r="K427" s="49" t="n"/>
      <c r="L427" s="49" t="n"/>
      <c r="M427" s="49" t="n"/>
      <c r="N427" s="49" t="n"/>
      <c r="S427" s="49" t="n"/>
      <c r="T427" s="49" t="n"/>
      <c r="U427" s="49" t="n"/>
      <c r="V427" s="49" t="n"/>
      <c r="W427" s="49" t="n"/>
    </row>
    <row r="428">
      <c r="B428" s="49" t="n"/>
      <c r="C428" s="49" t="n"/>
      <c r="D428" s="49" t="n"/>
      <c r="E428" s="49" t="n"/>
      <c r="F428" s="49" t="n"/>
      <c r="G428" s="49" t="n"/>
      <c r="H428" s="49" t="n"/>
      <c r="I428" s="49" t="n"/>
      <c r="J428" s="49" t="n"/>
      <c r="K428" s="49" t="n"/>
      <c r="L428" s="49" t="n"/>
      <c r="M428" s="49" t="n"/>
      <c r="N428" s="49" t="n"/>
      <c r="S428" s="49" t="n"/>
      <c r="T428" s="49" t="n"/>
      <c r="U428" s="49" t="n"/>
      <c r="V428" s="49" t="n"/>
      <c r="W428" s="49" t="n"/>
    </row>
    <row r="429">
      <c r="B429" s="49" t="n"/>
      <c r="C429" s="49" t="n"/>
      <c r="D429" s="49" t="n"/>
      <c r="E429" s="49" t="n"/>
      <c r="F429" s="49" t="n"/>
      <c r="G429" s="49" t="n"/>
      <c r="H429" s="49" t="n"/>
      <c r="I429" s="49" t="n"/>
      <c r="J429" s="49" t="n"/>
      <c r="K429" s="49" t="n"/>
      <c r="L429" s="49" t="n"/>
      <c r="M429" s="49" t="n"/>
      <c r="N429" s="49" t="n"/>
      <c r="S429" s="49" t="n"/>
      <c r="T429" s="49" t="n"/>
      <c r="U429" s="49" t="n"/>
      <c r="V429" s="49" t="n"/>
      <c r="W429" s="49" t="n"/>
    </row>
    <row r="430">
      <c r="B430" s="49" t="n"/>
      <c r="C430" s="49" t="n"/>
      <c r="D430" s="49" t="n"/>
      <c r="E430" s="49" t="n"/>
      <c r="F430" s="49" t="n"/>
      <c r="G430" s="49" t="n"/>
      <c r="H430" s="49" t="n"/>
      <c r="I430" s="49" t="n"/>
      <c r="J430" s="49" t="n"/>
      <c r="K430" s="49" t="n"/>
      <c r="L430" s="49" t="n"/>
      <c r="M430" s="49" t="n"/>
      <c r="N430" s="49" t="n"/>
      <c r="S430" s="49" t="n"/>
      <c r="T430" s="49" t="n"/>
      <c r="U430" s="49" t="n"/>
      <c r="V430" s="49" t="n"/>
      <c r="W430" s="49" t="n"/>
    </row>
    <row r="431">
      <c r="B431" s="49" t="n"/>
      <c r="C431" s="49" t="n"/>
      <c r="D431" s="49" t="n"/>
      <c r="E431" s="49" t="n"/>
      <c r="F431" s="49" t="n"/>
      <c r="G431" s="49" t="n"/>
      <c r="H431" s="49" t="n"/>
      <c r="I431" s="49" t="n"/>
      <c r="J431" s="49" t="n"/>
      <c r="K431" s="49" t="n"/>
      <c r="L431" s="49" t="n"/>
      <c r="M431" s="49" t="n"/>
      <c r="N431" s="49" t="n"/>
      <c r="S431" s="49" t="n"/>
      <c r="T431" s="49" t="n"/>
      <c r="U431" s="49" t="n"/>
      <c r="V431" s="49" t="n"/>
      <c r="W431" s="49" t="n"/>
    </row>
    <row r="432">
      <c r="B432" s="49" t="n"/>
      <c r="C432" s="49" t="n"/>
      <c r="D432" s="49" t="n"/>
      <c r="E432" s="49" t="n"/>
      <c r="F432" s="49" t="n"/>
      <c r="G432" s="49" t="n"/>
      <c r="H432" s="49" t="n"/>
      <c r="I432" s="49" t="n"/>
      <c r="J432" s="49" t="n"/>
      <c r="K432" s="49" t="n"/>
      <c r="L432" s="49" t="n"/>
      <c r="M432" s="49" t="n"/>
      <c r="N432" s="49" t="n"/>
      <c r="S432" s="49" t="n"/>
      <c r="T432" s="49" t="n"/>
      <c r="U432" s="49" t="n"/>
      <c r="V432" s="49" t="n"/>
      <c r="W432" s="49" t="n"/>
    </row>
    <row r="433">
      <c r="B433" s="49" t="n"/>
      <c r="C433" s="49" t="n"/>
      <c r="D433" s="49" t="n"/>
      <c r="E433" s="49" t="n"/>
      <c r="F433" s="49" t="n"/>
      <c r="G433" s="49" t="n"/>
      <c r="H433" s="49" t="n"/>
      <c r="I433" s="49" t="n"/>
      <c r="J433" s="49" t="n"/>
      <c r="K433" s="49" t="n"/>
      <c r="L433" s="49" t="n"/>
      <c r="M433" s="49" t="n"/>
      <c r="N433" s="49" t="n"/>
      <c r="S433" s="49" t="n"/>
      <c r="T433" s="49" t="n"/>
      <c r="U433" s="49" t="n"/>
      <c r="V433" s="49" t="n"/>
      <c r="W433" s="49" t="n"/>
    </row>
    <row r="434">
      <c r="B434" s="49" t="n"/>
      <c r="C434" s="49" t="n"/>
      <c r="D434" s="49" t="n"/>
      <c r="E434" s="49" t="n"/>
      <c r="F434" s="49" t="n"/>
      <c r="G434" s="49" t="n"/>
      <c r="H434" s="49" t="n"/>
      <c r="I434" s="49" t="n"/>
      <c r="J434" s="49" t="n"/>
      <c r="K434" s="49" t="n"/>
      <c r="L434" s="49" t="n"/>
      <c r="M434" s="49" t="n"/>
      <c r="N434" s="49" t="n"/>
      <c r="S434" s="49" t="n"/>
      <c r="T434" s="49" t="n"/>
      <c r="U434" s="49" t="n"/>
      <c r="V434" s="49" t="n"/>
      <c r="W434" s="49" t="n"/>
    </row>
    <row r="435">
      <c r="B435" s="49" t="n"/>
      <c r="C435" s="49" t="n"/>
      <c r="D435" s="49" t="n"/>
      <c r="E435" s="49" t="n"/>
      <c r="F435" s="49" t="n"/>
      <c r="G435" s="49" t="n"/>
      <c r="H435" s="49" t="n"/>
      <c r="I435" s="49" t="n"/>
      <c r="J435" s="49" t="n"/>
      <c r="K435" s="49" t="n"/>
      <c r="L435" s="49" t="n"/>
      <c r="M435" s="49" t="n"/>
      <c r="N435" s="49" t="n"/>
      <c r="S435" s="49" t="n"/>
      <c r="T435" s="49" t="n"/>
      <c r="U435" s="49" t="n"/>
      <c r="V435" s="49" t="n"/>
      <c r="W435" s="49" t="n"/>
    </row>
    <row r="436">
      <c r="B436" s="49" t="n"/>
      <c r="C436" s="49" t="n"/>
      <c r="D436" s="49" t="n"/>
      <c r="E436" s="49" t="n"/>
      <c r="F436" s="49" t="n"/>
      <c r="G436" s="49" t="n"/>
      <c r="H436" s="49" t="n"/>
      <c r="I436" s="49" t="n"/>
      <c r="J436" s="49" t="n"/>
      <c r="K436" s="49" t="n"/>
      <c r="L436" s="49" t="n"/>
      <c r="M436" s="49" t="n"/>
      <c r="N436" s="49" t="n"/>
      <c r="S436" s="49" t="n"/>
      <c r="T436" s="49" t="n"/>
      <c r="U436" s="49" t="n"/>
      <c r="V436" s="49" t="n"/>
      <c r="W436" s="49" t="n"/>
    </row>
    <row r="437">
      <c r="B437" s="49" t="n"/>
      <c r="C437" s="49" t="n"/>
      <c r="D437" s="49" t="n"/>
      <c r="E437" s="49" t="n"/>
      <c r="F437" s="49" t="n"/>
      <c r="G437" s="49" t="n"/>
      <c r="H437" s="49" t="n"/>
      <c r="I437" s="49" t="n"/>
      <c r="J437" s="49" t="n"/>
      <c r="K437" s="49" t="n"/>
      <c r="L437" s="49" t="n"/>
      <c r="M437" s="49" t="n"/>
      <c r="N437" s="49" t="n"/>
      <c r="S437" s="49" t="n"/>
      <c r="T437" s="49" t="n"/>
      <c r="U437" s="49" t="n"/>
      <c r="V437" s="49" t="n"/>
      <c r="W437" s="49" t="n"/>
    </row>
    <row r="438">
      <c r="B438" s="49" t="n"/>
      <c r="C438" s="49" t="n"/>
      <c r="D438" s="49" t="n"/>
      <c r="E438" s="49" t="n"/>
      <c r="F438" s="49" t="n"/>
      <c r="G438" s="49" t="n"/>
      <c r="H438" s="49" t="n"/>
      <c r="I438" s="49" t="n"/>
      <c r="J438" s="49" t="n"/>
      <c r="K438" s="49" t="n"/>
      <c r="L438" s="49" t="n"/>
      <c r="M438" s="49" t="n"/>
      <c r="N438" s="49" t="n"/>
      <c r="S438" s="49" t="n"/>
      <c r="T438" s="49" t="n"/>
      <c r="U438" s="49" t="n"/>
      <c r="V438" s="49" t="n"/>
      <c r="W438" s="49" t="n"/>
    </row>
    <row r="439">
      <c r="B439" s="49" t="n"/>
      <c r="C439" s="49" t="n"/>
      <c r="D439" s="49" t="n"/>
      <c r="E439" s="49" t="n"/>
      <c r="F439" s="49" t="n"/>
      <c r="G439" s="49" t="n"/>
      <c r="H439" s="49" t="n"/>
      <c r="I439" s="49" t="n"/>
      <c r="J439" s="49" t="n"/>
      <c r="K439" s="49" t="n"/>
      <c r="L439" s="49" t="n"/>
      <c r="M439" s="49" t="n"/>
      <c r="N439" s="49" t="n"/>
      <c r="S439" s="49" t="n"/>
      <c r="T439" s="49" t="n"/>
      <c r="U439" s="49" t="n"/>
      <c r="V439" s="49" t="n"/>
      <c r="W439" s="49" t="n"/>
    </row>
    <row r="440">
      <c r="B440" s="49" t="n"/>
      <c r="C440" s="49" t="n"/>
      <c r="D440" s="49" t="n"/>
      <c r="E440" s="49" t="n"/>
      <c r="F440" s="49" t="n"/>
      <c r="G440" s="49" t="n"/>
      <c r="H440" s="49" t="n"/>
      <c r="I440" s="49" t="n"/>
      <c r="J440" s="49" t="n"/>
      <c r="K440" s="49" t="n"/>
      <c r="L440" s="49" t="n"/>
      <c r="M440" s="49" t="n"/>
      <c r="N440" s="49" t="n"/>
      <c r="S440" s="49" t="n"/>
      <c r="T440" s="49" t="n"/>
      <c r="U440" s="49" t="n"/>
      <c r="V440" s="49" t="n"/>
      <c r="W440" s="49" t="n"/>
    </row>
    <row r="441">
      <c r="B441" s="49" t="n"/>
      <c r="C441" s="49" t="n"/>
      <c r="D441" s="49" t="n"/>
      <c r="E441" s="49" t="n"/>
      <c r="F441" s="49" t="n"/>
      <c r="G441" s="49" t="n"/>
      <c r="H441" s="49" t="n"/>
      <c r="I441" s="49" t="n"/>
      <c r="J441" s="49" t="n"/>
      <c r="K441" s="49" t="n"/>
      <c r="L441" s="49" t="n"/>
      <c r="M441" s="49" t="n"/>
      <c r="N441" s="49" t="n"/>
      <c r="S441" s="49" t="n"/>
      <c r="T441" s="49" t="n"/>
      <c r="U441" s="49" t="n"/>
      <c r="V441" s="49" t="n"/>
      <c r="W441" s="49" t="n"/>
    </row>
    <row r="442">
      <c r="B442" s="49" t="n"/>
      <c r="C442" s="49" t="n"/>
      <c r="D442" s="49" t="n"/>
      <c r="E442" s="49" t="n"/>
      <c r="F442" s="49" t="n"/>
      <c r="G442" s="49" t="n"/>
      <c r="H442" s="49" t="n"/>
      <c r="I442" s="49" t="n"/>
      <c r="J442" s="49" t="n"/>
      <c r="K442" s="49" t="n"/>
      <c r="L442" s="49" t="n"/>
      <c r="M442" s="49" t="n"/>
      <c r="N442" s="49" t="n"/>
      <c r="S442" s="49" t="n"/>
      <c r="T442" s="49" t="n"/>
      <c r="U442" s="49" t="n"/>
      <c r="V442" s="49" t="n"/>
      <c r="W442" s="49" t="n"/>
    </row>
    <row r="443">
      <c r="B443" s="49" t="n"/>
      <c r="C443" s="49" t="n"/>
      <c r="D443" s="49" t="n"/>
      <c r="E443" s="49" t="n"/>
      <c r="F443" s="49" t="n"/>
      <c r="G443" s="49" t="n"/>
      <c r="H443" s="49" t="n"/>
      <c r="I443" s="49" t="n"/>
      <c r="J443" s="49" t="n"/>
      <c r="K443" s="49" t="n"/>
      <c r="L443" s="49" t="n"/>
      <c r="M443" s="49" t="n"/>
      <c r="N443" s="49" t="n"/>
      <c r="S443" s="49" t="n"/>
      <c r="T443" s="49" t="n"/>
      <c r="U443" s="49" t="n"/>
      <c r="V443" s="49" t="n"/>
      <c r="W443" s="49" t="n"/>
    </row>
    <row r="444">
      <c r="B444" s="49" t="n"/>
      <c r="C444" s="49" t="n"/>
      <c r="D444" s="49" t="n"/>
      <c r="E444" s="49" t="n"/>
      <c r="F444" s="49" t="n"/>
      <c r="G444" s="49" t="n"/>
      <c r="H444" s="49" t="n"/>
      <c r="I444" s="49" t="n"/>
      <c r="J444" s="49" t="n"/>
      <c r="K444" s="49" t="n"/>
      <c r="L444" s="49" t="n"/>
      <c r="M444" s="49" t="n"/>
      <c r="N444" s="49" t="n"/>
      <c r="S444" s="49" t="n"/>
      <c r="T444" s="49" t="n"/>
      <c r="U444" s="49" t="n"/>
      <c r="V444" s="49" t="n"/>
      <c r="W444" s="49" t="n"/>
    </row>
    <row r="445">
      <c r="B445" s="49" t="n"/>
      <c r="C445" s="49" t="n"/>
      <c r="D445" s="49" t="n"/>
      <c r="E445" s="49" t="n"/>
      <c r="F445" s="49" t="n"/>
      <c r="G445" s="49" t="n"/>
      <c r="H445" s="49" t="n"/>
      <c r="I445" s="49" t="n"/>
      <c r="J445" s="49" t="n"/>
      <c r="K445" s="49" t="n"/>
      <c r="L445" s="49" t="n"/>
      <c r="M445" s="49" t="n"/>
      <c r="N445" s="49" t="n"/>
      <c r="S445" s="49" t="n"/>
      <c r="T445" s="49" t="n"/>
      <c r="U445" s="49" t="n"/>
      <c r="V445" s="49" t="n"/>
      <c r="W445" s="49" t="n"/>
    </row>
    <row r="446">
      <c r="B446" s="49" t="n"/>
      <c r="C446" s="49" t="n"/>
      <c r="D446" s="49" t="n"/>
      <c r="E446" s="49" t="n"/>
      <c r="F446" s="49" t="n"/>
      <c r="G446" s="49" t="n"/>
      <c r="H446" s="49" t="n"/>
      <c r="I446" s="49" t="n"/>
      <c r="J446" s="49" t="n"/>
      <c r="K446" s="49" t="n"/>
      <c r="L446" s="49" t="n"/>
      <c r="M446" s="49" t="n"/>
      <c r="N446" s="49" t="n"/>
      <c r="S446" s="49" t="n"/>
      <c r="T446" s="49" t="n"/>
      <c r="U446" s="49" t="n"/>
      <c r="V446" s="49" t="n"/>
      <c r="W446" s="49" t="n"/>
    </row>
    <row r="447">
      <c r="B447" s="49" t="n"/>
      <c r="C447" s="49" t="n"/>
      <c r="D447" s="49" t="n"/>
      <c r="E447" s="49" t="n"/>
      <c r="F447" s="49" t="n"/>
      <c r="G447" s="49" t="n"/>
      <c r="H447" s="49" t="n"/>
      <c r="I447" s="49" t="n"/>
      <c r="J447" s="49" t="n"/>
      <c r="K447" s="49" t="n"/>
      <c r="L447" s="49" t="n"/>
      <c r="M447" s="49" t="n"/>
      <c r="N447" s="49" t="n"/>
      <c r="S447" s="49" t="n"/>
      <c r="T447" s="49" t="n"/>
      <c r="U447" s="49" t="n"/>
      <c r="V447" s="49" t="n"/>
      <c r="W447" s="49" t="n"/>
    </row>
    <row r="448">
      <c r="B448" s="49" t="n"/>
      <c r="C448" s="49" t="n"/>
      <c r="D448" s="49" t="n"/>
      <c r="E448" s="49" t="n"/>
      <c r="F448" s="49" t="n"/>
      <c r="G448" s="49" t="n"/>
      <c r="H448" s="49" t="n"/>
      <c r="I448" s="49" t="n"/>
      <c r="J448" s="49" t="n"/>
      <c r="K448" s="49" t="n"/>
      <c r="L448" s="49" t="n"/>
      <c r="M448" s="49" t="n"/>
      <c r="N448" s="49" t="n"/>
      <c r="S448" s="49" t="n"/>
      <c r="T448" s="49" t="n"/>
      <c r="U448" s="49" t="n"/>
      <c r="V448" s="49" t="n"/>
      <c r="W448" s="49" t="n"/>
    </row>
    <row r="449">
      <c r="B449" s="49" t="n"/>
      <c r="C449" s="49" t="n"/>
      <c r="D449" s="49" t="n"/>
      <c r="E449" s="49" t="n"/>
      <c r="F449" s="49" t="n"/>
      <c r="G449" s="49" t="n"/>
      <c r="H449" s="49" t="n"/>
      <c r="I449" s="49" t="n"/>
      <c r="J449" s="49" t="n"/>
      <c r="K449" s="49" t="n"/>
      <c r="L449" s="49" t="n"/>
      <c r="M449" s="49" t="n"/>
      <c r="N449" s="49" t="n"/>
      <c r="S449" s="49" t="n"/>
      <c r="T449" s="49" t="n"/>
      <c r="U449" s="49" t="n"/>
      <c r="V449" s="49" t="n"/>
      <c r="W449" s="49" t="n"/>
    </row>
    <row r="450">
      <c r="B450" s="49" t="n"/>
      <c r="C450" s="49" t="n"/>
      <c r="D450" s="49" t="n"/>
      <c r="E450" s="49" t="n"/>
      <c r="F450" s="49" t="n"/>
      <c r="G450" s="49" t="n"/>
      <c r="H450" s="49" t="n"/>
      <c r="I450" s="49" t="n"/>
      <c r="J450" s="49" t="n"/>
      <c r="K450" s="49" t="n"/>
      <c r="L450" s="49" t="n"/>
      <c r="M450" s="49" t="n"/>
      <c r="N450" s="49" t="n"/>
      <c r="S450" s="49" t="n"/>
      <c r="T450" s="49" t="n"/>
      <c r="U450" s="49" t="n"/>
      <c r="V450" s="49" t="n"/>
      <c r="W450" s="49" t="n"/>
    </row>
    <row r="451">
      <c r="B451" s="49" t="n"/>
      <c r="C451" s="49" t="n"/>
      <c r="D451" s="49" t="n"/>
      <c r="E451" s="49" t="n"/>
      <c r="F451" s="49" t="n"/>
      <c r="G451" s="49" t="n"/>
      <c r="H451" s="49" t="n"/>
      <c r="I451" s="49" t="n"/>
      <c r="J451" s="49" t="n"/>
      <c r="K451" s="49" t="n"/>
      <c r="L451" s="49" t="n"/>
      <c r="M451" s="49" t="n"/>
      <c r="N451" s="49" t="n"/>
      <c r="S451" s="49" t="n"/>
      <c r="T451" s="49" t="n"/>
      <c r="U451" s="49" t="n"/>
      <c r="V451" s="49" t="n"/>
      <c r="W451" s="49" t="n"/>
    </row>
    <row r="452">
      <c r="B452" s="49" t="n"/>
      <c r="C452" s="49" t="n"/>
      <c r="D452" s="49" t="n"/>
      <c r="E452" s="49" t="n"/>
      <c r="F452" s="49" t="n"/>
      <c r="G452" s="49" t="n"/>
      <c r="H452" s="49" t="n"/>
      <c r="I452" s="49" t="n"/>
      <c r="J452" s="49" t="n"/>
      <c r="K452" s="49" t="n"/>
      <c r="L452" s="49" t="n"/>
      <c r="M452" s="49" t="n"/>
      <c r="N452" s="49" t="n"/>
      <c r="S452" s="49" t="n"/>
      <c r="T452" s="49" t="n"/>
      <c r="U452" s="49" t="n"/>
      <c r="V452" s="49" t="n"/>
      <c r="W452" s="49" t="n"/>
    </row>
    <row r="453">
      <c r="B453" s="49" t="n"/>
      <c r="C453" s="49" t="n"/>
      <c r="D453" s="49" t="n"/>
      <c r="E453" s="49" t="n"/>
      <c r="F453" s="49" t="n"/>
      <c r="G453" s="49" t="n"/>
      <c r="H453" s="49" t="n"/>
      <c r="I453" s="49" t="n"/>
      <c r="J453" s="49" t="n"/>
      <c r="K453" s="49" t="n"/>
      <c r="L453" s="49" t="n"/>
      <c r="M453" s="49" t="n"/>
      <c r="N453" s="49" t="n"/>
      <c r="S453" s="49" t="n"/>
      <c r="T453" s="49" t="n"/>
      <c r="U453" s="49" t="n"/>
      <c r="V453" s="49" t="n"/>
      <c r="W453" s="49" t="n"/>
    </row>
    <row r="454">
      <c r="B454" s="49" t="n"/>
      <c r="C454" s="49" t="n"/>
      <c r="D454" s="49" t="n"/>
      <c r="E454" s="49" t="n"/>
      <c r="F454" s="49" t="n"/>
      <c r="G454" s="49" t="n"/>
      <c r="H454" s="49" t="n"/>
      <c r="I454" s="49" t="n"/>
      <c r="J454" s="49" t="n"/>
      <c r="K454" s="49" t="n"/>
      <c r="L454" s="49" t="n"/>
      <c r="M454" s="49" t="n"/>
      <c r="N454" s="49" t="n"/>
      <c r="S454" s="49" t="n"/>
      <c r="T454" s="49" t="n"/>
      <c r="U454" s="49" t="n"/>
      <c r="V454" s="49" t="n"/>
      <c r="W454" s="49" t="n"/>
    </row>
    <row r="455">
      <c r="B455" s="49" t="n"/>
      <c r="C455" s="49" t="n"/>
      <c r="D455" s="49" t="n"/>
      <c r="E455" s="49" t="n"/>
      <c r="F455" s="49" t="n"/>
      <c r="G455" s="49" t="n"/>
      <c r="H455" s="49" t="n"/>
      <c r="I455" s="49" t="n"/>
      <c r="J455" s="49" t="n"/>
      <c r="K455" s="49" t="n"/>
      <c r="L455" s="49" t="n"/>
      <c r="M455" s="49" t="n"/>
      <c r="N455" s="49" t="n"/>
      <c r="S455" s="49" t="n"/>
      <c r="T455" s="49" t="n"/>
      <c r="U455" s="49" t="n"/>
      <c r="V455" s="49" t="n"/>
      <c r="W455" s="49" t="n"/>
    </row>
    <row r="456">
      <c r="B456" s="49" t="n"/>
      <c r="C456" s="49" t="n"/>
      <c r="D456" s="49" t="n"/>
      <c r="E456" s="49" t="n"/>
      <c r="F456" s="49" t="n"/>
      <c r="G456" s="49" t="n"/>
      <c r="H456" s="49" t="n"/>
      <c r="I456" s="49" t="n"/>
      <c r="J456" s="49" t="n"/>
      <c r="K456" s="49" t="n"/>
      <c r="L456" s="49" t="n"/>
      <c r="M456" s="49" t="n"/>
      <c r="N456" s="49" t="n"/>
      <c r="S456" s="49" t="n"/>
      <c r="T456" s="49" t="n"/>
      <c r="U456" s="49" t="n"/>
      <c r="V456" s="49" t="n"/>
      <c r="W456" s="49" t="n"/>
    </row>
    <row r="457">
      <c r="B457" s="49" t="n"/>
      <c r="C457" s="49" t="n"/>
      <c r="D457" s="49" t="n"/>
      <c r="E457" s="49" t="n"/>
      <c r="F457" s="49" t="n"/>
      <c r="G457" s="49" t="n"/>
      <c r="H457" s="49" t="n"/>
      <c r="I457" s="49" t="n"/>
      <c r="J457" s="49" t="n"/>
      <c r="K457" s="49" t="n"/>
      <c r="L457" s="49" t="n"/>
      <c r="M457" s="49" t="n"/>
      <c r="N457" s="49" t="n"/>
      <c r="S457" s="49" t="n"/>
      <c r="T457" s="49" t="n"/>
      <c r="U457" s="49" t="n"/>
      <c r="V457" s="49" t="n"/>
      <c r="W457" s="49" t="n"/>
    </row>
    <row r="458">
      <c r="B458" s="49" t="n"/>
      <c r="C458" s="49" t="n"/>
      <c r="D458" s="49" t="n"/>
      <c r="E458" s="49" t="n"/>
      <c r="F458" s="49" t="n"/>
      <c r="G458" s="49" t="n"/>
      <c r="H458" s="49" t="n"/>
      <c r="I458" s="49" t="n"/>
      <c r="J458" s="49" t="n"/>
      <c r="K458" s="49" t="n"/>
      <c r="L458" s="49" t="n"/>
      <c r="M458" s="49" t="n"/>
      <c r="N458" s="49" t="n"/>
      <c r="S458" s="49" t="n"/>
      <c r="T458" s="49" t="n"/>
      <c r="U458" s="49" t="n"/>
      <c r="V458" s="49" t="n"/>
      <c r="W458" s="49" t="n"/>
    </row>
    <row r="459">
      <c r="B459" s="49" t="n"/>
      <c r="C459" s="49" t="n"/>
      <c r="D459" s="49" t="n"/>
      <c r="E459" s="49" t="n"/>
      <c r="F459" s="49" t="n"/>
      <c r="G459" s="49" t="n"/>
      <c r="H459" s="49" t="n"/>
      <c r="I459" s="49" t="n"/>
      <c r="J459" s="49" t="n"/>
      <c r="K459" s="49" t="n"/>
      <c r="L459" s="49" t="n"/>
      <c r="M459" s="49" t="n"/>
      <c r="N459" s="49" t="n"/>
      <c r="S459" s="49" t="n"/>
      <c r="T459" s="49" t="n"/>
      <c r="U459" s="49" t="n"/>
      <c r="V459" s="49" t="n"/>
      <c r="W459" s="49" t="n"/>
    </row>
    <row r="460">
      <c r="B460" s="49" t="n"/>
      <c r="C460" s="49" t="n"/>
      <c r="D460" s="49" t="n"/>
      <c r="E460" s="49" t="n"/>
      <c r="F460" s="49" t="n"/>
      <c r="G460" s="49" t="n"/>
      <c r="H460" s="49" t="n"/>
      <c r="I460" s="49" t="n"/>
      <c r="J460" s="49" t="n"/>
      <c r="K460" s="49" t="n"/>
      <c r="L460" s="49" t="n"/>
      <c r="M460" s="49" t="n"/>
      <c r="N460" s="49" t="n"/>
      <c r="S460" s="49" t="n"/>
      <c r="T460" s="49" t="n"/>
      <c r="U460" s="49" t="n"/>
      <c r="V460" s="49" t="n"/>
      <c r="W460" s="49" t="n"/>
    </row>
    <row r="461">
      <c r="B461" s="49" t="n"/>
      <c r="C461" s="49" t="n"/>
      <c r="D461" s="49" t="n"/>
      <c r="E461" s="49" t="n"/>
      <c r="F461" s="49" t="n"/>
      <c r="G461" s="49" t="n"/>
      <c r="H461" s="49" t="n"/>
      <c r="I461" s="49" t="n"/>
      <c r="J461" s="49" t="n"/>
      <c r="K461" s="49" t="n"/>
      <c r="L461" s="49" t="n"/>
      <c r="M461" s="49" t="n"/>
      <c r="N461" s="49" t="n"/>
      <c r="S461" s="49" t="n"/>
      <c r="T461" s="49" t="n"/>
      <c r="U461" s="49" t="n"/>
      <c r="V461" s="49" t="n"/>
      <c r="W461" s="49" t="n"/>
    </row>
    <row r="462">
      <c r="B462" s="49" t="n"/>
      <c r="C462" s="49" t="n"/>
      <c r="D462" s="49" t="n"/>
      <c r="E462" s="49" t="n"/>
      <c r="F462" s="49" t="n"/>
      <c r="G462" s="49" t="n"/>
      <c r="H462" s="49" t="n"/>
      <c r="I462" s="49" t="n"/>
      <c r="J462" s="49" t="n"/>
      <c r="K462" s="49" t="n"/>
      <c r="L462" s="49" t="n"/>
      <c r="M462" s="49" t="n"/>
      <c r="N462" s="49" t="n"/>
      <c r="S462" s="49" t="n"/>
      <c r="T462" s="49" t="n"/>
      <c r="U462" s="49" t="n"/>
      <c r="V462" s="49" t="n"/>
      <c r="W462" s="49" t="n"/>
    </row>
    <row r="463">
      <c r="B463" s="49" t="n"/>
      <c r="C463" s="49" t="n"/>
      <c r="D463" s="49" t="n"/>
      <c r="E463" s="49" t="n"/>
      <c r="F463" s="49" t="n"/>
      <c r="G463" s="49" t="n"/>
      <c r="H463" s="49" t="n"/>
      <c r="I463" s="49" t="n"/>
      <c r="J463" s="49" t="n"/>
      <c r="K463" s="49" t="n"/>
      <c r="L463" s="49" t="n"/>
      <c r="M463" s="49" t="n"/>
      <c r="N463" s="49" t="n"/>
      <c r="S463" s="49" t="n"/>
      <c r="T463" s="49" t="n"/>
      <c r="U463" s="49" t="n"/>
      <c r="V463" s="49" t="n"/>
      <c r="W463" s="49" t="n"/>
    </row>
    <row r="464">
      <c r="B464" s="49" t="n"/>
      <c r="C464" s="49" t="n"/>
      <c r="D464" s="49" t="n"/>
      <c r="E464" s="49" t="n"/>
      <c r="F464" s="49" t="n"/>
      <c r="G464" s="49" t="n"/>
      <c r="H464" s="49" t="n"/>
      <c r="I464" s="49" t="n"/>
      <c r="J464" s="49" t="n"/>
      <c r="K464" s="49" t="n"/>
      <c r="L464" s="49" t="n"/>
      <c r="M464" s="49" t="n"/>
      <c r="N464" s="49" t="n"/>
      <c r="S464" s="49" t="n"/>
      <c r="T464" s="49" t="n"/>
      <c r="U464" s="49" t="n"/>
      <c r="V464" s="49" t="n"/>
      <c r="W464" s="49" t="n"/>
    </row>
    <row r="465">
      <c r="B465" s="49" t="n"/>
      <c r="C465" s="49" t="n"/>
      <c r="D465" s="49" t="n"/>
      <c r="E465" s="49" t="n"/>
      <c r="F465" s="49" t="n"/>
      <c r="G465" s="49" t="n"/>
      <c r="H465" s="49" t="n"/>
      <c r="I465" s="49" t="n"/>
      <c r="J465" s="49" t="n"/>
      <c r="K465" s="49" t="n"/>
      <c r="L465" s="49" t="n"/>
      <c r="M465" s="49" t="n"/>
      <c r="N465" s="49" t="n"/>
      <c r="S465" s="49" t="n"/>
      <c r="T465" s="49" t="n"/>
      <c r="U465" s="49" t="n"/>
      <c r="V465" s="49" t="n"/>
      <c r="W465" s="49" t="n"/>
    </row>
    <row r="466">
      <c r="B466" s="49" t="n"/>
      <c r="C466" s="49" t="n"/>
      <c r="D466" s="49" t="n"/>
      <c r="E466" s="49" t="n"/>
      <c r="F466" s="49" t="n"/>
      <c r="G466" s="49" t="n"/>
      <c r="H466" s="49" t="n"/>
      <c r="I466" s="49" t="n"/>
      <c r="J466" s="49" t="n"/>
      <c r="K466" s="49" t="n"/>
      <c r="L466" s="49" t="n"/>
      <c r="M466" s="49" t="n"/>
      <c r="N466" s="49" t="n"/>
      <c r="S466" s="49" t="n"/>
      <c r="T466" s="49" t="n"/>
      <c r="U466" s="49" t="n"/>
      <c r="V466" s="49" t="n"/>
      <c r="W466" s="49" t="n"/>
    </row>
    <row r="467">
      <c r="B467" s="49" t="n"/>
      <c r="C467" s="49" t="n"/>
      <c r="D467" s="49" t="n"/>
      <c r="E467" s="49" t="n"/>
      <c r="F467" s="49" t="n"/>
      <c r="G467" s="49" t="n"/>
      <c r="H467" s="49" t="n"/>
      <c r="I467" s="49" t="n"/>
      <c r="J467" s="49" t="n"/>
      <c r="K467" s="49" t="n"/>
      <c r="L467" s="49" t="n"/>
      <c r="M467" s="49" t="n"/>
      <c r="N467" s="49" t="n"/>
      <c r="S467" s="49" t="n"/>
      <c r="T467" s="49" t="n"/>
      <c r="U467" s="49" t="n"/>
      <c r="V467" s="49" t="n"/>
      <c r="W467" s="49" t="n"/>
    </row>
    <row r="468">
      <c r="B468" s="49" t="n"/>
      <c r="C468" s="49" t="n"/>
      <c r="D468" s="49" t="n"/>
      <c r="E468" s="49" t="n"/>
      <c r="F468" s="49" t="n"/>
      <c r="G468" s="49" t="n"/>
      <c r="H468" s="49" t="n"/>
      <c r="I468" s="49" t="n"/>
      <c r="J468" s="49" t="n"/>
      <c r="K468" s="49" t="n"/>
      <c r="L468" s="49" t="n"/>
      <c r="M468" s="49" t="n"/>
      <c r="N468" s="49" t="n"/>
      <c r="S468" s="49" t="n"/>
      <c r="T468" s="49" t="n"/>
      <c r="U468" s="49" t="n"/>
      <c r="V468" s="49" t="n"/>
      <c r="W468" s="49" t="n"/>
    </row>
    <row r="469">
      <c r="B469" s="49" t="n"/>
      <c r="C469" s="49" t="n"/>
      <c r="D469" s="49" t="n"/>
      <c r="E469" s="49" t="n"/>
      <c r="F469" s="49" t="n"/>
      <c r="G469" s="49" t="n"/>
      <c r="H469" s="49" t="n"/>
      <c r="I469" s="49" t="n"/>
      <c r="J469" s="49" t="n"/>
      <c r="K469" s="49" t="n"/>
      <c r="L469" s="49" t="n"/>
      <c r="M469" s="49" t="n"/>
      <c r="N469" s="49" t="n"/>
      <c r="S469" s="49" t="n"/>
      <c r="T469" s="49" t="n"/>
      <c r="U469" s="49" t="n"/>
      <c r="V469" s="49" t="n"/>
      <c r="W469" s="49" t="n"/>
    </row>
    <row r="470">
      <c r="B470" s="49" t="n"/>
      <c r="C470" s="49" t="n"/>
      <c r="D470" s="49" t="n"/>
      <c r="E470" s="49" t="n"/>
      <c r="F470" s="49" t="n"/>
      <c r="G470" s="49" t="n"/>
      <c r="H470" s="49" t="n"/>
      <c r="I470" s="49" t="n"/>
      <c r="J470" s="49" t="n"/>
      <c r="K470" s="49" t="n"/>
      <c r="L470" s="49" t="n"/>
      <c r="M470" s="49" t="n"/>
      <c r="N470" s="49" t="n"/>
      <c r="S470" s="49" t="n"/>
      <c r="T470" s="49" t="n"/>
      <c r="U470" s="49" t="n"/>
      <c r="V470" s="49" t="n"/>
      <c r="W470" s="49" t="n"/>
    </row>
    <row r="471">
      <c r="B471" s="49" t="n"/>
      <c r="C471" s="49" t="n"/>
      <c r="D471" s="49" t="n"/>
      <c r="E471" s="49" t="n"/>
      <c r="F471" s="49" t="n"/>
      <c r="G471" s="49" t="n"/>
      <c r="H471" s="49" t="n"/>
      <c r="I471" s="49" t="n"/>
      <c r="J471" s="49" t="n"/>
      <c r="K471" s="49" t="n"/>
      <c r="L471" s="49" t="n"/>
      <c r="M471" s="49" t="n"/>
      <c r="N471" s="49" t="n"/>
      <c r="S471" s="49" t="n"/>
      <c r="T471" s="49" t="n"/>
      <c r="U471" s="49" t="n"/>
      <c r="V471" s="49" t="n"/>
      <c r="W471" s="49" t="n"/>
    </row>
    <row r="472">
      <c r="B472" s="49" t="n"/>
      <c r="C472" s="49" t="n"/>
      <c r="D472" s="49" t="n"/>
      <c r="E472" s="49" t="n"/>
      <c r="F472" s="49" t="n"/>
      <c r="G472" s="49" t="n"/>
      <c r="H472" s="49" t="n"/>
      <c r="I472" s="49" t="n"/>
      <c r="J472" s="49" t="n"/>
      <c r="K472" s="49" t="n"/>
      <c r="L472" s="49" t="n"/>
      <c r="M472" s="49" t="n"/>
      <c r="N472" s="49" t="n"/>
      <c r="S472" s="49" t="n"/>
      <c r="T472" s="49" t="n"/>
      <c r="U472" s="49" t="n"/>
      <c r="V472" s="49" t="n"/>
      <c r="W472" s="49" t="n"/>
    </row>
    <row r="473">
      <c r="B473" s="49" t="n"/>
      <c r="C473" s="49" t="n"/>
      <c r="D473" s="49" t="n"/>
      <c r="E473" s="49" t="n"/>
      <c r="F473" s="49" t="n"/>
      <c r="G473" s="49" t="n"/>
      <c r="H473" s="49" t="n"/>
      <c r="I473" s="49" t="n"/>
      <c r="J473" s="49" t="n"/>
      <c r="K473" s="49" t="n"/>
      <c r="L473" s="49" t="n"/>
      <c r="M473" s="49" t="n"/>
      <c r="N473" s="49" t="n"/>
      <c r="S473" s="49" t="n"/>
      <c r="T473" s="49" t="n"/>
      <c r="U473" s="49" t="n"/>
      <c r="V473" s="49" t="n"/>
      <c r="W473" s="49" t="n"/>
    </row>
    <row r="474">
      <c r="B474" s="49" t="n"/>
      <c r="C474" s="49" t="n"/>
      <c r="D474" s="49" t="n"/>
      <c r="E474" s="49" t="n"/>
      <c r="F474" s="49" t="n"/>
      <c r="G474" s="49" t="n"/>
      <c r="H474" s="49" t="n"/>
      <c r="I474" s="49" t="n"/>
      <c r="J474" s="49" t="n"/>
      <c r="K474" s="49" t="n"/>
      <c r="L474" s="49" t="n"/>
      <c r="M474" s="49" t="n"/>
      <c r="N474" s="49" t="n"/>
      <c r="S474" s="49" t="n"/>
      <c r="T474" s="49" t="n"/>
      <c r="U474" s="49" t="n"/>
      <c r="V474" s="49" t="n"/>
      <c r="W474" s="49" t="n"/>
    </row>
    <row r="475">
      <c r="B475" s="49" t="n"/>
      <c r="C475" s="49" t="n"/>
      <c r="D475" s="49" t="n"/>
      <c r="E475" s="49" t="n"/>
      <c r="F475" s="49" t="n"/>
      <c r="G475" s="49" t="n"/>
      <c r="H475" s="49" t="n"/>
      <c r="I475" s="49" t="n"/>
      <c r="J475" s="49" t="n"/>
      <c r="K475" s="49" t="n"/>
      <c r="L475" s="49" t="n"/>
      <c r="M475" s="49" t="n"/>
      <c r="N475" s="49" t="n"/>
      <c r="S475" s="49" t="n"/>
      <c r="T475" s="49" t="n"/>
      <c r="U475" s="49" t="n"/>
      <c r="V475" s="49" t="n"/>
      <c r="W475" s="49" t="n"/>
    </row>
    <row r="476">
      <c r="B476" s="49" t="n"/>
      <c r="C476" s="49" t="n"/>
      <c r="D476" s="49" t="n"/>
      <c r="E476" s="49" t="n"/>
      <c r="F476" s="49" t="n"/>
      <c r="G476" s="49" t="n"/>
      <c r="H476" s="49" t="n"/>
      <c r="I476" s="49" t="n"/>
      <c r="J476" s="49" t="n"/>
      <c r="K476" s="49" t="n"/>
      <c r="L476" s="49" t="n"/>
      <c r="M476" s="49" t="n"/>
      <c r="N476" s="49" t="n"/>
      <c r="S476" s="49" t="n"/>
      <c r="T476" s="49" t="n"/>
      <c r="U476" s="49" t="n"/>
      <c r="V476" s="49" t="n"/>
      <c r="W476" s="49" t="n"/>
    </row>
    <row r="477">
      <c r="B477" s="49" t="n"/>
      <c r="C477" s="49" t="n"/>
      <c r="D477" s="49" t="n"/>
      <c r="E477" s="49" t="n"/>
      <c r="F477" s="49" t="n"/>
      <c r="G477" s="49" t="n"/>
      <c r="H477" s="49" t="n"/>
      <c r="I477" s="49" t="n"/>
      <c r="J477" s="49" t="n"/>
      <c r="K477" s="49" t="n"/>
      <c r="L477" s="49" t="n"/>
      <c r="M477" s="49" t="n"/>
      <c r="N477" s="49" t="n"/>
      <c r="S477" s="49" t="n"/>
      <c r="T477" s="49" t="n"/>
      <c r="U477" s="49" t="n"/>
      <c r="V477" s="49" t="n"/>
      <c r="W477" s="49" t="n"/>
    </row>
    <row r="478">
      <c r="B478" s="49" t="n"/>
      <c r="C478" s="49" t="n"/>
      <c r="D478" s="49" t="n"/>
      <c r="E478" s="49" t="n"/>
      <c r="F478" s="49" t="n"/>
      <c r="G478" s="49" t="n"/>
      <c r="H478" s="49" t="n"/>
      <c r="I478" s="49" t="n"/>
      <c r="J478" s="49" t="n"/>
      <c r="K478" s="49" t="n"/>
      <c r="L478" s="49" t="n"/>
      <c r="M478" s="49" t="n"/>
      <c r="N478" s="49" t="n"/>
      <c r="S478" s="49" t="n"/>
      <c r="T478" s="49" t="n"/>
      <c r="U478" s="49" t="n"/>
      <c r="V478" s="49" t="n"/>
      <c r="W478" s="49" t="n"/>
    </row>
    <row r="479">
      <c r="B479" s="49" t="n"/>
      <c r="C479" s="49" t="n"/>
      <c r="D479" s="49" t="n"/>
      <c r="E479" s="49" t="n"/>
      <c r="F479" s="49" t="n"/>
      <c r="G479" s="49" t="n"/>
      <c r="H479" s="49" t="n"/>
      <c r="I479" s="49" t="n"/>
      <c r="J479" s="49" t="n"/>
      <c r="K479" s="49" t="n"/>
      <c r="L479" s="49" t="n"/>
      <c r="M479" s="49" t="n"/>
      <c r="N479" s="49" t="n"/>
      <c r="S479" s="49" t="n"/>
      <c r="T479" s="49" t="n"/>
      <c r="U479" s="49" t="n"/>
      <c r="V479" s="49" t="n"/>
      <c r="W479" s="49" t="n"/>
    </row>
    <row r="480">
      <c r="B480" s="49" t="n"/>
      <c r="C480" s="49" t="n"/>
      <c r="D480" s="49" t="n"/>
      <c r="E480" s="49" t="n"/>
      <c r="F480" s="49" t="n"/>
      <c r="G480" s="49" t="n"/>
      <c r="H480" s="49" t="n"/>
      <c r="I480" s="49" t="n"/>
      <c r="J480" s="49" t="n"/>
      <c r="K480" s="49" t="n"/>
      <c r="L480" s="49" t="n"/>
      <c r="M480" s="49" t="n"/>
      <c r="N480" s="49" t="n"/>
      <c r="S480" s="49" t="n"/>
      <c r="T480" s="49" t="n"/>
      <c r="U480" s="49" t="n"/>
      <c r="V480" s="49" t="n"/>
      <c r="W480" s="49" t="n"/>
    </row>
    <row r="481">
      <c r="B481" s="49" t="n"/>
      <c r="C481" s="49" t="n"/>
      <c r="D481" s="49" t="n"/>
      <c r="E481" s="49" t="n"/>
      <c r="F481" s="49" t="n"/>
      <c r="G481" s="49" t="n"/>
      <c r="H481" s="49" t="n"/>
      <c r="I481" s="49" t="n"/>
      <c r="J481" s="49" t="n"/>
      <c r="K481" s="49" t="n"/>
      <c r="L481" s="49" t="n"/>
      <c r="M481" s="49" t="n"/>
      <c r="N481" s="49" t="n"/>
      <c r="S481" s="49" t="n"/>
      <c r="T481" s="49" t="n"/>
      <c r="U481" s="49" t="n"/>
      <c r="V481" s="49" t="n"/>
      <c r="W481" s="49" t="n"/>
    </row>
    <row r="482">
      <c r="B482" s="49" t="n"/>
      <c r="C482" s="49" t="n"/>
      <c r="D482" s="49" t="n"/>
      <c r="E482" s="49" t="n"/>
      <c r="F482" s="49" t="n"/>
      <c r="G482" s="49" t="n"/>
      <c r="H482" s="49" t="n"/>
      <c r="I482" s="49" t="n"/>
      <c r="J482" s="49" t="n"/>
      <c r="K482" s="49" t="n"/>
      <c r="L482" s="49" t="n"/>
      <c r="M482" s="49" t="n"/>
      <c r="N482" s="49" t="n"/>
      <c r="S482" s="49" t="n"/>
      <c r="T482" s="49" t="n"/>
      <c r="U482" s="49" t="n"/>
      <c r="V482" s="49" t="n"/>
      <c r="W482" s="49" t="n"/>
    </row>
    <row r="483">
      <c r="B483" s="49" t="n"/>
      <c r="C483" s="49" t="n"/>
      <c r="D483" s="49" t="n"/>
      <c r="E483" s="49" t="n"/>
      <c r="F483" s="49" t="n"/>
      <c r="G483" s="49" t="n"/>
      <c r="H483" s="49" t="n"/>
      <c r="I483" s="49" t="n"/>
      <c r="J483" s="49" t="n"/>
      <c r="K483" s="49" t="n"/>
      <c r="L483" s="49" t="n"/>
      <c r="M483" s="49" t="n"/>
      <c r="N483" s="49" t="n"/>
      <c r="S483" s="49" t="n"/>
      <c r="T483" s="49" t="n"/>
      <c r="U483" s="49" t="n"/>
      <c r="V483" s="49" t="n"/>
      <c r="W483" s="49" t="n"/>
    </row>
    <row r="484">
      <c r="B484" s="49" t="n"/>
      <c r="C484" s="49" t="n"/>
      <c r="D484" s="49" t="n"/>
      <c r="E484" s="49" t="n"/>
      <c r="F484" s="49" t="n"/>
      <c r="G484" s="49" t="n"/>
      <c r="H484" s="49" t="n"/>
      <c r="I484" s="49" t="n"/>
      <c r="J484" s="49" t="n"/>
      <c r="K484" s="49" t="n"/>
      <c r="L484" s="49" t="n"/>
      <c r="M484" s="49" t="n"/>
      <c r="N484" s="49" t="n"/>
      <c r="S484" s="49" t="n"/>
      <c r="T484" s="49" t="n"/>
      <c r="U484" s="49" t="n"/>
      <c r="V484" s="49" t="n"/>
      <c r="W484" s="49" t="n"/>
    </row>
    <row r="485">
      <c r="B485" s="49" t="n"/>
      <c r="C485" s="49" t="n"/>
      <c r="D485" s="49" t="n"/>
      <c r="E485" s="49" t="n"/>
      <c r="F485" s="49" t="n"/>
      <c r="G485" s="49" t="n"/>
      <c r="H485" s="49" t="n"/>
      <c r="I485" s="49" t="n"/>
      <c r="J485" s="49" t="n"/>
      <c r="K485" s="49" t="n"/>
      <c r="L485" s="49" t="n"/>
      <c r="M485" s="49" t="n"/>
      <c r="N485" s="49" t="n"/>
      <c r="S485" s="49" t="n"/>
      <c r="T485" s="49" t="n"/>
      <c r="U485" s="49" t="n"/>
      <c r="V485" s="49" t="n"/>
      <c r="W485" s="49" t="n"/>
    </row>
    <row r="486">
      <c r="B486" s="49" t="n"/>
      <c r="C486" s="49" t="n"/>
      <c r="D486" s="49" t="n"/>
      <c r="E486" s="49" t="n"/>
      <c r="F486" s="49" t="n"/>
      <c r="G486" s="49" t="n"/>
      <c r="H486" s="49" t="n"/>
      <c r="I486" s="49" t="n"/>
      <c r="J486" s="49" t="n"/>
      <c r="K486" s="49" t="n"/>
      <c r="L486" s="49" t="n"/>
      <c r="M486" s="49" t="n"/>
      <c r="N486" s="49" t="n"/>
      <c r="S486" s="49" t="n"/>
      <c r="T486" s="49" t="n"/>
      <c r="U486" s="49" t="n"/>
      <c r="V486" s="49" t="n"/>
      <c r="W486" s="49" t="n"/>
    </row>
    <row r="487">
      <c r="B487" s="49" t="n"/>
      <c r="C487" s="49" t="n"/>
      <c r="D487" s="49" t="n"/>
      <c r="E487" s="49" t="n"/>
      <c r="F487" s="49" t="n"/>
      <c r="G487" s="49" t="n"/>
      <c r="H487" s="49" t="n"/>
      <c r="I487" s="49" t="n"/>
      <c r="J487" s="49" t="n"/>
      <c r="K487" s="49" t="n"/>
      <c r="L487" s="49" t="n"/>
      <c r="M487" s="49" t="n"/>
      <c r="N487" s="49" t="n"/>
      <c r="S487" s="49" t="n"/>
      <c r="T487" s="49" t="n"/>
      <c r="U487" s="49" t="n"/>
      <c r="V487" s="49" t="n"/>
      <c r="W487" s="49" t="n"/>
    </row>
    <row r="488">
      <c r="B488" s="49" t="n"/>
      <c r="C488" s="49" t="n"/>
      <c r="D488" s="49" t="n"/>
      <c r="E488" s="49" t="n"/>
      <c r="F488" s="49" t="n"/>
      <c r="G488" s="49" t="n"/>
      <c r="H488" s="49" t="n"/>
      <c r="I488" s="49" t="n"/>
      <c r="J488" s="49" t="n"/>
      <c r="K488" s="49" t="n"/>
      <c r="L488" s="49" t="n"/>
      <c r="M488" s="49" t="n"/>
      <c r="N488" s="49" t="n"/>
      <c r="S488" s="49" t="n"/>
      <c r="T488" s="49" t="n"/>
      <c r="U488" s="49" t="n"/>
      <c r="V488" s="49" t="n"/>
      <c r="W488" s="49" t="n"/>
    </row>
    <row r="489">
      <c r="B489" s="49" t="n"/>
      <c r="C489" s="49" t="n"/>
      <c r="D489" s="49" t="n"/>
      <c r="E489" s="49" t="n"/>
      <c r="F489" s="49" t="n"/>
      <c r="G489" s="49" t="n"/>
      <c r="H489" s="49" t="n"/>
      <c r="I489" s="49" t="n"/>
      <c r="J489" s="49" t="n"/>
      <c r="K489" s="49" t="n"/>
      <c r="L489" s="49" t="n"/>
      <c r="M489" s="49" t="n"/>
      <c r="N489" s="49" t="n"/>
      <c r="S489" s="49" t="n"/>
      <c r="T489" s="49" t="n"/>
      <c r="U489" s="49" t="n"/>
      <c r="V489" s="49" t="n"/>
      <c r="W489" s="49" t="n"/>
    </row>
    <row r="490">
      <c r="B490" s="49" t="n"/>
      <c r="C490" s="49" t="n"/>
      <c r="D490" s="49" t="n"/>
      <c r="E490" s="49" t="n"/>
      <c r="F490" s="49" t="n"/>
      <c r="G490" s="49" t="n"/>
      <c r="H490" s="49" t="n"/>
      <c r="I490" s="49" t="n"/>
      <c r="J490" s="49" t="n"/>
      <c r="K490" s="49" t="n"/>
      <c r="L490" s="49" t="n"/>
      <c r="M490" s="49" t="n"/>
      <c r="N490" s="49" t="n"/>
      <c r="S490" s="49" t="n"/>
      <c r="T490" s="49" t="n"/>
      <c r="U490" s="49" t="n"/>
      <c r="V490" s="49" t="n"/>
      <c r="W490" s="49" t="n"/>
    </row>
    <row r="491">
      <c r="B491" s="49" t="n"/>
      <c r="C491" s="49" t="n"/>
      <c r="D491" s="49" t="n"/>
      <c r="E491" s="49" t="n"/>
      <c r="F491" s="49" t="n"/>
      <c r="G491" s="49" t="n"/>
      <c r="H491" s="49" t="n"/>
      <c r="I491" s="49" t="n"/>
      <c r="J491" s="49" t="n"/>
      <c r="K491" s="49" t="n"/>
      <c r="L491" s="49" t="n"/>
      <c r="M491" s="49" t="n"/>
      <c r="N491" s="49" t="n"/>
      <c r="S491" s="49" t="n"/>
      <c r="T491" s="49" t="n"/>
      <c r="U491" s="49" t="n"/>
      <c r="V491" s="49" t="n"/>
      <c r="W491" s="49" t="n"/>
    </row>
    <row r="492">
      <c r="B492" s="49" t="n"/>
      <c r="C492" s="49" t="n"/>
      <c r="D492" s="49" t="n"/>
      <c r="E492" s="49" t="n"/>
      <c r="F492" s="49" t="n"/>
      <c r="G492" s="49" t="n"/>
      <c r="H492" s="49" t="n"/>
      <c r="I492" s="49" t="n"/>
      <c r="J492" s="49" t="n"/>
      <c r="K492" s="49" t="n"/>
      <c r="L492" s="49" t="n"/>
      <c r="M492" s="49" t="n"/>
      <c r="N492" s="49" t="n"/>
      <c r="S492" s="49" t="n"/>
      <c r="T492" s="49" t="n"/>
      <c r="U492" s="49" t="n"/>
      <c r="V492" s="49" t="n"/>
      <c r="W492" s="49" t="n"/>
    </row>
    <row r="493">
      <c r="B493" s="49" t="n"/>
      <c r="C493" s="49" t="n"/>
      <c r="D493" s="49" t="n"/>
      <c r="E493" s="49" t="n"/>
      <c r="F493" s="49" t="n"/>
      <c r="G493" s="49" t="n"/>
      <c r="H493" s="49" t="n"/>
      <c r="I493" s="49" t="n"/>
      <c r="J493" s="49" t="n"/>
      <c r="K493" s="49" t="n"/>
      <c r="L493" s="49" t="n"/>
      <c r="M493" s="49" t="n"/>
      <c r="N493" s="49" t="n"/>
      <c r="S493" s="49" t="n"/>
      <c r="T493" s="49" t="n"/>
      <c r="U493" s="49" t="n"/>
      <c r="V493" s="49" t="n"/>
      <c r="W493" s="49" t="n"/>
    </row>
    <row r="494">
      <c r="B494" s="49" t="n"/>
      <c r="C494" s="49" t="n"/>
      <c r="D494" s="49" t="n"/>
      <c r="E494" s="49" t="n"/>
      <c r="F494" s="49" t="n"/>
      <c r="G494" s="49" t="n"/>
      <c r="H494" s="49" t="n"/>
      <c r="I494" s="49" t="n"/>
      <c r="J494" s="49" t="n"/>
      <c r="K494" s="49" t="n"/>
      <c r="L494" s="49" t="n"/>
      <c r="M494" s="49" t="n"/>
      <c r="N494" s="49" t="n"/>
      <c r="S494" s="49" t="n"/>
      <c r="T494" s="49" t="n"/>
      <c r="U494" s="49" t="n"/>
      <c r="V494" s="49" t="n"/>
      <c r="W494" s="49" t="n"/>
    </row>
    <row r="495">
      <c r="B495" s="49" t="n"/>
      <c r="C495" s="49" t="n"/>
      <c r="D495" s="49" t="n"/>
      <c r="E495" s="49" t="n"/>
      <c r="F495" s="49" t="n"/>
      <c r="G495" s="49" t="n"/>
      <c r="H495" s="49" t="n"/>
      <c r="I495" s="49" t="n"/>
      <c r="J495" s="49" t="n"/>
      <c r="K495" s="49" t="n"/>
      <c r="L495" s="49" t="n"/>
      <c r="M495" s="49" t="n"/>
      <c r="N495" s="49" t="n"/>
      <c r="S495" s="49" t="n"/>
      <c r="T495" s="49" t="n"/>
      <c r="U495" s="49" t="n"/>
      <c r="V495" s="49" t="n"/>
      <c r="W495" s="49" t="n"/>
    </row>
    <row r="496">
      <c r="B496" s="49" t="n"/>
      <c r="C496" s="49" t="n"/>
      <c r="D496" s="49" t="n"/>
      <c r="E496" s="49" t="n"/>
      <c r="F496" s="49" t="n"/>
      <c r="G496" s="49" t="n"/>
      <c r="H496" s="49" t="n"/>
      <c r="I496" s="49" t="n"/>
      <c r="J496" s="49" t="n"/>
      <c r="K496" s="49" t="n"/>
      <c r="L496" s="49" t="n"/>
      <c r="M496" s="49" t="n"/>
      <c r="N496" s="49" t="n"/>
      <c r="S496" s="49" t="n"/>
      <c r="T496" s="49" t="n"/>
      <c r="U496" s="49" t="n"/>
      <c r="V496" s="49" t="n"/>
      <c r="W496" s="49" t="n"/>
    </row>
    <row r="497">
      <c r="B497" s="49" t="n"/>
      <c r="C497" s="49" t="n"/>
      <c r="D497" s="49" t="n"/>
      <c r="E497" s="49" t="n"/>
      <c r="F497" s="49" t="n"/>
      <c r="G497" s="49" t="n"/>
      <c r="H497" s="49" t="n"/>
      <c r="I497" s="49" t="n"/>
      <c r="J497" s="49" t="n"/>
      <c r="K497" s="49" t="n"/>
      <c r="L497" s="49" t="n"/>
      <c r="M497" s="49" t="n"/>
      <c r="N497" s="49" t="n"/>
      <c r="S497" s="49" t="n"/>
      <c r="T497" s="49" t="n"/>
      <c r="U497" s="49" t="n"/>
      <c r="V497" s="49" t="n"/>
      <c r="W497" s="49" t="n"/>
    </row>
    <row r="498">
      <c r="B498" s="49" t="n"/>
      <c r="C498" s="49" t="n"/>
      <c r="D498" s="49" t="n"/>
      <c r="E498" s="49" t="n"/>
      <c r="F498" s="49" t="n"/>
      <c r="G498" s="49" t="n"/>
      <c r="H498" s="49" t="n"/>
      <c r="I498" s="49" t="n"/>
      <c r="J498" s="49" t="n"/>
      <c r="K498" s="49" t="n"/>
      <c r="L498" s="49" t="n"/>
      <c r="M498" s="49" t="n"/>
      <c r="N498" s="49" t="n"/>
      <c r="S498" s="49" t="n"/>
      <c r="T498" s="49" t="n"/>
      <c r="U498" s="49" t="n"/>
      <c r="V498" s="49" t="n"/>
      <c r="W498" s="49" t="n"/>
    </row>
    <row r="499">
      <c r="B499" s="49" t="n"/>
      <c r="C499" s="49" t="n"/>
      <c r="D499" s="49" t="n"/>
      <c r="E499" s="49" t="n"/>
      <c r="F499" s="49" t="n"/>
      <c r="G499" s="49" t="n"/>
      <c r="H499" s="49" t="n"/>
      <c r="I499" s="49" t="n"/>
      <c r="J499" s="49" t="n"/>
      <c r="K499" s="49" t="n"/>
      <c r="L499" s="49" t="n"/>
      <c r="M499" s="49" t="n"/>
      <c r="N499" s="49" t="n"/>
      <c r="S499" s="49" t="n"/>
      <c r="T499" s="49" t="n"/>
      <c r="U499" s="49" t="n"/>
      <c r="V499" s="49" t="n"/>
      <c r="W499" s="49" t="n"/>
    </row>
    <row r="500">
      <c r="B500" s="49" t="n"/>
      <c r="C500" s="49" t="n"/>
      <c r="D500" s="49" t="n"/>
      <c r="E500" s="49" t="n"/>
      <c r="F500" s="49" t="n"/>
      <c r="G500" s="49" t="n"/>
      <c r="H500" s="49" t="n"/>
      <c r="I500" s="49" t="n"/>
      <c r="J500" s="49" t="n"/>
      <c r="K500" s="49" t="n"/>
      <c r="L500" s="49" t="n"/>
      <c r="M500" s="49" t="n"/>
      <c r="N500" s="49" t="n"/>
      <c r="S500" s="49" t="n"/>
      <c r="T500" s="49" t="n"/>
      <c r="U500" s="49" t="n"/>
      <c r="V500" s="49" t="n"/>
      <c r="W500" s="49" t="n"/>
    </row>
    <row r="501">
      <c r="B501" s="49" t="n"/>
      <c r="C501" s="49" t="n"/>
      <c r="D501" s="49" t="n"/>
      <c r="E501" s="49" t="n"/>
      <c r="F501" s="49" t="n"/>
      <c r="G501" s="49" t="n"/>
      <c r="H501" s="49" t="n"/>
      <c r="I501" s="49" t="n"/>
      <c r="J501" s="49" t="n"/>
      <c r="K501" s="49" t="n"/>
      <c r="L501" s="49" t="n"/>
      <c r="M501" s="49" t="n"/>
      <c r="N501" s="49" t="n"/>
      <c r="S501" s="49" t="n"/>
      <c r="T501" s="49" t="n"/>
      <c r="U501" s="49" t="n"/>
      <c r="V501" s="49" t="n"/>
      <c r="W501" s="49" t="n"/>
    </row>
    <row r="502">
      <c r="B502" s="49" t="n"/>
      <c r="C502" s="49" t="n"/>
      <c r="D502" s="49" t="n"/>
      <c r="E502" s="49" t="n"/>
      <c r="F502" s="49" t="n"/>
      <c r="G502" s="49" t="n"/>
      <c r="H502" s="49" t="n"/>
      <c r="I502" s="49" t="n"/>
      <c r="J502" s="49" t="n"/>
      <c r="K502" s="49" t="n"/>
      <c r="L502" s="49" t="n"/>
      <c r="M502" s="49" t="n"/>
      <c r="N502" s="49" t="n"/>
      <c r="S502" s="49" t="n"/>
      <c r="T502" s="49" t="n"/>
      <c r="U502" s="49" t="n"/>
      <c r="V502" s="49" t="n"/>
      <c r="W502" s="49" t="n"/>
    </row>
    <row r="503">
      <c r="B503" s="49" t="n"/>
      <c r="C503" s="49" t="n"/>
      <c r="D503" s="49" t="n"/>
      <c r="E503" s="49" t="n"/>
      <c r="F503" s="49" t="n"/>
      <c r="G503" s="49" t="n"/>
      <c r="H503" s="49" t="n"/>
      <c r="I503" s="49" t="n"/>
      <c r="J503" s="49" t="n"/>
      <c r="K503" s="49" t="n"/>
      <c r="L503" s="49" t="n"/>
      <c r="M503" s="49" t="n"/>
      <c r="N503" s="49" t="n"/>
      <c r="S503" s="49" t="n"/>
      <c r="T503" s="49" t="n"/>
      <c r="U503" s="49" t="n"/>
      <c r="V503" s="49" t="n"/>
      <c r="W503" s="49" t="n"/>
    </row>
    <row r="504">
      <c r="B504" s="49" t="n"/>
      <c r="C504" s="49" t="n"/>
      <c r="D504" s="49" t="n"/>
      <c r="E504" s="49" t="n"/>
      <c r="F504" s="49" t="n"/>
      <c r="G504" s="49" t="n"/>
      <c r="H504" s="49" t="n"/>
      <c r="I504" s="49" t="n"/>
      <c r="J504" s="49" t="n"/>
      <c r="K504" s="49" t="n"/>
      <c r="L504" s="49" t="n"/>
      <c r="M504" s="49" t="n"/>
      <c r="N504" s="49" t="n"/>
      <c r="S504" s="49" t="n"/>
      <c r="T504" s="49" t="n"/>
      <c r="U504" s="49" t="n"/>
      <c r="V504" s="49" t="n"/>
      <c r="W504" s="49" t="n"/>
    </row>
    <row r="505">
      <c r="B505" s="49" t="n"/>
      <c r="C505" s="49" t="n"/>
      <c r="D505" s="49" t="n"/>
      <c r="E505" s="49" t="n"/>
      <c r="F505" s="49" t="n"/>
      <c r="G505" s="49" t="n"/>
      <c r="H505" s="49" t="n"/>
      <c r="I505" s="49" t="n"/>
      <c r="J505" s="49" t="n"/>
      <c r="K505" s="49" t="n"/>
      <c r="L505" s="49" t="n"/>
      <c r="M505" s="49" t="n"/>
      <c r="N505" s="49" t="n"/>
      <c r="S505" s="49" t="n"/>
      <c r="T505" s="49" t="n"/>
      <c r="U505" s="49" t="n"/>
      <c r="V505" s="49" t="n"/>
      <c r="W505" s="49" t="n"/>
    </row>
    <row r="506">
      <c r="B506" s="49" t="n"/>
      <c r="C506" s="49" t="n"/>
      <c r="D506" s="49" t="n"/>
      <c r="E506" s="49" t="n"/>
      <c r="F506" s="49" t="n"/>
      <c r="G506" s="49" t="n"/>
      <c r="H506" s="49" t="n"/>
      <c r="I506" s="49" t="n"/>
      <c r="J506" s="49" t="n"/>
      <c r="K506" s="49" t="n"/>
      <c r="L506" s="49" t="n"/>
      <c r="M506" s="49" t="n"/>
      <c r="N506" s="49" t="n"/>
      <c r="S506" s="49" t="n"/>
      <c r="T506" s="49" t="n"/>
      <c r="U506" s="49" t="n"/>
      <c r="V506" s="49" t="n"/>
      <c r="W506" s="49" t="n"/>
    </row>
    <row r="507">
      <c r="B507" s="49" t="n"/>
      <c r="C507" s="49" t="n"/>
      <c r="D507" s="49" t="n"/>
      <c r="E507" s="49" t="n"/>
      <c r="F507" s="49" t="n"/>
      <c r="G507" s="49" t="n"/>
      <c r="H507" s="49" t="n"/>
      <c r="I507" s="49" t="n"/>
      <c r="J507" s="49" t="n"/>
      <c r="K507" s="49" t="n"/>
      <c r="L507" s="49" t="n"/>
      <c r="M507" s="49" t="n"/>
      <c r="N507" s="49" t="n"/>
      <c r="S507" s="49" t="n"/>
      <c r="T507" s="49" t="n"/>
      <c r="U507" s="49" t="n"/>
      <c r="V507" s="49" t="n"/>
      <c r="W507" s="49" t="n"/>
    </row>
    <row r="508">
      <c r="B508" s="49" t="n"/>
      <c r="C508" s="49" t="n"/>
      <c r="D508" s="49" t="n"/>
      <c r="E508" s="49" t="n"/>
      <c r="F508" s="49" t="n"/>
      <c r="G508" s="49" t="n"/>
      <c r="H508" s="49" t="n"/>
      <c r="I508" s="49" t="n"/>
      <c r="J508" s="49" t="n"/>
      <c r="K508" s="49" t="n"/>
      <c r="L508" s="49" t="n"/>
      <c r="M508" s="49" t="n"/>
      <c r="N508" s="49" t="n"/>
      <c r="S508" s="49" t="n"/>
      <c r="T508" s="49" t="n"/>
      <c r="U508" s="49" t="n"/>
      <c r="V508" s="49" t="n"/>
      <c r="W508" s="49" t="n"/>
    </row>
    <row r="509">
      <c r="B509" s="49" t="n"/>
      <c r="C509" s="49" t="n"/>
      <c r="D509" s="49" t="n"/>
      <c r="E509" s="49" t="n"/>
      <c r="F509" s="49" t="n"/>
      <c r="G509" s="49" t="n"/>
      <c r="H509" s="49" t="n"/>
      <c r="I509" s="49" t="n"/>
      <c r="J509" s="49" t="n"/>
      <c r="K509" s="49" t="n"/>
      <c r="L509" s="49" t="n"/>
      <c r="M509" s="49" t="n"/>
      <c r="N509" s="49" t="n"/>
      <c r="S509" s="49" t="n"/>
      <c r="T509" s="49" t="n"/>
      <c r="U509" s="49" t="n"/>
      <c r="V509" s="49" t="n"/>
      <c r="W509" s="49" t="n"/>
    </row>
    <row r="510">
      <c r="B510" s="49" t="n"/>
      <c r="C510" s="49" t="n"/>
      <c r="D510" s="49" t="n"/>
      <c r="E510" s="49" t="n"/>
      <c r="F510" s="49" t="n"/>
      <c r="G510" s="49" t="n"/>
      <c r="H510" s="49" t="n"/>
      <c r="I510" s="49" t="n"/>
      <c r="J510" s="49" t="n"/>
      <c r="K510" s="49" t="n"/>
      <c r="L510" s="49" t="n"/>
      <c r="M510" s="49" t="n"/>
      <c r="N510" s="49" t="n"/>
      <c r="S510" s="49" t="n"/>
      <c r="T510" s="49" t="n"/>
      <c r="U510" s="49" t="n"/>
      <c r="V510" s="49" t="n"/>
      <c r="W510" s="49" t="n"/>
    </row>
    <row r="511">
      <c r="B511" s="49" t="n"/>
      <c r="C511" s="49" t="n"/>
      <c r="D511" s="49" t="n"/>
      <c r="E511" s="49" t="n"/>
      <c r="F511" s="49" t="n"/>
      <c r="G511" s="49" t="n"/>
      <c r="H511" s="49" t="n"/>
      <c r="I511" s="49" t="n"/>
      <c r="J511" s="49" t="n"/>
      <c r="K511" s="49" t="n"/>
      <c r="L511" s="49" t="n"/>
      <c r="M511" s="49" t="n"/>
      <c r="N511" s="49" t="n"/>
      <c r="S511" s="49" t="n"/>
      <c r="T511" s="49" t="n"/>
      <c r="U511" s="49" t="n"/>
      <c r="V511" s="49" t="n"/>
      <c r="W511" s="49" t="n"/>
    </row>
    <row r="512">
      <c r="B512" s="49" t="n"/>
      <c r="C512" s="49" t="n"/>
      <c r="D512" s="49" t="n"/>
      <c r="E512" s="49" t="n"/>
      <c r="F512" s="49" t="n"/>
      <c r="G512" s="49" t="n"/>
      <c r="H512" s="49" t="n"/>
      <c r="I512" s="49" t="n"/>
      <c r="J512" s="49" t="n"/>
      <c r="K512" s="49" t="n"/>
      <c r="L512" s="49" t="n"/>
      <c r="M512" s="49" t="n"/>
      <c r="N512" s="49" t="n"/>
      <c r="S512" s="49" t="n"/>
      <c r="T512" s="49" t="n"/>
      <c r="U512" s="49" t="n"/>
      <c r="V512" s="49" t="n"/>
      <c r="W512" s="49" t="n"/>
    </row>
    <row r="513">
      <c r="B513" s="49" t="n"/>
      <c r="C513" s="49" t="n"/>
      <c r="D513" s="49" t="n"/>
      <c r="E513" s="49" t="n"/>
      <c r="F513" s="49" t="n"/>
      <c r="G513" s="49" t="n"/>
      <c r="H513" s="49" t="n"/>
      <c r="I513" s="49" t="n"/>
      <c r="J513" s="49" t="n"/>
      <c r="K513" s="49" t="n"/>
      <c r="L513" s="49" t="n"/>
      <c r="M513" s="49" t="n"/>
      <c r="N513" s="49" t="n"/>
      <c r="S513" s="49" t="n"/>
      <c r="T513" s="49" t="n"/>
      <c r="U513" s="49" t="n"/>
      <c r="V513" s="49" t="n"/>
      <c r="W513" s="49" t="n"/>
    </row>
    <row r="514">
      <c r="B514" s="49" t="n"/>
      <c r="C514" s="49" t="n"/>
      <c r="D514" s="49" t="n"/>
      <c r="E514" s="49" t="n"/>
      <c r="F514" s="49" t="n"/>
      <c r="G514" s="49" t="n"/>
      <c r="H514" s="49" t="n"/>
      <c r="I514" s="49" t="n"/>
      <c r="J514" s="49" t="n"/>
      <c r="K514" s="49" t="n"/>
      <c r="L514" s="49" t="n"/>
      <c r="M514" s="49" t="n"/>
      <c r="N514" s="49" t="n"/>
      <c r="S514" s="49" t="n"/>
      <c r="T514" s="49" t="n"/>
      <c r="U514" s="49" t="n"/>
      <c r="V514" s="49" t="n"/>
      <c r="W514" s="49" t="n"/>
    </row>
    <row r="515">
      <c r="B515" s="49" t="n"/>
      <c r="C515" s="49" t="n"/>
      <c r="D515" s="49" t="n"/>
      <c r="E515" s="49" t="n"/>
      <c r="F515" s="49" t="n"/>
      <c r="G515" s="49" t="n"/>
      <c r="H515" s="49" t="n"/>
      <c r="I515" s="49" t="n"/>
      <c r="J515" s="49" t="n"/>
      <c r="K515" s="49" t="n"/>
      <c r="L515" s="49" t="n"/>
      <c r="M515" s="49" t="n"/>
      <c r="N515" s="49" t="n"/>
      <c r="S515" s="49" t="n"/>
      <c r="T515" s="49" t="n"/>
      <c r="U515" s="49" t="n"/>
      <c r="V515" s="49" t="n"/>
      <c r="W515" s="49" t="n"/>
    </row>
    <row r="516">
      <c r="B516" s="49" t="n"/>
      <c r="C516" s="49" t="n"/>
      <c r="D516" s="49" t="n"/>
      <c r="E516" s="49" t="n"/>
      <c r="F516" s="49" t="n"/>
      <c r="G516" s="49" t="n"/>
      <c r="H516" s="49" t="n"/>
      <c r="I516" s="49" t="n"/>
      <c r="J516" s="49" t="n"/>
      <c r="K516" s="49" t="n"/>
      <c r="L516" s="49" t="n"/>
      <c r="M516" s="49" t="n"/>
      <c r="N516" s="49" t="n"/>
      <c r="S516" s="49" t="n"/>
      <c r="T516" s="49" t="n"/>
      <c r="U516" s="49" t="n"/>
      <c r="V516" s="49" t="n"/>
      <c r="W516" s="49" t="n"/>
    </row>
    <row r="517">
      <c r="B517" s="49" t="n"/>
      <c r="C517" s="49" t="n"/>
      <c r="D517" s="49" t="n"/>
      <c r="E517" s="49" t="n"/>
      <c r="F517" s="49" t="n"/>
      <c r="G517" s="49" t="n"/>
      <c r="H517" s="49" t="n"/>
      <c r="I517" s="49" t="n"/>
      <c r="J517" s="49" t="n"/>
      <c r="K517" s="49" t="n"/>
      <c r="L517" s="49" t="n"/>
      <c r="M517" s="49" t="n"/>
      <c r="N517" s="49" t="n"/>
      <c r="S517" s="49" t="n"/>
      <c r="T517" s="49" t="n"/>
      <c r="U517" s="49" t="n"/>
      <c r="V517" s="49" t="n"/>
      <c r="W517" s="49" t="n"/>
    </row>
  </sheetData>
  <mergeCells count="8">
    <mergeCell ref="B3:W3"/>
    <mergeCell ref="B5:W5"/>
    <mergeCell ref="B10:C10"/>
    <mergeCell ref="B4:W4"/>
    <mergeCell ref="D8:W8"/>
    <mergeCell ref="B8:C8"/>
    <mergeCell ref="B7:W7"/>
    <mergeCell ref="B6:W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AND(LEN($B17&amp;$C17&amp;$D17&amp;$E17&amp;$F17&amp;$G17&amp;$H17&amp;$I17&amp;$J17&amp;$K17&amp;$L17&amp;$M17&amp;$N17&amp;$O17&amp;$P17&amp;$Q17&amp;$R17&amp;$S17&amp;$T17&amp;$U17&amp;$V17&amp;$W17)&gt;0,B17="")</formula>
    </cfRule>
  </conditionalFormatting>
  <conditionalFormatting sqref="C17:C517">
    <cfRule type="expression" priority="3" dxfId="6">
      <formula>AND(LEN($B17&amp;$C17&amp;$D17&amp;$E17&amp;$F17&amp;$G17&amp;$H17&amp;$I17&amp;$J17&amp;$K17&amp;$L17&amp;$M17&amp;$N17&amp;$O17&amp;$P17&amp;$Q17&amp;$R17&amp;$S17&amp;$T17&amp;$U17&amp;$V17&amp;$W17)&gt;0,C17="")</formula>
    </cfRule>
  </conditionalFormatting>
  <conditionalFormatting sqref="H17:H517">
    <cfRule type="expression" priority="4" dxfId="6">
      <formula>AND(LEN($B17&amp;$C17&amp;$D17&amp;$E17&amp;$F17&amp;$G17&amp;$H17&amp;$I17&amp;$J17&amp;$K17&amp;$L17&amp;$M17&amp;$N17&amp;$O17&amp;$P17&amp;$Q17&amp;$R17&amp;$S17&amp;$T17&amp;$U17&amp;$V17&amp;$W17)&gt;0,H17="")</formula>
    </cfRule>
  </conditionalFormatting>
  <conditionalFormatting sqref="I17:I517">
    <cfRule type="expression" priority="5" dxfId="6">
      <formula>AND(LEN($B17&amp;$C17&amp;$D17&amp;$E17&amp;$F17&amp;$G17&amp;$H17&amp;$I17&amp;$J17&amp;$K17&amp;$L17&amp;$M17&amp;$N17&amp;$O17&amp;$P17&amp;$Q17&amp;$R17&amp;$S17&amp;$T17&amp;$U17&amp;$V17&amp;$W17)&gt;0,I17="")</formula>
    </cfRule>
  </conditionalFormatting>
  <conditionalFormatting sqref="K17:K517">
    <cfRule type="expression" priority="6" dxfId="6">
      <formula>AND(LEN($B17&amp;$C17&amp;$D17&amp;$E17&amp;$F17&amp;$G17&amp;$H17&amp;$I17&amp;$J17&amp;$K17&amp;$L17&amp;$M17&amp;$N17&amp;$O17&amp;$P17&amp;$Q17&amp;$R17&amp;$S17&amp;$T17&amp;$U17&amp;$V17&amp;$W17)&gt;0,K17="")</formula>
    </cfRule>
  </conditionalFormatting>
  <conditionalFormatting sqref="M17:M517">
    <cfRule type="expression" priority="7" dxfId="6">
      <formula>AND(LEN($B17&amp;$C17&amp;$D17&amp;$E17&amp;$F17&amp;$G17&amp;$H17&amp;$I17&amp;$J17&amp;$K17&amp;$L17&amp;$M17&amp;$N17&amp;$O17&amp;$P17&amp;$Q17&amp;$R17&amp;$S17&amp;$T17&amp;$U17&amp;$V17&amp;$W17)&gt;0,M17="")</formula>
    </cfRule>
  </conditionalFormatting>
  <conditionalFormatting sqref="P17:P517">
    <cfRule type="expression" priority="8" dxfId="6">
      <formula>AND(LEN($B17&amp;$C17&amp;$D17&amp;$E17&amp;$F17&amp;$G17&amp;$H17&amp;$I17&amp;$J17&amp;$K17&amp;$L17&amp;$M17&amp;$N17&amp;$O17&amp;$P17&amp;$Q17&amp;$R17&amp;$S17&amp;$T17&amp;$U17&amp;$V17&amp;$W17)&gt;0,P17="")</formula>
    </cfRule>
  </conditionalFormatting>
  <conditionalFormatting sqref="Q17:Q517">
    <cfRule type="expression" priority="9" dxfId="6">
      <formula>AND(LEN($B17&amp;$C17&amp;$D17&amp;$E17&amp;$F17&amp;$G17&amp;$H17&amp;$I17&amp;$J17&amp;$K17&amp;$L17&amp;$M17&amp;$N17&amp;$O17&amp;$P17&amp;$Q17&amp;$R17&amp;$S17&amp;$T17&amp;$U17&amp;$V17&amp;$W17)&gt;0,Q17="")</formula>
    </cfRule>
  </conditionalFormatting>
  <dataValidations count="2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ne code" error="At most 30 characters." promptTitle="Line code" prompt="Yes. Product line (level 1), for example MOTOR, PROPERTY Allowed: Free entry, up to 30 characters" type="textLength" operator="lessThanOrEqual">
      <formula1>30</formula1>
    </dataValidation>
    <dataValidation sqref="C17:C517" showDropDown="0" showInputMessage="1" showErrorMessage="0" allowBlank="1" promptTitle="Line name" prompt="Yes. Name shown in the drop-downs"/>
    <dataValidation sqref="D17:D517" showDropDown="0" showInputMessage="1" showErrorMessage="0" allowBlank="1" promptTitle="Risk-code pattern" prompt="No. Naming convention of the risk codes of the line, when BDOI states one"/>
    <dataValidation sqref="E17:E517" showDropDown="0" showInputMessage="1" showErrorMessage="1" allowBlank="1" errorTitle="Cover type code" error="At most 30 characters." promptTitle="Cover type code" prompt="Conditional: package products. Cover type (level 2) of the line Allowed: Free entry, up to 30 characters" type="textLength" operator="lessThanOrEqual">
      <formula1>30</formula1>
    </dataValidation>
    <dataValidation sqref="F17:F517" showDropDown="0" showInputMessage="1" showErrorMessage="0" allowBlank="1" promptTitle="Cover type name" prompt="Conditional: with the code. Name of the cover type"/>
    <dataValidation sqref="G17:G517" showDropDown="0" showInputMessage="1" showErrorMessage="1" allowBlank="1" errorTitle="Parent cover type" error="The code is not in PM-01, column Cover type code. Enter it there first, or keep it if it is a code BIBS already holds." promptTitle="Parent cover type" prompt="No. Only for a subtype (one level below a cover type) Allowed: A code of PM-01 Product catalogue, column Cover type code" type="list" errorStyle="warning">
      <formula1>=CODES_PM_01_COVER_TYPE_CODE</formula1>
    </dataValidation>
    <dataValidation sqref="H17:H517" showDropDown="0" showInputMessage="1" showErrorMessage="1" allowBlank="1" errorTitle="Risk code" error="At most 20 characters." promptTitle="Risk code" prompt="Yes. Product code (level 3); unique Allowed: Free entry, up to 20 characters" type="textLength" operator="lessThanOrEqual">
      <formula1>20</formula1>
    </dataValidation>
    <dataValidation sqref="I17:I517" showDropDown="0" showInputMessage="1" showErrorMessage="1" allowBlank="1" errorTitle="Product name" error="At most 200 characters." promptTitle="Product name" prompt="Yes. Name shown to users Allowed: Free entry, up to 200 characters" type="textLength" operator="lessThanOrEqual">
      <formula1>200</formula1>
    </dataValidation>
    <dataValidation sqref="J17:J517" showDropDown="0" showInputMessage="1" showErrorMessage="0" allowBlank="1" promptTitle="Legacy code" prompt="No. Code of the product in QPS or EBIX, for the migration map"/>
    <dataValidation sqref="K17:K517" showDropDown="0" showInputMessage="1" showErrorMessage="1" allowBlank="1" errorTitle="Package" error="Choose a value of the list Yes or no (sheet Reference lists)." promptTitle="Package" prompt="Yes. Y for a package product (terms change through versions) Allowed: Y or N" type="list" errorStyle="stop">
      <formula1>=LIST_YES_NO</formula1>
    </dataValidation>
    <dataValidation sqref="L17:L517" showDropDown="0" showInputMessage="1" showErrorMessage="0" allowBlank="1" promptTitle="Market segments" prompt="No. Segments the product is offered to (list MARKET_SEGMENT) Allowed: One or more codes of the list Market segment (Reference lists), separated by commas"/>
    <dataValidation sqref="M17:M517" showDropDown="0" showInputMessage="1" showErrorMessage="1" allowBlank="1" errorTitle="Placement after" error="Choose a value of the list Placement after (sheet Reference lists)." promptTitle="Placement after" prompt="Yes. Payment gate before placement Allowed: PAID, CLIENT_CONFIRMATION (list Placement after)" type="list" errorStyle="stop">
      <formula1>=LIST_PLACEMENT_GATE</formula1>
    </dataValidation>
    <dataValidation sqref="N17:N517" showDropDown="0" showInputMessage="1" showErrorMessage="1" allowBlank="1" errorTitle="TSU review" error="Choose a value of the list TSU review (sheet Reference lists)." promptTitle="TSU review" prompt="No. When TSU reviews an account of the product Allowed: BY_RULES, ALWAYS, NEVER (list TSU review)" type="list" errorStyle="stop">
      <formula1>=LIST_TSU_REVIEW</formula1>
    </dataValidation>
    <dataValidation sqref="O17:O517" showDropDown="0" showInputMessage="1" showErrorMessage="1" allowBlank="1" errorTitle="Default rate %" error="Enter a number from 0 to 100." promptTitle="Default rate %" prompt="No. Rate of a non-package product; for a package, of version 1 Allowed: A number from 0 to 100" type="decimal" operator="between">
      <formula1>0</formula1>
      <formula2>100</formula2>
    </dataValidation>
    <dataValidation sqref="P17:P517" showDropDown="0" showInputMessage="1" showErrorMessage="1" allowBlank="1" errorTitle="Default commission %" error="Enter a number from 0 to 100." promptTitle="Default commission %" prompt="Yes. Commission when no insurer rate applies Allowed: A number from 0 to 100" type="decimal" operator="between">
      <formula1>0</formula1>
      <formula2>100</formula2>
    </dataValidation>
    <dataValidation sqref="Q17:Q517" showDropDown="0" showInputMessage="1" showErrorMessage="1" allowBlank="1" errorTitle="Minimum premium" error="Enter a number." promptTitle="Minimum premium" prompt="Yes. Minimum premium of the product Allowed: A number" type="decimal" operator="greaterThanOrEqual">
      <formula1>-1E+15</formula1>
    </dataValidation>
    <dataValidation sqref="R17:R517" showDropDown="0" showInputMessage="1" showErrorMessage="1" allowBlank="1" errorTitle="Package TSI limit" error="Enter a number." promptTitle="Package TSI limit" prompt="No. Above it the account goes to TSU Allowed: A number" type="decimal" operator="greaterThanOrEqual">
      <formula1>-1E+15</formula1>
    </dataValidation>
    <dataValidation sqref="S17:S517" showDropDown="0" showInputMessage="1" showErrorMessage="1" allowBlank="1" errorTitle="Fleet" error="Choose a value of the list Yes or no (sheet Reference lists)." promptTitle="Fleet" prompt="No. Several vehicles on one account Allowed: Y or N" type="list" errorStyle="stop">
      <formula1>=LIST_YES_NO</formula1>
    </dataValidation>
    <dataValidation sqref="T17:T517" showDropDown="0" showInputMessage="1" showErrorMessage="1" allowBlank="1" errorTitle="Mortgage related" error="Choose a value of the list Yes or no (sheet Reference lists)." promptTitle="Mortgage related" prompt="No. Mortgage or loan related Allowed: Y or N" type="list" errorStyle="stop">
      <formula1>=LIST_YES_NO</formula1>
    </dataValidation>
    <dataValidation sqref="U17:U517" showDropDown="0" showInputMessage="1" showErrorMessage="1" allowBlank="1" errorTitle="Direct payment allowed" error="Choose a value of the list Yes or no (sheet Reference lists)." promptTitle="Direct payment allowed" prompt="No. Premium may be paid directly to the insurer Allowed: Y or N" type="list" errorStyle="stop">
      <formula1>=LIST_YES_NO</formula1>
    </dataValidation>
    <dataValidation sqref="V17:V517" showDropDown="0" showInputMessage="1" showErrorMessage="0" allowBlank="1" promptTitle="Multi-year / Maximum term" prompt="No. Multi-year term and its maximum"/>
    <dataValidation sqref="W17:W517" showDropDown="0" showInputMessage="1" showErrorMessage="1" allowBlank="1" errorTitle="Free First Year" error="Choose a value of the list Yes or no (sheet Reference lists)." promptTitle="Free First Year" prompt="No. Free First Year eligible Allowed: Y or N" type="list" errorStyle="stop">
      <formula1>=LIST_YES_NO</formula1>
    </dataValidation>
  </dataValidations>
  <hyperlinks>
    <hyperlink ref="A2" location="'Start here'!A1"/>
    <hyperlink ref="W2" location="'Questions and comments'!A1"/>
    <hyperlink ref="B8" location="'PM-09 Lists and parameters'!A1"/>
    <hyperlink ref="D8" location="'R05 Product lines, cover types,'!A1"/>
    <hyperlink ref="G14" location="'PM-01 Product catalogue'!E16"/>
    <hyperlink ref="L14" location="'Reference lists'!A7"/>
    <hyperlink ref="M14" location="'Reference lists'!A12"/>
    <hyperlink ref="N14" location="'Reference lists'!A14"/>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9.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7" customWidth="1" min="3" max="3"/>
    <col width="17" customWidth="1" min="4" max="4"/>
    <col width="19" customWidth="1" min="5" max="5"/>
    <col width="24" customWidth="1" min="6" max="6"/>
    <col width="40" customWidth="1" min="7" max="7"/>
    <col width="25" customWidth="1" min="8" max="8"/>
    <col width="21" customWidth="1" min="9" max="9"/>
  </cols>
  <sheetData>
    <row r="1" ht="26" customHeight="1">
      <c r="A1" s="25" t="inlineStr">
        <is>
          <t>R08 Chart of accounts mapping</t>
        </is>
      </c>
      <c r="I1" s="26" t="inlineStr">
        <is>
          <t>Step 27 of 52</t>
        </is>
      </c>
    </row>
    <row r="2">
      <c r="A2" s="27" t="inlineStr">
        <is>
          <t>← Back to Start here</t>
        </is>
      </c>
      <c r="B2" s="28" t="inlineStr">
        <is>
          <t>Step 27 of 52.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Chart of accounts mapping (legacy GL account to BIBS account) as extracted from EBIX, ISYS GL. Key legacy_account_code. Sent as the file R08_template.csv (CSV, header row as below) with its control file (row count, count of distinct keys).</t>
        </is>
      </c>
    </row>
    <row r="4" outlineLevel="1" ht="15.5" customHeight="1">
      <c r="A4" s="30" t="inlineStr">
        <is>
          <t>Provided by</t>
        </is>
      </c>
      <c r="B4" s="31" t="inlineStr">
        <is>
          <t>Comptrollership data steward (to name); approved by Head, Comptrollership; Product Owner FRBS and ACSL;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R08_template.csv (the header row as below) and its control file are received on Data Migration › Data Migration › Extracts and loaded by a batch of object R08; lands in: GL account code map to the BIBS chart of accounts (chart configured by Comptrollership)</t>
        </is>
      </c>
    </row>
    <row r="7" outlineLevel="1" ht="15.5" customHeight="1">
      <c r="A7" s="30" t="inlineStr">
        <is>
          <t>Source</t>
        </is>
      </c>
      <c r="B7" s="31" t="inlineStr">
        <is>
          <t>EBIX, ISYS GL</t>
        </is>
      </c>
    </row>
    <row r="8" outlineLevel="1" ht="15" customHeight="1">
      <c r="A8" s="30" t="inlineStr">
        <is>
          <t>Depends on</t>
        </is>
      </c>
      <c r="B8" s="53" t="inlineStr">
        <is>
          <t>D0-06 Chart of accounts →</t>
        </is>
      </c>
    </row>
    <row r="9" ht="26" customHeight="1">
      <c r="A9" s="34" t="inlineStr">
        <is>
          <t>Progress</t>
        </is>
      </c>
      <c r="B9" s="35" t="inlineStr">
        <is>
          <t>Rows entered</t>
        </is>
      </c>
      <c r="C9" s="36">
        <f>SUMPRODUCT(((ROW($B$18:$B$218)&gt;18)+($B$18&lt;&gt;"1101-02")&gt;0)*(LEN($B$18:$B$218&amp;$C$18:$C$218&amp;$D$18:$D$218&amp;$E$18:$E$218&amp;$F$18:$F$218&amp;$G$18:$G$218&amp;$H$18:$H$218&amp;$I$18:$I$218)&gt;0))</f>
        <v/>
      </c>
      <c r="D9" s="35" t="inlineStr">
        <is>
          <t>Mandatory cells missing</t>
        </is>
      </c>
      <c r="E9" s="36">
        <f>SUMPRODUCT(((ROW($B$18:$B$218)&gt;18)+($B$18&lt;&gt;"1101-02")&gt;0)*(LEN($B$18:$B$218&amp;$C$18:$C$218&amp;$D$18:$D$218&amp;$E$18:$E$218&amp;$F$18:$F$218&amp;$G$18:$G$218&amp;$H$18:$H$218&amp;$I$18:$I$218)&gt;0)*(($B$18:$B$218="")+($C$18:$C$218="")+($D$18:$D$218="")+($E$18:$E$218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30" customHeight="1">
      <c r="A12" s="41" t="inlineStr">
        <is>
          <t>Check when loaded</t>
        </is>
      </c>
      <c r="B12" s="43" t="inlineStr">
        <is>
          <t>Unique</t>
        </is>
      </c>
      <c r="C12" s="43" t="inlineStr">
        <is>
          <t>Not blank</t>
        </is>
      </c>
      <c r="D12" s="43" t="inlineStr">
        <is>
          <t>In the list</t>
        </is>
      </c>
      <c r="E12" s="43" t="inlineStr">
        <is>
          <t>In the list</t>
        </is>
      </c>
      <c r="F12" s="43" t="inlineStr">
        <is>
          <t>In the list</t>
        </is>
      </c>
      <c r="G12" s="43" t="inlineStr">
        <is>
          <t>Mandatory when legacy_control_type is NONE; exists and active in BIBS</t>
        </is>
      </c>
      <c r="H12" s="43" t="inlineStr">
        <is>
          <t>Y or N</t>
        </is>
      </c>
      <c r="I12" s="43" t="inlineStr">
        <is>
          <t>-</t>
        </is>
      </c>
    </row>
    <row r="13" ht="30" customHeight="1">
      <c r="A13" s="41" t="inlineStr">
        <is>
          <t>Mandatory</t>
        </is>
      </c>
      <c r="B13" s="42" t="inlineStr">
        <is>
          <t>Yes</t>
        </is>
      </c>
      <c r="C13" s="42" t="inlineStr">
        <is>
          <t>Yes</t>
        </is>
      </c>
      <c r="D13" s="42" t="inlineStr">
        <is>
          <t>Yes</t>
        </is>
      </c>
      <c r="E13" s="42" t="inlineStr">
        <is>
          <t>Yes</t>
        </is>
      </c>
      <c r="F13" s="43" t="inlineStr">
        <is>
          <t>No</t>
        </is>
      </c>
      <c r="G13" s="43" t="inlineStr">
        <is>
          <t>Conditional: Mandatory when legacy_control_type is NONE; exists and active in BIBS</t>
        </is>
      </c>
      <c r="H13" s="43" t="inlineStr">
        <is>
          <t>No</t>
        </is>
      </c>
      <c r="I13" s="43" t="inlineStr">
        <is>
          <t>No</t>
        </is>
      </c>
    </row>
    <row r="14" ht="30" customHeight="1">
      <c r="A14" s="41" t="inlineStr">
        <is>
          <t>Format</t>
        </is>
      </c>
      <c r="B14" s="43" t="inlineStr">
        <is>
          <t>Code, up to 30; As stored in legacy</t>
        </is>
      </c>
      <c r="C14" s="43" t="inlineStr">
        <is>
          <t>Text, up to 200; Free text</t>
        </is>
      </c>
      <c r="D14" s="43" t="inlineStr">
        <is>
          <t>Code, up to 12; Upper case</t>
        </is>
      </c>
      <c r="E14" s="43" t="inlineStr">
        <is>
          <t>Code, up to 2; Upper case</t>
        </is>
      </c>
      <c r="F14" s="43" t="inlineStr">
        <is>
          <t>Code, up to 20; Upper case</t>
        </is>
      </c>
      <c r="G14" s="43" t="inlineStr">
        <is>
          <t>Code, up to 30; As in the BIBS chart</t>
        </is>
      </c>
      <c r="H14" s="43" t="inlineStr">
        <is>
          <t>Flag, up to 1; Y or N</t>
        </is>
      </c>
      <c r="I14" s="43" t="inlineStr">
        <is>
          <t>Text, up to 300; Free text</t>
        </is>
      </c>
    </row>
    <row r="15" ht="56" customHeight="1">
      <c r="A15" s="41" t="inlineStr">
        <is>
          <t>Allowed values</t>
        </is>
      </c>
      <c r="B15" s="43" t="inlineStr">
        <is>
          <t>Free entry, up to 30 characters</t>
        </is>
      </c>
      <c r="C15" s="43" t="inlineStr">
        <is>
          <t>Free entry, up to 200 characters</t>
        </is>
      </c>
      <c r="D15" s="51" t="inlineStr">
        <is>
          <t>ASSET, LIABILITY, EQUITY, INCOME, EXPENSE (list R08 account_type)</t>
        </is>
      </c>
      <c r="E15" s="51" t="inlineStr">
        <is>
          <t>DR, CR (list R08 normal_balance)</t>
        </is>
      </c>
      <c r="F15" s="51" t="inlineStr">
        <is>
          <t>List R08 legacy_control_type: 8 values, see Reference lists</t>
        </is>
      </c>
      <c r="G15" s="43" t="inlineStr">
        <is>
          <t>Account codes of the BIBS chart of accounts</t>
        </is>
      </c>
      <c r="H15" s="43" t="inlineStr">
        <is>
          <t>Y or N</t>
        </is>
      </c>
      <c r="I15" s="43" t="inlineStr">
        <is>
          <t>Free entry, up to 300 characters</t>
        </is>
      </c>
    </row>
    <row r="16" ht="43" customHeight="1">
      <c r="A16" s="41" t="inlineStr">
        <is>
          <t>What to enter</t>
        </is>
      </c>
      <c r="B16" s="43" t="inlineStr">
        <is>
          <t>Legacy GL account code</t>
        </is>
      </c>
      <c r="C16" s="43" t="inlineStr">
        <is>
          <t>Legacy account name</t>
        </is>
      </c>
      <c r="D16" s="43" t="inlineStr">
        <is>
          <t>Account type</t>
        </is>
      </c>
      <c r="E16" s="43" t="inlineStr">
        <is>
          <t>Normal balance side</t>
        </is>
      </c>
      <c r="F16" s="43" t="inlineStr">
        <is>
          <t>Marks the legacy control accounts whose balance F01 or F02 carries in detail</t>
        </is>
      </c>
      <c r="G16" s="43" t="inlineStr">
        <is>
          <t>BIBS account the legacy account maps to (filled by Comptrollership)</t>
        </is>
      </c>
      <c r="H16" s="43" t="inlineStr">
        <is>
          <t>Balances are kept per branch</t>
        </is>
      </c>
      <c r="I16" s="43" t="inlineStr">
        <is>
          <t>Mapping remarks</t>
        </is>
      </c>
    </row>
    <row r="17" ht="30" customHeight="1">
      <c r="A17" s="44" t="inlineStr">
        <is>
          <t>Row</t>
        </is>
      </c>
      <c r="B17" s="45" t="inlineStr">
        <is>
          <t>legacy_account_code *</t>
        </is>
      </c>
      <c r="C17" s="45" t="inlineStr">
        <is>
          <t>legacy_account_name *</t>
        </is>
      </c>
      <c r="D17" s="45" t="inlineStr">
        <is>
          <t>account_type *</t>
        </is>
      </c>
      <c r="E17" s="45" t="inlineStr">
        <is>
          <t>normal_balance *</t>
        </is>
      </c>
      <c r="F17" s="45" t="inlineStr">
        <is>
          <t>legacy_control_type</t>
        </is>
      </c>
      <c r="G17" s="45" t="inlineStr">
        <is>
          <t>bibs_account_code</t>
        </is>
      </c>
      <c r="H17" s="45" t="inlineStr">
        <is>
          <t>branch_specific_flag</t>
        </is>
      </c>
      <c r="I17" s="45" t="inlineStr">
        <is>
          <t>remarks</t>
        </is>
      </c>
    </row>
    <row r="18" ht="18" customHeight="1">
      <c r="A18" s="46" t="inlineStr">
        <is>
          <t>Example – overwrite or delete</t>
        </is>
      </c>
      <c r="B18" s="47" t="inlineStr">
        <is>
          <t>1101-02</t>
        </is>
      </c>
      <c r="C18" s="47" t="inlineStr">
        <is>
          <t>Cash in Bank - BDO Makati</t>
        </is>
      </c>
      <c r="D18" s="47" t="inlineStr">
        <is>
          <t>ASSET</t>
        </is>
      </c>
      <c r="E18" s="47" t="inlineStr">
        <is>
          <t>DR</t>
        </is>
      </c>
      <c r="F18" s="47" t="inlineStr">
        <is>
          <t>NONE</t>
        </is>
      </c>
      <c r="G18" s="47" t="inlineStr">
        <is>
          <t>X102.03 (illustrative code, not in use)</t>
        </is>
      </c>
      <c r="H18" s="47" t="inlineStr">
        <is>
          <t>Y</t>
        </is>
      </c>
      <c r="I18" s="47" t="inlineStr">
        <is>
          <t>Merged with 1201-01</t>
        </is>
      </c>
    </row>
    <row r="19">
      <c r="B19" s="49" t="n"/>
      <c r="C19" s="49" t="n"/>
      <c r="D19" s="49" t="n"/>
      <c r="E19" s="49" t="n"/>
      <c r="F19" s="49" t="n"/>
      <c r="G19" s="49" t="n"/>
      <c r="H19" s="49" t="n"/>
      <c r="I19" s="49" t="n"/>
    </row>
    <row r="20">
      <c r="B20" s="49" t="n"/>
      <c r="C20" s="49" t="n"/>
      <c r="D20" s="49" t="n"/>
      <c r="E20" s="49" t="n"/>
      <c r="F20" s="49" t="n"/>
      <c r="G20" s="49" t="n"/>
      <c r="H20" s="49" t="n"/>
      <c r="I20" s="49" t="n"/>
    </row>
    <row r="21">
      <c r="B21" s="49" t="n"/>
      <c r="C21" s="49" t="n"/>
      <c r="D21" s="49" t="n"/>
      <c r="E21" s="49" t="n"/>
      <c r="F21" s="49" t="n"/>
      <c r="G21" s="49" t="n"/>
      <c r="H21" s="49" t="n"/>
      <c r="I21" s="49" t="n"/>
    </row>
    <row r="22">
      <c r="B22" s="49" t="n"/>
      <c r="C22" s="49" t="n"/>
      <c r="D22" s="49" t="n"/>
      <c r="E22" s="49" t="n"/>
      <c r="F22" s="49" t="n"/>
      <c r="G22" s="49" t="n"/>
      <c r="H22" s="49" t="n"/>
      <c r="I22" s="49" t="n"/>
    </row>
    <row r="23">
      <c r="B23" s="49" t="n"/>
      <c r="C23" s="49" t="n"/>
      <c r="D23" s="49" t="n"/>
      <c r="E23" s="49" t="n"/>
      <c r="F23" s="49" t="n"/>
      <c r="G23" s="49" t="n"/>
      <c r="H23" s="49" t="n"/>
      <c r="I23" s="49" t="n"/>
    </row>
    <row r="24">
      <c r="B24" s="49" t="n"/>
      <c r="C24" s="49" t="n"/>
      <c r="D24" s="49" t="n"/>
      <c r="E24" s="49" t="n"/>
      <c r="F24" s="49" t="n"/>
      <c r="G24" s="49" t="n"/>
      <c r="H24" s="49" t="n"/>
      <c r="I24" s="49" t="n"/>
    </row>
    <row r="25">
      <c r="B25" s="49" t="n"/>
      <c r="C25" s="49" t="n"/>
      <c r="D25" s="49" t="n"/>
      <c r="E25" s="49" t="n"/>
      <c r="F25" s="49" t="n"/>
      <c r="G25" s="49" t="n"/>
      <c r="H25" s="49" t="n"/>
      <c r="I25" s="49" t="n"/>
    </row>
    <row r="26">
      <c r="B26" s="49" t="n"/>
      <c r="C26" s="49" t="n"/>
      <c r="D26" s="49" t="n"/>
      <c r="E26" s="49" t="n"/>
      <c r="F26" s="49" t="n"/>
      <c r="G26" s="49" t="n"/>
      <c r="H26" s="49" t="n"/>
      <c r="I26" s="49" t="n"/>
    </row>
    <row r="27">
      <c r="B27" s="49" t="n"/>
      <c r="C27" s="49" t="n"/>
      <c r="D27" s="49" t="n"/>
      <c r="E27" s="49" t="n"/>
      <c r="F27" s="49" t="n"/>
      <c r="G27" s="49" t="n"/>
      <c r="H27" s="49" t="n"/>
      <c r="I27" s="49" t="n"/>
    </row>
    <row r="28">
      <c r="B28" s="49" t="n"/>
      <c r="C28" s="49" t="n"/>
      <c r="D28" s="49" t="n"/>
      <c r="E28" s="49" t="n"/>
      <c r="F28" s="49" t="n"/>
      <c r="G28" s="49" t="n"/>
      <c r="H28" s="49" t="n"/>
      <c r="I28" s="49" t="n"/>
    </row>
    <row r="29">
      <c r="B29" s="49" t="n"/>
      <c r="C29" s="49" t="n"/>
      <c r="D29" s="49" t="n"/>
      <c r="E29" s="49" t="n"/>
      <c r="F29" s="49" t="n"/>
      <c r="G29" s="49" t="n"/>
      <c r="H29" s="49" t="n"/>
      <c r="I29" s="49" t="n"/>
    </row>
    <row r="30">
      <c r="B30" s="49" t="n"/>
      <c r="C30" s="49" t="n"/>
      <c r="D30" s="49" t="n"/>
      <c r="E30" s="49" t="n"/>
      <c r="F30" s="49" t="n"/>
      <c r="G30" s="49" t="n"/>
      <c r="H30" s="49" t="n"/>
      <c r="I30" s="49" t="n"/>
    </row>
    <row r="31">
      <c r="B31" s="49" t="n"/>
      <c r="C31" s="49" t="n"/>
      <c r="D31" s="49" t="n"/>
      <c r="E31" s="49" t="n"/>
      <c r="F31" s="49" t="n"/>
      <c r="G31" s="49" t="n"/>
      <c r="H31" s="49" t="n"/>
      <c r="I31" s="49" t="n"/>
    </row>
    <row r="32">
      <c r="B32" s="49" t="n"/>
      <c r="C32" s="49" t="n"/>
      <c r="D32" s="49" t="n"/>
      <c r="E32" s="49" t="n"/>
      <c r="F32" s="49" t="n"/>
      <c r="G32" s="49" t="n"/>
      <c r="H32" s="49" t="n"/>
      <c r="I32" s="49" t="n"/>
    </row>
    <row r="33">
      <c r="B33" s="49" t="n"/>
      <c r="C33" s="49" t="n"/>
      <c r="D33" s="49" t="n"/>
      <c r="E33" s="49" t="n"/>
      <c r="F33" s="49" t="n"/>
      <c r="G33" s="49" t="n"/>
      <c r="H33" s="49" t="n"/>
      <c r="I33" s="49" t="n"/>
    </row>
    <row r="34">
      <c r="B34" s="49" t="n"/>
      <c r="C34" s="49" t="n"/>
      <c r="D34" s="49" t="n"/>
      <c r="E34" s="49" t="n"/>
      <c r="F34" s="49" t="n"/>
      <c r="G34" s="49" t="n"/>
      <c r="H34" s="49" t="n"/>
      <c r="I34" s="49" t="n"/>
    </row>
    <row r="35">
      <c r="B35" s="49" t="n"/>
      <c r="C35" s="49" t="n"/>
      <c r="D35" s="49" t="n"/>
      <c r="E35" s="49" t="n"/>
      <c r="F35" s="49" t="n"/>
      <c r="G35" s="49" t="n"/>
      <c r="H35" s="49" t="n"/>
      <c r="I35" s="49" t="n"/>
    </row>
    <row r="36">
      <c r="B36" s="49" t="n"/>
      <c r="C36" s="49" t="n"/>
      <c r="D36" s="49" t="n"/>
      <c r="E36" s="49" t="n"/>
      <c r="F36" s="49" t="n"/>
      <c r="G36" s="49" t="n"/>
      <c r="H36" s="49" t="n"/>
      <c r="I36" s="49" t="n"/>
    </row>
    <row r="37">
      <c r="B37" s="49" t="n"/>
      <c r="C37" s="49" t="n"/>
      <c r="D37" s="49" t="n"/>
      <c r="E37" s="49" t="n"/>
      <c r="F37" s="49" t="n"/>
      <c r="G37" s="49" t="n"/>
      <c r="H37" s="49" t="n"/>
      <c r="I37" s="49" t="n"/>
    </row>
    <row r="38">
      <c r="B38" s="49" t="n"/>
      <c r="C38" s="49" t="n"/>
      <c r="D38" s="49" t="n"/>
      <c r="E38" s="49" t="n"/>
      <c r="F38" s="49" t="n"/>
      <c r="G38" s="49" t="n"/>
      <c r="H38" s="49" t="n"/>
      <c r="I38" s="49" t="n"/>
    </row>
    <row r="39">
      <c r="B39" s="49" t="n"/>
      <c r="C39" s="49" t="n"/>
      <c r="D39" s="49" t="n"/>
      <c r="E39" s="49" t="n"/>
      <c r="F39" s="49" t="n"/>
      <c r="G39" s="49" t="n"/>
      <c r="H39" s="49" t="n"/>
      <c r="I39" s="49" t="n"/>
    </row>
    <row r="40">
      <c r="B40" s="49" t="n"/>
      <c r="C40" s="49" t="n"/>
      <c r="D40" s="49" t="n"/>
      <c r="E40" s="49" t="n"/>
      <c r="F40" s="49" t="n"/>
      <c r="G40" s="49" t="n"/>
      <c r="H40" s="49" t="n"/>
      <c r="I40" s="49" t="n"/>
    </row>
    <row r="41">
      <c r="B41" s="49" t="n"/>
      <c r="C41" s="49" t="n"/>
      <c r="D41" s="49" t="n"/>
      <c r="E41" s="49" t="n"/>
      <c r="F41" s="49" t="n"/>
      <c r="G41" s="49" t="n"/>
      <c r="H41" s="49" t="n"/>
      <c r="I41" s="49" t="n"/>
    </row>
    <row r="42">
      <c r="B42" s="49" t="n"/>
      <c r="C42" s="49" t="n"/>
      <c r="D42" s="49" t="n"/>
      <c r="E42" s="49" t="n"/>
      <c r="F42" s="49" t="n"/>
      <c r="G42" s="49" t="n"/>
      <c r="H42" s="49" t="n"/>
      <c r="I42" s="49" t="n"/>
    </row>
    <row r="43">
      <c r="B43" s="49" t="n"/>
      <c r="C43" s="49" t="n"/>
      <c r="D43" s="49" t="n"/>
      <c r="E43" s="49" t="n"/>
      <c r="F43" s="49" t="n"/>
      <c r="G43" s="49" t="n"/>
      <c r="H43" s="49" t="n"/>
      <c r="I43" s="49" t="n"/>
    </row>
    <row r="44">
      <c r="B44" s="49" t="n"/>
      <c r="C44" s="49" t="n"/>
      <c r="D44" s="49" t="n"/>
      <c r="E44" s="49" t="n"/>
      <c r="F44" s="49" t="n"/>
      <c r="G44" s="49" t="n"/>
      <c r="H44" s="49" t="n"/>
      <c r="I44" s="49" t="n"/>
    </row>
    <row r="45">
      <c r="B45" s="49" t="n"/>
      <c r="C45" s="49" t="n"/>
      <c r="D45" s="49" t="n"/>
      <c r="E45" s="49" t="n"/>
      <c r="F45" s="49" t="n"/>
      <c r="G45" s="49" t="n"/>
      <c r="H45" s="49" t="n"/>
      <c r="I45" s="49" t="n"/>
    </row>
    <row r="46">
      <c r="B46" s="49" t="n"/>
      <c r="C46" s="49" t="n"/>
      <c r="D46" s="49" t="n"/>
      <c r="E46" s="49" t="n"/>
      <c r="F46" s="49" t="n"/>
      <c r="G46" s="49" t="n"/>
      <c r="H46" s="49" t="n"/>
      <c r="I46" s="49" t="n"/>
    </row>
    <row r="47">
      <c r="B47" s="49" t="n"/>
      <c r="C47" s="49" t="n"/>
      <c r="D47" s="49" t="n"/>
      <c r="E47" s="49" t="n"/>
      <c r="F47" s="49" t="n"/>
      <c r="G47" s="49" t="n"/>
      <c r="H47" s="49" t="n"/>
      <c r="I47" s="49" t="n"/>
    </row>
    <row r="48">
      <c r="B48" s="49" t="n"/>
      <c r="C48" s="49" t="n"/>
      <c r="D48" s="49" t="n"/>
      <c r="E48" s="49" t="n"/>
      <c r="F48" s="49" t="n"/>
      <c r="G48" s="49" t="n"/>
      <c r="H48" s="49" t="n"/>
      <c r="I48" s="49" t="n"/>
    </row>
    <row r="49">
      <c r="B49" s="49" t="n"/>
      <c r="C49" s="49" t="n"/>
      <c r="D49" s="49" t="n"/>
      <c r="E49" s="49" t="n"/>
      <c r="F49" s="49" t="n"/>
      <c r="G49" s="49" t="n"/>
      <c r="H49" s="49" t="n"/>
      <c r="I49" s="49" t="n"/>
    </row>
    <row r="50">
      <c r="B50" s="49" t="n"/>
      <c r="C50" s="49" t="n"/>
      <c r="D50" s="49" t="n"/>
      <c r="E50" s="49" t="n"/>
      <c r="F50" s="49" t="n"/>
      <c r="G50" s="49" t="n"/>
      <c r="H50" s="49" t="n"/>
      <c r="I50" s="49" t="n"/>
    </row>
    <row r="51">
      <c r="B51" s="49" t="n"/>
      <c r="C51" s="49" t="n"/>
      <c r="D51" s="49" t="n"/>
      <c r="E51" s="49" t="n"/>
      <c r="F51" s="49" t="n"/>
      <c r="G51" s="49" t="n"/>
      <c r="H51" s="49" t="n"/>
      <c r="I51" s="49" t="n"/>
    </row>
    <row r="52">
      <c r="B52" s="49" t="n"/>
      <c r="C52" s="49" t="n"/>
      <c r="D52" s="49" t="n"/>
      <c r="E52" s="49" t="n"/>
      <c r="F52" s="49" t="n"/>
      <c r="G52" s="49" t="n"/>
      <c r="H52" s="49" t="n"/>
      <c r="I52" s="49" t="n"/>
    </row>
    <row r="53">
      <c r="B53" s="49" t="n"/>
      <c r="C53" s="49" t="n"/>
      <c r="D53" s="49" t="n"/>
      <c r="E53" s="49" t="n"/>
      <c r="F53" s="49" t="n"/>
      <c r="G53" s="49" t="n"/>
      <c r="H53" s="49" t="n"/>
      <c r="I53" s="49" t="n"/>
    </row>
    <row r="54">
      <c r="B54" s="49" t="n"/>
      <c r="C54" s="49" t="n"/>
      <c r="D54" s="49" t="n"/>
      <c r="E54" s="49" t="n"/>
      <c r="F54" s="49" t="n"/>
      <c r="G54" s="49" t="n"/>
      <c r="H54" s="49" t="n"/>
      <c r="I54" s="49" t="n"/>
    </row>
    <row r="55">
      <c r="B55" s="49" t="n"/>
      <c r="C55" s="49" t="n"/>
      <c r="D55" s="49" t="n"/>
      <c r="E55" s="49" t="n"/>
      <c r="F55" s="49" t="n"/>
      <c r="G55" s="49" t="n"/>
      <c r="H55" s="49" t="n"/>
      <c r="I55" s="49" t="n"/>
    </row>
    <row r="56">
      <c r="B56" s="49" t="n"/>
      <c r="C56" s="49" t="n"/>
      <c r="D56" s="49" t="n"/>
      <c r="E56" s="49" t="n"/>
      <c r="F56" s="49" t="n"/>
      <c r="G56" s="49" t="n"/>
      <c r="H56" s="49" t="n"/>
      <c r="I56" s="49" t="n"/>
    </row>
    <row r="57">
      <c r="B57" s="49" t="n"/>
      <c r="C57" s="49" t="n"/>
      <c r="D57" s="49" t="n"/>
      <c r="E57" s="49" t="n"/>
      <c r="F57" s="49" t="n"/>
      <c r="G57" s="49" t="n"/>
      <c r="H57" s="49" t="n"/>
      <c r="I57" s="49" t="n"/>
    </row>
    <row r="58">
      <c r="B58" s="49" t="n"/>
      <c r="C58" s="49" t="n"/>
      <c r="D58" s="49" t="n"/>
      <c r="E58" s="49" t="n"/>
      <c r="F58" s="49" t="n"/>
      <c r="G58" s="49" t="n"/>
      <c r="H58" s="49" t="n"/>
      <c r="I58" s="49" t="n"/>
    </row>
    <row r="59">
      <c r="B59" s="49" t="n"/>
      <c r="C59" s="49" t="n"/>
      <c r="D59" s="49" t="n"/>
      <c r="E59" s="49" t="n"/>
      <c r="F59" s="49" t="n"/>
      <c r="G59" s="49" t="n"/>
      <c r="H59" s="49" t="n"/>
      <c r="I59" s="49" t="n"/>
    </row>
    <row r="60">
      <c r="B60" s="49" t="n"/>
      <c r="C60" s="49" t="n"/>
      <c r="D60" s="49" t="n"/>
      <c r="E60" s="49" t="n"/>
      <c r="F60" s="49" t="n"/>
      <c r="G60" s="49" t="n"/>
      <c r="H60" s="49" t="n"/>
      <c r="I60" s="49" t="n"/>
    </row>
    <row r="61">
      <c r="B61" s="49" t="n"/>
      <c r="C61" s="49" t="n"/>
      <c r="D61" s="49" t="n"/>
      <c r="E61" s="49" t="n"/>
      <c r="F61" s="49" t="n"/>
      <c r="G61" s="49" t="n"/>
      <c r="H61" s="49" t="n"/>
      <c r="I61" s="49" t="n"/>
    </row>
    <row r="62">
      <c r="B62" s="49" t="n"/>
      <c r="C62" s="49" t="n"/>
      <c r="D62" s="49" t="n"/>
      <c r="E62" s="49" t="n"/>
      <c r="F62" s="49" t="n"/>
      <c r="G62" s="49" t="n"/>
      <c r="H62" s="49" t="n"/>
      <c r="I62" s="49" t="n"/>
    </row>
    <row r="63">
      <c r="B63" s="49" t="n"/>
      <c r="C63" s="49" t="n"/>
      <c r="D63" s="49" t="n"/>
      <c r="E63" s="49" t="n"/>
      <c r="F63" s="49" t="n"/>
      <c r="G63" s="49" t="n"/>
      <c r="H63" s="49" t="n"/>
      <c r="I63" s="49" t="n"/>
    </row>
    <row r="64">
      <c r="B64" s="49" t="n"/>
      <c r="C64" s="49" t="n"/>
      <c r="D64" s="49" t="n"/>
      <c r="E64" s="49" t="n"/>
      <c r="F64" s="49" t="n"/>
      <c r="G64" s="49" t="n"/>
      <c r="H64" s="49" t="n"/>
      <c r="I64" s="49" t="n"/>
    </row>
    <row r="65">
      <c r="B65" s="49" t="n"/>
      <c r="C65" s="49" t="n"/>
      <c r="D65" s="49" t="n"/>
      <c r="E65" s="49" t="n"/>
      <c r="F65" s="49" t="n"/>
      <c r="G65" s="49" t="n"/>
      <c r="H65" s="49" t="n"/>
      <c r="I65" s="49" t="n"/>
    </row>
    <row r="66">
      <c r="B66" s="49" t="n"/>
      <c r="C66" s="49" t="n"/>
      <c r="D66" s="49" t="n"/>
      <c r="E66" s="49" t="n"/>
      <c r="F66" s="49" t="n"/>
      <c r="G66" s="49" t="n"/>
      <c r="H66" s="49" t="n"/>
      <c r="I66" s="49" t="n"/>
    </row>
    <row r="67">
      <c r="B67" s="49" t="n"/>
      <c r="C67" s="49" t="n"/>
      <c r="D67" s="49" t="n"/>
      <c r="E67" s="49" t="n"/>
      <c r="F67" s="49" t="n"/>
      <c r="G67" s="49" t="n"/>
      <c r="H67" s="49" t="n"/>
      <c r="I67" s="49" t="n"/>
    </row>
    <row r="68">
      <c r="B68" s="49" t="n"/>
      <c r="C68" s="49" t="n"/>
      <c r="D68" s="49" t="n"/>
      <c r="E68" s="49" t="n"/>
      <c r="F68" s="49" t="n"/>
      <c r="G68" s="49" t="n"/>
      <c r="H68" s="49" t="n"/>
      <c r="I68" s="49" t="n"/>
    </row>
    <row r="69">
      <c r="B69" s="49" t="n"/>
      <c r="C69" s="49" t="n"/>
      <c r="D69" s="49" t="n"/>
      <c r="E69" s="49" t="n"/>
      <c r="F69" s="49" t="n"/>
      <c r="G69" s="49" t="n"/>
      <c r="H69" s="49" t="n"/>
      <c r="I69" s="49" t="n"/>
    </row>
    <row r="70">
      <c r="B70" s="49" t="n"/>
      <c r="C70" s="49" t="n"/>
      <c r="D70" s="49" t="n"/>
      <c r="E70" s="49" t="n"/>
      <c r="F70" s="49" t="n"/>
      <c r="G70" s="49" t="n"/>
      <c r="H70" s="49" t="n"/>
      <c r="I70" s="49" t="n"/>
    </row>
    <row r="71">
      <c r="B71" s="49" t="n"/>
      <c r="C71" s="49" t="n"/>
      <c r="D71" s="49" t="n"/>
      <c r="E71" s="49" t="n"/>
      <c r="F71" s="49" t="n"/>
      <c r="G71" s="49" t="n"/>
      <c r="H71" s="49" t="n"/>
      <c r="I71" s="49" t="n"/>
    </row>
    <row r="72">
      <c r="B72" s="49" t="n"/>
      <c r="C72" s="49" t="n"/>
      <c r="D72" s="49" t="n"/>
      <c r="E72" s="49" t="n"/>
      <c r="F72" s="49" t="n"/>
      <c r="G72" s="49" t="n"/>
      <c r="H72" s="49" t="n"/>
      <c r="I72" s="49" t="n"/>
    </row>
    <row r="73">
      <c r="B73" s="49" t="n"/>
      <c r="C73" s="49" t="n"/>
      <c r="D73" s="49" t="n"/>
      <c r="E73" s="49" t="n"/>
      <c r="F73" s="49" t="n"/>
      <c r="G73" s="49" t="n"/>
      <c r="H73" s="49" t="n"/>
      <c r="I73" s="49" t="n"/>
    </row>
    <row r="74">
      <c r="B74" s="49" t="n"/>
      <c r="C74" s="49" t="n"/>
      <c r="D74" s="49" t="n"/>
      <c r="E74" s="49" t="n"/>
      <c r="F74" s="49" t="n"/>
      <c r="G74" s="49" t="n"/>
      <c r="H74" s="49" t="n"/>
      <c r="I74" s="49" t="n"/>
    </row>
    <row r="75">
      <c r="B75" s="49" t="n"/>
      <c r="C75" s="49" t="n"/>
      <c r="D75" s="49" t="n"/>
      <c r="E75" s="49" t="n"/>
      <c r="F75" s="49" t="n"/>
      <c r="G75" s="49" t="n"/>
      <c r="H75" s="49" t="n"/>
      <c r="I75" s="49" t="n"/>
    </row>
    <row r="76">
      <c r="B76" s="49" t="n"/>
      <c r="C76" s="49" t="n"/>
      <c r="D76" s="49" t="n"/>
      <c r="E76" s="49" t="n"/>
      <c r="F76" s="49" t="n"/>
      <c r="G76" s="49" t="n"/>
      <c r="H76" s="49" t="n"/>
      <c r="I76" s="49" t="n"/>
    </row>
    <row r="77">
      <c r="B77" s="49" t="n"/>
      <c r="C77" s="49" t="n"/>
      <c r="D77" s="49" t="n"/>
      <c r="E77" s="49" t="n"/>
      <c r="F77" s="49" t="n"/>
      <c r="G77" s="49" t="n"/>
      <c r="H77" s="49" t="n"/>
      <c r="I77" s="49" t="n"/>
    </row>
    <row r="78">
      <c r="B78" s="49" t="n"/>
      <c r="C78" s="49" t="n"/>
      <c r="D78" s="49" t="n"/>
      <c r="E78" s="49" t="n"/>
      <c r="F78" s="49" t="n"/>
      <c r="G78" s="49" t="n"/>
      <c r="H78" s="49" t="n"/>
      <c r="I78" s="49" t="n"/>
    </row>
    <row r="79">
      <c r="B79" s="49" t="n"/>
      <c r="C79" s="49" t="n"/>
      <c r="D79" s="49" t="n"/>
      <c r="E79" s="49" t="n"/>
      <c r="F79" s="49" t="n"/>
      <c r="G79" s="49" t="n"/>
      <c r="H79" s="49" t="n"/>
      <c r="I79" s="49" t="n"/>
    </row>
    <row r="80">
      <c r="B80" s="49" t="n"/>
      <c r="C80" s="49" t="n"/>
      <c r="D80" s="49" t="n"/>
      <c r="E80" s="49" t="n"/>
      <c r="F80" s="49" t="n"/>
      <c r="G80" s="49" t="n"/>
      <c r="H80" s="49" t="n"/>
      <c r="I80" s="49" t="n"/>
    </row>
    <row r="81">
      <c r="B81" s="49" t="n"/>
      <c r="C81" s="49" t="n"/>
      <c r="D81" s="49" t="n"/>
      <c r="E81" s="49" t="n"/>
      <c r="F81" s="49" t="n"/>
      <c r="G81" s="49" t="n"/>
      <c r="H81" s="49" t="n"/>
      <c r="I81" s="49" t="n"/>
    </row>
    <row r="82">
      <c r="B82" s="49" t="n"/>
      <c r="C82" s="49" t="n"/>
      <c r="D82" s="49" t="n"/>
      <c r="E82" s="49" t="n"/>
      <c r="F82" s="49" t="n"/>
      <c r="G82" s="49" t="n"/>
      <c r="H82" s="49" t="n"/>
      <c r="I82" s="49" t="n"/>
    </row>
    <row r="83">
      <c r="B83" s="49" t="n"/>
      <c r="C83" s="49" t="n"/>
      <c r="D83" s="49" t="n"/>
      <c r="E83" s="49" t="n"/>
      <c r="F83" s="49" t="n"/>
      <c r="G83" s="49" t="n"/>
      <c r="H83" s="49" t="n"/>
      <c r="I83" s="49" t="n"/>
    </row>
    <row r="84">
      <c r="B84" s="49" t="n"/>
      <c r="C84" s="49" t="n"/>
      <c r="D84" s="49" t="n"/>
      <c r="E84" s="49" t="n"/>
      <c r="F84" s="49" t="n"/>
      <c r="G84" s="49" t="n"/>
      <c r="H84" s="49" t="n"/>
      <c r="I84" s="49" t="n"/>
    </row>
    <row r="85">
      <c r="B85" s="49" t="n"/>
      <c r="C85" s="49" t="n"/>
      <c r="D85" s="49" t="n"/>
      <c r="E85" s="49" t="n"/>
      <c r="F85" s="49" t="n"/>
      <c r="G85" s="49" t="n"/>
      <c r="H85" s="49" t="n"/>
      <c r="I85" s="49" t="n"/>
    </row>
    <row r="86">
      <c r="B86" s="49" t="n"/>
      <c r="C86" s="49" t="n"/>
      <c r="D86" s="49" t="n"/>
      <c r="E86" s="49" t="n"/>
      <c r="F86" s="49" t="n"/>
      <c r="G86" s="49" t="n"/>
      <c r="H86" s="49" t="n"/>
      <c r="I86" s="49" t="n"/>
    </row>
    <row r="87">
      <c r="B87" s="49" t="n"/>
      <c r="C87" s="49" t="n"/>
      <c r="D87" s="49" t="n"/>
      <c r="E87" s="49" t="n"/>
      <c r="F87" s="49" t="n"/>
      <c r="G87" s="49" t="n"/>
      <c r="H87" s="49" t="n"/>
      <c r="I87" s="49" t="n"/>
    </row>
    <row r="88">
      <c r="B88" s="49" t="n"/>
      <c r="C88" s="49" t="n"/>
      <c r="D88" s="49" t="n"/>
      <c r="E88" s="49" t="n"/>
      <c r="F88" s="49" t="n"/>
      <c r="G88" s="49" t="n"/>
      <c r="H88" s="49" t="n"/>
      <c r="I88" s="49" t="n"/>
    </row>
    <row r="89">
      <c r="B89" s="49" t="n"/>
      <c r="C89" s="49" t="n"/>
      <c r="D89" s="49" t="n"/>
      <c r="E89" s="49" t="n"/>
      <c r="F89" s="49" t="n"/>
      <c r="G89" s="49" t="n"/>
      <c r="H89" s="49" t="n"/>
      <c r="I89" s="49" t="n"/>
    </row>
    <row r="90">
      <c r="B90" s="49" t="n"/>
      <c r="C90" s="49" t="n"/>
      <c r="D90" s="49" t="n"/>
      <c r="E90" s="49" t="n"/>
      <c r="F90" s="49" t="n"/>
      <c r="G90" s="49" t="n"/>
      <c r="H90" s="49" t="n"/>
      <c r="I90" s="49" t="n"/>
    </row>
    <row r="91">
      <c r="B91" s="49" t="n"/>
      <c r="C91" s="49" t="n"/>
      <c r="D91" s="49" t="n"/>
      <c r="E91" s="49" t="n"/>
      <c r="F91" s="49" t="n"/>
      <c r="G91" s="49" t="n"/>
      <c r="H91" s="49" t="n"/>
      <c r="I91" s="49" t="n"/>
    </row>
    <row r="92">
      <c r="B92" s="49" t="n"/>
      <c r="C92" s="49" t="n"/>
      <c r="D92" s="49" t="n"/>
      <c r="E92" s="49" t="n"/>
      <c r="F92" s="49" t="n"/>
      <c r="G92" s="49" t="n"/>
      <c r="H92" s="49" t="n"/>
      <c r="I92" s="49" t="n"/>
    </row>
    <row r="93">
      <c r="B93" s="49" t="n"/>
      <c r="C93" s="49" t="n"/>
      <c r="D93" s="49" t="n"/>
      <c r="E93" s="49" t="n"/>
      <c r="F93" s="49" t="n"/>
      <c r="G93" s="49" t="n"/>
      <c r="H93" s="49" t="n"/>
      <c r="I93" s="49" t="n"/>
    </row>
    <row r="94">
      <c r="B94" s="49" t="n"/>
      <c r="C94" s="49" t="n"/>
      <c r="D94" s="49" t="n"/>
      <c r="E94" s="49" t="n"/>
      <c r="F94" s="49" t="n"/>
      <c r="G94" s="49" t="n"/>
      <c r="H94" s="49" t="n"/>
      <c r="I94" s="49" t="n"/>
    </row>
    <row r="95">
      <c r="B95" s="49" t="n"/>
      <c r="C95" s="49" t="n"/>
      <c r="D95" s="49" t="n"/>
      <c r="E95" s="49" t="n"/>
      <c r="F95" s="49" t="n"/>
      <c r="G95" s="49" t="n"/>
      <c r="H95" s="49" t="n"/>
      <c r="I95" s="49" t="n"/>
    </row>
    <row r="96">
      <c r="B96" s="49" t="n"/>
      <c r="C96" s="49" t="n"/>
      <c r="D96" s="49" t="n"/>
      <c r="E96" s="49" t="n"/>
      <c r="F96" s="49" t="n"/>
      <c r="G96" s="49" t="n"/>
      <c r="H96" s="49" t="n"/>
      <c r="I96" s="49" t="n"/>
    </row>
    <row r="97">
      <c r="B97" s="49" t="n"/>
      <c r="C97" s="49" t="n"/>
      <c r="D97" s="49" t="n"/>
      <c r="E97" s="49" t="n"/>
      <c r="F97" s="49" t="n"/>
      <c r="G97" s="49" t="n"/>
      <c r="H97" s="49" t="n"/>
      <c r="I97" s="49" t="n"/>
    </row>
    <row r="98">
      <c r="B98" s="49" t="n"/>
      <c r="C98" s="49" t="n"/>
      <c r="D98" s="49" t="n"/>
      <c r="E98" s="49" t="n"/>
      <c r="F98" s="49" t="n"/>
      <c r="G98" s="49" t="n"/>
      <c r="H98" s="49" t="n"/>
      <c r="I98" s="49" t="n"/>
    </row>
    <row r="99">
      <c r="B99" s="49" t="n"/>
      <c r="C99" s="49" t="n"/>
      <c r="D99" s="49" t="n"/>
      <c r="E99" s="49" t="n"/>
      <c r="F99" s="49" t="n"/>
      <c r="G99" s="49" t="n"/>
      <c r="H99" s="49" t="n"/>
      <c r="I99" s="49" t="n"/>
    </row>
    <row r="100">
      <c r="B100" s="49" t="n"/>
      <c r="C100" s="49" t="n"/>
      <c r="D100" s="49" t="n"/>
      <c r="E100" s="49" t="n"/>
      <c r="F100" s="49" t="n"/>
      <c r="G100" s="49" t="n"/>
      <c r="H100" s="49" t="n"/>
      <c r="I100" s="49" t="n"/>
    </row>
    <row r="101">
      <c r="B101" s="49" t="n"/>
      <c r="C101" s="49" t="n"/>
      <c r="D101" s="49" t="n"/>
      <c r="E101" s="49" t="n"/>
      <c r="F101" s="49" t="n"/>
      <c r="G101" s="49" t="n"/>
      <c r="H101" s="49" t="n"/>
      <c r="I101" s="49" t="n"/>
    </row>
    <row r="102">
      <c r="B102" s="49" t="n"/>
      <c r="C102" s="49" t="n"/>
      <c r="D102" s="49" t="n"/>
      <c r="E102" s="49" t="n"/>
      <c r="F102" s="49" t="n"/>
      <c r="G102" s="49" t="n"/>
      <c r="H102" s="49" t="n"/>
      <c r="I102" s="49" t="n"/>
    </row>
    <row r="103">
      <c r="B103" s="49" t="n"/>
      <c r="C103" s="49" t="n"/>
      <c r="D103" s="49" t="n"/>
      <c r="E103" s="49" t="n"/>
      <c r="F103" s="49" t="n"/>
      <c r="G103" s="49" t="n"/>
      <c r="H103" s="49" t="n"/>
      <c r="I103" s="49" t="n"/>
    </row>
    <row r="104">
      <c r="B104" s="49" t="n"/>
      <c r="C104" s="49" t="n"/>
      <c r="D104" s="49" t="n"/>
      <c r="E104" s="49" t="n"/>
      <c r="F104" s="49" t="n"/>
      <c r="G104" s="49" t="n"/>
      <c r="H104" s="49" t="n"/>
      <c r="I104" s="49" t="n"/>
    </row>
    <row r="105">
      <c r="B105" s="49" t="n"/>
      <c r="C105" s="49" t="n"/>
      <c r="D105" s="49" t="n"/>
      <c r="E105" s="49" t="n"/>
      <c r="F105" s="49" t="n"/>
      <c r="G105" s="49" t="n"/>
      <c r="H105" s="49" t="n"/>
      <c r="I105" s="49" t="n"/>
    </row>
    <row r="106">
      <c r="B106" s="49" t="n"/>
      <c r="C106" s="49" t="n"/>
      <c r="D106" s="49" t="n"/>
      <c r="E106" s="49" t="n"/>
      <c r="F106" s="49" t="n"/>
      <c r="G106" s="49" t="n"/>
      <c r="H106" s="49" t="n"/>
      <c r="I106" s="49" t="n"/>
    </row>
    <row r="107">
      <c r="B107" s="49" t="n"/>
      <c r="C107" s="49" t="n"/>
      <c r="D107" s="49" t="n"/>
      <c r="E107" s="49" t="n"/>
      <c r="F107" s="49" t="n"/>
      <c r="G107" s="49" t="n"/>
      <c r="H107" s="49" t="n"/>
      <c r="I107" s="49" t="n"/>
    </row>
    <row r="108">
      <c r="B108" s="49" t="n"/>
      <c r="C108" s="49" t="n"/>
      <c r="D108" s="49" t="n"/>
      <c r="E108" s="49" t="n"/>
      <c r="F108" s="49" t="n"/>
      <c r="G108" s="49" t="n"/>
      <c r="H108" s="49" t="n"/>
      <c r="I108" s="49" t="n"/>
    </row>
    <row r="109">
      <c r="B109" s="49" t="n"/>
      <c r="C109" s="49" t="n"/>
      <c r="D109" s="49" t="n"/>
      <c r="E109" s="49" t="n"/>
      <c r="F109" s="49" t="n"/>
      <c r="G109" s="49" t="n"/>
      <c r="H109" s="49" t="n"/>
      <c r="I109" s="49" t="n"/>
    </row>
    <row r="110">
      <c r="B110" s="49" t="n"/>
      <c r="C110" s="49" t="n"/>
      <c r="D110" s="49" t="n"/>
      <c r="E110" s="49" t="n"/>
      <c r="F110" s="49" t="n"/>
      <c r="G110" s="49" t="n"/>
      <c r="H110" s="49" t="n"/>
      <c r="I110" s="49" t="n"/>
    </row>
    <row r="111">
      <c r="B111" s="49" t="n"/>
      <c r="C111" s="49" t="n"/>
      <c r="D111" s="49" t="n"/>
      <c r="E111" s="49" t="n"/>
      <c r="F111" s="49" t="n"/>
      <c r="G111" s="49" t="n"/>
      <c r="H111" s="49" t="n"/>
      <c r="I111" s="49" t="n"/>
    </row>
    <row r="112">
      <c r="B112" s="49" t="n"/>
      <c r="C112" s="49" t="n"/>
      <c r="D112" s="49" t="n"/>
      <c r="E112" s="49" t="n"/>
      <c r="F112" s="49" t="n"/>
      <c r="G112" s="49" t="n"/>
      <c r="H112" s="49" t="n"/>
      <c r="I112" s="49" t="n"/>
    </row>
    <row r="113">
      <c r="B113" s="49" t="n"/>
      <c r="C113" s="49" t="n"/>
      <c r="D113" s="49" t="n"/>
      <c r="E113" s="49" t="n"/>
      <c r="F113" s="49" t="n"/>
      <c r="G113" s="49" t="n"/>
      <c r="H113" s="49" t="n"/>
      <c r="I113" s="49" t="n"/>
    </row>
    <row r="114">
      <c r="B114" s="49" t="n"/>
      <c r="C114" s="49" t="n"/>
      <c r="D114" s="49" t="n"/>
      <c r="E114" s="49" t="n"/>
      <c r="F114" s="49" t="n"/>
      <c r="G114" s="49" t="n"/>
      <c r="H114" s="49" t="n"/>
      <c r="I114" s="49" t="n"/>
    </row>
    <row r="115">
      <c r="B115" s="49" t="n"/>
      <c r="C115" s="49" t="n"/>
      <c r="D115" s="49" t="n"/>
      <c r="E115" s="49" t="n"/>
      <c r="F115" s="49" t="n"/>
      <c r="G115" s="49" t="n"/>
      <c r="H115" s="49" t="n"/>
      <c r="I115" s="49" t="n"/>
    </row>
    <row r="116">
      <c r="B116" s="49" t="n"/>
      <c r="C116" s="49" t="n"/>
      <c r="D116" s="49" t="n"/>
      <c r="E116" s="49" t="n"/>
      <c r="F116" s="49" t="n"/>
      <c r="G116" s="49" t="n"/>
      <c r="H116" s="49" t="n"/>
      <c r="I116" s="49" t="n"/>
    </row>
    <row r="117">
      <c r="B117" s="49" t="n"/>
      <c r="C117" s="49" t="n"/>
      <c r="D117" s="49" t="n"/>
      <c r="E117" s="49" t="n"/>
      <c r="F117" s="49" t="n"/>
      <c r="G117" s="49" t="n"/>
      <c r="H117" s="49" t="n"/>
      <c r="I117" s="49" t="n"/>
    </row>
    <row r="118">
      <c r="B118" s="49" t="n"/>
      <c r="C118" s="49" t="n"/>
      <c r="D118" s="49" t="n"/>
      <c r="E118" s="49" t="n"/>
      <c r="F118" s="49" t="n"/>
      <c r="G118" s="49" t="n"/>
      <c r="H118" s="49" t="n"/>
      <c r="I118" s="49" t="n"/>
    </row>
    <row r="119">
      <c r="B119" s="49" t="n"/>
      <c r="C119" s="49" t="n"/>
      <c r="D119" s="49" t="n"/>
      <c r="E119" s="49" t="n"/>
      <c r="F119" s="49" t="n"/>
      <c r="G119" s="49" t="n"/>
      <c r="H119" s="49" t="n"/>
      <c r="I119" s="49" t="n"/>
    </row>
    <row r="120">
      <c r="B120" s="49" t="n"/>
      <c r="C120" s="49" t="n"/>
      <c r="D120" s="49" t="n"/>
      <c r="E120" s="49" t="n"/>
      <c r="F120" s="49" t="n"/>
      <c r="G120" s="49" t="n"/>
      <c r="H120" s="49" t="n"/>
      <c r="I120" s="49" t="n"/>
    </row>
    <row r="121">
      <c r="B121" s="49" t="n"/>
      <c r="C121" s="49" t="n"/>
      <c r="D121" s="49" t="n"/>
      <c r="E121" s="49" t="n"/>
      <c r="F121" s="49" t="n"/>
      <c r="G121" s="49" t="n"/>
      <c r="H121" s="49" t="n"/>
      <c r="I121" s="49" t="n"/>
    </row>
    <row r="122">
      <c r="B122" s="49" t="n"/>
      <c r="C122" s="49" t="n"/>
      <c r="D122" s="49" t="n"/>
      <c r="E122" s="49" t="n"/>
      <c r="F122" s="49" t="n"/>
      <c r="G122" s="49" t="n"/>
      <c r="H122" s="49" t="n"/>
      <c r="I122" s="49" t="n"/>
    </row>
    <row r="123">
      <c r="B123" s="49" t="n"/>
      <c r="C123" s="49" t="n"/>
      <c r="D123" s="49" t="n"/>
      <c r="E123" s="49" t="n"/>
      <c r="F123" s="49" t="n"/>
      <c r="G123" s="49" t="n"/>
      <c r="H123" s="49" t="n"/>
      <c r="I123" s="49" t="n"/>
    </row>
    <row r="124">
      <c r="B124" s="49" t="n"/>
      <c r="C124" s="49" t="n"/>
      <c r="D124" s="49" t="n"/>
      <c r="E124" s="49" t="n"/>
      <c r="F124" s="49" t="n"/>
      <c r="G124" s="49" t="n"/>
      <c r="H124" s="49" t="n"/>
      <c r="I124" s="49" t="n"/>
    </row>
    <row r="125">
      <c r="B125" s="49" t="n"/>
      <c r="C125" s="49" t="n"/>
      <c r="D125" s="49" t="n"/>
      <c r="E125" s="49" t="n"/>
      <c r="F125" s="49" t="n"/>
      <c r="G125" s="49" t="n"/>
      <c r="H125" s="49" t="n"/>
      <c r="I125" s="49" t="n"/>
    </row>
    <row r="126">
      <c r="B126" s="49" t="n"/>
      <c r="C126" s="49" t="n"/>
      <c r="D126" s="49" t="n"/>
      <c r="E126" s="49" t="n"/>
      <c r="F126" s="49" t="n"/>
      <c r="G126" s="49" t="n"/>
      <c r="H126" s="49" t="n"/>
      <c r="I126" s="49" t="n"/>
    </row>
    <row r="127">
      <c r="B127" s="49" t="n"/>
      <c r="C127" s="49" t="n"/>
      <c r="D127" s="49" t="n"/>
      <c r="E127" s="49" t="n"/>
      <c r="F127" s="49" t="n"/>
      <c r="G127" s="49" t="n"/>
      <c r="H127" s="49" t="n"/>
      <c r="I127" s="49" t="n"/>
    </row>
    <row r="128">
      <c r="B128" s="49" t="n"/>
      <c r="C128" s="49" t="n"/>
      <c r="D128" s="49" t="n"/>
      <c r="E128" s="49" t="n"/>
      <c r="F128" s="49" t="n"/>
      <c r="G128" s="49" t="n"/>
      <c r="H128" s="49" t="n"/>
      <c r="I128" s="49" t="n"/>
    </row>
    <row r="129">
      <c r="B129" s="49" t="n"/>
      <c r="C129" s="49" t="n"/>
      <c r="D129" s="49" t="n"/>
      <c r="E129" s="49" t="n"/>
      <c r="F129" s="49" t="n"/>
      <c r="G129" s="49" t="n"/>
      <c r="H129" s="49" t="n"/>
      <c r="I129" s="49" t="n"/>
    </row>
    <row r="130">
      <c r="B130" s="49" t="n"/>
      <c r="C130" s="49" t="n"/>
      <c r="D130" s="49" t="n"/>
      <c r="E130" s="49" t="n"/>
      <c r="F130" s="49" t="n"/>
      <c r="G130" s="49" t="n"/>
      <c r="H130" s="49" t="n"/>
      <c r="I130" s="49" t="n"/>
    </row>
    <row r="131">
      <c r="B131" s="49" t="n"/>
      <c r="C131" s="49" t="n"/>
      <c r="D131" s="49" t="n"/>
      <c r="E131" s="49" t="n"/>
      <c r="F131" s="49" t="n"/>
      <c r="G131" s="49" t="n"/>
      <c r="H131" s="49" t="n"/>
      <c r="I131" s="49" t="n"/>
    </row>
    <row r="132">
      <c r="B132" s="49" t="n"/>
      <c r="C132" s="49" t="n"/>
      <c r="D132" s="49" t="n"/>
      <c r="E132" s="49" t="n"/>
      <c r="F132" s="49" t="n"/>
      <c r="G132" s="49" t="n"/>
      <c r="H132" s="49" t="n"/>
      <c r="I132" s="49" t="n"/>
    </row>
    <row r="133">
      <c r="B133" s="49" t="n"/>
      <c r="C133" s="49" t="n"/>
      <c r="D133" s="49" t="n"/>
      <c r="E133" s="49" t="n"/>
      <c r="F133" s="49" t="n"/>
      <c r="G133" s="49" t="n"/>
      <c r="H133" s="49" t="n"/>
      <c r="I133" s="49" t="n"/>
    </row>
    <row r="134">
      <c r="B134" s="49" t="n"/>
      <c r="C134" s="49" t="n"/>
      <c r="D134" s="49" t="n"/>
      <c r="E134" s="49" t="n"/>
      <c r="F134" s="49" t="n"/>
      <c r="G134" s="49" t="n"/>
      <c r="H134" s="49" t="n"/>
      <c r="I134" s="49" t="n"/>
    </row>
    <row r="135">
      <c r="B135" s="49" t="n"/>
      <c r="C135" s="49" t="n"/>
      <c r="D135" s="49" t="n"/>
      <c r="E135" s="49" t="n"/>
      <c r="F135" s="49" t="n"/>
      <c r="G135" s="49" t="n"/>
      <c r="H135" s="49" t="n"/>
      <c r="I135" s="49" t="n"/>
    </row>
    <row r="136">
      <c r="B136" s="49" t="n"/>
      <c r="C136" s="49" t="n"/>
      <c r="D136" s="49" t="n"/>
      <c r="E136" s="49" t="n"/>
      <c r="F136" s="49" t="n"/>
      <c r="G136" s="49" t="n"/>
      <c r="H136" s="49" t="n"/>
      <c r="I136" s="49" t="n"/>
    </row>
    <row r="137">
      <c r="B137" s="49" t="n"/>
      <c r="C137" s="49" t="n"/>
      <c r="D137" s="49" t="n"/>
      <c r="E137" s="49" t="n"/>
      <c r="F137" s="49" t="n"/>
      <c r="G137" s="49" t="n"/>
      <c r="H137" s="49" t="n"/>
      <c r="I137" s="49" t="n"/>
    </row>
    <row r="138">
      <c r="B138" s="49" t="n"/>
      <c r="C138" s="49" t="n"/>
      <c r="D138" s="49" t="n"/>
      <c r="E138" s="49" t="n"/>
      <c r="F138" s="49" t="n"/>
      <c r="G138" s="49" t="n"/>
      <c r="H138" s="49" t="n"/>
      <c r="I138" s="49" t="n"/>
    </row>
    <row r="139">
      <c r="B139" s="49" t="n"/>
      <c r="C139" s="49" t="n"/>
      <c r="D139" s="49" t="n"/>
      <c r="E139" s="49" t="n"/>
      <c r="F139" s="49" t="n"/>
      <c r="G139" s="49" t="n"/>
      <c r="H139" s="49" t="n"/>
      <c r="I139" s="49" t="n"/>
    </row>
    <row r="140">
      <c r="B140" s="49" t="n"/>
      <c r="C140" s="49" t="n"/>
      <c r="D140" s="49" t="n"/>
      <c r="E140" s="49" t="n"/>
      <c r="F140" s="49" t="n"/>
      <c r="G140" s="49" t="n"/>
      <c r="H140" s="49" t="n"/>
      <c r="I140" s="49" t="n"/>
    </row>
    <row r="141">
      <c r="B141" s="49" t="n"/>
      <c r="C141" s="49" t="n"/>
      <c r="D141" s="49" t="n"/>
      <c r="E141" s="49" t="n"/>
      <c r="F141" s="49" t="n"/>
      <c r="G141" s="49" t="n"/>
      <c r="H141" s="49" t="n"/>
      <c r="I141" s="49" t="n"/>
    </row>
    <row r="142">
      <c r="B142" s="49" t="n"/>
      <c r="C142" s="49" t="n"/>
      <c r="D142" s="49" t="n"/>
      <c r="E142" s="49" t="n"/>
      <c r="F142" s="49" t="n"/>
      <c r="G142" s="49" t="n"/>
      <c r="H142" s="49" t="n"/>
      <c r="I142" s="49" t="n"/>
    </row>
    <row r="143">
      <c r="B143" s="49" t="n"/>
      <c r="C143" s="49" t="n"/>
      <c r="D143" s="49" t="n"/>
      <c r="E143" s="49" t="n"/>
      <c r="F143" s="49" t="n"/>
      <c r="G143" s="49" t="n"/>
      <c r="H143" s="49" t="n"/>
      <c r="I143" s="49" t="n"/>
    </row>
    <row r="144">
      <c r="B144" s="49" t="n"/>
      <c r="C144" s="49" t="n"/>
      <c r="D144" s="49" t="n"/>
      <c r="E144" s="49" t="n"/>
      <c r="F144" s="49" t="n"/>
      <c r="G144" s="49" t="n"/>
      <c r="H144" s="49" t="n"/>
      <c r="I144" s="49" t="n"/>
    </row>
    <row r="145">
      <c r="B145" s="49" t="n"/>
      <c r="C145" s="49" t="n"/>
      <c r="D145" s="49" t="n"/>
      <c r="E145" s="49" t="n"/>
      <c r="F145" s="49" t="n"/>
      <c r="G145" s="49" t="n"/>
      <c r="H145" s="49" t="n"/>
      <c r="I145" s="49" t="n"/>
    </row>
    <row r="146">
      <c r="B146" s="49" t="n"/>
      <c r="C146" s="49" t="n"/>
      <c r="D146" s="49" t="n"/>
      <c r="E146" s="49" t="n"/>
      <c r="F146" s="49" t="n"/>
      <c r="G146" s="49" t="n"/>
      <c r="H146" s="49" t="n"/>
      <c r="I146" s="49" t="n"/>
    </row>
    <row r="147">
      <c r="B147" s="49" t="n"/>
      <c r="C147" s="49" t="n"/>
      <c r="D147" s="49" t="n"/>
      <c r="E147" s="49" t="n"/>
      <c r="F147" s="49" t="n"/>
      <c r="G147" s="49" t="n"/>
      <c r="H147" s="49" t="n"/>
      <c r="I147" s="49" t="n"/>
    </row>
    <row r="148">
      <c r="B148" s="49" t="n"/>
      <c r="C148" s="49" t="n"/>
      <c r="D148" s="49" t="n"/>
      <c r="E148" s="49" t="n"/>
      <c r="F148" s="49" t="n"/>
      <c r="G148" s="49" t="n"/>
      <c r="H148" s="49" t="n"/>
      <c r="I148" s="49" t="n"/>
    </row>
    <row r="149">
      <c r="B149" s="49" t="n"/>
      <c r="C149" s="49" t="n"/>
      <c r="D149" s="49" t="n"/>
      <c r="E149" s="49" t="n"/>
      <c r="F149" s="49" t="n"/>
      <c r="G149" s="49" t="n"/>
      <c r="H149" s="49" t="n"/>
      <c r="I149" s="49" t="n"/>
    </row>
    <row r="150">
      <c r="B150" s="49" t="n"/>
      <c r="C150" s="49" t="n"/>
      <c r="D150" s="49" t="n"/>
      <c r="E150" s="49" t="n"/>
      <c r="F150" s="49" t="n"/>
      <c r="G150" s="49" t="n"/>
      <c r="H150" s="49" t="n"/>
      <c r="I150" s="49" t="n"/>
    </row>
    <row r="151">
      <c r="B151" s="49" t="n"/>
      <c r="C151" s="49" t="n"/>
      <c r="D151" s="49" t="n"/>
      <c r="E151" s="49" t="n"/>
      <c r="F151" s="49" t="n"/>
      <c r="G151" s="49" t="n"/>
      <c r="H151" s="49" t="n"/>
      <c r="I151" s="49" t="n"/>
    </row>
    <row r="152">
      <c r="B152" s="49" t="n"/>
      <c r="C152" s="49" t="n"/>
      <c r="D152" s="49" t="n"/>
      <c r="E152" s="49" t="n"/>
      <c r="F152" s="49" t="n"/>
      <c r="G152" s="49" t="n"/>
      <c r="H152" s="49" t="n"/>
      <c r="I152" s="49" t="n"/>
    </row>
    <row r="153">
      <c r="B153" s="49" t="n"/>
      <c r="C153" s="49" t="n"/>
      <c r="D153" s="49" t="n"/>
      <c r="E153" s="49" t="n"/>
      <c r="F153" s="49" t="n"/>
      <c r="G153" s="49" t="n"/>
      <c r="H153" s="49" t="n"/>
      <c r="I153" s="49" t="n"/>
    </row>
    <row r="154">
      <c r="B154" s="49" t="n"/>
      <c r="C154" s="49" t="n"/>
      <c r="D154" s="49" t="n"/>
      <c r="E154" s="49" t="n"/>
      <c r="F154" s="49" t="n"/>
      <c r="G154" s="49" t="n"/>
      <c r="H154" s="49" t="n"/>
      <c r="I154" s="49" t="n"/>
    </row>
    <row r="155">
      <c r="B155" s="49" t="n"/>
      <c r="C155" s="49" t="n"/>
      <c r="D155" s="49" t="n"/>
      <c r="E155" s="49" t="n"/>
      <c r="F155" s="49" t="n"/>
      <c r="G155" s="49" t="n"/>
      <c r="H155" s="49" t="n"/>
      <c r="I155" s="49" t="n"/>
    </row>
    <row r="156">
      <c r="B156" s="49" t="n"/>
      <c r="C156" s="49" t="n"/>
      <c r="D156" s="49" t="n"/>
      <c r="E156" s="49" t="n"/>
      <c r="F156" s="49" t="n"/>
      <c r="G156" s="49" t="n"/>
      <c r="H156" s="49" t="n"/>
      <c r="I156" s="49" t="n"/>
    </row>
    <row r="157">
      <c r="B157" s="49" t="n"/>
      <c r="C157" s="49" t="n"/>
      <c r="D157" s="49" t="n"/>
      <c r="E157" s="49" t="n"/>
      <c r="F157" s="49" t="n"/>
      <c r="G157" s="49" t="n"/>
      <c r="H157" s="49" t="n"/>
      <c r="I157" s="49" t="n"/>
    </row>
    <row r="158">
      <c r="B158" s="49" t="n"/>
      <c r="C158" s="49" t="n"/>
      <c r="D158" s="49" t="n"/>
      <c r="E158" s="49" t="n"/>
      <c r="F158" s="49" t="n"/>
      <c r="G158" s="49" t="n"/>
      <c r="H158" s="49" t="n"/>
      <c r="I158" s="49" t="n"/>
    </row>
    <row r="159">
      <c r="B159" s="49" t="n"/>
      <c r="C159" s="49" t="n"/>
      <c r="D159" s="49" t="n"/>
      <c r="E159" s="49" t="n"/>
      <c r="F159" s="49" t="n"/>
      <c r="G159" s="49" t="n"/>
      <c r="H159" s="49" t="n"/>
      <c r="I159" s="49" t="n"/>
    </row>
    <row r="160">
      <c r="B160" s="49" t="n"/>
      <c r="C160" s="49" t="n"/>
      <c r="D160" s="49" t="n"/>
      <c r="E160" s="49" t="n"/>
      <c r="F160" s="49" t="n"/>
      <c r="G160" s="49" t="n"/>
      <c r="H160" s="49" t="n"/>
      <c r="I160" s="49" t="n"/>
    </row>
    <row r="161">
      <c r="B161" s="49" t="n"/>
      <c r="C161" s="49" t="n"/>
      <c r="D161" s="49" t="n"/>
      <c r="E161" s="49" t="n"/>
      <c r="F161" s="49" t="n"/>
      <c r="G161" s="49" t="n"/>
      <c r="H161" s="49" t="n"/>
      <c r="I161" s="49" t="n"/>
    </row>
    <row r="162">
      <c r="B162" s="49" t="n"/>
      <c r="C162" s="49" t="n"/>
      <c r="D162" s="49" t="n"/>
      <c r="E162" s="49" t="n"/>
      <c r="F162" s="49" t="n"/>
      <c r="G162" s="49" t="n"/>
      <c r="H162" s="49" t="n"/>
      <c r="I162" s="49" t="n"/>
    </row>
    <row r="163">
      <c r="B163" s="49" t="n"/>
      <c r="C163" s="49" t="n"/>
      <c r="D163" s="49" t="n"/>
      <c r="E163" s="49" t="n"/>
      <c r="F163" s="49" t="n"/>
      <c r="G163" s="49" t="n"/>
      <c r="H163" s="49" t="n"/>
      <c r="I163" s="49" t="n"/>
    </row>
    <row r="164">
      <c r="B164" s="49" t="n"/>
      <c r="C164" s="49" t="n"/>
      <c r="D164" s="49" t="n"/>
      <c r="E164" s="49" t="n"/>
      <c r="F164" s="49" t="n"/>
      <c r="G164" s="49" t="n"/>
      <c r="H164" s="49" t="n"/>
      <c r="I164" s="49" t="n"/>
    </row>
    <row r="165">
      <c r="B165" s="49" t="n"/>
      <c r="C165" s="49" t="n"/>
      <c r="D165" s="49" t="n"/>
      <c r="E165" s="49" t="n"/>
      <c r="F165" s="49" t="n"/>
      <c r="G165" s="49" t="n"/>
      <c r="H165" s="49" t="n"/>
      <c r="I165" s="49" t="n"/>
    </row>
    <row r="166">
      <c r="B166" s="49" t="n"/>
      <c r="C166" s="49" t="n"/>
      <c r="D166" s="49" t="n"/>
      <c r="E166" s="49" t="n"/>
      <c r="F166" s="49" t="n"/>
      <c r="G166" s="49" t="n"/>
      <c r="H166" s="49" t="n"/>
      <c r="I166" s="49" t="n"/>
    </row>
    <row r="167">
      <c r="B167" s="49" t="n"/>
      <c r="C167" s="49" t="n"/>
      <c r="D167" s="49" t="n"/>
      <c r="E167" s="49" t="n"/>
      <c r="F167" s="49" t="n"/>
      <c r="G167" s="49" t="n"/>
      <c r="H167" s="49" t="n"/>
      <c r="I167" s="49" t="n"/>
    </row>
    <row r="168">
      <c r="B168" s="49" t="n"/>
      <c r="C168" s="49" t="n"/>
      <c r="D168" s="49" t="n"/>
      <c r="E168" s="49" t="n"/>
      <c r="F168" s="49" t="n"/>
      <c r="G168" s="49" t="n"/>
      <c r="H168" s="49" t="n"/>
      <c r="I168" s="49" t="n"/>
    </row>
    <row r="169">
      <c r="B169" s="49" t="n"/>
      <c r="C169" s="49" t="n"/>
      <c r="D169" s="49" t="n"/>
      <c r="E169" s="49" t="n"/>
      <c r="F169" s="49" t="n"/>
      <c r="G169" s="49" t="n"/>
      <c r="H169" s="49" t="n"/>
      <c r="I169" s="49" t="n"/>
    </row>
    <row r="170">
      <c r="B170" s="49" t="n"/>
      <c r="C170" s="49" t="n"/>
      <c r="D170" s="49" t="n"/>
      <c r="E170" s="49" t="n"/>
      <c r="F170" s="49" t="n"/>
      <c r="G170" s="49" t="n"/>
      <c r="H170" s="49" t="n"/>
      <c r="I170" s="49" t="n"/>
    </row>
    <row r="171">
      <c r="B171" s="49" t="n"/>
      <c r="C171" s="49" t="n"/>
      <c r="D171" s="49" t="n"/>
      <c r="E171" s="49" t="n"/>
      <c r="F171" s="49" t="n"/>
      <c r="G171" s="49" t="n"/>
      <c r="H171" s="49" t="n"/>
      <c r="I171" s="49" t="n"/>
    </row>
    <row r="172">
      <c r="B172" s="49" t="n"/>
      <c r="C172" s="49" t="n"/>
      <c r="D172" s="49" t="n"/>
      <c r="E172" s="49" t="n"/>
      <c r="F172" s="49" t="n"/>
      <c r="G172" s="49" t="n"/>
      <c r="H172" s="49" t="n"/>
      <c r="I172" s="49" t="n"/>
    </row>
    <row r="173">
      <c r="B173" s="49" t="n"/>
      <c r="C173" s="49" t="n"/>
      <c r="D173" s="49" t="n"/>
      <c r="E173" s="49" t="n"/>
      <c r="F173" s="49" t="n"/>
      <c r="G173" s="49" t="n"/>
      <c r="H173" s="49" t="n"/>
      <c r="I173" s="49" t="n"/>
    </row>
    <row r="174">
      <c r="B174" s="49" t="n"/>
      <c r="C174" s="49" t="n"/>
      <c r="D174" s="49" t="n"/>
      <c r="E174" s="49" t="n"/>
      <c r="F174" s="49" t="n"/>
      <c r="G174" s="49" t="n"/>
      <c r="H174" s="49" t="n"/>
      <c r="I174" s="49" t="n"/>
    </row>
    <row r="175">
      <c r="B175" s="49" t="n"/>
      <c r="C175" s="49" t="n"/>
      <c r="D175" s="49" t="n"/>
      <c r="E175" s="49" t="n"/>
      <c r="F175" s="49" t="n"/>
      <c r="G175" s="49" t="n"/>
      <c r="H175" s="49" t="n"/>
      <c r="I175" s="49" t="n"/>
    </row>
    <row r="176">
      <c r="B176" s="49" t="n"/>
      <c r="C176" s="49" t="n"/>
      <c r="D176" s="49" t="n"/>
      <c r="E176" s="49" t="n"/>
      <c r="F176" s="49" t="n"/>
      <c r="G176" s="49" t="n"/>
      <c r="H176" s="49" t="n"/>
      <c r="I176" s="49" t="n"/>
    </row>
    <row r="177">
      <c r="B177" s="49" t="n"/>
      <c r="C177" s="49" t="n"/>
      <c r="D177" s="49" t="n"/>
      <c r="E177" s="49" t="n"/>
      <c r="F177" s="49" t="n"/>
      <c r="G177" s="49" t="n"/>
      <c r="H177" s="49" t="n"/>
      <c r="I177" s="49" t="n"/>
    </row>
    <row r="178">
      <c r="B178" s="49" t="n"/>
      <c r="C178" s="49" t="n"/>
      <c r="D178" s="49" t="n"/>
      <c r="E178" s="49" t="n"/>
      <c r="F178" s="49" t="n"/>
      <c r="G178" s="49" t="n"/>
      <c r="H178" s="49" t="n"/>
      <c r="I178" s="49" t="n"/>
    </row>
    <row r="179">
      <c r="B179" s="49" t="n"/>
      <c r="C179" s="49" t="n"/>
      <c r="D179" s="49" t="n"/>
      <c r="E179" s="49" t="n"/>
      <c r="F179" s="49" t="n"/>
      <c r="G179" s="49" t="n"/>
      <c r="H179" s="49" t="n"/>
      <c r="I179" s="49" t="n"/>
    </row>
    <row r="180">
      <c r="B180" s="49" t="n"/>
      <c r="C180" s="49" t="n"/>
      <c r="D180" s="49" t="n"/>
      <c r="E180" s="49" t="n"/>
      <c r="F180" s="49" t="n"/>
      <c r="G180" s="49" t="n"/>
      <c r="H180" s="49" t="n"/>
      <c r="I180" s="49" t="n"/>
    </row>
    <row r="181">
      <c r="B181" s="49" t="n"/>
      <c r="C181" s="49" t="n"/>
      <c r="D181" s="49" t="n"/>
      <c r="E181" s="49" t="n"/>
      <c r="F181" s="49" t="n"/>
      <c r="G181" s="49" t="n"/>
      <c r="H181" s="49" t="n"/>
      <c r="I181" s="49" t="n"/>
    </row>
    <row r="182">
      <c r="B182" s="49" t="n"/>
      <c r="C182" s="49" t="n"/>
      <c r="D182" s="49" t="n"/>
      <c r="E182" s="49" t="n"/>
      <c r="F182" s="49" t="n"/>
      <c r="G182" s="49" t="n"/>
      <c r="H182" s="49" t="n"/>
      <c r="I182" s="49" t="n"/>
    </row>
    <row r="183">
      <c r="B183" s="49" t="n"/>
      <c r="C183" s="49" t="n"/>
      <c r="D183" s="49" t="n"/>
      <c r="E183" s="49" t="n"/>
      <c r="F183" s="49" t="n"/>
      <c r="G183" s="49" t="n"/>
      <c r="H183" s="49" t="n"/>
      <c r="I183" s="49" t="n"/>
    </row>
    <row r="184">
      <c r="B184" s="49" t="n"/>
      <c r="C184" s="49" t="n"/>
      <c r="D184" s="49" t="n"/>
      <c r="E184" s="49" t="n"/>
      <c r="F184" s="49" t="n"/>
      <c r="G184" s="49" t="n"/>
      <c r="H184" s="49" t="n"/>
      <c r="I184" s="49" t="n"/>
    </row>
    <row r="185">
      <c r="B185" s="49" t="n"/>
      <c r="C185" s="49" t="n"/>
      <c r="D185" s="49" t="n"/>
      <c r="E185" s="49" t="n"/>
      <c r="F185" s="49" t="n"/>
      <c r="G185" s="49" t="n"/>
      <c r="H185" s="49" t="n"/>
      <c r="I185" s="49" t="n"/>
    </row>
    <row r="186">
      <c r="B186" s="49" t="n"/>
      <c r="C186" s="49" t="n"/>
      <c r="D186" s="49" t="n"/>
      <c r="E186" s="49" t="n"/>
      <c r="F186" s="49" t="n"/>
      <c r="G186" s="49" t="n"/>
      <c r="H186" s="49" t="n"/>
      <c r="I186" s="49" t="n"/>
    </row>
    <row r="187">
      <c r="B187" s="49" t="n"/>
      <c r="C187" s="49" t="n"/>
      <c r="D187" s="49" t="n"/>
      <c r="E187" s="49" t="n"/>
      <c r="F187" s="49" t="n"/>
      <c r="G187" s="49" t="n"/>
      <c r="H187" s="49" t="n"/>
      <c r="I187" s="49" t="n"/>
    </row>
    <row r="188">
      <c r="B188" s="49" t="n"/>
      <c r="C188" s="49" t="n"/>
      <c r="D188" s="49" t="n"/>
      <c r="E188" s="49" t="n"/>
      <c r="F188" s="49" t="n"/>
      <c r="G188" s="49" t="n"/>
      <c r="H188" s="49" t="n"/>
      <c r="I188" s="49" t="n"/>
    </row>
    <row r="189">
      <c r="B189" s="49" t="n"/>
      <c r="C189" s="49" t="n"/>
      <c r="D189" s="49" t="n"/>
      <c r="E189" s="49" t="n"/>
      <c r="F189" s="49" t="n"/>
      <c r="G189" s="49" t="n"/>
      <c r="H189" s="49" t="n"/>
      <c r="I189" s="49" t="n"/>
    </row>
    <row r="190">
      <c r="B190" s="49" t="n"/>
      <c r="C190" s="49" t="n"/>
      <c r="D190" s="49" t="n"/>
      <c r="E190" s="49" t="n"/>
      <c r="F190" s="49" t="n"/>
      <c r="G190" s="49" t="n"/>
      <c r="H190" s="49" t="n"/>
      <c r="I190" s="49" t="n"/>
    </row>
    <row r="191">
      <c r="B191" s="49" t="n"/>
      <c r="C191" s="49" t="n"/>
      <c r="D191" s="49" t="n"/>
      <c r="E191" s="49" t="n"/>
      <c r="F191" s="49" t="n"/>
      <c r="G191" s="49" t="n"/>
      <c r="H191" s="49" t="n"/>
      <c r="I191" s="49" t="n"/>
    </row>
    <row r="192">
      <c r="B192" s="49" t="n"/>
      <c r="C192" s="49" t="n"/>
      <c r="D192" s="49" t="n"/>
      <c r="E192" s="49" t="n"/>
      <c r="F192" s="49" t="n"/>
      <c r="G192" s="49" t="n"/>
      <c r="H192" s="49" t="n"/>
      <c r="I192" s="49" t="n"/>
    </row>
    <row r="193">
      <c r="B193" s="49" t="n"/>
      <c r="C193" s="49" t="n"/>
      <c r="D193" s="49" t="n"/>
      <c r="E193" s="49" t="n"/>
      <c r="F193" s="49" t="n"/>
      <c r="G193" s="49" t="n"/>
      <c r="H193" s="49" t="n"/>
      <c r="I193" s="49" t="n"/>
    </row>
    <row r="194">
      <c r="B194" s="49" t="n"/>
      <c r="C194" s="49" t="n"/>
      <c r="D194" s="49" t="n"/>
      <c r="E194" s="49" t="n"/>
      <c r="F194" s="49" t="n"/>
      <c r="G194" s="49" t="n"/>
      <c r="H194" s="49" t="n"/>
      <c r="I194" s="49" t="n"/>
    </row>
    <row r="195">
      <c r="B195" s="49" t="n"/>
      <c r="C195" s="49" t="n"/>
      <c r="D195" s="49" t="n"/>
      <c r="E195" s="49" t="n"/>
      <c r="F195" s="49" t="n"/>
      <c r="G195" s="49" t="n"/>
      <c r="H195" s="49" t="n"/>
      <c r="I195" s="49" t="n"/>
    </row>
    <row r="196">
      <c r="B196" s="49" t="n"/>
      <c r="C196" s="49" t="n"/>
      <c r="D196" s="49" t="n"/>
      <c r="E196" s="49" t="n"/>
      <c r="F196" s="49" t="n"/>
      <c r="G196" s="49" t="n"/>
      <c r="H196" s="49" t="n"/>
      <c r="I196" s="49" t="n"/>
    </row>
    <row r="197">
      <c r="B197" s="49" t="n"/>
      <c r="C197" s="49" t="n"/>
      <c r="D197" s="49" t="n"/>
      <c r="E197" s="49" t="n"/>
      <c r="F197" s="49" t="n"/>
      <c r="G197" s="49" t="n"/>
      <c r="H197" s="49" t="n"/>
      <c r="I197" s="49" t="n"/>
    </row>
    <row r="198">
      <c r="B198" s="49" t="n"/>
      <c r="C198" s="49" t="n"/>
      <c r="D198" s="49" t="n"/>
      <c r="E198" s="49" t="n"/>
      <c r="F198" s="49" t="n"/>
      <c r="G198" s="49" t="n"/>
      <c r="H198" s="49" t="n"/>
      <c r="I198" s="49" t="n"/>
    </row>
    <row r="199">
      <c r="B199" s="49" t="n"/>
      <c r="C199" s="49" t="n"/>
      <c r="D199" s="49" t="n"/>
      <c r="E199" s="49" t="n"/>
      <c r="F199" s="49" t="n"/>
      <c r="G199" s="49" t="n"/>
      <c r="H199" s="49" t="n"/>
      <c r="I199" s="49" t="n"/>
    </row>
    <row r="200">
      <c r="B200" s="49" t="n"/>
      <c r="C200" s="49" t="n"/>
      <c r="D200" s="49" t="n"/>
      <c r="E200" s="49" t="n"/>
      <c r="F200" s="49" t="n"/>
      <c r="G200" s="49" t="n"/>
      <c r="H200" s="49" t="n"/>
      <c r="I200" s="49" t="n"/>
    </row>
    <row r="201">
      <c r="B201" s="49" t="n"/>
      <c r="C201" s="49" t="n"/>
      <c r="D201" s="49" t="n"/>
      <c r="E201" s="49" t="n"/>
      <c r="F201" s="49" t="n"/>
      <c r="G201" s="49" t="n"/>
      <c r="H201" s="49" t="n"/>
      <c r="I201" s="49" t="n"/>
    </row>
    <row r="202">
      <c r="B202" s="49" t="n"/>
      <c r="C202" s="49" t="n"/>
      <c r="D202" s="49" t="n"/>
      <c r="E202" s="49" t="n"/>
      <c r="F202" s="49" t="n"/>
      <c r="G202" s="49" t="n"/>
      <c r="H202" s="49" t="n"/>
      <c r="I202" s="49" t="n"/>
    </row>
    <row r="203">
      <c r="B203" s="49" t="n"/>
      <c r="C203" s="49" t="n"/>
      <c r="D203" s="49" t="n"/>
      <c r="E203" s="49" t="n"/>
      <c r="F203" s="49" t="n"/>
      <c r="G203" s="49" t="n"/>
      <c r="H203" s="49" t="n"/>
      <c r="I203" s="49" t="n"/>
    </row>
    <row r="204">
      <c r="B204" s="49" t="n"/>
      <c r="C204" s="49" t="n"/>
      <c r="D204" s="49" t="n"/>
      <c r="E204" s="49" t="n"/>
      <c r="F204" s="49" t="n"/>
      <c r="G204" s="49" t="n"/>
      <c r="H204" s="49" t="n"/>
      <c r="I204" s="49" t="n"/>
    </row>
    <row r="205">
      <c r="B205" s="49" t="n"/>
      <c r="C205" s="49" t="n"/>
      <c r="D205" s="49" t="n"/>
      <c r="E205" s="49" t="n"/>
      <c r="F205" s="49" t="n"/>
      <c r="G205" s="49" t="n"/>
      <c r="H205" s="49" t="n"/>
      <c r="I205" s="49" t="n"/>
    </row>
    <row r="206">
      <c r="B206" s="49" t="n"/>
      <c r="C206" s="49" t="n"/>
      <c r="D206" s="49" t="n"/>
      <c r="E206" s="49" t="n"/>
      <c r="F206" s="49" t="n"/>
      <c r="G206" s="49" t="n"/>
      <c r="H206" s="49" t="n"/>
      <c r="I206" s="49" t="n"/>
    </row>
    <row r="207">
      <c r="B207" s="49" t="n"/>
      <c r="C207" s="49" t="n"/>
      <c r="D207" s="49" t="n"/>
      <c r="E207" s="49" t="n"/>
      <c r="F207" s="49" t="n"/>
      <c r="G207" s="49" t="n"/>
      <c r="H207" s="49" t="n"/>
      <c r="I207" s="49" t="n"/>
    </row>
    <row r="208">
      <c r="B208" s="49" t="n"/>
      <c r="C208" s="49" t="n"/>
      <c r="D208" s="49" t="n"/>
      <c r="E208" s="49" t="n"/>
      <c r="F208" s="49" t="n"/>
      <c r="G208" s="49" t="n"/>
      <c r="H208" s="49" t="n"/>
      <c r="I208" s="49" t="n"/>
    </row>
    <row r="209">
      <c r="B209" s="49" t="n"/>
      <c r="C209" s="49" t="n"/>
      <c r="D209" s="49" t="n"/>
      <c r="E209" s="49" t="n"/>
      <c r="F209" s="49" t="n"/>
      <c r="G209" s="49" t="n"/>
      <c r="H209" s="49" t="n"/>
      <c r="I209" s="49" t="n"/>
    </row>
    <row r="210">
      <c r="B210" s="49" t="n"/>
      <c r="C210" s="49" t="n"/>
      <c r="D210" s="49" t="n"/>
      <c r="E210" s="49" t="n"/>
      <c r="F210" s="49" t="n"/>
      <c r="G210" s="49" t="n"/>
      <c r="H210" s="49" t="n"/>
      <c r="I210" s="49" t="n"/>
    </row>
    <row r="211">
      <c r="B211" s="49" t="n"/>
      <c r="C211" s="49" t="n"/>
      <c r="D211" s="49" t="n"/>
      <c r="E211" s="49" t="n"/>
      <c r="F211" s="49" t="n"/>
      <c r="G211" s="49" t="n"/>
      <c r="H211" s="49" t="n"/>
      <c r="I211" s="49" t="n"/>
    </row>
    <row r="212">
      <c r="B212" s="49" t="n"/>
      <c r="C212" s="49" t="n"/>
      <c r="D212" s="49" t="n"/>
      <c r="E212" s="49" t="n"/>
      <c r="F212" s="49" t="n"/>
      <c r="G212" s="49" t="n"/>
      <c r="H212" s="49" t="n"/>
      <c r="I212" s="49" t="n"/>
    </row>
    <row r="213">
      <c r="B213" s="49" t="n"/>
      <c r="C213" s="49" t="n"/>
      <c r="D213" s="49" t="n"/>
      <c r="E213" s="49" t="n"/>
      <c r="F213" s="49" t="n"/>
      <c r="G213" s="49" t="n"/>
      <c r="H213" s="49" t="n"/>
      <c r="I213" s="49" t="n"/>
    </row>
    <row r="214">
      <c r="B214" s="49" t="n"/>
      <c r="C214" s="49" t="n"/>
      <c r="D214" s="49" t="n"/>
      <c r="E214" s="49" t="n"/>
      <c r="F214" s="49" t="n"/>
      <c r="G214" s="49" t="n"/>
      <c r="H214" s="49" t="n"/>
      <c r="I214" s="49" t="n"/>
    </row>
    <row r="215">
      <c r="B215" s="49" t="n"/>
      <c r="C215" s="49" t="n"/>
      <c r="D215" s="49" t="n"/>
      <c r="E215" s="49" t="n"/>
      <c r="F215" s="49" t="n"/>
      <c r="G215" s="49" t="n"/>
      <c r="H215" s="49" t="n"/>
      <c r="I215" s="49" t="n"/>
    </row>
    <row r="216">
      <c r="B216" s="49" t="n"/>
      <c r="C216" s="49" t="n"/>
      <c r="D216" s="49" t="n"/>
      <c r="E216" s="49" t="n"/>
      <c r="F216" s="49" t="n"/>
      <c r="G216" s="49" t="n"/>
      <c r="H216" s="49" t="n"/>
      <c r="I216" s="49" t="n"/>
    </row>
    <row r="217">
      <c r="B217" s="49" t="n"/>
      <c r="C217" s="49" t="n"/>
      <c r="D217" s="49" t="n"/>
      <c r="E217" s="49" t="n"/>
      <c r="F217" s="49" t="n"/>
      <c r="G217" s="49" t="n"/>
      <c r="H217" s="49" t="n"/>
      <c r="I217" s="49" t="n"/>
    </row>
    <row r="218">
      <c r="B218" s="49" t="n"/>
      <c r="C218" s="49" t="n"/>
      <c r="D218" s="49" t="n"/>
      <c r="E218" s="49" t="n"/>
      <c r="F218" s="49" t="n"/>
      <c r="G218" s="49" t="n"/>
      <c r="H218" s="49" t="n"/>
      <c r="I218" s="49"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E18:E218">
    <cfRule type="expression" priority="5" dxfId="6">
      <formula>AND(LEN($B18&amp;$C18&amp;$D18&amp;$E18&amp;$F18&amp;$G18&amp;$H18&amp;$I18)&gt;0,E18="")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account_code" error="At most 30 characters." promptTitle="legacy_account_code" prompt="Yes. Legacy GL account code Allowed: Free entry, up to 30 characters" type="textLength" operator="lessThanOrEqual">
      <formula1>30</formula1>
    </dataValidation>
    <dataValidation sqref="C18:C218" showDropDown="0" showInputMessage="1" showErrorMessage="1" allowBlank="1" errorTitle="legacy_account_name" error="At most 200 characters." promptTitle="legacy_account_name" prompt="Yes. Legacy account name Allowed: Free entry, up to 200 characters" type="textLength" operator="lessThanOrEqual">
      <formula1>200</formula1>
    </dataValidation>
    <dataValidation sqref="D18:D218" showDropDown="0" showInputMessage="1" showErrorMessage="1" allowBlank="1" errorTitle="account_type" error="Choose a value of the list R08 account_type (sheet Reference lists)." promptTitle="account_type" prompt="Yes. Account type Allowed: ASSET, LIABILITY, EQUITY, INCOME, EXPENSE (list R08 account_type)" type="list" errorStyle="stop">
      <formula1>=LIST_R08_ACCOUNT_TYPE</formula1>
    </dataValidation>
    <dataValidation sqref="E18:E218" showDropDown="0" showInputMessage="1" showErrorMessage="1" allowBlank="1" errorTitle="normal_balance" error="Choose a value of the list R08 normal_balance (sheet Reference lists)." promptTitle="normal_balance" prompt="Yes. Normal balance side Allowed: DR, CR (list R08 normal_balance)" type="list" errorStyle="stop">
      <formula1>=LIST_R08_NORMAL_BALANCE</formula1>
    </dataValidation>
    <dataValidation sqref="F18:F218" showDropDown="0" showInputMessage="1" showErrorMessage="1" allowBlank="1" errorTitle="legacy_control_type" error="Choose a value of the list R08 legacy_control_type (sheet Reference lists)." promptTitle="legacy_control_type" prompt="No. Marks the legacy control accounts whose balance F01 or F02 carries in detail Allowed: List R08 legacy_control_type: 8 values, see Reference lists" type="list" errorStyle="stop">
      <formula1>=LIST_R08_LEGACY_CONTROL_TYPE</formula1>
    </dataValidation>
    <dataValidation sqref="G18:G218" showDropDown="0" showInputMessage="1" showErrorMessage="1" allowBlank="1" errorTitle="bibs_account_code" error="At most 30 characters." promptTitle="bibs_account_code" prompt="Conditional: Mandatory when legacy_control_type is NONE; exists and active in BIBS. BIBS account the legacy account maps to (filled by Comptrollership) Allowed: Account codes of the BIBS chart of accounts" type="textLength" operator="lessThanOrEqual">
      <formula1>30</formula1>
    </dataValidation>
    <dataValidation sqref="H18:H218" showDropDown="0" showInputMessage="1" showErrorMessage="1" allowBlank="1" errorTitle="branch_specific_flag" error="Choose a value of the list Yes or no (sheet Reference lists)." promptTitle="branch_specific_flag" prompt="No. Balances are kept per branch Allowed: Y or N" type="list" errorStyle="stop">
      <formula1>=LIST_YES_NO</formula1>
    </dataValidation>
    <dataValidation sqref="I18:I218" showDropDown="0" showInputMessage="1" showErrorMessage="1" allowBlank="1" errorTitle="remarks" error="At most 300 characters." promptTitle="remarks" prompt="No. Mapping remarks Allowed: Free entry, up to 300 characters" type="textLength" operator="lessThanOrEqual">
      <formula1>300</formula1>
    </dataValidation>
  </dataValidations>
  <hyperlinks>
    <hyperlink ref="A2" location="'Start here'!A1"/>
    <hyperlink ref="I2" location="'Questions and comments'!A1"/>
    <hyperlink ref="B8" location="'D0-06 Chart of accounts'!A1"/>
    <hyperlink ref="D15" location="'Reference lists'!A338"/>
    <hyperlink ref="E15" location="'Reference lists'!A343"/>
    <hyperlink ref="F15" location="'Reference lists'!A345"/>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0.xml><?xml version="1.0" encoding="utf-8"?>
<worksheet xmlns="http://schemas.openxmlformats.org/spreadsheetml/2006/main">
  <sheetPr>
    <tabColor rgb="00004EA8"/>
    <outlinePr summaryBelow="0" summaryRight="1"/>
    <pageSetUpPr fitToPage="1"/>
  </sheetPr>
  <dimension ref="A1:L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6" customWidth="1" min="3" max="3"/>
    <col width="20" customWidth="1" min="4" max="4"/>
    <col width="13" customWidth="1" min="5" max="5"/>
    <col width="17" customWidth="1" min="6" max="6"/>
    <col width="17" customWidth="1" min="7" max="7"/>
    <col width="17" customWidth="1" min="8" max="8"/>
    <col width="18.63636363636363" customWidth="1" min="9" max="9"/>
    <col width="13" customWidth="1" min="10" max="10"/>
    <col width="26" customWidth="1" min="11" max="11"/>
    <col width="15" customWidth="1" min="12" max="12"/>
  </cols>
  <sheetData>
    <row r="1" ht="26" customHeight="1">
      <c r="A1" s="25" t="inlineStr">
        <is>
          <t>UP-02 Payees</t>
        </is>
      </c>
      <c r="L1" s="26" t="inlineStr">
        <is>
          <t>Step 28 of 52</t>
        </is>
      </c>
    </row>
    <row r="2">
      <c r="A2" s="27" t="inlineStr">
        <is>
          <t>← Back to Start here</t>
        </is>
      </c>
      <c r="B2" s="28" t="inlineStr">
        <is>
          <t>Step 28 of 52. Fill in one row per record below the column headers; the guide above each column says what to enter.</t>
        </is>
      </c>
      <c r="L2" s="29" t="inlineStr">
        <is>
          <t>Ask a question →</t>
        </is>
      </c>
    </row>
    <row r="3" outlineLevel="1" ht="28" customHeight="1">
      <c r="A3" s="30" t="inlineStr">
        <is>
          <t>Purpose</t>
        </is>
      </c>
      <c r="B3" s="31" t="inlineStr">
        <is>
          <t>One row per payee of Disbursement (suppliers, service providers, employees, government agencies and other payees) with the payment modes, currency and bank account. This is also the layout of the payees of the legacy systems (migration object R09, in scope if BDOI confirms it).</t>
        </is>
      </c>
    </row>
    <row r="4" outlineLevel="1" ht="15.5" customHeight="1">
      <c r="A4" s="30" t="inlineStr">
        <is>
          <t>Provided by</t>
        </is>
      </c>
      <c r="B4" s="31" t="inlineStr">
        <is>
          <t>Product Owner, Comptrollership - Disbursement</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Screen upload: Finance › Disbursement › Disbursement Uploads, upload type Payee Migration; the payees and their bank accounts come in for authorisation</t>
        </is>
      </c>
    </row>
    <row r="7" outlineLevel="1" ht="15.5" customHeight="1">
      <c r="A7" s="30" t="inlineStr">
        <is>
          <t>Source</t>
        </is>
      </c>
      <c r="B7" s="31" t="inlineStr">
        <is>
          <t>Platform upload definition (column layout as the screen loads it)</t>
        </is>
      </c>
    </row>
    <row r="8" outlineLevel="1" ht="26" customHeight="1">
      <c r="A8" s="30" t="inlineStr">
        <is>
          <t>Depends on</t>
        </is>
      </c>
      <c r="B8" s="53" t="inlineStr">
        <is>
          <t>MD-01 Business partners (reinsurers, intermediaries, suppliers) →</t>
        </is>
      </c>
    </row>
    <row r="9" ht="26" customHeight="1">
      <c r="A9" s="34" t="inlineStr">
        <is>
          <t>Progress</t>
        </is>
      </c>
      <c r="B9" s="35" t="inlineStr">
        <is>
          <t>Rows entered</t>
        </is>
      </c>
      <c r="C9" s="36">
        <f>SUMPRODUCT(((ROW($B$17:$B$317)&gt;17)+($B$17&lt;&gt;"SUP-0001")&gt;0)*(LEN($B$17:$B$317&amp;$C$17:$C$317&amp;$D$17:$D$317&amp;$E$17:$E$317&amp;$F$17:$F$317&amp;$G$17:$G$317&amp;$H$17:$H$317&amp;$I$17:$I$317&amp;$J$17:$J$317&amp;$K$17:$K$317&amp;$L$17:$L$317)&gt;0))</f>
        <v/>
      </c>
      <c r="D9" s="35" t="inlineStr">
        <is>
          <t>Mandatory cells missing</t>
        </is>
      </c>
      <c r="E9" s="36">
        <f>SUMPRODUCT(((ROW($B$17:$B$317)&gt;17)+($B$17&lt;&gt;"SUP-0001")&gt;0)*(LEN($B$17:$B$317&amp;$C$17:$C$317&amp;$D$17:$D$317&amp;$E$17:$E$317&amp;$F$17:$F$317&amp;$G$17:$G$317&amp;$H$17:$H$317&amp;$I$17:$I$317&amp;$J$17:$J$317&amp;$K$17:$K$317&amp;$L$17:$L$317)&gt;0)*(($B$17:$B$317="")+($C$17:$C$317="")+($D$17:$D$317="")+($H$17:$H$317="")+($I$17:$I$317="")+($J$17:$J$317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69" customHeight="1">
      <c r="A12" s="41" t="inlineStr">
        <is>
          <t>Mandatory</t>
        </is>
      </c>
      <c r="B12" s="42" t="inlineStr">
        <is>
          <t>Yes</t>
        </is>
      </c>
      <c r="C12" s="42" t="inlineStr">
        <is>
          <t>Yes</t>
        </is>
      </c>
      <c r="D12" s="42" t="inlineStr">
        <is>
          <t>Yes</t>
        </is>
      </c>
      <c r="E12" s="43" t="inlineStr">
        <is>
          <t>No</t>
        </is>
      </c>
      <c r="F12" s="43" t="inlineStr">
        <is>
          <t>No</t>
        </is>
      </c>
      <c r="G12" s="43" t="inlineStr">
        <is>
          <t>No</t>
        </is>
      </c>
      <c r="H12" s="42" t="inlineStr">
        <is>
          <t>Yes</t>
        </is>
      </c>
      <c r="I12" s="42" t="inlineStr">
        <is>
          <t>Yes</t>
        </is>
      </c>
      <c r="J12" s="42" t="inlineStr">
        <is>
          <t>Yes</t>
        </is>
      </c>
      <c r="K12" s="43" t="inlineStr">
        <is>
          <t>No</t>
        </is>
      </c>
      <c r="L12" s="43" t="inlineStr">
        <is>
          <t>Conditional: a mode crediting an account (CTA, TT, online banking) is allowed</t>
        </is>
      </c>
    </row>
    <row r="13" ht="30" customHeight="1">
      <c r="A13" s="41" t="inlineStr">
        <is>
          <t>Format</t>
        </is>
      </c>
      <c r="B13" s="43" t="inlineStr">
        <is>
          <t>Text</t>
        </is>
      </c>
      <c r="C13" s="43" t="inlineStr">
        <is>
          <t>Text</t>
        </is>
      </c>
      <c r="D13" s="43" t="inlineStr">
        <is>
          <t>Text</t>
        </is>
      </c>
      <c r="E13" s="43" t="inlineStr">
        <is>
          <t>Text</t>
        </is>
      </c>
      <c r="F13" s="43" t="inlineStr">
        <is>
          <t>Text</t>
        </is>
      </c>
      <c r="G13" s="43" t="inlineStr">
        <is>
          <t>Text</t>
        </is>
      </c>
      <c r="H13" s="43" t="inlineStr">
        <is>
          <t>Text</t>
        </is>
      </c>
      <c r="I13" s="43" t="inlineStr">
        <is>
          <t>Mode codes separated by |, e.g. CHECK|CTA</t>
        </is>
      </c>
      <c r="J13" s="43" t="inlineStr">
        <is>
          <t>ISO currency code, 3 letters</t>
        </is>
      </c>
      <c r="K13" s="43" t="inlineStr">
        <is>
          <t>Text</t>
        </is>
      </c>
      <c r="L13" s="43" t="inlineStr">
        <is>
          <t>Text</t>
        </is>
      </c>
    </row>
    <row r="14" ht="69" customHeight="1">
      <c r="A14" s="41" t="inlineStr">
        <is>
          <t>Allowed values</t>
        </is>
      </c>
      <c r="B14" s="43" t="inlineStr">
        <is>
          <t>Free entry</t>
        </is>
      </c>
      <c r="C14" s="51" t="inlineStr">
        <is>
          <t>SUPPLIER, INSURER, EMPLOYEE, CLIENT, GOVERNMENT, OTHER (list Payee class)</t>
        </is>
      </c>
      <c r="D14" s="43" t="inlineStr">
        <is>
          <t>Free entry</t>
        </is>
      </c>
      <c r="E14" s="43" t="inlineStr">
        <is>
          <t>Free entry</t>
        </is>
      </c>
      <c r="F14" s="43" t="inlineStr">
        <is>
          <t>Free entry</t>
        </is>
      </c>
      <c r="G14" s="43" t="inlineStr">
        <is>
          <t>Free entry</t>
        </is>
      </c>
      <c r="H14" s="51" t="inlineStr">
        <is>
          <t>List Default mode (UP-02): 7 values, see Reference lists</t>
        </is>
      </c>
      <c r="I14" s="43" t="inlineStr">
        <is>
          <t>Codes of the Default mode list</t>
        </is>
      </c>
      <c r="J14" s="43" t="inlineStr">
        <is>
          <t>Free entry</t>
        </is>
      </c>
      <c r="K14" s="43" t="inlineStr">
        <is>
          <t>Free entry</t>
        </is>
      </c>
      <c r="L14" s="43" t="inlineStr">
        <is>
          <t>Free entry</t>
        </is>
      </c>
    </row>
    <row r="15" ht="56" customHeight="1">
      <c r="A15" s="41" t="inlineStr">
        <is>
          <t>What to enter</t>
        </is>
      </c>
      <c r="B15" s="43" t="inlineStr">
        <is>
          <t>Party code of the payee (a party known to BIBS)</t>
        </is>
      </c>
      <c r="C15" s="43" t="inlineStr">
        <is>
          <t>Class of the payee</t>
        </is>
      </c>
      <c r="D15" s="43" t="inlineStr">
        <is>
          <t>Payee name</t>
        </is>
      </c>
      <c r="E15" s="43" t="inlineStr">
        <is>
          <t>Address</t>
        </is>
      </c>
      <c r="F15" s="43" t="inlineStr">
        <is>
          <t>E-mail for payment advices</t>
        </is>
      </c>
      <c r="G15" s="43" t="inlineStr">
        <is>
          <t>Tax identification number</t>
        </is>
      </c>
      <c r="H15" s="43" t="inlineStr">
        <is>
          <t>Mode of payment used by default</t>
        </is>
      </c>
      <c r="I15" s="43" t="inlineStr">
        <is>
          <t>Modes of payment allowed for the payee</t>
        </is>
      </c>
      <c r="J15" s="43" t="inlineStr">
        <is>
          <t>Currency of payment (a currency known to BIBS)</t>
        </is>
      </c>
      <c r="K15" s="43" t="inlineStr">
        <is>
          <t>Bank of the payee account</t>
        </is>
      </c>
      <c r="L15" s="43" t="inlineStr">
        <is>
          <t>Account number of the payee at the bank</t>
        </is>
      </c>
    </row>
    <row r="16" ht="30" customHeight="1">
      <c r="A16" s="44" t="inlineStr">
        <is>
          <t>Row</t>
        </is>
      </c>
      <c r="B16" s="45" t="inlineStr">
        <is>
          <t>Payee code *</t>
        </is>
      </c>
      <c r="C16" s="45" t="inlineStr">
        <is>
          <t>Payee class *</t>
        </is>
      </c>
      <c r="D16" s="45" t="inlineStr">
        <is>
          <t>Name *</t>
        </is>
      </c>
      <c r="E16" s="45" t="inlineStr">
        <is>
          <t>Address</t>
        </is>
      </c>
      <c r="F16" s="45" t="inlineStr">
        <is>
          <t>Email</t>
        </is>
      </c>
      <c r="G16" s="45" t="inlineStr">
        <is>
          <t>TIN</t>
        </is>
      </c>
      <c r="H16" s="45" t="inlineStr">
        <is>
          <t>Default mode *</t>
        </is>
      </c>
      <c r="I16" s="45" t="inlineStr">
        <is>
          <t>Allowed modes *</t>
        </is>
      </c>
      <c r="J16" s="45" t="inlineStr">
        <is>
          <t>Currency *</t>
        </is>
      </c>
      <c r="K16" s="45" t="inlineStr">
        <is>
          <t>Bank</t>
        </is>
      </c>
      <c r="L16" s="45" t="inlineStr">
        <is>
          <t>Account no</t>
        </is>
      </c>
    </row>
    <row r="17" ht="18" customHeight="1">
      <c r="A17" s="46" t="inlineStr">
        <is>
          <t>Example – overwrite or delete</t>
        </is>
      </c>
      <c r="B17" s="47" t="inlineStr">
        <is>
          <t>SUP-0001</t>
        </is>
      </c>
      <c r="C17" s="47" t="inlineStr">
        <is>
          <t>SUPPLIER</t>
        </is>
      </c>
      <c r="D17" s="47" t="inlineStr">
        <is>
          <t>Acme Office Supply</t>
        </is>
      </c>
      <c r="E17" s="47" t="inlineStr">
        <is>
          <t>Makati City</t>
        </is>
      </c>
      <c r="F17" s="47" t="inlineStr">
        <is>
          <t>ap@acme.example</t>
        </is>
      </c>
      <c r="G17" s="47" t="inlineStr">
        <is>
          <t>123-456-789-000</t>
        </is>
      </c>
      <c r="H17" s="47" t="inlineStr">
        <is>
          <t>CHECK</t>
        </is>
      </c>
      <c r="I17" s="47" t="inlineStr">
        <is>
          <t>CHECK|CTA</t>
        </is>
      </c>
      <c r="J17" s="47" t="inlineStr">
        <is>
          <t>PHP</t>
        </is>
      </c>
      <c r="K17" s="47" t="inlineStr">
        <is>
          <t>Philippine National Bank</t>
        </is>
      </c>
      <c r="L17" s="47" t="inlineStr">
        <is>
          <t>001234567890</t>
        </is>
      </c>
    </row>
    <row r="18">
      <c r="B18" s="49" t="n"/>
      <c r="C18" s="49" t="n"/>
      <c r="D18" s="49" t="n"/>
      <c r="E18" s="49" t="n"/>
      <c r="F18" s="49" t="n"/>
      <c r="G18" s="49" t="n"/>
      <c r="H18" s="49" t="n"/>
      <c r="I18" s="49" t="n"/>
      <c r="J18" s="49" t="n"/>
      <c r="K18" s="49" t="n"/>
      <c r="L18" s="49" t="n"/>
    </row>
    <row r="19">
      <c r="B19" s="49" t="n"/>
      <c r="C19" s="49" t="n"/>
      <c r="D19" s="49" t="n"/>
      <c r="E19" s="49" t="n"/>
      <c r="F19" s="49" t="n"/>
      <c r="G19" s="49" t="n"/>
      <c r="H19" s="49" t="n"/>
      <c r="I19" s="49" t="n"/>
      <c r="J19" s="49" t="n"/>
      <c r="K19" s="49" t="n"/>
      <c r="L19" s="49" t="n"/>
    </row>
    <row r="20">
      <c r="B20" s="49" t="n"/>
      <c r="C20" s="49" t="n"/>
      <c r="D20" s="49" t="n"/>
      <c r="E20" s="49" t="n"/>
      <c r="F20" s="49" t="n"/>
      <c r="G20" s="49" t="n"/>
      <c r="H20" s="49" t="n"/>
      <c r="I20" s="49" t="n"/>
      <c r="J20" s="49" t="n"/>
      <c r="K20" s="49" t="n"/>
      <c r="L20" s="49" t="n"/>
    </row>
    <row r="21">
      <c r="B21" s="49" t="n"/>
      <c r="C21" s="49" t="n"/>
      <c r="D21" s="49" t="n"/>
      <c r="E21" s="49" t="n"/>
      <c r="F21" s="49" t="n"/>
      <c r="G21" s="49" t="n"/>
      <c r="H21" s="49" t="n"/>
      <c r="I21" s="49" t="n"/>
      <c r="J21" s="49" t="n"/>
      <c r="K21" s="49" t="n"/>
      <c r="L21" s="49" t="n"/>
    </row>
    <row r="22">
      <c r="B22" s="49" t="n"/>
      <c r="C22" s="49" t="n"/>
      <c r="D22" s="49" t="n"/>
      <c r="E22" s="49" t="n"/>
      <c r="F22" s="49" t="n"/>
      <c r="G22" s="49" t="n"/>
      <c r="H22" s="49" t="n"/>
      <c r="I22" s="49" t="n"/>
      <c r="J22" s="49" t="n"/>
      <c r="K22" s="49" t="n"/>
      <c r="L22" s="49" t="n"/>
    </row>
    <row r="23">
      <c r="B23" s="49" t="n"/>
      <c r="C23" s="49" t="n"/>
      <c r="D23" s="49" t="n"/>
      <c r="E23" s="49" t="n"/>
      <c r="F23" s="49" t="n"/>
      <c r="G23" s="49" t="n"/>
      <c r="H23" s="49" t="n"/>
      <c r="I23" s="49" t="n"/>
      <c r="J23" s="49" t="n"/>
      <c r="K23" s="49" t="n"/>
      <c r="L23" s="49" t="n"/>
    </row>
    <row r="24">
      <c r="B24" s="49" t="n"/>
      <c r="C24" s="49" t="n"/>
      <c r="D24" s="49" t="n"/>
      <c r="E24" s="49" t="n"/>
      <c r="F24" s="49" t="n"/>
      <c r="G24" s="49" t="n"/>
      <c r="H24" s="49" t="n"/>
      <c r="I24" s="49" t="n"/>
      <c r="J24" s="49" t="n"/>
      <c r="K24" s="49" t="n"/>
      <c r="L24" s="49" t="n"/>
    </row>
    <row r="25">
      <c r="B25" s="49" t="n"/>
      <c r="C25" s="49" t="n"/>
      <c r="D25" s="49" t="n"/>
      <c r="E25" s="49" t="n"/>
      <c r="F25" s="49" t="n"/>
      <c r="G25" s="49" t="n"/>
      <c r="H25" s="49" t="n"/>
      <c r="I25" s="49" t="n"/>
      <c r="J25" s="49" t="n"/>
      <c r="K25" s="49" t="n"/>
      <c r="L25" s="49" t="n"/>
    </row>
    <row r="26">
      <c r="B26" s="49" t="n"/>
      <c r="C26" s="49" t="n"/>
      <c r="D26" s="49" t="n"/>
      <c r="E26" s="49" t="n"/>
      <c r="F26" s="49" t="n"/>
      <c r="G26" s="49" t="n"/>
      <c r="H26" s="49" t="n"/>
      <c r="I26" s="49" t="n"/>
      <c r="J26" s="49" t="n"/>
      <c r="K26" s="49" t="n"/>
      <c r="L26" s="49" t="n"/>
    </row>
    <row r="27">
      <c r="B27" s="49" t="n"/>
      <c r="C27" s="49" t="n"/>
      <c r="D27" s="49" t="n"/>
      <c r="E27" s="49" t="n"/>
      <c r="F27" s="49" t="n"/>
      <c r="G27" s="49" t="n"/>
      <c r="H27" s="49" t="n"/>
      <c r="I27" s="49" t="n"/>
      <c r="J27" s="49" t="n"/>
      <c r="K27" s="49" t="n"/>
      <c r="L27" s="49" t="n"/>
    </row>
    <row r="28">
      <c r="B28" s="49" t="n"/>
      <c r="C28" s="49" t="n"/>
      <c r="D28" s="49" t="n"/>
      <c r="E28" s="49" t="n"/>
      <c r="F28" s="49" t="n"/>
      <c r="G28" s="49" t="n"/>
      <c r="H28" s="49" t="n"/>
      <c r="I28" s="49" t="n"/>
      <c r="J28" s="49" t="n"/>
      <c r="K28" s="49" t="n"/>
      <c r="L28" s="49" t="n"/>
    </row>
    <row r="29">
      <c r="B29" s="49" t="n"/>
      <c r="C29" s="49" t="n"/>
      <c r="D29" s="49" t="n"/>
      <c r="E29" s="49" t="n"/>
      <c r="F29" s="49" t="n"/>
      <c r="G29" s="49" t="n"/>
      <c r="H29" s="49" t="n"/>
      <c r="I29" s="49" t="n"/>
      <c r="J29" s="49" t="n"/>
      <c r="K29" s="49" t="n"/>
      <c r="L29" s="49" t="n"/>
    </row>
    <row r="30">
      <c r="B30" s="49" t="n"/>
      <c r="C30" s="49" t="n"/>
      <c r="D30" s="49" t="n"/>
      <c r="E30" s="49" t="n"/>
      <c r="F30" s="49" t="n"/>
      <c r="G30" s="49" t="n"/>
      <c r="H30" s="49" t="n"/>
      <c r="I30" s="49" t="n"/>
      <c r="J30" s="49" t="n"/>
      <c r="K30" s="49" t="n"/>
      <c r="L30" s="49" t="n"/>
    </row>
    <row r="31">
      <c r="B31" s="49" t="n"/>
      <c r="C31" s="49" t="n"/>
      <c r="D31" s="49" t="n"/>
      <c r="E31" s="49" t="n"/>
      <c r="F31" s="49" t="n"/>
      <c r="G31" s="49" t="n"/>
      <c r="H31" s="49" t="n"/>
      <c r="I31" s="49" t="n"/>
      <c r="J31" s="49" t="n"/>
      <c r="K31" s="49" t="n"/>
      <c r="L31" s="49" t="n"/>
    </row>
    <row r="32">
      <c r="B32" s="49" t="n"/>
      <c r="C32" s="49" t="n"/>
      <c r="D32" s="49" t="n"/>
      <c r="E32" s="49" t="n"/>
      <c r="F32" s="49" t="n"/>
      <c r="G32" s="49" t="n"/>
      <c r="H32" s="49" t="n"/>
      <c r="I32" s="49" t="n"/>
      <c r="J32" s="49" t="n"/>
      <c r="K32" s="49" t="n"/>
      <c r="L32" s="49" t="n"/>
    </row>
    <row r="33">
      <c r="B33" s="49" t="n"/>
      <c r="C33" s="49" t="n"/>
      <c r="D33" s="49" t="n"/>
      <c r="E33" s="49" t="n"/>
      <c r="F33" s="49" t="n"/>
      <c r="G33" s="49" t="n"/>
      <c r="H33" s="49" t="n"/>
      <c r="I33" s="49" t="n"/>
      <c r="J33" s="49" t="n"/>
      <c r="K33" s="49" t="n"/>
      <c r="L33" s="49" t="n"/>
    </row>
    <row r="34">
      <c r="B34" s="49" t="n"/>
      <c r="C34" s="49" t="n"/>
      <c r="D34" s="49" t="n"/>
      <c r="E34" s="49" t="n"/>
      <c r="F34" s="49" t="n"/>
      <c r="G34" s="49" t="n"/>
      <c r="H34" s="49" t="n"/>
      <c r="I34" s="49" t="n"/>
      <c r="J34" s="49" t="n"/>
      <c r="K34" s="49" t="n"/>
      <c r="L34" s="49" t="n"/>
    </row>
    <row r="35">
      <c r="B35" s="49" t="n"/>
      <c r="C35" s="49" t="n"/>
      <c r="D35" s="49" t="n"/>
      <c r="E35" s="49" t="n"/>
      <c r="F35" s="49" t="n"/>
      <c r="G35" s="49" t="n"/>
      <c r="H35" s="49" t="n"/>
      <c r="I35" s="49" t="n"/>
      <c r="J35" s="49" t="n"/>
      <c r="K35" s="49" t="n"/>
      <c r="L35" s="49" t="n"/>
    </row>
    <row r="36">
      <c r="B36" s="49" t="n"/>
      <c r="C36" s="49" t="n"/>
      <c r="D36" s="49" t="n"/>
      <c r="E36" s="49" t="n"/>
      <c r="F36" s="49" t="n"/>
      <c r="G36" s="49" t="n"/>
      <c r="H36" s="49" t="n"/>
      <c r="I36" s="49" t="n"/>
      <c r="J36" s="49" t="n"/>
      <c r="K36" s="49" t="n"/>
      <c r="L36" s="49" t="n"/>
    </row>
    <row r="37">
      <c r="B37" s="49" t="n"/>
      <c r="C37" s="49" t="n"/>
      <c r="D37" s="49" t="n"/>
      <c r="E37" s="49" t="n"/>
      <c r="F37" s="49" t="n"/>
      <c r="G37" s="49" t="n"/>
      <c r="H37" s="49" t="n"/>
      <c r="I37" s="49" t="n"/>
      <c r="J37" s="49" t="n"/>
      <c r="K37" s="49" t="n"/>
      <c r="L37" s="49" t="n"/>
    </row>
    <row r="38">
      <c r="B38" s="49" t="n"/>
      <c r="C38" s="49" t="n"/>
      <c r="D38" s="49" t="n"/>
      <c r="E38" s="49" t="n"/>
      <c r="F38" s="49" t="n"/>
      <c r="G38" s="49" t="n"/>
      <c r="H38" s="49" t="n"/>
      <c r="I38" s="49" t="n"/>
      <c r="J38" s="49" t="n"/>
      <c r="K38" s="49" t="n"/>
      <c r="L38" s="49" t="n"/>
    </row>
    <row r="39">
      <c r="B39" s="49" t="n"/>
      <c r="C39" s="49" t="n"/>
      <c r="D39" s="49" t="n"/>
      <c r="E39" s="49" t="n"/>
      <c r="F39" s="49" t="n"/>
      <c r="G39" s="49" t="n"/>
      <c r="H39" s="49" t="n"/>
      <c r="I39" s="49" t="n"/>
      <c r="J39" s="49" t="n"/>
      <c r="K39" s="49" t="n"/>
      <c r="L39" s="49" t="n"/>
    </row>
    <row r="40">
      <c r="B40" s="49" t="n"/>
      <c r="C40" s="49" t="n"/>
      <c r="D40" s="49" t="n"/>
      <c r="E40" s="49" t="n"/>
      <c r="F40" s="49" t="n"/>
      <c r="G40" s="49" t="n"/>
      <c r="H40" s="49" t="n"/>
      <c r="I40" s="49" t="n"/>
      <c r="J40" s="49" t="n"/>
      <c r="K40" s="49" t="n"/>
      <c r="L40" s="49" t="n"/>
    </row>
    <row r="41">
      <c r="B41" s="49" t="n"/>
      <c r="C41" s="49" t="n"/>
      <c r="D41" s="49" t="n"/>
      <c r="E41" s="49" t="n"/>
      <c r="F41" s="49" t="n"/>
      <c r="G41" s="49" t="n"/>
      <c r="H41" s="49" t="n"/>
      <c r="I41" s="49" t="n"/>
      <c r="J41" s="49" t="n"/>
      <c r="K41" s="49" t="n"/>
      <c r="L41" s="49" t="n"/>
    </row>
    <row r="42">
      <c r="B42" s="49" t="n"/>
      <c r="C42" s="49" t="n"/>
      <c r="D42" s="49" t="n"/>
      <c r="E42" s="49" t="n"/>
      <c r="F42" s="49" t="n"/>
      <c r="G42" s="49" t="n"/>
      <c r="H42" s="49" t="n"/>
      <c r="I42" s="49" t="n"/>
      <c r="J42" s="49" t="n"/>
      <c r="K42" s="49" t="n"/>
      <c r="L42" s="49" t="n"/>
    </row>
    <row r="43">
      <c r="B43" s="49" t="n"/>
      <c r="C43" s="49" t="n"/>
      <c r="D43" s="49" t="n"/>
      <c r="E43" s="49" t="n"/>
      <c r="F43" s="49" t="n"/>
      <c r="G43" s="49" t="n"/>
      <c r="H43" s="49" t="n"/>
      <c r="I43" s="49" t="n"/>
      <c r="J43" s="49" t="n"/>
      <c r="K43" s="49" t="n"/>
      <c r="L43" s="49" t="n"/>
    </row>
    <row r="44">
      <c r="B44" s="49" t="n"/>
      <c r="C44" s="49" t="n"/>
      <c r="D44" s="49" t="n"/>
      <c r="E44" s="49" t="n"/>
      <c r="F44" s="49" t="n"/>
      <c r="G44" s="49" t="n"/>
      <c r="H44" s="49" t="n"/>
      <c r="I44" s="49" t="n"/>
      <c r="J44" s="49" t="n"/>
      <c r="K44" s="49" t="n"/>
      <c r="L44" s="49" t="n"/>
    </row>
    <row r="45">
      <c r="B45" s="49" t="n"/>
      <c r="C45" s="49" t="n"/>
      <c r="D45" s="49" t="n"/>
      <c r="E45" s="49" t="n"/>
      <c r="F45" s="49" t="n"/>
      <c r="G45" s="49" t="n"/>
      <c r="H45" s="49" t="n"/>
      <c r="I45" s="49" t="n"/>
      <c r="J45" s="49" t="n"/>
      <c r="K45" s="49" t="n"/>
      <c r="L45" s="49" t="n"/>
    </row>
    <row r="46">
      <c r="B46" s="49" t="n"/>
      <c r="C46" s="49" t="n"/>
      <c r="D46" s="49" t="n"/>
      <c r="E46" s="49" t="n"/>
      <c r="F46" s="49" t="n"/>
      <c r="G46" s="49" t="n"/>
      <c r="H46" s="49" t="n"/>
      <c r="I46" s="49" t="n"/>
      <c r="J46" s="49" t="n"/>
      <c r="K46" s="49" t="n"/>
      <c r="L46" s="49" t="n"/>
    </row>
    <row r="47">
      <c r="B47" s="49" t="n"/>
      <c r="C47" s="49" t="n"/>
      <c r="D47" s="49" t="n"/>
      <c r="E47" s="49" t="n"/>
      <c r="F47" s="49" t="n"/>
      <c r="G47" s="49" t="n"/>
      <c r="H47" s="49" t="n"/>
      <c r="I47" s="49" t="n"/>
      <c r="J47" s="49" t="n"/>
      <c r="K47" s="49" t="n"/>
      <c r="L47" s="49" t="n"/>
    </row>
    <row r="48">
      <c r="B48" s="49" t="n"/>
      <c r="C48" s="49" t="n"/>
      <c r="D48" s="49" t="n"/>
      <c r="E48" s="49" t="n"/>
      <c r="F48" s="49" t="n"/>
      <c r="G48" s="49" t="n"/>
      <c r="H48" s="49" t="n"/>
      <c r="I48" s="49" t="n"/>
      <c r="J48" s="49" t="n"/>
      <c r="K48" s="49" t="n"/>
      <c r="L48" s="49" t="n"/>
    </row>
    <row r="49">
      <c r="B49" s="49" t="n"/>
      <c r="C49" s="49" t="n"/>
      <c r="D49" s="49" t="n"/>
      <c r="E49" s="49" t="n"/>
      <c r="F49" s="49" t="n"/>
      <c r="G49" s="49" t="n"/>
      <c r="H49" s="49" t="n"/>
      <c r="I49" s="49" t="n"/>
      <c r="J49" s="49" t="n"/>
      <c r="K49" s="49" t="n"/>
      <c r="L49" s="49" t="n"/>
    </row>
    <row r="50">
      <c r="B50" s="49" t="n"/>
      <c r="C50" s="49" t="n"/>
      <c r="D50" s="49" t="n"/>
      <c r="E50" s="49" t="n"/>
      <c r="F50" s="49" t="n"/>
      <c r="G50" s="49" t="n"/>
      <c r="H50" s="49" t="n"/>
      <c r="I50" s="49" t="n"/>
      <c r="J50" s="49" t="n"/>
      <c r="K50" s="49" t="n"/>
      <c r="L50" s="49" t="n"/>
    </row>
    <row r="51">
      <c r="B51" s="49" t="n"/>
      <c r="C51" s="49" t="n"/>
      <c r="D51" s="49" t="n"/>
      <c r="E51" s="49" t="n"/>
      <c r="F51" s="49" t="n"/>
      <c r="G51" s="49" t="n"/>
      <c r="H51" s="49" t="n"/>
      <c r="I51" s="49" t="n"/>
      <c r="J51" s="49" t="n"/>
      <c r="K51" s="49" t="n"/>
      <c r="L51" s="49" t="n"/>
    </row>
    <row r="52">
      <c r="B52" s="49" t="n"/>
      <c r="C52" s="49" t="n"/>
      <c r="D52" s="49" t="n"/>
      <c r="E52" s="49" t="n"/>
      <c r="F52" s="49" t="n"/>
      <c r="G52" s="49" t="n"/>
      <c r="H52" s="49" t="n"/>
      <c r="I52" s="49" t="n"/>
      <c r="J52" s="49" t="n"/>
      <c r="K52" s="49" t="n"/>
      <c r="L52" s="49" t="n"/>
    </row>
    <row r="53">
      <c r="B53" s="49" t="n"/>
      <c r="C53" s="49" t="n"/>
      <c r="D53" s="49" t="n"/>
      <c r="E53" s="49" t="n"/>
      <c r="F53" s="49" t="n"/>
      <c r="G53" s="49" t="n"/>
      <c r="H53" s="49" t="n"/>
      <c r="I53" s="49" t="n"/>
      <c r="J53" s="49" t="n"/>
      <c r="K53" s="49" t="n"/>
      <c r="L53" s="49" t="n"/>
    </row>
    <row r="54">
      <c r="B54" s="49" t="n"/>
      <c r="C54" s="49" t="n"/>
      <c r="D54" s="49" t="n"/>
      <c r="E54" s="49" t="n"/>
      <c r="F54" s="49" t="n"/>
      <c r="G54" s="49" t="n"/>
      <c r="H54" s="49" t="n"/>
      <c r="I54" s="49" t="n"/>
      <c r="J54" s="49" t="n"/>
      <c r="K54" s="49" t="n"/>
      <c r="L54" s="49" t="n"/>
    </row>
    <row r="55">
      <c r="B55" s="49" t="n"/>
      <c r="C55" s="49" t="n"/>
      <c r="D55" s="49" t="n"/>
      <c r="E55" s="49" t="n"/>
      <c r="F55" s="49" t="n"/>
      <c r="G55" s="49" t="n"/>
      <c r="H55" s="49" t="n"/>
      <c r="I55" s="49" t="n"/>
      <c r="J55" s="49" t="n"/>
      <c r="K55" s="49" t="n"/>
      <c r="L55" s="49" t="n"/>
    </row>
    <row r="56">
      <c r="B56" s="49" t="n"/>
      <c r="C56" s="49" t="n"/>
      <c r="D56" s="49" t="n"/>
      <c r="E56" s="49" t="n"/>
      <c r="F56" s="49" t="n"/>
      <c r="G56" s="49" t="n"/>
      <c r="H56" s="49" t="n"/>
      <c r="I56" s="49" t="n"/>
      <c r="J56" s="49" t="n"/>
      <c r="K56" s="49" t="n"/>
      <c r="L56" s="49" t="n"/>
    </row>
    <row r="57">
      <c r="B57" s="49" t="n"/>
      <c r="C57" s="49" t="n"/>
      <c r="D57" s="49" t="n"/>
      <c r="E57" s="49" t="n"/>
      <c r="F57" s="49" t="n"/>
      <c r="G57" s="49" t="n"/>
      <c r="H57" s="49" t="n"/>
      <c r="I57" s="49" t="n"/>
      <c r="J57" s="49" t="n"/>
      <c r="K57" s="49" t="n"/>
      <c r="L57" s="49" t="n"/>
    </row>
    <row r="58">
      <c r="B58" s="49" t="n"/>
      <c r="C58" s="49" t="n"/>
      <c r="D58" s="49" t="n"/>
      <c r="E58" s="49" t="n"/>
      <c r="F58" s="49" t="n"/>
      <c r="G58" s="49" t="n"/>
      <c r="H58" s="49" t="n"/>
      <c r="I58" s="49" t="n"/>
      <c r="J58" s="49" t="n"/>
      <c r="K58" s="49" t="n"/>
      <c r="L58" s="49" t="n"/>
    </row>
    <row r="59">
      <c r="B59" s="49" t="n"/>
      <c r="C59" s="49" t="n"/>
      <c r="D59" s="49" t="n"/>
      <c r="E59" s="49" t="n"/>
      <c r="F59" s="49" t="n"/>
      <c r="G59" s="49" t="n"/>
      <c r="H59" s="49" t="n"/>
      <c r="I59" s="49" t="n"/>
      <c r="J59" s="49" t="n"/>
      <c r="K59" s="49" t="n"/>
      <c r="L59" s="49" t="n"/>
    </row>
    <row r="60">
      <c r="B60" s="49" t="n"/>
      <c r="C60" s="49" t="n"/>
      <c r="D60" s="49" t="n"/>
      <c r="E60" s="49" t="n"/>
      <c r="F60" s="49" t="n"/>
      <c r="G60" s="49" t="n"/>
      <c r="H60" s="49" t="n"/>
      <c r="I60" s="49" t="n"/>
      <c r="J60" s="49" t="n"/>
      <c r="K60" s="49" t="n"/>
      <c r="L60" s="49" t="n"/>
    </row>
    <row r="61">
      <c r="B61" s="49" t="n"/>
      <c r="C61" s="49" t="n"/>
      <c r="D61" s="49" t="n"/>
      <c r="E61" s="49" t="n"/>
      <c r="F61" s="49" t="n"/>
      <c r="G61" s="49" t="n"/>
      <c r="H61" s="49" t="n"/>
      <c r="I61" s="49" t="n"/>
      <c r="J61" s="49" t="n"/>
      <c r="K61" s="49" t="n"/>
      <c r="L61" s="49" t="n"/>
    </row>
    <row r="62">
      <c r="B62" s="49" t="n"/>
      <c r="C62" s="49" t="n"/>
      <c r="D62" s="49" t="n"/>
      <c r="E62" s="49" t="n"/>
      <c r="F62" s="49" t="n"/>
      <c r="G62" s="49" t="n"/>
      <c r="H62" s="49" t="n"/>
      <c r="I62" s="49" t="n"/>
      <c r="J62" s="49" t="n"/>
      <c r="K62" s="49" t="n"/>
      <c r="L62" s="49" t="n"/>
    </row>
    <row r="63">
      <c r="B63" s="49" t="n"/>
      <c r="C63" s="49" t="n"/>
      <c r="D63" s="49" t="n"/>
      <c r="E63" s="49" t="n"/>
      <c r="F63" s="49" t="n"/>
      <c r="G63" s="49" t="n"/>
      <c r="H63" s="49" t="n"/>
      <c r="I63" s="49" t="n"/>
      <c r="J63" s="49" t="n"/>
      <c r="K63" s="49" t="n"/>
      <c r="L63" s="49" t="n"/>
    </row>
    <row r="64">
      <c r="B64" s="49" t="n"/>
      <c r="C64" s="49" t="n"/>
      <c r="D64" s="49" t="n"/>
      <c r="E64" s="49" t="n"/>
      <c r="F64" s="49" t="n"/>
      <c r="G64" s="49" t="n"/>
      <c r="H64" s="49" t="n"/>
      <c r="I64" s="49" t="n"/>
      <c r="J64" s="49" t="n"/>
      <c r="K64" s="49" t="n"/>
      <c r="L64" s="49" t="n"/>
    </row>
    <row r="65">
      <c r="B65" s="49" t="n"/>
      <c r="C65" s="49" t="n"/>
      <c r="D65" s="49" t="n"/>
      <c r="E65" s="49" t="n"/>
      <c r="F65" s="49" t="n"/>
      <c r="G65" s="49" t="n"/>
      <c r="H65" s="49" t="n"/>
      <c r="I65" s="49" t="n"/>
      <c r="J65" s="49" t="n"/>
      <c r="K65" s="49" t="n"/>
      <c r="L65" s="49" t="n"/>
    </row>
    <row r="66">
      <c r="B66" s="49" t="n"/>
      <c r="C66" s="49" t="n"/>
      <c r="D66" s="49" t="n"/>
      <c r="E66" s="49" t="n"/>
      <c r="F66" s="49" t="n"/>
      <c r="G66" s="49" t="n"/>
      <c r="H66" s="49" t="n"/>
      <c r="I66" s="49" t="n"/>
      <c r="J66" s="49" t="n"/>
      <c r="K66" s="49" t="n"/>
      <c r="L66" s="49" t="n"/>
    </row>
    <row r="67">
      <c r="B67" s="49" t="n"/>
      <c r="C67" s="49" t="n"/>
      <c r="D67" s="49" t="n"/>
      <c r="E67" s="49" t="n"/>
      <c r="F67" s="49" t="n"/>
      <c r="G67" s="49" t="n"/>
      <c r="H67" s="49" t="n"/>
      <c r="I67" s="49" t="n"/>
      <c r="J67" s="49" t="n"/>
      <c r="K67" s="49" t="n"/>
      <c r="L67" s="49" t="n"/>
    </row>
    <row r="68">
      <c r="B68" s="49" t="n"/>
      <c r="C68" s="49" t="n"/>
      <c r="D68" s="49" t="n"/>
      <c r="E68" s="49" t="n"/>
      <c r="F68" s="49" t="n"/>
      <c r="G68" s="49" t="n"/>
      <c r="H68" s="49" t="n"/>
      <c r="I68" s="49" t="n"/>
      <c r="J68" s="49" t="n"/>
      <c r="K68" s="49" t="n"/>
      <c r="L68" s="49" t="n"/>
    </row>
    <row r="69">
      <c r="B69" s="49" t="n"/>
      <c r="C69" s="49" t="n"/>
      <c r="D69" s="49" t="n"/>
      <c r="E69" s="49" t="n"/>
      <c r="F69" s="49" t="n"/>
      <c r="G69" s="49" t="n"/>
      <c r="H69" s="49" t="n"/>
      <c r="I69" s="49" t="n"/>
      <c r="J69" s="49" t="n"/>
      <c r="K69" s="49" t="n"/>
      <c r="L69" s="49" t="n"/>
    </row>
    <row r="70">
      <c r="B70" s="49" t="n"/>
      <c r="C70" s="49" t="n"/>
      <c r="D70" s="49" t="n"/>
      <c r="E70" s="49" t="n"/>
      <c r="F70" s="49" t="n"/>
      <c r="G70" s="49" t="n"/>
      <c r="H70" s="49" t="n"/>
      <c r="I70" s="49" t="n"/>
      <c r="J70" s="49" t="n"/>
      <c r="K70" s="49" t="n"/>
      <c r="L70" s="49" t="n"/>
    </row>
    <row r="71">
      <c r="B71" s="49" t="n"/>
      <c r="C71" s="49" t="n"/>
      <c r="D71" s="49" t="n"/>
      <c r="E71" s="49" t="n"/>
      <c r="F71" s="49" t="n"/>
      <c r="G71" s="49" t="n"/>
      <c r="H71" s="49" t="n"/>
      <c r="I71" s="49" t="n"/>
      <c r="J71" s="49" t="n"/>
      <c r="K71" s="49" t="n"/>
      <c r="L71" s="49" t="n"/>
    </row>
    <row r="72">
      <c r="B72" s="49" t="n"/>
      <c r="C72" s="49" t="n"/>
      <c r="D72" s="49" t="n"/>
      <c r="E72" s="49" t="n"/>
      <c r="F72" s="49" t="n"/>
      <c r="G72" s="49" t="n"/>
      <c r="H72" s="49" t="n"/>
      <c r="I72" s="49" t="n"/>
      <c r="J72" s="49" t="n"/>
      <c r="K72" s="49" t="n"/>
      <c r="L72" s="49" t="n"/>
    </row>
    <row r="73">
      <c r="B73" s="49" t="n"/>
      <c r="C73" s="49" t="n"/>
      <c r="D73" s="49" t="n"/>
      <c r="E73" s="49" t="n"/>
      <c r="F73" s="49" t="n"/>
      <c r="G73" s="49" t="n"/>
      <c r="H73" s="49" t="n"/>
      <c r="I73" s="49" t="n"/>
      <c r="J73" s="49" t="n"/>
      <c r="K73" s="49" t="n"/>
      <c r="L73" s="49" t="n"/>
    </row>
    <row r="74">
      <c r="B74" s="49" t="n"/>
      <c r="C74" s="49" t="n"/>
      <c r="D74" s="49" t="n"/>
      <c r="E74" s="49" t="n"/>
      <c r="F74" s="49" t="n"/>
      <c r="G74" s="49" t="n"/>
      <c r="H74" s="49" t="n"/>
      <c r="I74" s="49" t="n"/>
      <c r="J74" s="49" t="n"/>
      <c r="K74" s="49" t="n"/>
      <c r="L74" s="49" t="n"/>
    </row>
    <row r="75">
      <c r="B75" s="49" t="n"/>
      <c r="C75" s="49" t="n"/>
      <c r="D75" s="49" t="n"/>
      <c r="E75" s="49" t="n"/>
      <c r="F75" s="49" t="n"/>
      <c r="G75" s="49" t="n"/>
      <c r="H75" s="49" t="n"/>
      <c r="I75" s="49" t="n"/>
      <c r="J75" s="49" t="n"/>
      <c r="K75" s="49" t="n"/>
      <c r="L75" s="49" t="n"/>
    </row>
    <row r="76">
      <c r="B76" s="49" t="n"/>
      <c r="C76" s="49" t="n"/>
      <c r="D76" s="49" t="n"/>
      <c r="E76" s="49" t="n"/>
      <c r="F76" s="49" t="n"/>
      <c r="G76" s="49" t="n"/>
      <c r="H76" s="49" t="n"/>
      <c r="I76" s="49" t="n"/>
      <c r="J76" s="49" t="n"/>
      <c r="K76" s="49" t="n"/>
      <c r="L76" s="49" t="n"/>
    </row>
    <row r="77">
      <c r="B77" s="49" t="n"/>
      <c r="C77" s="49" t="n"/>
      <c r="D77" s="49" t="n"/>
      <c r="E77" s="49" t="n"/>
      <c r="F77" s="49" t="n"/>
      <c r="G77" s="49" t="n"/>
      <c r="H77" s="49" t="n"/>
      <c r="I77" s="49" t="n"/>
      <c r="J77" s="49" t="n"/>
      <c r="K77" s="49" t="n"/>
      <c r="L77" s="49" t="n"/>
    </row>
    <row r="78">
      <c r="B78" s="49" t="n"/>
      <c r="C78" s="49" t="n"/>
      <c r="D78" s="49" t="n"/>
      <c r="E78" s="49" t="n"/>
      <c r="F78" s="49" t="n"/>
      <c r="G78" s="49" t="n"/>
      <c r="H78" s="49" t="n"/>
      <c r="I78" s="49" t="n"/>
      <c r="J78" s="49" t="n"/>
      <c r="K78" s="49" t="n"/>
      <c r="L78" s="49" t="n"/>
    </row>
    <row r="79">
      <c r="B79" s="49" t="n"/>
      <c r="C79" s="49" t="n"/>
      <c r="D79" s="49" t="n"/>
      <c r="E79" s="49" t="n"/>
      <c r="F79" s="49" t="n"/>
      <c r="G79" s="49" t="n"/>
      <c r="H79" s="49" t="n"/>
      <c r="I79" s="49" t="n"/>
      <c r="J79" s="49" t="n"/>
      <c r="K79" s="49" t="n"/>
      <c r="L79" s="49" t="n"/>
    </row>
    <row r="80">
      <c r="B80" s="49" t="n"/>
      <c r="C80" s="49" t="n"/>
      <c r="D80" s="49" t="n"/>
      <c r="E80" s="49" t="n"/>
      <c r="F80" s="49" t="n"/>
      <c r="G80" s="49" t="n"/>
      <c r="H80" s="49" t="n"/>
      <c r="I80" s="49" t="n"/>
      <c r="J80" s="49" t="n"/>
      <c r="K80" s="49" t="n"/>
      <c r="L80" s="49" t="n"/>
    </row>
    <row r="81">
      <c r="B81" s="49" t="n"/>
      <c r="C81" s="49" t="n"/>
      <c r="D81" s="49" t="n"/>
      <c r="E81" s="49" t="n"/>
      <c r="F81" s="49" t="n"/>
      <c r="G81" s="49" t="n"/>
      <c r="H81" s="49" t="n"/>
      <c r="I81" s="49" t="n"/>
      <c r="J81" s="49" t="n"/>
      <c r="K81" s="49" t="n"/>
      <c r="L81" s="49" t="n"/>
    </row>
    <row r="82">
      <c r="B82" s="49" t="n"/>
      <c r="C82" s="49" t="n"/>
      <c r="D82" s="49" t="n"/>
      <c r="E82" s="49" t="n"/>
      <c r="F82" s="49" t="n"/>
      <c r="G82" s="49" t="n"/>
      <c r="H82" s="49" t="n"/>
      <c r="I82" s="49" t="n"/>
      <c r="J82" s="49" t="n"/>
      <c r="K82" s="49" t="n"/>
      <c r="L82" s="49" t="n"/>
    </row>
    <row r="83">
      <c r="B83" s="49" t="n"/>
      <c r="C83" s="49" t="n"/>
      <c r="D83" s="49" t="n"/>
      <c r="E83" s="49" t="n"/>
      <c r="F83" s="49" t="n"/>
      <c r="G83" s="49" t="n"/>
      <c r="H83" s="49" t="n"/>
      <c r="I83" s="49" t="n"/>
      <c r="J83" s="49" t="n"/>
      <c r="K83" s="49" t="n"/>
      <c r="L83" s="49" t="n"/>
    </row>
    <row r="84">
      <c r="B84" s="49" t="n"/>
      <c r="C84" s="49" t="n"/>
      <c r="D84" s="49" t="n"/>
      <c r="E84" s="49" t="n"/>
      <c r="F84" s="49" t="n"/>
      <c r="G84" s="49" t="n"/>
      <c r="H84" s="49" t="n"/>
      <c r="I84" s="49" t="n"/>
      <c r="J84" s="49" t="n"/>
      <c r="K84" s="49" t="n"/>
      <c r="L84" s="49" t="n"/>
    </row>
    <row r="85">
      <c r="B85" s="49" t="n"/>
      <c r="C85" s="49" t="n"/>
      <c r="D85" s="49" t="n"/>
      <c r="E85" s="49" t="n"/>
      <c r="F85" s="49" t="n"/>
      <c r="G85" s="49" t="n"/>
      <c r="H85" s="49" t="n"/>
      <c r="I85" s="49" t="n"/>
      <c r="J85" s="49" t="n"/>
      <c r="K85" s="49" t="n"/>
      <c r="L85" s="49" t="n"/>
    </row>
    <row r="86">
      <c r="B86" s="49" t="n"/>
      <c r="C86" s="49" t="n"/>
      <c r="D86" s="49" t="n"/>
      <c r="E86" s="49" t="n"/>
      <c r="F86" s="49" t="n"/>
      <c r="G86" s="49" t="n"/>
      <c r="H86" s="49" t="n"/>
      <c r="I86" s="49" t="n"/>
      <c r="J86" s="49" t="n"/>
      <c r="K86" s="49" t="n"/>
      <c r="L86" s="49" t="n"/>
    </row>
    <row r="87">
      <c r="B87" s="49" t="n"/>
      <c r="C87" s="49" t="n"/>
      <c r="D87" s="49" t="n"/>
      <c r="E87" s="49" t="n"/>
      <c r="F87" s="49" t="n"/>
      <c r="G87" s="49" t="n"/>
      <c r="H87" s="49" t="n"/>
      <c r="I87" s="49" t="n"/>
      <c r="J87" s="49" t="n"/>
      <c r="K87" s="49" t="n"/>
      <c r="L87" s="49" t="n"/>
    </row>
    <row r="88">
      <c r="B88" s="49" t="n"/>
      <c r="C88" s="49" t="n"/>
      <c r="D88" s="49" t="n"/>
      <c r="E88" s="49" t="n"/>
      <c r="F88" s="49" t="n"/>
      <c r="G88" s="49" t="n"/>
      <c r="H88" s="49" t="n"/>
      <c r="I88" s="49" t="n"/>
      <c r="J88" s="49" t="n"/>
      <c r="K88" s="49" t="n"/>
      <c r="L88" s="49" t="n"/>
    </row>
    <row r="89">
      <c r="B89" s="49" t="n"/>
      <c r="C89" s="49" t="n"/>
      <c r="D89" s="49" t="n"/>
      <c r="E89" s="49" t="n"/>
      <c r="F89" s="49" t="n"/>
      <c r="G89" s="49" t="n"/>
      <c r="H89" s="49" t="n"/>
      <c r="I89" s="49" t="n"/>
      <c r="J89" s="49" t="n"/>
      <c r="K89" s="49" t="n"/>
      <c r="L89" s="49" t="n"/>
    </row>
    <row r="90">
      <c r="B90" s="49" t="n"/>
      <c r="C90" s="49" t="n"/>
      <c r="D90" s="49" t="n"/>
      <c r="E90" s="49" t="n"/>
      <c r="F90" s="49" t="n"/>
      <c r="G90" s="49" t="n"/>
      <c r="H90" s="49" t="n"/>
      <c r="I90" s="49" t="n"/>
      <c r="J90" s="49" t="n"/>
      <c r="K90" s="49" t="n"/>
      <c r="L90" s="49" t="n"/>
    </row>
    <row r="91">
      <c r="B91" s="49" t="n"/>
      <c r="C91" s="49" t="n"/>
      <c r="D91" s="49" t="n"/>
      <c r="E91" s="49" t="n"/>
      <c r="F91" s="49" t="n"/>
      <c r="G91" s="49" t="n"/>
      <c r="H91" s="49" t="n"/>
      <c r="I91" s="49" t="n"/>
      <c r="J91" s="49" t="n"/>
      <c r="K91" s="49" t="n"/>
      <c r="L91" s="49" t="n"/>
    </row>
    <row r="92">
      <c r="B92" s="49" t="n"/>
      <c r="C92" s="49" t="n"/>
      <c r="D92" s="49" t="n"/>
      <c r="E92" s="49" t="n"/>
      <c r="F92" s="49" t="n"/>
      <c r="G92" s="49" t="n"/>
      <c r="H92" s="49" t="n"/>
      <c r="I92" s="49" t="n"/>
      <c r="J92" s="49" t="n"/>
      <c r="K92" s="49" t="n"/>
      <c r="L92" s="49" t="n"/>
    </row>
    <row r="93">
      <c r="B93" s="49" t="n"/>
      <c r="C93" s="49" t="n"/>
      <c r="D93" s="49" t="n"/>
      <c r="E93" s="49" t="n"/>
      <c r="F93" s="49" t="n"/>
      <c r="G93" s="49" t="n"/>
      <c r="H93" s="49" t="n"/>
      <c r="I93" s="49" t="n"/>
      <c r="J93" s="49" t="n"/>
      <c r="K93" s="49" t="n"/>
      <c r="L93" s="49" t="n"/>
    </row>
    <row r="94">
      <c r="B94" s="49" t="n"/>
      <c r="C94" s="49" t="n"/>
      <c r="D94" s="49" t="n"/>
      <c r="E94" s="49" t="n"/>
      <c r="F94" s="49" t="n"/>
      <c r="G94" s="49" t="n"/>
      <c r="H94" s="49" t="n"/>
      <c r="I94" s="49" t="n"/>
      <c r="J94" s="49" t="n"/>
      <c r="K94" s="49" t="n"/>
      <c r="L94" s="49" t="n"/>
    </row>
    <row r="95">
      <c r="B95" s="49" t="n"/>
      <c r="C95" s="49" t="n"/>
      <c r="D95" s="49" t="n"/>
      <c r="E95" s="49" t="n"/>
      <c r="F95" s="49" t="n"/>
      <c r="G95" s="49" t="n"/>
      <c r="H95" s="49" t="n"/>
      <c r="I95" s="49" t="n"/>
      <c r="J95" s="49" t="n"/>
      <c r="K95" s="49" t="n"/>
      <c r="L95" s="49" t="n"/>
    </row>
    <row r="96">
      <c r="B96" s="49" t="n"/>
      <c r="C96" s="49" t="n"/>
      <c r="D96" s="49" t="n"/>
      <c r="E96" s="49" t="n"/>
      <c r="F96" s="49" t="n"/>
      <c r="G96" s="49" t="n"/>
      <c r="H96" s="49" t="n"/>
      <c r="I96" s="49" t="n"/>
      <c r="J96" s="49" t="n"/>
      <c r="K96" s="49" t="n"/>
      <c r="L96" s="49" t="n"/>
    </row>
    <row r="97">
      <c r="B97" s="49" t="n"/>
      <c r="C97" s="49" t="n"/>
      <c r="D97" s="49" t="n"/>
      <c r="E97" s="49" t="n"/>
      <c r="F97" s="49" t="n"/>
      <c r="G97" s="49" t="n"/>
      <c r="H97" s="49" t="n"/>
      <c r="I97" s="49" t="n"/>
      <c r="J97" s="49" t="n"/>
      <c r="K97" s="49" t="n"/>
      <c r="L97" s="49" t="n"/>
    </row>
    <row r="98">
      <c r="B98" s="49" t="n"/>
      <c r="C98" s="49" t="n"/>
      <c r="D98" s="49" t="n"/>
      <c r="E98" s="49" t="n"/>
      <c r="F98" s="49" t="n"/>
      <c r="G98" s="49" t="n"/>
      <c r="H98" s="49" t="n"/>
      <c r="I98" s="49" t="n"/>
      <c r="J98" s="49" t="n"/>
      <c r="K98" s="49" t="n"/>
      <c r="L98" s="49" t="n"/>
    </row>
    <row r="99">
      <c r="B99" s="49" t="n"/>
      <c r="C99" s="49" t="n"/>
      <c r="D99" s="49" t="n"/>
      <c r="E99" s="49" t="n"/>
      <c r="F99" s="49" t="n"/>
      <c r="G99" s="49" t="n"/>
      <c r="H99" s="49" t="n"/>
      <c r="I99" s="49" t="n"/>
      <c r="J99" s="49" t="n"/>
      <c r="K99" s="49" t="n"/>
      <c r="L99" s="49" t="n"/>
    </row>
    <row r="100">
      <c r="B100" s="49" t="n"/>
      <c r="C100" s="49" t="n"/>
      <c r="D100" s="49" t="n"/>
      <c r="E100" s="49" t="n"/>
      <c r="F100" s="49" t="n"/>
      <c r="G100" s="49" t="n"/>
      <c r="H100" s="49" t="n"/>
      <c r="I100" s="49" t="n"/>
      <c r="J100" s="49" t="n"/>
      <c r="K100" s="49" t="n"/>
      <c r="L100" s="49" t="n"/>
    </row>
    <row r="101">
      <c r="B101" s="49" t="n"/>
      <c r="C101" s="49" t="n"/>
      <c r="D101" s="49" t="n"/>
      <c r="E101" s="49" t="n"/>
      <c r="F101" s="49" t="n"/>
      <c r="G101" s="49" t="n"/>
      <c r="H101" s="49" t="n"/>
      <c r="I101" s="49" t="n"/>
      <c r="J101" s="49" t="n"/>
      <c r="K101" s="49" t="n"/>
      <c r="L101" s="49" t="n"/>
    </row>
    <row r="102">
      <c r="B102" s="49" t="n"/>
      <c r="C102" s="49" t="n"/>
      <c r="D102" s="49" t="n"/>
      <c r="E102" s="49" t="n"/>
      <c r="F102" s="49" t="n"/>
      <c r="G102" s="49" t="n"/>
      <c r="H102" s="49" t="n"/>
      <c r="I102" s="49" t="n"/>
      <c r="J102" s="49" t="n"/>
      <c r="K102" s="49" t="n"/>
      <c r="L102" s="49" t="n"/>
    </row>
    <row r="103">
      <c r="B103" s="49" t="n"/>
      <c r="C103" s="49" t="n"/>
      <c r="D103" s="49" t="n"/>
      <c r="E103" s="49" t="n"/>
      <c r="F103" s="49" t="n"/>
      <c r="G103" s="49" t="n"/>
      <c r="H103" s="49" t="n"/>
      <c r="I103" s="49" t="n"/>
      <c r="J103" s="49" t="n"/>
      <c r="K103" s="49" t="n"/>
      <c r="L103" s="49" t="n"/>
    </row>
    <row r="104">
      <c r="B104" s="49" t="n"/>
      <c r="C104" s="49" t="n"/>
      <c r="D104" s="49" t="n"/>
      <c r="E104" s="49" t="n"/>
      <c r="F104" s="49" t="n"/>
      <c r="G104" s="49" t="n"/>
      <c r="H104" s="49" t="n"/>
      <c r="I104" s="49" t="n"/>
      <c r="J104" s="49" t="n"/>
      <c r="K104" s="49" t="n"/>
      <c r="L104" s="49" t="n"/>
    </row>
    <row r="105">
      <c r="B105" s="49" t="n"/>
      <c r="C105" s="49" t="n"/>
      <c r="D105" s="49" t="n"/>
      <c r="E105" s="49" t="n"/>
      <c r="F105" s="49" t="n"/>
      <c r="G105" s="49" t="n"/>
      <c r="H105" s="49" t="n"/>
      <c r="I105" s="49" t="n"/>
      <c r="J105" s="49" t="n"/>
      <c r="K105" s="49" t="n"/>
      <c r="L105" s="49" t="n"/>
    </row>
    <row r="106">
      <c r="B106" s="49" t="n"/>
      <c r="C106" s="49" t="n"/>
      <c r="D106" s="49" t="n"/>
      <c r="E106" s="49" t="n"/>
      <c r="F106" s="49" t="n"/>
      <c r="G106" s="49" t="n"/>
      <c r="H106" s="49" t="n"/>
      <c r="I106" s="49" t="n"/>
      <c r="J106" s="49" t="n"/>
      <c r="K106" s="49" t="n"/>
      <c r="L106" s="49" t="n"/>
    </row>
    <row r="107">
      <c r="B107" s="49" t="n"/>
      <c r="C107" s="49" t="n"/>
      <c r="D107" s="49" t="n"/>
      <c r="E107" s="49" t="n"/>
      <c r="F107" s="49" t="n"/>
      <c r="G107" s="49" t="n"/>
      <c r="H107" s="49" t="n"/>
      <c r="I107" s="49" t="n"/>
      <c r="J107" s="49" t="n"/>
      <c r="K107" s="49" t="n"/>
      <c r="L107" s="49" t="n"/>
    </row>
    <row r="108">
      <c r="B108" s="49" t="n"/>
      <c r="C108" s="49" t="n"/>
      <c r="D108" s="49" t="n"/>
      <c r="E108" s="49" t="n"/>
      <c r="F108" s="49" t="n"/>
      <c r="G108" s="49" t="n"/>
      <c r="H108" s="49" t="n"/>
      <c r="I108" s="49" t="n"/>
      <c r="J108" s="49" t="n"/>
      <c r="K108" s="49" t="n"/>
      <c r="L108" s="49" t="n"/>
    </row>
    <row r="109">
      <c r="B109" s="49" t="n"/>
      <c r="C109" s="49" t="n"/>
      <c r="D109" s="49" t="n"/>
      <c r="E109" s="49" t="n"/>
      <c r="F109" s="49" t="n"/>
      <c r="G109" s="49" t="n"/>
      <c r="H109" s="49" t="n"/>
      <c r="I109" s="49" t="n"/>
      <c r="J109" s="49" t="n"/>
      <c r="K109" s="49" t="n"/>
      <c r="L109" s="49" t="n"/>
    </row>
    <row r="110">
      <c r="B110" s="49" t="n"/>
      <c r="C110" s="49" t="n"/>
      <c r="D110" s="49" t="n"/>
      <c r="E110" s="49" t="n"/>
      <c r="F110" s="49" t="n"/>
      <c r="G110" s="49" t="n"/>
      <c r="H110" s="49" t="n"/>
      <c r="I110" s="49" t="n"/>
      <c r="J110" s="49" t="n"/>
      <c r="K110" s="49" t="n"/>
      <c r="L110" s="49" t="n"/>
    </row>
    <row r="111">
      <c r="B111" s="49" t="n"/>
      <c r="C111" s="49" t="n"/>
      <c r="D111" s="49" t="n"/>
      <c r="E111" s="49" t="n"/>
      <c r="F111" s="49" t="n"/>
      <c r="G111" s="49" t="n"/>
      <c r="H111" s="49" t="n"/>
      <c r="I111" s="49" t="n"/>
      <c r="J111" s="49" t="n"/>
      <c r="K111" s="49" t="n"/>
      <c r="L111" s="49" t="n"/>
    </row>
    <row r="112">
      <c r="B112" s="49" t="n"/>
      <c r="C112" s="49" t="n"/>
      <c r="D112" s="49" t="n"/>
      <c r="E112" s="49" t="n"/>
      <c r="F112" s="49" t="n"/>
      <c r="G112" s="49" t="n"/>
      <c r="H112" s="49" t="n"/>
      <c r="I112" s="49" t="n"/>
      <c r="J112" s="49" t="n"/>
      <c r="K112" s="49" t="n"/>
      <c r="L112" s="49" t="n"/>
    </row>
    <row r="113">
      <c r="B113" s="49" t="n"/>
      <c r="C113" s="49" t="n"/>
      <c r="D113" s="49" t="n"/>
      <c r="E113" s="49" t="n"/>
      <c r="F113" s="49" t="n"/>
      <c r="G113" s="49" t="n"/>
      <c r="H113" s="49" t="n"/>
      <c r="I113" s="49" t="n"/>
      <c r="J113" s="49" t="n"/>
      <c r="K113" s="49" t="n"/>
      <c r="L113" s="49" t="n"/>
    </row>
    <row r="114">
      <c r="B114" s="49" t="n"/>
      <c r="C114" s="49" t="n"/>
      <c r="D114" s="49" t="n"/>
      <c r="E114" s="49" t="n"/>
      <c r="F114" s="49" t="n"/>
      <c r="G114" s="49" t="n"/>
      <c r="H114" s="49" t="n"/>
      <c r="I114" s="49" t="n"/>
      <c r="J114" s="49" t="n"/>
      <c r="K114" s="49" t="n"/>
      <c r="L114" s="49" t="n"/>
    </row>
    <row r="115">
      <c r="B115" s="49" t="n"/>
      <c r="C115" s="49" t="n"/>
      <c r="D115" s="49" t="n"/>
      <c r="E115" s="49" t="n"/>
      <c r="F115" s="49" t="n"/>
      <c r="G115" s="49" t="n"/>
      <c r="H115" s="49" t="n"/>
      <c r="I115" s="49" t="n"/>
      <c r="J115" s="49" t="n"/>
      <c r="K115" s="49" t="n"/>
      <c r="L115" s="49" t="n"/>
    </row>
    <row r="116">
      <c r="B116" s="49" t="n"/>
      <c r="C116" s="49" t="n"/>
      <c r="D116" s="49" t="n"/>
      <c r="E116" s="49" t="n"/>
      <c r="F116" s="49" t="n"/>
      <c r="G116" s="49" t="n"/>
      <c r="H116" s="49" t="n"/>
      <c r="I116" s="49" t="n"/>
      <c r="J116" s="49" t="n"/>
      <c r="K116" s="49" t="n"/>
      <c r="L116" s="49" t="n"/>
    </row>
    <row r="117">
      <c r="B117" s="49" t="n"/>
      <c r="C117" s="49" t="n"/>
      <c r="D117" s="49" t="n"/>
      <c r="E117" s="49" t="n"/>
      <c r="F117" s="49" t="n"/>
      <c r="G117" s="49" t="n"/>
      <c r="H117" s="49" t="n"/>
      <c r="I117" s="49" t="n"/>
      <c r="J117" s="49" t="n"/>
      <c r="K117" s="49" t="n"/>
      <c r="L117" s="49" t="n"/>
    </row>
    <row r="118">
      <c r="B118" s="49" t="n"/>
      <c r="C118" s="49" t="n"/>
      <c r="D118" s="49" t="n"/>
      <c r="E118" s="49" t="n"/>
      <c r="F118" s="49" t="n"/>
      <c r="G118" s="49" t="n"/>
      <c r="H118" s="49" t="n"/>
      <c r="I118" s="49" t="n"/>
      <c r="J118" s="49" t="n"/>
      <c r="K118" s="49" t="n"/>
      <c r="L118" s="49" t="n"/>
    </row>
    <row r="119">
      <c r="B119" s="49" t="n"/>
      <c r="C119" s="49" t="n"/>
      <c r="D119" s="49" t="n"/>
      <c r="E119" s="49" t="n"/>
      <c r="F119" s="49" t="n"/>
      <c r="G119" s="49" t="n"/>
      <c r="H119" s="49" t="n"/>
      <c r="I119" s="49" t="n"/>
      <c r="J119" s="49" t="n"/>
      <c r="K119" s="49" t="n"/>
      <c r="L119" s="49" t="n"/>
    </row>
    <row r="120">
      <c r="B120" s="49" t="n"/>
      <c r="C120" s="49" t="n"/>
      <c r="D120" s="49" t="n"/>
      <c r="E120" s="49" t="n"/>
      <c r="F120" s="49" t="n"/>
      <c r="G120" s="49" t="n"/>
      <c r="H120" s="49" t="n"/>
      <c r="I120" s="49" t="n"/>
      <c r="J120" s="49" t="n"/>
      <c r="K120" s="49" t="n"/>
      <c r="L120" s="49" t="n"/>
    </row>
    <row r="121">
      <c r="B121" s="49" t="n"/>
      <c r="C121" s="49" t="n"/>
      <c r="D121" s="49" t="n"/>
      <c r="E121" s="49" t="n"/>
      <c r="F121" s="49" t="n"/>
      <c r="G121" s="49" t="n"/>
      <c r="H121" s="49" t="n"/>
      <c r="I121" s="49" t="n"/>
      <c r="J121" s="49" t="n"/>
      <c r="K121" s="49" t="n"/>
      <c r="L121" s="49" t="n"/>
    </row>
    <row r="122">
      <c r="B122" s="49" t="n"/>
      <c r="C122" s="49" t="n"/>
      <c r="D122" s="49" t="n"/>
      <c r="E122" s="49" t="n"/>
      <c r="F122" s="49" t="n"/>
      <c r="G122" s="49" t="n"/>
      <c r="H122" s="49" t="n"/>
      <c r="I122" s="49" t="n"/>
      <c r="J122" s="49" t="n"/>
      <c r="K122" s="49" t="n"/>
      <c r="L122" s="49" t="n"/>
    </row>
    <row r="123">
      <c r="B123" s="49" t="n"/>
      <c r="C123" s="49" t="n"/>
      <c r="D123" s="49" t="n"/>
      <c r="E123" s="49" t="n"/>
      <c r="F123" s="49" t="n"/>
      <c r="G123" s="49" t="n"/>
      <c r="H123" s="49" t="n"/>
      <c r="I123" s="49" t="n"/>
      <c r="J123" s="49" t="n"/>
      <c r="K123" s="49" t="n"/>
      <c r="L123" s="49" t="n"/>
    </row>
    <row r="124">
      <c r="B124" s="49" t="n"/>
      <c r="C124" s="49" t="n"/>
      <c r="D124" s="49" t="n"/>
      <c r="E124" s="49" t="n"/>
      <c r="F124" s="49" t="n"/>
      <c r="G124" s="49" t="n"/>
      <c r="H124" s="49" t="n"/>
      <c r="I124" s="49" t="n"/>
      <c r="J124" s="49" t="n"/>
      <c r="K124" s="49" t="n"/>
      <c r="L124" s="49" t="n"/>
    </row>
    <row r="125">
      <c r="B125" s="49" t="n"/>
      <c r="C125" s="49" t="n"/>
      <c r="D125" s="49" t="n"/>
      <c r="E125" s="49" t="n"/>
      <c r="F125" s="49" t="n"/>
      <c r="G125" s="49" t="n"/>
      <c r="H125" s="49" t="n"/>
      <c r="I125" s="49" t="n"/>
      <c r="J125" s="49" t="n"/>
      <c r="K125" s="49" t="n"/>
      <c r="L125" s="49" t="n"/>
    </row>
    <row r="126">
      <c r="B126" s="49" t="n"/>
      <c r="C126" s="49" t="n"/>
      <c r="D126" s="49" t="n"/>
      <c r="E126" s="49" t="n"/>
      <c r="F126" s="49" t="n"/>
      <c r="G126" s="49" t="n"/>
      <c r="H126" s="49" t="n"/>
      <c r="I126" s="49" t="n"/>
      <c r="J126" s="49" t="n"/>
      <c r="K126" s="49" t="n"/>
      <c r="L126" s="49" t="n"/>
    </row>
    <row r="127">
      <c r="B127" s="49" t="n"/>
      <c r="C127" s="49" t="n"/>
      <c r="D127" s="49" t="n"/>
      <c r="E127" s="49" t="n"/>
      <c r="F127" s="49" t="n"/>
      <c r="G127" s="49" t="n"/>
      <c r="H127" s="49" t="n"/>
      <c r="I127" s="49" t="n"/>
      <c r="J127" s="49" t="n"/>
      <c r="K127" s="49" t="n"/>
      <c r="L127" s="49" t="n"/>
    </row>
    <row r="128">
      <c r="B128" s="49" t="n"/>
      <c r="C128" s="49" t="n"/>
      <c r="D128" s="49" t="n"/>
      <c r="E128" s="49" t="n"/>
      <c r="F128" s="49" t="n"/>
      <c r="G128" s="49" t="n"/>
      <c r="H128" s="49" t="n"/>
      <c r="I128" s="49" t="n"/>
      <c r="J128" s="49" t="n"/>
      <c r="K128" s="49" t="n"/>
      <c r="L128" s="49" t="n"/>
    </row>
    <row r="129">
      <c r="B129" s="49" t="n"/>
      <c r="C129" s="49" t="n"/>
      <c r="D129" s="49" t="n"/>
      <c r="E129" s="49" t="n"/>
      <c r="F129" s="49" t="n"/>
      <c r="G129" s="49" t="n"/>
      <c r="H129" s="49" t="n"/>
      <c r="I129" s="49" t="n"/>
      <c r="J129" s="49" t="n"/>
      <c r="K129" s="49" t="n"/>
      <c r="L129" s="49" t="n"/>
    </row>
    <row r="130">
      <c r="B130" s="49" t="n"/>
      <c r="C130" s="49" t="n"/>
      <c r="D130" s="49" t="n"/>
      <c r="E130" s="49" t="n"/>
      <c r="F130" s="49" t="n"/>
      <c r="G130" s="49" t="n"/>
      <c r="H130" s="49" t="n"/>
      <c r="I130" s="49" t="n"/>
      <c r="J130" s="49" t="n"/>
      <c r="K130" s="49" t="n"/>
      <c r="L130" s="49" t="n"/>
    </row>
    <row r="131">
      <c r="B131" s="49" t="n"/>
      <c r="C131" s="49" t="n"/>
      <c r="D131" s="49" t="n"/>
      <c r="E131" s="49" t="n"/>
      <c r="F131" s="49" t="n"/>
      <c r="G131" s="49" t="n"/>
      <c r="H131" s="49" t="n"/>
      <c r="I131" s="49" t="n"/>
      <c r="J131" s="49" t="n"/>
      <c r="K131" s="49" t="n"/>
      <c r="L131" s="49" t="n"/>
    </row>
    <row r="132">
      <c r="B132" s="49" t="n"/>
      <c r="C132" s="49" t="n"/>
      <c r="D132" s="49" t="n"/>
      <c r="E132" s="49" t="n"/>
      <c r="F132" s="49" t="n"/>
      <c r="G132" s="49" t="n"/>
      <c r="H132" s="49" t="n"/>
      <c r="I132" s="49" t="n"/>
      <c r="J132" s="49" t="n"/>
      <c r="K132" s="49" t="n"/>
      <c r="L132" s="49" t="n"/>
    </row>
    <row r="133">
      <c r="B133" s="49" t="n"/>
      <c r="C133" s="49" t="n"/>
      <c r="D133" s="49" t="n"/>
      <c r="E133" s="49" t="n"/>
      <c r="F133" s="49" t="n"/>
      <c r="G133" s="49" t="n"/>
      <c r="H133" s="49" t="n"/>
      <c r="I133" s="49" t="n"/>
      <c r="J133" s="49" t="n"/>
      <c r="K133" s="49" t="n"/>
      <c r="L133" s="49" t="n"/>
    </row>
    <row r="134">
      <c r="B134" s="49" t="n"/>
      <c r="C134" s="49" t="n"/>
      <c r="D134" s="49" t="n"/>
      <c r="E134" s="49" t="n"/>
      <c r="F134" s="49" t="n"/>
      <c r="G134" s="49" t="n"/>
      <c r="H134" s="49" t="n"/>
      <c r="I134" s="49" t="n"/>
      <c r="J134" s="49" t="n"/>
      <c r="K134" s="49" t="n"/>
      <c r="L134" s="49" t="n"/>
    </row>
    <row r="135">
      <c r="B135" s="49" t="n"/>
      <c r="C135" s="49" t="n"/>
      <c r="D135" s="49" t="n"/>
      <c r="E135" s="49" t="n"/>
      <c r="F135" s="49" t="n"/>
      <c r="G135" s="49" t="n"/>
      <c r="H135" s="49" t="n"/>
      <c r="I135" s="49" t="n"/>
      <c r="J135" s="49" t="n"/>
      <c r="K135" s="49" t="n"/>
      <c r="L135" s="49" t="n"/>
    </row>
    <row r="136">
      <c r="B136" s="49" t="n"/>
      <c r="C136" s="49" t="n"/>
      <c r="D136" s="49" t="n"/>
      <c r="E136" s="49" t="n"/>
      <c r="F136" s="49" t="n"/>
      <c r="G136" s="49" t="n"/>
      <c r="H136" s="49" t="n"/>
      <c r="I136" s="49" t="n"/>
      <c r="J136" s="49" t="n"/>
      <c r="K136" s="49" t="n"/>
      <c r="L136" s="49" t="n"/>
    </row>
    <row r="137">
      <c r="B137" s="49" t="n"/>
      <c r="C137" s="49" t="n"/>
      <c r="D137" s="49" t="n"/>
      <c r="E137" s="49" t="n"/>
      <c r="F137" s="49" t="n"/>
      <c r="G137" s="49" t="n"/>
      <c r="H137" s="49" t="n"/>
      <c r="I137" s="49" t="n"/>
      <c r="J137" s="49" t="n"/>
      <c r="K137" s="49" t="n"/>
      <c r="L137" s="49" t="n"/>
    </row>
    <row r="138">
      <c r="B138" s="49" t="n"/>
      <c r="C138" s="49" t="n"/>
      <c r="D138" s="49" t="n"/>
      <c r="E138" s="49" t="n"/>
      <c r="F138" s="49" t="n"/>
      <c r="G138" s="49" t="n"/>
      <c r="H138" s="49" t="n"/>
      <c r="I138" s="49" t="n"/>
      <c r="J138" s="49" t="n"/>
      <c r="K138" s="49" t="n"/>
      <c r="L138" s="49" t="n"/>
    </row>
    <row r="139">
      <c r="B139" s="49" t="n"/>
      <c r="C139" s="49" t="n"/>
      <c r="D139" s="49" t="n"/>
      <c r="E139" s="49" t="n"/>
      <c r="F139" s="49" t="n"/>
      <c r="G139" s="49" t="n"/>
      <c r="H139" s="49" t="n"/>
      <c r="I139" s="49" t="n"/>
      <c r="J139" s="49" t="n"/>
      <c r="K139" s="49" t="n"/>
      <c r="L139" s="49" t="n"/>
    </row>
    <row r="140">
      <c r="B140" s="49" t="n"/>
      <c r="C140" s="49" t="n"/>
      <c r="D140" s="49" t="n"/>
      <c r="E140" s="49" t="n"/>
      <c r="F140" s="49" t="n"/>
      <c r="G140" s="49" t="n"/>
      <c r="H140" s="49" t="n"/>
      <c r="I140" s="49" t="n"/>
      <c r="J140" s="49" t="n"/>
      <c r="K140" s="49" t="n"/>
      <c r="L140" s="49" t="n"/>
    </row>
    <row r="141">
      <c r="B141" s="49" t="n"/>
      <c r="C141" s="49" t="n"/>
      <c r="D141" s="49" t="n"/>
      <c r="E141" s="49" t="n"/>
      <c r="F141" s="49" t="n"/>
      <c r="G141" s="49" t="n"/>
      <c r="H141" s="49" t="n"/>
      <c r="I141" s="49" t="n"/>
      <c r="J141" s="49" t="n"/>
      <c r="K141" s="49" t="n"/>
      <c r="L141" s="49" t="n"/>
    </row>
    <row r="142">
      <c r="B142" s="49" t="n"/>
      <c r="C142" s="49" t="n"/>
      <c r="D142" s="49" t="n"/>
      <c r="E142" s="49" t="n"/>
      <c r="F142" s="49" t="n"/>
      <c r="G142" s="49" t="n"/>
      <c r="H142" s="49" t="n"/>
      <c r="I142" s="49" t="n"/>
      <c r="J142" s="49" t="n"/>
      <c r="K142" s="49" t="n"/>
      <c r="L142" s="49" t="n"/>
    </row>
    <row r="143">
      <c r="B143" s="49" t="n"/>
      <c r="C143" s="49" t="n"/>
      <c r="D143" s="49" t="n"/>
      <c r="E143" s="49" t="n"/>
      <c r="F143" s="49" t="n"/>
      <c r="G143" s="49" t="n"/>
      <c r="H143" s="49" t="n"/>
      <c r="I143" s="49" t="n"/>
      <c r="J143" s="49" t="n"/>
      <c r="K143" s="49" t="n"/>
      <c r="L143" s="49" t="n"/>
    </row>
    <row r="144">
      <c r="B144" s="49" t="n"/>
      <c r="C144" s="49" t="n"/>
      <c r="D144" s="49" t="n"/>
      <c r="E144" s="49" t="n"/>
      <c r="F144" s="49" t="n"/>
      <c r="G144" s="49" t="n"/>
      <c r="H144" s="49" t="n"/>
      <c r="I144" s="49" t="n"/>
      <c r="J144" s="49" t="n"/>
      <c r="K144" s="49" t="n"/>
      <c r="L144" s="49" t="n"/>
    </row>
    <row r="145">
      <c r="B145" s="49" t="n"/>
      <c r="C145" s="49" t="n"/>
      <c r="D145" s="49" t="n"/>
      <c r="E145" s="49" t="n"/>
      <c r="F145" s="49" t="n"/>
      <c r="G145" s="49" t="n"/>
      <c r="H145" s="49" t="n"/>
      <c r="I145" s="49" t="n"/>
      <c r="J145" s="49" t="n"/>
      <c r="K145" s="49" t="n"/>
      <c r="L145" s="49" t="n"/>
    </row>
    <row r="146">
      <c r="B146" s="49" t="n"/>
      <c r="C146" s="49" t="n"/>
      <c r="D146" s="49" t="n"/>
      <c r="E146" s="49" t="n"/>
      <c r="F146" s="49" t="n"/>
      <c r="G146" s="49" t="n"/>
      <c r="H146" s="49" t="n"/>
      <c r="I146" s="49" t="n"/>
      <c r="J146" s="49" t="n"/>
      <c r="K146" s="49" t="n"/>
      <c r="L146" s="49" t="n"/>
    </row>
    <row r="147">
      <c r="B147" s="49" t="n"/>
      <c r="C147" s="49" t="n"/>
      <c r="D147" s="49" t="n"/>
      <c r="E147" s="49" t="n"/>
      <c r="F147" s="49" t="n"/>
      <c r="G147" s="49" t="n"/>
      <c r="H147" s="49" t="n"/>
      <c r="I147" s="49" t="n"/>
      <c r="J147" s="49" t="n"/>
      <c r="K147" s="49" t="n"/>
      <c r="L147" s="49" t="n"/>
    </row>
    <row r="148">
      <c r="B148" s="49" t="n"/>
      <c r="C148" s="49" t="n"/>
      <c r="D148" s="49" t="n"/>
      <c r="E148" s="49" t="n"/>
      <c r="F148" s="49" t="n"/>
      <c r="G148" s="49" t="n"/>
      <c r="H148" s="49" t="n"/>
      <c r="I148" s="49" t="n"/>
      <c r="J148" s="49" t="n"/>
      <c r="K148" s="49" t="n"/>
      <c r="L148" s="49" t="n"/>
    </row>
    <row r="149">
      <c r="B149" s="49" t="n"/>
      <c r="C149" s="49" t="n"/>
      <c r="D149" s="49" t="n"/>
      <c r="E149" s="49" t="n"/>
      <c r="F149" s="49" t="n"/>
      <c r="G149" s="49" t="n"/>
      <c r="H149" s="49" t="n"/>
      <c r="I149" s="49" t="n"/>
      <c r="J149" s="49" t="n"/>
      <c r="K149" s="49" t="n"/>
      <c r="L149" s="49" t="n"/>
    </row>
    <row r="150">
      <c r="B150" s="49" t="n"/>
      <c r="C150" s="49" t="n"/>
      <c r="D150" s="49" t="n"/>
      <c r="E150" s="49" t="n"/>
      <c r="F150" s="49" t="n"/>
      <c r="G150" s="49" t="n"/>
      <c r="H150" s="49" t="n"/>
      <c r="I150" s="49" t="n"/>
      <c r="J150" s="49" t="n"/>
      <c r="K150" s="49" t="n"/>
      <c r="L150" s="49" t="n"/>
    </row>
    <row r="151">
      <c r="B151" s="49" t="n"/>
      <c r="C151" s="49" t="n"/>
      <c r="D151" s="49" t="n"/>
      <c r="E151" s="49" t="n"/>
      <c r="F151" s="49" t="n"/>
      <c r="G151" s="49" t="n"/>
      <c r="H151" s="49" t="n"/>
      <c r="I151" s="49" t="n"/>
      <c r="J151" s="49" t="n"/>
      <c r="K151" s="49" t="n"/>
      <c r="L151" s="49" t="n"/>
    </row>
    <row r="152">
      <c r="B152" s="49" t="n"/>
      <c r="C152" s="49" t="n"/>
      <c r="D152" s="49" t="n"/>
      <c r="E152" s="49" t="n"/>
      <c r="F152" s="49" t="n"/>
      <c r="G152" s="49" t="n"/>
      <c r="H152" s="49" t="n"/>
      <c r="I152" s="49" t="n"/>
      <c r="J152" s="49" t="n"/>
      <c r="K152" s="49" t="n"/>
      <c r="L152" s="49" t="n"/>
    </row>
    <row r="153">
      <c r="B153" s="49" t="n"/>
      <c r="C153" s="49" t="n"/>
      <c r="D153" s="49" t="n"/>
      <c r="E153" s="49" t="n"/>
      <c r="F153" s="49" t="n"/>
      <c r="G153" s="49" t="n"/>
      <c r="H153" s="49" t="n"/>
      <c r="I153" s="49" t="n"/>
      <c r="J153" s="49" t="n"/>
      <c r="K153" s="49" t="n"/>
      <c r="L153" s="49" t="n"/>
    </row>
    <row r="154">
      <c r="B154" s="49" t="n"/>
      <c r="C154" s="49" t="n"/>
      <c r="D154" s="49" t="n"/>
      <c r="E154" s="49" t="n"/>
      <c r="F154" s="49" t="n"/>
      <c r="G154" s="49" t="n"/>
      <c r="H154" s="49" t="n"/>
      <c r="I154" s="49" t="n"/>
      <c r="J154" s="49" t="n"/>
      <c r="K154" s="49" t="n"/>
      <c r="L154" s="49" t="n"/>
    </row>
    <row r="155">
      <c r="B155" s="49" t="n"/>
      <c r="C155" s="49" t="n"/>
      <c r="D155" s="49" t="n"/>
      <c r="E155" s="49" t="n"/>
      <c r="F155" s="49" t="n"/>
      <c r="G155" s="49" t="n"/>
      <c r="H155" s="49" t="n"/>
      <c r="I155" s="49" t="n"/>
      <c r="J155" s="49" t="n"/>
      <c r="K155" s="49" t="n"/>
      <c r="L155" s="49" t="n"/>
    </row>
    <row r="156">
      <c r="B156" s="49" t="n"/>
      <c r="C156" s="49" t="n"/>
      <c r="D156" s="49" t="n"/>
      <c r="E156" s="49" t="n"/>
      <c r="F156" s="49" t="n"/>
      <c r="G156" s="49" t="n"/>
      <c r="H156" s="49" t="n"/>
      <c r="I156" s="49" t="n"/>
      <c r="J156" s="49" t="n"/>
      <c r="K156" s="49" t="n"/>
      <c r="L156" s="49" t="n"/>
    </row>
    <row r="157">
      <c r="B157" s="49" t="n"/>
      <c r="C157" s="49" t="n"/>
      <c r="D157" s="49" t="n"/>
      <c r="E157" s="49" t="n"/>
      <c r="F157" s="49" t="n"/>
      <c r="G157" s="49" t="n"/>
      <c r="H157" s="49" t="n"/>
      <c r="I157" s="49" t="n"/>
      <c r="J157" s="49" t="n"/>
      <c r="K157" s="49" t="n"/>
      <c r="L157" s="49" t="n"/>
    </row>
    <row r="158">
      <c r="B158" s="49" t="n"/>
      <c r="C158" s="49" t="n"/>
      <c r="D158" s="49" t="n"/>
      <c r="E158" s="49" t="n"/>
      <c r="F158" s="49" t="n"/>
      <c r="G158" s="49" t="n"/>
      <c r="H158" s="49" t="n"/>
      <c r="I158" s="49" t="n"/>
      <c r="J158" s="49" t="n"/>
      <c r="K158" s="49" t="n"/>
      <c r="L158" s="49" t="n"/>
    </row>
    <row r="159">
      <c r="B159" s="49" t="n"/>
      <c r="C159" s="49" t="n"/>
      <c r="D159" s="49" t="n"/>
      <c r="E159" s="49" t="n"/>
      <c r="F159" s="49" t="n"/>
      <c r="G159" s="49" t="n"/>
      <c r="H159" s="49" t="n"/>
      <c r="I159" s="49" t="n"/>
      <c r="J159" s="49" t="n"/>
      <c r="K159" s="49" t="n"/>
      <c r="L159" s="49" t="n"/>
    </row>
    <row r="160">
      <c r="B160" s="49" t="n"/>
      <c r="C160" s="49" t="n"/>
      <c r="D160" s="49" t="n"/>
      <c r="E160" s="49" t="n"/>
      <c r="F160" s="49" t="n"/>
      <c r="G160" s="49" t="n"/>
      <c r="H160" s="49" t="n"/>
      <c r="I160" s="49" t="n"/>
      <c r="J160" s="49" t="n"/>
      <c r="K160" s="49" t="n"/>
      <c r="L160" s="49" t="n"/>
    </row>
    <row r="161">
      <c r="B161" s="49" t="n"/>
      <c r="C161" s="49" t="n"/>
      <c r="D161" s="49" t="n"/>
      <c r="E161" s="49" t="n"/>
      <c r="F161" s="49" t="n"/>
      <c r="G161" s="49" t="n"/>
      <c r="H161" s="49" t="n"/>
      <c r="I161" s="49" t="n"/>
      <c r="J161" s="49" t="n"/>
      <c r="K161" s="49" t="n"/>
      <c r="L161" s="49" t="n"/>
    </row>
    <row r="162">
      <c r="B162" s="49" t="n"/>
      <c r="C162" s="49" t="n"/>
      <c r="D162" s="49" t="n"/>
      <c r="E162" s="49" t="n"/>
      <c r="F162" s="49" t="n"/>
      <c r="G162" s="49" t="n"/>
      <c r="H162" s="49" t="n"/>
      <c r="I162" s="49" t="n"/>
      <c r="J162" s="49" t="n"/>
      <c r="K162" s="49" t="n"/>
      <c r="L162" s="49" t="n"/>
    </row>
    <row r="163">
      <c r="B163" s="49" t="n"/>
      <c r="C163" s="49" t="n"/>
      <c r="D163" s="49" t="n"/>
      <c r="E163" s="49" t="n"/>
      <c r="F163" s="49" t="n"/>
      <c r="G163" s="49" t="n"/>
      <c r="H163" s="49" t="n"/>
      <c r="I163" s="49" t="n"/>
      <c r="J163" s="49" t="n"/>
      <c r="K163" s="49" t="n"/>
      <c r="L163" s="49" t="n"/>
    </row>
    <row r="164">
      <c r="B164" s="49" t="n"/>
      <c r="C164" s="49" t="n"/>
      <c r="D164" s="49" t="n"/>
      <c r="E164" s="49" t="n"/>
      <c r="F164" s="49" t="n"/>
      <c r="G164" s="49" t="n"/>
      <c r="H164" s="49" t="n"/>
      <c r="I164" s="49" t="n"/>
      <c r="J164" s="49" t="n"/>
      <c r="K164" s="49" t="n"/>
      <c r="L164" s="49" t="n"/>
    </row>
    <row r="165">
      <c r="B165" s="49" t="n"/>
      <c r="C165" s="49" t="n"/>
      <c r="D165" s="49" t="n"/>
      <c r="E165" s="49" t="n"/>
      <c r="F165" s="49" t="n"/>
      <c r="G165" s="49" t="n"/>
      <c r="H165" s="49" t="n"/>
      <c r="I165" s="49" t="n"/>
      <c r="J165" s="49" t="n"/>
      <c r="K165" s="49" t="n"/>
      <c r="L165" s="49" t="n"/>
    </row>
    <row r="166">
      <c r="B166" s="49" t="n"/>
      <c r="C166" s="49" t="n"/>
      <c r="D166" s="49" t="n"/>
      <c r="E166" s="49" t="n"/>
      <c r="F166" s="49" t="n"/>
      <c r="G166" s="49" t="n"/>
      <c r="H166" s="49" t="n"/>
      <c r="I166" s="49" t="n"/>
      <c r="J166" s="49" t="n"/>
      <c r="K166" s="49" t="n"/>
      <c r="L166" s="49" t="n"/>
    </row>
    <row r="167">
      <c r="B167" s="49" t="n"/>
      <c r="C167" s="49" t="n"/>
      <c r="D167" s="49" t="n"/>
      <c r="E167" s="49" t="n"/>
      <c r="F167" s="49" t="n"/>
      <c r="G167" s="49" t="n"/>
      <c r="H167" s="49" t="n"/>
      <c r="I167" s="49" t="n"/>
      <c r="J167" s="49" t="n"/>
      <c r="K167" s="49" t="n"/>
      <c r="L167" s="49" t="n"/>
    </row>
    <row r="168">
      <c r="B168" s="49" t="n"/>
      <c r="C168" s="49" t="n"/>
      <c r="D168" s="49" t="n"/>
      <c r="E168" s="49" t="n"/>
      <c r="F168" s="49" t="n"/>
      <c r="G168" s="49" t="n"/>
      <c r="H168" s="49" t="n"/>
      <c r="I168" s="49" t="n"/>
      <c r="J168" s="49" t="n"/>
      <c r="K168" s="49" t="n"/>
      <c r="L168" s="49" t="n"/>
    </row>
    <row r="169">
      <c r="B169" s="49" t="n"/>
      <c r="C169" s="49" t="n"/>
      <c r="D169" s="49" t="n"/>
      <c r="E169" s="49" t="n"/>
      <c r="F169" s="49" t="n"/>
      <c r="G169" s="49" t="n"/>
      <c r="H169" s="49" t="n"/>
      <c r="I169" s="49" t="n"/>
      <c r="J169" s="49" t="n"/>
      <c r="K169" s="49" t="n"/>
      <c r="L169" s="49" t="n"/>
    </row>
    <row r="170">
      <c r="B170" s="49" t="n"/>
      <c r="C170" s="49" t="n"/>
      <c r="D170" s="49" t="n"/>
      <c r="E170" s="49" t="n"/>
      <c r="F170" s="49" t="n"/>
      <c r="G170" s="49" t="n"/>
      <c r="H170" s="49" t="n"/>
      <c r="I170" s="49" t="n"/>
      <c r="J170" s="49" t="n"/>
      <c r="K170" s="49" t="n"/>
      <c r="L170" s="49" t="n"/>
    </row>
    <row r="171">
      <c r="B171" s="49" t="n"/>
      <c r="C171" s="49" t="n"/>
      <c r="D171" s="49" t="n"/>
      <c r="E171" s="49" t="n"/>
      <c r="F171" s="49" t="n"/>
      <c r="G171" s="49" t="n"/>
      <c r="H171" s="49" t="n"/>
      <c r="I171" s="49" t="n"/>
      <c r="J171" s="49" t="n"/>
      <c r="K171" s="49" t="n"/>
      <c r="L171" s="49" t="n"/>
    </row>
    <row r="172">
      <c r="B172" s="49" t="n"/>
      <c r="C172" s="49" t="n"/>
      <c r="D172" s="49" t="n"/>
      <c r="E172" s="49" t="n"/>
      <c r="F172" s="49" t="n"/>
      <c r="G172" s="49" t="n"/>
      <c r="H172" s="49" t="n"/>
      <c r="I172" s="49" t="n"/>
      <c r="J172" s="49" t="n"/>
      <c r="K172" s="49" t="n"/>
      <c r="L172" s="49" t="n"/>
    </row>
    <row r="173">
      <c r="B173" s="49" t="n"/>
      <c r="C173" s="49" t="n"/>
      <c r="D173" s="49" t="n"/>
      <c r="E173" s="49" t="n"/>
      <c r="F173" s="49" t="n"/>
      <c r="G173" s="49" t="n"/>
      <c r="H173" s="49" t="n"/>
      <c r="I173" s="49" t="n"/>
      <c r="J173" s="49" t="n"/>
      <c r="K173" s="49" t="n"/>
      <c r="L173" s="49" t="n"/>
    </row>
    <row r="174">
      <c r="B174" s="49" t="n"/>
      <c r="C174" s="49" t="n"/>
      <c r="D174" s="49" t="n"/>
      <c r="E174" s="49" t="n"/>
      <c r="F174" s="49" t="n"/>
      <c r="G174" s="49" t="n"/>
      <c r="H174" s="49" t="n"/>
      <c r="I174" s="49" t="n"/>
      <c r="J174" s="49" t="n"/>
      <c r="K174" s="49" t="n"/>
      <c r="L174" s="49" t="n"/>
    </row>
    <row r="175">
      <c r="B175" s="49" t="n"/>
      <c r="C175" s="49" t="n"/>
      <c r="D175" s="49" t="n"/>
      <c r="E175" s="49" t="n"/>
      <c r="F175" s="49" t="n"/>
      <c r="G175" s="49" t="n"/>
      <c r="H175" s="49" t="n"/>
      <c r="I175" s="49" t="n"/>
      <c r="J175" s="49" t="n"/>
      <c r="K175" s="49" t="n"/>
      <c r="L175" s="49" t="n"/>
    </row>
    <row r="176">
      <c r="B176" s="49" t="n"/>
      <c r="C176" s="49" t="n"/>
      <c r="D176" s="49" t="n"/>
      <c r="E176" s="49" t="n"/>
      <c r="F176" s="49" t="n"/>
      <c r="G176" s="49" t="n"/>
      <c r="H176" s="49" t="n"/>
      <c r="I176" s="49" t="n"/>
      <c r="J176" s="49" t="n"/>
      <c r="K176" s="49" t="n"/>
      <c r="L176" s="49" t="n"/>
    </row>
    <row r="177">
      <c r="B177" s="49" t="n"/>
      <c r="C177" s="49" t="n"/>
      <c r="D177" s="49" t="n"/>
      <c r="E177" s="49" t="n"/>
      <c r="F177" s="49" t="n"/>
      <c r="G177" s="49" t="n"/>
      <c r="H177" s="49" t="n"/>
      <c r="I177" s="49" t="n"/>
      <c r="J177" s="49" t="n"/>
      <c r="K177" s="49" t="n"/>
      <c r="L177" s="49" t="n"/>
    </row>
    <row r="178">
      <c r="B178" s="49" t="n"/>
      <c r="C178" s="49" t="n"/>
      <c r="D178" s="49" t="n"/>
      <c r="E178" s="49" t="n"/>
      <c r="F178" s="49" t="n"/>
      <c r="G178" s="49" t="n"/>
      <c r="H178" s="49" t="n"/>
      <c r="I178" s="49" t="n"/>
      <c r="J178" s="49" t="n"/>
      <c r="K178" s="49" t="n"/>
      <c r="L178" s="49" t="n"/>
    </row>
    <row r="179">
      <c r="B179" s="49" t="n"/>
      <c r="C179" s="49" t="n"/>
      <c r="D179" s="49" t="n"/>
      <c r="E179" s="49" t="n"/>
      <c r="F179" s="49" t="n"/>
      <c r="G179" s="49" t="n"/>
      <c r="H179" s="49" t="n"/>
      <c r="I179" s="49" t="n"/>
      <c r="J179" s="49" t="n"/>
      <c r="K179" s="49" t="n"/>
      <c r="L179" s="49" t="n"/>
    </row>
    <row r="180">
      <c r="B180" s="49" t="n"/>
      <c r="C180" s="49" t="n"/>
      <c r="D180" s="49" t="n"/>
      <c r="E180" s="49" t="n"/>
      <c r="F180" s="49" t="n"/>
      <c r="G180" s="49" t="n"/>
      <c r="H180" s="49" t="n"/>
      <c r="I180" s="49" t="n"/>
      <c r="J180" s="49" t="n"/>
      <c r="K180" s="49" t="n"/>
      <c r="L180" s="49" t="n"/>
    </row>
    <row r="181">
      <c r="B181" s="49" t="n"/>
      <c r="C181" s="49" t="n"/>
      <c r="D181" s="49" t="n"/>
      <c r="E181" s="49" t="n"/>
      <c r="F181" s="49" t="n"/>
      <c r="G181" s="49" t="n"/>
      <c r="H181" s="49" t="n"/>
      <c r="I181" s="49" t="n"/>
      <c r="J181" s="49" t="n"/>
      <c r="K181" s="49" t="n"/>
      <c r="L181" s="49" t="n"/>
    </row>
    <row r="182">
      <c r="B182" s="49" t="n"/>
      <c r="C182" s="49" t="n"/>
      <c r="D182" s="49" t="n"/>
      <c r="E182" s="49" t="n"/>
      <c r="F182" s="49" t="n"/>
      <c r="G182" s="49" t="n"/>
      <c r="H182" s="49" t="n"/>
      <c r="I182" s="49" t="n"/>
      <c r="J182" s="49" t="n"/>
      <c r="K182" s="49" t="n"/>
      <c r="L182" s="49" t="n"/>
    </row>
    <row r="183">
      <c r="B183" s="49" t="n"/>
      <c r="C183" s="49" t="n"/>
      <c r="D183" s="49" t="n"/>
      <c r="E183" s="49" t="n"/>
      <c r="F183" s="49" t="n"/>
      <c r="G183" s="49" t="n"/>
      <c r="H183" s="49" t="n"/>
      <c r="I183" s="49" t="n"/>
      <c r="J183" s="49" t="n"/>
      <c r="K183" s="49" t="n"/>
      <c r="L183" s="49" t="n"/>
    </row>
    <row r="184">
      <c r="B184" s="49" t="n"/>
      <c r="C184" s="49" t="n"/>
      <c r="D184" s="49" t="n"/>
      <c r="E184" s="49" t="n"/>
      <c r="F184" s="49" t="n"/>
      <c r="G184" s="49" t="n"/>
      <c r="H184" s="49" t="n"/>
      <c r="I184" s="49" t="n"/>
      <c r="J184" s="49" t="n"/>
      <c r="K184" s="49" t="n"/>
      <c r="L184" s="49" t="n"/>
    </row>
    <row r="185">
      <c r="B185" s="49" t="n"/>
      <c r="C185" s="49" t="n"/>
      <c r="D185" s="49" t="n"/>
      <c r="E185" s="49" t="n"/>
      <c r="F185" s="49" t="n"/>
      <c r="G185" s="49" t="n"/>
      <c r="H185" s="49" t="n"/>
      <c r="I185" s="49" t="n"/>
      <c r="J185" s="49" t="n"/>
      <c r="K185" s="49" t="n"/>
      <c r="L185" s="49" t="n"/>
    </row>
    <row r="186">
      <c r="B186" s="49" t="n"/>
      <c r="C186" s="49" t="n"/>
      <c r="D186" s="49" t="n"/>
      <c r="E186" s="49" t="n"/>
      <c r="F186" s="49" t="n"/>
      <c r="G186" s="49" t="n"/>
      <c r="H186" s="49" t="n"/>
      <c r="I186" s="49" t="n"/>
      <c r="J186" s="49" t="n"/>
      <c r="K186" s="49" t="n"/>
      <c r="L186" s="49" t="n"/>
    </row>
    <row r="187">
      <c r="B187" s="49" t="n"/>
      <c r="C187" s="49" t="n"/>
      <c r="D187" s="49" t="n"/>
      <c r="E187" s="49" t="n"/>
      <c r="F187" s="49" t="n"/>
      <c r="G187" s="49" t="n"/>
      <c r="H187" s="49" t="n"/>
      <c r="I187" s="49" t="n"/>
      <c r="J187" s="49" t="n"/>
      <c r="K187" s="49" t="n"/>
      <c r="L187" s="49" t="n"/>
    </row>
    <row r="188">
      <c r="B188" s="49" t="n"/>
      <c r="C188" s="49" t="n"/>
      <c r="D188" s="49" t="n"/>
      <c r="E188" s="49" t="n"/>
      <c r="F188" s="49" t="n"/>
      <c r="G188" s="49" t="n"/>
      <c r="H188" s="49" t="n"/>
      <c r="I188" s="49" t="n"/>
      <c r="J188" s="49" t="n"/>
      <c r="K188" s="49" t="n"/>
      <c r="L188" s="49" t="n"/>
    </row>
    <row r="189">
      <c r="B189" s="49" t="n"/>
      <c r="C189" s="49" t="n"/>
      <c r="D189" s="49" t="n"/>
      <c r="E189" s="49" t="n"/>
      <c r="F189" s="49" t="n"/>
      <c r="G189" s="49" t="n"/>
      <c r="H189" s="49" t="n"/>
      <c r="I189" s="49" t="n"/>
      <c r="J189" s="49" t="n"/>
      <c r="K189" s="49" t="n"/>
      <c r="L189" s="49" t="n"/>
    </row>
    <row r="190">
      <c r="B190" s="49" t="n"/>
      <c r="C190" s="49" t="n"/>
      <c r="D190" s="49" t="n"/>
      <c r="E190" s="49" t="n"/>
      <c r="F190" s="49" t="n"/>
      <c r="G190" s="49" t="n"/>
      <c r="H190" s="49" t="n"/>
      <c r="I190" s="49" t="n"/>
      <c r="J190" s="49" t="n"/>
      <c r="K190" s="49" t="n"/>
      <c r="L190" s="49" t="n"/>
    </row>
    <row r="191">
      <c r="B191" s="49" t="n"/>
      <c r="C191" s="49" t="n"/>
      <c r="D191" s="49" t="n"/>
      <c r="E191" s="49" t="n"/>
      <c r="F191" s="49" t="n"/>
      <c r="G191" s="49" t="n"/>
      <c r="H191" s="49" t="n"/>
      <c r="I191" s="49" t="n"/>
      <c r="J191" s="49" t="n"/>
      <c r="K191" s="49" t="n"/>
      <c r="L191" s="49" t="n"/>
    </row>
    <row r="192">
      <c r="B192" s="49" t="n"/>
      <c r="C192" s="49" t="n"/>
      <c r="D192" s="49" t="n"/>
      <c r="E192" s="49" t="n"/>
      <c r="F192" s="49" t="n"/>
      <c r="G192" s="49" t="n"/>
      <c r="H192" s="49" t="n"/>
      <c r="I192" s="49" t="n"/>
      <c r="J192" s="49" t="n"/>
      <c r="K192" s="49" t="n"/>
      <c r="L192" s="49" t="n"/>
    </row>
    <row r="193">
      <c r="B193" s="49" t="n"/>
      <c r="C193" s="49" t="n"/>
      <c r="D193" s="49" t="n"/>
      <c r="E193" s="49" t="n"/>
      <c r="F193" s="49" t="n"/>
      <c r="G193" s="49" t="n"/>
      <c r="H193" s="49" t="n"/>
      <c r="I193" s="49" t="n"/>
      <c r="J193" s="49" t="n"/>
      <c r="K193" s="49" t="n"/>
      <c r="L193" s="49" t="n"/>
    </row>
    <row r="194">
      <c r="B194" s="49" t="n"/>
      <c r="C194" s="49" t="n"/>
      <c r="D194" s="49" t="n"/>
      <c r="E194" s="49" t="n"/>
      <c r="F194" s="49" t="n"/>
      <c r="G194" s="49" t="n"/>
      <c r="H194" s="49" t="n"/>
      <c r="I194" s="49" t="n"/>
      <c r="J194" s="49" t="n"/>
      <c r="K194" s="49" t="n"/>
      <c r="L194" s="49" t="n"/>
    </row>
    <row r="195">
      <c r="B195" s="49" t="n"/>
      <c r="C195" s="49" t="n"/>
      <c r="D195" s="49" t="n"/>
      <c r="E195" s="49" t="n"/>
      <c r="F195" s="49" t="n"/>
      <c r="G195" s="49" t="n"/>
      <c r="H195" s="49" t="n"/>
      <c r="I195" s="49" t="n"/>
      <c r="J195" s="49" t="n"/>
      <c r="K195" s="49" t="n"/>
      <c r="L195" s="49" t="n"/>
    </row>
    <row r="196">
      <c r="B196" s="49" t="n"/>
      <c r="C196" s="49" t="n"/>
      <c r="D196" s="49" t="n"/>
      <c r="E196" s="49" t="n"/>
      <c r="F196" s="49" t="n"/>
      <c r="G196" s="49" t="n"/>
      <c r="H196" s="49" t="n"/>
      <c r="I196" s="49" t="n"/>
      <c r="J196" s="49" t="n"/>
      <c r="K196" s="49" t="n"/>
      <c r="L196" s="49" t="n"/>
    </row>
    <row r="197">
      <c r="B197" s="49" t="n"/>
      <c r="C197" s="49" t="n"/>
      <c r="D197" s="49" t="n"/>
      <c r="E197" s="49" t="n"/>
      <c r="F197" s="49" t="n"/>
      <c r="G197" s="49" t="n"/>
      <c r="H197" s="49" t="n"/>
      <c r="I197" s="49" t="n"/>
      <c r="J197" s="49" t="n"/>
      <c r="K197" s="49" t="n"/>
      <c r="L197" s="49" t="n"/>
    </row>
    <row r="198">
      <c r="B198" s="49" t="n"/>
      <c r="C198" s="49" t="n"/>
      <c r="D198" s="49" t="n"/>
      <c r="E198" s="49" t="n"/>
      <c r="F198" s="49" t="n"/>
      <c r="G198" s="49" t="n"/>
      <c r="H198" s="49" t="n"/>
      <c r="I198" s="49" t="n"/>
      <c r="J198" s="49" t="n"/>
      <c r="K198" s="49" t="n"/>
      <c r="L198" s="49" t="n"/>
    </row>
    <row r="199">
      <c r="B199" s="49" t="n"/>
      <c r="C199" s="49" t="n"/>
      <c r="D199" s="49" t="n"/>
      <c r="E199" s="49" t="n"/>
      <c r="F199" s="49" t="n"/>
      <c r="G199" s="49" t="n"/>
      <c r="H199" s="49" t="n"/>
      <c r="I199" s="49" t="n"/>
      <c r="J199" s="49" t="n"/>
      <c r="K199" s="49" t="n"/>
      <c r="L199" s="49" t="n"/>
    </row>
    <row r="200">
      <c r="B200" s="49" t="n"/>
      <c r="C200" s="49" t="n"/>
      <c r="D200" s="49" t="n"/>
      <c r="E200" s="49" t="n"/>
      <c r="F200" s="49" t="n"/>
      <c r="G200" s="49" t="n"/>
      <c r="H200" s="49" t="n"/>
      <c r="I200" s="49" t="n"/>
      <c r="J200" s="49" t="n"/>
      <c r="K200" s="49" t="n"/>
      <c r="L200" s="49" t="n"/>
    </row>
    <row r="201">
      <c r="B201" s="49" t="n"/>
      <c r="C201" s="49" t="n"/>
      <c r="D201" s="49" t="n"/>
      <c r="E201" s="49" t="n"/>
      <c r="F201" s="49" t="n"/>
      <c r="G201" s="49" t="n"/>
      <c r="H201" s="49" t="n"/>
      <c r="I201" s="49" t="n"/>
      <c r="J201" s="49" t="n"/>
      <c r="K201" s="49" t="n"/>
      <c r="L201" s="49" t="n"/>
    </row>
    <row r="202">
      <c r="B202" s="49" t="n"/>
      <c r="C202" s="49" t="n"/>
      <c r="D202" s="49" t="n"/>
      <c r="E202" s="49" t="n"/>
      <c r="F202" s="49" t="n"/>
      <c r="G202" s="49" t="n"/>
      <c r="H202" s="49" t="n"/>
      <c r="I202" s="49" t="n"/>
      <c r="J202" s="49" t="n"/>
      <c r="K202" s="49" t="n"/>
      <c r="L202" s="49" t="n"/>
    </row>
    <row r="203">
      <c r="B203" s="49" t="n"/>
      <c r="C203" s="49" t="n"/>
      <c r="D203" s="49" t="n"/>
      <c r="E203" s="49" t="n"/>
      <c r="F203" s="49" t="n"/>
      <c r="G203" s="49" t="n"/>
      <c r="H203" s="49" t="n"/>
      <c r="I203" s="49" t="n"/>
      <c r="J203" s="49" t="n"/>
      <c r="K203" s="49" t="n"/>
      <c r="L203" s="49" t="n"/>
    </row>
    <row r="204">
      <c r="B204" s="49" t="n"/>
      <c r="C204" s="49" t="n"/>
      <c r="D204" s="49" t="n"/>
      <c r="E204" s="49" t="n"/>
      <c r="F204" s="49" t="n"/>
      <c r="G204" s="49" t="n"/>
      <c r="H204" s="49" t="n"/>
      <c r="I204" s="49" t="n"/>
      <c r="J204" s="49" t="n"/>
      <c r="K204" s="49" t="n"/>
      <c r="L204" s="49" t="n"/>
    </row>
    <row r="205">
      <c r="B205" s="49" t="n"/>
      <c r="C205" s="49" t="n"/>
      <c r="D205" s="49" t="n"/>
      <c r="E205" s="49" t="n"/>
      <c r="F205" s="49" t="n"/>
      <c r="G205" s="49" t="n"/>
      <c r="H205" s="49" t="n"/>
      <c r="I205" s="49" t="n"/>
      <c r="J205" s="49" t="n"/>
      <c r="K205" s="49" t="n"/>
      <c r="L205" s="49" t="n"/>
    </row>
    <row r="206">
      <c r="B206" s="49" t="n"/>
      <c r="C206" s="49" t="n"/>
      <c r="D206" s="49" t="n"/>
      <c r="E206" s="49" t="n"/>
      <c r="F206" s="49" t="n"/>
      <c r="G206" s="49" t="n"/>
      <c r="H206" s="49" t="n"/>
      <c r="I206" s="49" t="n"/>
      <c r="J206" s="49" t="n"/>
      <c r="K206" s="49" t="n"/>
      <c r="L206" s="49" t="n"/>
    </row>
    <row r="207">
      <c r="B207" s="49" t="n"/>
      <c r="C207" s="49" t="n"/>
      <c r="D207" s="49" t="n"/>
      <c r="E207" s="49" t="n"/>
      <c r="F207" s="49" t="n"/>
      <c r="G207" s="49" t="n"/>
      <c r="H207" s="49" t="n"/>
      <c r="I207" s="49" t="n"/>
      <c r="J207" s="49" t="n"/>
      <c r="K207" s="49" t="n"/>
      <c r="L207" s="49" t="n"/>
    </row>
    <row r="208">
      <c r="B208" s="49" t="n"/>
      <c r="C208" s="49" t="n"/>
      <c r="D208" s="49" t="n"/>
      <c r="E208" s="49" t="n"/>
      <c r="F208" s="49" t="n"/>
      <c r="G208" s="49" t="n"/>
      <c r="H208" s="49" t="n"/>
      <c r="I208" s="49" t="n"/>
      <c r="J208" s="49" t="n"/>
      <c r="K208" s="49" t="n"/>
      <c r="L208" s="49" t="n"/>
    </row>
    <row r="209">
      <c r="B209" s="49" t="n"/>
      <c r="C209" s="49" t="n"/>
      <c r="D209" s="49" t="n"/>
      <c r="E209" s="49" t="n"/>
      <c r="F209" s="49" t="n"/>
      <c r="G209" s="49" t="n"/>
      <c r="H209" s="49" t="n"/>
      <c r="I209" s="49" t="n"/>
      <c r="J209" s="49" t="n"/>
      <c r="K209" s="49" t="n"/>
      <c r="L209" s="49" t="n"/>
    </row>
    <row r="210">
      <c r="B210" s="49" t="n"/>
      <c r="C210" s="49" t="n"/>
      <c r="D210" s="49" t="n"/>
      <c r="E210" s="49" t="n"/>
      <c r="F210" s="49" t="n"/>
      <c r="G210" s="49" t="n"/>
      <c r="H210" s="49" t="n"/>
      <c r="I210" s="49" t="n"/>
      <c r="J210" s="49" t="n"/>
      <c r="K210" s="49" t="n"/>
      <c r="L210" s="49" t="n"/>
    </row>
    <row r="211">
      <c r="B211" s="49" t="n"/>
      <c r="C211" s="49" t="n"/>
      <c r="D211" s="49" t="n"/>
      <c r="E211" s="49" t="n"/>
      <c r="F211" s="49" t="n"/>
      <c r="G211" s="49" t="n"/>
      <c r="H211" s="49" t="n"/>
      <c r="I211" s="49" t="n"/>
      <c r="J211" s="49" t="n"/>
      <c r="K211" s="49" t="n"/>
      <c r="L211" s="49" t="n"/>
    </row>
    <row r="212">
      <c r="B212" s="49" t="n"/>
      <c r="C212" s="49" t="n"/>
      <c r="D212" s="49" t="n"/>
      <c r="E212" s="49" t="n"/>
      <c r="F212" s="49" t="n"/>
      <c r="G212" s="49" t="n"/>
      <c r="H212" s="49" t="n"/>
      <c r="I212" s="49" t="n"/>
      <c r="J212" s="49" t="n"/>
      <c r="K212" s="49" t="n"/>
      <c r="L212" s="49" t="n"/>
    </row>
    <row r="213">
      <c r="B213" s="49" t="n"/>
      <c r="C213" s="49" t="n"/>
      <c r="D213" s="49" t="n"/>
      <c r="E213" s="49" t="n"/>
      <c r="F213" s="49" t="n"/>
      <c r="G213" s="49" t="n"/>
      <c r="H213" s="49" t="n"/>
      <c r="I213" s="49" t="n"/>
      <c r="J213" s="49" t="n"/>
      <c r="K213" s="49" t="n"/>
      <c r="L213" s="49" t="n"/>
    </row>
    <row r="214">
      <c r="B214" s="49" t="n"/>
      <c r="C214" s="49" t="n"/>
      <c r="D214" s="49" t="n"/>
      <c r="E214" s="49" t="n"/>
      <c r="F214" s="49" t="n"/>
      <c r="G214" s="49" t="n"/>
      <c r="H214" s="49" t="n"/>
      <c r="I214" s="49" t="n"/>
      <c r="J214" s="49" t="n"/>
      <c r="K214" s="49" t="n"/>
      <c r="L214" s="49" t="n"/>
    </row>
    <row r="215">
      <c r="B215" s="49" t="n"/>
      <c r="C215" s="49" t="n"/>
      <c r="D215" s="49" t="n"/>
      <c r="E215" s="49" t="n"/>
      <c r="F215" s="49" t="n"/>
      <c r="G215" s="49" t="n"/>
      <c r="H215" s="49" t="n"/>
      <c r="I215" s="49" t="n"/>
      <c r="J215" s="49" t="n"/>
      <c r="K215" s="49" t="n"/>
      <c r="L215" s="49" t="n"/>
    </row>
    <row r="216">
      <c r="B216" s="49" t="n"/>
      <c r="C216" s="49" t="n"/>
      <c r="D216" s="49" t="n"/>
      <c r="E216" s="49" t="n"/>
      <c r="F216" s="49" t="n"/>
      <c r="G216" s="49" t="n"/>
      <c r="H216" s="49" t="n"/>
      <c r="I216" s="49" t="n"/>
      <c r="J216" s="49" t="n"/>
      <c r="K216" s="49" t="n"/>
      <c r="L216" s="49" t="n"/>
    </row>
    <row r="217">
      <c r="B217" s="49" t="n"/>
      <c r="C217" s="49" t="n"/>
      <c r="D217" s="49" t="n"/>
      <c r="E217" s="49" t="n"/>
      <c r="F217" s="49" t="n"/>
      <c r="G217" s="49" t="n"/>
      <c r="H217" s="49" t="n"/>
      <c r="I217" s="49" t="n"/>
      <c r="J217" s="49" t="n"/>
      <c r="K217" s="49" t="n"/>
      <c r="L217" s="49" t="n"/>
    </row>
    <row r="218">
      <c r="B218" s="49" t="n"/>
      <c r="C218" s="49" t="n"/>
      <c r="D218" s="49" t="n"/>
      <c r="E218" s="49" t="n"/>
      <c r="F218" s="49" t="n"/>
      <c r="G218" s="49" t="n"/>
      <c r="H218" s="49" t="n"/>
      <c r="I218" s="49" t="n"/>
      <c r="J218" s="49" t="n"/>
      <c r="K218" s="49" t="n"/>
      <c r="L218" s="49" t="n"/>
    </row>
    <row r="219">
      <c r="B219" s="49" t="n"/>
      <c r="C219" s="49" t="n"/>
      <c r="D219" s="49" t="n"/>
      <c r="E219" s="49" t="n"/>
      <c r="F219" s="49" t="n"/>
      <c r="G219" s="49" t="n"/>
      <c r="H219" s="49" t="n"/>
      <c r="I219" s="49" t="n"/>
      <c r="J219" s="49" t="n"/>
      <c r="K219" s="49" t="n"/>
      <c r="L219" s="49" t="n"/>
    </row>
    <row r="220">
      <c r="B220" s="49" t="n"/>
      <c r="C220" s="49" t="n"/>
      <c r="D220" s="49" t="n"/>
      <c r="E220" s="49" t="n"/>
      <c r="F220" s="49" t="n"/>
      <c r="G220" s="49" t="n"/>
      <c r="H220" s="49" t="n"/>
      <c r="I220" s="49" t="n"/>
      <c r="J220" s="49" t="n"/>
      <c r="K220" s="49" t="n"/>
      <c r="L220" s="49" t="n"/>
    </row>
    <row r="221">
      <c r="B221" s="49" t="n"/>
      <c r="C221" s="49" t="n"/>
      <c r="D221" s="49" t="n"/>
      <c r="E221" s="49" t="n"/>
      <c r="F221" s="49" t="n"/>
      <c r="G221" s="49" t="n"/>
      <c r="H221" s="49" t="n"/>
      <c r="I221" s="49" t="n"/>
      <c r="J221" s="49" t="n"/>
      <c r="K221" s="49" t="n"/>
      <c r="L221" s="49" t="n"/>
    </row>
    <row r="222">
      <c r="B222" s="49" t="n"/>
      <c r="C222" s="49" t="n"/>
      <c r="D222" s="49" t="n"/>
      <c r="E222" s="49" t="n"/>
      <c r="F222" s="49" t="n"/>
      <c r="G222" s="49" t="n"/>
      <c r="H222" s="49" t="n"/>
      <c r="I222" s="49" t="n"/>
      <c r="J222" s="49" t="n"/>
      <c r="K222" s="49" t="n"/>
      <c r="L222" s="49" t="n"/>
    </row>
    <row r="223">
      <c r="B223" s="49" t="n"/>
      <c r="C223" s="49" t="n"/>
      <c r="D223" s="49" t="n"/>
      <c r="E223" s="49" t="n"/>
      <c r="F223" s="49" t="n"/>
      <c r="G223" s="49" t="n"/>
      <c r="H223" s="49" t="n"/>
      <c r="I223" s="49" t="n"/>
      <c r="J223" s="49" t="n"/>
      <c r="K223" s="49" t="n"/>
      <c r="L223" s="49" t="n"/>
    </row>
    <row r="224">
      <c r="B224" s="49" t="n"/>
      <c r="C224" s="49" t="n"/>
      <c r="D224" s="49" t="n"/>
      <c r="E224" s="49" t="n"/>
      <c r="F224" s="49" t="n"/>
      <c r="G224" s="49" t="n"/>
      <c r="H224" s="49" t="n"/>
      <c r="I224" s="49" t="n"/>
      <c r="J224" s="49" t="n"/>
      <c r="K224" s="49" t="n"/>
      <c r="L224" s="49" t="n"/>
    </row>
    <row r="225">
      <c r="B225" s="49" t="n"/>
      <c r="C225" s="49" t="n"/>
      <c r="D225" s="49" t="n"/>
      <c r="E225" s="49" t="n"/>
      <c r="F225" s="49" t="n"/>
      <c r="G225" s="49" t="n"/>
      <c r="H225" s="49" t="n"/>
      <c r="I225" s="49" t="n"/>
      <c r="J225" s="49" t="n"/>
      <c r="K225" s="49" t="n"/>
      <c r="L225" s="49" t="n"/>
    </row>
    <row r="226">
      <c r="B226" s="49" t="n"/>
      <c r="C226" s="49" t="n"/>
      <c r="D226" s="49" t="n"/>
      <c r="E226" s="49" t="n"/>
      <c r="F226" s="49" t="n"/>
      <c r="G226" s="49" t="n"/>
      <c r="H226" s="49" t="n"/>
      <c r="I226" s="49" t="n"/>
      <c r="J226" s="49" t="n"/>
      <c r="K226" s="49" t="n"/>
      <c r="L226" s="49" t="n"/>
    </row>
    <row r="227">
      <c r="B227" s="49" t="n"/>
      <c r="C227" s="49" t="n"/>
      <c r="D227" s="49" t="n"/>
      <c r="E227" s="49" t="n"/>
      <c r="F227" s="49" t="n"/>
      <c r="G227" s="49" t="n"/>
      <c r="H227" s="49" t="n"/>
      <c r="I227" s="49" t="n"/>
      <c r="J227" s="49" t="n"/>
      <c r="K227" s="49" t="n"/>
      <c r="L227" s="49" t="n"/>
    </row>
    <row r="228">
      <c r="B228" s="49" t="n"/>
      <c r="C228" s="49" t="n"/>
      <c r="D228" s="49" t="n"/>
      <c r="E228" s="49" t="n"/>
      <c r="F228" s="49" t="n"/>
      <c r="G228" s="49" t="n"/>
      <c r="H228" s="49" t="n"/>
      <c r="I228" s="49" t="n"/>
      <c r="J228" s="49" t="n"/>
      <c r="K228" s="49" t="n"/>
      <c r="L228" s="49" t="n"/>
    </row>
    <row r="229">
      <c r="B229" s="49" t="n"/>
      <c r="C229" s="49" t="n"/>
      <c r="D229" s="49" t="n"/>
      <c r="E229" s="49" t="n"/>
      <c r="F229" s="49" t="n"/>
      <c r="G229" s="49" t="n"/>
      <c r="H229" s="49" t="n"/>
      <c r="I229" s="49" t="n"/>
      <c r="J229" s="49" t="n"/>
      <c r="K229" s="49" t="n"/>
      <c r="L229" s="49" t="n"/>
    </row>
    <row r="230">
      <c r="B230" s="49" t="n"/>
      <c r="C230" s="49" t="n"/>
      <c r="D230" s="49" t="n"/>
      <c r="E230" s="49" t="n"/>
      <c r="F230" s="49" t="n"/>
      <c r="G230" s="49" t="n"/>
      <c r="H230" s="49" t="n"/>
      <c r="I230" s="49" t="n"/>
      <c r="J230" s="49" t="n"/>
      <c r="K230" s="49" t="n"/>
      <c r="L230" s="49" t="n"/>
    </row>
    <row r="231">
      <c r="B231" s="49" t="n"/>
      <c r="C231" s="49" t="n"/>
      <c r="D231" s="49" t="n"/>
      <c r="E231" s="49" t="n"/>
      <c r="F231" s="49" t="n"/>
      <c r="G231" s="49" t="n"/>
      <c r="H231" s="49" t="n"/>
      <c r="I231" s="49" t="n"/>
      <c r="J231" s="49" t="n"/>
      <c r="K231" s="49" t="n"/>
      <c r="L231" s="49" t="n"/>
    </row>
    <row r="232">
      <c r="B232" s="49" t="n"/>
      <c r="C232" s="49" t="n"/>
      <c r="D232" s="49" t="n"/>
      <c r="E232" s="49" t="n"/>
      <c r="F232" s="49" t="n"/>
      <c r="G232" s="49" t="n"/>
      <c r="H232" s="49" t="n"/>
      <c r="I232" s="49" t="n"/>
      <c r="J232" s="49" t="n"/>
      <c r="K232" s="49" t="n"/>
      <c r="L232" s="49" t="n"/>
    </row>
    <row r="233">
      <c r="B233" s="49" t="n"/>
      <c r="C233" s="49" t="n"/>
      <c r="D233" s="49" t="n"/>
      <c r="E233" s="49" t="n"/>
      <c r="F233" s="49" t="n"/>
      <c r="G233" s="49" t="n"/>
      <c r="H233" s="49" t="n"/>
      <c r="I233" s="49" t="n"/>
      <c r="J233" s="49" t="n"/>
      <c r="K233" s="49" t="n"/>
      <c r="L233" s="49" t="n"/>
    </row>
    <row r="234">
      <c r="B234" s="49" t="n"/>
      <c r="C234" s="49" t="n"/>
      <c r="D234" s="49" t="n"/>
      <c r="E234" s="49" t="n"/>
      <c r="F234" s="49" t="n"/>
      <c r="G234" s="49" t="n"/>
      <c r="H234" s="49" t="n"/>
      <c r="I234" s="49" t="n"/>
      <c r="J234" s="49" t="n"/>
      <c r="K234" s="49" t="n"/>
      <c r="L234" s="49" t="n"/>
    </row>
    <row r="235">
      <c r="B235" s="49" t="n"/>
      <c r="C235" s="49" t="n"/>
      <c r="D235" s="49" t="n"/>
      <c r="E235" s="49" t="n"/>
      <c r="F235" s="49" t="n"/>
      <c r="G235" s="49" t="n"/>
      <c r="H235" s="49" t="n"/>
      <c r="I235" s="49" t="n"/>
      <c r="J235" s="49" t="n"/>
      <c r="K235" s="49" t="n"/>
      <c r="L235" s="49" t="n"/>
    </row>
    <row r="236">
      <c r="B236" s="49" t="n"/>
      <c r="C236" s="49" t="n"/>
      <c r="D236" s="49" t="n"/>
      <c r="E236" s="49" t="n"/>
      <c r="F236" s="49" t="n"/>
      <c r="G236" s="49" t="n"/>
      <c r="H236" s="49" t="n"/>
      <c r="I236" s="49" t="n"/>
      <c r="J236" s="49" t="n"/>
      <c r="K236" s="49" t="n"/>
      <c r="L236" s="49" t="n"/>
    </row>
    <row r="237">
      <c r="B237" s="49" t="n"/>
      <c r="C237" s="49" t="n"/>
      <c r="D237" s="49" t="n"/>
      <c r="E237" s="49" t="n"/>
      <c r="F237" s="49" t="n"/>
      <c r="G237" s="49" t="n"/>
      <c r="H237" s="49" t="n"/>
      <c r="I237" s="49" t="n"/>
      <c r="J237" s="49" t="n"/>
      <c r="K237" s="49" t="n"/>
      <c r="L237" s="49" t="n"/>
    </row>
    <row r="238">
      <c r="B238" s="49" t="n"/>
      <c r="C238" s="49" t="n"/>
      <c r="D238" s="49" t="n"/>
      <c r="E238" s="49" t="n"/>
      <c r="F238" s="49" t="n"/>
      <c r="G238" s="49" t="n"/>
      <c r="H238" s="49" t="n"/>
      <c r="I238" s="49" t="n"/>
      <c r="J238" s="49" t="n"/>
      <c r="K238" s="49" t="n"/>
      <c r="L238" s="49" t="n"/>
    </row>
    <row r="239">
      <c r="B239" s="49" t="n"/>
      <c r="C239" s="49" t="n"/>
      <c r="D239" s="49" t="n"/>
      <c r="E239" s="49" t="n"/>
      <c r="F239" s="49" t="n"/>
      <c r="G239" s="49" t="n"/>
      <c r="H239" s="49" t="n"/>
      <c r="I239" s="49" t="n"/>
      <c r="J239" s="49" t="n"/>
      <c r="K239" s="49" t="n"/>
      <c r="L239" s="49" t="n"/>
    </row>
    <row r="240">
      <c r="B240" s="49" t="n"/>
      <c r="C240" s="49" t="n"/>
      <c r="D240" s="49" t="n"/>
      <c r="E240" s="49" t="n"/>
      <c r="F240" s="49" t="n"/>
      <c r="G240" s="49" t="n"/>
      <c r="H240" s="49" t="n"/>
      <c r="I240" s="49" t="n"/>
      <c r="J240" s="49" t="n"/>
      <c r="K240" s="49" t="n"/>
      <c r="L240" s="49" t="n"/>
    </row>
    <row r="241">
      <c r="B241" s="49" t="n"/>
      <c r="C241" s="49" t="n"/>
      <c r="D241" s="49" t="n"/>
      <c r="E241" s="49" t="n"/>
      <c r="F241" s="49" t="n"/>
      <c r="G241" s="49" t="n"/>
      <c r="H241" s="49" t="n"/>
      <c r="I241" s="49" t="n"/>
      <c r="J241" s="49" t="n"/>
      <c r="K241" s="49" t="n"/>
      <c r="L241" s="49" t="n"/>
    </row>
    <row r="242">
      <c r="B242" s="49" t="n"/>
      <c r="C242" s="49" t="n"/>
      <c r="D242" s="49" t="n"/>
      <c r="E242" s="49" t="n"/>
      <c r="F242" s="49" t="n"/>
      <c r="G242" s="49" t="n"/>
      <c r="H242" s="49" t="n"/>
      <c r="I242" s="49" t="n"/>
      <c r="J242" s="49" t="n"/>
      <c r="K242" s="49" t="n"/>
      <c r="L242" s="49" t="n"/>
    </row>
    <row r="243">
      <c r="B243" s="49" t="n"/>
      <c r="C243" s="49" t="n"/>
      <c r="D243" s="49" t="n"/>
      <c r="E243" s="49" t="n"/>
      <c r="F243" s="49" t="n"/>
      <c r="G243" s="49" t="n"/>
      <c r="H243" s="49" t="n"/>
      <c r="I243" s="49" t="n"/>
      <c r="J243" s="49" t="n"/>
      <c r="K243" s="49" t="n"/>
      <c r="L243" s="49" t="n"/>
    </row>
    <row r="244">
      <c r="B244" s="49" t="n"/>
      <c r="C244" s="49" t="n"/>
      <c r="D244" s="49" t="n"/>
      <c r="E244" s="49" t="n"/>
      <c r="F244" s="49" t="n"/>
      <c r="G244" s="49" t="n"/>
      <c r="H244" s="49" t="n"/>
      <c r="I244" s="49" t="n"/>
      <c r="J244" s="49" t="n"/>
      <c r="K244" s="49" t="n"/>
      <c r="L244" s="49" t="n"/>
    </row>
    <row r="245">
      <c r="B245" s="49" t="n"/>
      <c r="C245" s="49" t="n"/>
      <c r="D245" s="49" t="n"/>
      <c r="E245" s="49" t="n"/>
      <c r="F245" s="49" t="n"/>
      <c r="G245" s="49" t="n"/>
      <c r="H245" s="49" t="n"/>
      <c r="I245" s="49" t="n"/>
      <c r="J245" s="49" t="n"/>
      <c r="K245" s="49" t="n"/>
      <c r="L245" s="49" t="n"/>
    </row>
    <row r="246">
      <c r="B246" s="49" t="n"/>
      <c r="C246" s="49" t="n"/>
      <c r="D246" s="49" t="n"/>
      <c r="E246" s="49" t="n"/>
      <c r="F246" s="49" t="n"/>
      <c r="G246" s="49" t="n"/>
      <c r="H246" s="49" t="n"/>
      <c r="I246" s="49" t="n"/>
      <c r="J246" s="49" t="n"/>
      <c r="K246" s="49" t="n"/>
      <c r="L246" s="49" t="n"/>
    </row>
    <row r="247">
      <c r="B247" s="49" t="n"/>
      <c r="C247" s="49" t="n"/>
      <c r="D247" s="49" t="n"/>
      <c r="E247" s="49" t="n"/>
      <c r="F247" s="49" t="n"/>
      <c r="G247" s="49" t="n"/>
      <c r="H247" s="49" t="n"/>
      <c r="I247" s="49" t="n"/>
      <c r="J247" s="49" t="n"/>
      <c r="K247" s="49" t="n"/>
      <c r="L247" s="49" t="n"/>
    </row>
    <row r="248">
      <c r="B248" s="49" t="n"/>
      <c r="C248" s="49" t="n"/>
      <c r="D248" s="49" t="n"/>
      <c r="E248" s="49" t="n"/>
      <c r="F248" s="49" t="n"/>
      <c r="G248" s="49" t="n"/>
      <c r="H248" s="49" t="n"/>
      <c r="I248" s="49" t="n"/>
      <c r="J248" s="49" t="n"/>
      <c r="K248" s="49" t="n"/>
      <c r="L248" s="49" t="n"/>
    </row>
    <row r="249">
      <c r="B249" s="49" t="n"/>
      <c r="C249" s="49" t="n"/>
      <c r="D249" s="49" t="n"/>
      <c r="E249" s="49" t="n"/>
      <c r="F249" s="49" t="n"/>
      <c r="G249" s="49" t="n"/>
      <c r="H249" s="49" t="n"/>
      <c r="I249" s="49" t="n"/>
      <c r="J249" s="49" t="n"/>
      <c r="K249" s="49" t="n"/>
      <c r="L249" s="49" t="n"/>
    </row>
    <row r="250">
      <c r="B250" s="49" t="n"/>
      <c r="C250" s="49" t="n"/>
      <c r="D250" s="49" t="n"/>
      <c r="E250" s="49" t="n"/>
      <c r="F250" s="49" t="n"/>
      <c r="G250" s="49" t="n"/>
      <c r="H250" s="49" t="n"/>
      <c r="I250" s="49" t="n"/>
      <c r="J250" s="49" t="n"/>
      <c r="K250" s="49" t="n"/>
      <c r="L250" s="49" t="n"/>
    </row>
    <row r="251">
      <c r="B251" s="49" t="n"/>
      <c r="C251" s="49" t="n"/>
      <c r="D251" s="49" t="n"/>
      <c r="E251" s="49" t="n"/>
      <c r="F251" s="49" t="n"/>
      <c r="G251" s="49" t="n"/>
      <c r="H251" s="49" t="n"/>
      <c r="I251" s="49" t="n"/>
      <c r="J251" s="49" t="n"/>
      <c r="K251" s="49" t="n"/>
      <c r="L251" s="49" t="n"/>
    </row>
    <row r="252">
      <c r="B252" s="49" t="n"/>
      <c r="C252" s="49" t="n"/>
      <c r="D252" s="49" t="n"/>
      <c r="E252" s="49" t="n"/>
      <c r="F252" s="49" t="n"/>
      <c r="G252" s="49" t="n"/>
      <c r="H252" s="49" t="n"/>
      <c r="I252" s="49" t="n"/>
      <c r="J252" s="49" t="n"/>
      <c r="K252" s="49" t="n"/>
      <c r="L252" s="49" t="n"/>
    </row>
    <row r="253">
      <c r="B253" s="49" t="n"/>
      <c r="C253" s="49" t="n"/>
      <c r="D253" s="49" t="n"/>
      <c r="E253" s="49" t="n"/>
      <c r="F253" s="49" t="n"/>
      <c r="G253" s="49" t="n"/>
      <c r="H253" s="49" t="n"/>
      <c r="I253" s="49" t="n"/>
      <c r="J253" s="49" t="n"/>
      <c r="K253" s="49" t="n"/>
      <c r="L253" s="49" t="n"/>
    </row>
    <row r="254">
      <c r="B254" s="49" t="n"/>
      <c r="C254" s="49" t="n"/>
      <c r="D254" s="49" t="n"/>
      <c r="E254" s="49" t="n"/>
      <c r="F254" s="49" t="n"/>
      <c r="G254" s="49" t="n"/>
      <c r="H254" s="49" t="n"/>
      <c r="I254" s="49" t="n"/>
      <c r="J254" s="49" t="n"/>
      <c r="K254" s="49" t="n"/>
      <c r="L254" s="49" t="n"/>
    </row>
    <row r="255">
      <c r="B255" s="49" t="n"/>
      <c r="C255" s="49" t="n"/>
      <c r="D255" s="49" t="n"/>
      <c r="E255" s="49" t="n"/>
      <c r="F255" s="49" t="n"/>
      <c r="G255" s="49" t="n"/>
      <c r="H255" s="49" t="n"/>
      <c r="I255" s="49" t="n"/>
      <c r="J255" s="49" t="n"/>
      <c r="K255" s="49" t="n"/>
      <c r="L255" s="49" t="n"/>
    </row>
    <row r="256">
      <c r="B256" s="49" t="n"/>
      <c r="C256" s="49" t="n"/>
      <c r="D256" s="49" t="n"/>
      <c r="E256" s="49" t="n"/>
      <c r="F256" s="49" t="n"/>
      <c r="G256" s="49" t="n"/>
      <c r="H256" s="49" t="n"/>
      <c r="I256" s="49" t="n"/>
      <c r="J256" s="49" t="n"/>
      <c r="K256" s="49" t="n"/>
      <c r="L256" s="49" t="n"/>
    </row>
    <row r="257">
      <c r="B257" s="49" t="n"/>
      <c r="C257" s="49" t="n"/>
      <c r="D257" s="49" t="n"/>
      <c r="E257" s="49" t="n"/>
      <c r="F257" s="49" t="n"/>
      <c r="G257" s="49" t="n"/>
      <c r="H257" s="49" t="n"/>
      <c r="I257" s="49" t="n"/>
      <c r="J257" s="49" t="n"/>
      <c r="K257" s="49" t="n"/>
      <c r="L257" s="49" t="n"/>
    </row>
    <row r="258">
      <c r="B258" s="49" t="n"/>
      <c r="C258" s="49" t="n"/>
      <c r="D258" s="49" t="n"/>
      <c r="E258" s="49" t="n"/>
      <c r="F258" s="49" t="n"/>
      <c r="G258" s="49" t="n"/>
      <c r="H258" s="49" t="n"/>
      <c r="I258" s="49" t="n"/>
      <c r="J258" s="49" t="n"/>
      <c r="K258" s="49" t="n"/>
      <c r="L258" s="49" t="n"/>
    </row>
    <row r="259">
      <c r="B259" s="49" t="n"/>
      <c r="C259" s="49" t="n"/>
      <c r="D259" s="49" t="n"/>
      <c r="E259" s="49" t="n"/>
      <c r="F259" s="49" t="n"/>
      <c r="G259" s="49" t="n"/>
      <c r="H259" s="49" t="n"/>
      <c r="I259" s="49" t="n"/>
      <c r="J259" s="49" t="n"/>
      <c r="K259" s="49" t="n"/>
      <c r="L259" s="49" t="n"/>
    </row>
    <row r="260">
      <c r="B260" s="49" t="n"/>
      <c r="C260" s="49" t="n"/>
      <c r="D260" s="49" t="n"/>
      <c r="E260" s="49" t="n"/>
      <c r="F260" s="49" t="n"/>
      <c r="G260" s="49" t="n"/>
      <c r="H260" s="49" t="n"/>
      <c r="I260" s="49" t="n"/>
      <c r="J260" s="49" t="n"/>
      <c r="K260" s="49" t="n"/>
      <c r="L260" s="49" t="n"/>
    </row>
    <row r="261">
      <c r="B261" s="49" t="n"/>
      <c r="C261" s="49" t="n"/>
      <c r="D261" s="49" t="n"/>
      <c r="E261" s="49" t="n"/>
      <c r="F261" s="49" t="n"/>
      <c r="G261" s="49" t="n"/>
      <c r="H261" s="49" t="n"/>
      <c r="I261" s="49" t="n"/>
      <c r="J261" s="49" t="n"/>
      <c r="K261" s="49" t="n"/>
      <c r="L261" s="49" t="n"/>
    </row>
    <row r="262">
      <c r="B262" s="49" t="n"/>
      <c r="C262" s="49" t="n"/>
      <c r="D262" s="49" t="n"/>
      <c r="E262" s="49" t="n"/>
      <c r="F262" s="49" t="n"/>
      <c r="G262" s="49" t="n"/>
      <c r="H262" s="49" t="n"/>
      <c r="I262" s="49" t="n"/>
      <c r="J262" s="49" t="n"/>
      <c r="K262" s="49" t="n"/>
      <c r="L262" s="49" t="n"/>
    </row>
    <row r="263">
      <c r="B263" s="49" t="n"/>
      <c r="C263" s="49" t="n"/>
      <c r="D263" s="49" t="n"/>
      <c r="E263" s="49" t="n"/>
      <c r="F263" s="49" t="n"/>
      <c r="G263" s="49" t="n"/>
      <c r="H263" s="49" t="n"/>
      <c r="I263" s="49" t="n"/>
      <c r="J263" s="49" t="n"/>
      <c r="K263" s="49" t="n"/>
      <c r="L263" s="49" t="n"/>
    </row>
    <row r="264">
      <c r="B264" s="49" t="n"/>
      <c r="C264" s="49" t="n"/>
      <c r="D264" s="49" t="n"/>
      <c r="E264" s="49" t="n"/>
      <c r="F264" s="49" t="n"/>
      <c r="G264" s="49" t="n"/>
      <c r="H264" s="49" t="n"/>
      <c r="I264" s="49" t="n"/>
      <c r="J264" s="49" t="n"/>
      <c r="K264" s="49" t="n"/>
      <c r="L264" s="49" t="n"/>
    </row>
    <row r="265">
      <c r="B265" s="49" t="n"/>
      <c r="C265" s="49" t="n"/>
      <c r="D265" s="49" t="n"/>
      <c r="E265" s="49" t="n"/>
      <c r="F265" s="49" t="n"/>
      <c r="G265" s="49" t="n"/>
      <c r="H265" s="49" t="n"/>
      <c r="I265" s="49" t="n"/>
      <c r="J265" s="49" t="n"/>
      <c r="K265" s="49" t="n"/>
      <c r="L265" s="49" t="n"/>
    </row>
    <row r="266">
      <c r="B266" s="49" t="n"/>
      <c r="C266" s="49" t="n"/>
      <c r="D266" s="49" t="n"/>
      <c r="E266" s="49" t="n"/>
      <c r="F266" s="49" t="n"/>
      <c r="G266" s="49" t="n"/>
      <c r="H266" s="49" t="n"/>
      <c r="I266" s="49" t="n"/>
      <c r="J266" s="49" t="n"/>
      <c r="K266" s="49" t="n"/>
      <c r="L266" s="49" t="n"/>
    </row>
    <row r="267">
      <c r="B267" s="49" t="n"/>
      <c r="C267" s="49" t="n"/>
      <c r="D267" s="49" t="n"/>
      <c r="E267" s="49" t="n"/>
      <c r="F267" s="49" t="n"/>
      <c r="G267" s="49" t="n"/>
      <c r="H267" s="49" t="n"/>
      <c r="I267" s="49" t="n"/>
      <c r="J267" s="49" t="n"/>
      <c r="K267" s="49" t="n"/>
      <c r="L267" s="49" t="n"/>
    </row>
    <row r="268">
      <c r="B268" s="49" t="n"/>
      <c r="C268" s="49" t="n"/>
      <c r="D268" s="49" t="n"/>
      <c r="E268" s="49" t="n"/>
      <c r="F268" s="49" t="n"/>
      <c r="G268" s="49" t="n"/>
      <c r="H268" s="49" t="n"/>
      <c r="I268" s="49" t="n"/>
      <c r="J268" s="49" t="n"/>
      <c r="K268" s="49" t="n"/>
      <c r="L268" s="49" t="n"/>
    </row>
    <row r="269">
      <c r="B269" s="49" t="n"/>
      <c r="C269" s="49" t="n"/>
      <c r="D269" s="49" t="n"/>
      <c r="E269" s="49" t="n"/>
      <c r="F269" s="49" t="n"/>
      <c r="G269" s="49" t="n"/>
      <c r="H269" s="49" t="n"/>
      <c r="I269" s="49" t="n"/>
      <c r="J269" s="49" t="n"/>
      <c r="K269" s="49" t="n"/>
      <c r="L269" s="49" t="n"/>
    </row>
    <row r="270">
      <c r="B270" s="49" t="n"/>
      <c r="C270" s="49" t="n"/>
      <c r="D270" s="49" t="n"/>
      <c r="E270" s="49" t="n"/>
      <c r="F270" s="49" t="n"/>
      <c r="G270" s="49" t="n"/>
      <c r="H270" s="49" t="n"/>
      <c r="I270" s="49" t="n"/>
      <c r="J270" s="49" t="n"/>
      <c r="K270" s="49" t="n"/>
      <c r="L270" s="49" t="n"/>
    </row>
    <row r="271">
      <c r="B271" s="49" t="n"/>
      <c r="C271" s="49" t="n"/>
      <c r="D271" s="49" t="n"/>
      <c r="E271" s="49" t="n"/>
      <c r="F271" s="49" t="n"/>
      <c r="G271" s="49" t="n"/>
      <c r="H271" s="49" t="n"/>
      <c r="I271" s="49" t="n"/>
      <c r="J271" s="49" t="n"/>
      <c r="K271" s="49" t="n"/>
      <c r="L271" s="49" t="n"/>
    </row>
    <row r="272">
      <c r="B272" s="49" t="n"/>
      <c r="C272" s="49" t="n"/>
      <c r="D272" s="49" t="n"/>
      <c r="E272" s="49" t="n"/>
      <c r="F272" s="49" t="n"/>
      <c r="G272" s="49" t="n"/>
      <c r="H272" s="49" t="n"/>
      <c r="I272" s="49" t="n"/>
      <c r="J272" s="49" t="n"/>
      <c r="K272" s="49" t="n"/>
      <c r="L272" s="49" t="n"/>
    </row>
    <row r="273">
      <c r="B273" s="49" t="n"/>
      <c r="C273" s="49" t="n"/>
      <c r="D273" s="49" t="n"/>
      <c r="E273" s="49" t="n"/>
      <c r="F273" s="49" t="n"/>
      <c r="G273" s="49" t="n"/>
      <c r="H273" s="49" t="n"/>
      <c r="I273" s="49" t="n"/>
      <c r="J273" s="49" t="n"/>
      <c r="K273" s="49" t="n"/>
      <c r="L273" s="49" t="n"/>
    </row>
    <row r="274">
      <c r="B274" s="49" t="n"/>
      <c r="C274" s="49" t="n"/>
      <c r="D274" s="49" t="n"/>
      <c r="E274" s="49" t="n"/>
      <c r="F274" s="49" t="n"/>
      <c r="G274" s="49" t="n"/>
      <c r="H274" s="49" t="n"/>
      <c r="I274" s="49" t="n"/>
      <c r="J274" s="49" t="n"/>
      <c r="K274" s="49" t="n"/>
      <c r="L274" s="49" t="n"/>
    </row>
    <row r="275">
      <c r="B275" s="49" t="n"/>
      <c r="C275" s="49" t="n"/>
      <c r="D275" s="49" t="n"/>
      <c r="E275" s="49" t="n"/>
      <c r="F275" s="49" t="n"/>
      <c r="G275" s="49" t="n"/>
      <c r="H275" s="49" t="n"/>
      <c r="I275" s="49" t="n"/>
      <c r="J275" s="49" t="n"/>
      <c r="K275" s="49" t="n"/>
      <c r="L275" s="49" t="n"/>
    </row>
    <row r="276">
      <c r="B276" s="49" t="n"/>
      <c r="C276" s="49" t="n"/>
      <c r="D276" s="49" t="n"/>
      <c r="E276" s="49" t="n"/>
      <c r="F276" s="49" t="n"/>
      <c r="G276" s="49" t="n"/>
      <c r="H276" s="49" t="n"/>
      <c r="I276" s="49" t="n"/>
      <c r="J276" s="49" t="n"/>
      <c r="K276" s="49" t="n"/>
      <c r="L276" s="49" t="n"/>
    </row>
    <row r="277">
      <c r="B277" s="49" t="n"/>
      <c r="C277" s="49" t="n"/>
      <c r="D277" s="49" t="n"/>
      <c r="E277" s="49" t="n"/>
      <c r="F277" s="49" t="n"/>
      <c r="G277" s="49" t="n"/>
      <c r="H277" s="49" t="n"/>
      <c r="I277" s="49" t="n"/>
      <c r="J277" s="49" t="n"/>
      <c r="K277" s="49" t="n"/>
      <c r="L277" s="49" t="n"/>
    </row>
    <row r="278">
      <c r="B278" s="49" t="n"/>
      <c r="C278" s="49" t="n"/>
      <c r="D278" s="49" t="n"/>
      <c r="E278" s="49" t="n"/>
      <c r="F278" s="49" t="n"/>
      <c r="G278" s="49" t="n"/>
      <c r="H278" s="49" t="n"/>
      <c r="I278" s="49" t="n"/>
      <c r="J278" s="49" t="n"/>
      <c r="K278" s="49" t="n"/>
      <c r="L278" s="49" t="n"/>
    </row>
    <row r="279">
      <c r="B279" s="49" t="n"/>
      <c r="C279" s="49" t="n"/>
      <c r="D279" s="49" t="n"/>
      <c r="E279" s="49" t="n"/>
      <c r="F279" s="49" t="n"/>
      <c r="G279" s="49" t="n"/>
      <c r="H279" s="49" t="n"/>
      <c r="I279" s="49" t="n"/>
      <c r="J279" s="49" t="n"/>
      <c r="K279" s="49" t="n"/>
      <c r="L279" s="49" t="n"/>
    </row>
    <row r="280">
      <c r="B280" s="49" t="n"/>
      <c r="C280" s="49" t="n"/>
      <c r="D280" s="49" t="n"/>
      <c r="E280" s="49" t="n"/>
      <c r="F280" s="49" t="n"/>
      <c r="G280" s="49" t="n"/>
      <c r="H280" s="49" t="n"/>
      <c r="I280" s="49" t="n"/>
      <c r="J280" s="49" t="n"/>
      <c r="K280" s="49" t="n"/>
      <c r="L280" s="49" t="n"/>
    </row>
    <row r="281">
      <c r="B281" s="49" t="n"/>
      <c r="C281" s="49" t="n"/>
      <c r="D281" s="49" t="n"/>
      <c r="E281" s="49" t="n"/>
      <c r="F281" s="49" t="n"/>
      <c r="G281" s="49" t="n"/>
      <c r="H281" s="49" t="n"/>
      <c r="I281" s="49" t="n"/>
      <c r="J281" s="49" t="n"/>
      <c r="K281" s="49" t="n"/>
      <c r="L281" s="49" t="n"/>
    </row>
    <row r="282">
      <c r="B282" s="49" t="n"/>
      <c r="C282" s="49" t="n"/>
      <c r="D282" s="49" t="n"/>
      <c r="E282" s="49" t="n"/>
      <c r="F282" s="49" t="n"/>
      <c r="G282" s="49" t="n"/>
      <c r="H282" s="49" t="n"/>
      <c r="I282" s="49" t="n"/>
      <c r="J282" s="49" t="n"/>
      <c r="K282" s="49" t="n"/>
      <c r="L282" s="49" t="n"/>
    </row>
    <row r="283">
      <c r="B283" s="49" t="n"/>
      <c r="C283" s="49" t="n"/>
      <c r="D283" s="49" t="n"/>
      <c r="E283" s="49" t="n"/>
      <c r="F283" s="49" t="n"/>
      <c r="G283" s="49" t="n"/>
      <c r="H283" s="49" t="n"/>
      <c r="I283" s="49" t="n"/>
      <c r="J283" s="49" t="n"/>
      <c r="K283" s="49" t="n"/>
      <c r="L283" s="49" t="n"/>
    </row>
    <row r="284">
      <c r="B284" s="49" t="n"/>
      <c r="C284" s="49" t="n"/>
      <c r="D284" s="49" t="n"/>
      <c r="E284" s="49" t="n"/>
      <c r="F284" s="49" t="n"/>
      <c r="G284" s="49" t="n"/>
      <c r="H284" s="49" t="n"/>
      <c r="I284" s="49" t="n"/>
      <c r="J284" s="49" t="n"/>
      <c r="K284" s="49" t="n"/>
      <c r="L284" s="49" t="n"/>
    </row>
    <row r="285">
      <c r="B285" s="49" t="n"/>
      <c r="C285" s="49" t="n"/>
      <c r="D285" s="49" t="n"/>
      <c r="E285" s="49" t="n"/>
      <c r="F285" s="49" t="n"/>
      <c r="G285" s="49" t="n"/>
      <c r="H285" s="49" t="n"/>
      <c r="I285" s="49" t="n"/>
      <c r="J285" s="49" t="n"/>
      <c r="K285" s="49" t="n"/>
      <c r="L285" s="49" t="n"/>
    </row>
    <row r="286">
      <c r="B286" s="49" t="n"/>
      <c r="C286" s="49" t="n"/>
      <c r="D286" s="49" t="n"/>
      <c r="E286" s="49" t="n"/>
      <c r="F286" s="49" t="n"/>
      <c r="G286" s="49" t="n"/>
      <c r="H286" s="49" t="n"/>
      <c r="I286" s="49" t="n"/>
      <c r="J286" s="49" t="n"/>
      <c r="K286" s="49" t="n"/>
      <c r="L286" s="49" t="n"/>
    </row>
    <row r="287">
      <c r="B287" s="49" t="n"/>
      <c r="C287" s="49" t="n"/>
      <c r="D287" s="49" t="n"/>
      <c r="E287" s="49" t="n"/>
      <c r="F287" s="49" t="n"/>
      <c r="G287" s="49" t="n"/>
      <c r="H287" s="49" t="n"/>
      <c r="I287" s="49" t="n"/>
      <c r="J287" s="49" t="n"/>
      <c r="K287" s="49" t="n"/>
      <c r="L287" s="49" t="n"/>
    </row>
    <row r="288">
      <c r="B288" s="49" t="n"/>
      <c r="C288" s="49" t="n"/>
      <c r="D288" s="49" t="n"/>
      <c r="E288" s="49" t="n"/>
      <c r="F288" s="49" t="n"/>
      <c r="G288" s="49" t="n"/>
      <c r="H288" s="49" t="n"/>
      <c r="I288" s="49" t="n"/>
      <c r="J288" s="49" t="n"/>
      <c r="K288" s="49" t="n"/>
      <c r="L288" s="49" t="n"/>
    </row>
    <row r="289">
      <c r="B289" s="49" t="n"/>
      <c r="C289" s="49" t="n"/>
      <c r="D289" s="49" t="n"/>
      <c r="E289" s="49" t="n"/>
      <c r="F289" s="49" t="n"/>
      <c r="G289" s="49" t="n"/>
      <c r="H289" s="49" t="n"/>
      <c r="I289" s="49" t="n"/>
      <c r="J289" s="49" t="n"/>
      <c r="K289" s="49" t="n"/>
      <c r="L289" s="49" t="n"/>
    </row>
    <row r="290">
      <c r="B290" s="49" t="n"/>
      <c r="C290" s="49" t="n"/>
      <c r="D290" s="49" t="n"/>
      <c r="E290" s="49" t="n"/>
      <c r="F290" s="49" t="n"/>
      <c r="G290" s="49" t="n"/>
      <c r="H290" s="49" t="n"/>
      <c r="I290" s="49" t="n"/>
      <c r="J290" s="49" t="n"/>
      <c r="K290" s="49" t="n"/>
      <c r="L290" s="49" t="n"/>
    </row>
    <row r="291">
      <c r="B291" s="49" t="n"/>
      <c r="C291" s="49" t="n"/>
      <c r="D291" s="49" t="n"/>
      <c r="E291" s="49" t="n"/>
      <c r="F291" s="49" t="n"/>
      <c r="G291" s="49" t="n"/>
      <c r="H291" s="49" t="n"/>
      <c r="I291" s="49" t="n"/>
      <c r="J291" s="49" t="n"/>
      <c r="K291" s="49" t="n"/>
      <c r="L291" s="49" t="n"/>
    </row>
    <row r="292">
      <c r="B292" s="49" t="n"/>
      <c r="C292" s="49" t="n"/>
      <c r="D292" s="49" t="n"/>
      <c r="E292" s="49" t="n"/>
      <c r="F292" s="49" t="n"/>
      <c r="G292" s="49" t="n"/>
      <c r="H292" s="49" t="n"/>
      <c r="I292" s="49" t="n"/>
      <c r="J292" s="49" t="n"/>
      <c r="K292" s="49" t="n"/>
      <c r="L292" s="49" t="n"/>
    </row>
    <row r="293">
      <c r="B293" s="49" t="n"/>
      <c r="C293" s="49" t="n"/>
      <c r="D293" s="49" t="n"/>
      <c r="E293" s="49" t="n"/>
      <c r="F293" s="49" t="n"/>
      <c r="G293" s="49" t="n"/>
      <c r="H293" s="49" t="n"/>
      <c r="I293" s="49" t="n"/>
      <c r="J293" s="49" t="n"/>
      <c r="K293" s="49" t="n"/>
      <c r="L293" s="49" t="n"/>
    </row>
    <row r="294">
      <c r="B294" s="49" t="n"/>
      <c r="C294" s="49" t="n"/>
      <c r="D294" s="49" t="n"/>
      <c r="E294" s="49" t="n"/>
      <c r="F294" s="49" t="n"/>
      <c r="G294" s="49" t="n"/>
      <c r="H294" s="49" t="n"/>
      <c r="I294" s="49" t="n"/>
      <c r="J294" s="49" t="n"/>
      <c r="K294" s="49" t="n"/>
      <c r="L294" s="49" t="n"/>
    </row>
    <row r="295">
      <c r="B295" s="49" t="n"/>
      <c r="C295" s="49" t="n"/>
      <c r="D295" s="49" t="n"/>
      <c r="E295" s="49" t="n"/>
      <c r="F295" s="49" t="n"/>
      <c r="G295" s="49" t="n"/>
      <c r="H295" s="49" t="n"/>
      <c r="I295" s="49" t="n"/>
      <c r="J295" s="49" t="n"/>
      <c r="K295" s="49" t="n"/>
      <c r="L295" s="49" t="n"/>
    </row>
    <row r="296">
      <c r="B296" s="49" t="n"/>
      <c r="C296" s="49" t="n"/>
      <c r="D296" s="49" t="n"/>
      <c r="E296" s="49" t="n"/>
      <c r="F296" s="49" t="n"/>
      <c r="G296" s="49" t="n"/>
      <c r="H296" s="49" t="n"/>
      <c r="I296" s="49" t="n"/>
      <c r="J296" s="49" t="n"/>
      <c r="K296" s="49" t="n"/>
      <c r="L296" s="49" t="n"/>
    </row>
    <row r="297">
      <c r="B297" s="49" t="n"/>
      <c r="C297" s="49" t="n"/>
      <c r="D297" s="49" t="n"/>
      <c r="E297" s="49" t="n"/>
      <c r="F297" s="49" t="n"/>
      <c r="G297" s="49" t="n"/>
      <c r="H297" s="49" t="n"/>
      <c r="I297" s="49" t="n"/>
      <c r="J297" s="49" t="n"/>
      <c r="K297" s="49" t="n"/>
      <c r="L297" s="49" t="n"/>
    </row>
    <row r="298">
      <c r="B298" s="49" t="n"/>
      <c r="C298" s="49" t="n"/>
      <c r="D298" s="49" t="n"/>
      <c r="E298" s="49" t="n"/>
      <c r="F298" s="49" t="n"/>
      <c r="G298" s="49" t="n"/>
      <c r="H298" s="49" t="n"/>
      <c r="I298" s="49" t="n"/>
      <c r="J298" s="49" t="n"/>
      <c r="K298" s="49" t="n"/>
      <c r="L298" s="49" t="n"/>
    </row>
    <row r="299">
      <c r="B299" s="49" t="n"/>
      <c r="C299" s="49" t="n"/>
      <c r="D299" s="49" t="n"/>
      <c r="E299" s="49" t="n"/>
      <c r="F299" s="49" t="n"/>
      <c r="G299" s="49" t="n"/>
      <c r="H299" s="49" t="n"/>
      <c r="I299" s="49" t="n"/>
      <c r="J299" s="49" t="n"/>
      <c r="K299" s="49" t="n"/>
      <c r="L299" s="49" t="n"/>
    </row>
    <row r="300">
      <c r="B300" s="49" t="n"/>
      <c r="C300" s="49" t="n"/>
      <c r="D300" s="49" t="n"/>
      <c r="E300" s="49" t="n"/>
      <c r="F300" s="49" t="n"/>
      <c r="G300" s="49" t="n"/>
      <c r="H300" s="49" t="n"/>
      <c r="I300" s="49" t="n"/>
      <c r="J300" s="49" t="n"/>
      <c r="K300" s="49" t="n"/>
      <c r="L300" s="49" t="n"/>
    </row>
    <row r="301">
      <c r="B301" s="49" t="n"/>
      <c r="C301" s="49" t="n"/>
      <c r="D301" s="49" t="n"/>
      <c r="E301" s="49" t="n"/>
      <c r="F301" s="49" t="n"/>
      <c r="G301" s="49" t="n"/>
      <c r="H301" s="49" t="n"/>
      <c r="I301" s="49" t="n"/>
      <c r="J301" s="49" t="n"/>
      <c r="K301" s="49" t="n"/>
      <c r="L301" s="49" t="n"/>
    </row>
    <row r="302">
      <c r="B302" s="49" t="n"/>
      <c r="C302" s="49" t="n"/>
      <c r="D302" s="49" t="n"/>
      <c r="E302" s="49" t="n"/>
      <c r="F302" s="49" t="n"/>
      <c r="G302" s="49" t="n"/>
      <c r="H302" s="49" t="n"/>
      <c r="I302" s="49" t="n"/>
      <c r="J302" s="49" t="n"/>
      <c r="K302" s="49" t="n"/>
      <c r="L302" s="49" t="n"/>
    </row>
    <row r="303">
      <c r="B303" s="49" t="n"/>
      <c r="C303" s="49" t="n"/>
      <c r="D303" s="49" t="n"/>
      <c r="E303" s="49" t="n"/>
      <c r="F303" s="49" t="n"/>
      <c r="G303" s="49" t="n"/>
      <c r="H303" s="49" t="n"/>
      <c r="I303" s="49" t="n"/>
      <c r="J303" s="49" t="n"/>
      <c r="K303" s="49" t="n"/>
      <c r="L303" s="49" t="n"/>
    </row>
    <row r="304">
      <c r="B304" s="49" t="n"/>
      <c r="C304" s="49" t="n"/>
      <c r="D304" s="49" t="n"/>
      <c r="E304" s="49" t="n"/>
      <c r="F304" s="49" t="n"/>
      <c r="G304" s="49" t="n"/>
      <c r="H304" s="49" t="n"/>
      <c r="I304" s="49" t="n"/>
      <c r="J304" s="49" t="n"/>
      <c r="K304" s="49" t="n"/>
      <c r="L304" s="49" t="n"/>
    </row>
    <row r="305">
      <c r="B305" s="49" t="n"/>
      <c r="C305" s="49" t="n"/>
      <c r="D305" s="49" t="n"/>
      <c r="E305" s="49" t="n"/>
      <c r="F305" s="49" t="n"/>
      <c r="G305" s="49" t="n"/>
      <c r="H305" s="49" t="n"/>
      <c r="I305" s="49" t="n"/>
      <c r="J305" s="49" t="n"/>
      <c r="K305" s="49" t="n"/>
      <c r="L305" s="49" t="n"/>
    </row>
    <row r="306">
      <c r="B306" s="49" t="n"/>
      <c r="C306" s="49" t="n"/>
      <c r="D306" s="49" t="n"/>
      <c r="E306" s="49" t="n"/>
      <c r="F306" s="49" t="n"/>
      <c r="G306" s="49" t="n"/>
      <c r="H306" s="49" t="n"/>
      <c r="I306" s="49" t="n"/>
      <c r="J306" s="49" t="n"/>
      <c r="K306" s="49" t="n"/>
      <c r="L306" s="49" t="n"/>
    </row>
    <row r="307">
      <c r="B307" s="49" t="n"/>
      <c r="C307" s="49" t="n"/>
      <c r="D307" s="49" t="n"/>
      <c r="E307" s="49" t="n"/>
      <c r="F307" s="49" t="n"/>
      <c r="G307" s="49" t="n"/>
      <c r="H307" s="49" t="n"/>
      <c r="I307" s="49" t="n"/>
      <c r="J307" s="49" t="n"/>
      <c r="K307" s="49" t="n"/>
      <c r="L307" s="49" t="n"/>
    </row>
    <row r="308">
      <c r="B308" s="49" t="n"/>
      <c r="C308" s="49" t="n"/>
      <c r="D308" s="49" t="n"/>
      <c r="E308" s="49" t="n"/>
      <c r="F308" s="49" t="n"/>
      <c r="G308" s="49" t="n"/>
      <c r="H308" s="49" t="n"/>
      <c r="I308" s="49" t="n"/>
      <c r="J308" s="49" t="n"/>
      <c r="K308" s="49" t="n"/>
      <c r="L308" s="49" t="n"/>
    </row>
    <row r="309">
      <c r="B309" s="49" t="n"/>
      <c r="C309" s="49" t="n"/>
      <c r="D309" s="49" t="n"/>
      <c r="E309" s="49" t="n"/>
      <c r="F309" s="49" t="n"/>
      <c r="G309" s="49" t="n"/>
      <c r="H309" s="49" t="n"/>
      <c r="I309" s="49" t="n"/>
      <c r="J309" s="49" t="n"/>
      <c r="K309" s="49" t="n"/>
      <c r="L309" s="49" t="n"/>
    </row>
    <row r="310">
      <c r="B310" s="49" t="n"/>
      <c r="C310" s="49" t="n"/>
      <c r="D310" s="49" t="n"/>
      <c r="E310" s="49" t="n"/>
      <c r="F310" s="49" t="n"/>
      <c r="G310" s="49" t="n"/>
      <c r="H310" s="49" t="n"/>
      <c r="I310" s="49" t="n"/>
      <c r="J310" s="49" t="n"/>
      <c r="K310" s="49" t="n"/>
      <c r="L310" s="49" t="n"/>
    </row>
    <row r="311">
      <c r="B311" s="49" t="n"/>
      <c r="C311" s="49" t="n"/>
      <c r="D311" s="49" t="n"/>
      <c r="E311" s="49" t="n"/>
      <c r="F311" s="49" t="n"/>
      <c r="G311" s="49" t="n"/>
      <c r="H311" s="49" t="n"/>
      <c r="I311" s="49" t="n"/>
      <c r="J311" s="49" t="n"/>
      <c r="K311" s="49" t="n"/>
      <c r="L311" s="49" t="n"/>
    </row>
    <row r="312">
      <c r="B312" s="49" t="n"/>
      <c r="C312" s="49" t="n"/>
      <c r="D312" s="49" t="n"/>
      <c r="E312" s="49" t="n"/>
      <c r="F312" s="49" t="n"/>
      <c r="G312" s="49" t="n"/>
      <c r="H312" s="49" t="n"/>
      <c r="I312" s="49" t="n"/>
      <c r="J312" s="49" t="n"/>
      <c r="K312" s="49" t="n"/>
      <c r="L312" s="49" t="n"/>
    </row>
    <row r="313">
      <c r="B313" s="49" t="n"/>
      <c r="C313" s="49" t="n"/>
      <c r="D313" s="49" t="n"/>
      <c r="E313" s="49" t="n"/>
      <c r="F313" s="49" t="n"/>
      <c r="G313" s="49" t="n"/>
      <c r="H313" s="49" t="n"/>
      <c r="I313" s="49" t="n"/>
      <c r="J313" s="49" t="n"/>
      <c r="K313" s="49" t="n"/>
      <c r="L313" s="49" t="n"/>
    </row>
    <row r="314">
      <c r="B314" s="49" t="n"/>
      <c r="C314" s="49" t="n"/>
      <c r="D314" s="49" t="n"/>
      <c r="E314" s="49" t="n"/>
      <c r="F314" s="49" t="n"/>
      <c r="G314" s="49" t="n"/>
      <c r="H314" s="49" t="n"/>
      <c r="I314" s="49" t="n"/>
      <c r="J314" s="49" t="n"/>
      <c r="K314" s="49" t="n"/>
      <c r="L314" s="49" t="n"/>
    </row>
    <row r="315">
      <c r="B315" s="49" t="n"/>
      <c r="C315" s="49" t="n"/>
      <c r="D315" s="49" t="n"/>
      <c r="E315" s="49" t="n"/>
      <c r="F315" s="49" t="n"/>
      <c r="G315" s="49" t="n"/>
      <c r="H315" s="49" t="n"/>
      <c r="I315" s="49" t="n"/>
      <c r="J315" s="49" t="n"/>
      <c r="K315" s="49" t="n"/>
      <c r="L315" s="49" t="n"/>
    </row>
    <row r="316">
      <c r="B316" s="49" t="n"/>
      <c r="C316" s="49" t="n"/>
      <c r="D316" s="49" t="n"/>
      <c r="E316" s="49" t="n"/>
      <c r="F316" s="49" t="n"/>
      <c r="G316" s="49" t="n"/>
      <c r="H316" s="49" t="n"/>
      <c r="I316" s="49" t="n"/>
      <c r="J316" s="49" t="n"/>
      <c r="K316" s="49" t="n"/>
      <c r="L316" s="49" t="n"/>
    </row>
    <row r="317">
      <c r="B317" s="49" t="n"/>
      <c r="C317" s="49" t="n"/>
      <c r="D317" s="49" t="n"/>
      <c r="E317" s="49" t="n"/>
      <c r="F317" s="49" t="n"/>
      <c r="G317" s="49" t="n"/>
      <c r="H317" s="49" t="n"/>
      <c r="I317" s="49" t="n"/>
      <c r="J317" s="49" t="n"/>
      <c r="K317" s="49" t="n"/>
      <c r="L317" s="49" t="n"/>
    </row>
  </sheetData>
  <mergeCells count="7">
    <mergeCell ref="B4:L4"/>
    <mergeCell ref="B6:L6"/>
    <mergeCell ref="B7:L7"/>
    <mergeCell ref="B10:C10"/>
    <mergeCell ref="B3:L3"/>
    <mergeCell ref="B5:L5"/>
    <mergeCell ref="B8:L8"/>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AND(LEN($B17&amp;$C17&amp;$D17&amp;$E17&amp;$F17&amp;$G17&amp;$H17&amp;$I17&amp;$J17&amp;$K17&amp;$L17)&gt;0,B17="")</formula>
    </cfRule>
  </conditionalFormatting>
  <conditionalFormatting sqref="C17:C317">
    <cfRule type="expression" priority="3" dxfId="6">
      <formula>AND(LEN($B17&amp;$C17&amp;$D17&amp;$E17&amp;$F17&amp;$G17&amp;$H17&amp;$I17&amp;$J17&amp;$K17&amp;$L17)&gt;0,C17="")</formula>
    </cfRule>
  </conditionalFormatting>
  <conditionalFormatting sqref="D17:D317">
    <cfRule type="expression" priority="4" dxfId="6">
      <formula>AND(LEN($B17&amp;$C17&amp;$D17&amp;$E17&amp;$F17&amp;$G17&amp;$H17&amp;$I17&amp;$J17&amp;$K17&amp;$L17)&gt;0,D17="")</formula>
    </cfRule>
  </conditionalFormatting>
  <conditionalFormatting sqref="H17:H317">
    <cfRule type="expression" priority="5" dxfId="6">
      <formula>AND(LEN($B17&amp;$C17&amp;$D17&amp;$E17&amp;$F17&amp;$G17&amp;$H17&amp;$I17&amp;$J17&amp;$K17&amp;$L17)&gt;0,H17="")</formula>
    </cfRule>
  </conditionalFormatting>
  <conditionalFormatting sqref="I17:I317">
    <cfRule type="expression" priority="6" dxfId="6">
      <formula>AND(LEN($B17&amp;$C17&amp;$D17&amp;$E17&amp;$F17&amp;$G17&amp;$H17&amp;$I17&amp;$J17&amp;$K17&amp;$L17)&gt;0,I17="")</formula>
    </cfRule>
  </conditionalFormatting>
  <conditionalFormatting sqref="J17:J317">
    <cfRule type="expression" priority="7" dxfId="6">
      <formula>AND(LEN($B17&amp;$C17&amp;$D17&amp;$E17&amp;$F17&amp;$G17&amp;$H17&amp;$I17&amp;$J17&amp;$K17&amp;$L17)&gt;0,J17="")</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0" allowBlank="1" promptTitle="Payee code" prompt="Yes. Party code of the payee (a party known to BIBS)"/>
    <dataValidation sqref="C17:C317" showDropDown="0" showInputMessage="1" showErrorMessage="1" allowBlank="1" errorTitle="Payee class" error="The value is not in the list Payee class (sheet Reference lists). Keep it only for a new value you also add to its template." promptTitle="Payee class" prompt="Yes. Class of the payee Allowed: SUPPLIER, INSURER, EMPLOYEE, CLIENT, GOVERNMENT, OTHER (list Payee class)" type="list" errorStyle="warning">
      <formula1>=LIST_LOV_PAYEE_CLASS</formula1>
    </dataValidation>
    <dataValidation sqref="D17:D317" showDropDown="0" showInputMessage="1" showErrorMessage="0" allowBlank="1" promptTitle="Name" prompt="Yes. Payee name"/>
    <dataValidation sqref="E17:E317" showDropDown="0" showInputMessage="1" showErrorMessage="0" allowBlank="1" promptTitle="Address" prompt="No. Address"/>
    <dataValidation sqref="F17:F317" showDropDown="0" showInputMessage="1" showErrorMessage="0" allowBlank="1" promptTitle="Email" prompt="No. E-mail for payment advices"/>
    <dataValidation sqref="G17:G317" showDropDown="0" showInputMessage="1" showErrorMessage="0" allowBlank="1" promptTitle="TIN" prompt="No. Tax identification number"/>
    <dataValidation sqref="H17:H317" showDropDown="0" showInputMessage="1" showErrorMessage="1" allowBlank="1" errorTitle="Default mode" error="Choose a value of the list Default mode (UP-02) (sheet Reference lists)." promptTitle="Default mode" prompt="Yes. Mode of payment used by default Allowed: List Default mode (UP-02): 7 values, see Reference lists" type="list" errorStyle="stop">
      <formula1>=LIST_UP_02_DEFAULT_MODE</formula1>
    </dataValidation>
    <dataValidation sqref="I17:I317" showDropDown="0" showInputMessage="1" showErrorMessage="0" allowBlank="1" promptTitle="Allowed modes" prompt="Yes. Modes of payment allowed for the payee Allowed: Codes of the Default mode list"/>
    <dataValidation sqref="J17:J317" showDropDown="0" showInputMessage="1" showErrorMessage="0" allowBlank="1" promptTitle="Currency" prompt="Yes. Currency of payment (a currency known to BIBS)"/>
    <dataValidation sqref="K17:K317" showDropDown="0" showInputMessage="1" showErrorMessage="0" allowBlank="1" promptTitle="Bank" prompt="No. Bank of the payee account"/>
    <dataValidation sqref="L17:L317" showDropDown="0" showInputMessage="1" showErrorMessage="0" allowBlank="1" promptTitle="Account no" prompt="Conditional: a mode crediting an account (CTA, TT, online banking) is allowed. Account number of the payee at the bank"/>
  </dataValidations>
  <hyperlinks>
    <hyperlink ref="A2" location="'Start here'!A1"/>
    <hyperlink ref="L2" location="'Questions and comments'!A1"/>
    <hyperlink ref="B8" location="'MD-01 Business partners'!A1"/>
    <hyperlink ref="C14" location="'Reference lists'!A558"/>
    <hyperlink ref="H14" location="'Reference lists'!A564"/>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1.xml><?xml version="1.0" encoding="utf-8"?>
<worksheet xmlns="http://schemas.openxmlformats.org/spreadsheetml/2006/main">
  <sheetPr>
    <tabColor rgb="00004EA8"/>
    <outlinePr summaryBelow="0" summaryRight="1"/>
    <pageSetUpPr fitToPage="1"/>
  </sheetPr>
  <dimension ref="A1:P5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25" customWidth="1" min="3" max="3"/>
    <col width="19" customWidth="1" min="4" max="4"/>
    <col width="23" customWidth="1" min="5" max="5"/>
    <col width="18" customWidth="1" min="6" max="6"/>
    <col width="28" customWidth="1" min="7" max="7"/>
    <col width="23.63636363636363" customWidth="1" min="8" max="8"/>
    <col width="23.63636363636363" customWidth="1" min="9" max="9"/>
    <col width="30" customWidth="1" min="10" max="10"/>
    <col width="15" customWidth="1" min="11" max="11"/>
    <col width="19" customWidth="1" min="12" max="12"/>
    <col width="19" customWidth="1" min="13" max="13"/>
    <col width="20" customWidth="1" min="14" max="14"/>
    <col width="27" customWidth="1" min="15" max="15"/>
    <col width="28" customWidth="1" min="16" max="16"/>
  </cols>
  <sheetData>
    <row r="1" ht="26" customHeight="1">
      <c r="A1" s="25" t="inlineStr">
        <is>
          <t>D0-01 Company</t>
        </is>
      </c>
      <c r="P1" s="26" t="inlineStr">
        <is>
          <t>Step 29 of 52</t>
        </is>
      </c>
    </row>
    <row r="2">
      <c r="A2" s="27" t="inlineStr">
        <is>
          <t>← Back to Start here</t>
        </is>
      </c>
      <c r="B2" s="28" t="inlineStr">
        <is>
          <t>Step 29 of 52. Fill in one row per record below the column headers; the guide above each column says what to enter.</t>
        </is>
      </c>
      <c r="P2" s="29" t="inlineStr">
        <is>
          <t>Ask a question →</t>
        </is>
      </c>
    </row>
    <row r="3" outlineLevel="1" ht="15.5" customHeight="1">
      <c r="A3" s="30" t="inlineStr">
        <is>
          <t>Purpose</t>
        </is>
      </c>
      <c r="B3" s="31" t="inlineStr">
        <is>
          <t>The company record of BDOI</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Upload on the configuration screen Setup &amp; Administration › Setup › Companies, approved by a second user</t>
        </is>
      </c>
    </row>
    <row r="7" outlineLevel="1" ht="15.5" customHeight="1">
      <c r="A7" s="30" t="inlineStr">
        <is>
          <t>Source</t>
        </is>
      </c>
      <c r="B7" s="31" t="inlineStr">
        <is>
          <t>Upload template of the configuration screen (the same columns, headers, mandatory flags and allowed values)</t>
        </is>
      </c>
    </row>
    <row r="8" outlineLevel="1" ht="15" customHeight="1">
      <c r="A8" s="30" t="inlineStr">
        <is>
          <t>Depends on</t>
        </is>
      </c>
      <c r="B8" s="53" t="inlineStr">
        <is>
          <t>D0-06 Chart of accounts →</t>
        </is>
      </c>
    </row>
    <row r="9" outlineLevel="1" ht="15.5" customHeight="1">
      <c r="A9" s="30" t="inlineStr">
        <is>
          <t>Tax registration</t>
        </is>
      </c>
      <c r="B9" s="31" t="inlineStr">
        <is>
          <t>Besides the TIN with its branch code, BIBS keeps the RDO code, the VAT registration and the CAS and e-invoicing permits (number and date); the RDO is printed on the BIR exports. The receipt series in use come from R11</t>
        </is>
      </c>
    </row>
    <row r="10" ht="26" customHeight="1">
      <c r="A10" s="34" t="inlineStr">
        <is>
          <t>Progress</t>
        </is>
      </c>
      <c r="B10" s="35" t="inlineStr">
        <is>
          <t>Rows entered</t>
        </is>
      </c>
      <c r="C10" s="36">
        <f>SUMPRODUCT(((ROW($B$18:$B$518)&gt;18)+($B$18&lt;&gt;"IBRK")&gt;0)*(LEN($B$18:$B$518&amp;$C$18:$C$518&amp;$D$18:$D$518&amp;$E$18:$E$518&amp;$F$18:$F$518&amp;$G$18:$G$518&amp;$H$18:$H$518&amp;$I$18:$I$518&amp;$J$18:$J$518&amp;$K$18:$K$518&amp;$L$18:$L$518&amp;$M$18:$M$518&amp;$N$18:$N$518&amp;$O$18:$O$518&amp;$P$18:$P$518)&gt;0))</f>
        <v/>
      </c>
      <c r="D10" s="35" t="inlineStr">
        <is>
          <t>Mandatory cells missing</t>
        </is>
      </c>
      <c r="E10" s="36">
        <f>SUMPRODUCT(((ROW($B$18:$B$518)&gt;18)+($B$18&lt;&gt;"IBRK")&gt;0)*(LEN($B$18:$B$518&amp;$C$18:$C$518&amp;$D$18:$D$518&amp;$E$18:$E$518&amp;$F$18:$F$518&amp;$G$18:$G$518&amp;$H$18:$H$518&amp;$I$18:$I$518&amp;$J$18:$J$518&amp;$K$18:$K$518&amp;$L$18:$L$518&amp;$M$18:$M$518&amp;$N$18:$N$518&amp;$O$18:$O$518&amp;$P$18:$P$518)&gt;0)*(($B$18:$B$518="")+($C$18:$C$518="")+($D$18:$D$518="")+($E$18:$E$518="")+($F$18:$F$518="")+($G$18:$G$518="")+($H$18:$H$518="")+($I$18:$I$518="")+($J$18:$J$518="")))</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c r="I12" s="40" t="n"/>
      <c r="J12" s="40" t="n"/>
      <c r="K12" s="40" t="n"/>
      <c r="L12" s="40" t="n"/>
      <c r="M12" s="40" t="n"/>
      <c r="N12" s="40" t="n"/>
      <c r="O12" s="40" t="n"/>
      <c r="P12" s="40" t="n"/>
    </row>
    <row r="13" ht="17" customHeight="1">
      <c r="A13" s="41" t="inlineStr">
        <is>
          <t>Mandatory</t>
        </is>
      </c>
      <c r="B13" s="42" t="inlineStr">
        <is>
          <t>Yes</t>
        </is>
      </c>
      <c r="C13" s="42" t="inlineStr">
        <is>
          <t>Yes</t>
        </is>
      </c>
      <c r="D13" s="42" t="inlineStr">
        <is>
          <t>Yes</t>
        </is>
      </c>
      <c r="E13" s="42" t="inlineStr">
        <is>
          <t>Yes</t>
        </is>
      </c>
      <c r="F13" s="42" t="inlineStr">
        <is>
          <t>Yes</t>
        </is>
      </c>
      <c r="G13" s="42" t="inlineStr">
        <is>
          <t>Yes</t>
        </is>
      </c>
      <c r="H13" s="42" t="inlineStr">
        <is>
          <t>Yes</t>
        </is>
      </c>
      <c r="I13" s="42" t="inlineStr">
        <is>
          <t>Yes</t>
        </is>
      </c>
      <c r="J13" s="42" t="inlineStr">
        <is>
          <t>Yes</t>
        </is>
      </c>
      <c r="K13" s="43" t="inlineStr">
        <is>
          <t>No</t>
        </is>
      </c>
      <c r="L13" s="43" t="inlineStr">
        <is>
          <t>No</t>
        </is>
      </c>
      <c r="M13" s="43" t="inlineStr">
        <is>
          <t>No</t>
        </is>
      </c>
      <c r="N13" s="43" t="inlineStr">
        <is>
          <t>No</t>
        </is>
      </c>
      <c r="O13" s="43" t="inlineStr">
        <is>
          <t>No</t>
        </is>
      </c>
      <c r="P13" s="43" t="inlineStr">
        <is>
          <t>No</t>
        </is>
      </c>
    </row>
    <row r="14" ht="30" customHeight="1">
      <c r="A14" s="41" t="inlineStr">
        <is>
          <t>Format</t>
        </is>
      </c>
      <c r="B14" s="43" t="inlineStr">
        <is>
          <t>Up to 10 capitals</t>
        </is>
      </c>
      <c r="C14" s="43" t="inlineStr">
        <is>
          <t>Text</t>
        </is>
      </c>
      <c r="D14" s="43" t="inlineStr">
        <is>
          <t>000-000-000-00000</t>
        </is>
      </c>
      <c r="E14" s="43" t="inlineStr">
        <is>
          <t>Text</t>
        </is>
      </c>
      <c r="F14" s="43" t="inlineStr">
        <is>
          <t>ISO 4217</t>
        </is>
      </c>
      <c r="G14" s="43" t="inlineStr">
        <is>
          <t>Number without thousands separators, e.g. 1500000.50</t>
        </is>
      </c>
      <c r="H14" s="43" t="inlineStr">
        <is>
          <t>Number without thousands separators, e.g. 1500000.50</t>
        </is>
      </c>
      <c r="I14" s="43" t="inlineStr">
        <is>
          <t>Number without thousands separators, e.g. 1500000.50</t>
        </is>
      </c>
      <c r="J14" s="43" t="inlineStr">
        <is>
          <t>Text</t>
        </is>
      </c>
      <c r="K14" s="43" t="inlineStr">
        <is>
          <t>Three digits, optionally a letter</t>
        </is>
      </c>
      <c r="L14" s="43" t="inlineStr">
        <is>
          <t>Y or N</t>
        </is>
      </c>
      <c r="M14" s="43" t="inlineStr">
        <is>
          <t>Text</t>
        </is>
      </c>
      <c r="N14" s="43" t="inlineStr">
        <is>
          <t>Date dd-MMM-yyyy, e.g. 15-Jan-2026</t>
        </is>
      </c>
      <c r="O14" s="43" t="inlineStr">
        <is>
          <t>Text</t>
        </is>
      </c>
      <c r="P14" s="43" t="inlineStr">
        <is>
          <t>Date dd-MMM-yyyy, e.g. 15-Jan-2026</t>
        </is>
      </c>
    </row>
    <row r="15" ht="30" customHeight="1">
      <c r="A15" s="41" t="inlineStr">
        <is>
          <t>Allowed values</t>
        </is>
      </c>
      <c r="B15" s="43" t="inlineStr">
        <is>
          <t>Free entry</t>
        </is>
      </c>
      <c r="C15" s="43" t="inlineStr">
        <is>
          <t>Free entry</t>
        </is>
      </c>
      <c r="D15" s="43" t="inlineStr">
        <is>
          <t>Free entry</t>
        </is>
      </c>
      <c r="E15" s="43" t="inlineStr">
        <is>
          <t>Free entry</t>
        </is>
      </c>
      <c r="F15" s="43" t="inlineStr">
        <is>
          <t>Free entry</t>
        </is>
      </c>
      <c r="G15" s="43" t="inlineStr">
        <is>
          <t>A whole number from 1 to 12</t>
        </is>
      </c>
      <c r="H15" s="43" t="inlineStr">
        <is>
          <t>A whole number from 0 to 365</t>
        </is>
      </c>
      <c r="I15" s="43" t="inlineStr">
        <is>
          <t>A whole number from 0 to 365</t>
        </is>
      </c>
      <c r="J15" s="51" t="inlineStr">
        <is>
          <t>Code of an existing account of the chart of accounts</t>
        </is>
      </c>
      <c r="K15" s="43" t="inlineStr">
        <is>
          <t>Free entry</t>
        </is>
      </c>
      <c r="L15" s="43" t="inlineStr">
        <is>
          <t>Y or N</t>
        </is>
      </c>
      <c r="M15" s="43" t="inlineStr">
        <is>
          <t>Free entry</t>
        </is>
      </c>
      <c r="N15" s="43" t="inlineStr">
        <is>
          <t>A date, for example 15-Jan-2028</t>
        </is>
      </c>
      <c r="O15" s="43" t="inlineStr">
        <is>
          <t>Free entry</t>
        </is>
      </c>
      <c r="P15" s="43" t="inlineStr">
        <is>
          <t>A date, for example 15-Jan-2028</t>
        </is>
      </c>
    </row>
    <row r="16" ht="43" customHeight="1">
      <c r="A16" s="41" t="inlineStr">
        <is>
          <t>What to enter</t>
        </is>
      </c>
      <c r="B16" s="43" t="inlineStr">
        <is>
          <t>Code of the company on every record</t>
        </is>
      </c>
      <c r="C16" s="43" t="inlineStr">
        <is>
          <t>Name as registered with the SEC</t>
        </is>
      </c>
      <c r="D16" s="43" t="inlineStr">
        <is>
          <t>Tax identification number with branch code</t>
        </is>
      </c>
      <c r="E16" s="43" t="inlineStr">
        <is>
          <t>Address printed on receipts and BIR forms</t>
        </is>
      </c>
      <c r="F16" s="43" t="inlineStr">
        <is>
          <t>Currency of the books</t>
        </is>
      </c>
      <c r="G16" s="43" t="inlineStr">
        <is>
          <t>First month of the financial year</t>
        </is>
      </c>
      <c r="H16" s="43" t="inlineStr">
        <is>
          <t>How many days before today a posting may be dated</t>
        </is>
      </c>
      <c r="I16" s="43" t="inlineStr">
        <is>
          <t>How many days after today a posting may be dated</t>
        </is>
      </c>
      <c r="J16" s="43" t="inlineStr">
        <is>
          <t>Account that receives the year-end result</t>
        </is>
      </c>
      <c r="K16" s="43" t="inlineStr">
        <is>
          <t>Revenue District Office of the registration</t>
        </is>
      </c>
      <c r="L16" s="43" t="inlineStr">
        <is>
          <t>Y when the company is VAT-registered</t>
        </is>
      </c>
      <c r="M16" s="43" t="inlineStr">
        <is>
          <t>Permit of the computerised accounting system</t>
        </is>
      </c>
      <c r="N16" s="43" t="inlineStr">
        <is>
          <t>Date of the CAS permit</t>
        </is>
      </c>
      <c r="O16" s="43" t="inlineStr">
        <is>
          <t>Permit of the electronic invoicing</t>
        </is>
      </c>
      <c r="P16" s="43" t="inlineStr">
        <is>
          <t>Date of the e-invoicing permit</t>
        </is>
      </c>
    </row>
    <row r="17" ht="30" customHeight="1">
      <c r="A17" s="44" t="inlineStr">
        <is>
          <t>Row</t>
        </is>
      </c>
      <c r="B17" s="45" t="inlineStr">
        <is>
          <t>Company code *</t>
        </is>
      </c>
      <c r="C17" s="45" t="inlineStr">
        <is>
          <t>Registered name *</t>
        </is>
      </c>
      <c r="D17" s="45" t="inlineStr">
        <is>
          <t>TIN *</t>
        </is>
      </c>
      <c r="E17" s="45" t="inlineStr">
        <is>
          <t>Registered address *</t>
        </is>
      </c>
      <c r="F17" s="45" t="inlineStr">
        <is>
          <t>Base currency *</t>
        </is>
      </c>
      <c r="G17" s="45" t="inlineStr">
        <is>
          <t>Fiscal year start month *</t>
        </is>
      </c>
      <c r="H17" s="45" t="inlineStr">
        <is>
          <t>Back-value days *</t>
        </is>
      </c>
      <c r="I17" s="45" t="inlineStr">
        <is>
          <t>Forward-value days *</t>
        </is>
      </c>
      <c r="J17" s="45" t="inlineStr">
        <is>
          <t>Retained earnings account *</t>
        </is>
      </c>
      <c r="K17" s="45" t="inlineStr">
        <is>
          <t>RDO code</t>
        </is>
      </c>
      <c r="L17" s="45" t="inlineStr">
        <is>
          <t>VAT registered</t>
        </is>
      </c>
      <c r="M17" s="45" t="inlineStr">
        <is>
          <t>CAS permit no.</t>
        </is>
      </c>
      <c r="N17" s="45" t="inlineStr">
        <is>
          <t>CAS permit date</t>
        </is>
      </c>
      <c r="O17" s="45" t="inlineStr">
        <is>
          <t>E-invoicing permit no.</t>
        </is>
      </c>
      <c r="P17" s="45" t="inlineStr">
        <is>
          <t>E-invoicing permit date</t>
        </is>
      </c>
    </row>
    <row r="18" ht="18" customHeight="1">
      <c r="A18" s="46" t="inlineStr">
        <is>
          <t>Example – overwrite or delete</t>
        </is>
      </c>
      <c r="B18" s="47" t="inlineStr">
        <is>
          <t>IBRK</t>
        </is>
      </c>
      <c r="C18" s="47" t="inlineStr">
        <is>
          <t>Insurance Brokers, Inc.</t>
        </is>
      </c>
      <c r="D18" s="47" t="inlineStr">
        <is>
          <t>000-000-000-00000</t>
        </is>
      </c>
      <c r="E18" s="47" t="inlineStr">
        <is>
          <t>Makati City</t>
        </is>
      </c>
      <c r="F18" s="47" t="inlineStr">
        <is>
          <t>PHP</t>
        </is>
      </c>
      <c r="G18" s="52" t="n">
        <v>1</v>
      </c>
      <c r="H18" s="52" t="n">
        <v>5</v>
      </c>
      <c r="I18" s="52" t="n">
        <v>0</v>
      </c>
      <c r="J18" s="47" t="inlineStr">
        <is>
          <t>3200</t>
        </is>
      </c>
      <c r="K18" s="47" t="inlineStr">
        <is>
          <t>050</t>
        </is>
      </c>
      <c r="L18" s="47" t="inlineStr">
        <is>
          <t>Y</t>
        </is>
      </c>
      <c r="M18" s="47" t="n"/>
      <c r="N18" s="52" t="n"/>
      <c r="O18" s="47" t="n"/>
      <c r="P18" s="52" t="n"/>
    </row>
    <row r="19">
      <c r="B19" s="49" t="n"/>
      <c r="C19" s="49" t="n"/>
      <c r="D19" s="49" t="n"/>
      <c r="E19" s="49" t="n"/>
      <c r="F19" s="49" t="n"/>
      <c r="J19" s="49" t="n"/>
      <c r="K19" s="49" t="n"/>
      <c r="L19" s="49" t="n"/>
      <c r="M19" s="49" t="n"/>
      <c r="N19" s="50" t="n"/>
      <c r="O19" s="49" t="n"/>
      <c r="P19" s="50" t="n"/>
    </row>
    <row r="20">
      <c r="B20" s="49" t="n"/>
      <c r="C20" s="49" t="n"/>
      <c r="D20" s="49" t="n"/>
      <c r="E20" s="49" t="n"/>
      <c r="F20" s="49" t="n"/>
      <c r="J20" s="49" t="n"/>
      <c r="K20" s="49" t="n"/>
      <c r="L20" s="49" t="n"/>
      <c r="M20" s="49" t="n"/>
      <c r="N20" s="50" t="n"/>
      <c r="O20" s="49" t="n"/>
      <c r="P20" s="50" t="n"/>
    </row>
    <row r="21">
      <c r="B21" s="49" t="n"/>
      <c r="C21" s="49" t="n"/>
      <c r="D21" s="49" t="n"/>
      <c r="E21" s="49" t="n"/>
      <c r="F21" s="49" t="n"/>
      <c r="J21" s="49" t="n"/>
      <c r="K21" s="49" t="n"/>
      <c r="L21" s="49" t="n"/>
      <c r="M21" s="49" t="n"/>
      <c r="N21" s="50" t="n"/>
      <c r="O21" s="49" t="n"/>
      <c r="P21" s="50" t="n"/>
    </row>
    <row r="22">
      <c r="B22" s="49" t="n"/>
      <c r="C22" s="49" t="n"/>
      <c r="D22" s="49" t="n"/>
      <c r="E22" s="49" t="n"/>
      <c r="F22" s="49" t="n"/>
      <c r="J22" s="49" t="n"/>
      <c r="K22" s="49" t="n"/>
      <c r="L22" s="49" t="n"/>
      <c r="M22" s="49" t="n"/>
      <c r="N22" s="50" t="n"/>
      <c r="O22" s="49" t="n"/>
      <c r="P22" s="50" t="n"/>
    </row>
    <row r="23">
      <c r="B23" s="49" t="n"/>
      <c r="C23" s="49" t="n"/>
      <c r="D23" s="49" t="n"/>
      <c r="E23" s="49" t="n"/>
      <c r="F23" s="49" t="n"/>
      <c r="J23" s="49" t="n"/>
      <c r="K23" s="49" t="n"/>
      <c r="L23" s="49" t="n"/>
      <c r="M23" s="49" t="n"/>
      <c r="N23" s="50" t="n"/>
      <c r="O23" s="49" t="n"/>
      <c r="P23" s="50" t="n"/>
    </row>
    <row r="24">
      <c r="B24" s="49" t="n"/>
      <c r="C24" s="49" t="n"/>
      <c r="D24" s="49" t="n"/>
      <c r="E24" s="49" t="n"/>
      <c r="F24" s="49" t="n"/>
      <c r="J24" s="49" t="n"/>
      <c r="K24" s="49" t="n"/>
      <c r="L24" s="49" t="n"/>
      <c r="M24" s="49" t="n"/>
      <c r="N24" s="50" t="n"/>
      <c r="O24" s="49" t="n"/>
      <c r="P24" s="50" t="n"/>
    </row>
    <row r="25">
      <c r="B25" s="49" t="n"/>
      <c r="C25" s="49" t="n"/>
      <c r="D25" s="49" t="n"/>
      <c r="E25" s="49" t="n"/>
      <c r="F25" s="49" t="n"/>
      <c r="J25" s="49" t="n"/>
      <c r="K25" s="49" t="n"/>
      <c r="L25" s="49" t="n"/>
      <c r="M25" s="49" t="n"/>
      <c r="N25" s="50" t="n"/>
      <c r="O25" s="49" t="n"/>
      <c r="P25" s="50" t="n"/>
    </row>
    <row r="26">
      <c r="B26" s="49" t="n"/>
      <c r="C26" s="49" t="n"/>
      <c r="D26" s="49" t="n"/>
      <c r="E26" s="49" t="n"/>
      <c r="F26" s="49" t="n"/>
      <c r="J26" s="49" t="n"/>
      <c r="K26" s="49" t="n"/>
      <c r="L26" s="49" t="n"/>
      <c r="M26" s="49" t="n"/>
      <c r="N26" s="50" t="n"/>
      <c r="O26" s="49" t="n"/>
      <c r="P26" s="50" t="n"/>
    </row>
    <row r="27">
      <c r="B27" s="49" t="n"/>
      <c r="C27" s="49" t="n"/>
      <c r="D27" s="49" t="n"/>
      <c r="E27" s="49" t="n"/>
      <c r="F27" s="49" t="n"/>
      <c r="J27" s="49" t="n"/>
      <c r="K27" s="49" t="n"/>
      <c r="L27" s="49" t="n"/>
      <c r="M27" s="49" t="n"/>
      <c r="N27" s="50" t="n"/>
      <c r="O27" s="49" t="n"/>
      <c r="P27" s="50" t="n"/>
    </row>
    <row r="28">
      <c r="B28" s="49" t="n"/>
      <c r="C28" s="49" t="n"/>
      <c r="D28" s="49" t="n"/>
      <c r="E28" s="49" t="n"/>
      <c r="F28" s="49" t="n"/>
      <c r="J28" s="49" t="n"/>
      <c r="K28" s="49" t="n"/>
      <c r="L28" s="49" t="n"/>
      <c r="M28" s="49" t="n"/>
      <c r="N28" s="50" t="n"/>
      <c r="O28" s="49" t="n"/>
      <c r="P28" s="50" t="n"/>
    </row>
    <row r="29">
      <c r="B29" s="49" t="n"/>
      <c r="C29" s="49" t="n"/>
      <c r="D29" s="49" t="n"/>
      <c r="E29" s="49" t="n"/>
      <c r="F29" s="49" t="n"/>
      <c r="J29" s="49" t="n"/>
      <c r="K29" s="49" t="n"/>
      <c r="L29" s="49" t="n"/>
      <c r="M29" s="49" t="n"/>
      <c r="N29" s="50" t="n"/>
      <c r="O29" s="49" t="n"/>
      <c r="P29" s="50" t="n"/>
    </row>
    <row r="30">
      <c r="B30" s="49" t="n"/>
      <c r="C30" s="49" t="n"/>
      <c r="D30" s="49" t="n"/>
      <c r="E30" s="49" t="n"/>
      <c r="F30" s="49" t="n"/>
      <c r="J30" s="49" t="n"/>
      <c r="K30" s="49" t="n"/>
      <c r="L30" s="49" t="n"/>
      <c r="M30" s="49" t="n"/>
      <c r="N30" s="50" t="n"/>
      <c r="O30" s="49" t="n"/>
      <c r="P30" s="50" t="n"/>
    </row>
    <row r="31">
      <c r="B31" s="49" t="n"/>
      <c r="C31" s="49" t="n"/>
      <c r="D31" s="49" t="n"/>
      <c r="E31" s="49" t="n"/>
      <c r="F31" s="49" t="n"/>
      <c r="J31" s="49" t="n"/>
      <c r="K31" s="49" t="n"/>
      <c r="L31" s="49" t="n"/>
      <c r="M31" s="49" t="n"/>
      <c r="N31" s="50" t="n"/>
      <c r="O31" s="49" t="n"/>
      <c r="P31" s="50" t="n"/>
    </row>
    <row r="32">
      <c r="B32" s="49" t="n"/>
      <c r="C32" s="49" t="n"/>
      <c r="D32" s="49" t="n"/>
      <c r="E32" s="49" t="n"/>
      <c r="F32" s="49" t="n"/>
      <c r="J32" s="49" t="n"/>
      <c r="K32" s="49" t="n"/>
      <c r="L32" s="49" t="n"/>
      <c r="M32" s="49" t="n"/>
      <c r="N32" s="50" t="n"/>
      <c r="O32" s="49" t="n"/>
      <c r="P32" s="50" t="n"/>
    </row>
    <row r="33">
      <c r="B33" s="49" t="n"/>
      <c r="C33" s="49" t="n"/>
      <c r="D33" s="49" t="n"/>
      <c r="E33" s="49" t="n"/>
      <c r="F33" s="49" t="n"/>
      <c r="J33" s="49" t="n"/>
      <c r="K33" s="49" t="n"/>
      <c r="L33" s="49" t="n"/>
      <c r="M33" s="49" t="n"/>
      <c r="N33" s="50" t="n"/>
      <c r="O33" s="49" t="n"/>
      <c r="P33" s="50" t="n"/>
    </row>
    <row r="34">
      <c r="B34" s="49" t="n"/>
      <c r="C34" s="49" t="n"/>
      <c r="D34" s="49" t="n"/>
      <c r="E34" s="49" t="n"/>
      <c r="F34" s="49" t="n"/>
      <c r="J34" s="49" t="n"/>
      <c r="K34" s="49" t="n"/>
      <c r="L34" s="49" t="n"/>
      <c r="M34" s="49" t="n"/>
      <c r="N34" s="50" t="n"/>
      <c r="O34" s="49" t="n"/>
      <c r="P34" s="50" t="n"/>
    </row>
    <row r="35">
      <c r="B35" s="49" t="n"/>
      <c r="C35" s="49" t="n"/>
      <c r="D35" s="49" t="n"/>
      <c r="E35" s="49" t="n"/>
      <c r="F35" s="49" t="n"/>
      <c r="J35" s="49" t="n"/>
      <c r="K35" s="49" t="n"/>
      <c r="L35" s="49" t="n"/>
      <c r="M35" s="49" t="n"/>
      <c r="N35" s="50" t="n"/>
      <c r="O35" s="49" t="n"/>
      <c r="P35" s="50" t="n"/>
    </row>
    <row r="36">
      <c r="B36" s="49" t="n"/>
      <c r="C36" s="49" t="n"/>
      <c r="D36" s="49" t="n"/>
      <c r="E36" s="49" t="n"/>
      <c r="F36" s="49" t="n"/>
      <c r="J36" s="49" t="n"/>
      <c r="K36" s="49" t="n"/>
      <c r="L36" s="49" t="n"/>
      <c r="M36" s="49" t="n"/>
      <c r="N36" s="50" t="n"/>
      <c r="O36" s="49" t="n"/>
      <c r="P36" s="50" t="n"/>
    </row>
    <row r="37">
      <c r="B37" s="49" t="n"/>
      <c r="C37" s="49" t="n"/>
      <c r="D37" s="49" t="n"/>
      <c r="E37" s="49" t="n"/>
      <c r="F37" s="49" t="n"/>
      <c r="J37" s="49" t="n"/>
      <c r="K37" s="49" t="n"/>
      <c r="L37" s="49" t="n"/>
      <c r="M37" s="49" t="n"/>
      <c r="N37" s="50" t="n"/>
      <c r="O37" s="49" t="n"/>
      <c r="P37" s="50" t="n"/>
    </row>
    <row r="38">
      <c r="B38" s="49" t="n"/>
      <c r="C38" s="49" t="n"/>
      <c r="D38" s="49" t="n"/>
      <c r="E38" s="49" t="n"/>
      <c r="F38" s="49" t="n"/>
      <c r="J38" s="49" t="n"/>
      <c r="K38" s="49" t="n"/>
      <c r="L38" s="49" t="n"/>
      <c r="M38" s="49" t="n"/>
      <c r="N38" s="50" t="n"/>
      <c r="O38" s="49" t="n"/>
      <c r="P38" s="50" t="n"/>
    </row>
    <row r="39">
      <c r="B39" s="49" t="n"/>
      <c r="C39" s="49" t="n"/>
      <c r="D39" s="49" t="n"/>
      <c r="E39" s="49" t="n"/>
      <c r="F39" s="49" t="n"/>
      <c r="J39" s="49" t="n"/>
      <c r="K39" s="49" t="n"/>
      <c r="L39" s="49" t="n"/>
      <c r="M39" s="49" t="n"/>
      <c r="N39" s="50" t="n"/>
      <c r="O39" s="49" t="n"/>
      <c r="P39" s="50" t="n"/>
    </row>
    <row r="40">
      <c r="B40" s="49" t="n"/>
      <c r="C40" s="49" t="n"/>
      <c r="D40" s="49" t="n"/>
      <c r="E40" s="49" t="n"/>
      <c r="F40" s="49" t="n"/>
      <c r="J40" s="49" t="n"/>
      <c r="K40" s="49" t="n"/>
      <c r="L40" s="49" t="n"/>
      <c r="M40" s="49" t="n"/>
      <c r="N40" s="50" t="n"/>
      <c r="O40" s="49" t="n"/>
      <c r="P40" s="50" t="n"/>
    </row>
    <row r="41">
      <c r="B41" s="49" t="n"/>
      <c r="C41" s="49" t="n"/>
      <c r="D41" s="49" t="n"/>
      <c r="E41" s="49" t="n"/>
      <c r="F41" s="49" t="n"/>
      <c r="J41" s="49" t="n"/>
      <c r="K41" s="49" t="n"/>
      <c r="L41" s="49" t="n"/>
      <c r="M41" s="49" t="n"/>
      <c r="N41" s="50" t="n"/>
      <c r="O41" s="49" t="n"/>
      <c r="P41" s="50" t="n"/>
    </row>
    <row r="42">
      <c r="B42" s="49" t="n"/>
      <c r="C42" s="49" t="n"/>
      <c r="D42" s="49" t="n"/>
      <c r="E42" s="49" t="n"/>
      <c r="F42" s="49" t="n"/>
      <c r="J42" s="49" t="n"/>
      <c r="K42" s="49" t="n"/>
      <c r="L42" s="49" t="n"/>
      <c r="M42" s="49" t="n"/>
      <c r="N42" s="50" t="n"/>
      <c r="O42" s="49" t="n"/>
      <c r="P42" s="50" t="n"/>
    </row>
    <row r="43">
      <c r="B43" s="49" t="n"/>
      <c r="C43" s="49" t="n"/>
      <c r="D43" s="49" t="n"/>
      <c r="E43" s="49" t="n"/>
      <c r="F43" s="49" t="n"/>
      <c r="J43" s="49" t="n"/>
      <c r="K43" s="49" t="n"/>
      <c r="L43" s="49" t="n"/>
      <c r="M43" s="49" t="n"/>
      <c r="N43" s="50" t="n"/>
      <c r="O43" s="49" t="n"/>
      <c r="P43" s="50" t="n"/>
    </row>
    <row r="44">
      <c r="B44" s="49" t="n"/>
      <c r="C44" s="49" t="n"/>
      <c r="D44" s="49" t="n"/>
      <c r="E44" s="49" t="n"/>
      <c r="F44" s="49" t="n"/>
      <c r="J44" s="49" t="n"/>
      <c r="K44" s="49" t="n"/>
      <c r="L44" s="49" t="n"/>
      <c r="M44" s="49" t="n"/>
      <c r="N44" s="50" t="n"/>
      <c r="O44" s="49" t="n"/>
      <c r="P44" s="50" t="n"/>
    </row>
    <row r="45">
      <c r="B45" s="49" t="n"/>
      <c r="C45" s="49" t="n"/>
      <c r="D45" s="49" t="n"/>
      <c r="E45" s="49" t="n"/>
      <c r="F45" s="49" t="n"/>
      <c r="J45" s="49" t="n"/>
      <c r="K45" s="49" t="n"/>
      <c r="L45" s="49" t="n"/>
      <c r="M45" s="49" t="n"/>
      <c r="N45" s="50" t="n"/>
      <c r="O45" s="49" t="n"/>
      <c r="P45" s="50" t="n"/>
    </row>
    <row r="46">
      <c r="B46" s="49" t="n"/>
      <c r="C46" s="49" t="n"/>
      <c r="D46" s="49" t="n"/>
      <c r="E46" s="49" t="n"/>
      <c r="F46" s="49" t="n"/>
      <c r="J46" s="49" t="n"/>
      <c r="K46" s="49" t="n"/>
      <c r="L46" s="49" t="n"/>
      <c r="M46" s="49" t="n"/>
      <c r="N46" s="50" t="n"/>
      <c r="O46" s="49" t="n"/>
      <c r="P46" s="50" t="n"/>
    </row>
    <row r="47">
      <c r="B47" s="49" t="n"/>
      <c r="C47" s="49" t="n"/>
      <c r="D47" s="49" t="n"/>
      <c r="E47" s="49" t="n"/>
      <c r="F47" s="49" t="n"/>
      <c r="J47" s="49" t="n"/>
      <c r="K47" s="49" t="n"/>
      <c r="L47" s="49" t="n"/>
      <c r="M47" s="49" t="n"/>
      <c r="N47" s="50" t="n"/>
      <c r="O47" s="49" t="n"/>
      <c r="P47" s="50" t="n"/>
    </row>
    <row r="48">
      <c r="B48" s="49" t="n"/>
      <c r="C48" s="49" t="n"/>
      <c r="D48" s="49" t="n"/>
      <c r="E48" s="49" t="n"/>
      <c r="F48" s="49" t="n"/>
      <c r="J48" s="49" t="n"/>
      <c r="K48" s="49" t="n"/>
      <c r="L48" s="49" t="n"/>
      <c r="M48" s="49" t="n"/>
      <c r="N48" s="50" t="n"/>
      <c r="O48" s="49" t="n"/>
      <c r="P48" s="50" t="n"/>
    </row>
    <row r="49">
      <c r="B49" s="49" t="n"/>
      <c r="C49" s="49" t="n"/>
      <c r="D49" s="49" t="n"/>
      <c r="E49" s="49" t="n"/>
      <c r="F49" s="49" t="n"/>
      <c r="J49" s="49" t="n"/>
      <c r="K49" s="49" t="n"/>
      <c r="L49" s="49" t="n"/>
      <c r="M49" s="49" t="n"/>
      <c r="N49" s="50" t="n"/>
      <c r="O49" s="49" t="n"/>
      <c r="P49" s="50" t="n"/>
    </row>
    <row r="50">
      <c r="B50" s="49" t="n"/>
      <c r="C50" s="49" t="n"/>
      <c r="D50" s="49" t="n"/>
      <c r="E50" s="49" t="n"/>
      <c r="F50" s="49" t="n"/>
      <c r="J50" s="49" t="n"/>
      <c r="K50" s="49" t="n"/>
      <c r="L50" s="49" t="n"/>
      <c r="M50" s="49" t="n"/>
      <c r="N50" s="50" t="n"/>
      <c r="O50" s="49" t="n"/>
      <c r="P50" s="50" t="n"/>
    </row>
    <row r="51">
      <c r="B51" s="49" t="n"/>
      <c r="C51" s="49" t="n"/>
      <c r="D51" s="49" t="n"/>
      <c r="E51" s="49" t="n"/>
      <c r="F51" s="49" t="n"/>
      <c r="J51" s="49" t="n"/>
      <c r="K51" s="49" t="n"/>
      <c r="L51" s="49" t="n"/>
      <c r="M51" s="49" t="n"/>
      <c r="N51" s="50" t="n"/>
      <c r="O51" s="49" t="n"/>
      <c r="P51" s="50" t="n"/>
    </row>
    <row r="52">
      <c r="B52" s="49" t="n"/>
      <c r="C52" s="49" t="n"/>
      <c r="D52" s="49" t="n"/>
      <c r="E52" s="49" t="n"/>
      <c r="F52" s="49" t="n"/>
      <c r="J52" s="49" t="n"/>
      <c r="K52" s="49" t="n"/>
      <c r="L52" s="49" t="n"/>
      <c r="M52" s="49" t="n"/>
      <c r="N52" s="50" t="n"/>
      <c r="O52" s="49" t="n"/>
      <c r="P52" s="50" t="n"/>
    </row>
    <row r="53">
      <c r="B53" s="49" t="n"/>
      <c r="C53" s="49" t="n"/>
      <c r="D53" s="49" t="n"/>
      <c r="E53" s="49" t="n"/>
      <c r="F53" s="49" t="n"/>
      <c r="J53" s="49" t="n"/>
      <c r="K53" s="49" t="n"/>
      <c r="L53" s="49" t="n"/>
      <c r="M53" s="49" t="n"/>
      <c r="N53" s="50" t="n"/>
      <c r="O53" s="49" t="n"/>
      <c r="P53" s="50" t="n"/>
    </row>
    <row r="54">
      <c r="B54" s="49" t="n"/>
      <c r="C54" s="49" t="n"/>
      <c r="D54" s="49" t="n"/>
      <c r="E54" s="49" t="n"/>
      <c r="F54" s="49" t="n"/>
      <c r="J54" s="49" t="n"/>
      <c r="K54" s="49" t="n"/>
      <c r="L54" s="49" t="n"/>
      <c r="M54" s="49" t="n"/>
      <c r="N54" s="50" t="n"/>
      <c r="O54" s="49" t="n"/>
      <c r="P54" s="50" t="n"/>
    </row>
    <row r="55">
      <c r="B55" s="49" t="n"/>
      <c r="C55" s="49" t="n"/>
      <c r="D55" s="49" t="n"/>
      <c r="E55" s="49" t="n"/>
      <c r="F55" s="49" t="n"/>
      <c r="J55" s="49" t="n"/>
      <c r="K55" s="49" t="n"/>
      <c r="L55" s="49" t="n"/>
      <c r="M55" s="49" t="n"/>
      <c r="N55" s="50" t="n"/>
      <c r="O55" s="49" t="n"/>
      <c r="P55" s="50" t="n"/>
    </row>
    <row r="56">
      <c r="B56" s="49" t="n"/>
      <c r="C56" s="49" t="n"/>
      <c r="D56" s="49" t="n"/>
      <c r="E56" s="49" t="n"/>
      <c r="F56" s="49" t="n"/>
      <c r="J56" s="49" t="n"/>
      <c r="K56" s="49" t="n"/>
      <c r="L56" s="49" t="n"/>
      <c r="M56" s="49" t="n"/>
      <c r="N56" s="50" t="n"/>
      <c r="O56" s="49" t="n"/>
      <c r="P56" s="50" t="n"/>
    </row>
    <row r="57">
      <c r="B57" s="49" t="n"/>
      <c r="C57" s="49" t="n"/>
      <c r="D57" s="49" t="n"/>
      <c r="E57" s="49" t="n"/>
      <c r="F57" s="49" t="n"/>
      <c r="J57" s="49" t="n"/>
      <c r="K57" s="49" t="n"/>
      <c r="L57" s="49" t="n"/>
      <c r="M57" s="49" t="n"/>
      <c r="N57" s="50" t="n"/>
      <c r="O57" s="49" t="n"/>
      <c r="P57" s="50" t="n"/>
    </row>
    <row r="58">
      <c r="B58" s="49" t="n"/>
      <c r="C58" s="49" t="n"/>
      <c r="D58" s="49" t="n"/>
      <c r="E58" s="49" t="n"/>
      <c r="F58" s="49" t="n"/>
      <c r="J58" s="49" t="n"/>
      <c r="K58" s="49" t="n"/>
      <c r="L58" s="49" t="n"/>
      <c r="M58" s="49" t="n"/>
      <c r="N58" s="50" t="n"/>
      <c r="O58" s="49" t="n"/>
      <c r="P58" s="50" t="n"/>
    </row>
    <row r="59">
      <c r="B59" s="49" t="n"/>
      <c r="C59" s="49" t="n"/>
      <c r="D59" s="49" t="n"/>
      <c r="E59" s="49" t="n"/>
      <c r="F59" s="49" t="n"/>
      <c r="J59" s="49" t="n"/>
      <c r="K59" s="49" t="n"/>
      <c r="L59" s="49" t="n"/>
      <c r="M59" s="49" t="n"/>
      <c r="N59" s="50" t="n"/>
      <c r="O59" s="49" t="n"/>
      <c r="P59" s="50" t="n"/>
    </row>
    <row r="60">
      <c r="B60" s="49" t="n"/>
      <c r="C60" s="49" t="n"/>
      <c r="D60" s="49" t="n"/>
      <c r="E60" s="49" t="n"/>
      <c r="F60" s="49" t="n"/>
      <c r="J60" s="49" t="n"/>
      <c r="K60" s="49" t="n"/>
      <c r="L60" s="49" t="n"/>
      <c r="M60" s="49" t="n"/>
      <c r="N60" s="50" t="n"/>
      <c r="O60" s="49" t="n"/>
      <c r="P60" s="50" t="n"/>
    </row>
    <row r="61">
      <c r="B61" s="49" t="n"/>
      <c r="C61" s="49" t="n"/>
      <c r="D61" s="49" t="n"/>
      <c r="E61" s="49" t="n"/>
      <c r="F61" s="49" t="n"/>
      <c r="J61" s="49" t="n"/>
      <c r="K61" s="49" t="n"/>
      <c r="L61" s="49" t="n"/>
      <c r="M61" s="49" t="n"/>
      <c r="N61" s="50" t="n"/>
      <c r="O61" s="49" t="n"/>
      <c r="P61" s="50" t="n"/>
    </row>
    <row r="62">
      <c r="B62" s="49" t="n"/>
      <c r="C62" s="49" t="n"/>
      <c r="D62" s="49" t="n"/>
      <c r="E62" s="49" t="n"/>
      <c r="F62" s="49" t="n"/>
      <c r="J62" s="49" t="n"/>
      <c r="K62" s="49" t="n"/>
      <c r="L62" s="49" t="n"/>
      <c r="M62" s="49" t="n"/>
      <c r="N62" s="50" t="n"/>
      <c r="O62" s="49" t="n"/>
      <c r="P62" s="50" t="n"/>
    </row>
    <row r="63">
      <c r="B63" s="49" t="n"/>
      <c r="C63" s="49" t="n"/>
      <c r="D63" s="49" t="n"/>
      <c r="E63" s="49" t="n"/>
      <c r="F63" s="49" t="n"/>
      <c r="J63" s="49" t="n"/>
      <c r="K63" s="49" t="n"/>
      <c r="L63" s="49" t="n"/>
      <c r="M63" s="49" t="n"/>
      <c r="N63" s="50" t="n"/>
      <c r="O63" s="49" t="n"/>
      <c r="P63" s="50" t="n"/>
    </row>
    <row r="64">
      <c r="B64" s="49" t="n"/>
      <c r="C64" s="49" t="n"/>
      <c r="D64" s="49" t="n"/>
      <c r="E64" s="49" t="n"/>
      <c r="F64" s="49" t="n"/>
      <c r="J64" s="49" t="n"/>
      <c r="K64" s="49" t="n"/>
      <c r="L64" s="49" t="n"/>
      <c r="M64" s="49" t="n"/>
      <c r="N64" s="50" t="n"/>
      <c r="O64" s="49" t="n"/>
      <c r="P64" s="50" t="n"/>
    </row>
    <row r="65">
      <c r="B65" s="49" t="n"/>
      <c r="C65" s="49" t="n"/>
      <c r="D65" s="49" t="n"/>
      <c r="E65" s="49" t="n"/>
      <c r="F65" s="49" t="n"/>
      <c r="J65" s="49" t="n"/>
      <c r="K65" s="49" t="n"/>
      <c r="L65" s="49" t="n"/>
      <c r="M65" s="49" t="n"/>
      <c r="N65" s="50" t="n"/>
      <c r="O65" s="49" t="n"/>
      <c r="P65" s="50" t="n"/>
    </row>
    <row r="66">
      <c r="B66" s="49" t="n"/>
      <c r="C66" s="49" t="n"/>
      <c r="D66" s="49" t="n"/>
      <c r="E66" s="49" t="n"/>
      <c r="F66" s="49" t="n"/>
      <c r="J66" s="49" t="n"/>
      <c r="K66" s="49" t="n"/>
      <c r="L66" s="49" t="n"/>
      <c r="M66" s="49" t="n"/>
      <c r="N66" s="50" t="n"/>
      <c r="O66" s="49" t="n"/>
      <c r="P66" s="50" t="n"/>
    </row>
    <row r="67">
      <c r="B67" s="49" t="n"/>
      <c r="C67" s="49" t="n"/>
      <c r="D67" s="49" t="n"/>
      <c r="E67" s="49" t="n"/>
      <c r="F67" s="49" t="n"/>
      <c r="J67" s="49" t="n"/>
      <c r="K67" s="49" t="n"/>
      <c r="L67" s="49" t="n"/>
      <c r="M67" s="49" t="n"/>
      <c r="N67" s="50" t="n"/>
      <c r="O67" s="49" t="n"/>
      <c r="P67" s="50" t="n"/>
    </row>
    <row r="68">
      <c r="B68" s="49" t="n"/>
      <c r="C68" s="49" t="n"/>
      <c r="D68" s="49" t="n"/>
      <c r="E68" s="49" t="n"/>
      <c r="F68" s="49" t="n"/>
      <c r="J68" s="49" t="n"/>
      <c r="K68" s="49" t="n"/>
      <c r="L68" s="49" t="n"/>
      <c r="M68" s="49" t="n"/>
      <c r="N68" s="50" t="n"/>
      <c r="O68" s="49" t="n"/>
      <c r="P68" s="50" t="n"/>
    </row>
    <row r="69">
      <c r="B69" s="49" t="n"/>
      <c r="C69" s="49" t="n"/>
      <c r="D69" s="49" t="n"/>
      <c r="E69" s="49" t="n"/>
      <c r="F69" s="49" t="n"/>
      <c r="J69" s="49" t="n"/>
      <c r="K69" s="49" t="n"/>
      <c r="L69" s="49" t="n"/>
      <c r="M69" s="49" t="n"/>
      <c r="N69" s="50" t="n"/>
      <c r="O69" s="49" t="n"/>
      <c r="P69" s="50" t="n"/>
    </row>
    <row r="70">
      <c r="B70" s="49" t="n"/>
      <c r="C70" s="49" t="n"/>
      <c r="D70" s="49" t="n"/>
      <c r="E70" s="49" t="n"/>
      <c r="F70" s="49" t="n"/>
      <c r="J70" s="49" t="n"/>
      <c r="K70" s="49" t="n"/>
      <c r="L70" s="49" t="n"/>
      <c r="M70" s="49" t="n"/>
      <c r="N70" s="50" t="n"/>
      <c r="O70" s="49" t="n"/>
      <c r="P70" s="50" t="n"/>
    </row>
    <row r="71">
      <c r="B71" s="49" t="n"/>
      <c r="C71" s="49" t="n"/>
      <c r="D71" s="49" t="n"/>
      <c r="E71" s="49" t="n"/>
      <c r="F71" s="49" t="n"/>
      <c r="J71" s="49" t="n"/>
      <c r="K71" s="49" t="n"/>
      <c r="L71" s="49" t="n"/>
      <c r="M71" s="49" t="n"/>
      <c r="N71" s="50" t="n"/>
      <c r="O71" s="49" t="n"/>
      <c r="P71" s="50" t="n"/>
    </row>
    <row r="72">
      <c r="B72" s="49" t="n"/>
      <c r="C72" s="49" t="n"/>
      <c r="D72" s="49" t="n"/>
      <c r="E72" s="49" t="n"/>
      <c r="F72" s="49" t="n"/>
      <c r="J72" s="49" t="n"/>
      <c r="K72" s="49" t="n"/>
      <c r="L72" s="49" t="n"/>
      <c r="M72" s="49" t="n"/>
      <c r="N72" s="50" t="n"/>
      <c r="O72" s="49" t="n"/>
      <c r="P72" s="50" t="n"/>
    </row>
    <row r="73">
      <c r="B73" s="49" t="n"/>
      <c r="C73" s="49" t="n"/>
      <c r="D73" s="49" t="n"/>
      <c r="E73" s="49" t="n"/>
      <c r="F73" s="49" t="n"/>
      <c r="J73" s="49" t="n"/>
      <c r="K73" s="49" t="n"/>
      <c r="L73" s="49" t="n"/>
      <c r="M73" s="49" t="n"/>
      <c r="N73" s="50" t="n"/>
      <c r="O73" s="49" t="n"/>
      <c r="P73" s="50" t="n"/>
    </row>
    <row r="74">
      <c r="B74" s="49" t="n"/>
      <c r="C74" s="49" t="n"/>
      <c r="D74" s="49" t="n"/>
      <c r="E74" s="49" t="n"/>
      <c r="F74" s="49" t="n"/>
      <c r="J74" s="49" t="n"/>
      <c r="K74" s="49" t="n"/>
      <c r="L74" s="49" t="n"/>
      <c r="M74" s="49" t="n"/>
      <c r="N74" s="50" t="n"/>
      <c r="O74" s="49" t="n"/>
      <c r="P74" s="50" t="n"/>
    </row>
    <row r="75">
      <c r="B75" s="49" t="n"/>
      <c r="C75" s="49" t="n"/>
      <c r="D75" s="49" t="n"/>
      <c r="E75" s="49" t="n"/>
      <c r="F75" s="49" t="n"/>
      <c r="J75" s="49" t="n"/>
      <c r="K75" s="49" t="n"/>
      <c r="L75" s="49" t="n"/>
      <c r="M75" s="49" t="n"/>
      <c r="N75" s="50" t="n"/>
      <c r="O75" s="49" t="n"/>
      <c r="P75" s="50" t="n"/>
    </row>
    <row r="76">
      <c r="B76" s="49" t="n"/>
      <c r="C76" s="49" t="n"/>
      <c r="D76" s="49" t="n"/>
      <c r="E76" s="49" t="n"/>
      <c r="F76" s="49" t="n"/>
      <c r="J76" s="49" t="n"/>
      <c r="K76" s="49" t="n"/>
      <c r="L76" s="49" t="n"/>
      <c r="M76" s="49" t="n"/>
      <c r="N76" s="50" t="n"/>
      <c r="O76" s="49" t="n"/>
      <c r="P76" s="50" t="n"/>
    </row>
    <row r="77">
      <c r="B77" s="49" t="n"/>
      <c r="C77" s="49" t="n"/>
      <c r="D77" s="49" t="n"/>
      <c r="E77" s="49" t="n"/>
      <c r="F77" s="49" t="n"/>
      <c r="J77" s="49" t="n"/>
      <c r="K77" s="49" t="n"/>
      <c r="L77" s="49" t="n"/>
      <c r="M77" s="49" t="n"/>
      <c r="N77" s="50" t="n"/>
      <c r="O77" s="49" t="n"/>
      <c r="P77" s="50" t="n"/>
    </row>
    <row r="78">
      <c r="B78" s="49" t="n"/>
      <c r="C78" s="49" t="n"/>
      <c r="D78" s="49" t="n"/>
      <c r="E78" s="49" t="n"/>
      <c r="F78" s="49" t="n"/>
      <c r="J78" s="49" t="n"/>
      <c r="K78" s="49" t="n"/>
      <c r="L78" s="49" t="n"/>
      <c r="M78" s="49" t="n"/>
      <c r="N78" s="50" t="n"/>
      <c r="O78" s="49" t="n"/>
      <c r="P78" s="50" t="n"/>
    </row>
    <row r="79">
      <c r="B79" s="49" t="n"/>
      <c r="C79" s="49" t="n"/>
      <c r="D79" s="49" t="n"/>
      <c r="E79" s="49" t="n"/>
      <c r="F79" s="49" t="n"/>
      <c r="J79" s="49" t="n"/>
      <c r="K79" s="49" t="n"/>
      <c r="L79" s="49" t="n"/>
      <c r="M79" s="49" t="n"/>
      <c r="N79" s="50" t="n"/>
      <c r="O79" s="49" t="n"/>
      <c r="P79" s="50" t="n"/>
    </row>
    <row r="80">
      <c r="B80" s="49" t="n"/>
      <c r="C80" s="49" t="n"/>
      <c r="D80" s="49" t="n"/>
      <c r="E80" s="49" t="n"/>
      <c r="F80" s="49" t="n"/>
      <c r="J80" s="49" t="n"/>
      <c r="K80" s="49" t="n"/>
      <c r="L80" s="49" t="n"/>
      <c r="M80" s="49" t="n"/>
      <c r="N80" s="50" t="n"/>
      <c r="O80" s="49" t="n"/>
      <c r="P80" s="50" t="n"/>
    </row>
    <row r="81">
      <c r="B81" s="49" t="n"/>
      <c r="C81" s="49" t="n"/>
      <c r="D81" s="49" t="n"/>
      <c r="E81" s="49" t="n"/>
      <c r="F81" s="49" t="n"/>
      <c r="J81" s="49" t="n"/>
      <c r="K81" s="49" t="n"/>
      <c r="L81" s="49" t="n"/>
      <c r="M81" s="49" t="n"/>
      <c r="N81" s="50" t="n"/>
      <c r="O81" s="49" t="n"/>
      <c r="P81" s="50" t="n"/>
    </row>
    <row r="82">
      <c r="B82" s="49" t="n"/>
      <c r="C82" s="49" t="n"/>
      <c r="D82" s="49" t="n"/>
      <c r="E82" s="49" t="n"/>
      <c r="F82" s="49" t="n"/>
      <c r="J82" s="49" t="n"/>
      <c r="K82" s="49" t="n"/>
      <c r="L82" s="49" t="n"/>
      <c r="M82" s="49" t="n"/>
      <c r="N82" s="50" t="n"/>
      <c r="O82" s="49" t="n"/>
      <c r="P82" s="50" t="n"/>
    </row>
    <row r="83">
      <c r="B83" s="49" t="n"/>
      <c r="C83" s="49" t="n"/>
      <c r="D83" s="49" t="n"/>
      <c r="E83" s="49" t="n"/>
      <c r="F83" s="49" t="n"/>
      <c r="J83" s="49" t="n"/>
      <c r="K83" s="49" t="n"/>
      <c r="L83" s="49" t="n"/>
      <c r="M83" s="49" t="n"/>
      <c r="N83" s="50" t="n"/>
      <c r="O83" s="49" t="n"/>
      <c r="P83" s="50" t="n"/>
    </row>
    <row r="84">
      <c r="B84" s="49" t="n"/>
      <c r="C84" s="49" t="n"/>
      <c r="D84" s="49" t="n"/>
      <c r="E84" s="49" t="n"/>
      <c r="F84" s="49" t="n"/>
      <c r="J84" s="49" t="n"/>
      <c r="K84" s="49" t="n"/>
      <c r="L84" s="49" t="n"/>
      <c r="M84" s="49" t="n"/>
      <c r="N84" s="50" t="n"/>
      <c r="O84" s="49" t="n"/>
      <c r="P84" s="50" t="n"/>
    </row>
    <row r="85">
      <c r="B85" s="49" t="n"/>
      <c r="C85" s="49" t="n"/>
      <c r="D85" s="49" t="n"/>
      <c r="E85" s="49" t="n"/>
      <c r="F85" s="49" t="n"/>
      <c r="J85" s="49" t="n"/>
      <c r="K85" s="49" t="n"/>
      <c r="L85" s="49" t="n"/>
      <c r="M85" s="49" t="n"/>
      <c r="N85" s="50" t="n"/>
      <c r="O85" s="49" t="n"/>
      <c r="P85" s="50" t="n"/>
    </row>
    <row r="86">
      <c r="B86" s="49" t="n"/>
      <c r="C86" s="49" t="n"/>
      <c r="D86" s="49" t="n"/>
      <c r="E86" s="49" t="n"/>
      <c r="F86" s="49" t="n"/>
      <c r="J86" s="49" t="n"/>
      <c r="K86" s="49" t="n"/>
      <c r="L86" s="49" t="n"/>
      <c r="M86" s="49" t="n"/>
      <c r="N86" s="50" t="n"/>
      <c r="O86" s="49" t="n"/>
      <c r="P86" s="50" t="n"/>
    </row>
    <row r="87">
      <c r="B87" s="49" t="n"/>
      <c r="C87" s="49" t="n"/>
      <c r="D87" s="49" t="n"/>
      <c r="E87" s="49" t="n"/>
      <c r="F87" s="49" t="n"/>
      <c r="J87" s="49" t="n"/>
      <c r="K87" s="49" t="n"/>
      <c r="L87" s="49" t="n"/>
      <c r="M87" s="49" t="n"/>
      <c r="N87" s="50" t="n"/>
      <c r="O87" s="49" t="n"/>
      <c r="P87" s="50" t="n"/>
    </row>
    <row r="88">
      <c r="B88" s="49" t="n"/>
      <c r="C88" s="49" t="n"/>
      <c r="D88" s="49" t="n"/>
      <c r="E88" s="49" t="n"/>
      <c r="F88" s="49" t="n"/>
      <c r="J88" s="49" t="n"/>
      <c r="K88" s="49" t="n"/>
      <c r="L88" s="49" t="n"/>
      <c r="M88" s="49" t="n"/>
      <c r="N88" s="50" t="n"/>
      <c r="O88" s="49" t="n"/>
      <c r="P88" s="50" t="n"/>
    </row>
    <row r="89">
      <c r="B89" s="49" t="n"/>
      <c r="C89" s="49" t="n"/>
      <c r="D89" s="49" t="n"/>
      <c r="E89" s="49" t="n"/>
      <c r="F89" s="49" t="n"/>
      <c r="J89" s="49" t="n"/>
      <c r="K89" s="49" t="n"/>
      <c r="L89" s="49" t="n"/>
      <c r="M89" s="49" t="n"/>
      <c r="N89" s="50" t="n"/>
      <c r="O89" s="49" t="n"/>
      <c r="P89" s="50" t="n"/>
    </row>
    <row r="90">
      <c r="B90" s="49" t="n"/>
      <c r="C90" s="49" t="n"/>
      <c r="D90" s="49" t="n"/>
      <c r="E90" s="49" t="n"/>
      <c r="F90" s="49" t="n"/>
      <c r="J90" s="49" t="n"/>
      <c r="K90" s="49" t="n"/>
      <c r="L90" s="49" t="n"/>
      <c r="M90" s="49" t="n"/>
      <c r="N90" s="50" t="n"/>
      <c r="O90" s="49" t="n"/>
      <c r="P90" s="50" t="n"/>
    </row>
    <row r="91">
      <c r="B91" s="49" t="n"/>
      <c r="C91" s="49" t="n"/>
      <c r="D91" s="49" t="n"/>
      <c r="E91" s="49" t="n"/>
      <c r="F91" s="49" t="n"/>
      <c r="J91" s="49" t="n"/>
      <c r="K91" s="49" t="n"/>
      <c r="L91" s="49" t="n"/>
      <c r="M91" s="49" t="n"/>
      <c r="N91" s="50" t="n"/>
      <c r="O91" s="49" t="n"/>
      <c r="P91" s="50" t="n"/>
    </row>
    <row r="92">
      <c r="B92" s="49" t="n"/>
      <c r="C92" s="49" t="n"/>
      <c r="D92" s="49" t="n"/>
      <c r="E92" s="49" t="n"/>
      <c r="F92" s="49" t="n"/>
      <c r="J92" s="49" t="n"/>
      <c r="K92" s="49" t="n"/>
      <c r="L92" s="49" t="n"/>
      <c r="M92" s="49" t="n"/>
      <c r="N92" s="50" t="n"/>
      <c r="O92" s="49" t="n"/>
      <c r="P92" s="50" t="n"/>
    </row>
    <row r="93">
      <c r="B93" s="49" t="n"/>
      <c r="C93" s="49" t="n"/>
      <c r="D93" s="49" t="n"/>
      <c r="E93" s="49" t="n"/>
      <c r="F93" s="49" t="n"/>
      <c r="J93" s="49" t="n"/>
      <c r="K93" s="49" t="n"/>
      <c r="L93" s="49" t="n"/>
      <c r="M93" s="49" t="n"/>
      <c r="N93" s="50" t="n"/>
      <c r="O93" s="49" t="n"/>
      <c r="P93" s="50" t="n"/>
    </row>
    <row r="94">
      <c r="B94" s="49" t="n"/>
      <c r="C94" s="49" t="n"/>
      <c r="D94" s="49" t="n"/>
      <c r="E94" s="49" t="n"/>
      <c r="F94" s="49" t="n"/>
      <c r="J94" s="49" t="n"/>
      <c r="K94" s="49" t="n"/>
      <c r="L94" s="49" t="n"/>
      <c r="M94" s="49" t="n"/>
      <c r="N94" s="50" t="n"/>
      <c r="O94" s="49" t="n"/>
      <c r="P94" s="50" t="n"/>
    </row>
    <row r="95">
      <c r="B95" s="49" t="n"/>
      <c r="C95" s="49" t="n"/>
      <c r="D95" s="49" t="n"/>
      <c r="E95" s="49" t="n"/>
      <c r="F95" s="49" t="n"/>
      <c r="J95" s="49" t="n"/>
      <c r="K95" s="49" t="n"/>
      <c r="L95" s="49" t="n"/>
      <c r="M95" s="49" t="n"/>
      <c r="N95" s="50" t="n"/>
      <c r="O95" s="49" t="n"/>
      <c r="P95" s="50" t="n"/>
    </row>
    <row r="96">
      <c r="B96" s="49" t="n"/>
      <c r="C96" s="49" t="n"/>
      <c r="D96" s="49" t="n"/>
      <c r="E96" s="49" t="n"/>
      <c r="F96" s="49" t="n"/>
      <c r="J96" s="49" t="n"/>
      <c r="K96" s="49" t="n"/>
      <c r="L96" s="49" t="n"/>
      <c r="M96" s="49" t="n"/>
      <c r="N96" s="50" t="n"/>
      <c r="O96" s="49" t="n"/>
      <c r="P96" s="50" t="n"/>
    </row>
    <row r="97">
      <c r="B97" s="49" t="n"/>
      <c r="C97" s="49" t="n"/>
      <c r="D97" s="49" t="n"/>
      <c r="E97" s="49" t="n"/>
      <c r="F97" s="49" t="n"/>
      <c r="J97" s="49" t="n"/>
      <c r="K97" s="49" t="n"/>
      <c r="L97" s="49" t="n"/>
      <c r="M97" s="49" t="n"/>
      <c r="N97" s="50" t="n"/>
      <c r="O97" s="49" t="n"/>
      <c r="P97" s="50" t="n"/>
    </row>
    <row r="98">
      <c r="B98" s="49" t="n"/>
      <c r="C98" s="49" t="n"/>
      <c r="D98" s="49" t="n"/>
      <c r="E98" s="49" t="n"/>
      <c r="F98" s="49" t="n"/>
      <c r="J98" s="49" t="n"/>
      <c r="K98" s="49" t="n"/>
      <c r="L98" s="49" t="n"/>
      <c r="M98" s="49" t="n"/>
      <c r="N98" s="50" t="n"/>
      <c r="O98" s="49" t="n"/>
      <c r="P98" s="50" t="n"/>
    </row>
    <row r="99">
      <c r="B99" s="49" t="n"/>
      <c r="C99" s="49" t="n"/>
      <c r="D99" s="49" t="n"/>
      <c r="E99" s="49" t="n"/>
      <c r="F99" s="49" t="n"/>
      <c r="J99" s="49" t="n"/>
      <c r="K99" s="49" t="n"/>
      <c r="L99" s="49" t="n"/>
      <c r="M99" s="49" t="n"/>
      <c r="N99" s="50" t="n"/>
      <c r="O99" s="49" t="n"/>
      <c r="P99" s="50" t="n"/>
    </row>
    <row r="100">
      <c r="B100" s="49" t="n"/>
      <c r="C100" s="49" t="n"/>
      <c r="D100" s="49" t="n"/>
      <c r="E100" s="49" t="n"/>
      <c r="F100" s="49" t="n"/>
      <c r="J100" s="49" t="n"/>
      <c r="K100" s="49" t="n"/>
      <c r="L100" s="49" t="n"/>
      <c r="M100" s="49" t="n"/>
      <c r="N100" s="50" t="n"/>
      <c r="O100" s="49" t="n"/>
      <c r="P100" s="50" t="n"/>
    </row>
    <row r="101">
      <c r="B101" s="49" t="n"/>
      <c r="C101" s="49" t="n"/>
      <c r="D101" s="49" t="n"/>
      <c r="E101" s="49" t="n"/>
      <c r="F101" s="49" t="n"/>
      <c r="J101" s="49" t="n"/>
      <c r="K101" s="49" t="n"/>
      <c r="L101" s="49" t="n"/>
      <c r="M101" s="49" t="n"/>
      <c r="N101" s="50" t="n"/>
      <c r="O101" s="49" t="n"/>
      <c r="P101" s="50" t="n"/>
    </row>
    <row r="102">
      <c r="B102" s="49" t="n"/>
      <c r="C102" s="49" t="n"/>
      <c r="D102" s="49" t="n"/>
      <c r="E102" s="49" t="n"/>
      <c r="F102" s="49" t="n"/>
      <c r="J102" s="49" t="n"/>
      <c r="K102" s="49" t="n"/>
      <c r="L102" s="49" t="n"/>
      <c r="M102" s="49" t="n"/>
      <c r="N102" s="50" t="n"/>
      <c r="O102" s="49" t="n"/>
      <c r="P102" s="50" t="n"/>
    </row>
    <row r="103">
      <c r="B103" s="49" t="n"/>
      <c r="C103" s="49" t="n"/>
      <c r="D103" s="49" t="n"/>
      <c r="E103" s="49" t="n"/>
      <c r="F103" s="49" t="n"/>
      <c r="J103" s="49" t="n"/>
      <c r="K103" s="49" t="n"/>
      <c r="L103" s="49" t="n"/>
      <c r="M103" s="49" t="n"/>
      <c r="N103" s="50" t="n"/>
      <c r="O103" s="49" t="n"/>
      <c r="P103" s="50" t="n"/>
    </row>
    <row r="104">
      <c r="B104" s="49" t="n"/>
      <c r="C104" s="49" t="n"/>
      <c r="D104" s="49" t="n"/>
      <c r="E104" s="49" t="n"/>
      <c r="F104" s="49" t="n"/>
      <c r="J104" s="49" t="n"/>
      <c r="K104" s="49" t="n"/>
      <c r="L104" s="49" t="n"/>
      <c r="M104" s="49" t="n"/>
      <c r="N104" s="50" t="n"/>
      <c r="O104" s="49" t="n"/>
      <c r="P104" s="50" t="n"/>
    </row>
    <row r="105">
      <c r="B105" s="49" t="n"/>
      <c r="C105" s="49" t="n"/>
      <c r="D105" s="49" t="n"/>
      <c r="E105" s="49" t="n"/>
      <c r="F105" s="49" t="n"/>
      <c r="J105" s="49" t="n"/>
      <c r="K105" s="49" t="n"/>
      <c r="L105" s="49" t="n"/>
      <c r="M105" s="49" t="n"/>
      <c r="N105" s="50" t="n"/>
      <c r="O105" s="49" t="n"/>
      <c r="P105" s="50" t="n"/>
    </row>
    <row r="106">
      <c r="B106" s="49" t="n"/>
      <c r="C106" s="49" t="n"/>
      <c r="D106" s="49" t="n"/>
      <c r="E106" s="49" t="n"/>
      <c r="F106" s="49" t="n"/>
      <c r="J106" s="49" t="n"/>
      <c r="K106" s="49" t="n"/>
      <c r="L106" s="49" t="n"/>
      <c r="M106" s="49" t="n"/>
      <c r="N106" s="50" t="n"/>
      <c r="O106" s="49" t="n"/>
      <c r="P106" s="50" t="n"/>
    </row>
    <row r="107">
      <c r="B107" s="49" t="n"/>
      <c r="C107" s="49" t="n"/>
      <c r="D107" s="49" t="n"/>
      <c r="E107" s="49" t="n"/>
      <c r="F107" s="49" t="n"/>
      <c r="J107" s="49" t="n"/>
      <c r="K107" s="49" t="n"/>
      <c r="L107" s="49" t="n"/>
      <c r="M107" s="49" t="n"/>
      <c r="N107" s="50" t="n"/>
      <c r="O107" s="49" t="n"/>
      <c r="P107" s="50" t="n"/>
    </row>
    <row r="108">
      <c r="B108" s="49" t="n"/>
      <c r="C108" s="49" t="n"/>
      <c r="D108" s="49" t="n"/>
      <c r="E108" s="49" t="n"/>
      <c r="F108" s="49" t="n"/>
      <c r="J108" s="49" t="n"/>
      <c r="K108" s="49" t="n"/>
      <c r="L108" s="49" t="n"/>
      <c r="M108" s="49" t="n"/>
      <c r="N108" s="50" t="n"/>
      <c r="O108" s="49" t="n"/>
      <c r="P108" s="50" t="n"/>
    </row>
    <row r="109">
      <c r="B109" s="49" t="n"/>
      <c r="C109" s="49" t="n"/>
      <c r="D109" s="49" t="n"/>
      <c r="E109" s="49" t="n"/>
      <c r="F109" s="49" t="n"/>
      <c r="J109" s="49" t="n"/>
      <c r="K109" s="49" t="n"/>
      <c r="L109" s="49" t="n"/>
      <c r="M109" s="49" t="n"/>
      <c r="N109" s="50" t="n"/>
      <c r="O109" s="49" t="n"/>
      <c r="P109" s="50" t="n"/>
    </row>
    <row r="110">
      <c r="B110" s="49" t="n"/>
      <c r="C110" s="49" t="n"/>
      <c r="D110" s="49" t="n"/>
      <c r="E110" s="49" t="n"/>
      <c r="F110" s="49" t="n"/>
      <c r="J110" s="49" t="n"/>
      <c r="K110" s="49" t="n"/>
      <c r="L110" s="49" t="n"/>
      <c r="M110" s="49" t="n"/>
      <c r="N110" s="50" t="n"/>
      <c r="O110" s="49" t="n"/>
      <c r="P110" s="50" t="n"/>
    </row>
    <row r="111">
      <c r="B111" s="49" t="n"/>
      <c r="C111" s="49" t="n"/>
      <c r="D111" s="49" t="n"/>
      <c r="E111" s="49" t="n"/>
      <c r="F111" s="49" t="n"/>
      <c r="J111" s="49" t="n"/>
      <c r="K111" s="49" t="n"/>
      <c r="L111" s="49" t="n"/>
      <c r="M111" s="49" t="n"/>
      <c r="N111" s="50" t="n"/>
      <c r="O111" s="49" t="n"/>
      <c r="P111" s="50" t="n"/>
    </row>
    <row r="112">
      <c r="B112" s="49" t="n"/>
      <c r="C112" s="49" t="n"/>
      <c r="D112" s="49" t="n"/>
      <c r="E112" s="49" t="n"/>
      <c r="F112" s="49" t="n"/>
      <c r="J112" s="49" t="n"/>
      <c r="K112" s="49" t="n"/>
      <c r="L112" s="49" t="n"/>
      <c r="M112" s="49" t="n"/>
      <c r="N112" s="50" t="n"/>
      <c r="O112" s="49" t="n"/>
      <c r="P112" s="50" t="n"/>
    </row>
    <row r="113">
      <c r="B113" s="49" t="n"/>
      <c r="C113" s="49" t="n"/>
      <c r="D113" s="49" t="n"/>
      <c r="E113" s="49" t="n"/>
      <c r="F113" s="49" t="n"/>
      <c r="J113" s="49" t="n"/>
      <c r="K113" s="49" t="n"/>
      <c r="L113" s="49" t="n"/>
      <c r="M113" s="49" t="n"/>
      <c r="N113" s="50" t="n"/>
      <c r="O113" s="49" t="n"/>
      <c r="P113" s="50" t="n"/>
    </row>
    <row r="114">
      <c r="B114" s="49" t="n"/>
      <c r="C114" s="49" t="n"/>
      <c r="D114" s="49" t="n"/>
      <c r="E114" s="49" t="n"/>
      <c r="F114" s="49" t="n"/>
      <c r="J114" s="49" t="n"/>
      <c r="K114" s="49" t="n"/>
      <c r="L114" s="49" t="n"/>
      <c r="M114" s="49" t="n"/>
      <c r="N114" s="50" t="n"/>
      <c r="O114" s="49" t="n"/>
      <c r="P114" s="50" t="n"/>
    </row>
    <row r="115">
      <c r="B115" s="49" t="n"/>
      <c r="C115" s="49" t="n"/>
      <c r="D115" s="49" t="n"/>
      <c r="E115" s="49" t="n"/>
      <c r="F115" s="49" t="n"/>
      <c r="J115" s="49" t="n"/>
      <c r="K115" s="49" t="n"/>
      <c r="L115" s="49" t="n"/>
      <c r="M115" s="49" t="n"/>
      <c r="N115" s="50" t="n"/>
      <c r="O115" s="49" t="n"/>
      <c r="P115" s="50" t="n"/>
    </row>
    <row r="116">
      <c r="B116" s="49" t="n"/>
      <c r="C116" s="49" t="n"/>
      <c r="D116" s="49" t="n"/>
      <c r="E116" s="49" t="n"/>
      <c r="F116" s="49" t="n"/>
      <c r="J116" s="49" t="n"/>
      <c r="K116" s="49" t="n"/>
      <c r="L116" s="49" t="n"/>
      <c r="M116" s="49" t="n"/>
      <c r="N116" s="50" t="n"/>
      <c r="O116" s="49" t="n"/>
      <c r="P116" s="50" t="n"/>
    </row>
    <row r="117">
      <c r="B117" s="49" t="n"/>
      <c r="C117" s="49" t="n"/>
      <c r="D117" s="49" t="n"/>
      <c r="E117" s="49" t="n"/>
      <c r="F117" s="49" t="n"/>
      <c r="J117" s="49" t="n"/>
      <c r="K117" s="49" t="n"/>
      <c r="L117" s="49" t="n"/>
      <c r="M117" s="49" t="n"/>
      <c r="N117" s="50" t="n"/>
      <c r="O117" s="49" t="n"/>
      <c r="P117" s="50" t="n"/>
    </row>
    <row r="118">
      <c r="B118" s="49" t="n"/>
      <c r="C118" s="49" t="n"/>
      <c r="D118" s="49" t="n"/>
      <c r="E118" s="49" t="n"/>
      <c r="F118" s="49" t="n"/>
      <c r="J118" s="49" t="n"/>
      <c r="K118" s="49" t="n"/>
      <c r="L118" s="49" t="n"/>
      <c r="M118" s="49" t="n"/>
      <c r="N118" s="50" t="n"/>
      <c r="O118" s="49" t="n"/>
      <c r="P118" s="50" t="n"/>
    </row>
    <row r="119">
      <c r="B119" s="49" t="n"/>
      <c r="C119" s="49" t="n"/>
      <c r="D119" s="49" t="n"/>
      <c r="E119" s="49" t="n"/>
      <c r="F119" s="49" t="n"/>
      <c r="J119" s="49" t="n"/>
      <c r="K119" s="49" t="n"/>
      <c r="L119" s="49" t="n"/>
      <c r="M119" s="49" t="n"/>
      <c r="N119" s="50" t="n"/>
      <c r="O119" s="49" t="n"/>
      <c r="P119" s="50" t="n"/>
    </row>
    <row r="120">
      <c r="B120" s="49" t="n"/>
      <c r="C120" s="49" t="n"/>
      <c r="D120" s="49" t="n"/>
      <c r="E120" s="49" t="n"/>
      <c r="F120" s="49" t="n"/>
      <c r="J120" s="49" t="n"/>
      <c r="K120" s="49" t="n"/>
      <c r="L120" s="49" t="n"/>
      <c r="M120" s="49" t="n"/>
      <c r="N120" s="50" t="n"/>
      <c r="O120" s="49" t="n"/>
      <c r="P120" s="50" t="n"/>
    </row>
    <row r="121">
      <c r="B121" s="49" t="n"/>
      <c r="C121" s="49" t="n"/>
      <c r="D121" s="49" t="n"/>
      <c r="E121" s="49" t="n"/>
      <c r="F121" s="49" t="n"/>
      <c r="J121" s="49" t="n"/>
      <c r="K121" s="49" t="n"/>
      <c r="L121" s="49" t="n"/>
      <c r="M121" s="49" t="n"/>
      <c r="N121" s="50" t="n"/>
      <c r="O121" s="49" t="n"/>
      <c r="P121" s="50" t="n"/>
    </row>
    <row r="122">
      <c r="B122" s="49" t="n"/>
      <c r="C122" s="49" t="n"/>
      <c r="D122" s="49" t="n"/>
      <c r="E122" s="49" t="n"/>
      <c r="F122" s="49" t="n"/>
      <c r="J122" s="49" t="n"/>
      <c r="K122" s="49" t="n"/>
      <c r="L122" s="49" t="n"/>
      <c r="M122" s="49" t="n"/>
      <c r="N122" s="50" t="n"/>
      <c r="O122" s="49" t="n"/>
      <c r="P122" s="50" t="n"/>
    </row>
    <row r="123">
      <c r="B123" s="49" t="n"/>
      <c r="C123" s="49" t="n"/>
      <c r="D123" s="49" t="n"/>
      <c r="E123" s="49" t="n"/>
      <c r="F123" s="49" t="n"/>
      <c r="J123" s="49" t="n"/>
      <c r="K123" s="49" t="n"/>
      <c r="L123" s="49" t="n"/>
      <c r="M123" s="49" t="n"/>
      <c r="N123" s="50" t="n"/>
      <c r="O123" s="49" t="n"/>
      <c r="P123" s="50" t="n"/>
    </row>
    <row r="124">
      <c r="B124" s="49" t="n"/>
      <c r="C124" s="49" t="n"/>
      <c r="D124" s="49" t="n"/>
      <c r="E124" s="49" t="n"/>
      <c r="F124" s="49" t="n"/>
      <c r="J124" s="49" t="n"/>
      <c r="K124" s="49" t="n"/>
      <c r="L124" s="49" t="n"/>
      <c r="M124" s="49" t="n"/>
      <c r="N124" s="50" t="n"/>
      <c r="O124" s="49" t="n"/>
      <c r="P124" s="50" t="n"/>
    </row>
    <row r="125">
      <c r="B125" s="49" t="n"/>
      <c r="C125" s="49" t="n"/>
      <c r="D125" s="49" t="n"/>
      <c r="E125" s="49" t="n"/>
      <c r="F125" s="49" t="n"/>
      <c r="J125" s="49" t="n"/>
      <c r="K125" s="49" t="n"/>
      <c r="L125" s="49" t="n"/>
      <c r="M125" s="49" t="n"/>
      <c r="N125" s="50" t="n"/>
      <c r="O125" s="49" t="n"/>
      <c r="P125" s="50" t="n"/>
    </row>
    <row r="126">
      <c r="B126" s="49" t="n"/>
      <c r="C126" s="49" t="n"/>
      <c r="D126" s="49" t="n"/>
      <c r="E126" s="49" t="n"/>
      <c r="F126" s="49" t="n"/>
      <c r="J126" s="49" t="n"/>
      <c r="K126" s="49" t="n"/>
      <c r="L126" s="49" t="n"/>
      <c r="M126" s="49" t="n"/>
      <c r="N126" s="50" t="n"/>
      <c r="O126" s="49" t="n"/>
      <c r="P126" s="50" t="n"/>
    </row>
    <row r="127">
      <c r="B127" s="49" t="n"/>
      <c r="C127" s="49" t="n"/>
      <c r="D127" s="49" t="n"/>
      <c r="E127" s="49" t="n"/>
      <c r="F127" s="49" t="n"/>
      <c r="J127" s="49" t="n"/>
      <c r="K127" s="49" t="n"/>
      <c r="L127" s="49" t="n"/>
      <c r="M127" s="49" t="n"/>
      <c r="N127" s="50" t="n"/>
      <c r="O127" s="49" t="n"/>
      <c r="P127" s="50" t="n"/>
    </row>
    <row r="128">
      <c r="B128" s="49" t="n"/>
      <c r="C128" s="49" t="n"/>
      <c r="D128" s="49" t="n"/>
      <c r="E128" s="49" t="n"/>
      <c r="F128" s="49" t="n"/>
      <c r="J128" s="49" t="n"/>
      <c r="K128" s="49" t="n"/>
      <c r="L128" s="49" t="n"/>
      <c r="M128" s="49" t="n"/>
      <c r="N128" s="50" t="n"/>
      <c r="O128" s="49" t="n"/>
      <c r="P128" s="50" t="n"/>
    </row>
    <row r="129">
      <c r="B129" s="49" t="n"/>
      <c r="C129" s="49" t="n"/>
      <c r="D129" s="49" t="n"/>
      <c r="E129" s="49" t="n"/>
      <c r="F129" s="49" t="n"/>
      <c r="J129" s="49" t="n"/>
      <c r="K129" s="49" t="n"/>
      <c r="L129" s="49" t="n"/>
      <c r="M129" s="49" t="n"/>
      <c r="N129" s="50" t="n"/>
      <c r="O129" s="49" t="n"/>
      <c r="P129" s="50" t="n"/>
    </row>
    <row r="130">
      <c r="B130" s="49" t="n"/>
      <c r="C130" s="49" t="n"/>
      <c r="D130" s="49" t="n"/>
      <c r="E130" s="49" t="n"/>
      <c r="F130" s="49" t="n"/>
      <c r="J130" s="49" t="n"/>
      <c r="K130" s="49" t="n"/>
      <c r="L130" s="49" t="n"/>
      <c r="M130" s="49" t="n"/>
      <c r="N130" s="50" t="n"/>
      <c r="O130" s="49" t="n"/>
      <c r="P130" s="50" t="n"/>
    </row>
    <row r="131">
      <c r="B131" s="49" t="n"/>
      <c r="C131" s="49" t="n"/>
      <c r="D131" s="49" t="n"/>
      <c r="E131" s="49" t="n"/>
      <c r="F131" s="49" t="n"/>
      <c r="J131" s="49" t="n"/>
      <c r="K131" s="49" t="n"/>
      <c r="L131" s="49" t="n"/>
      <c r="M131" s="49" t="n"/>
      <c r="N131" s="50" t="n"/>
      <c r="O131" s="49" t="n"/>
      <c r="P131" s="50" t="n"/>
    </row>
    <row r="132">
      <c r="B132" s="49" t="n"/>
      <c r="C132" s="49" t="n"/>
      <c r="D132" s="49" t="n"/>
      <c r="E132" s="49" t="n"/>
      <c r="F132" s="49" t="n"/>
      <c r="J132" s="49" t="n"/>
      <c r="K132" s="49" t="n"/>
      <c r="L132" s="49" t="n"/>
      <c r="M132" s="49" t="n"/>
      <c r="N132" s="50" t="n"/>
      <c r="O132" s="49" t="n"/>
      <c r="P132" s="50" t="n"/>
    </row>
    <row r="133">
      <c r="B133" s="49" t="n"/>
      <c r="C133" s="49" t="n"/>
      <c r="D133" s="49" t="n"/>
      <c r="E133" s="49" t="n"/>
      <c r="F133" s="49" t="n"/>
      <c r="J133" s="49" t="n"/>
      <c r="K133" s="49" t="n"/>
      <c r="L133" s="49" t="n"/>
      <c r="M133" s="49" t="n"/>
      <c r="N133" s="50" t="n"/>
      <c r="O133" s="49" t="n"/>
      <c r="P133" s="50" t="n"/>
    </row>
    <row r="134">
      <c r="B134" s="49" t="n"/>
      <c r="C134" s="49" t="n"/>
      <c r="D134" s="49" t="n"/>
      <c r="E134" s="49" t="n"/>
      <c r="F134" s="49" t="n"/>
      <c r="J134" s="49" t="n"/>
      <c r="K134" s="49" t="n"/>
      <c r="L134" s="49" t="n"/>
      <c r="M134" s="49" t="n"/>
      <c r="N134" s="50" t="n"/>
      <c r="O134" s="49" t="n"/>
      <c r="P134" s="50" t="n"/>
    </row>
    <row r="135">
      <c r="B135" s="49" t="n"/>
      <c r="C135" s="49" t="n"/>
      <c r="D135" s="49" t="n"/>
      <c r="E135" s="49" t="n"/>
      <c r="F135" s="49" t="n"/>
      <c r="J135" s="49" t="n"/>
      <c r="K135" s="49" t="n"/>
      <c r="L135" s="49" t="n"/>
      <c r="M135" s="49" t="n"/>
      <c r="N135" s="50" t="n"/>
      <c r="O135" s="49" t="n"/>
      <c r="P135" s="50" t="n"/>
    </row>
    <row r="136">
      <c r="B136" s="49" t="n"/>
      <c r="C136" s="49" t="n"/>
      <c r="D136" s="49" t="n"/>
      <c r="E136" s="49" t="n"/>
      <c r="F136" s="49" t="n"/>
      <c r="J136" s="49" t="n"/>
      <c r="K136" s="49" t="n"/>
      <c r="L136" s="49" t="n"/>
      <c r="M136" s="49" t="n"/>
      <c r="N136" s="50" t="n"/>
      <c r="O136" s="49" t="n"/>
      <c r="P136" s="50" t="n"/>
    </row>
    <row r="137">
      <c r="B137" s="49" t="n"/>
      <c r="C137" s="49" t="n"/>
      <c r="D137" s="49" t="n"/>
      <c r="E137" s="49" t="n"/>
      <c r="F137" s="49" t="n"/>
      <c r="J137" s="49" t="n"/>
      <c r="K137" s="49" t="n"/>
      <c r="L137" s="49" t="n"/>
      <c r="M137" s="49" t="n"/>
      <c r="N137" s="50" t="n"/>
      <c r="O137" s="49" t="n"/>
      <c r="P137" s="50" t="n"/>
    </row>
    <row r="138">
      <c r="B138" s="49" t="n"/>
      <c r="C138" s="49" t="n"/>
      <c r="D138" s="49" t="n"/>
      <c r="E138" s="49" t="n"/>
      <c r="F138" s="49" t="n"/>
      <c r="J138" s="49" t="n"/>
      <c r="K138" s="49" t="n"/>
      <c r="L138" s="49" t="n"/>
      <c r="M138" s="49" t="n"/>
      <c r="N138" s="50" t="n"/>
      <c r="O138" s="49" t="n"/>
      <c r="P138" s="50" t="n"/>
    </row>
    <row r="139">
      <c r="B139" s="49" t="n"/>
      <c r="C139" s="49" t="n"/>
      <c r="D139" s="49" t="n"/>
      <c r="E139" s="49" t="n"/>
      <c r="F139" s="49" t="n"/>
      <c r="J139" s="49" t="n"/>
      <c r="K139" s="49" t="n"/>
      <c r="L139" s="49" t="n"/>
      <c r="M139" s="49" t="n"/>
      <c r="N139" s="50" t="n"/>
      <c r="O139" s="49" t="n"/>
      <c r="P139" s="50" t="n"/>
    </row>
    <row r="140">
      <c r="B140" s="49" t="n"/>
      <c r="C140" s="49" t="n"/>
      <c r="D140" s="49" t="n"/>
      <c r="E140" s="49" t="n"/>
      <c r="F140" s="49" t="n"/>
      <c r="J140" s="49" t="n"/>
      <c r="K140" s="49" t="n"/>
      <c r="L140" s="49" t="n"/>
      <c r="M140" s="49" t="n"/>
      <c r="N140" s="50" t="n"/>
      <c r="O140" s="49" t="n"/>
      <c r="P140" s="50" t="n"/>
    </row>
    <row r="141">
      <c r="B141" s="49" t="n"/>
      <c r="C141" s="49" t="n"/>
      <c r="D141" s="49" t="n"/>
      <c r="E141" s="49" t="n"/>
      <c r="F141" s="49" t="n"/>
      <c r="J141" s="49" t="n"/>
      <c r="K141" s="49" t="n"/>
      <c r="L141" s="49" t="n"/>
      <c r="M141" s="49" t="n"/>
      <c r="N141" s="50" t="n"/>
      <c r="O141" s="49" t="n"/>
      <c r="P141" s="50" t="n"/>
    </row>
    <row r="142">
      <c r="B142" s="49" t="n"/>
      <c r="C142" s="49" t="n"/>
      <c r="D142" s="49" t="n"/>
      <c r="E142" s="49" t="n"/>
      <c r="F142" s="49" t="n"/>
      <c r="J142" s="49" t="n"/>
      <c r="K142" s="49" t="n"/>
      <c r="L142" s="49" t="n"/>
      <c r="M142" s="49" t="n"/>
      <c r="N142" s="50" t="n"/>
      <c r="O142" s="49" t="n"/>
      <c r="P142" s="50" t="n"/>
    </row>
    <row r="143">
      <c r="B143" s="49" t="n"/>
      <c r="C143" s="49" t="n"/>
      <c r="D143" s="49" t="n"/>
      <c r="E143" s="49" t="n"/>
      <c r="F143" s="49" t="n"/>
      <c r="J143" s="49" t="n"/>
      <c r="K143" s="49" t="n"/>
      <c r="L143" s="49" t="n"/>
      <c r="M143" s="49" t="n"/>
      <c r="N143" s="50" t="n"/>
      <c r="O143" s="49" t="n"/>
      <c r="P143" s="50" t="n"/>
    </row>
    <row r="144">
      <c r="B144" s="49" t="n"/>
      <c r="C144" s="49" t="n"/>
      <c r="D144" s="49" t="n"/>
      <c r="E144" s="49" t="n"/>
      <c r="F144" s="49" t="n"/>
      <c r="J144" s="49" t="n"/>
      <c r="K144" s="49" t="n"/>
      <c r="L144" s="49" t="n"/>
      <c r="M144" s="49" t="n"/>
      <c r="N144" s="50" t="n"/>
      <c r="O144" s="49" t="n"/>
      <c r="P144" s="50" t="n"/>
    </row>
    <row r="145">
      <c r="B145" s="49" t="n"/>
      <c r="C145" s="49" t="n"/>
      <c r="D145" s="49" t="n"/>
      <c r="E145" s="49" t="n"/>
      <c r="F145" s="49" t="n"/>
      <c r="J145" s="49" t="n"/>
      <c r="K145" s="49" t="n"/>
      <c r="L145" s="49" t="n"/>
      <c r="M145" s="49" t="n"/>
      <c r="N145" s="50" t="n"/>
      <c r="O145" s="49" t="n"/>
      <c r="P145" s="50" t="n"/>
    </row>
    <row r="146">
      <c r="B146" s="49" t="n"/>
      <c r="C146" s="49" t="n"/>
      <c r="D146" s="49" t="n"/>
      <c r="E146" s="49" t="n"/>
      <c r="F146" s="49" t="n"/>
      <c r="J146" s="49" t="n"/>
      <c r="K146" s="49" t="n"/>
      <c r="L146" s="49" t="n"/>
      <c r="M146" s="49" t="n"/>
      <c r="N146" s="50" t="n"/>
      <c r="O146" s="49" t="n"/>
      <c r="P146" s="50" t="n"/>
    </row>
    <row r="147">
      <c r="B147" s="49" t="n"/>
      <c r="C147" s="49" t="n"/>
      <c r="D147" s="49" t="n"/>
      <c r="E147" s="49" t="n"/>
      <c r="F147" s="49" t="n"/>
      <c r="J147" s="49" t="n"/>
      <c r="K147" s="49" t="n"/>
      <c r="L147" s="49" t="n"/>
      <c r="M147" s="49" t="n"/>
      <c r="N147" s="50" t="n"/>
      <c r="O147" s="49" t="n"/>
      <c r="P147" s="50" t="n"/>
    </row>
    <row r="148">
      <c r="B148" s="49" t="n"/>
      <c r="C148" s="49" t="n"/>
      <c r="D148" s="49" t="n"/>
      <c r="E148" s="49" t="n"/>
      <c r="F148" s="49" t="n"/>
      <c r="J148" s="49" t="n"/>
      <c r="K148" s="49" t="n"/>
      <c r="L148" s="49" t="n"/>
      <c r="M148" s="49" t="n"/>
      <c r="N148" s="50" t="n"/>
      <c r="O148" s="49" t="n"/>
      <c r="P148" s="50" t="n"/>
    </row>
    <row r="149">
      <c r="B149" s="49" t="n"/>
      <c r="C149" s="49" t="n"/>
      <c r="D149" s="49" t="n"/>
      <c r="E149" s="49" t="n"/>
      <c r="F149" s="49" t="n"/>
      <c r="J149" s="49" t="n"/>
      <c r="K149" s="49" t="n"/>
      <c r="L149" s="49" t="n"/>
      <c r="M149" s="49" t="n"/>
      <c r="N149" s="50" t="n"/>
      <c r="O149" s="49" t="n"/>
      <c r="P149" s="50" t="n"/>
    </row>
    <row r="150">
      <c r="B150" s="49" t="n"/>
      <c r="C150" s="49" t="n"/>
      <c r="D150" s="49" t="n"/>
      <c r="E150" s="49" t="n"/>
      <c r="F150" s="49" t="n"/>
      <c r="J150" s="49" t="n"/>
      <c r="K150" s="49" t="n"/>
      <c r="L150" s="49" t="n"/>
      <c r="M150" s="49" t="n"/>
      <c r="N150" s="50" t="n"/>
      <c r="O150" s="49" t="n"/>
      <c r="P150" s="50" t="n"/>
    </row>
    <row r="151">
      <c r="B151" s="49" t="n"/>
      <c r="C151" s="49" t="n"/>
      <c r="D151" s="49" t="n"/>
      <c r="E151" s="49" t="n"/>
      <c r="F151" s="49" t="n"/>
      <c r="J151" s="49" t="n"/>
      <c r="K151" s="49" t="n"/>
      <c r="L151" s="49" t="n"/>
      <c r="M151" s="49" t="n"/>
      <c r="N151" s="50" t="n"/>
      <c r="O151" s="49" t="n"/>
      <c r="P151" s="50" t="n"/>
    </row>
    <row r="152">
      <c r="B152" s="49" t="n"/>
      <c r="C152" s="49" t="n"/>
      <c r="D152" s="49" t="n"/>
      <c r="E152" s="49" t="n"/>
      <c r="F152" s="49" t="n"/>
      <c r="J152" s="49" t="n"/>
      <c r="K152" s="49" t="n"/>
      <c r="L152" s="49" t="n"/>
      <c r="M152" s="49" t="n"/>
      <c r="N152" s="50" t="n"/>
      <c r="O152" s="49" t="n"/>
      <c r="P152" s="50" t="n"/>
    </row>
    <row r="153">
      <c r="B153" s="49" t="n"/>
      <c r="C153" s="49" t="n"/>
      <c r="D153" s="49" t="n"/>
      <c r="E153" s="49" t="n"/>
      <c r="F153" s="49" t="n"/>
      <c r="J153" s="49" t="n"/>
      <c r="K153" s="49" t="n"/>
      <c r="L153" s="49" t="n"/>
      <c r="M153" s="49" t="n"/>
      <c r="N153" s="50" t="n"/>
      <c r="O153" s="49" t="n"/>
      <c r="P153" s="50" t="n"/>
    </row>
    <row r="154">
      <c r="B154" s="49" t="n"/>
      <c r="C154" s="49" t="n"/>
      <c r="D154" s="49" t="n"/>
      <c r="E154" s="49" t="n"/>
      <c r="F154" s="49" t="n"/>
      <c r="J154" s="49" t="n"/>
      <c r="K154" s="49" t="n"/>
      <c r="L154" s="49" t="n"/>
      <c r="M154" s="49" t="n"/>
      <c r="N154" s="50" t="n"/>
      <c r="O154" s="49" t="n"/>
      <c r="P154" s="50" t="n"/>
    </row>
    <row r="155">
      <c r="B155" s="49" t="n"/>
      <c r="C155" s="49" t="n"/>
      <c r="D155" s="49" t="n"/>
      <c r="E155" s="49" t="n"/>
      <c r="F155" s="49" t="n"/>
      <c r="J155" s="49" t="n"/>
      <c r="K155" s="49" t="n"/>
      <c r="L155" s="49" t="n"/>
      <c r="M155" s="49" t="n"/>
      <c r="N155" s="50" t="n"/>
      <c r="O155" s="49" t="n"/>
      <c r="P155" s="50" t="n"/>
    </row>
    <row r="156">
      <c r="B156" s="49" t="n"/>
      <c r="C156" s="49" t="n"/>
      <c r="D156" s="49" t="n"/>
      <c r="E156" s="49" t="n"/>
      <c r="F156" s="49" t="n"/>
      <c r="J156" s="49" t="n"/>
      <c r="K156" s="49" t="n"/>
      <c r="L156" s="49" t="n"/>
      <c r="M156" s="49" t="n"/>
      <c r="N156" s="50" t="n"/>
      <c r="O156" s="49" t="n"/>
      <c r="P156" s="50" t="n"/>
    </row>
    <row r="157">
      <c r="B157" s="49" t="n"/>
      <c r="C157" s="49" t="n"/>
      <c r="D157" s="49" t="n"/>
      <c r="E157" s="49" t="n"/>
      <c r="F157" s="49" t="n"/>
      <c r="J157" s="49" t="n"/>
      <c r="K157" s="49" t="n"/>
      <c r="L157" s="49" t="n"/>
      <c r="M157" s="49" t="n"/>
      <c r="N157" s="50" t="n"/>
      <c r="O157" s="49" t="n"/>
      <c r="P157" s="50" t="n"/>
    </row>
    <row r="158">
      <c r="B158" s="49" t="n"/>
      <c r="C158" s="49" t="n"/>
      <c r="D158" s="49" t="n"/>
      <c r="E158" s="49" t="n"/>
      <c r="F158" s="49" t="n"/>
      <c r="J158" s="49" t="n"/>
      <c r="K158" s="49" t="n"/>
      <c r="L158" s="49" t="n"/>
      <c r="M158" s="49" t="n"/>
      <c r="N158" s="50" t="n"/>
      <c r="O158" s="49" t="n"/>
      <c r="P158" s="50" t="n"/>
    </row>
    <row r="159">
      <c r="B159" s="49" t="n"/>
      <c r="C159" s="49" t="n"/>
      <c r="D159" s="49" t="n"/>
      <c r="E159" s="49" t="n"/>
      <c r="F159" s="49" t="n"/>
      <c r="J159" s="49" t="n"/>
      <c r="K159" s="49" t="n"/>
      <c r="L159" s="49" t="n"/>
      <c r="M159" s="49" t="n"/>
      <c r="N159" s="50" t="n"/>
      <c r="O159" s="49" t="n"/>
      <c r="P159" s="50" t="n"/>
    </row>
    <row r="160">
      <c r="B160" s="49" t="n"/>
      <c r="C160" s="49" t="n"/>
      <c r="D160" s="49" t="n"/>
      <c r="E160" s="49" t="n"/>
      <c r="F160" s="49" t="n"/>
      <c r="J160" s="49" t="n"/>
      <c r="K160" s="49" t="n"/>
      <c r="L160" s="49" t="n"/>
      <c r="M160" s="49" t="n"/>
      <c r="N160" s="50" t="n"/>
      <c r="O160" s="49" t="n"/>
      <c r="P160" s="50" t="n"/>
    </row>
    <row r="161">
      <c r="B161" s="49" t="n"/>
      <c r="C161" s="49" t="n"/>
      <c r="D161" s="49" t="n"/>
      <c r="E161" s="49" t="n"/>
      <c r="F161" s="49" t="n"/>
      <c r="J161" s="49" t="n"/>
      <c r="K161" s="49" t="n"/>
      <c r="L161" s="49" t="n"/>
      <c r="M161" s="49" t="n"/>
      <c r="N161" s="50" t="n"/>
      <c r="O161" s="49" t="n"/>
      <c r="P161" s="50" t="n"/>
    </row>
    <row r="162">
      <c r="B162" s="49" t="n"/>
      <c r="C162" s="49" t="n"/>
      <c r="D162" s="49" t="n"/>
      <c r="E162" s="49" t="n"/>
      <c r="F162" s="49" t="n"/>
      <c r="J162" s="49" t="n"/>
      <c r="K162" s="49" t="n"/>
      <c r="L162" s="49" t="n"/>
      <c r="M162" s="49" t="n"/>
      <c r="N162" s="50" t="n"/>
      <c r="O162" s="49" t="n"/>
      <c r="P162" s="50" t="n"/>
    </row>
    <row r="163">
      <c r="B163" s="49" t="n"/>
      <c r="C163" s="49" t="n"/>
      <c r="D163" s="49" t="n"/>
      <c r="E163" s="49" t="n"/>
      <c r="F163" s="49" t="n"/>
      <c r="J163" s="49" t="n"/>
      <c r="K163" s="49" t="n"/>
      <c r="L163" s="49" t="n"/>
      <c r="M163" s="49" t="n"/>
      <c r="N163" s="50" t="n"/>
      <c r="O163" s="49" t="n"/>
      <c r="P163" s="50" t="n"/>
    </row>
    <row r="164">
      <c r="B164" s="49" t="n"/>
      <c r="C164" s="49" t="n"/>
      <c r="D164" s="49" t="n"/>
      <c r="E164" s="49" t="n"/>
      <c r="F164" s="49" t="n"/>
      <c r="J164" s="49" t="n"/>
      <c r="K164" s="49" t="n"/>
      <c r="L164" s="49" t="n"/>
      <c r="M164" s="49" t="n"/>
      <c r="N164" s="50" t="n"/>
      <c r="O164" s="49" t="n"/>
      <c r="P164" s="50" t="n"/>
    </row>
    <row r="165">
      <c r="B165" s="49" t="n"/>
      <c r="C165" s="49" t="n"/>
      <c r="D165" s="49" t="n"/>
      <c r="E165" s="49" t="n"/>
      <c r="F165" s="49" t="n"/>
      <c r="J165" s="49" t="n"/>
      <c r="K165" s="49" t="n"/>
      <c r="L165" s="49" t="n"/>
      <c r="M165" s="49" t="n"/>
      <c r="N165" s="50" t="n"/>
      <c r="O165" s="49" t="n"/>
      <c r="P165" s="50" t="n"/>
    </row>
    <row r="166">
      <c r="B166" s="49" t="n"/>
      <c r="C166" s="49" t="n"/>
      <c r="D166" s="49" t="n"/>
      <c r="E166" s="49" t="n"/>
      <c r="F166" s="49" t="n"/>
      <c r="J166" s="49" t="n"/>
      <c r="K166" s="49" t="n"/>
      <c r="L166" s="49" t="n"/>
      <c r="M166" s="49" t="n"/>
      <c r="N166" s="50" t="n"/>
      <c r="O166" s="49" t="n"/>
      <c r="P166" s="50" t="n"/>
    </row>
    <row r="167">
      <c r="B167" s="49" t="n"/>
      <c r="C167" s="49" t="n"/>
      <c r="D167" s="49" t="n"/>
      <c r="E167" s="49" t="n"/>
      <c r="F167" s="49" t="n"/>
      <c r="J167" s="49" t="n"/>
      <c r="K167" s="49" t="n"/>
      <c r="L167" s="49" t="n"/>
      <c r="M167" s="49" t="n"/>
      <c r="N167" s="50" t="n"/>
      <c r="O167" s="49" t="n"/>
      <c r="P167" s="50" t="n"/>
    </row>
    <row r="168">
      <c r="B168" s="49" t="n"/>
      <c r="C168" s="49" t="n"/>
      <c r="D168" s="49" t="n"/>
      <c r="E168" s="49" t="n"/>
      <c r="F168" s="49" t="n"/>
      <c r="J168" s="49" t="n"/>
      <c r="K168" s="49" t="n"/>
      <c r="L168" s="49" t="n"/>
      <c r="M168" s="49" t="n"/>
      <c r="N168" s="50" t="n"/>
      <c r="O168" s="49" t="n"/>
      <c r="P168" s="50" t="n"/>
    </row>
    <row r="169">
      <c r="B169" s="49" t="n"/>
      <c r="C169" s="49" t="n"/>
      <c r="D169" s="49" t="n"/>
      <c r="E169" s="49" t="n"/>
      <c r="F169" s="49" t="n"/>
      <c r="J169" s="49" t="n"/>
      <c r="K169" s="49" t="n"/>
      <c r="L169" s="49" t="n"/>
      <c r="M169" s="49" t="n"/>
      <c r="N169" s="50" t="n"/>
      <c r="O169" s="49" t="n"/>
      <c r="P169" s="50" t="n"/>
    </row>
    <row r="170">
      <c r="B170" s="49" t="n"/>
      <c r="C170" s="49" t="n"/>
      <c r="D170" s="49" t="n"/>
      <c r="E170" s="49" t="n"/>
      <c r="F170" s="49" t="n"/>
      <c r="J170" s="49" t="n"/>
      <c r="K170" s="49" t="n"/>
      <c r="L170" s="49" t="n"/>
      <c r="M170" s="49" t="n"/>
      <c r="N170" s="50" t="n"/>
      <c r="O170" s="49" t="n"/>
      <c r="P170" s="50" t="n"/>
    </row>
    <row r="171">
      <c r="B171" s="49" t="n"/>
      <c r="C171" s="49" t="n"/>
      <c r="D171" s="49" t="n"/>
      <c r="E171" s="49" t="n"/>
      <c r="F171" s="49" t="n"/>
      <c r="J171" s="49" t="n"/>
      <c r="K171" s="49" t="n"/>
      <c r="L171" s="49" t="n"/>
      <c r="M171" s="49" t="n"/>
      <c r="N171" s="50" t="n"/>
      <c r="O171" s="49" t="n"/>
      <c r="P171" s="50" t="n"/>
    </row>
    <row r="172">
      <c r="B172" s="49" t="n"/>
      <c r="C172" s="49" t="n"/>
      <c r="D172" s="49" t="n"/>
      <c r="E172" s="49" t="n"/>
      <c r="F172" s="49" t="n"/>
      <c r="J172" s="49" t="n"/>
      <c r="K172" s="49" t="n"/>
      <c r="L172" s="49" t="n"/>
      <c r="M172" s="49" t="n"/>
      <c r="N172" s="50" t="n"/>
      <c r="O172" s="49" t="n"/>
      <c r="P172" s="50" t="n"/>
    </row>
    <row r="173">
      <c r="B173" s="49" t="n"/>
      <c r="C173" s="49" t="n"/>
      <c r="D173" s="49" t="n"/>
      <c r="E173" s="49" t="n"/>
      <c r="F173" s="49" t="n"/>
      <c r="J173" s="49" t="n"/>
      <c r="K173" s="49" t="n"/>
      <c r="L173" s="49" t="n"/>
      <c r="M173" s="49" t="n"/>
      <c r="N173" s="50" t="n"/>
      <c r="O173" s="49" t="n"/>
      <c r="P173" s="50" t="n"/>
    </row>
    <row r="174">
      <c r="B174" s="49" t="n"/>
      <c r="C174" s="49" t="n"/>
      <c r="D174" s="49" t="n"/>
      <c r="E174" s="49" t="n"/>
      <c r="F174" s="49" t="n"/>
      <c r="J174" s="49" t="n"/>
      <c r="K174" s="49" t="n"/>
      <c r="L174" s="49" t="n"/>
      <c r="M174" s="49" t="n"/>
      <c r="N174" s="50" t="n"/>
      <c r="O174" s="49" t="n"/>
      <c r="P174" s="50" t="n"/>
    </row>
    <row r="175">
      <c r="B175" s="49" t="n"/>
      <c r="C175" s="49" t="n"/>
      <c r="D175" s="49" t="n"/>
      <c r="E175" s="49" t="n"/>
      <c r="F175" s="49" t="n"/>
      <c r="J175" s="49" t="n"/>
      <c r="K175" s="49" t="n"/>
      <c r="L175" s="49" t="n"/>
      <c r="M175" s="49" t="n"/>
      <c r="N175" s="50" t="n"/>
      <c r="O175" s="49" t="n"/>
      <c r="P175" s="50" t="n"/>
    </row>
    <row r="176">
      <c r="B176" s="49" t="n"/>
      <c r="C176" s="49" t="n"/>
      <c r="D176" s="49" t="n"/>
      <c r="E176" s="49" t="n"/>
      <c r="F176" s="49" t="n"/>
      <c r="J176" s="49" t="n"/>
      <c r="K176" s="49" t="n"/>
      <c r="L176" s="49" t="n"/>
      <c r="M176" s="49" t="n"/>
      <c r="N176" s="50" t="n"/>
      <c r="O176" s="49" t="n"/>
      <c r="P176" s="50" t="n"/>
    </row>
    <row r="177">
      <c r="B177" s="49" t="n"/>
      <c r="C177" s="49" t="n"/>
      <c r="D177" s="49" t="n"/>
      <c r="E177" s="49" t="n"/>
      <c r="F177" s="49" t="n"/>
      <c r="J177" s="49" t="n"/>
      <c r="K177" s="49" t="n"/>
      <c r="L177" s="49" t="n"/>
      <c r="M177" s="49" t="n"/>
      <c r="N177" s="50" t="n"/>
      <c r="O177" s="49" t="n"/>
      <c r="P177" s="50" t="n"/>
    </row>
    <row r="178">
      <c r="B178" s="49" t="n"/>
      <c r="C178" s="49" t="n"/>
      <c r="D178" s="49" t="n"/>
      <c r="E178" s="49" t="n"/>
      <c r="F178" s="49" t="n"/>
      <c r="J178" s="49" t="n"/>
      <c r="K178" s="49" t="n"/>
      <c r="L178" s="49" t="n"/>
      <c r="M178" s="49" t="n"/>
      <c r="N178" s="50" t="n"/>
      <c r="O178" s="49" t="n"/>
      <c r="P178" s="50" t="n"/>
    </row>
    <row r="179">
      <c r="B179" s="49" t="n"/>
      <c r="C179" s="49" t="n"/>
      <c r="D179" s="49" t="n"/>
      <c r="E179" s="49" t="n"/>
      <c r="F179" s="49" t="n"/>
      <c r="J179" s="49" t="n"/>
      <c r="K179" s="49" t="n"/>
      <c r="L179" s="49" t="n"/>
      <c r="M179" s="49" t="n"/>
      <c r="N179" s="50" t="n"/>
      <c r="O179" s="49" t="n"/>
      <c r="P179" s="50" t="n"/>
    </row>
    <row r="180">
      <c r="B180" s="49" t="n"/>
      <c r="C180" s="49" t="n"/>
      <c r="D180" s="49" t="n"/>
      <c r="E180" s="49" t="n"/>
      <c r="F180" s="49" t="n"/>
      <c r="J180" s="49" t="n"/>
      <c r="K180" s="49" t="n"/>
      <c r="L180" s="49" t="n"/>
      <c r="M180" s="49" t="n"/>
      <c r="N180" s="50" t="n"/>
      <c r="O180" s="49" t="n"/>
      <c r="P180" s="50" t="n"/>
    </row>
    <row r="181">
      <c r="B181" s="49" t="n"/>
      <c r="C181" s="49" t="n"/>
      <c r="D181" s="49" t="n"/>
      <c r="E181" s="49" t="n"/>
      <c r="F181" s="49" t="n"/>
      <c r="J181" s="49" t="n"/>
      <c r="K181" s="49" t="n"/>
      <c r="L181" s="49" t="n"/>
      <c r="M181" s="49" t="n"/>
      <c r="N181" s="50" t="n"/>
      <c r="O181" s="49" t="n"/>
      <c r="P181" s="50" t="n"/>
    </row>
    <row r="182">
      <c r="B182" s="49" t="n"/>
      <c r="C182" s="49" t="n"/>
      <c r="D182" s="49" t="n"/>
      <c r="E182" s="49" t="n"/>
      <c r="F182" s="49" t="n"/>
      <c r="J182" s="49" t="n"/>
      <c r="K182" s="49" t="n"/>
      <c r="L182" s="49" t="n"/>
      <c r="M182" s="49" t="n"/>
      <c r="N182" s="50" t="n"/>
      <c r="O182" s="49" t="n"/>
      <c r="P182" s="50" t="n"/>
    </row>
    <row r="183">
      <c r="B183" s="49" t="n"/>
      <c r="C183" s="49" t="n"/>
      <c r="D183" s="49" t="n"/>
      <c r="E183" s="49" t="n"/>
      <c r="F183" s="49" t="n"/>
      <c r="J183" s="49" t="n"/>
      <c r="K183" s="49" t="n"/>
      <c r="L183" s="49" t="n"/>
      <c r="M183" s="49" t="n"/>
      <c r="N183" s="50" t="n"/>
      <c r="O183" s="49" t="n"/>
      <c r="P183" s="50" t="n"/>
    </row>
    <row r="184">
      <c r="B184" s="49" t="n"/>
      <c r="C184" s="49" t="n"/>
      <c r="D184" s="49" t="n"/>
      <c r="E184" s="49" t="n"/>
      <c r="F184" s="49" t="n"/>
      <c r="J184" s="49" t="n"/>
      <c r="K184" s="49" t="n"/>
      <c r="L184" s="49" t="n"/>
      <c r="M184" s="49" t="n"/>
      <c r="N184" s="50" t="n"/>
      <c r="O184" s="49" t="n"/>
      <c r="P184" s="50" t="n"/>
    </row>
    <row r="185">
      <c r="B185" s="49" t="n"/>
      <c r="C185" s="49" t="n"/>
      <c r="D185" s="49" t="n"/>
      <c r="E185" s="49" t="n"/>
      <c r="F185" s="49" t="n"/>
      <c r="J185" s="49" t="n"/>
      <c r="K185" s="49" t="n"/>
      <c r="L185" s="49" t="n"/>
      <c r="M185" s="49" t="n"/>
      <c r="N185" s="50" t="n"/>
      <c r="O185" s="49" t="n"/>
      <c r="P185" s="50" t="n"/>
    </row>
    <row r="186">
      <c r="B186" s="49" t="n"/>
      <c r="C186" s="49" t="n"/>
      <c r="D186" s="49" t="n"/>
      <c r="E186" s="49" t="n"/>
      <c r="F186" s="49" t="n"/>
      <c r="J186" s="49" t="n"/>
      <c r="K186" s="49" t="n"/>
      <c r="L186" s="49" t="n"/>
      <c r="M186" s="49" t="n"/>
      <c r="N186" s="50" t="n"/>
      <c r="O186" s="49" t="n"/>
      <c r="P186" s="50" t="n"/>
    </row>
    <row r="187">
      <c r="B187" s="49" t="n"/>
      <c r="C187" s="49" t="n"/>
      <c r="D187" s="49" t="n"/>
      <c r="E187" s="49" t="n"/>
      <c r="F187" s="49" t="n"/>
      <c r="J187" s="49" t="n"/>
      <c r="K187" s="49" t="n"/>
      <c r="L187" s="49" t="n"/>
      <c r="M187" s="49" t="n"/>
      <c r="N187" s="50" t="n"/>
      <c r="O187" s="49" t="n"/>
      <c r="P187" s="50" t="n"/>
    </row>
    <row r="188">
      <c r="B188" s="49" t="n"/>
      <c r="C188" s="49" t="n"/>
      <c r="D188" s="49" t="n"/>
      <c r="E188" s="49" t="n"/>
      <c r="F188" s="49" t="n"/>
      <c r="J188" s="49" t="n"/>
      <c r="K188" s="49" t="n"/>
      <c r="L188" s="49" t="n"/>
      <c r="M188" s="49" t="n"/>
      <c r="N188" s="50" t="n"/>
      <c r="O188" s="49" t="n"/>
      <c r="P188" s="50" t="n"/>
    </row>
    <row r="189">
      <c r="B189" s="49" t="n"/>
      <c r="C189" s="49" t="n"/>
      <c r="D189" s="49" t="n"/>
      <c r="E189" s="49" t="n"/>
      <c r="F189" s="49" t="n"/>
      <c r="J189" s="49" t="n"/>
      <c r="K189" s="49" t="n"/>
      <c r="L189" s="49" t="n"/>
      <c r="M189" s="49" t="n"/>
      <c r="N189" s="50" t="n"/>
      <c r="O189" s="49" t="n"/>
      <c r="P189" s="50" t="n"/>
    </row>
    <row r="190">
      <c r="B190" s="49" t="n"/>
      <c r="C190" s="49" t="n"/>
      <c r="D190" s="49" t="n"/>
      <c r="E190" s="49" t="n"/>
      <c r="F190" s="49" t="n"/>
      <c r="J190" s="49" t="n"/>
      <c r="K190" s="49" t="n"/>
      <c r="L190" s="49" t="n"/>
      <c r="M190" s="49" t="n"/>
      <c r="N190" s="50" t="n"/>
      <c r="O190" s="49" t="n"/>
      <c r="P190" s="50" t="n"/>
    </row>
    <row r="191">
      <c r="B191" s="49" t="n"/>
      <c r="C191" s="49" t="n"/>
      <c r="D191" s="49" t="n"/>
      <c r="E191" s="49" t="n"/>
      <c r="F191" s="49" t="n"/>
      <c r="J191" s="49" t="n"/>
      <c r="K191" s="49" t="n"/>
      <c r="L191" s="49" t="n"/>
      <c r="M191" s="49" t="n"/>
      <c r="N191" s="50" t="n"/>
      <c r="O191" s="49" t="n"/>
      <c r="P191" s="50" t="n"/>
    </row>
    <row r="192">
      <c r="B192" s="49" t="n"/>
      <c r="C192" s="49" t="n"/>
      <c r="D192" s="49" t="n"/>
      <c r="E192" s="49" t="n"/>
      <c r="F192" s="49" t="n"/>
      <c r="J192" s="49" t="n"/>
      <c r="K192" s="49" t="n"/>
      <c r="L192" s="49" t="n"/>
      <c r="M192" s="49" t="n"/>
      <c r="N192" s="50" t="n"/>
      <c r="O192" s="49" t="n"/>
      <c r="P192" s="50" t="n"/>
    </row>
    <row r="193">
      <c r="B193" s="49" t="n"/>
      <c r="C193" s="49" t="n"/>
      <c r="D193" s="49" t="n"/>
      <c r="E193" s="49" t="n"/>
      <c r="F193" s="49" t="n"/>
      <c r="J193" s="49" t="n"/>
      <c r="K193" s="49" t="n"/>
      <c r="L193" s="49" t="n"/>
      <c r="M193" s="49" t="n"/>
      <c r="N193" s="50" t="n"/>
      <c r="O193" s="49" t="n"/>
      <c r="P193" s="50" t="n"/>
    </row>
    <row r="194">
      <c r="B194" s="49" t="n"/>
      <c r="C194" s="49" t="n"/>
      <c r="D194" s="49" t="n"/>
      <c r="E194" s="49" t="n"/>
      <c r="F194" s="49" t="n"/>
      <c r="J194" s="49" t="n"/>
      <c r="K194" s="49" t="n"/>
      <c r="L194" s="49" t="n"/>
      <c r="M194" s="49" t="n"/>
      <c r="N194" s="50" t="n"/>
      <c r="O194" s="49" t="n"/>
      <c r="P194" s="50" t="n"/>
    </row>
    <row r="195">
      <c r="B195" s="49" t="n"/>
      <c r="C195" s="49" t="n"/>
      <c r="D195" s="49" t="n"/>
      <c r="E195" s="49" t="n"/>
      <c r="F195" s="49" t="n"/>
      <c r="J195" s="49" t="n"/>
      <c r="K195" s="49" t="n"/>
      <c r="L195" s="49" t="n"/>
      <c r="M195" s="49" t="n"/>
      <c r="N195" s="50" t="n"/>
      <c r="O195" s="49" t="n"/>
      <c r="P195" s="50" t="n"/>
    </row>
    <row r="196">
      <c r="B196" s="49" t="n"/>
      <c r="C196" s="49" t="n"/>
      <c r="D196" s="49" t="n"/>
      <c r="E196" s="49" t="n"/>
      <c r="F196" s="49" t="n"/>
      <c r="J196" s="49" t="n"/>
      <c r="K196" s="49" t="n"/>
      <c r="L196" s="49" t="n"/>
      <c r="M196" s="49" t="n"/>
      <c r="N196" s="50" t="n"/>
      <c r="O196" s="49" t="n"/>
      <c r="P196" s="50" t="n"/>
    </row>
    <row r="197">
      <c r="B197" s="49" t="n"/>
      <c r="C197" s="49" t="n"/>
      <c r="D197" s="49" t="n"/>
      <c r="E197" s="49" t="n"/>
      <c r="F197" s="49" t="n"/>
      <c r="J197" s="49" t="n"/>
      <c r="K197" s="49" t="n"/>
      <c r="L197" s="49" t="n"/>
      <c r="M197" s="49" t="n"/>
      <c r="N197" s="50" t="n"/>
      <c r="O197" s="49" t="n"/>
      <c r="P197" s="50" t="n"/>
    </row>
    <row r="198">
      <c r="B198" s="49" t="n"/>
      <c r="C198" s="49" t="n"/>
      <c r="D198" s="49" t="n"/>
      <c r="E198" s="49" t="n"/>
      <c r="F198" s="49" t="n"/>
      <c r="J198" s="49" t="n"/>
      <c r="K198" s="49" t="n"/>
      <c r="L198" s="49" t="n"/>
      <c r="M198" s="49" t="n"/>
      <c r="N198" s="50" t="n"/>
      <c r="O198" s="49" t="n"/>
      <c r="P198" s="50" t="n"/>
    </row>
    <row r="199">
      <c r="B199" s="49" t="n"/>
      <c r="C199" s="49" t="n"/>
      <c r="D199" s="49" t="n"/>
      <c r="E199" s="49" t="n"/>
      <c r="F199" s="49" t="n"/>
      <c r="J199" s="49" t="n"/>
      <c r="K199" s="49" t="n"/>
      <c r="L199" s="49" t="n"/>
      <c r="M199" s="49" t="n"/>
      <c r="N199" s="50" t="n"/>
      <c r="O199" s="49" t="n"/>
      <c r="P199" s="50" t="n"/>
    </row>
    <row r="200">
      <c r="B200" s="49" t="n"/>
      <c r="C200" s="49" t="n"/>
      <c r="D200" s="49" t="n"/>
      <c r="E200" s="49" t="n"/>
      <c r="F200" s="49" t="n"/>
      <c r="J200" s="49" t="n"/>
      <c r="K200" s="49" t="n"/>
      <c r="L200" s="49" t="n"/>
      <c r="M200" s="49" t="n"/>
      <c r="N200" s="50" t="n"/>
      <c r="O200" s="49" t="n"/>
      <c r="P200" s="50" t="n"/>
    </row>
    <row r="201">
      <c r="B201" s="49" t="n"/>
      <c r="C201" s="49" t="n"/>
      <c r="D201" s="49" t="n"/>
      <c r="E201" s="49" t="n"/>
      <c r="F201" s="49" t="n"/>
      <c r="J201" s="49" t="n"/>
      <c r="K201" s="49" t="n"/>
      <c r="L201" s="49" t="n"/>
      <c r="M201" s="49" t="n"/>
      <c r="N201" s="50" t="n"/>
      <c r="O201" s="49" t="n"/>
      <c r="P201" s="50" t="n"/>
    </row>
    <row r="202">
      <c r="B202" s="49" t="n"/>
      <c r="C202" s="49" t="n"/>
      <c r="D202" s="49" t="n"/>
      <c r="E202" s="49" t="n"/>
      <c r="F202" s="49" t="n"/>
      <c r="J202" s="49" t="n"/>
      <c r="K202" s="49" t="n"/>
      <c r="L202" s="49" t="n"/>
      <c r="M202" s="49" t="n"/>
      <c r="N202" s="50" t="n"/>
      <c r="O202" s="49" t="n"/>
      <c r="P202" s="50" t="n"/>
    </row>
    <row r="203">
      <c r="B203" s="49" t="n"/>
      <c r="C203" s="49" t="n"/>
      <c r="D203" s="49" t="n"/>
      <c r="E203" s="49" t="n"/>
      <c r="F203" s="49" t="n"/>
      <c r="J203" s="49" t="n"/>
      <c r="K203" s="49" t="n"/>
      <c r="L203" s="49" t="n"/>
      <c r="M203" s="49" t="n"/>
      <c r="N203" s="50" t="n"/>
      <c r="O203" s="49" t="n"/>
      <c r="P203" s="50" t="n"/>
    </row>
    <row r="204">
      <c r="B204" s="49" t="n"/>
      <c r="C204" s="49" t="n"/>
      <c r="D204" s="49" t="n"/>
      <c r="E204" s="49" t="n"/>
      <c r="F204" s="49" t="n"/>
      <c r="J204" s="49" t="n"/>
      <c r="K204" s="49" t="n"/>
      <c r="L204" s="49" t="n"/>
      <c r="M204" s="49" t="n"/>
      <c r="N204" s="50" t="n"/>
      <c r="O204" s="49" t="n"/>
      <c r="P204" s="50" t="n"/>
    </row>
    <row r="205">
      <c r="B205" s="49" t="n"/>
      <c r="C205" s="49" t="n"/>
      <c r="D205" s="49" t="n"/>
      <c r="E205" s="49" t="n"/>
      <c r="F205" s="49" t="n"/>
      <c r="J205" s="49" t="n"/>
      <c r="K205" s="49" t="n"/>
      <c r="L205" s="49" t="n"/>
      <c r="M205" s="49" t="n"/>
      <c r="N205" s="50" t="n"/>
      <c r="O205" s="49" t="n"/>
      <c r="P205" s="50" t="n"/>
    </row>
    <row r="206">
      <c r="B206" s="49" t="n"/>
      <c r="C206" s="49" t="n"/>
      <c r="D206" s="49" t="n"/>
      <c r="E206" s="49" t="n"/>
      <c r="F206" s="49" t="n"/>
      <c r="J206" s="49" t="n"/>
      <c r="K206" s="49" t="n"/>
      <c r="L206" s="49" t="n"/>
      <c r="M206" s="49" t="n"/>
      <c r="N206" s="50" t="n"/>
      <c r="O206" s="49" t="n"/>
      <c r="P206" s="50" t="n"/>
    </row>
    <row r="207">
      <c r="B207" s="49" t="n"/>
      <c r="C207" s="49" t="n"/>
      <c r="D207" s="49" t="n"/>
      <c r="E207" s="49" t="n"/>
      <c r="F207" s="49" t="n"/>
      <c r="J207" s="49" t="n"/>
      <c r="K207" s="49" t="n"/>
      <c r="L207" s="49" t="n"/>
      <c r="M207" s="49" t="n"/>
      <c r="N207" s="50" t="n"/>
      <c r="O207" s="49" t="n"/>
      <c r="P207" s="50" t="n"/>
    </row>
    <row r="208">
      <c r="B208" s="49" t="n"/>
      <c r="C208" s="49" t="n"/>
      <c r="D208" s="49" t="n"/>
      <c r="E208" s="49" t="n"/>
      <c r="F208" s="49" t="n"/>
      <c r="J208" s="49" t="n"/>
      <c r="K208" s="49" t="n"/>
      <c r="L208" s="49" t="n"/>
      <c r="M208" s="49" t="n"/>
      <c r="N208" s="50" t="n"/>
      <c r="O208" s="49" t="n"/>
      <c r="P208" s="50" t="n"/>
    </row>
    <row r="209">
      <c r="B209" s="49" t="n"/>
      <c r="C209" s="49" t="n"/>
      <c r="D209" s="49" t="n"/>
      <c r="E209" s="49" t="n"/>
      <c r="F209" s="49" t="n"/>
      <c r="J209" s="49" t="n"/>
      <c r="K209" s="49" t="n"/>
      <c r="L209" s="49" t="n"/>
      <c r="M209" s="49" t="n"/>
      <c r="N209" s="50" t="n"/>
      <c r="O209" s="49" t="n"/>
      <c r="P209" s="50" t="n"/>
    </row>
    <row r="210">
      <c r="B210" s="49" t="n"/>
      <c r="C210" s="49" t="n"/>
      <c r="D210" s="49" t="n"/>
      <c r="E210" s="49" t="n"/>
      <c r="F210" s="49" t="n"/>
      <c r="J210" s="49" t="n"/>
      <c r="K210" s="49" t="n"/>
      <c r="L210" s="49" t="n"/>
      <c r="M210" s="49" t="n"/>
      <c r="N210" s="50" t="n"/>
      <c r="O210" s="49" t="n"/>
      <c r="P210" s="50" t="n"/>
    </row>
    <row r="211">
      <c r="B211" s="49" t="n"/>
      <c r="C211" s="49" t="n"/>
      <c r="D211" s="49" t="n"/>
      <c r="E211" s="49" t="n"/>
      <c r="F211" s="49" t="n"/>
      <c r="J211" s="49" t="n"/>
      <c r="K211" s="49" t="n"/>
      <c r="L211" s="49" t="n"/>
      <c r="M211" s="49" t="n"/>
      <c r="N211" s="50" t="n"/>
      <c r="O211" s="49" t="n"/>
      <c r="P211" s="50" t="n"/>
    </row>
    <row r="212">
      <c r="B212" s="49" t="n"/>
      <c r="C212" s="49" t="n"/>
      <c r="D212" s="49" t="n"/>
      <c r="E212" s="49" t="n"/>
      <c r="F212" s="49" t="n"/>
      <c r="J212" s="49" t="n"/>
      <c r="K212" s="49" t="n"/>
      <c r="L212" s="49" t="n"/>
      <c r="M212" s="49" t="n"/>
      <c r="N212" s="50" t="n"/>
      <c r="O212" s="49" t="n"/>
      <c r="P212" s="50" t="n"/>
    </row>
    <row r="213">
      <c r="B213" s="49" t="n"/>
      <c r="C213" s="49" t="n"/>
      <c r="D213" s="49" t="n"/>
      <c r="E213" s="49" t="n"/>
      <c r="F213" s="49" t="n"/>
      <c r="J213" s="49" t="n"/>
      <c r="K213" s="49" t="n"/>
      <c r="L213" s="49" t="n"/>
      <c r="M213" s="49" t="n"/>
      <c r="N213" s="50" t="n"/>
      <c r="O213" s="49" t="n"/>
      <c r="P213" s="50" t="n"/>
    </row>
    <row r="214">
      <c r="B214" s="49" t="n"/>
      <c r="C214" s="49" t="n"/>
      <c r="D214" s="49" t="n"/>
      <c r="E214" s="49" t="n"/>
      <c r="F214" s="49" t="n"/>
      <c r="J214" s="49" t="n"/>
      <c r="K214" s="49" t="n"/>
      <c r="L214" s="49" t="n"/>
      <c r="M214" s="49" t="n"/>
      <c r="N214" s="50" t="n"/>
      <c r="O214" s="49" t="n"/>
      <c r="P214" s="50" t="n"/>
    </row>
    <row r="215">
      <c r="B215" s="49" t="n"/>
      <c r="C215" s="49" t="n"/>
      <c r="D215" s="49" t="n"/>
      <c r="E215" s="49" t="n"/>
      <c r="F215" s="49" t="n"/>
      <c r="J215" s="49" t="n"/>
      <c r="K215" s="49" t="n"/>
      <c r="L215" s="49" t="n"/>
      <c r="M215" s="49" t="n"/>
      <c r="N215" s="50" t="n"/>
      <c r="O215" s="49" t="n"/>
      <c r="P215" s="50" t="n"/>
    </row>
    <row r="216">
      <c r="B216" s="49" t="n"/>
      <c r="C216" s="49" t="n"/>
      <c r="D216" s="49" t="n"/>
      <c r="E216" s="49" t="n"/>
      <c r="F216" s="49" t="n"/>
      <c r="J216" s="49" t="n"/>
      <c r="K216" s="49" t="n"/>
      <c r="L216" s="49" t="n"/>
      <c r="M216" s="49" t="n"/>
      <c r="N216" s="50" t="n"/>
      <c r="O216" s="49" t="n"/>
      <c r="P216" s="50" t="n"/>
    </row>
    <row r="217">
      <c r="B217" s="49" t="n"/>
      <c r="C217" s="49" t="n"/>
      <c r="D217" s="49" t="n"/>
      <c r="E217" s="49" t="n"/>
      <c r="F217" s="49" t="n"/>
      <c r="J217" s="49" t="n"/>
      <c r="K217" s="49" t="n"/>
      <c r="L217" s="49" t="n"/>
      <c r="M217" s="49" t="n"/>
      <c r="N217" s="50" t="n"/>
      <c r="O217" s="49" t="n"/>
      <c r="P217" s="50" t="n"/>
    </row>
    <row r="218">
      <c r="B218" s="49" t="n"/>
      <c r="C218" s="49" t="n"/>
      <c r="D218" s="49" t="n"/>
      <c r="E218" s="49" t="n"/>
      <c r="F218" s="49" t="n"/>
      <c r="J218" s="49" t="n"/>
      <c r="K218" s="49" t="n"/>
      <c r="L218" s="49" t="n"/>
      <c r="M218" s="49" t="n"/>
      <c r="N218" s="50" t="n"/>
      <c r="O218" s="49" t="n"/>
      <c r="P218" s="50" t="n"/>
    </row>
    <row r="219">
      <c r="B219" s="49" t="n"/>
      <c r="C219" s="49" t="n"/>
      <c r="D219" s="49" t="n"/>
      <c r="E219" s="49" t="n"/>
      <c r="F219" s="49" t="n"/>
      <c r="J219" s="49" t="n"/>
      <c r="K219" s="49" t="n"/>
      <c r="L219" s="49" t="n"/>
      <c r="M219" s="49" t="n"/>
      <c r="N219" s="50" t="n"/>
      <c r="O219" s="49" t="n"/>
      <c r="P219" s="50" t="n"/>
    </row>
    <row r="220">
      <c r="B220" s="49" t="n"/>
      <c r="C220" s="49" t="n"/>
      <c r="D220" s="49" t="n"/>
      <c r="E220" s="49" t="n"/>
      <c r="F220" s="49" t="n"/>
      <c r="J220" s="49" t="n"/>
      <c r="K220" s="49" t="n"/>
      <c r="L220" s="49" t="n"/>
      <c r="M220" s="49" t="n"/>
      <c r="N220" s="50" t="n"/>
      <c r="O220" s="49" t="n"/>
      <c r="P220" s="50" t="n"/>
    </row>
    <row r="221">
      <c r="B221" s="49" t="n"/>
      <c r="C221" s="49" t="n"/>
      <c r="D221" s="49" t="n"/>
      <c r="E221" s="49" t="n"/>
      <c r="F221" s="49" t="n"/>
      <c r="J221" s="49" t="n"/>
      <c r="K221" s="49" t="n"/>
      <c r="L221" s="49" t="n"/>
      <c r="M221" s="49" t="n"/>
      <c r="N221" s="50" t="n"/>
      <c r="O221" s="49" t="n"/>
      <c r="P221" s="50" t="n"/>
    </row>
    <row r="222">
      <c r="B222" s="49" t="n"/>
      <c r="C222" s="49" t="n"/>
      <c r="D222" s="49" t="n"/>
      <c r="E222" s="49" t="n"/>
      <c r="F222" s="49" t="n"/>
      <c r="J222" s="49" t="n"/>
      <c r="K222" s="49" t="n"/>
      <c r="L222" s="49" t="n"/>
      <c r="M222" s="49" t="n"/>
      <c r="N222" s="50" t="n"/>
      <c r="O222" s="49" t="n"/>
      <c r="P222" s="50" t="n"/>
    </row>
    <row r="223">
      <c r="B223" s="49" t="n"/>
      <c r="C223" s="49" t="n"/>
      <c r="D223" s="49" t="n"/>
      <c r="E223" s="49" t="n"/>
      <c r="F223" s="49" t="n"/>
      <c r="J223" s="49" t="n"/>
      <c r="K223" s="49" t="n"/>
      <c r="L223" s="49" t="n"/>
      <c r="M223" s="49" t="n"/>
      <c r="N223" s="50" t="n"/>
      <c r="O223" s="49" t="n"/>
      <c r="P223" s="50" t="n"/>
    </row>
    <row r="224">
      <c r="B224" s="49" t="n"/>
      <c r="C224" s="49" t="n"/>
      <c r="D224" s="49" t="n"/>
      <c r="E224" s="49" t="n"/>
      <c r="F224" s="49" t="n"/>
      <c r="J224" s="49" t="n"/>
      <c r="K224" s="49" t="n"/>
      <c r="L224" s="49" t="n"/>
      <c r="M224" s="49" t="n"/>
      <c r="N224" s="50" t="n"/>
      <c r="O224" s="49" t="n"/>
      <c r="P224" s="50" t="n"/>
    </row>
    <row r="225">
      <c r="B225" s="49" t="n"/>
      <c r="C225" s="49" t="n"/>
      <c r="D225" s="49" t="n"/>
      <c r="E225" s="49" t="n"/>
      <c r="F225" s="49" t="n"/>
      <c r="J225" s="49" t="n"/>
      <c r="K225" s="49" t="n"/>
      <c r="L225" s="49" t="n"/>
      <c r="M225" s="49" t="n"/>
      <c r="N225" s="50" t="n"/>
      <c r="O225" s="49" t="n"/>
      <c r="P225" s="50" t="n"/>
    </row>
    <row r="226">
      <c r="B226" s="49" t="n"/>
      <c r="C226" s="49" t="n"/>
      <c r="D226" s="49" t="n"/>
      <c r="E226" s="49" t="n"/>
      <c r="F226" s="49" t="n"/>
      <c r="J226" s="49" t="n"/>
      <c r="K226" s="49" t="n"/>
      <c r="L226" s="49" t="n"/>
      <c r="M226" s="49" t="n"/>
      <c r="N226" s="50" t="n"/>
      <c r="O226" s="49" t="n"/>
      <c r="P226" s="50" t="n"/>
    </row>
    <row r="227">
      <c r="B227" s="49" t="n"/>
      <c r="C227" s="49" t="n"/>
      <c r="D227" s="49" t="n"/>
      <c r="E227" s="49" t="n"/>
      <c r="F227" s="49" t="n"/>
      <c r="J227" s="49" t="n"/>
      <c r="K227" s="49" t="n"/>
      <c r="L227" s="49" t="n"/>
      <c r="M227" s="49" t="n"/>
      <c r="N227" s="50" t="n"/>
      <c r="O227" s="49" t="n"/>
      <c r="P227" s="50" t="n"/>
    </row>
    <row r="228">
      <c r="B228" s="49" t="n"/>
      <c r="C228" s="49" t="n"/>
      <c r="D228" s="49" t="n"/>
      <c r="E228" s="49" t="n"/>
      <c r="F228" s="49" t="n"/>
      <c r="J228" s="49" t="n"/>
      <c r="K228" s="49" t="n"/>
      <c r="L228" s="49" t="n"/>
      <c r="M228" s="49" t="n"/>
      <c r="N228" s="50" t="n"/>
      <c r="O228" s="49" t="n"/>
      <c r="P228" s="50" t="n"/>
    </row>
    <row r="229">
      <c r="B229" s="49" t="n"/>
      <c r="C229" s="49" t="n"/>
      <c r="D229" s="49" t="n"/>
      <c r="E229" s="49" t="n"/>
      <c r="F229" s="49" t="n"/>
      <c r="J229" s="49" t="n"/>
      <c r="K229" s="49" t="n"/>
      <c r="L229" s="49" t="n"/>
      <c r="M229" s="49" t="n"/>
      <c r="N229" s="50" t="n"/>
      <c r="O229" s="49" t="n"/>
      <c r="P229" s="50" t="n"/>
    </row>
    <row r="230">
      <c r="B230" s="49" t="n"/>
      <c r="C230" s="49" t="n"/>
      <c r="D230" s="49" t="n"/>
      <c r="E230" s="49" t="n"/>
      <c r="F230" s="49" t="n"/>
      <c r="J230" s="49" t="n"/>
      <c r="K230" s="49" t="n"/>
      <c r="L230" s="49" t="n"/>
      <c r="M230" s="49" t="n"/>
      <c r="N230" s="50" t="n"/>
      <c r="O230" s="49" t="n"/>
      <c r="P230" s="50" t="n"/>
    </row>
    <row r="231">
      <c r="B231" s="49" t="n"/>
      <c r="C231" s="49" t="n"/>
      <c r="D231" s="49" t="n"/>
      <c r="E231" s="49" t="n"/>
      <c r="F231" s="49" t="n"/>
      <c r="J231" s="49" t="n"/>
      <c r="K231" s="49" t="n"/>
      <c r="L231" s="49" t="n"/>
      <c r="M231" s="49" t="n"/>
      <c r="N231" s="50" t="n"/>
      <c r="O231" s="49" t="n"/>
      <c r="P231" s="50" t="n"/>
    </row>
    <row r="232">
      <c r="B232" s="49" t="n"/>
      <c r="C232" s="49" t="n"/>
      <c r="D232" s="49" t="n"/>
      <c r="E232" s="49" t="n"/>
      <c r="F232" s="49" t="n"/>
      <c r="J232" s="49" t="n"/>
      <c r="K232" s="49" t="n"/>
      <c r="L232" s="49" t="n"/>
      <c r="M232" s="49" t="n"/>
      <c r="N232" s="50" t="n"/>
      <c r="O232" s="49" t="n"/>
      <c r="P232" s="50" t="n"/>
    </row>
    <row r="233">
      <c r="B233" s="49" t="n"/>
      <c r="C233" s="49" t="n"/>
      <c r="D233" s="49" t="n"/>
      <c r="E233" s="49" t="n"/>
      <c r="F233" s="49" t="n"/>
      <c r="J233" s="49" t="n"/>
      <c r="K233" s="49" t="n"/>
      <c r="L233" s="49" t="n"/>
      <c r="M233" s="49" t="n"/>
      <c r="N233" s="50" t="n"/>
      <c r="O233" s="49" t="n"/>
      <c r="P233" s="50" t="n"/>
    </row>
    <row r="234">
      <c r="B234" s="49" t="n"/>
      <c r="C234" s="49" t="n"/>
      <c r="D234" s="49" t="n"/>
      <c r="E234" s="49" t="n"/>
      <c r="F234" s="49" t="n"/>
      <c r="J234" s="49" t="n"/>
      <c r="K234" s="49" t="n"/>
      <c r="L234" s="49" t="n"/>
      <c r="M234" s="49" t="n"/>
      <c r="N234" s="50" t="n"/>
      <c r="O234" s="49" t="n"/>
      <c r="P234" s="50" t="n"/>
    </row>
    <row r="235">
      <c r="B235" s="49" t="n"/>
      <c r="C235" s="49" t="n"/>
      <c r="D235" s="49" t="n"/>
      <c r="E235" s="49" t="n"/>
      <c r="F235" s="49" t="n"/>
      <c r="J235" s="49" t="n"/>
      <c r="K235" s="49" t="n"/>
      <c r="L235" s="49" t="n"/>
      <c r="M235" s="49" t="n"/>
      <c r="N235" s="50" t="n"/>
      <c r="O235" s="49" t="n"/>
      <c r="P235" s="50" t="n"/>
    </row>
    <row r="236">
      <c r="B236" s="49" t="n"/>
      <c r="C236" s="49" t="n"/>
      <c r="D236" s="49" t="n"/>
      <c r="E236" s="49" t="n"/>
      <c r="F236" s="49" t="n"/>
      <c r="J236" s="49" t="n"/>
      <c r="K236" s="49" t="n"/>
      <c r="L236" s="49" t="n"/>
      <c r="M236" s="49" t="n"/>
      <c r="N236" s="50" t="n"/>
      <c r="O236" s="49" t="n"/>
      <c r="P236" s="50" t="n"/>
    </row>
    <row r="237">
      <c r="B237" s="49" t="n"/>
      <c r="C237" s="49" t="n"/>
      <c r="D237" s="49" t="n"/>
      <c r="E237" s="49" t="n"/>
      <c r="F237" s="49" t="n"/>
      <c r="J237" s="49" t="n"/>
      <c r="K237" s="49" t="n"/>
      <c r="L237" s="49" t="n"/>
      <c r="M237" s="49" t="n"/>
      <c r="N237" s="50" t="n"/>
      <c r="O237" s="49" t="n"/>
      <c r="P237" s="50" t="n"/>
    </row>
    <row r="238">
      <c r="B238" s="49" t="n"/>
      <c r="C238" s="49" t="n"/>
      <c r="D238" s="49" t="n"/>
      <c r="E238" s="49" t="n"/>
      <c r="F238" s="49" t="n"/>
      <c r="J238" s="49" t="n"/>
      <c r="K238" s="49" t="n"/>
      <c r="L238" s="49" t="n"/>
      <c r="M238" s="49" t="n"/>
      <c r="N238" s="50" t="n"/>
      <c r="O238" s="49" t="n"/>
      <c r="P238" s="50" t="n"/>
    </row>
    <row r="239">
      <c r="B239" s="49" t="n"/>
      <c r="C239" s="49" t="n"/>
      <c r="D239" s="49" t="n"/>
      <c r="E239" s="49" t="n"/>
      <c r="F239" s="49" t="n"/>
      <c r="J239" s="49" t="n"/>
      <c r="K239" s="49" t="n"/>
      <c r="L239" s="49" t="n"/>
      <c r="M239" s="49" t="n"/>
      <c r="N239" s="50" t="n"/>
      <c r="O239" s="49" t="n"/>
      <c r="P239" s="50" t="n"/>
    </row>
    <row r="240">
      <c r="B240" s="49" t="n"/>
      <c r="C240" s="49" t="n"/>
      <c r="D240" s="49" t="n"/>
      <c r="E240" s="49" t="n"/>
      <c r="F240" s="49" t="n"/>
      <c r="J240" s="49" t="n"/>
      <c r="K240" s="49" t="n"/>
      <c r="L240" s="49" t="n"/>
      <c r="M240" s="49" t="n"/>
      <c r="N240" s="50" t="n"/>
      <c r="O240" s="49" t="n"/>
      <c r="P240" s="50" t="n"/>
    </row>
    <row r="241">
      <c r="B241" s="49" t="n"/>
      <c r="C241" s="49" t="n"/>
      <c r="D241" s="49" t="n"/>
      <c r="E241" s="49" t="n"/>
      <c r="F241" s="49" t="n"/>
      <c r="J241" s="49" t="n"/>
      <c r="K241" s="49" t="n"/>
      <c r="L241" s="49" t="n"/>
      <c r="M241" s="49" t="n"/>
      <c r="N241" s="50" t="n"/>
      <c r="O241" s="49" t="n"/>
      <c r="P241" s="50" t="n"/>
    </row>
    <row r="242">
      <c r="B242" s="49" t="n"/>
      <c r="C242" s="49" t="n"/>
      <c r="D242" s="49" t="n"/>
      <c r="E242" s="49" t="n"/>
      <c r="F242" s="49" t="n"/>
      <c r="J242" s="49" t="n"/>
      <c r="K242" s="49" t="n"/>
      <c r="L242" s="49" t="n"/>
      <c r="M242" s="49" t="n"/>
      <c r="N242" s="50" t="n"/>
      <c r="O242" s="49" t="n"/>
      <c r="P242" s="50" t="n"/>
    </row>
    <row r="243">
      <c r="B243" s="49" t="n"/>
      <c r="C243" s="49" t="n"/>
      <c r="D243" s="49" t="n"/>
      <c r="E243" s="49" t="n"/>
      <c r="F243" s="49" t="n"/>
      <c r="J243" s="49" t="n"/>
      <c r="K243" s="49" t="n"/>
      <c r="L243" s="49" t="n"/>
      <c r="M243" s="49" t="n"/>
      <c r="N243" s="50" t="n"/>
      <c r="O243" s="49" t="n"/>
      <c r="P243" s="50" t="n"/>
    </row>
    <row r="244">
      <c r="B244" s="49" t="n"/>
      <c r="C244" s="49" t="n"/>
      <c r="D244" s="49" t="n"/>
      <c r="E244" s="49" t="n"/>
      <c r="F244" s="49" t="n"/>
      <c r="J244" s="49" t="n"/>
      <c r="K244" s="49" t="n"/>
      <c r="L244" s="49" t="n"/>
      <c r="M244" s="49" t="n"/>
      <c r="N244" s="50" t="n"/>
      <c r="O244" s="49" t="n"/>
      <c r="P244" s="50" t="n"/>
    </row>
    <row r="245">
      <c r="B245" s="49" t="n"/>
      <c r="C245" s="49" t="n"/>
      <c r="D245" s="49" t="n"/>
      <c r="E245" s="49" t="n"/>
      <c r="F245" s="49" t="n"/>
      <c r="J245" s="49" t="n"/>
      <c r="K245" s="49" t="n"/>
      <c r="L245" s="49" t="n"/>
      <c r="M245" s="49" t="n"/>
      <c r="N245" s="50" t="n"/>
      <c r="O245" s="49" t="n"/>
      <c r="P245" s="50" t="n"/>
    </row>
    <row r="246">
      <c r="B246" s="49" t="n"/>
      <c r="C246" s="49" t="n"/>
      <c r="D246" s="49" t="n"/>
      <c r="E246" s="49" t="n"/>
      <c r="F246" s="49" t="n"/>
      <c r="J246" s="49" t="n"/>
      <c r="K246" s="49" t="n"/>
      <c r="L246" s="49" t="n"/>
      <c r="M246" s="49" t="n"/>
      <c r="N246" s="50" t="n"/>
      <c r="O246" s="49" t="n"/>
      <c r="P246" s="50" t="n"/>
    </row>
    <row r="247">
      <c r="B247" s="49" t="n"/>
      <c r="C247" s="49" t="n"/>
      <c r="D247" s="49" t="n"/>
      <c r="E247" s="49" t="n"/>
      <c r="F247" s="49" t="n"/>
      <c r="J247" s="49" t="n"/>
      <c r="K247" s="49" t="n"/>
      <c r="L247" s="49" t="n"/>
      <c r="M247" s="49" t="n"/>
      <c r="N247" s="50" t="n"/>
      <c r="O247" s="49" t="n"/>
      <c r="P247" s="50" t="n"/>
    </row>
    <row r="248">
      <c r="B248" s="49" t="n"/>
      <c r="C248" s="49" t="n"/>
      <c r="D248" s="49" t="n"/>
      <c r="E248" s="49" t="n"/>
      <c r="F248" s="49" t="n"/>
      <c r="J248" s="49" t="n"/>
      <c r="K248" s="49" t="n"/>
      <c r="L248" s="49" t="n"/>
      <c r="M248" s="49" t="n"/>
      <c r="N248" s="50" t="n"/>
      <c r="O248" s="49" t="n"/>
      <c r="P248" s="50" t="n"/>
    </row>
    <row r="249">
      <c r="B249" s="49" t="n"/>
      <c r="C249" s="49" t="n"/>
      <c r="D249" s="49" t="n"/>
      <c r="E249" s="49" t="n"/>
      <c r="F249" s="49" t="n"/>
      <c r="J249" s="49" t="n"/>
      <c r="K249" s="49" t="n"/>
      <c r="L249" s="49" t="n"/>
      <c r="M249" s="49" t="n"/>
      <c r="N249" s="50" t="n"/>
      <c r="O249" s="49" t="n"/>
      <c r="P249" s="50" t="n"/>
    </row>
    <row r="250">
      <c r="B250" s="49" t="n"/>
      <c r="C250" s="49" t="n"/>
      <c r="D250" s="49" t="n"/>
      <c r="E250" s="49" t="n"/>
      <c r="F250" s="49" t="n"/>
      <c r="J250" s="49" t="n"/>
      <c r="K250" s="49" t="n"/>
      <c r="L250" s="49" t="n"/>
      <c r="M250" s="49" t="n"/>
      <c r="N250" s="50" t="n"/>
      <c r="O250" s="49" t="n"/>
      <c r="P250" s="50" t="n"/>
    </row>
    <row r="251">
      <c r="B251" s="49" t="n"/>
      <c r="C251" s="49" t="n"/>
      <c r="D251" s="49" t="n"/>
      <c r="E251" s="49" t="n"/>
      <c r="F251" s="49" t="n"/>
      <c r="J251" s="49" t="n"/>
      <c r="K251" s="49" t="n"/>
      <c r="L251" s="49" t="n"/>
      <c r="M251" s="49" t="n"/>
      <c r="N251" s="50" t="n"/>
      <c r="O251" s="49" t="n"/>
      <c r="P251" s="50" t="n"/>
    </row>
    <row r="252">
      <c r="B252" s="49" t="n"/>
      <c r="C252" s="49" t="n"/>
      <c r="D252" s="49" t="n"/>
      <c r="E252" s="49" t="n"/>
      <c r="F252" s="49" t="n"/>
      <c r="J252" s="49" t="n"/>
      <c r="K252" s="49" t="n"/>
      <c r="L252" s="49" t="n"/>
      <c r="M252" s="49" t="n"/>
      <c r="N252" s="50" t="n"/>
      <c r="O252" s="49" t="n"/>
      <c r="P252" s="50" t="n"/>
    </row>
    <row r="253">
      <c r="B253" s="49" t="n"/>
      <c r="C253" s="49" t="n"/>
      <c r="D253" s="49" t="n"/>
      <c r="E253" s="49" t="n"/>
      <c r="F253" s="49" t="n"/>
      <c r="J253" s="49" t="n"/>
      <c r="K253" s="49" t="n"/>
      <c r="L253" s="49" t="n"/>
      <c r="M253" s="49" t="n"/>
      <c r="N253" s="50" t="n"/>
      <c r="O253" s="49" t="n"/>
      <c r="P253" s="50" t="n"/>
    </row>
    <row r="254">
      <c r="B254" s="49" t="n"/>
      <c r="C254" s="49" t="n"/>
      <c r="D254" s="49" t="n"/>
      <c r="E254" s="49" t="n"/>
      <c r="F254" s="49" t="n"/>
      <c r="J254" s="49" t="n"/>
      <c r="K254" s="49" t="n"/>
      <c r="L254" s="49" t="n"/>
      <c r="M254" s="49" t="n"/>
      <c r="N254" s="50" t="n"/>
      <c r="O254" s="49" t="n"/>
      <c r="P254" s="50" t="n"/>
    </row>
    <row r="255">
      <c r="B255" s="49" t="n"/>
      <c r="C255" s="49" t="n"/>
      <c r="D255" s="49" t="n"/>
      <c r="E255" s="49" t="n"/>
      <c r="F255" s="49" t="n"/>
      <c r="J255" s="49" t="n"/>
      <c r="K255" s="49" t="n"/>
      <c r="L255" s="49" t="n"/>
      <c r="M255" s="49" t="n"/>
      <c r="N255" s="50" t="n"/>
      <c r="O255" s="49" t="n"/>
      <c r="P255" s="50" t="n"/>
    </row>
    <row r="256">
      <c r="B256" s="49" t="n"/>
      <c r="C256" s="49" t="n"/>
      <c r="D256" s="49" t="n"/>
      <c r="E256" s="49" t="n"/>
      <c r="F256" s="49" t="n"/>
      <c r="J256" s="49" t="n"/>
      <c r="K256" s="49" t="n"/>
      <c r="L256" s="49" t="n"/>
      <c r="M256" s="49" t="n"/>
      <c r="N256" s="50" t="n"/>
      <c r="O256" s="49" t="n"/>
      <c r="P256" s="50" t="n"/>
    </row>
    <row r="257">
      <c r="B257" s="49" t="n"/>
      <c r="C257" s="49" t="n"/>
      <c r="D257" s="49" t="n"/>
      <c r="E257" s="49" t="n"/>
      <c r="F257" s="49" t="n"/>
      <c r="J257" s="49" t="n"/>
      <c r="K257" s="49" t="n"/>
      <c r="L257" s="49" t="n"/>
      <c r="M257" s="49" t="n"/>
      <c r="N257" s="50" t="n"/>
      <c r="O257" s="49" t="n"/>
      <c r="P257" s="50" t="n"/>
    </row>
    <row r="258">
      <c r="B258" s="49" t="n"/>
      <c r="C258" s="49" t="n"/>
      <c r="D258" s="49" t="n"/>
      <c r="E258" s="49" t="n"/>
      <c r="F258" s="49" t="n"/>
      <c r="J258" s="49" t="n"/>
      <c r="K258" s="49" t="n"/>
      <c r="L258" s="49" t="n"/>
      <c r="M258" s="49" t="n"/>
      <c r="N258" s="50" t="n"/>
      <c r="O258" s="49" t="n"/>
      <c r="P258" s="50" t="n"/>
    </row>
    <row r="259">
      <c r="B259" s="49" t="n"/>
      <c r="C259" s="49" t="n"/>
      <c r="D259" s="49" t="n"/>
      <c r="E259" s="49" t="n"/>
      <c r="F259" s="49" t="n"/>
      <c r="J259" s="49" t="n"/>
      <c r="K259" s="49" t="n"/>
      <c r="L259" s="49" t="n"/>
      <c r="M259" s="49" t="n"/>
      <c r="N259" s="50" t="n"/>
      <c r="O259" s="49" t="n"/>
      <c r="P259" s="50" t="n"/>
    </row>
    <row r="260">
      <c r="B260" s="49" t="n"/>
      <c r="C260" s="49" t="n"/>
      <c r="D260" s="49" t="n"/>
      <c r="E260" s="49" t="n"/>
      <c r="F260" s="49" t="n"/>
      <c r="J260" s="49" t="n"/>
      <c r="K260" s="49" t="n"/>
      <c r="L260" s="49" t="n"/>
      <c r="M260" s="49" t="n"/>
      <c r="N260" s="50" t="n"/>
      <c r="O260" s="49" t="n"/>
      <c r="P260" s="50" t="n"/>
    </row>
    <row r="261">
      <c r="B261" s="49" t="n"/>
      <c r="C261" s="49" t="n"/>
      <c r="D261" s="49" t="n"/>
      <c r="E261" s="49" t="n"/>
      <c r="F261" s="49" t="n"/>
      <c r="J261" s="49" t="n"/>
      <c r="K261" s="49" t="n"/>
      <c r="L261" s="49" t="n"/>
      <c r="M261" s="49" t="n"/>
      <c r="N261" s="50" t="n"/>
      <c r="O261" s="49" t="n"/>
      <c r="P261" s="50" t="n"/>
    </row>
    <row r="262">
      <c r="B262" s="49" t="n"/>
      <c r="C262" s="49" t="n"/>
      <c r="D262" s="49" t="n"/>
      <c r="E262" s="49" t="n"/>
      <c r="F262" s="49" t="n"/>
      <c r="J262" s="49" t="n"/>
      <c r="K262" s="49" t="n"/>
      <c r="L262" s="49" t="n"/>
      <c r="M262" s="49" t="n"/>
      <c r="N262" s="50" t="n"/>
      <c r="O262" s="49" t="n"/>
      <c r="P262" s="50" t="n"/>
    </row>
    <row r="263">
      <c r="B263" s="49" t="n"/>
      <c r="C263" s="49" t="n"/>
      <c r="D263" s="49" t="n"/>
      <c r="E263" s="49" t="n"/>
      <c r="F263" s="49" t="n"/>
      <c r="J263" s="49" t="n"/>
      <c r="K263" s="49" t="n"/>
      <c r="L263" s="49" t="n"/>
      <c r="M263" s="49" t="n"/>
      <c r="N263" s="50" t="n"/>
      <c r="O263" s="49" t="n"/>
      <c r="P263" s="50" t="n"/>
    </row>
    <row r="264">
      <c r="B264" s="49" t="n"/>
      <c r="C264" s="49" t="n"/>
      <c r="D264" s="49" t="n"/>
      <c r="E264" s="49" t="n"/>
      <c r="F264" s="49" t="n"/>
      <c r="J264" s="49" t="n"/>
      <c r="K264" s="49" t="n"/>
      <c r="L264" s="49" t="n"/>
      <c r="M264" s="49" t="n"/>
      <c r="N264" s="50" t="n"/>
      <c r="O264" s="49" t="n"/>
      <c r="P264" s="50" t="n"/>
    </row>
    <row r="265">
      <c r="B265" s="49" t="n"/>
      <c r="C265" s="49" t="n"/>
      <c r="D265" s="49" t="n"/>
      <c r="E265" s="49" t="n"/>
      <c r="F265" s="49" t="n"/>
      <c r="J265" s="49" t="n"/>
      <c r="K265" s="49" t="n"/>
      <c r="L265" s="49" t="n"/>
      <c r="M265" s="49" t="n"/>
      <c r="N265" s="50" t="n"/>
      <c r="O265" s="49" t="n"/>
      <c r="P265" s="50" t="n"/>
    </row>
    <row r="266">
      <c r="B266" s="49" t="n"/>
      <c r="C266" s="49" t="n"/>
      <c r="D266" s="49" t="n"/>
      <c r="E266" s="49" t="n"/>
      <c r="F266" s="49" t="n"/>
      <c r="J266" s="49" t="n"/>
      <c r="K266" s="49" t="n"/>
      <c r="L266" s="49" t="n"/>
      <c r="M266" s="49" t="n"/>
      <c r="N266" s="50" t="n"/>
      <c r="O266" s="49" t="n"/>
      <c r="P266" s="50" t="n"/>
    </row>
    <row r="267">
      <c r="B267" s="49" t="n"/>
      <c r="C267" s="49" t="n"/>
      <c r="D267" s="49" t="n"/>
      <c r="E267" s="49" t="n"/>
      <c r="F267" s="49" t="n"/>
      <c r="J267" s="49" t="n"/>
      <c r="K267" s="49" t="n"/>
      <c r="L267" s="49" t="n"/>
      <c r="M267" s="49" t="n"/>
      <c r="N267" s="50" t="n"/>
      <c r="O267" s="49" t="n"/>
      <c r="P267" s="50" t="n"/>
    </row>
    <row r="268">
      <c r="B268" s="49" t="n"/>
      <c r="C268" s="49" t="n"/>
      <c r="D268" s="49" t="n"/>
      <c r="E268" s="49" t="n"/>
      <c r="F268" s="49" t="n"/>
      <c r="J268" s="49" t="n"/>
      <c r="K268" s="49" t="n"/>
      <c r="L268" s="49" t="n"/>
      <c r="M268" s="49" t="n"/>
      <c r="N268" s="50" t="n"/>
      <c r="O268" s="49" t="n"/>
      <c r="P268" s="50" t="n"/>
    </row>
    <row r="269">
      <c r="B269" s="49" t="n"/>
      <c r="C269" s="49" t="n"/>
      <c r="D269" s="49" t="n"/>
      <c r="E269" s="49" t="n"/>
      <c r="F269" s="49" t="n"/>
      <c r="J269" s="49" t="n"/>
      <c r="K269" s="49" t="n"/>
      <c r="L269" s="49" t="n"/>
      <c r="M269" s="49" t="n"/>
      <c r="N269" s="50" t="n"/>
      <c r="O269" s="49" t="n"/>
      <c r="P269" s="50" t="n"/>
    </row>
    <row r="270">
      <c r="B270" s="49" t="n"/>
      <c r="C270" s="49" t="n"/>
      <c r="D270" s="49" t="n"/>
      <c r="E270" s="49" t="n"/>
      <c r="F270" s="49" t="n"/>
      <c r="J270" s="49" t="n"/>
      <c r="K270" s="49" t="n"/>
      <c r="L270" s="49" t="n"/>
      <c r="M270" s="49" t="n"/>
      <c r="N270" s="50" t="n"/>
      <c r="O270" s="49" t="n"/>
      <c r="P270" s="50" t="n"/>
    </row>
    <row r="271">
      <c r="B271" s="49" t="n"/>
      <c r="C271" s="49" t="n"/>
      <c r="D271" s="49" t="n"/>
      <c r="E271" s="49" t="n"/>
      <c r="F271" s="49" t="n"/>
      <c r="J271" s="49" t="n"/>
      <c r="K271" s="49" t="n"/>
      <c r="L271" s="49" t="n"/>
      <c r="M271" s="49" t="n"/>
      <c r="N271" s="50" t="n"/>
      <c r="O271" s="49" t="n"/>
      <c r="P271" s="50" t="n"/>
    </row>
    <row r="272">
      <c r="B272" s="49" t="n"/>
      <c r="C272" s="49" t="n"/>
      <c r="D272" s="49" t="n"/>
      <c r="E272" s="49" t="n"/>
      <c r="F272" s="49" t="n"/>
      <c r="J272" s="49" t="n"/>
      <c r="K272" s="49" t="n"/>
      <c r="L272" s="49" t="n"/>
      <c r="M272" s="49" t="n"/>
      <c r="N272" s="50" t="n"/>
      <c r="O272" s="49" t="n"/>
      <c r="P272" s="50" t="n"/>
    </row>
    <row r="273">
      <c r="B273" s="49" t="n"/>
      <c r="C273" s="49" t="n"/>
      <c r="D273" s="49" t="n"/>
      <c r="E273" s="49" t="n"/>
      <c r="F273" s="49" t="n"/>
      <c r="J273" s="49" t="n"/>
      <c r="K273" s="49" t="n"/>
      <c r="L273" s="49" t="n"/>
      <c r="M273" s="49" t="n"/>
      <c r="N273" s="50" t="n"/>
      <c r="O273" s="49" t="n"/>
      <c r="P273" s="50" t="n"/>
    </row>
    <row r="274">
      <c r="B274" s="49" t="n"/>
      <c r="C274" s="49" t="n"/>
      <c r="D274" s="49" t="n"/>
      <c r="E274" s="49" t="n"/>
      <c r="F274" s="49" t="n"/>
      <c r="J274" s="49" t="n"/>
      <c r="K274" s="49" t="n"/>
      <c r="L274" s="49" t="n"/>
      <c r="M274" s="49" t="n"/>
      <c r="N274" s="50" t="n"/>
      <c r="O274" s="49" t="n"/>
      <c r="P274" s="50" t="n"/>
    </row>
    <row r="275">
      <c r="B275" s="49" t="n"/>
      <c r="C275" s="49" t="n"/>
      <c r="D275" s="49" t="n"/>
      <c r="E275" s="49" t="n"/>
      <c r="F275" s="49" t="n"/>
      <c r="J275" s="49" t="n"/>
      <c r="K275" s="49" t="n"/>
      <c r="L275" s="49" t="n"/>
      <c r="M275" s="49" t="n"/>
      <c r="N275" s="50" t="n"/>
      <c r="O275" s="49" t="n"/>
      <c r="P275" s="50" t="n"/>
    </row>
    <row r="276">
      <c r="B276" s="49" t="n"/>
      <c r="C276" s="49" t="n"/>
      <c r="D276" s="49" t="n"/>
      <c r="E276" s="49" t="n"/>
      <c r="F276" s="49" t="n"/>
      <c r="J276" s="49" t="n"/>
      <c r="K276" s="49" t="n"/>
      <c r="L276" s="49" t="n"/>
      <c r="M276" s="49" t="n"/>
      <c r="N276" s="50" t="n"/>
      <c r="O276" s="49" t="n"/>
      <c r="P276" s="50" t="n"/>
    </row>
    <row r="277">
      <c r="B277" s="49" t="n"/>
      <c r="C277" s="49" t="n"/>
      <c r="D277" s="49" t="n"/>
      <c r="E277" s="49" t="n"/>
      <c r="F277" s="49" t="n"/>
      <c r="J277" s="49" t="n"/>
      <c r="K277" s="49" t="n"/>
      <c r="L277" s="49" t="n"/>
      <c r="M277" s="49" t="n"/>
      <c r="N277" s="50" t="n"/>
      <c r="O277" s="49" t="n"/>
      <c r="P277" s="50" t="n"/>
    </row>
    <row r="278">
      <c r="B278" s="49" t="n"/>
      <c r="C278" s="49" t="n"/>
      <c r="D278" s="49" t="n"/>
      <c r="E278" s="49" t="n"/>
      <c r="F278" s="49" t="n"/>
      <c r="J278" s="49" t="n"/>
      <c r="K278" s="49" t="n"/>
      <c r="L278" s="49" t="n"/>
      <c r="M278" s="49" t="n"/>
      <c r="N278" s="50" t="n"/>
      <c r="O278" s="49" t="n"/>
      <c r="P278" s="50" t="n"/>
    </row>
    <row r="279">
      <c r="B279" s="49" t="n"/>
      <c r="C279" s="49" t="n"/>
      <c r="D279" s="49" t="n"/>
      <c r="E279" s="49" t="n"/>
      <c r="F279" s="49" t="n"/>
      <c r="J279" s="49" t="n"/>
      <c r="K279" s="49" t="n"/>
      <c r="L279" s="49" t="n"/>
      <c r="M279" s="49" t="n"/>
      <c r="N279" s="50" t="n"/>
      <c r="O279" s="49" t="n"/>
      <c r="P279" s="50" t="n"/>
    </row>
    <row r="280">
      <c r="B280" s="49" t="n"/>
      <c r="C280" s="49" t="n"/>
      <c r="D280" s="49" t="n"/>
      <c r="E280" s="49" t="n"/>
      <c r="F280" s="49" t="n"/>
      <c r="J280" s="49" t="n"/>
      <c r="K280" s="49" t="n"/>
      <c r="L280" s="49" t="n"/>
      <c r="M280" s="49" t="n"/>
      <c r="N280" s="50" t="n"/>
      <c r="O280" s="49" t="n"/>
      <c r="P280" s="50" t="n"/>
    </row>
    <row r="281">
      <c r="B281" s="49" t="n"/>
      <c r="C281" s="49" t="n"/>
      <c r="D281" s="49" t="n"/>
      <c r="E281" s="49" t="n"/>
      <c r="F281" s="49" t="n"/>
      <c r="J281" s="49" t="n"/>
      <c r="K281" s="49" t="n"/>
      <c r="L281" s="49" t="n"/>
      <c r="M281" s="49" t="n"/>
      <c r="N281" s="50" t="n"/>
      <c r="O281" s="49" t="n"/>
      <c r="P281" s="50" t="n"/>
    </row>
    <row r="282">
      <c r="B282" s="49" t="n"/>
      <c r="C282" s="49" t="n"/>
      <c r="D282" s="49" t="n"/>
      <c r="E282" s="49" t="n"/>
      <c r="F282" s="49" t="n"/>
      <c r="J282" s="49" t="n"/>
      <c r="K282" s="49" t="n"/>
      <c r="L282" s="49" t="n"/>
      <c r="M282" s="49" t="n"/>
      <c r="N282" s="50" t="n"/>
      <c r="O282" s="49" t="n"/>
      <c r="P282" s="50" t="n"/>
    </row>
    <row r="283">
      <c r="B283" s="49" t="n"/>
      <c r="C283" s="49" t="n"/>
      <c r="D283" s="49" t="n"/>
      <c r="E283" s="49" t="n"/>
      <c r="F283" s="49" t="n"/>
      <c r="J283" s="49" t="n"/>
      <c r="K283" s="49" t="n"/>
      <c r="L283" s="49" t="n"/>
      <c r="M283" s="49" t="n"/>
      <c r="N283" s="50" t="n"/>
      <c r="O283" s="49" t="n"/>
      <c r="P283" s="50" t="n"/>
    </row>
    <row r="284">
      <c r="B284" s="49" t="n"/>
      <c r="C284" s="49" t="n"/>
      <c r="D284" s="49" t="n"/>
      <c r="E284" s="49" t="n"/>
      <c r="F284" s="49" t="n"/>
      <c r="J284" s="49" t="n"/>
      <c r="K284" s="49" t="n"/>
      <c r="L284" s="49" t="n"/>
      <c r="M284" s="49" t="n"/>
      <c r="N284" s="50" t="n"/>
      <c r="O284" s="49" t="n"/>
      <c r="P284" s="50" t="n"/>
    </row>
    <row r="285">
      <c r="B285" s="49" t="n"/>
      <c r="C285" s="49" t="n"/>
      <c r="D285" s="49" t="n"/>
      <c r="E285" s="49" t="n"/>
      <c r="F285" s="49" t="n"/>
      <c r="J285" s="49" t="n"/>
      <c r="K285" s="49" t="n"/>
      <c r="L285" s="49" t="n"/>
      <c r="M285" s="49" t="n"/>
      <c r="N285" s="50" t="n"/>
      <c r="O285" s="49" t="n"/>
      <c r="P285" s="50" t="n"/>
    </row>
    <row r="286">
      <c r="B286" s="49" t="n"/>
      <c r="C286" s="49" t="n"/>
      <c r="D286" s="49" t="n"/>
      <c r="E286" s="49" t="n"/>
      <c r="F286" s="49" t="n"/>
      <c r="J286" s="49" t="n"/>
      <c r="K286" s="49" t="n"/>
      <c r="L286" s="49" t="n"/>
      <c r="M286" s="49" t="n"/>
      <c r="N286" s="50" t="n"/>
      <c r="O286" s="49" t="n"/>
      <c r="P286" s="50" t="n"/>
    </row>
    <row r="287">
      <c r="B287" s="49" t="n"/>
      <c r="C287" s="49" t="n"/>
      <c r="D287" s="49" t="n"/>
      <c r="E287" s="49" t="n"/>
      <c r="F287" s="49" t="n"/>
      <c r="J287" s="49" t="n"/>
      <c r="K287" s="49" t="n"/>
      <c r="L287" s="49" t="n"/>
      <c r="M287" s="49" t="n"/>
      <c r="N287" s="50" t="n"/>
      <c r="O287" s="49" t="n"/>
      <c r="P287" s="50" t="n"/>
    </row>
    <row r="288">
      <c r="B288" s="49" t="n"/>
      <c r="C288" s="49" t="n"/>
      <c r="D288" s="49" t="n"/>
      <c r="E288" s="49" t="n"/>
      <c r="F288" s="49" t="n"/>
      <c r="J288" s="49" t="n"/>
      <c r="K288" s="49" t="n"/>
      <c r="L288" s="49" t="n"/>
      <c r="M288" s="49" t="n"/>
      <c r="N288" s="50" t="n"/>
      <c r="O288" s="49" t="n"/>
      <c r="P288" s="50" t="n"/>
    </row>
    <row r="289">
      <c r="B289" s="49" t="n"/>
      <c r="C289" s="49" t="n"/>
      <c r="D289" s="49" t="n"/>
      <c r="E289" s="49" t="n"/>
      <c r="F289" s="49" t="n"/>
      <c r="J289" s="49" t="n"/>
      <c r="K289" s="49" t="n"/>
      <c r="L289" s="49" t="n"/>
      <c r="M289" s="49" t="n"/>
      <c r="N289" s="50" t="n"/>
      <c r="O289" s="49" t="n"/>
      <c r="P289" s="50" t="n"/>
    </row>
    <row r="290">
      <c r="B290" s="49" t="n"/>
      <c r="C290" s="49" t="n"/>
      <c r="D290" s="49" t="n"/>
      <c r="E290" s="49" t="n"/>
      <c r="F290" s="49" t="n"/>
      <c r="J290" s="49" t="n"/>
      <c r="K290" s="49" t="n"/>
      <c r="L290" s="49" t="n"/>
      <c r="M290" s="49" t="n"/>
      <c r="N290" s="50" t="n"/>
      <c r="O290" s="49" t="n"/>
      <c r="P290" s="50" t="n"/>
    </row>
    <row r="291">
      <c r="B291" s="49" t="n"/>
      <c r="C291" s="49" t="n"/>
      <c r="D291" s="49" t="n"/>
      <c r="E291" s="49" t="n"/>
      <c r="F291" s="49" t="n"/>
      <c r="J291" s="49" t="n"/>
      <c r="K291" s="49" t="n"/>
      <c r="L291" s="49" t="n"/>
      <c r="M291" s="49" t="n"/>
      <c r="N291" s="50" t="n"/>
      <c r="O291" s="49" t="n"/>
      <c r="P291" s="50" t="n"/>
    </row>
    <row r="292">
      <c r="B292" s="49" t="n"/>
      <c r="C292" s="49" t="n"/>
      <c r="D292" s="49" t="n"/>
      <c r="E292" s="49" t="n"/>
      <c r="F292" s="49" t="n"/>
      <c r="J292" s="49" t="n"/>
      <c r="K292" s="49" t="n"/>
      <c r="L292" s="49" t="n"/>
      <c r="M292" s="49" t="n"/>
      <c r="N292" s="50" t="n"/>
      <c r="O292" s="49" t="n"/>
      <c r="P292" s="50" t="n"/>
    </row>
    <row r="293">
      <c r="B293" s="49" t="n"/>
      <c r="C293" s="49" t="n"/>
      <c r="D293" s="49" t="n"/>
      <c r="E293" s="49" t="n"/>
      <c r="F293" s="49" t="n"/>
      <c r="J293" s="49" t="n"/>
      <c r="K293" s="49" t="n"/>
      <c r="L293" s="49" t="n"/>
      <c r="M293" s="49" t="n"/>
      <c r="N293" s="50" t="n"/>
      <c r="O293" s="49" t="n"/>
      <c r="P293" s="50" t="n"/>
    </row>
    <row r="294">
      <c r="B294" s="49" t="n"/>
      <c r="C294" s="49" t="n"/>
      <c r="D294" s="49" t="n"/>
      <c r="E294" s="49" t="n"/>
      <c r="F294" s="49" t="n"/>
      <c r="J294" s="49" t="n"/>
      <c r="K294" s="49" t="n"/>
      <c r="L294" s="49" t="n"/>
      <c r="M294" s="49" t="n"/>
      <c r="N294" s="50" t="n"/>
      <c r="O294" s="49" t="n"/>
      <c r="P294" s="50" t="n"/>
    </row>
    <row r="295">
      <c r="B295" s="49" t="n"/>
      <c r="C295" s="49" t="n"/>
      <c r="D295" s="49" t="n"/>
      <c r="E295" s="49" t="n"/>
      <c r="F295" s="49" t="n"/>
      <c r="J295" s="49" t="n"/>
      <c r="K295" s="49" t="n"/>
      <c r="L295" s="49" t="n"/>
      <c r="M295" s="49" t="n"/>
      <c r="N295" s="50" t="n"/>
      <c r="O295" s="49" t="n"/>
      <c r="P295" s="50" t="n"/>
    </row>
    <row r="296">
      <c r="B296" s="49" t="n"/>
      <c r="C296" s="49" t="n"/>
      <c r="D296" s="49" t="n"/>
      <c r="E296" s="49" t="n"/>
      <c r="F296" s="49" t="n"/>
      <c r="J296" s="49" t="n"/>
      <c r="K296" s="49" t="n"/>
      <c r="L296" s="49" t="n"/>
      <c r="M296" s="49" t="n"/>
      <c r="N296" s="50" t="n"/>
      <c r="O296" s="49" t="n"/>
      <c r="P296" s="50" t="n"/>
    </row>
    <row r="297">
      <c r="B297" s="49" t="n"/>
      <c r="C297" s="49" t="n"/>
      <c r="D297" s="49" t="n"/>
      <c r="E297" s="49" t="n"/>
      <c r="F297" s="49" t="n"/>
      <c r="J297" s="49" t="n"/>
      <c r="K297" s="49" t="n"/>
      <c r="L297" s="49" t="n"/>
      <c r="M297" s="49" t="n"/>
      <c r="N297" s="50" t="n"/>
      <c r="O297" s="49" t="n"/>
      <c r="P297" s="50" t="n"/>
    </row>
    <row r="298">
      <c r="B298" s="49" t="n"/>
      <c r="C298" s="49" t="n"/>
      <c r="D298" s="49" t="n"/>
      <c r="E298" s="49" t="n"/>
      <c r="F298" s="49" t="n"/>
      <c r="J298" s="49" t="n"/>
      <c r="K298" s="49" t="n"/>
      <c r="L298" s="49" t="n"/>
      <c r="M298" s="49" t="n"/>
      <c r="N298" s="50" t="n"/>
      <c r="O298" s="49" t="n"/>
      <c r="P298" s="50" t="n"/>
    </row>
    <row r="299">
      <c r="B299" s="49" t="n"/>
      <c r="C299" s="49" t="n"/>
      <c r="D299" s="49" t="n"/>
      <c r="E299" s="49" t="n"/>
      <c r="F299" s="49" t="n"/>
      <c r="J299" s="49" t="n"/>
      <c r="K299" s="49" t="n"/>
      <c r="L299" s="49" t="n"/>
      <c r="M299" s="49" t="n"/>
      <c r="N299" s="50" t="n"/>
      <c r="O299" s="49" t="n"/>
      <c r="P299" s="50" t="n"/>
    </row>
    <row r="300">
      <c r="B300" s="49" t="n"/>
      <c r="C300" s="49" t="n"/>
      <c r="D300" s="49" t="n"/>
      <c r="E300" s="49" t="n"/>
      <c r="F300" s="49" t="n"/>
      <c r="J300" s="49" t="n"/>
      <c r="K300" s="49" t="n"/>
      <c r="L300" s="49" t="n"/>
      <c r="M300" s="49" t="n"/>
      <c r="N300" s="50" t="n"/>
      <c r="O300" s="49" t="n"/>
      <c r="P300" s="50" t="n"/>
    </row>
    <row r="301">
      <c r="B301" s="49" t="n"/>
      <c r="C301" s="49" t="n"/>
      <c r="D301" s="49" t="n"/>
      <c r="E301" s="49" t="n"/>
      <c r="F301" s="49" t="n"/>
      <c r="J301" s="49" t="n"/>
      <c r="K301" s="49" t="n"/>
      <c r="L301" s="49" t="n"/>
      <c r="M301" s="49" t="n"/>
      <c r="N301" s="50" t="n"/>
      <c r="O301" s="49" t="n"/>
      <c r="P301" s="50" t="n"/>
    </row>
    <row r="302">
      <c r="B302" s="49" t="n"/>
      <c r="C302" s="49" t="n"/>
      <c r="D302" s="49" t="n"/>
      <c r="E302" s="49" t="n"/>
      <c r="F302" s="49" t="n"/>
      <c r="J302" s="49" t="n"/>
      <c r="K302" s="49" t="n"/>
      <c r="L302" s="49" t="n"/>
      <c r="M302" s="49" t="n"/>
      <c r="N302" s="50" t="n"/>
      <c r="O302" s="49" t="n"/>
      <c r="P302" s="50" t="n"/>
    </row>
    <row r="303">
      <c r="B303" s="49" t="n"/>
      <c r="C303" s="49" t="n"/>
      <c r="D303" s="49" t="n"/>
      <c r="E303" s="49" t="n"/>
      <c r="F303" s="49" t="n"/>
      <c r="J303" s="49" t="n"/>
      <c r="K303" s="49" t="n"/>
      <c r="L303" s="49" t="n"/>
      <c r="M303" s="49" t="n"/>
      <c r="N303" s="50" t="n"/>
      <c r="O303" s="49" t="n"/>
      <c r="P303" s="50" t="n"/>
    </row>
    <row r="304">
      <c r="B304" s="49" t="n"/>
      <c r="C304" s="49" t="n"/>
      <c r="D304" s="49" t="n"/>
      <c r="E304" s="49" t="n"/>
      <c r="F304" s="49" t="n"/>
      <c r="J304" s="49" t="n"/>
      <c r="K304" s="49" t="n"/>
      <c r="L304" s="49" t="n"/>
      <c r="M304" s="49" t="n"/>
      <c r="N304" s="50" t="n"/>
      <c r="O304" s="49" t="n"/>
      <c r="P304" s="50" t="n"/>
    </row>
    <row r="305">
      <c r="B305" s="49" t="n"/>
      <c r="C305" s="49" t="n"/>
      <c r="D305" s="49" t="n"/>
      <c r="E305" s="49" t="n"/>
      <c r="F305" s="49" t="n"/>
      <c r="J305" s="49" t="n"/>
      <c r="K305" s="49" t="n"/>
      <c r="L305" s="49" t="n"/>
      <c r="M305" s="49" t="n"/>
      <c r="N305" s="50" t="n"/>
      <c r="O305" s="49" t="n"/>
      <c r="P305" s="50" t="n"/>
    </row>
    <row r="306">
      <c r="B306" s="49" t="n"/>
      <c r="C306" s="49" t="n"/>
      <c r="D306" s="49" t="n"/>
      <c r="E306" s="49" t="n"/>
      <c r="F306" s="49" t="n"/>
      <c r="J306" s="49" t="n"/>
      <c r="K306" s="49" t="n"/>
      <c r="L306" s="49" t="n"/>
      <c r="M306" s="49" t="n"/>
      <c r="N306" s="50" t="n"/>
      <c r="O306" s="49" t="n"/>
      <c r="P306" s="50" t="n"/>
    </row>
    <row r="307">
      <c r="B307" s="49" t="n"/>
      <c r="C307" s="49" t="n"/>
      <c r="D307" s="49" t="n"/>
      <c r="E307" s="49" t="n"/>
      <c r="F307" s="49" t="n"/>
      <c r="J307" s="49" t="n"/>
      <c r="K307" s="49" t="n"/>
      <c r="L307" s="49" t="n"/>
      <c r="M307" s="49" t="n"/>
      <c r="N307" s="50" t="n"/>
      <c r="O307" s="49" t="n"/>
      <c r="P307" s="50" t="n"/>
    </row>
    <row r="308">
      <c r="B308" s="49" t="n"/>
      <c r="C308" s="49" t="n"/>
      <c r="D308" s="49" t="n"/>
      <c r="E308" s="49" t="n"/>
      <c r="F308" s="49" t="n"/>
      <c r="J308" s="49" t="n"/>
      <c r="K308" s="49" t="n"/>
      <c r="L308" s="49" t="n"/>
      <c r="M308" s="49" t="n"/>
      <c r="N308" s="50" t="n"/>
      <c r="O308" s="49" t="n"/>
      <c r="P308" s="50" t="n"/>
    </row>
    <row r="309">
      <c r="B309" s="49" t="n"/>
      <c r="C309" s="49" t="n"/>
      <c r="D309" s="49" t="n"/>
      <c r="E309" s="49" t="n"/>
      <c r="F309" s="49" t="n"/>
      <c r="J309" s="49" t="n"/>
      <c r="K309" s="49" t="n"/>
      <c r="L309" s="49" t="n"/>
      <c r="M309" s="49" t="n"/>
      <c r="N309" s="50" t="n"/>
      <c r="O309" s="49" t="n"/>
      <c r="P309" s="50" t="n"/>
    </row>
    <row r="310">
      <c r="B310" s="49" t="n"/>
      <c r="C310" s="49" t="n"/>
      <c r="D310" s="49" t="n"/>
      <c r="E310" s="49" t="n"/>
      <c r="F310" s="49" t="n"/>
      <c r="J310" s="49" t="n"/>
      <c r="K310" s="49" t="n"/>
      <c r="L310" s="49" t="n"/>
      <c r="M310" s="49" t="n"/>
      <c r="N310" s="50" t="n"/>
      <c r="O310" s="49" t="n"/>
      <c r="P310" s="50" t="n"/>
    </row>
    <row r="311">
      <c r="B311" s="49" t="n"/>
      <c r="C311" s="49" t="n"/>
      <c r="D311" s="49" t="n"/>
      <c r="E311" s="49" t="n"/>
      <c r="F311" s="49" t="n"/>
      <c r="J311" s="49" t="n"/>
      <c r="K311" s="49" t="n"/>
      <c r="L311" s="49" t="n"/>
      <c r="M311" s="49" t="n"/>
      <c r="N311" s="50" t="n"/>
      <c r="O311" s="49" t="n"/>
      <c r="P311" s="50" t="n"/>
    </row>
    <row r="312">
      <c r="B312" s="49" t="n"/>
      <c r="C312" s="49" t="n"/>
      <c r="D312" s="49" t="n"/>
      <c r="E312" s="49" t="n"/>
      <c r="F312" s="49" t="n"/>
      <c r="J312" s="49" t="n"/>
      <c r="K312" s="49" t="n"/>
      <c r="L312" s="49" t="n"/>
      <c r="M312" s="49" t="n"/>
      <c r="N312" s="50" t="n"/>
      <c r="O312" s="49" t="n"/>
      <c r="P312" s="50" t="n"/>
    </row>
    <row r="313">
      <c r="B313" s="49" t="n"/>
      <c r="C313" s="49" t="n"/>
      <c r="D313" s="49" t="n"/>
      <c r="E313" s="49" t="n"/>
      <c r="F313" s="49" t="n"/>
      <c r="J313" s="49" t="n"/>
      <c r="K313" s="49" t="n"/>
      <c r="L313" s="49" t="n"/>
      <c r="M313" s="49" t="n"/>
      <c r="N313" s="50" t="n"/>
      <c r="O313" s="49" t="n"/>
      <c r="P313" s="50" t="n"/>
    </row>
    <row r="314">
      <c r="B314" s="49" t="n"/>
      <c r="C314" s="49" t="n"/>
      <c r="D314" s="49" t="n"/>
      <c r="E314" s="49" t="n"/>
      <c r="F314" s="49" t="n"/>
      <c r="J314" s="49" t="n"/>
      <c r="K314" s="49" t="n"/>
      <c r="L314" s="49" t="n"/>
      <c r="M314" s="49" t="n"/>
      <c r="N314" s="50" t="n"/>
      <c r="O314" s="49" t="n"/>
      <c r="P314" s="50" t="n"/>
    </row>
    <row r="315">
      <c r="B315" s="49" t="n"/>
      <c r="C315" s="49" t="n"/>
      <c r="D315" s="49" t="n"/>
      <c r="E315" s="49" t="n"/>
      <c r="F315" s="49" t="n"/>
      <c r="J315" s="49" t="n"/>
      <c r="K315" s="49" t="n"/>
      <c r="L315" s="49" t="n"/>
      <c r="M315" s="49" t="n"/>
      <c r="N315" s="50" t="n"/>
      <c r="O315" s="49" t="n"/>
      <c r="P315" s="50" t="n"/>
    </row>
    <row r="316">
      <c r="B316" s="49" t="n"/>
      <c r="C316" s="49" t="n"/>
      <c r="D316" s="49" t="n"/>
      <c r="E316" s="49" t="n"/>
      <c r="F316" s="49" t="n"/>
      <c r="J316" s="49" t="n"/>
      <c r="K316" s="49" t="n"/>
      <c r="L316" s="49" t="n"/>
      <c r="M316" s="49" t="n"/>
      <c r="N316" s="50" t="n"/>
      <c r="O316" s="49" t="n"/>
      <c r="P316" s="50" t="n"/>
    </row>
    <row r="317">
      <c r="B317" s="49" t="n"/>
      <c r="C317" s="49" t="n"/>
      <c r="D317" s="49" t="n"/>
      <c r="E317" s="49" t="n"/>
      <c r="F317" s="49" t="n"/>
      <c r="J317" s="49" t="n"/>
      <c r="K317" s="49" t="n"/>
      <c r="L317" s="49" t="n"/>
      <c r="M317" s="49" t="n"/>
      <c r="N317" s="50" t="n"/>
      <c r="O317" s="49" t="n"/>
      <c r="P317" s="50" t="n"/>
    </row>
    <row r="318">
      <c r="B318" s="49" t="n"/>
      <c r="C318" s="49" t="n"/>
      <c r="D318" s="49" t="n"/>
      <c r="E318" s="49" t="n"/>
      <c r="F318" s="49" t="n"/>
      <c r="J318" s="49" t="n"/>
      <c r="K318" s="49" t="n"/>
      <c r="L318" s="49" t="n"/>
      <c r="M318" s="49" t="n"/>
      <c r="N318" s="50" t="n"/>
      <c r="O318" s="49" t="n"/>
      <c r="P318" s="50" t="n"/>
    </row>
    <row r="319">
      <c r="B319" s="49" t="n"/>
      <c r="C319" s="49" t="n"/>
      <c r="D319" s="49" t="n"/>
      <c r="E319" s="49" t="n"/>
      <c r="F319" s="49" t="n"/>
      <c r="J319" s="49" t="n"/>
      <c r="K319" s="49" t="n"/>
      <c r="L319" s="49" t="n"/>
      <c r="M319" s="49" t="n"/>
      <c r="N319" s="50" t="n"/>
      <c r="O319" s="49" t="n"/>
      <c r="P319" s="50" t="n"/>
    </row>
    <row r="320">
      <c r="B320" s="49" t="n"/>
      <c r="C320" s="49" t="n"/>
      <c r="D320" s="49" t="n"/>
      <c r="E320" s="49" t="n"/>
      <c r="F320" s="49" t="n"/>
      <c r="J320" s="49" t="n"/>
      <c r="K320" s="49" t="n"/>
      <c r="L320" s="49" t="n"/>
      <c r="M320" s="49" t="n"/>
      <c r="N320" s="50" t="n"/>
      <c r="O320" s="49" t="n"/>
      <c r="P320" s="50" t="n"/>
    </row>
    <row r="321">
      <c r="B321" s="49" t="n"/>
      <c r="C321" s="49" t="n"/>
      <c r="D321" s="49" t="n"/>
      <c r="E321" s="49" t="n"/>
      <c r="F321" s="49" t="n"/>
      <c r="J321" s="49" t="n"/>
      <c r="K321" s="49" t="n"/>
      <c r="L321" s="49" t="n"/>
      <c r="M321" s="49" t="n"/>
      <c r="N321" s="50" t="n"/>
      <c r="O321" s="49" t="n"/>
      <c r="P321" s="50" t="n"/>
    </row>
    <row r="322">
      <c r="B322" s="49" t="n"/>
      <c r="C322" s="49" t="n"/>
      <c r="D322" s="49" t="n"/>
      <c r="E322" s="49" t="n"/>
      <c r="F322" s="49" t="n"/>
      <c r="J322" s="49" t="n"/>
      <c r="K322" s="49" t="n"/>
      <c r="L322" s="49" t="n"/>
      <c r="M322" s="49" t="n"/>
      <c r="N322" s="50" t="n"/>
      <c r="O322" s="49" t="n"/>
      <c r="P322" s="50" t="n"/>
    </row>
    <row r="323">
      <c r="B323" s="49" t="n"/>
      <c r="C323" s="49" t="n"/>
      <c r="D323" s="49" t="n"/>
      <c r="E323" s="49" t="n"/>
      <c r="F323" s="49" t="n"/>
      <c r="J323" s="49" t="n"/>
      <c r="K323" s="49" t="n"/>
      <c r="L323" s="49" t="n"/>
      <c r="M323" s="49" t="n"/>
      <c r="N323" s="50" t="n"/>
      <c r="O323" s="49" t="n"/>
      <c r="P323" s="50" t="n"/>
    </row>
    <row r="324">
      <c r="B324" s="49" t="n"/>
      <c r="C324" s="49" t="n"/>
      <c r="D324" s="49" t="n"/>
      <c r="E324" s="49" t="n"/>
      <c r="F324" s="49" t="n"/>
      <c r="J324" s="49" t="n"/>
      <c r="K324" s="49" t="n"/>
      <c r="L324" s="49" t="n"/>
      <c r="M324" s="49" t="n"/>
      <c r="N324" s="50" t="n"/>
      <c r="O324" s="49" t="n"/>
      <c r="P324" s="50" t="n"/>
    </row>
    <row r="325">
      <c r="B325" s="49" t="n"/>
      <c r="C325" s="49" t="n"/>
      <c r="D325" s="49" t="n"/>
      <c r="E325" s="49" t="n"/>
      <c r="F325" s="49" t="n"/>
      <c r="J325" s="49" t="n"/>
      <c r="K325" s="49" t="n"/>
      <c r="L325" s="49" t="n"/>
      <c r="M325" s="49" t="n"/>
      <c r="N325" s="50" t="n"/>
      <c r="O325" s="49" t="n"/>
      <c r="P325" s="50" t="n"/>
    </row>
    <row r="326">
      <c r="B326" s="49" t="n"/>
      <c r="C326" s="49" t="n"/>
      <c r="D326" s="49" t="n"/>
      <c r="E326" s="49" t="n"/>
      <c r="F326" s="49" t="n"/>
      <c r="J326" s="49" t="n"/>
      <c r="K326" s="49" t="n"/>
      <c r="L326" s="49" t="n"/>
      <c r="M326" s="49" t="n"/>
      <c r="N326" s="50" t="n"/>
      <c r="O326" s="49" t="n"/>
      <c r="P326" s="50" t="n"/>
    </row>
    <row r="327">
      <c r="B327" s="49" t="n"/>
      <c r="C327" s="49" t="n"/>
      <c r="D327" s="49" t="n"/>
      <c r="E327" s="49" t="n"/>
      <c r="F327" s="49" t="n"/>
      <c r="J327" s="49" t="n"/>
      <c r="K327" s="49" t="n"/>
      <c r="L327" s="49" t="n"/>
      <c r="M327" s="49" t="n"/>
      <c r="N327" s="50" t="n"/>
      <c r="O327" s="49" t="n"/>
      <c r="P327" s="50" t="n"/>
    </row>
    <row r="328">
      <c r="B328" s="49" t="n"/>
      <c r="C328" s="49" t="n"/>
      <c r="D328" s="49" t="n"/>
      <c r="E328" s="49" t="n"/>
      <c r="F328" s="49" t="n"/>
      <c r="J328" s="49" t="n"/>
      <c r="K328" s="49" t="n"/>
      <c r="L328" s="49" t="n"/>
      <c r="M328" s="49" t="n"/>
      <c r="N328" s="50" t="n"/>
      <c r="O328" s="49" t="n"/>
      <c r="P328" s="50" t="n"/>
    </row>
    <row r="329">
      <c r="B329" s="49" t="n"/>
      <c r="C329" s="49" t="n"/>
      <c r="D329" s="49" t="n"/>
      <c r="E329" s="49" t="n"/>
      <c r="F329" s="49" t="n"/>
      <c r="J329" s="49" t="n"/>
      <c r="K329" s="49" t="n"/>
      <c r="L329" s="49" t="n"/>
      <c r="M329" s="49" t="n"/>
      <c r="N329" s="50" t="n"/>
      <c r="O329" s="49" t="n"/>
      <c r="P329" s="50" t="n"/>
    </row>
    <row r="330">
      <c r="B330" s="49" t="n"/>
      <c r="C330" s="49" t="n"/>
      <c r="D330" s="49" t="n"/>
      <c r="E330" s="49" t="n"/>
      <c r="F330" s="49" t="n"/>
      <c r="J330" s="49" t="n"/>
      <c r="K330" s="49" t="n"/>
      <c r="L330" s="49" t="n"/>
      <c r="M330" s="49" t="n"/>
      <c r="N330" s="50" t="n"/>
      <c r="O330" s="49" t="n"/>
      <c r="P330" s="50" t="n"/>
    </row>
    <row r="331">
      <c r="B331" s="49" t="n"/>
      <c r="C331" s="49" t="n"/>
      <c r="D331" s="49" t="n"/>
      <c r="E331" s="49" t="n"/>
      <c r="F331" s="49" t="n"/>
      <c r="J331" s="49" t="n"/>
      <c r="K331" s="49" t="n"/>
      <c r="L331" s="49" t="n"/>
      <c r="M331" s="49" t="n"/>
      <c r="N331" s="50" t="n"/>
      <c r="O331" s="49" t="n"/>
      <c r="P331" s="50" t="n"/>
    </row>
    <row r="332">
      <c r="B332" s="49" t="n"/>
      <c r="C332" s="49" t="n"/>
      <c r="D332" s="49" t="n"/>
      <c r="E332" s="49" t="n"/>
      <c r="F332" s="49" t="n"/>
      <c r="J332" s="49" t="n"/>
      <c r="K332" s="49" t="n"/>
      <c r="L332" s="49" t="n"/>
      <c r="M332" s="49" t="n"/>
      <c r="N332" s="50" t="n"/>
      <c r="O332" s="49" t="n"/>
      <c r="P332" s="50" t="n"/>
    </row>
    <row r="333">
      <c r="B333" s="49" t="n"/>
      <c r="C333" s="49" t="n"/>
      <c r="D333" s="49" t="n"/>
      <c r="E333" s="49" t="n"/>
      <c r="F333" s="49" t="n"/>
      <c r="J333" s="49" t="n"/>
      <c r="K333" s="49" t="n"/>
      <c r="L333" s="49" t="n"/>
      <c r="M333" s="49" t="n"/>
      <c r="N333" s="50" t="n"/>
      <c r="O333" s="49" t="n"/>
      <c r="P333" s="50" t="n"/>
    </row>
    <row r="334">
      <c r="B334" s="49" t="n"/>
      <c r="C334" s="49" t="n"/>
      <c r="D334" s="49" t="n"/>
      <c r="E334" s="49" t="n"/>
      <c r="F334" s="49" t="n"/>
      <c r="J334" s="49" t="n"/>
      <c r="K334" s="49" t="n"/>
      <c r="L334" s="49" t="n"/>
      <c r="M334" s="49" t="n"/>
      <c r="N334" s="50" t="n"/>
      <c r="O334" s="49" t="n"/>
      <c r="P334" s="50" t="n"/>
    </row>
    <row r="335">
      <c r="B335" s="49" t="n"/>
      <c r="C335" s="49" t="n"/>
      <c r="D335" s="49" t="n"/>
      <c r="E335" s="49" t="n"/>
      <c r="F335" s="49" t="n"/>
      <c r="J335" s="49" t="n"/>
      <c r="K335" s="49" t="n"/>
      <c r="L335" s="49" t="n"/>
      <c r="M335" s="49" t="n"/>
      <c r="N335" s="50" t="n"/>
      <c r="O335" s="49" t="n"/>
      <c r="P335" s="50" t="n"/>
    </row>
    <row r="336">
      <c r="B336" s="49" t="n"/>
      <c r="C336" s="49" t="n"/>
      <c r="D336" s="49" t="n"/>
      <c r="E336" s="49" t="n"/>
      <c r="F336" s="49" t="n"/>
      <c r="J336" s="49" t="n"/>
      <c r="K336" s="49" t="n"/>
      <c r="L336" s="49" t="n"/>
      <c r="M336" s="49" t="n"/>
      <c r="N336" s="50" t="n"/>
      <c r="O336" s="49" t="n"/>
      <c r="P336" s="50" t="n"/>
    </row>
    <row r="337">
      <c r="B337" s="49" t="n"/>
      <c r="C337" s="49" t="n"/>
      <c r="D337" s="49" t="n"/>
      <c r="E337" s="49" t="n"/>
      <c r="F337" s="49" t="n"/>
      <c r="J337" s="49" t="n"/>
      <c r="K337" s="49" t="n"/>
      <c r="L337" s="49" t="n"/>
      <c r="M337" s="49" t="n"/>
      <c r="N337" s="50" t="n"/>
      <c r="O337" s="49" t="n"/>
      <c r="P337" s="50" t="n"/>
    </row>
    <row r="338">
      <c r="B338" s="49" t="n"/>
      <c r="C338" s="49" t="n"/>
      <c r="D338" s="49" t="n"/>
      <c r="E338" s="49" t="n"/>
      <c r="F338" s="49" t="n"/>
      <c r="J338" s="49" t="n"/>
      <c r="K338" s="49" t="n"/>
      <c r="L338" s="49" t="n"/>
      <c r="M338" s="49" t="n"/>
      <c r="N338" s="50" t="n"/>
      <c r="O338" s="49" t="n"/>
      <c r="P338" s="50" t="n"/>
    </row>
    <row r="339">
      <c r="B339" s="49" t="n"/>
      <c r="C339" s="49" t="n"/>
      <c r="D339" s="49" t="n"/>
      <c r="E339" s="49" t="n"/>
      <c r="F339" s="49" t="n"/>
      <c r="J339" s="49" t="n"/>
      <c r="K339" s="49" t="n"/>
      <c r="L339" s="49" t="n"/>
      <c r="M339" s="49" t="n"/>
      <c r="N339" s="50" t="n"/>
      <c r="O339" s="49" t="n"/>
      <c r="P339" s="50" t="n"/>
    </row>
    <row r="340">
      <c r="B340" s="49" t="n"/>
      <c r="C340" s="49" t="n"/>
      <c r="D340" s="49" t="n"/>
      <c r="E340" s="49" t="n"/>
      <c r="F340" s="49" t="n"/>
      <c r="J340" s="49" t="n"/>
      <c r="K340" s="49" t="n"/>
      <c r="L340" s="49" t="n"/>
      <c r="M340" s="49" t="n"/>
      <c r="N340" s="50" t="n"/>
      <c r="O340" s="49" t="n"/>
      <c r="P340" s="50" t="n"/>
    </row>
    <row r="341">
      <c r="B341" s="49" t="n"/>
      <c r="C341" s="49" t="n"/>
      <c r="D341" s="49" t="n"/>
      <c r="E341" s="49" t="n"/>
      <c r="F341" s="49" t="n"/>
      <c r="J341" s="49" t="n"/>
      <c r="K341" s="49" t="n"/>
      <c r="L341" s="49" t="n"/>
      <c r="M341" s="49" t="n"/>
      <c r="N341" s="50" t="n"/>
      <c r="O341" s="49" t="n"/>
      <c r="P341" s="50" t="n"/>
    </row>
    <row r="342">
      <c r="B342" s="49" t="n"/>
      <c r="C342" s="49" t="n"/>
      <c r="D342" s="49" t="n"/>
      <c r="E342" s="49" t="n"/>
      <c r="F342" s="49" t="n"/>
      <c r="J342" s="49" t="n"/>
      <c r="K342" s="49" t="n"/>
      <c r="L342" s="49" t="n"/>
      <c r="M342" s="49" t="n"/>
      <c r="N342" s="50" t="n"/>
      <c r="O342" s="49" t="n"/>
      <c r="P342" s="50" t="n"/>
    </row>
    <row r="343">
      <c r="B343" s="49" t="n"/>
      <c r="C343" s="49" t="n"/>
      <c r="D343" s="49" t="n"/>
      <c r="E343" s="49" t="n"/>
      <c r="F343" s="49" t="n"/>
      <c r="J343" s="49" t="n"/>
      <c r="K343" s="49" t="n"/>
      <c r="L343" s="49" t="n"/>
      <c r="M343" s="49" t="n"/>
      <c r="N343" s="50" t="n"/>
      <c r="O343" s="49" t="n"/>
      <c r="P343" s="50" t="n"/>
    </row>
    <row r="344">
      <c r="B344" s="49" t="n"/>
      <c r="C344" s="49" t="n"/>
      <c r="D344" s="49" t="n"/>
      <c r="E344" s="49" t="n"/>
      <c r="F344" s="49" t="n"/>
      <c r="J344" s="49" t="n"/>
      <c r="K344" s="49" t="n"/>
      <c r="L344" s="49" t="n"/>
      <c r="M344" s="49" t="n"/>
      <c r="N344" s="50" t="n"/>
      <c r="O344" s="49" t="n"/>
      <c r="P344" s="50" t="n"/>
    </row>
    <row r="345">
      <c r="B345" s="49" t="n"/>
      <c r="C345" s="49" t="n"/>
      <c r="D345" s="49" t="n"/>
      <c r="E345" s="49" t="n"/>
      <c r="F345" s="49" t="n"/>
      <c r="J345" s="49" t="n"/>
      <c r="K345" s="49" t="n"/>
      <c r="L345" s="49" t="n"/>
      <c r="M345" s="49" t="n"/>
      <c r="N345" s="50" t="n"/>
      <c r="O345" s="49" t="n"/>
      <c r="P345" s="50" t="n"/>
    </row>
    <row r="346">
      <c r="B346" s="49" t="n"/>
      <c r="C346" s="49" t="n"/>
      <c r="D346" s="49" t="n"/>
      <c r="E346" s="49" t="n"/>
      <c r="F346" s="49" t="n"/>
      <c r="J346" s="49" t="n"/>
      <c r="K346" s="49" t="n"/>
      <c r="L346" s="49" t="n"/>
      <c r="M346" s="49" t="n"/>
      <c r="N346" s="50" t="n"/>
      <c r="O346" s="49" t="n"/>
      <c r="P346" s="50" t="n"/>
    </row>
    <row r="347">
      <c r="B347" s="49" t="n"/>
      <c r="C347" s="49" t="n"/>
      <c r="D347" s="49" t="n"/>
      <c r="E347" s="49" t="n"/>
      <c r="F347" s="49" t="n"/>
      <c r="J347" s="49" t="n"/>
      <c r="K347" s="49" t="n"/>
      <c r="L347" s="49" t="n"/>
      <c r="M347" s="49" t="n"/>
      <c r="N347" s="50" t="n"/>
      <c r="O347" s="49" t="n"/>
      <c r="P347" s="50" t="n"/>
    </row>
    <row r="348">
      <c r="B348" s="49" t="n"/>
      <c r="C348" s="49" t="n"/>
      <c r="D348" s="49" t="n"/>
      <c r="E348" s="49" t="n"/>
      <c r="F348" s="49" t="n"/>
      <c r="J348" s="49" t="n"/>
      <c r="K348" s="49" t="n"/>
      <c r="L348" s="49" t="n"/>
      <c r="M348" s="49" t="n"/>
      <c r="N348" s="50" t="n"/>
      <c r="O348" s="49" t="n"/>
      <c r="P348" s="50" t="n"/>
    </row>
    <row r="349">
      <c r="B349" s="49" t="n"/>
      <c r="C349" s="49" t="n"/>
      <c r="D349" s="49" t="n"/>
      <c r="E349" s="49" t="n"/>
      <c r="F349" s="49" t="n"/>
      <c r="J349" s="49" t="n"/>
      <c r="K349" s="49" t="n"/>
      <c r="L349" s="49" t="n"/>
      <c r="M349" s="49" t="n"/>
      <c r="N349" s="50" t="n"/>
      <c r="O349" s="49" t="n"/>
      <c r="P349" s="50" t="n"/>
    </row>
    <row r="350">
      <c r="B350" s="49" t="n"/>
      <c r="C350" s="49" t="n"/>
      <c r="D350" s="49" t="n"/>
      <c r="E350" s="49" t="n"/>
      <c r="F350" s="49" t="n"/>
      <c r="J350" s="49" t="n"/>
      <c r="K350" s="49" t="n"/>
      <c r="L350" s="49" t="n"/>
      <c r="M350" s="49" t="n"/>
      <c r="N350" s="50" t="n"/>
      <c r="O350" s="49" t="n"/>
      <c r="P350" s="50" t="n"/>
    </row>
    <row r="351">
      <c r="B351" s="49" t="n"/>
      <c r="C351" s="49" t="n"/>
      <c r="D351" s="49" t="n"/>
      <c r="E351" s="49" t="n"/>
      <c r="F351" s="49" t="n"/>
      <c r="J351" s="49" t="n"/>
      <c r="K351" s="49" t="n"/>
      <c r="L351" s="49" t="n"/>
      <c r="M351" s="49" t="n"/>
      <c r="N351" s="50" t="n"/>
      <c r="O351" s="49" t="n"/>
      <c r="P351" s="50" t="n"/>
    </row>
    <row r="352">
      <c r="B352" s="49" t="n"/>
      <c r="C352" s="49" t="n"/>
      <c r="D352" s="49" t="n"/>
      <c r="E352" s="49" t="n"/>
      <c r="F352" s="49" t="n"/>
      <c r="J352" s="49" t="n"/>
      <c r="K352" s="49" t="n"/>
      <c r="L352" s="49" t="n"/>
      <c r="M352" s="49" t="n"/>
      <c r="N352" s="50" t="n"/>
      <c r="O352" s="49" t="n"/>
      <c r="P352" s="50" t="n"/>
    </row>
    <row r="353">
      <c r="B353" s="49" t="n"/>
      <c r="C353" s="49" t="n"/>
      <c r="D353" s="49" t="n"/>
      <c r="E353" s="49" t="n"/>
      <c r="F353" s="49" t="n"/>
      <c r="J353" s="49" t="n"/>
      <c r="K353" s="49" t="n"/>
      <c r="L353" s="49" t="n"/>
      <c r="M353" s="49" t="n"/>
      <c r="N353" s="50" t="n"/>
      <c r="O353" s="49" t="n"/>
      <c r="P353" s="50" t="n"/>
    </row>
    <row r="354">
      <c r="B354" s="49" t="n"/>
      <c r="C354" s="49" t="n"/>
      <c r="D354" s="49" t="n"/>
      <c r="E354" s="49" t="n"/>
      <c r="F354" s="49" t="n"/>
      <c r="J354" s="49" t="n"/>
      <c r="K354" s="49" t="n"/>
      <c r="L354" s="49" t="n"/>
      <c r="M354" s="49" t="n"/>
      <c r="N354" s="50" t="n"/>
      <c r="O354" s="49" t="n"/>
      <c r="P354" s="50" t="n"/>
    </row>
    <row r="355">
      <c r="B355" s="49" t="n"/>
      <c r="C355" s="49" t="n"/>
      <c r="D355" s="49" t="n"/>
      <c r="E355" s="49" t="n"/>
      <c r="F355" s="49" t="n"/>
      <c r="J355" s="49" t="n"/>
      <c r="K355" s="49" t="n"/>
      <c r="L355" s="49" t="n"/>
      <c r="M355" s="49" t="n"/>
      <c r="N355" s="50" t="n"/>
      <c r="O355" s="49" t="n"/>
      <c r="P355" s="50" t="n"/>
    </row>
    <row r="356">
      <c r="B356" s="49" t="n"/>
      <c r="C356" s="49" t="n"/>
      <c r="D356" s="49" t="n"/>
      <c r="E356" s="49" t="n"/>
      <c r="F356" s="49" t="n"/>
      <c r="J356" s="49" t="n"/>
      <c r="K356" s="49" t="n"/>
      <c r="L356" s="49" t="n"/>
      <c r="M356" s="49" t="n"/>
      <c r="N356" s="50" t="n"/>
      <c r="O356" s="49" t="n"/>
      <c r="P356" s="50" t="n"/>
    </row>
    <row r="357">
      <c r="B357" s="49" t="n"/>
      <c r="C357" s="49" t="n"/>
      <c r="D357" s="49" t="n"/>
      <c r="E357" s="49" t="n"/>
      <c r="F357" s="49" t="n"/>
      <c r="J357" s="49" t="n"/>
      <c r="K357" s="49" t="n"/>
      <c r="L357" s="49" t="n"/>
      <c r="M357" s="49" t="n"/>
      <c r="N357" s="50" t="n"/>
      <c r="O357" s="49" t="n"/>
      <c r="P357" s="50" t="n"/>
    </row>
    <row r="358">
      <c r="B358" s="49" t="n"/>
      <c r="C358" s="49" t="n"/>
      <c r="D358" s="49" t="n"/>
      <c r="E358" s="49" t="n"/>
      <c r="F358" s="49" t="n"/>
      <c r="J358" s="49" t="n"/>
      <c r="K358" s="49" t="n"/>
      <c r="L358" s="49" t="n"/>
      <c r="M358" s="49" t="n"/>
      <c r="N358" s="50" t="n"/>
      <c r="O358" s="49" t="n"/>
      <c r="P358" s="50" t="n"/>
    </row>
    <row r="359">
      <c r="B359" s="49" t="n"/>
      <c r="C359" s="49" t="n"/>
      <c r="D359" s="49" t="n"/>
      <c r="E359" s="49" t="n"/>
      <c r="F359" s="49" t="n"/>
      <c r="J359" s="49" t="n"/>
      <c r="K359" s="49" t="n"/>
      <c r="L359" s="49" t="n"/>
      <c r="M359" s="49" t="n"/>
      <c r="N359" s="50" t="n"/>
      <c r="O359" s="49" t="n"/>
      <c r="P359" s="50" t="n"/>
    </row>
    <row r="360">
      <c r="B360" s="49" t="n"/>
      <c r="C360" s="49" t="n"/>
      <c r="D360" s="49" t="n"/>
      <c r="E360" s="49" t="n"/>
      <c r="F360" s="49" t="n"/>
      <c r="J360" s="49" t="n"/>
      <c r="K360" s="49" t="n"/>
      <c r="L360" s="49" t="n"/>
      <c r="M360" s="49" t="n"/>
      <c r="N360" s="50" t="n"/>
      <c r="O360" s="49" t="n"/>
      <c r="P360" s="50" t="n"/>
    </row>
    <row r="361">
      <c r="B361" s="49" t="n"/>
      <c r="C361" s="49" t="n"/>
      <c r="D361" s="49" t="n"/>
      <c r="E361" s="49" t="n"/>
      <c r="F361" s="49" t="n"/>
      <c r="J361" s="49" t="n"/>
      <c r="K361" s="49" t="n"/>
      <c r="L361" s="49" t="n"/>
      <c r="M361" s="49" t="n"/>
      <c r="N361" s="50" t="n"/>
      <c r="O361" s="49" t="n"/>
      <c r="P361" s="50" t="n"/>
    </row>
    <row r="362">
      <c r="B362" s="49" t="n"/>
      <c r="C362" s="49" t="n"/>
      <c r="D362" s="49" t="n"/>
      <c r="E362" s="49" t="n"/>
      <c r="F362" s="49" t="n"/>
      <c r="J362" s="49" t="n"/>
      <c r="K362" s="49" t="n"/>
      <c r="L362" s="49" t="n"/>
      <c r="M362" s="49" t="n"/>
      <c r="N362" s="50" t="n"/>
      <c r="O362" s="49" t="n"/>
      <c r="P362" s="50" t="n"/>
    </row>
    <row r="363">
      <c r="B363" s="49" t="n"/>
      <c r="C363" s="49" t="n"/>
      <c r="D363" s="49" t="n"/>
      <c r="E363" s="49" t="n"/>
      <c r="F363" s="49" t="n"/>
      <c r="J363" s="49" t="n"/>
      <c r="K363" s="49" t="n"/>
      <c r="L363" s="49" t="n"/>
      <c r="M363" s="49" t="n"/>
      <c r="N363" s="50" t="n"/>
      <c r="O363" s="49" t="n"/>
      <c r="P363" s="50" t="n"/>
    </row>
    <row r="364">
      <c r="B364" s="49" t="n"/>
      <c r="C364" s="49" t="n"/>
      <c r="D364" s="49" t="n"/>
      <c r="E364" s="49" t="n"/>
      <c r="F364" s="49" t="n"/>
      <c r="J364" s="49" t="n"/>
      <c r="K364" s="49" t="n"/>
      <c r="L364" s="49" t="n"/>
      <c r="M364" s="49" t="n"/>
      <c r="N364" s="50" t="n"/>
      <c r="O364" s="49" t="n"/>
      <c r="P364" s="50" t="n"/>
    </row>
    <row r="365">
      <c r="B365" s="49" t="n"/>
      <c r="C365" s="49" t="n"/>
      <c r="D365" s="49" t="n"/>
      <c r="E365" s="49" t="n"/>
      <c r="F365" s="49" t="n"/>
      <c r="J365" s="49" t="n"/>
      <c r="K365" s="49" t="n"/>
      <c r="L365" s="49" t="n"/>
      <c r="M365" s="49" t="n"/>
      <c r="N365" s="50" t="n"/>
      <c r="O365" s="49" t="n"/>
      <c r="P365" s="50" t="n"/>
    </row>
    <row r="366">
      <c r="B366" s="49" t="n"/>
      <c r="C366" s="49" t="n"/>
      <c r="D366" s="49" t="n"/>
      <c r="E366" s="49" t="n"/>
      <c r="F366" s="49" t="n"/>
      <c r="J366" s="49" t="n"/>
      <c r="K366" s="49" t="n"/>
      <c r="L366" s="49" t="n"/>
      <c r="M366" s="49" t="n"/>
      <c r="N366" s="50" t="n"/>
      <c r="O366" s="49" t="n"/>
      <c r="P366" s="50" t="n"/>
    </row>
    <row r="367">
      <c r="B367" s="49" t="n"/>
      <c r="C367" s="49" t="n"/>
      <c r="D367" s="49" t="n"/>
      <c r="E367" s="49" t="n"/>
      <c r="F367" s="49" t="n"/>
      <c r="J367" s="49" t="n"/>
      <c r="K367" s="49" t="n"/>
      <c r="L367" s="49" t="n"/>
      <c r="M367" s="49" t="n"/>
      <c r="N367" s="50" t="n"/>
      <c r="O367" s="49" t="n"/>
      <c r="P367" s="50" t="n"/>
    </row>
    <row r="368">
      <c r="B368" s="49" t="n"/>
      <c r="C368" s="49" t="n"/>
      <c r="D368" s="49" t="n"/>
      <c r="E368" s="49" t="n"/>
      <c r="F368" s="49" t="n"/>
      <c r="J368" s="49" t="n"/>
      <c r="K368" s="49" t="n"/>
      <c r="L368" s="49" t="n"/>
      <c r="M368" s="49" t="n"/>
      <c r="N368" s="50" t="n"/>
      <c r="O368" s="49" t="n"/>
      <c r="P368" s="50" t="n"/>
    </row>
    <row r="369">
      <c r="B369" s="49" t="n"/>
      <c r="C369" s="49" t="n"/>
      <c r="D369" s="49" t="n"/>
      <c r="E369" s="49" t="n"/>
      <c r="F369" s="49" t="n"/>
      <c r="J369" s="49" t="n"/>
      <c r="K369" s="49" t="n"/>
      <c r="L369" s="49" t="n"/>
      <c r="M369" s="49" t="n"/>
      <c r="N369" s="50" t="n"/>
      <c r="O369" s="49" t="n"/>
      <c r="P369" s="50" t="n"/>
    </row>
    <row r="370">
      <c r="B370" s="49" t="n"/>
      <c r="C370" s="49" t="n"/>
      <c r="D370" s="49" t="n"/>
      <c r="E370" s="49" t="n"/>
      <c r="F370" s="49" t="n"/>
      <c r="J370" s="49" t="n"/>
      <c r="K370" s="49" t="n"/>
      <c r="L370" s="49" t="n"/>
      <c r="M370" s="49" t="n"/>
      <c r="N370" s="50" t="n"/>
      <c r="O370" s="49" t="n"/>
      <c r="P370" s="50" t="n"/>
    </row>
    <row r="371">
      <c r="B371" s="49" t="n"/>
      <c r="C371" s="49" t="n"/>
      <c r="D371" s="49" t="n"/>
      <c r="E371" s="49" t="n"/>
      <c r="F371" s="49" t="n"/>
      <c r="J371" s="49" t="n"/>
      <c r="K371" s="49" t="n"/>
      <c r="L371" s="49" t="n"/>
      <c r="M371" s="49" t="n"/>
      <c r="N371" s="50" t="n"/>
      <c r="O371" s="49" t="n"/>
      <c r="P371" s="50" t="n"/>
    </row>
    <row r="372">
      <c r="B372" s="49" t="n"/>
      <c r="C372" s="49" t="n"/>
      <c r="D372" s="49" t="n"/>
      <c r="E372" s="49" t="n"/>
      <c r="F372" s="49" t="n"/>
      <c r="J372" s="49" t="n"/>
      <c r="K372" s="49" t="n"/>
      <c r="L372" s="49" t="n"/>
      <c r="M372" s="49" t="n"/>
      <c r="N372" s="50" t="n"/>
      <c r="O372" s="49" t="n"/>
      <c r="P372" s="50" t="n"/>
    </row>
    <row r="373">
      <c r="B373" s="49" t="n"/>
      <c r="C373" s="49" t="n"/>
      <c r="D373" s="49" t="n"/>
      <c r="E373" s="49" t="n"/>
      <c r="F373" s="49" t="n"/>
      <c r="J373" s="49" t="n"/>
      <c r="K373" s="49" t="n"/>
      <c r="L373" s="49" t="n"/>
      <c r="M373" s="49" t="n"/>
      <c r="N373" s="50" t="n"/>
      <c r="O373" s="49" t="n"/>
      <c r="P373" s="50" t="n"/>
    </row>
    <row r="374">
      <c r="B374" s="49" t="n"/>
      <c r="C374" s="49" t="n"/>
      <c r="D374" s="49" t="n"/>
      <c r="E374" s="49" t="n"/>
      <c r="F374" s="49" t="n"/>
      <c r="J374" s="49" t="n"/>
      <c r="K374" s="49" t="n"/>
      <c r="L374" s="49" t="n"/>
      <c r="M374" s="49" t="n"/>
      <c r="N374" s="50" t="n"/>
      <c r="O374" s="49" t="n"/>
      <c r="P374" s="50" t="n"/>
    </row>
    <row r="375">
      <c r="B375" s="49" t="n"/>
      <c r="C375" s="49" t="n"/>
      <c r="D375" s="49" t="n"/>
      <c r="E375" s="49" t="n"/>
      <c r="F375" s="49" t="n"/>
      <c r="J375" s="49" t="n"/>
      <c r="K375" s="49" t="n"/>
      <c r="L375" s="49" t="n"/>
      <c r="M375" s="49" t="n"/>
      <c r="N375" s="50" t="n"/>
      <c r="O375" s="49" t="n"/>
      <c r="P375" s="50" t="n"/>
    </row>
    <row r="376">
      <c r="B376" s="49" t="n"/>
      <c r="C376" s="49" t="n"/>
      <c r="D376" s="49" t="n"/>
      <c r="E376" s="49" t="n"/>
      <c r="F376" s="49" t="n"/>
      <c r="J376" s="49" t="n"/>
      <c r="K376" s="49" t="n"/>
      <c r="L376" s="49" t="n"/>
      <c r="M376" s="49" t="n"/>
      <c r="N376" s="50" t="n"/>
      <c r="O376" s="49" t="n"/>
      <c r="P376" s="50" t="n"/>
    </row>
    <row r="377">
      <c r="B377" s="49" t="n"/>
      <c r="C377" s="49" t="n"/>
      <c r="D377" s="49" t="n"/>
      <c r="E377" s="49" t="n"/>
      <c r="F377" s="49" t="n"/>
      <c r="J377" s="49" t="n"/>
      <c r="K377" s="49" t="n"/>
      <c r="L377" s="49" t="n"/>
      <c r="M377" s="49" t="n"/>
      <c r="N377" s="50" t="n"/>
      <c r="O377" s="49" t="n"/>
      <c r="P377" s="50" t="n"/>
    </row>
    <row r="378">
      <c r="B378" s="49" t="n"/>
      <c r="C378" s="49" t="n"/>
      <c r="D378" s="49" t="n"/>
      <c r="E378" s="49" t="n"/>
      <c r="F378" s="49" t="n"/>
      <c r="J378" s="49" t="n"/>
      <c r="K378" s="49" t="n"/>
      <c r="L378" s="49" t="n"/>
      <c r="M378" s="49" t="n"/>
      <c r="N378" s="50" t="n"/>
      <c r="O378" s="49" t="n"/>
      <c r="P378" s="50" t="n"/>
    </row>
    <row r="379">
      <c r="B379" s="49" t="n"/>
      <c r="C379" s="49" t="n"/>
      <c r="D379" s="49" t="n"/>
      <c r="E379" s="49" t="n"/>
      <c r="F379" s="49" t="n"/>
      <c r="J379" s="49" t="n"/>
      <c r="K379" s="49" t="n"/>
      <c r="L379" s="49" t="n"/>
      <c r="M379" s="49" t="n"/>
      <c r="N379" s="50" t="n"/>
      <c r="O379" s="49" t="n"/>
      <c r="P379" s="50" t="n"/>
    </row>
    <row r="380">
      <c r="B380" s="49" t="n"/>
      <c r="C380" s="49" t="n"/>
      <c r="D380" s="49" t="n"/>
      <c r="E380" s="49" t="n"/>
      <c r="F380" s="49" t="n"/>
      <c r="J380" s="49" t="n"/>
      <c r="K380" s="49" t="n"/>
      <c r="L380" s="49" t="n"/>
      <c r="M380" s="49" t="n"/>
      <c r="N380" s="50" t="n"/>
      <c r="O380" s="49" t="n"/>
      <c r="P380" s="50" t="n"/>
    </row>
    <row r="381">
      <c r="B381" s="49" t="n"/>
      <c r="C381" s="49" t="n"/>
      <c r="D381" s="49" t="n"/>
      <c r="E381" s="49" t="n"/>
      <c r="F381" s="49" t="n"/>
      <c r="J381" s="49" t="n"/>
      <c r="K381" s="49" t="n"/>
      <c r="L381" s="49" t="n"/>
      <c r="M381" s="49" t="n"/>
      <c r="N381" s="50" t="n"/>
      <c r="O381" s="49" t="n"/>
      <c r="P381" s="50" t="n"/>
    </row>
    <row r="382">
      <c r="B382" s="49" t="n"/>
      <c r="C382" s="49" t="n"/>
      <c r="D382" s="49" t="n"/>
      <c r="E382" s="49" t="n"/>
      <c r="F382" s="49" t="n"/>
      <c r="J382" s="49" t="n"/>
      <c r="K382" s="49" t="n"/>
      <c r="L382" s="49" t="n"/>
      <c r="M382" s="49" t="n"/>
      <c r="N382" s="50" t="n"/>
      <c r="O382" s="49" t="n"/>
      <c r="P382" s="50" t="n"/>
    </row>
    <row r="383">
      <c r="B383" s="49" t="n"/>
      <c r="C383" s="49" t="n"/>
      <c r="D383" s="49" t="n"/>
      <c r="E383" s="49" t="n"/>
      <c r="F383" s="49" t="n"/>
      <c r="J383" s="49" t="n"/>
      <c r="K383" s="49" t="n"/>
      <c r="L383" s="49" t="n"/>
      <c r="M383" s="49" t="n"/>
      <c r="N383" s="50" t="n"/>
      <c r="O383" s="49" t="n"/>
      <c r="P383" s="50" t="n"/>
    </row>
    <row r="384">
      <c r="B384" s="49" t="n"/>
      <c r="C384" s="49" t="n"/>
      <c r="D384" s="49" t="n"/>
      <c r="E384" s="49" t="n"/>
      <c r="F384" s="49" t="n"/>
      <c r="J384" s="49" t="n"/>
      <c r="K384" s="49" t="n"/>
      <c r="L384" s="49" t="n"/>
      <c r="M384" s="49" t="n"/>
      <c r="N384" s="50" t="n"/>
      <c r="O384" s="49" t="n"/>
      <c r="P384" s="50" t="n"/>
    </row>
    <row r="385">
      <c r="B385" s="49" t="n"/>
      <c r="C385" s="49" t="n"/>
      <c r="D385" s="49" t="n"/>
      <c r="E385" s="49" t="n"/>
      <c r="F385" s="49" t="n"/>
      <c r="J385" s="49" t="n"/>
      <c r="K385" s="49" t="n"/>
      <c r="L385" s="49" t="n"/>
      <c r="M385" s="49" t="n"/>
      <c r="N385" s="50" t="n"/>
      <c r="O385" s="49" t="n"/>
      <c r="P385" s="50" t="n"/>
    </row>
    <row r="386">
      <c r="B386" s="49" t="n"/>
      <c r="C386" s="49" t="n"/>
      <c r="D386" s="49" t="n"/>
      <c r="E386" s="49" t="n"/>
      <c r="F386" s="49" t="n"/>
      <c r="J386" s="49" t="n"/>
      <c r="K386" s="49" t="n"/>
      <c r="L386" s="49" t="n"/>
      <c r="M386" s="49" t="n"/>
      <c r="N386" s="50" t="n"/>
      <c r="O386" s="49" t="n"/>
      <c r="P386" s="50" t="n"/>
    </row>
    <row r="387">
      <c r="B387" s="49" t="n"/>
      <c r="C387" s="49" t="n"/>
      <c r="D387" s="49" t="n"/>
      <c r="E387" s="49" t="n"/>
      <c r="F387" s="49" t="n"/>
      <c r="J387" s="49" t="n"/>
      <c r="K387" s="49" t="n"/>
      <c r="L387" s="49" t="n"/>
      <c r="M387" s="49" t="n"/>
      <c r="N387" s="50" t="n"/>
      <c r="O387" s="49" t="n"/>
      <c r="P387" s="50" t="n"/>
    </row>
    <row r="388">
      <c r="B388" s="49" t="n"/>
      <c r="C388" s="49" t="n"/>
      <c r="D388" s="49" t="n"/>
      <c r="E388" s="49" t="n"/>
      <c r="F388" s="49" t="n"/>
      <c r="J388" s="49" t="n"/>
      <c r="K388" s="49" t="n"/>
      <c r="L388" s="49" t="n"/>
      <c r="M388" s="49" t="n"/>
      <c r="N388" s="50" t="n"/>
      <c r="O388" s="49" t="n"/>
      <c r="P388" s="50" t="n"/>
    </row>
    <row r="389">
      <c r="B389" s="49" t="n"/>
      <c r="C389" s="49" t="n"/>
      <c r="D389" s="49" t="n"/>
      <c r="E389" s="49" t="n"/>
      <c r="F389" s="49" t="n"/>
      <c r="J389" s="49" t="n"/>
      <c r="K389" s="49" t="n"/>
      <c r="L389" s="49" t="n"/>
      <c r="M389" s="49" t="n"/>
      <c r="N389" s="50" t="n"/>
      <c r="O389" s="49" t="n"/>
      <c r="P389" s="50" t="n"/>
    </row>
    <row r="390">
      <c r="B390" s="49" t="n"/>
      <c r="C390" s="49" t="n"/>
      <c r="D390" s="49" t="n"/>
      <c r="E390" s="49" t="n"/>
      <c r="F390" s="49" t="n"/>
      <c r="J390" s="49" t="n"/>
      <c r="K390" s="49" t="n"/>
      <c r="L390" s="49" t="n"/>
      <c r="M390" s="49" t="n"/>
      <c r="N390" s="50" t="n"/>
      <c r="O390" s="49" t="n"/>
      <c r="P390" s="50" t="n"/>
    </row>
    <row r="391">
      <c r="B391" s="49" t="n"/>
      <c r="C391" s="49" t="n"/>
      <c r="D391" s="49" t="n"/>
      <c r="E391" s="49" t="n"/>
      <c r="F391" s="49" t="n"/>
      <c r="J391" s="49" t="n"/>
      <c r="K391" s="49" t="n"/>
      <c r="L391" s="49" t="n"/>
      <c r="M391" s="49" t="n"/>
      <c r="N391" s="50" t="n"/>
      <c r="O391" s="49" t="n"/>
      <c r="P391" s="50" t="n"/>
    </row>
    <row r="392">
      <c r="B392" s="49" t="n"/>
      <c r="C392" s="49" t="n"/>
      <c r="D392" s="49" t="n"/>
      <c r="E392" s="49" t="n"/>
      <c r="F392" s="49" t="n"/>
      <c r="J392" s="49" t="n"/>
      <c r="K392" s="49" t="n"/>
      <c r="L392" s="49" t="n"/>
      <c r="M392" s="49" t="n"/>
      <c r="N392" s="50" t="n"/>
      <c r="O392" s="49" t="n"/>
      <c r="P392" s="50" t="n"/>
    </row>
    <row r="393">
      <c r="B393" s="49" t="n"/>
      <c r="C393" s="49" t="n"/>
      <c r="D393" s="49" t="n"/>
      <c r="E393" s="49" t="n"/>
      <c r="F393" s="49" t="n"/>
      <c r="J393" s="49" t="n"/>
      <c r="K393" s="49" t="n"/>
      <c r="L393" s="49" t="n"/>
      <c r="M393" s="49" t="n"/>
      <c r="N393" s="50" t="n"/>
      <c r="O393" s="49" t="n"/>
      <c r="P393" s="50" t="n"/>
    </row>
    <row r="394">
      <c r="B394" s="49" t="n"/>
      <c r="C394" s="49" t="n"/>
      <c r="D394" s="49" t="n"/>
      <c r="E394" s="49" t="n"/>
      <c r="F394" s="49" t="n"/>
      <c r="J394" s="49" t="n"/>
      <c r="K394" s="49" t="n"/>
      <c r="L394" s="49" t="n"/>
      <c r="M394" s="49" t="n"/>
      <c r="N394" s="50" t="n"/>
      <c r="O394" s="49" t="n"/>
      <c r="P394" s="50" t="n"/>
    </row>
    <row r="395">
      <c r="B395" s="49" t="n"/>
      <c r="C395" s="49" t="n"/>
      <c r="D395" s="49" t="n"/>
      <c r="E395" s="49" t="n"/>
      <c r="F395" s="49" t="n"/>
      <c r="J395" s="49" t="n"/>
      <c r="K395" s="49" t="n"/>
      <c r="L395" s="49" t="n"/>
      <c r="M395" s="49" t="n"/>
      <c r="N395" s="50" t="n"/>
      <c r="O395" s="49" t="n"/>
      <c r="P395" s="50" t="n"/>
    </row>
    <row r="396">
      <c r="B396" s="49" t="n"/>
      <c r="C396" s="49" t="n"/>
      <c r="D396" s="49" t="n"/>
      <c r="E396" s="49" t="n"/>
      <c r="F396" s="49" t="n"/>
      <c r="J396" s="49" t="n"/>
      <c r="K396" s="49" t="n"/>
      <c r="L396" s="49" t="n"/>
      <c r="M396" s="49" t="n"/>
      <c r="N396" s="50" t="n"/>
      <c r="O396" s="49" t="n"/>
      <c r="P396" s="50" t="n"/>
    </row>
    <row r="397">
      <c r="B397" s="49" t="n"/>
      <c r="C397" s="49" t="n"/>
      <c r="D397" s="49" t="n"/>
      <c r="E397" s="49" t="n"/>
      <c r="F397" s="49" t="n"/>
      <c r="J397" s="49" t="n"/>
      <c r="K397" s="49" t="n"/>
      <c r="L397" s="49" t="n"/>
      <c r="M397" s="49" t="n"/>
      <c r="N397" s="50" t="n"/>
      <c r="O397" s="49" t="n"/>
      <c r="P397" s="50" t="n"/>
    </row>
    <row r="398">
      <c r="B398" s="49" t="n"/>
      <c r="C398" s="49" t="n"/>
      <c r="D398" s="49" t="n"/>
      <c r="E398" s="49" t="n"/>
      <c r="F398" s="49" t="n"/>
      <c r="J398" s="49" t="n"/>
      <c r="K398" s="49" t="n"/>
      <c r="L398" s="49" t="n"/>
      <c r="M398" s="49" t="n"/>
      <c r="N398" s="50" t="n"/>
      <c r="O398" s="49" t="n"/>
      <c r="P398" s="50" t="n"/>
    </row>
    <row r="399">
      <c r="B399" s="49" t="n"/>
      <c r="C399" s="49" t="n"/>
      <c r="D399" s="49" t="n"/>
      <c r="E399" s="49" t="n"/>
      <c r="F399" s="49" t="n"/>
      <c r="J399" s="49" t="n"/>
      <c r="K399" s="49" t="n"/>
      <c r="L399" s="49" t="n"/>
      <c r="M399" s="49" t="n"/>
      <c r="N399" s="50" t="n"/>
      <c r="O399" s="49" t="n"/>
      <c r="P399" s="50" t="n"/>
    </row>
    <row r="400">
      <c r="B400" s="49" t="n"/>
      <c r="C400" s="49" t="n"/>
      <c r="D400" s="49" t="n"/>
      <c r="E400" s="49" t="n"/>
      <c r="F400" s="49" t="n"/>
      <c r="J400" s="49" t="n"/>
      <c r="K400" s="49" t="n"/>
      <c r="L400" s="49" t="n"/>
      <c r="M400" s="49" t="n"/>
      <c r="N400" s="50" t="n"/>
      <c r="O400" s="49" t="n"/>
      <c r="P400" s="50" t="n"/>
    </row>
    <row r="401">
      <c r="B401" s="49" t="n"/>
      <c r="C401" s="49" t="n"/>
      <c r="D401" s="49" t="n"/>
      <c r="E401" s="49" t="n"/>
      <c r="F401" s="49" t="n"/>
      <c r="J401" s="49" t="n"/>
      <c r="K401" s="49" t="n"/>
      <c r="L401" s="49" t="n"/>
      <c r="M401" s="49" t="n"/>
      <c r="N401" s="50" t="n"/>
      <c r="O401" s="49" t="n"/>
      <c r="P401" s="50" t="n"/>
    </row>
    <row r="402">
      <c r="B402" s="49" t="n"/>
      <c r="C402" s="49" t="n"/>
      <c r="D402" s="49" t="n"/>
      <c r="E402" s="49" t="n"/>
      <c r="F402" s="49" t="n"/>
      <c r="J402" s="49" t="n"/>
      <c r="K402" s="49" t="n"/>
      <c r="L402" s="49" t="n"/>
      <c r="M402" s="49" t="n"/>
      <c r="N402" s="50" t="n"/>
      <c r="O402" s="49" t="n"/>
      <c r="P402" s="50" t="n"/>
    </row>
    <row r="403">
      <c r="B403" s="49" t="n"/>
      <c r="C403" s="49" t="n"/>
      <c r="D403" s="49" t="n"/>
      <c r="E403" s="49" t="n"/>
      <c r="F403" s="49" t="n"/>
      <c r="J403" s="49" t="n"/>
      <c r="K403" s="49" t="n"/>
      <c r="L403" s="49" t="n"/>
      <c r="M403" s="49" t="n"/>
      <c r="N403" s="50" t="n"/>
      <c r="O403" s="49" t="n"/>
      <c r="P403" s="50" t="n"/>
    </row>
    <row r="404">
      <c r="B404" s="49" t="n"/>
      <c r="C404" s="49" t="n"/>
      <c r="D404" s="49" t="n"/>
      <c r="E404" s="49" t="n"/>
      <c r="F404" s="49" t="n"/>
      <c r="J404" s="49" t="n"/>
      <c r="K404" s="49" t="n"/>
      <c r="L404" s="49" t="n"/>
      <c r="M404" s="49" t="n"/>
      <c r="N404" s="50" t="n"/>
      <c r="O404" s="49" t="n"/>
      <c r="P404" s="50" t="n"/>
    </row>
    <row r="405">
      <c r="B405" s="49" t="n"/>
      <c r="C405" s="49" t="n"/>
      <c r="D405" s="49" t="n"/>
      <c r="E405" s="49" t="n"/>
      <c r="F405" s="49" t="n"/>
      <c r="J405" s="49" t="n"/>
      <c r="K405" s="49" t="n"/>
      <c r="L405" s="49" t="n"/>
      <c r="M405" s="49" t="n"/>
      <c r="N405" s="50" t="n"/>
      <c r="O405" s="49" t="n"/>
      <c r="P405" s="50" t="n"/>
    </row>
    <row r="406">
      <c r="B406" s="49" t="n"/>
      <c r="C406" s="49" t="n"/>
      <c r="D406" s="49" t="n"/>
      <c r="E406" s="49" t="n"/>
      <c r="F406" s="49" t="n"/>
      <c r="J406" s="49" t="n"/>
      <c r="K406" s="49" t="n"/>
      <c r="L406" s="49" t="n"/>
      <c r="M406" s="49" t="n"/>
      <c r="N406" s="50" t="n"/>
      <c r="O406" s="49" t="n"/>
      <c r="P406" s="50" t="n"/>
    </row>
    <row r="407">
      <c r="B407" s="49" t="n"/>
      <c r="C407" s="49" t="n"/>
      <c r="D407" s="49" t="n"/>
      <c r="E407" s="49" t="n"/>
      <c r="F407" s="49" t="n"/>
      <c r="J407" s="49" t="n"/>
      <c r="K407" s="49" t="n"/>
      <c r="L407" s="49" t="n"/>
      <c r="M407" s="49" t="n"/>
      <c r="N407" s="50" t="n"/>
      <c r="O407" s="49" t="n"/>
      <c r="P407" s="50" t="n"/>
    </row>
    <row r="408">
      <c r="B408" s="49" t="n"/>
      <c r="C408" s="49" t="n"/>
      <c r="D408" s="49" t="n"/>
      <c r="E408" s="49" t="n"/>
      <c r="F408" s="49" t="n"/>
      <c r="J408" s="49" t="n"/>
      <c r="K408" s="49" t="n"/>
      <c r="L408" s="49" t="n"/>
      <c r="M408" s="49" t="n"/>
      <c r="N408" s="50" t="n"/>
      <c r="O408" s="49" t="n"/>
      <c r="P408" s="50" t="n"/>
    </row>
    <row r="409">
      <c r="B409" s="49" t="n"/>
      <c r="C409" s="49" t="n"/>
      <c r="D409" s="49" t="n"/>
      <c r="E409" s="49" t="n"/>
      <c r="F409" s="49" t="n"/>
      <c r="J409" s="49" t="n"/>
      <c r="K409" s="49" t="n"/>
      <c r="L409" s="49" t="n"/>
      <c r="M409" s="49" t="n"/>
      <c r="N409" s="50" t="n"/>
      <c r="O409" s="49" t="n"/>
      <c r="P409" s="50" t="n"/>
    </row>
    <row r="410">
      <c r="B410" s="49" t="n"/>
      <c r="C410" s="49" t="n"/>
      <c r="D410" s="49" t="n"/>
      <c r="E410" s="49" t="n"/>
      <c r="F410" s="49" t="n"/>
      <c r="J410" s="49" t="n"/>
      <c r="K410" s="49" t="n"/>
      <c r="L410" s="49" t="n"/>
      <c r="M410" s="49" t="n"/>
      <c r="N410" s="50" t="n"/>
      <c r="O410" s="49" t="n"/>
      <c r="P410" s="50" t="n"/>
    </row>
    <row r="411">
      <c r="B411" s="49" t="n"/>
      <c r="C411" s="49" t="n"/>
      <c r="D411" s="49" t="n"/>
      <c r="E411" s="49" t="n"/>
      <c r="F411" s="49" t="n"/>
      <c r="J411" s="49" t="n"/>
      <c r="K411" s="49" t="n"/>
      <c r="L411" s="49" t="n"/>
      <c r="M411" s="49" t="n"/>
      <c r="N411" s="50" t="n"/>
      <c r="O411" s="49" t="n"/>
      <c r="P411" s="50" t="n"/>
    </row>
    <row r="412">
      <c r="B412" s="49" t="n"/>
      <c r="C412" s="49" t="n"/>
      <c r="D412" s="49" t="n"/>
      <c r="E412" s="49" t="n"/>
      <c r="F412" s="49" t="n"/>
      <c r="J412" s="49" t="n"/>
      <c r="K412" s="49" t="n"/>
      <c r="L412" s="49" t="n"/>
      <c r="M412" s="49" t="n"/>
      <c r="N412" s="50" t="n"/>
      <c r="O412" s="49" t="n"/>
      <c r="P412" s="50" t="n"/>
    </row>
    <row r="413">
      <c r="B413" s="49" t="n"/>
      <c r="C413" s="49" t="n"/>
      <c r="D413" s="49" t="n"/>
      <c r="E413" s="49" t="n"/>
      <c r="F413" s="49" t="n"/>
      <c r="J413" s="49" t="n"/>
      <c r="K413" s="49" t="n"/>
      <c r="L413" s="49" t="n"/>
      <c r="M413" s="49" t="n"/>
      <c r="N413" s="50" t="n"/>
      <c r="O413" s="49" t="n"/>
      <c r="P413" s="50" t="n"/>
    </row>
    <row r="414">
      <c r="B414" s="49" t="n"/>
      <c r="C414" s="49" t="n"/>
      <c r="D414" s="49" t="n"/>
      <c r="E414" s="49" t="n"/>
      <c r="F414" s="49" t="n"/>
      <c r="J414" s="49" t="n"/>
      <c r="K414" s="49" t="n"/>
      <c r="L414" s="49" t="n"/>
      <c r="M414" s="49" t="n"/>
      <c r="N414" s="50" t="n"/>
      <c r="O414" s="49" t="n"/>
      <c r="P414" s="50" t="n"/>
    </row>
    <row r="415">
      <c r="B415" s="49" t="n"/>
      <c r="C415" s="49" t="n"/>
      <c r="D415" s="49" t="n"/>
      <c r="E415" s="49" t="n"/>
      <c r="F415" s="49" t="n"/>
      <c r="J415" s="49" t="n"/>
      <c r="K415" s="49" t="n"/>
      <c r="L415" s="49" t="n"/>
      <c r="M415" s="49" t="n"/>
      <c r="N415" s="50" t="n"/>
      <c r="O415" s="49" t="n"/>
      <c r="P415" s="50" t="n"/>
    </row>
    <row r="416">
      <c r="B416" s="49" t="n"/>
      <c r="C416" s="49" t="n"/>
      <c r="D416" s="49" t="n"/>
      <c r="E416" s="49" t="n"/>
      <c r="F416" s="49" t="n"/>
      <c r="J416" s="49" t="n"/>
      <c r="K416" s="49" t="n"/>
      <c r="L416" s="49" t="n"/>
      <c r="M416" s="49" t="n"/>
      <c r="N416" s="50" t="n"/>
      <c r="O416" s="49" t="n"/>
      <c r="P416" s="50" t="n"/>
    </row>
    <row r="417">
      <c r="B417" s="49" t="n"/>
      <c r="C417" s="49" t="n"/>
      <c r="D417" s="49" t="n"/>
      <c r="E417" s="49" t="n"/>
      <c r="F417" s="49" t="n"/>
      <c r="J417" s="49" t="n"/>
      <c r="K417" s="49" t="n"/>
      <c r="L417" s="49" t="n"/>
      <c r="M417" s="49" t="n"/>
      <c r="N417" s="50" t="n"/>
      <c r="O417" s="49" t="n"/>
      <c r="P417" s="50" t="n"/>
    </row>
    <row r="418">
      <c r="B418" s="49" t="n"/>
      <c r="C418" s="49" t="n"/>
      <c r="D418" s="49" t="n"/>
      <c r="E418" s="49" t="n"/>
      <c r="F418" s="49" t="n"/>
      <c r="J418" s="49" t="n"/>
      <c r="K418" s="49" t="n"/>
      <c r="L418" s="49" t="n"/>
      <c r="M418" s="49" t="n"/>
      <c r="N418" s="50" t="n"/>
      <c r="O418" s="49" t="n"/>
      <c r="P418" s="50" t="n"/>
    </row>
    <row r="419">
      <c r="B419" s="49" t="n"/>
      <c r="C419" s="49" t="n"/>
      <c r="D419" s="49" t="n"/>
      <c r="E419" s="49" t="n"/>
      <c r="F419" s="49" t="n"/>
      <c r="J419" s="49" t="n"/>
      <c r="K419" s="49" t="n"/>
      <c r="L419" s="49" t="n"/>
      <c r="M419" s="49" t="n"/>
      <c r="N419" s="50" t="n"/>
      <c r="O419" s="49" t="n"/>
      <c r="P419" s="50" t="n"/>
    </row>
    <row r="420">
      <c r="B420" s="49" t="n"/>
      <c r="C420" s="49" t="n"/>
      <c r="D420" s="49" t="n"/>
      <c r="E420" s="49" t="n"/>
      <c r="F420" s="49" t="n"/>
      <c r="J420" s="49" t="n"/>
      <c r="K420" s="49" t="n"/>
      <c r="L420" s="49" t="n"/>
      <c r="M420" s="49" t="n"/>
      <c r="N420" s="50" t="n"/>
      <c r="O420" s="49" t="n"/>
      <c r="P420" s="50" t="n"/>
    </row>
    <row r="421">
      <c r="B421" s="49" t="n"/>
      <c r="C421" s="49" t="n"/>
      <c r="D421" s="49" t="n"/>
      <c r="E421" s="49" t="n"/>
      <c r="F421" s="49" t="n"/>
      <c r="J421" s="49" t="n"/>
      <c r="K421" s="49" t="n"/>
      <c r="L421" s="49" t="n"/>
      <c r="M421" s="49" t="n"/>
      <c r="N421" s="50" t="n"/>
      <c r="O421" s="49" t="n"/>
      <c r="P421" s="50" t="n"/>
    </row>
    <row r="422">
      <c r="B422" s="49" t="n"/>
      <c r="C422" s="49" t="n"/>
      <c r="D422" s="49" t="n"/>
      <c r="E422" s="49" t="n"/>
      <c r="F422" s="49" t="n"/>
      <c r="J422" s="49" t="n"/>
      <c r="K422" s="49" t="n"/>
      <c r="L422" s="49" t="n"/>
      <c r="M422" s="49" t="n"/>
      <c r="N422" s="50" t="n"/>
      <c r="O422" s="49" t="n"/>
      <c r="P422" s="50" t="n"/>
    </row>
    <row r="423">
      <c r="B423" s="49" t="n"/>
      <c r="C423" s="49" t="n"/>
      <c r="D423" s="49" t="n"/>
      <c r="E423" s="49" t="n"/>
      <c r="F423" s="49" t="n"/>
      <c r="J423" s="49" t="n"/>
      <c r="K423" s="49" t="n"/>
      <c r="L423" s="49" t="n"/>
      <c r="M423" s="49" t="n"/>
      <c r="N423" s="50" t="n"/>
      <c r="O423" s="49" t="n"/>
      <c r="P423" s="50" t="n"/>
    </row>
    <row r="424">
      <c r="B424" s="49" t="n"/>
      <c r="C424" s="49" t="n"/>
      <c r="D424" s="49" t="n"/>
      <c r="E424" s="49" t="n"/>
      <c r="F424" s="49" t="n"/>
      <c r="J424" s="49" t="n"/>
      <c r="K424" s="49" t="n"/>
      <c r="L424" s="49" t="n"/>
      <c r="M424" s="49" t="n"/>
      <c r="N424" s="50" t="n"/>
      <c r="O424" s="49" t="n"/>
      <c r="P424" s="50" t="n"/>
    </row>
    <row r="425">
      <c r="B425" s="49" t="n"/>
      <c r="C425" s="49" t="n"/>
      <c r="D425" s="49" t="n"/>
      <c r="E425" s="49" t="n"/>
      <c r="F425" s="49" t="n"/>
      <c r="J425" s="49" t="n"/>
      <c r="K425" s="49" t="n"/>
      <c r="L425" s="49" t="n"/>
      <c r="M425" s="49" t="n"/>
      <c r="N425" s="50" t="n"/>
      <c r="O425" s="49" t="n"/>
      <c r="P425" s="50" t="n"/>
    </row>
    <row r="426">
      <c r="B426" s="49" t="n"/>
      <c r="C426" s="49" t="n"/>
      <c r="D426" s="49" t="n"/>
      <c r="E426" s="49" t="n"/>
      <c r="F426" s="49" t="n"/>
      <c r="J426" s="49" t="n"/>
      <c r="K426" s="49" t="n"/>
      <c r="L426" s="49" t="n"/>
      <c r="M426" s="49" t="n"/>
      <c r="N426" s="50" t="n"/>
      <c r="O426" s="49" t="n"/>
      <c r="P426" s="50" t="n"/>
    </row>
    <row r="427">
      <c r="B427" s="49" t="n"/>
      <c r="C427" s="49" t="n"/>
      <c r="D427" s="49" t="n"/>
      <c r="E427" s="49" t="n"/>
      <c r="F427" s="49" t="n"/>
      <c r="J427" s="49" t="n"/>
      <c r="K427" s="49" t="n"/>
      <c r="L427" s="49" t="n"/>
      <c r="M427" s="49" t="n"/>
      <c r="N427" s="50" t="n"/>
      <c r="O427" s="49" t="n"/>
      <c r="P427" s="50" t="n"/>
    </row>
    <row r="428">
      <c r="B428" s="49" t="n"/>
      <c r="C428" s="49" t="n"/>
      <c r="D428" s="49" t="n"/>
      <c r="E428" s="49" t="n"/>
      <c r="F428" s="49" t="n"/>
      <c r="J428" s="49" t="n"/>
      <c r="K428" s="49" t="n"/>
      <c r="L428" s="49" t="n"/>
      <c r="M428" s="49" t="n"/>
      <c r="N428" s="50" t="n"/>
      <c r="O428" s="49" t="n"/>
      <c r="P428" s="50" t="n"/>
    </row>
    <row r="429">
      <c r="B429" s="49" t="n"/>
      <c r="C429" s="49" t="n"/>
      <c r="D429" s="49" t="n"/>
      <c r="E429" s="49" t="n"/>
      <c r="F429" s="49" t="n"/>
      <c r="J429" s="49" t="n"/>
      <c r="K429" s="49" t="n"/>
      <c r="L429" s="49" t="n"/>
      <c r="M429" s="49" t="n"/>
      <c r="N429" s="50" t="n"/>
      <c r="O429" s="49" t="n"/>
      <c r="P429" s="50" t="n"/>
    </row>
    <row r="430">
      <c r="B430" s="49" t="n"/>
      <c r="C430" s="49" t="n"/>
      <c r="D430" s="49" t="n"/>
      <c r="E430" s="49" t="n"/>
      <c r="F430" s="49" t="n"/>
      <c r="J430" s="49" t="n"/>
      <c r="K430" s="49" t="n"/>
      <c r="L430" s="49" t="n"/>
      <c r="M430" s="49" t="n"/>
      <c r="N430" s="50" t="n"/>
      <c r="O430" s="49" t="n"/>
      <c r="P430" s="50" t="n"/>
    </row>
    <row r="431">
      <c r="B431" s="49" t="n"/>
      <c r="C431" s="49" t="n"/>
      <c r="D431" s="49" t="n"/>
      <c r="E431" s="49" t="n"/>
      <c r="F431" s="49" t="n"/>
      <c r="J431" s="49" t="n"/>
      <c r="K431" s="49" t="n"/>
      <c r="L431" s="49" t="n"/>
      <c r="M431" s="49" t="n"/>
      <c r="N431" s="50" t="n"/>
      <c r="O431" s="49" t="n"/>
      <c r="P431" s="50" t="n"/>
    </row>
    <row r="432">
      <c r="B432" s="49" t="n"/>
      <c r="C432" s="49" t="n"/>
      <c r="D432" s="49" t="n"/>
      <c r="E432" s="49" t="n"/>
      <c r="F432" s="49" t="n"/>
      <c r="J432" s="49" t="n"/>
      <c r="K432" s="49" t="n"/>
      <c r="L432" s="49" t="n"/>
      <c r="M432" s="49" t="n"/>
      <c r="N432" s="50" t="n"/>
      <c r="O432" s="49" t="n"/>
      <c r="P432" s="50" t="n"/>
    </row>
    <row r="433">
      <c r="B433" s="49" t="n"/>
      <c r="C433" s="49" t="n"/>
      <c r="D433" s="49" t="n"/>
      <c r="E433" s="49" t="n"/>
      <c r="F433" s="49" t="n"/>
      <c r="J433" s="49" t="n"/>
      <c r="K433" s="49" t="n"/>
      <c r="L433" s="49" t="n"/>
      <c r="M433" s="49" t="n"/>
      <c r="N433" s="50" t="n"/>
      <c r="O433" s="49" t="n"/>
      <c r="P433" s="50" t="n"/>
    </row>
    <row r="434">
      <c r="B434" s="49" t="n"/>
      <c r="C434" s="49" t="n"/>
      <c r="D434" s="49" t="n"/>
      <c r="E434" s="49" t="n"/>
      <c r="F434" s="49" t="n"/>
      <c r="J434" s="49" t="n"/>
      <c r="K434" s="49" t="n"/>
      <c r="L434" s="49" t="n"/>
      <c r="M434" s="49" t="n"/>
      <c r="N434" s="50" t="n"/>
      <c r="O434" s="49" t="n"/>
      <c r="P434" s="50" t="n"/>
    </row>
    <row r="435">
      <c r="B435" s="49" t="n"/>
      <c r="C435" s="49" t="n"/>
      <c r="D435" s="49" t="n"/>
      <c r="E435" s="49" t="n"/>
      <c r="F435" s="49" t="n"/>
      <c r="J435" s="49" t="n"/>
      <c r="K435" s="49" t="n"/>
      <c r="L435" s="49" t="n"/>
      <c r="M435" s="49" t="n"/>
      <c r="N435" s="50" t="n"/>
      <c r="O435" s="49" t="n"/>
      <c r="P435" s="50" t="n"/>
    </row>
    <row r="436">
      <c r="B436" s="49" t="n"/>
      <c r="C436" s="49" t="n"/>
      <c r="D436" s="49" t="n"/>
      <c r="E436" s="49" t="n"/>
      <c r="F436" s="49" t="n"/>
      <c r="J436" s="49" t="n"/>
      <c r="K436" s="49" t="n"/>
      <c r="L436" s="49" t="n"/>
      <c r="M436" s="49" t="n"/>
      <c r="N436" s="50" t="n"/>
      <c r="O436" s="49" t="n"/>
      <c r="P436" s="50" t="n"/>
    </row>
    <row r="437">
      <c r="B437" s="49" t="n"/>
      <c r="C437" s="49" t="n"/>
      <c r="D437" s="49" t="n"/>
      <c r="E437" s="49" t="n"/>
      <c r="F437" s="49" t="n"/>
      <c r="J437" s="49" t="n"/>
      <c r="K437" s="49" t="n"/>
      <c r="L437" s="49" t="n"/>
      <c r="M437" s="49" t="n"/>
      <c r="N437" s="50" t="n"/>
      <c r="O437" s="49" t="n"/>
      <c r="P437" s="50" t="n"/>
    </row>
    <row r="438">
      <c r="B438" s="49" t="n"/>
      <c r="C438" s="49" t="n"/>
      <c r="D438" s="49" t="n"/>
      <c r="E438" s="49" t="n"/>
      <c r="F438" s="49" t="n"/>
      <c r="J438" s="49" t="n"/>
      <c r="K438" s="49" t="n"/>
      <c r="L438" s="49" t="n"/>
      <c r="M438" s="49" t="n"/>
      <c r="N438" s="50" t="n"/>
      <c r="O438" s="49" t="n"/>
      <c r="P438" s="50" t="n"/>
    </row>
    <row r="439">
      <c r="B439" s="49" t="n"/>
      <c r="C439" s="49" t="n"/>
      <c r="D439" s="49" t="n"/>
      <c r="E439" s="49" t="n"/>
      <c r="F439" s="49" t="n"/>
      <c r="J439" s="49" t="n"/>
      <c r="K439" s="49" t="n"/>
      <c r="L439" s="49" t="n"/>
      <c r="M439" s="49" t="n"/>
      <c r="N439" s="50" t="n"/>
      <c r="O439" s="49" t="n"/>
      <c r="P439" s="50" t="n"/>
    </row>
    <row r="440">
      <c r="B440" s="49" t="n"/>
      <c r="C440" s="49" t="n"/>
      <c r="D440" s="49" t="n"/>
      <c r="E440" s="49" t="n"/>
      <c r="F440" s="49" t="n"/>
      <c r="J440" s="49" t="n"/>
      <c r="K440" s="49" t="n"/>
      <c r="L440" s="49" t="n"/>
      <c r="M440" s="49" t="n"/>
      <c r="N440" s="50" t="n"/>
      <c r="O440" s="49" t="n"/>
      <c r="P440" s="50" t="n"/>
    </row>
    <row r="441">
      <c r="B441" s="49" t="n"/>
      <c r="C441" s="49" t="n"/>
      <c r="D441" s="49" t="n"/>
      <c r="E441" s="49" t="n"/>
      <c r="F441" s="49" t="n"/>
      <c r="J441" s="49" t="n"/>
      <c r="K441" s="49" t="n"/>
      <c r="L441" s="49" t="n"/>
      <c r="M441" s="49" t="n"/>
      <c r="N441" s="50" t="n"/>
      <c r="O441" s="49" t="n"/>
      <c r="P441" s="50" t="n"/>
    </row>
    <row r="442">
      <c r="B442" s="49" t="n"/>
      <c r="C442" s="49" t="n"/>
      <c r="D442" s="49" t="n"/>
      <c r="E442" s="49" t="n"/>
      <c r="F442" s="49" t="n"/>
      <c r="J442" s="49" t="n"/>
      <c r="K442" s="49" t="n"/>
      <c r="L442" s="49" t="n"/>
      <c r="M442" s="49" t="n"/>
      <c r="N442" s="50" t="n"/>
      <c r="O442" s="49" t="n"/>
      <c r="P442" s="50" t="n"/>
    </row>
    <row r="443">
      <c r="B443" s="49" t="n"/>
      <c r="C443" s="49" t="n"/>
      <c r="D443" s="49" t="n"/>
      <c r="E443" s="49" t="n"/>
      <c r="F443" s="49" t="n"/>
      <c r="J443" s="49" t="n"/>
      <c r="K443" s="49" t="n"/>
      <c r="L443" s="49" t="n"/>
      <c r="M443" s="49" t="n"/>
      <c r="N443" s="50" t="n"/>
      <c r="O443" s="49" t="n"/>
      <c r="P443" s="50" t="n"/>
    </row>
    <row r="444">
      <c r="B444" s="49" t="n"/>
      <c r="C444" s="49" t="n"/>
      <c r="D444" s="49" t="n"/>
      <c r="E444" s="49" t="n"/>
      <c r="F444" s="49" t="n"/>
      <c r="J444" s="49" t="n"/>
      <c r="K444" s="49" t="n"/>
      <c r="L444" s="49" t="n"/>
      <c r="M444" s="49" t="n"/>
      <c r="N444" s="50" t="n"/>
      <c r="O444" s="49" t="n"/>
      <c r="P444" s="50" t="n"/>
    </row>
    <row r="445">
      <c r="B445" s="49" t="n"/>
      <c r="C445" s="49" t="n"/>
      <c r="D445" s="49" t="n"/>
      <c r="E445" s="49" t="n"/>
      <c r="F445" s="49" t="n"/>
      <c r="J445" s="49" t="n"/>
      <c r="K445" s="49" t="n"/>
      <c r="L445" s="49" t="n"/>
      <c r="M445" s="49" t="n"/>
      <c r="N445" s="50" t="n"/>
      <c r="O445" s="49" t="n"/>
      <c r="P445" s="50" t="n"/>
    </row>
    <row r="446">
      <c r="B446" s="49" t="n"/>
      <c r="C446" s="49" t="n"/>
      <c r="D446" s="49" t="n"/>
      <c r="E446" s="49" t="n"/>
      <c r="F446" s="49" t="n"/>
      <c r="J446" s="49" t="n"/>
      <c r="K446" s="49" t="n"/>
      <c r="L446" s="49" t="n"/>
      <c r="M446" s="49" t="n"/>
      <c r="N446" s="50" t="n"/>
      <c r="O446" s="49" t="n"/>
      <c r="P446" s="50" t="n"/>
    </row>
    <row r="447">
      <c r="B447" s="49" t="n"/>
      <c r="C447" s="49" t="n"/>
      <c r="D447" s="49" t="n"/>
      <c r="E447" s="49" t="n"/>
      <c r="F447" s="49" t="n"/>
      <c r="J447" s="49" t="n"/>
      <c r="K447" s="49" t="n"/>
      <c r="L447" s="49" t="n"/>
      <c r="M447" s="49" t="n"/>
      <c r="N447" s="50" t="n"/>
      <c r="O447" s="49" t="n"/>
      <c r="P447" s="50" t="n"/>
    </row>
    <row r="448">
      <c r="B448" s="49" t="n"/>
      <c r="C448" s="49" t="n"/>
      <c r="D448" s="49" t="n"/>
      <c r="E448" s="49" t="n"/>
      <c r="F448" s="49" t="n"/>
      <c r="J448" s="49" t="n"/>
      <c r="K448" s="49" t="n"/>
      <c r="L448" s="49" t="n"/>
      <c r="M448" s="49" t="n"/>
      <c r="N448" s="50" t="n"/>
      <c r="O448" s="49" t="n"/>
      <c r="P448" s="50" t="n"/>
    </row>
    <row r="449">
      <c r="B449" s="49" t="n"/>
      <c r="C449" s="49" t="n"/>
      <c r="D449" s="49" t="n"/>
      <c r="E449" s="49" t="n"/>
      <c r="F449" s="49" t="n"/>
      <c r="J449" s="49" t="n"/>
      <c r="K449" s="49" t="n"/>
      <c r="L449" s="49" t="n"/>
      <c r="M449" s="49" t="n"/>
      <c r="N449" s="50" t="n"/>
      <c r="O449" s="49" t="n"/>
      <c r="P449" s="50" t="n"/>
    </row>
    <row r="450">
      <c r="B450" s="49" t="n"/>
      <c r="C450" s="49" t="n"/>
      <c r="D450" s="49" t="n"/>
      <c r="E450" s="49" t="n"/>
      <c r="F450" s="49" t="n"/>
      <c r="J450" s="49" t="n"/>
      <c r="K450" s="49" t="n"/>
      <c r="L450" s="49" t="n"/>
      <c r="M450" s="49" t="n"/>
      <c r="N450" s="50" t="n"/>
      <c r="O450" s="49" t="n"/>
      <c r="P450" s="50" t="n"/>
    </row>
    <row r="451">
      <c r="B451" s="49" t="n"/>
      <c r="C451" s="49" t="n"/>
      <c r="D451" s="49" t="n"/>
      <c r="E451" s="49" t="n"/>
      <c r="F451" s="49" t="n"/>
      <c r="J451" s="49" t="n"/>
      <c r="K451" s="49" t="n"/>
      <c r="L451" s="49" t="n"/>
      <c r="M451" s="49" t="n"/>
      <c r="N451" s="50" t="n"/>
      <c r="O451" s="49" t="n"/>
      <c r="P451" s="50" t="n"/>
    </row>
    <row r="452">
      <c r="B452" s="49" t="n"/>
      <c r="C452" s="49" t="n"/>
      <c r="D452" s="49" t="n"/>
      <c r="E452" s="49" t="n"/>
      <c r="F452" s="49" t="n"/>
      <c r="J452" s="49" t="n"/>
      <c r="K452" s="49" t="n"/>
      <c r="L452" s="49" t="n"/>
      <c r="M452" s="49" t="n"/>
      <c r="N452" s="50" t="n"/>
      <c r="O452" s="49" t="n"/>
      <c r="P452" s="50" t="n"/>
    </row>
    <row r="453">
      <c r="B453" s="49" t="n"/>
      <c r="C453" s="49" t="n"/>
      <c r="D453" s="49" t="n"/>
      <c r="E453" s="49" t="n"/>
      <c r="F453" s="49" t="n"/>
      <c r="J453" s="49" t="n"/>
      <c r="K453" s="49" t="n"/>
      <c r="L453" s="49" t="n"/>
      <c r="M453" s="49" t="n"/>
      <c r="N453" s="50" t="n"/>
      <c r="O453" s="49" t="n"/>
      <c r="P453" s="50" t="n"/>
    </row>
    <row r="454">
      <c r="B454" s="49" t="n"/>
      <c r="C454" s="49" t="n"/>
      <c r="D454" s="49" t="n"/>
      <c r="E454" s="49" t="n"/>
      <c r="F454" s="49" t="n"/>
      <c r="J454" s="49" t="n"/>
      <c r="K454" s="49" t="n"/>
      <c r="L454" s="49" t="n"/>
      <c r="M454" s="49" t="n"/>
      <c r="N454" s="50" t="n"/>
      <c r="O454" s="49" t="n"/>
      <c r="P454" s="50" t="n"/>
    </row>
    <row r="455">
      <c r="B455" s="49" t="n"/>
      <c r="C455" s="49" t="n"/>
      <c r="D455" s="49" t="n"/>
      <c r="E455" s="49" t="n"/>
      <c r="F455" s="49" t="n"/>
      <c r="J455" s="49" t="n"/>
      <c r="K455" s="49" t="n"/>
      <c r="L455" s="49" t="n"/>
      <c r="M455" s="49" t="n"/>
      <c r="N455" s="50" t="n"/>
      <c r="O455" s="49" t="n"/>
      <c r="P455" s="50" t="n"/>
    </row>
    <row r="456">
      <c r="B456" s="49" t="n"/>
      <c r="C456" s="49" t="n"/>
      <c r="D456" s="49" t="n"/>
      <c r="E456" s="49" t="n"/>
      <c r="F456" s="49" t="n"/>
      <c r="J456" s="49" t="n"/>
      <c r="K456" s="49" t="n"/>
      <c r="L456" s="49" t="n"/>
      <c r="M456" s="49" t="n"/>
      <c r="N456" s="50" t="n"/>
      <c r="O456" s="49" t="n"/>
      <c r="P456" s="50" t="n"/>
    </row>
    <row r="457">
      <c r="B457" s="49" t="n"/>
      <c r="C457" s="49" t="n"/>
      <c r="D457" s="49" t="n"/>
      <c r="E457" s="49" t="n"/>
      <c r="F457" s="49" t="n"/>
      <c r="J457" s="49" t="n"/>
      <c r="K457" s="49" t="n"/>
      <c r="L457" s="49" t="n"/>
      <c r="M457" s="49" t="n"/>
      <c r="N457" s="50" t="n"/>
      <c r="O457" s="49" t="n"/>
      <c r="P457" s="50" t="n"/>
    </row>
    <row r="458">
      <c r="B458" s="49" t="n"/>
      <c r="C458" s="49" t="n"/>
      <c r="D458" s="49" t="n"/>
      <c r="E458" s="49" t="n"/>
      <c r="F458" s="49" t="n"/>
      <c r="J458" s="49" t="n"/>
      <c r="K458" s="49" t="n"/>
      <c r="L458" s="49" t="n"/>
      <c r="M458" s="49" t="n"/>
      <c r="N458" s="50" t="n"/>
      <c r="O458" s="49" t="n"/>
      <c r="P458" s="50" t="n"/>
    </row>
    <row r="459">
      <c r="B459" s="49" t="n"/>
      <c r="C459" s="49" t="n"/>
      <c r="D459" s="49" t="n"/>
      <c r="E459" s="49" t="n"/>
      <c r="F459" s="49" t="n"/>
      <c r="J459" s="49" t="n"/>
      <c r="K459" s="49" t="n"/>
      <c r="L459" s="49" t="n"/>
      <c r="M459" s="49" t="n"/>
      <c r="N459" s="50" t="n"/>
      <c r="O459" s="49" t="n"/>
      <c r="P459" s="50" t="n"/>
    </row>
    <row r="460">
      <c r="B460" s="49" t="n"/>
      <c r="C460" s="49" t="n"/>
      <c r="D460" s="49" t="n"/>
      <c r="E460" s="49" t="n"/>
      <c r="F460" s="49" t="n"/>
      <c r="J460" s="49" t="n"/>
      <c r="K460" s="49" t="n"/>
      <c r="L460" s="49" t="n"/>
      <c r="M460" s="49" t="n"/>
      <c r="N460" s="50" t="n"/>
      <c r="O460" s="49" t="n"/>
      <c r="P460" s="50" t="n"/>
    </row>
    <row r="461">
      <c r="B461" s="49" t="n"/>
      <c r="C461" s="49" t="n"/>
      <c r="D461" s="49" t="n"/>
      <c r="E461" s="49" t="n"/>
      <c r="F461" s="49" t="n"/>
      <c r="J461" s="49" t="n"/>
      <c r="K461" s="49" t="n"/>
      <c r="L461" s="49" t="n"/>
      <c r="M461" s="49" t="n"/>
      <c r="N461" s="50" t="n"/>
      <c r="O461" s="49" t="n"/>
      <c r="P461" s="50" t="n"/>
    </row>
    <row r="462">
      <c r="B462" s="49" t="n"/>
      <c r="C462" s="49" t="n"/>
      <c r="D462" s="49" t="n"/>
      <c r="E462" s="49" t="n"/>
      <c r="F462" s="49" t="n"/>
      <c r="J462" s="49" t="n"/>
      <c r="K462" s="49" t="n"/>
      <c r="L462" s="49" t="n"/>
      <c r="M462" s="49" t="n"/>
      <c r="N462" s="50" t="n"/>
      <c r="O462" s="49" t="n"/>
      <c r="P462" s="50" t="n"/>
    </row>
    <row r="463">
      <c r="B463" s="49" t="n"/>
      <c r="C463" s="49" t="n"/>
      <c r="D463" s="49" t="n"/>
      <c r="E463" s="49" t="n"/>
      <c r="F463" s="49" t="n"/>
      <c r="J463" s="49" t="n"/>
      <c r="K463" s="49" t="n"/>
      <c r="L463" s="49" t="n"/>
      <c r="M463" s="49" t="n"/>
      <c r="N463" s="50" t="n"/>
      <c r="O463" s="49" t="n"/>
      <c r="P463" s="50" t="n"/>
    </row>
    <row r="464">
      <c r="B464" s="49" t="n"/>
      <c r="C464" s="49" t="n"/>
      <c r="D464" s="49" t="n"/>
      <c r="E464" s="49" t="n"/>
      <c r="F464" s="49" t="n"/>
      <c r="J464" s="49" t="n"/>
      <c r="K464" s="49" t="n"/>
      <c r="L464" s="49" t="n"/>
      <c r="M464" s="49" t="n"/>
      <c r="N464" s="50" t="n"/>
      <c r="O464" s="49" t="n"/>
      <c r="P464" s="50" t="n"/>
    </row>
    <row r="465">
      <c r="B465" s="49" t="n"/>
      <c r="C465" s="49" t="n"/>
      <c r="D465" s="49" t="n"/>
      <c r="E465" s="49" t="n"/>
      <c r="F465" s="49" t="n"/>
      <c r="J465" s="49" t="n"/>
      <c r="K465" s="49" t="n"/>
      <c r="L465" s="49" t="n"/>
      <c r="M465" s="49" t="n"/>
      <c r="N465" s="50" t="n"/>
      <c r="O465" s="49" t="n"/>
      <c r="P465" s="50" t="n"/>
    </row>
    <row r="466">
      <c r="B466" s="49" t="n"/>
      <c r="C466" s="49" t="n"/>
      <c r="D466" s="49" t="n"/>
      <c r="E466" s="49" t="n"/>
      <c r="F466" s="49" t="n"/>
      <c r="J466" s="49" t="n"/>
      <c r="K466" s="49" t="n"/>
      <c r="L466" s="49" t="n"/>
      <c r="M466" s="49" t="n"/>
      <c r="N466" s="50" t="n"/>
      <c r="O466" s="49" t="n"/>
      <c r="P466" s="50" t="n"/>
    </row>
    <row r="467">
      <c r="B467" s="49" t="n"/>
      <c r="C467" s="49" t="n"/>
      <c r="D467" s="49" t="n"/>
      <c r="E467" s="49" t="n"/>
      <c r="F467" s="49" t="n"/>
      <c r="J467" s="49" t="n"/>
      <c r="K467" s="49" t="n"/>
      <c r="L467" s="49" t="n"/>
      <c r="M467" s="49" t="n"/>
      <c r="N467" s="50" t="n"/>
      <c r="O467" s="49" t="n"/>
      <c r="P467" s="50" t="n"/>
    </row>
    <row r="468">
      <c r="B468" s="49" t="n"/>
      <c r="C468" s="49" t="n"/>
      <c r="D468" s="49" t="n"/>
      <c r="E468" s="49" t="n"/>
      <c r="F468" s="49" t="n"/>
      <c r="J468" s="49" t="n"/>
      <c r="K468" s="49" t="n"/>
      <c r="L468" s="49" t="n"/>
      <c r="M468" s="49" t="n"/>
      <c r="N468" s="50" t="n"/>
      <c r="O468" s="49" t="n"/>
      <c r="P468" s="50" t="n"/>
    </row>
    <row r="469">
      <c r="B469" s="49" t="n"/>
      <c r="C469" s="49" t="n"/>
      <c r="D469" s="49" t="n"/>
      <c r="E469" s="49" t="n"/>
      <c r="F469" s="49" t="n"/>
      <c r="J469" s="49" t="n"/>
      <c r="K469" s="49" t="n"/>
      <c r="L469" s="49" t="n"/>
      <c r="M469" s="49" t="n"/>
      <c r="N469" s="50" t="n"/>
      <c r="O469" s="49" t="n"/>
      <c r="P469" s="50" t="n"/>
    </row>
    <row r="470">
      <c r="B470" s="49" t="n"/>
      <c r="C470" s="49" t="n"/>
      <c r="D470" s="49" t="n"/>
      <c r="E470" s="49" t="n"/>
      <c r="F470" s="49" t="n"/>
      <c r="J470" s="49" t="n"/>
      <c r="K470" s="49" t="n"/>
      <c r="L470" s="49" t="n"/>
      <c r="M470" s="49" t="n"/>
      <c r="N470" s="50" t="n"/>
      <c r="O470" s="49" t="n"/>
      <c r="P470" s="50" t="n"/>
    </row>
    <row r="471">
      <c r="B471" s="49" t="n"/>
      <c r="C471" s="49" t="n"/>
      <c r="D471" s="49" t="n"/>
      <c r="E471" s="49" t="n"/>
      <c r="F471" s="49" t="n"/>
      <c r="J471" s="49" t="n"/>
      <c r="K471" s="49" t="n"/>
      <c r="L471" s="49" t="n"/>
      <c r="M471" s="49" t="n"/>
      <c r="N471" s="50" t="n"/>
      <c r="O471" s="49" t="n"/>
      <c r="P471" s="50" t="n"/>
    </row>
    <row r="472">
      <c r="B472" s="49" t="n"/>
      <c r="C472" s="49" t="n"/>
      <c r="D472" s="49" t="n"/>
      <c r="E472" s="49" t="n"/>
      <c r="F472" s="49" t="n"/>
      <c r="J472" s="49" t="n"/>
      <c r="K472" s="49" t="n"/>
      <c r="L472" s="49" t="n"/>
      <c r="M472" s="49" t="n"/>
      <c r="N472" s="50" t="n"/>
      <c r="O472" s="49" t="n"/>
      <c r="P472" s="50" t="n"/>
    </row>
    <row r="473">
      <c r="B473" s="49" t="n"/>
      <c r="C473" s="49" t="n"/>
      <c r="D473" s="49" t="n"/>
      <c r="E473" s="49" t="n"/>
      <c r="F473" s="49" t="n"/>
      <c r="J473" s="49" t="n"/>
      <c r="K473" s="49" t="n"/>
      <c r="L473" s="49" t="n"/>
      <c r="M473" s="49" t="n"/>
      <c r="N473" s="50" t="n"/>
      <c r="O473" s="49" t="n"/>
      <c r="P473" s="50" t="n"/>
    </row>
    <row r="474">
      <c r="B474" s="49" t="n"/>
      <c r="C474" s="49" t="n"/>
      <c r="D474" s="49" t="n"/>
      <c r="E474" s="49" t="n"/>
      <c r="F474" s="49" t="n"/>
      <c r="J474" s="49" t="n"/>
      <c r="K474" s="49" t="n"/>
      <c r="L474" s="49" t="n"/>
      <c r="M474" s="49" t="n"/>
      <c r="N474" s="50" t="n"/>
      <c r="O474" s="49" t="n"/>
      <c r="P474" s="50" t="n"/>
    </row>
    <row r="475">
      <c r="B475" s="49" t="n"/>
      <c r="C475" s="49" t="n"/>
      <c r="D475" s="49" t="n"/>
      <c r="E475" s="49" t="n"/>
      <c r="F475" s="49" t="n"/>
      <c r="J475" s="49" t="n"/>
      <c r="K475" s="49" t="n"/>
      <c r="L475" s="49" t="n"/>
      <c r="M475" s="49" t="n"/>
      <c r="N475" s="50" t="n"/>
      <c r="O475" s="49" t="n"/>
      <c r="P475" s="50" t="n"/>
    </row>
    <row r="476">
      <c r="B476" s="49" t="n"/>
      <c r="C476" s="49" t="n"/>
      <c r="D476" s="49" t="n"/>
      <c r="E476" s="49" t="n"/>
      <c r="F476" s="49" t="n"/>
      <c r="J476" s="49" t="n"/>
      <c r="K476" s="49" t="n"/>
      <c r="L476" s="49" t="n"/>
      <c r="M476" s="49" t="n"/>
      <c r="N476" s="50" t="n"/>
      <c r="O476" s="49" t="n"/>
      <c r="P476" s="50" t="n"/>
    </row>
    <row r="477">
      <c r="B477" s="49" t="n"/>
      <c r="C477" s="49" t="n"/>
      <c r="D477" s="49" t="n"/>
      <c r="E477" s="49" t="n"/>
      <c r="F477" s="49" t="n"/>
      <c r="J477" s="49" t="n"/>
      <c r="K477" s="49" t="n"/>
      <c r="L477" s="49" t="n"/>
      <c r="M477" s="49" t="n"/>
      <c r="N477" s="50" t="n"/>
      <c r="O477" s="49" t="n"/>
      <c r="P477" s="50" t="n"/>
    </row>
    <row r="478">
      <c r="B478" s="49" t="n"/>
      <c r="C478" s="49" t="n"/>
      <c r="D478" s="49" t="n"/>
      <c r="E478" s="49" t="n"/>
      <c r="F478" s="49" t="n"/>
      <c r="J478" s="49" t="n"/>
      <c r="K478" s="49" t="n"/>
      <c r="L478" s="49" t="n"/>
      <c r="M478" s="49" t="n"/>
      <c r="N478" s="50" t="n"/>
      <c r="O478" s="49" t="n"/>
      <c r="P478" s="50" t="n"/>
    </row>
    <row r="479">
      <c r="B479" s="49" t="n"/>
      <c r="C479" s="49" t="n"/>
      <c r="D479" s="49" t="n"/>
      <c r="E479" s="49" t="n"/>
      <c r="F479" s="49" t="n"/>
      <c r="J479" s="49" t="n"/>
      <c r="K479" s="49" t="n"/>
      <c r="L479" s="49" t="n"/>
      <c r="M479" s="49" t="n"/>
      <c r="N479" s="50" t="n"/>
      <c r="O479" s="49" t="n"/>
      <c r="P479" s="50" t="n"/>
    </row>
    <row r="480">
      <c r="B480" s="49" t="n"/>
      <c r="C480" s="49" t="n"/>
      <c r="D480" s="49" t="n"/>
      <c r="E480" s="49" t="n"/>
      <c r="F480" s="49" t="n"/>
      <c r="J480" s="49" t="n"/>
      <c r="K480" s="49" t="n"/>
      <c r="L480" s="49" t="n"/>
      <c r="M480" s="49" t="n"/>
      <c r="N480" s="50" t="n"/>
      <c r="O480" s="49" t="n"/>
      <c r="P480" s="50" t="n"/>
    </row>
    <row r="481">
      <c r="B481" s="49" t="n"/>
      <c r="C481" s="49" t="n"/>
      <c r="D481" s="49" t="n"/>
      <c r="E481" s="49" t="n"/>
      <c r="F481" s="49" t="n"/>
      <c r="J481" s="49" t="n"/>
      <c r="K481" s="49" t="n"/>
      <c r="L481" s="49" t="n"/>
      <c r="M481" s="49" t="n"/>
      <c r="N481" s="50" t="n"/>
      <c r="O481" s="49" t="n"/>
      <c r="P481" s="50" t="n"/>
    </row>
    <row r="482">
      <c r="B482" s="49" t="n"/>
      <c r="C482" s="49" t="n"/>
      <c r="D482" s="49" t="n"/>
      <c r="E482" s="49" t="n"/>
      <c r="F482" s="49" t="n"/>
      <c r="J482" s="49" t="n"/>
      <c r="K482" s="49" t="n"/>
      <c r="L482" s="49" t="n"/>
      <c r="M482" s="49" t="n"/>
      <c r="N482" s="50" t="n"/>
      <c r="O482" s="49" t="n"/>
      <c r="P482" s="50" t="n"/>
    </row>
    <row r="483">
      <c r="B483" s="49" t="n"/>
      <c r="C483" s="49" t="n"/>
      <c r="D483" s="49" t="n"/>
      <c r="E483" s="49" t="n"/>
      <c r="F483" s="49" t="n"/>
      <c r="J483" s="49" t="n"/>
      <c r="K483" s="49" t="n"/>
      <c r="L483" s="49" t="n"/>
      <c r="M483" s="49" t="n"/>
      <c r="N483" s="50" t="n"/>
      <c r="O483" s="49" t="n"/>
      <c r="P483" s="50" t="n"/>
    </row>
    <row r="484">
      <c r="B484" s="49" t="n"/>
      <c r="C484" s="49" t="n"/>
      <c r="D484" s="49" t="n"/>
      <c r="E484" s="49" t="n"/>
      <c r="F484" s="49" t="n"/>
      <c r="J484" s="49" t="n"/>
      <c r="K484" s="49" t="n"/>
      <c r="L484" s="49" t="n"/>
      <c r="M484" s="49" t="n"/>
      <c r="N484" s="50" t="n"/>
      <c r="O484" s="49" t="n"/>
      <c r="P484" s="50" t="n"/>
    </row>
    <row r="485">
      <c r="B485" s="49" t="n"/>
      <c r="C485" s="49" t="n"/>
      <c r="D485" s="49" t="n"/>
      <c r="E485" s="49" t="n"/>
      <c r="F485" s="49" t="n"/>
      <c r="J485" s="49" t="n"/>
      <c r="K485" s="49" t="n"/>
      <c r="L485" s="49" t="n"/>
      <c r="M485" s="49" t="n"/>
      <c r="N485" s="50" t="n"/>
      <c r="O485" s="49" t="n"/>
      <c r="P485" s="50" t="n"/>
    </row>
    <row r="486">
      <c r="B486" s="49" t="n"/>
      <c r="C486" s="49" t="n"/>
      <c r="D486" s="49" t="n"/>
      <c r="E486" s="49" t="n"/>
      <c r="F486" s="49" t="n"/>
      <c r="J486" s="49" t="n"/>
      <c r="K486" s="49" t="n"/>
      <c r="L486" s="49" t="n"/>
      <c r="M486" s="49" t="n"/>
      <c r="N486" s="50" t="n"/>
      <c r="O486" s="49" t="n"/>
      <c r="P486" s="50" t="n"/>
    </row>
    <row r="487">
      <c r="B487" s="49" t="n"/>
      <c r="C487" s="49" t="n"/>
      <c r="D487" s="49" t="n"/>
      <c r="E487" s="49" t="n"/>
      <c r="F487" s="49" t="n"/>
      <c r="J487" s="49" t="n"/>
      <c r="K487" s="49" t="n"/>
      <c r="L487" s="49" t="n"/>
      <c r="M487" s="49" t="n"/>
      <c r="N487" s="50" t="n"/>
      <c r="O487" s="49" t="n"/>
      <c r="P487" s="50" t="n"/>
    </row>
    <row r="488">
      <c r="B488" s="49" t="n"/>
      <c r="C488" s="49" t="n"/>
      <c r="D488" s="49" t="n"/>
      <c r="E488" s="49" t="n"/>
      <c r="F488" s="49" t="n"/>
      <c r="J488" s="49" t="n"/>
      <c r="K488" s="49" t="n"/>
      <c r="L488" s="49" t="n"/>
      <c r="M488" s="49" t="n"/>
      <c r="N488" s="50" t="n"/>
      <c r="O488" s="49" t="n"/>
      <c r="P488" s="50" t="n"/>
    </row>
    <row r="489">
      <c r="B489" s="49" t="n"/>
      <c r="C489" s="49" t="n"/>
      <c r="D489" s="49" t="n"/>
      <c r="E489" s="49" t="n"/>
      <c r="F489" s="49" t="n"/>
      <c r="J489" s="49" t="n"/>
      <c r="K489" s="49" t="n"/>
      <c r="L489" s="49" t="n"/>
      <c r="M489" s="49" t="n"/>
      <c r="N489" s="50" t="n"/>
      <c r="O489" s="49" t="n"/>
      <c r="P489" s="50" t="n"/>
    </row>
    <row r="490">
      <c r="B490" s="49" t="n"/>
      <c r="C490" s="49" t="n"/>
      <c r="D490" s="49" t="n"/>
      <c r="E490" s="49" t="n"/>
      <c r="F490" s="49" t="n"/>
      <c r="J490" s="49" t="n"/>
      <c r="K490" s="49" t="n"/>
      <c r="L490" s="49" t="n"/>
      <c r="M490" s="49" t="n"/>
      <c r="N490" s="50" t="n"/>
      <c r="O490" s="49" t="n"/>
      <c r="P490" s="50" t="n"/>
    </row>
    <row r="491">
      <c r="B491" s="49" t="n"/>
      <c r="C491" s="49" t="n"/>
      <c r="D491" s="49" t="n"/>
      <c r="E491" s="49" t="n"/>
      <c r="F491" s="49" t="n"/>
      <c r="J491" s="49" t="n"/>
      <c r="K491" s="49" t="n"/>
      <c r="L491" s="49" t="n"/>
      <c r="M491" s="49" t="n"/>
      <c r="N491" s="50" t="n"/>
      <c r="O491" s="49" t="n"/>
      <c r="P491" s="50" t="n"/>
    </row>
    <row r="492">
      <c r="B492" s="49" t="n"/>
      <c r="C492" s="49" t="n"/>
      <c r="D492" s="49" t="n"/>
      <c r="E492" s="49" t="n"/>
      <c r="F492" s="49" t="n"/>
      <c r="J492" s="49" t="n"/>
      <c r="K492" s="49" t="n"/>
      <c r="L492" s="49" t="n"/>
      <c r="M492" s="49" t="n"/>
      <c r="N492" s="50" t="n"/>
      <c r="O492" s="49" t="n"/>
      <c r="P492" s="50" t="n"/>
    </row>
    <row r="493">
      <c r="B493" s="49" t="n"/>
      <c r="C493" s="49" t="n"/>
      <c r="D493" s="49" t="n"/>
      <c r="E493" s="49" t="n"/>
      <c r="F493" s="49" t="n"/>
      <c r="J493" s="49" t="n"/>
      <c r="K493" s="49" t="n"/>
      <c r="L493" s="49" t="n"/>
      <c r="M493" s="49" t="n"/>
      <c r="N493" s="50" t="n"/>
      <c r="O493" s="49" t="n"/>
      <c r="P493" s="50" t="n"/>
    </row>
    <row r="494">
      <c r="B494" s="49" t="n"/>
      <c r="C494" s="49" t="n"/>
      <c r="D494" s="49" t="n"/>
      <c r="E494" s="49" t="n"/>
      <c r="F494" s="49" t="n"/>
      <c r="J494" s="49" t="n"/>
      <c r="K494" s="49" t="n"/>
      <c r="L494" s="49" t="n"/>
      <c r="M494" s="49" t="n"/>
      <c r="N494" s="50" t="n"/>
      <c r="O494" s="49" t="n"/>
      <c r="P494" s="50" t="n"/>
    </row>
    <row r="495">
      <c r="B495" s="49" t="n"/>
      <c r="C495" s="49" t="n"/>
      <c r="D495" s="49" t="n"/>
      <c r="E495" s="49" t="n"/>
      <c r="F495" s="49" t="n"/>
      <c r="J495" s="49" t="n"/>
      <c r="K495" s="49" t="n"/>
      <c r="L495" s="49" t="n"/>
      <c r="M495" s="49" t="n"/>
      <c r="N495" s="50" t="n"/>
      <c r="O495" s="49" t="n"/>
      <c r="P495" s="50" t="n"/>
    </row>
    <row r="496">
      <c r="B496" s="49" t="n"/>
      <c r="C496" s="49" t="n"/>
      <c r="D496" s="49" t="n"/>
      <c r="E496" s="49" t="n"/>
      <c r="F496" s="49" t="n"/>
      <c r="J496" s="49" t="n"/>
      <c r="K496" s="49" t="n"/>
      <c r="L496" s="49" t="n"/>
      <c r="M496" s="49" t="n"/>
      <c r="N496" s="50" t="n"/>
      <c r="O496" s="49" t="n"/>
      <c r="P496" s="50" t="n"/>
    </row>
    <row r="497">
      <c r="B497" s="49" t="n"/>
      <c r="C497" s="49" t="n"/>
      <c r="D497" s="49" t="n"/>
      <c r="E497" s="49" t="n"/>
      <c r="F497" s="49" t="n"/>
      <c r="J497" s="49" t="n"/>
      <c r="K497" s="49" t="n"/>
      <c r="L497" s="49" t="n"/>
      <c r="M497" s="49" t="n"/>
      <c r="N497" s="50" t="n"/>
      <c r="O497" s="49" t="n"/>
      <c r="P497" s="50" t="n"/>
    </row>
    <row r="498">
      <c r="B498" s="49" t="n"/>
      <c r="C498" s="49" t="n"/>
      <c r="D498" s="49" t="n"/>
      <c r="E498" s="49" t="n"/>
      <c r="F498" s="49" t="n"/>
      <c r="J498" s="49" t="n"/>
      <c r="K498" s="49" t="n"/>
      <c r="L498" s="49" t="n"/>
      <c r="M498" s="49" t="n"/>
      <c r="N498" s="50" t="n"/>
      <c r="O498" s="49" t="n"/>
      <c r="P498" s="50" t="n"/>
    </row>
    <row r="499">
      <c r="B499" s="49" t="n"/>
      <c r="C499" s="49" t="n"/>
      <c r="D499" s="49" t="n"/>
      <c r="E499" s="49" t="n"/>
      <c r="F499" s="49" t="n"/>
      <c r="J499" s="49" t="n"/>
      <c r="K499" s="49" t="n"/>
      <c r="L499" s="49" t="n"/>
      <c r="M499" s="49" t="n"/>
      <c r="N499" s="50" t="n"/>
      <c r="O499" s="49" t="n"/>
      <c r="P499" s="50" t="n"/>
    </row>
    <row r="500">
      <c r="B500" s="49" t="n"/>
      <c r="C500" s="49" t="n"/>
      <c r="D500" s="49" t="n"/>
      <c r="E500" s="49" t="n"/>
      <c r="F500" s="49" t="n"/>
      <c r="J500" s="49" t="n"/>
      <c r="K500" s="49" t="n"/>
      <c r="L500" s="49" t="n"/>
      <c r="M500" s="49" t="n"/>
      <c r="N500" s="50" t="n"/>
      <c r="O500" s="49" t="n"/>
      <c r="P500" s="50" t="n"/>
    </row>
    <row r="501">
      <c r="B501" s="49" t="n"/>
      <c r="C501" s="49" t="n"/>
      <c r="D501" s="49" t="n"/>
      <c r="E501" s="49" t="n"/>
      <c r="F501" s="49" t="n"/>
      <c r="J501" s="49" t="n"/>
      <c r="K501" s="49" t="n"/>
      <c r="L501" s="49" t="n"/>
      <c r="M501" s="49" t="n"/>
      <c r="N501" s="50" t="n"/>
      <c r="O501" s="49" t="n"/>
      <c r="P501" s="50" t="n"/>
    </row>
    <row r="502">
      <c r="B502" s="49" t="n"/>
      <c r="C502" s="49" t="n"/>
      <c r="D502" s="49" t="n"/>
      <c r="E502" s="49" t="n"/>
      <c r="F502" s="49" t="n"/>
      <c r="J502" s="49" t="n"/>
      <c r="K502" s="49" t="n"/>
      <c r="L502" s="49" t="n"/>
      <c r="M502" s="49" t="n"/>
      <c r="N502" s="50" t="n"/>
      <c r="O502" s="49" t="n"/>
      <c r="P502" s="50" t="n"/>
    </row>
    <row r="503">
      <c r="B503" s="49" t="n"/>
      <c r="C503" s="49" t="n"/>
      <c r="D503" s="49" t="n"/>
      <c r="E503" s="49" t="n"/>
      <c r="F503" s="49" t="n"/>
      <c r="J503" s="49" t="n"/>
      <c r="K503" s="49" t="n"/>
      <c r="L503" s="49" t="n"/>
      <c r="M503" s="49" t="n"/>
      <c r="N503" s="50" t="n"/>
      <c r="O503" s="49" t="n"/>
      <c r="P503" s="50" t="n"/>
    </row>
    <row r="504">
      <c r="B504" s="49" t="n"/>
      <c r="C504" s="49" t="n"/>
      <c r="D504" s="49" t="n"/>
      <c r="E504" s="49" t="n"/>
      <c r="F504" s="49" t="n"/>
      <c r="J504" s="49" t="n"/>
      <c r="K504" s="49" t="n"/>
      <c r="L504" s="49" t="n"/>
      <c r="M504" s="49" t="n"/>
      <c r="N504" s="50" t="n"/>
      <c r="O504" s="49" t="n"/>
      <c r="P504" s="50" t="n"/>
    </row>
    <row r="505">
      <c r="B505" s="49" t="n"/>
      <c r="C505" s="49" t="n"/>
      <c r="D505" s="49" t="n"/>
      <c r="E505" s="49" t="n"/>
      <c r="F505" s="49" t="n"/>
      <c r="J505" s="49" t="n"/>
      <c r="K505" s="49" t="n"/>
      <c r="L505" s="49" t="n"/>
      <c r="M505" s="49" t="n"/>
      <c r="N505" s="50" t="n"/>
      <c r="O505" s="49" t="n"/>
      <c r="P505" s="50" t="n"/>
    </row>
    <row r="506">
      <c r="B506" s="49" t="n"/>
      <c r="C506" s="49" t="n"/>
      <c r="D506" s="49" t="n"/>
      <c r="E506" s="49" t="n"/>
      <c r="F506" s="49" t="n"/>
      <c r="J506" s="49" t="n"/>
      <c r="K506" s="49" t="n"/>
      <c r="L506" s="49" t="n"/>
      <c r="M506" s="49" t="n"/>
      <c r="N506" s="50" t="n"/>
      <c r="O506" s="49" t="n"/>
      <c r="P506" s="50" t="n"/>
    </row>
    <row r="507">
      <c r="B507" s="49" t="n"/>
      <c r="C507" s="49" t="n"/>
      <c r="D507" s="49" t="n"/>
      <c r="E507" s="49" t="n"/>
      <c r="F507" s="49" t="n"/>
      <c r="J507" s="49" t="n"/>
      <c r="K507" s="49" t="n"/>
      <c r="L507" s="49" t="n"/>
      <c r="M507" s="49" t="n"/>
      <c r="N507" s="50" t="n"/>
      <c r="O507" s="49" t="n"/>
      <c r="P507" s="50" t="n"/>
    </row>
    <row r="508">
      <c r="B508" s="49" t="n"/>
      <c r="C508" s="49" t="n"/>
      <c r="D508" s="49" t="n"/>
      <c r="E508" s="49" t="n"/>
      <c r="F508" s="49" t="n"/>
      <c r="J508" s="49" t="n"/>
      <c r="K508" s="49" t="n"/>
      <c r="L508" s="49" t="n"/>
      <c r="M508" s="49" t="n"/>
      <c r="N508" s="50" t="n"/>
      <c r="O508" s="49" t="n"/>
      <c r="P508" s="50" t="n"/>
    </row>
    <row r="509">
      <c r="B509" s="49" t="n"/>
      <c r="C509" s="49" t="n"/>
      <c r="D509" s="49" t="n"/>
      <c r="E509" s="49" t="n"/>
      <c r="F509" s="49" t="n"/>
      <c r="J509" s="49" t="n"/>
      <c r="K509" s="49" t="n"/>
      <c r="L509" s="49" t="n"/>
      <c r="M509" s="49" t="n"/>
      <c r="N509" s="50" t="n"/>
      <c r="O509" s="49" t="n"/>
      <c r="P509" s="50" t="n"/>
    </row>
    <row r="510">
      <c r="B510" s="49" t="n"/>
      <c r="C510" s="49" t="n"/>
      <c r="D510" s="49" t="n"/>
      <c r="E510" s="49" t="n"/>
      <c r="F510" s="49" t="n"/>
      <c r="J510" s="49" t="n"/>
      <c r="K510" s="49" t="n"/>
      <c r="L510" s="49" t="n"/>
      <c r="M510" s="49" t="n"/>
      <c r="N510" s="50" t="n"/>
      <c r="O510" s="49" t="n"/>
      <c r="P510" s="50" t="n"/>
    </row>
    <row r="511">
      <c r="B511" s="49" t="n"/>
      <c r="C511" s="49" t="n"/>
      <c r="D511" s="49" t="n"/>
      <c r="E511" s="49" t="n"/>
      <c r="F511" s="49" t="n"/>
      <c r="J511" s="49" t="n"/>
      <c r="K511" s="49" t="n"/>
      <c r="L511" s="49" t="n"/>
      <c r="M511" s="49" t="n"/>
      <c r="N511" s="50" t="n"/>
      <c r="O511" s="49" t="n"/>
      <c r="P511" s="50" t="n"/>
    </row>
    <row r="512">
      <c r="B512" s="49" t="n"/>
      <c r="C512" s="49" t="n"/>
      <c r="D512" s="49" t="n"/>
      <c r="E512" s="49" t="n"/>
      <c r="F512" s="49" t="n"/>
      <c r="J512" s="49" t="n"/>
      <c r="K512" s="49" t="n"/>
      <c r="L512" s="49" t="n"/>
      <c r="M512" s="49" t="n"/>
      <c r="N512" s="50" t="n"/>
      <c r="O512" s="49" t="n"/>
      <c r="P512" s="50" t="n"/>
    </row>
    <row r="513">
      <c r="B513" s="49" t="n"/>
      <c r="C513" s="49" t="n"/>
      <c r="D513" s="49" t="n"/>
      <c r="E513" s="49" t="n"/>
      <c r="F513" s="49" t="n"/>
      <c r="J513" s="49" t="n"/>
      <c r="K513" s="49" t="n"/>
      <c r="L513" s="49" t="n"/>
      <c r="M513" s="49" t="n"/>
      <c r="N513" s="50" t="n"/>
      <c r="O513" s="49" t="n"/>
      <c r="P513" s="50" t="n"/>
    </row>
    <row r="514">
      <c r="B514" s="49" t="n"/>
      <c r="C514" s="49" t="n"/>
      <c r="D514" s="49" t="n"/>
      <c r="E514" s="49" t="n"/>
      <c r="F514" s="49" t="n"/>
      <c r="J514" s="49" t="n"/>
      <c r="K514" s="49" t="n"/>
      <c r="L514" s="49" t="n"/>
      <c r="M514" s="49" t="n"/>
      <c r="N514" s="50" t="n"/>
      <c r="O514" s="49" t="n"/>
      <c r="P514" s="50" t="n"/>
    </row>
    <row r="515">
      <c r="B515" s="49" t="n"/>
      <c r="C515" s="49" t="n"/>
      <c r="D515" s="49" t="n"/>
      <c r="E515" s="49" t="n"/>
      <c r="F515" s="49" t="n"/>
      <c r="J515" s="49" t="n"/>
      <c r="K515" s="49" t="n"/>
      <c r="L515" s="49" t="n"/>
      <c r="M515" s="49" t="n"/>
      <c r="N515" s="50" t="n"/>
      <c r="O515" s="49" t="n"/>
      <c r="P515" s="50" t="n"/>
    </row>
    <row r="516">
      <c r="B516" s="49" t="n"/>
      <c r="C516" s="49" t="n"/>
      <c r="D516" s="49" t="n"/>
      <c r="E516" s="49" t="n"/>
      <c r="F516" s="49" t="n"/>
      <c r="J516" s="49" t="n"/>
      <c r="K516" s="49" t="n"/>
      <c r="L516" s="49" t="n"/>
      <c r="M516" s="49" t="n"/>
      <c r="N516" s="50" t="n"/>
      <c r="O516" s="49" t="n"/>
      <c r="P516" s="50" t="n"/>
    </row>
    <row r="517">
      <c r="B517" s="49" t="n"/>
      <c r="C517" s="49" t="n"/>
      <c r="D517" s="49" t="n"/>
      <c r="E517" s="49" t="n"/>
      <c r="F517" s="49" t="n"/>
      <c r="J517" s="49" t="n"/>
      <c r="K517" s="49" t="n"/>
      <c r="L517" s="49" t="n"/>
      <c r="M517" s="49" t="n"/>
      <c r="N517" s="50" t="n"/>
      <c r="O517" s="49" t="n"/>
      <c r="P517" s="50" t="n"/>
    </row>
    <row r="518">
      <c r="B518" s="49" t="n"/>
      <c r="C518" s="49" t="n"/>
      <c r="D518" s="49" t="n"/>
      <c r="E518" s="49" t="n"/>
      <c r="F518" s="49" t="n"/>
      <c r="J518" s="49" t="n"/>
      <c r="K518" s="49" t="n"/>
      <c r="L518" s="49" t="n"/>
      <c r="M518" s="49" t="n"/>
      <c r="N518" s="50" t="n"/>
      <c r="O518" s="49" t="n"/>
      <c r="P518" s="50" t="n"/>
    </row>
  </sheetData>
  <mergeCells count="8">
    <mergeCell ref="B7:P7"/>
    <mergeCell ref="B6:P6"/>
    <mergeCell ref="B11:C11"/>
    <mergeCell ref="B3:P3"/>
    <mergeCell ref="B5:P5"/>
    <mergeCell ref="B8:P8"/>
    <mergeCell ref="B4:P4"/>
    <mergeCell ref="B9:P9"/>
  </mergeCells>
  <conditionalFormatting sqref="E10">
    <cfRule type="cellIs" priority="1" operator="greaterThan" dxfId="5">
      <formula>0</formula>
    </cfRule>
  </conditionalFormatting>
  <conditionalFormatting sqref="B18:B518">
    <cfRule type="expression" priority="2" dxfId="6">
      <formula>AND(LEN($B18&amp;$C18&amp;$D18&amp;$E18&amp;$F18&amp;$G18&amp;$H18&amp;$I18&amp;$J18&amp;$K18&amp;$L18&amp;$M18&amp;$N18&amp;$O18&amp;$P18)&gt;0,B18="")</formula>
    </cfRule>
  </conditionalFormatting>
  <conditionalFormatting sqref="C18:C518">
    <cfRule type="expression" priority="3" dxfId="6">
      <formula>AND(LEN($B18&amp;$C18&amp;$D18&amp;$E18&amp;$F18&amp;$G18&amp;$H18&amp;$I18&amp;$J18&amp;$K18&amp;$L18&amp;$M18&amp;$N18&amp;$O18&amp;$P18)&gt;0,C18="")</formula>
    </cfRule>
  </conditionalFormatting>
  <conditionalFormatting sqref="D18:D518">
    <cfRule type="expression" priority="4" dxfId="6">
      <formula>AND(LEN($B18&amp;$C18&amp;$D18&amp;$E18&amp;$F18&amp;$G18&amp;$H18&amp;$I18&amp;$J18&amp;$K18&amp;$L18&amp;$M18&amp;$N18&amp;$O18&amp;$P18)&gt;0,D18="")</formula>
    </cfRule>
  </conditionalFormatting>
  <conditionalFormatting sqref="E18:E518">
    <cfRule type="expression" priority="5" dxfId="6">
      <formula>AND(LEN($B18&amp;$C18&amp;$D18&amp;$E18&amp;$F18&amp;$G18&amp;$H18&amp;$I18&amp;$J18&amp;$K18&amp;$L18&amp;$M18&amp;$N18&amp;$O18&amp;$P18)&gt;0,E18="")</formula>
    </cfRule>
  </conditionalFormatting>
  <conditionalFormatting sqref="F18:F518">
    <cfRule type="expression" priority="6" dxfId="6">
      <formula>AND(LEN($B18&amp;$C18&amp;$D18&amp;$E18&amp;$F18&amp;$G18&amp;$H18&amp;$I18&amp;$J18&amp;$K18&amp;$L18&amp;$M18&amp;$N18&amp;$O18&amp;$P18)&gt;0,F18="")</formula>
    </cfRule>
  </conditionalFormatting>
  <conditionalFormatting sqref="G18:G518">
    <cfRule type="expression" priority="7" dxfId="6">
      <formula>AND(LEN($B18&amp;$C18&amp;$D18&amp;$E18&amp;$F18&amp;$G18&amp;$H18&amp;$I18&amp;$J18&amp;$K18&amp;$L18&amp;$M18&amp;$N18&amp;$O18&amp;$P18)&gt;0,G18="")</formula>
    </cfRule>
  </conditionalFormatting>
  <conditionalFormatting sqref="H18:H518">
    <cfRule type="expression" priority="8" dxfId="6">
      <formula>AND(LEN($B18&amp;$C18&amp;$D18&amp;$E18&amp;$F18&amp;$G18&amp;$H18&amp;$I18&amp;$J18&amp;$K18&amp;$L18&amp;$M18&amp;$N18&amp;$O18&amp;$P18)&gt;0,H18="")</formula>
    </cfRule>
  </conditionalFormatting>
  <conditionalFormatting sqref="I18:I518">
    <cfRule type="expression" priority="9" dxfId="6">
      <formula>AND(LEN($B18&amp;$C18&amp;$D18&amp;$E18&amp;$F18&amp;$G18&amp;$H18&amp;$I18&amp;$J18&amp;$K18&amp;$L18&amp;$M18&amp;$N18&amp;$O18&amp;$P18)&gt;0,I18="")</formula>
    </cfRule>
  </conditionalFormatting>
  <conditionalFormatting sqref="J18:J518">
    <cfRule type="expression" priority="10" dxfId="6">
      <formula>AND(LEN($B18&amp;$C18&amp;$D18&amp;$E18&amp;$F18&amp;$G18&amp;$H18&amp;$I18&amp;$J18&amp;$K18&amp;$L18&amp;$M18&amp;$N18&amp;$O18&amp;$P18)&gt;0,J18="")</formula>
    </cfRule>
  </conditionalFormatting>
  <dataValidations count="16">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8:B518" showDropDown="0" showInputMessage="1" showErrorMessage="0" allowBlank="1" promptTitle="Company code" prompt="Yes. Code of the company on every record"/>
    <dataValidation sqref="C18:C518" showDropDown="0" showInputMessage="1" showErrorMessage="0" allowBlank="1" promptTitle="Registered name" prompt="Yes. Name as registered with the SEC"/>
    <dataValidation sqref="D18:D518" showDropDown="0" showInputMessage="1" showErrorMessage="0" allowBlank="1" promptTitle="TIN" prompt="Yes. Tax identification number with branch code"/>
    <dataValidation sqref="E18:E518" showDropDown="0" showInputMessage="1" showErrorMessage="0" allowBlank="1" promptTitle="Registered address" prompt="Yes. Address printed on receipts and BIR forms"/>
    <dataValidation sqref="F18:F518" showDropDown="0" showInputMessage="1" showErrorMessage="0" allowBlank="1" promptTitle="Base currency" prompt="Yes. Currency of the books"/>
    <dataValidation sqref="G18:G518" showDropDown="0" showInputMessage="1" showErrorMessage="1" allowBlank="1" errorTitle="Fiscal year start month" error="Enter a whole number from 1 to 12." promptTitle="Fiscal year start month" prompt="Yes. First month of the financial year Allowed: A whole number from 1 to 12" type="whole" operator="between">
      <formula1>1</formula1>
      <formula2>12</formula2>
    </dataValidation>
    <dataValidation sqref="H18:H518" showDropDown="0" showInputMessage="1" showErrorMessage="1" allowBlank="1" errorTitle="Back-value days" error="Enter a whole number from 0 to 365." promptTitle="Back-value days" prompt="Yes. How many days before today a posting may be dated Allowed: A whole number from 0 to 365" type="whole" operator="between">
      <formula1>0</formula1>
      <formula2>365</formula2>
    </dataValidation>
    <dataValidation sqref="I18:I518" showDropDown="0" showInputMessage="1" showErrorMessage="1" allowBlank="1" errorTitle="Forward-value days" error="Enter a whole number from 0 to 365." promptTitle="Forward-value days" prompt="Yes. How many days after today a posting may be dated Allowed: A whole number from 0 to 365" type="whole" operator="between">
      <formula1>0</formula1>
      <formula2>365</formula2>
    </dataValidation>
    <dataValidation sqref="J18:J518" showDropDown="0" showInputMessage="1" showErrorMessage="1" allowBlank="1" errorTitle="Retained earnings account" error="The code is not in D0-06, column Account Code. Enter it there first, or keep it if it is a code BIBS already holds." promptTitle="Retained earnings account" prompt="Yes. Account that receives the year-end result Allowed: Code of an existing account of the chart of accounts" type="list" errorStyle="warning">
      <formula1>=CODES_D0_06_ACCOUNT_CODE</formula1>
    </dataValidation>
    <dataValidation sqref="K18:K518" showDropDown="0" showInputMessage="1" showErrorMessage="0" allowBlank="1" promptTitle="RDO code" prompt="No. Revenue District Office of the registration"/>
    <dataValidation sqref="L18:L518" showDropDown="0" showInputMessage="1" showErrorMessage="1" allowBlank="1" errorTitle="VAT registered" error="Choose a value of the list Yes or no (sheet Reference lists)." promptTitle="VAT registered" prompt="No. Y when the company is VAT-registered Allowed: Y or N" type="list" errorStyle="stop">
      <formula1>=LIST_YES_NO</formula1>
    </dataValidation>
    <dataValidation sqref="M18:M518" showDropDown="0" showInputMessage="1" showErrorMessage="0" allowBlank="1" promptTitle="CAS permit no." prompt="No. Permit of the computerised accounting system"/>
    <dataValidation sqref="N18:N518" showDropDown="0" showInputMessage="1" showErrorMessage="1" allowBlank="1" errorTitle="CAS permit date" error="Enter a date, for example 15-Jan-2028." promptTitle="CAS permit date" prompt="No. Date of the CAS permit Allowed: A date, for example 15-Jan-2028" type="date" operator="greaterThan">
      <formula1>DATE(1900,1,1)</formula1>
    </dataValidation>
    <dataValidation sqref="O18:O518" showDropDown="0" showInputMessage="1" showErrorMessage="0" allowBlank="1" promptTitle="E-invoicing permit no." prompt="No. Permit of the electronic invoicing"/>
    <dataValidation sqref="P18:P518" showDropDown="0" showInputMessage="1" showErrorMessage="1" allowBlank="1" errorTitle="E-invoicing permit date" error="Enter a date, for example 15-Jan-2028." promptTitle="E-invoicing permit date" prompt="No. Date of the e-invoicing permit Allowed: A date, for example 15-Jan-2028" type="date" operator="greaterThan">
      <formula1>DATE(1900,1,1)</formula1>
    </dataValidation>
  </dataValidations>
  <hyperlinks>
    <hyperlink ref="A2" location="'Start here'!A1"/>
    <hyperlink ref="P2" location="'Questions and comments'!A1"/>
    <hyperlink ref="B8" location="'D0-06 Chart of accounts'!A1"/>
    <hyperlink ref="J15"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2.xml><?xml version="1.0" encoding="utf-8"?>
<worksheet xmlns="http://schemas.openxmlformats.org/spreadsheetml/2006/main">
  <sheetPr>
    <tabColor rgb="00004EA8"/>
    <outlinePr summaryBelow="0" summaryRight="1"/>
    <pageSetUpPr fitToPage="1"/>
  </sheetPr>
  <dimension ref="A1:K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7" customWidth="1" min="3" max="3"/>
    <col width="18" customWidth="1" min="4" max="4"/>
    <col width="13" customWidth="1" min="5" max="5"/>
    <col width="19" customWidth="1" min="6" max="6"/>
    <col width="23.63636363636363" customWidth="1" min="7" max="7"/>
    <col width="20" customWidth="1" min="8" max="8"/>
    <col width="17" customWidth="1" min="9" max="9"/>
    <col width="21" customWidth="1" min="10" max="10"/>
    <col width="20" customWidth="1" min="11" max="11"/>
  </cols>
  <sheetData>
    <row r="1" ht="26" customHeight="1">
      <c r="A1" s="25" t="inlineStr">
        <is>
          <t>D0-08 Accounting rules</t>
        </is>
      </c>
      <c r="K1" s="26" t="inlineStr">
        <is>
          <t>Step 30 of 52</t>
        </is>
      </c>
    </row>
    <row r="2">
      <c r="A2" s="27" t="inlineStr">
        <is>
          <t>← Back to Start here</t>
        </is>
      </c>
      <c r="B2" s="28" t="inlineStr">
        <is>
          <t>Step 30 of 52. Fill in one row per record below the column headers; the guide above each column says what to enter.</t>
        </is>
      </c>
      <c r="K2" s="29" t="inlineStr">
        <is>
          <t>Ask a question →</t>
        </is>
      </c>
    </row>
    <row r="3" outlineLevel="1" ht="15.5" customHeight="1">
      <c r="A3" s="30" t="inlineStr">
        <is>
          <t>Purpose</t>
        </is>
      </c>
      <c r="B3" s="31" t="inlineStr">
        <is>
          <t>The debit and credit accounts of each accounting event of the platform</t>
        </is>
      </c>
    </row>
    <row r="4" outlineLevel="1" ht="15.5" customHeight="1">
      <c r="A4" s="30" t="inlineStr">
        <is>
          <t>Provided by</t>
        </is>
      </c>
      <c r="B4" s="31" t="inlineStr">
        <is>
          <t>Head, Comptrollership</t>
        </is>
      </c>
    </row>
    <row r="5" outlineLevel="1" ht="15.5" customHeight="1">
      <c r="A5" s="30" t="inlineStr">
        <is>
          <t>Due</t>
        </is>
      </c>
      <c r="B5" s="32" t="inlineStr">
        <is>
          <t>4-Jan-2027 – Platform set-up for Drop 1 SIT</t>
        </is>
      </c>
    </row>
    <row r="6" outlineLevel="1" ht="15.5" customHeight="1">
      <c r="A6" s="30" t="inlineStr">
        <is>
          <t>How it is loaded</t>
        </is>
      </c>
      <c r="B6" s="31" t="inlineStr">
        <is>
          <t>Upload on the configuration screen Finance › Accounting Engine › Accounting Rules,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D0-04 Cost centres and business lines →</t>
        </is>
      </c>
      <c r="D8" s="53" t="inlineStr">
        <is>
          <t>D0-06 Chart of accounts →</t>
        </is>
      </c>
    </row>
    <row r="9" ht="26" customHeight="1">
      <c r="A9" s="34" t="inlineStr">
        <is>
          <t>Progress</t>
        </is>
      </c>
      <c r="B9" s="35" t="inlineStr">
        <is>
          <t>Rows entered</t>
        </is>
      </c>
      <c r="C9" s="36">
        <f>SUMPRODUCT(((ROW($B$17:$B$517)&gt;17)+($B$17&lt;&gt;"PREMIUM_BOOKED")&gt;0)*(LEN($B$17:$B$517&amp;$C$17:$C$517&amp;$D$17:$D$517&amp;$E$17:$E$517&amp;$F$17:$F$517&amp;$G$17:$G$517&amp;$H$17:$H$517&amp;$I$17:$I$517&amp;$J$17:$J$517&amp;$K$17:$K$517)&gt;0))</f>
        <v/>
      </c>
      <c r="D9" s="35" t="inlineStr">
        <is>
          <t>Mandatory cells missing</t>
        </is>
      </c>
      <c r="E9" s="36">
        <f>SUMPRODUCT(((ROW($B$17:$B$517)&gt;17)+($B$17&lt;&gt;"PREMIUM_BOOKED")&gt;0)*(LEN($B$17:$B$517&amp;$C$17:$C$517&amp;$D$17:$D$517&amp;$E$17:$E$517&amp;$F$17:$F$517&amp;$G$17:$G$517&amp;$H$17:$H$517&amp;$I$17:$I$517&amp;$J$17:$J$517&amp;$K$17:$K$517)&gt;0)*(($B$17:$B$517="")+($C$17:$C$517="")+($F$17:$F$517="")+($G$17:$G$517="")+($H$17:$H$517="")+($I$17:$I$517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row>
    <row r="12" ht="17" customHeight="1">
      <c r="A12" s="41" t="inlineStr">
        <is>
          <t>Mandatory</t>
        </is>
      </c>
      <c r="B12" s="42" t="inlineStr">
        <is>
          <t>Yes</t>
        </is>
      </c>
      <c r="C12" s="42" t="inlineStr">
        <is>
          <t>Yes</t>
        </is>
      </c>
      <c r="D12" s="43" t="inlineStr">
        <is>
          <t>No</t>
        </is>
      </c>
      <c r="E12" s="43" t="inlineStr">
        <is>
          <t>No</t>
        </is>
      </c>
      <c r="F12" s="42" t="inlineStr">
        <is>
          <t>Yes</t>
        </is>
      </c>
      <c r="G12" s="42" t="inlineStr">
        <is>
          <t>Yes</t>
        </is>
      </c>
      <c r="H12" s="42" t="inlineStr">
        <is>
          <t>Yes</t>
        </is>
      </c>
      <c r="I12" s="42" t="inlineStr">
        <is>
          <t>Yes</t>
        </is>
      </c>
      <c r="J12" s="42" t="inlineStr">
        <is>
          <t>Yes</t>
        </is>
      </c>
      <c r="K12" s="43" t="inlineStr">
        <is>
          <t>No</t>
        </is>
      </c>
    </row>
    <row r="13" ht="30" customHeight="1">
      <c r="A13" s="41" t="inlineStr">
        <is>
          <t>Format</t>
        </is>
      </c>
      <c r="B13" s="43" t="inlineStr">
        <is>
          <t>Text</t>
        </is>
      </c>
      <c r="C13" s="43" t="inlineStr">
        <is>
          <t>Text</t>
        </is>
      </c>
      <c r="D13" s="43" t="inlineStr">
        <is>
          <t>Text</t>
        </is>
      </c>
      <c r="E13" s="43" t="inlineStr">
        <is>
          <t>Text</t>
        </is>
      </c>
      <c r="F13" s="43" t="inlineStr">
        <is>
          <t>Date dd-MMM-yyyy, e.g. 15-Jan-2026</t>
        </is>
      </c>
      <c r="G13" s="43" t="inlineStr">
        <is>
          <t>Number without thousands separators, e.g. 1500000.50</t>
        </is>
      </c>
      <c r="H13" s="43" t="inlineStr">
        <is>
          <t>Code from the drop-down</t>
        </is>
      </c>
      <c r="I13" s="43" t="inlineStr">
        <is>
          <t>Text</t>
        </is>
      </c>
      <c r="J13" s="43" t="inlineStr">
        <is>
          <t>Text</t>
        </is>
      </c>
      <c r="K13" s="43" t="inlineStr">
        <is>
          <t>Text</t>
        </is>
      </c>
    </row>
    <row r="14" ht="43" customHeight="1">
      <c r="A14" s="41" t="inlineStr">
        <is>
          <t>Allowed values</t>
        </is>
      </c>
      <c r="B14" s="43" t="inlineStr">
        <is>
          <t>Code of an existing accounting event</t>
        </is>
      </c>
      <c r="C14" s="43" t="inlineStr">
        <is>
          <t>Free entry</t>
        </is>
      </c>
      <c r="D14" s="51" t="inlineStr">
        <is>
          <t>Code of an existing business line</t>
        </is>
      </c>
      <c r="E14" s="43" t="inlineStr">
        <is>
          <t>Free entry</t>
        </is>
      </c>
      <c r="F14" s="43" t="inlineStr">
        <is>
          <t>A date, for example 15-Jan-2028</t>
        </is>
      </c>
      <c r="G14" s="43" t="inlineStr">
        <is>
          <t>A whole number from 1 to 999</t>
        </is>
      </c>
      <c r="H14" s="51" t="inlineStr">
        <is>
          <t>DEBIT, CREDIT (list Debit or credit (D0-08))</t>
        </is>
      </c>
      <c r="I14" s="51" t="inlineStr">
        <is>
          <t>Code of an existing account of the chart of accounts</t>
        </is>
      </c>
      <c r="J14" s="43" t="inlineStr">
        <is>
          <t>A component of the event</t>
        </is>
      </c>
      <c r="K14" s="43" t="inlineStr">
        <is>
          <t>Free entry</t>
        </is>
      </c>
    </row>
    <row r="15" ht="56" customHeight="1">
      <c r="A15" s="41" t="inlineStr">
        <is>
          <t>What to enter</t>
        </is>
      </c>
      <c r="B15" s="43" t="inlineStr">
        <is>
          <t>Event that the rule posts</t>
        </is>
      </c>
      <c r="C15" s="43" t="inlineStr">
        <is>
          <t>Name of the rule</t>
        </is>
      </c>
      <c r="D15" s="43" t="inlineStr">
        <is>
          <t>Line the rule applies to; blank = every line</t>
        </is>
      </c>
      <c r="E15" s="43" t="inlineStr">
        <is>
          <t>Currency the rule applies to; blank = every currency</t>
        </is>
      </c>
      <c r="F15" s="43" t="inlineStr">
        <is>
          <t>First posting date of the rule</t>
        </is>
      </c>
      <c r="G15" s="43" t="inlineStr">
        <is>
          <t>Order of the line in the entry</t>
        </is>
      </c>
      <c r="H15" s="43" t="inlineStr">
        <is>
          <t>Side of the line</t>
        </is>
      </c>
      <c r="I15" s="43" t="inlineStr">
        <is>
          <t>Account posted</t>
        </is>
      </c>
      <c r="J15" s="43" t="inlineStr">
        <is>
          <t>Amount the line posts</t>
        </is>
      </c>
      <c r="K15" s="43" t="inlineStr">
        <is>
          <t>Text of the journal line</t>
        </is>
      </c>
    </row>
    <row r="16" ht="30" customHeight="1">
      <c r="A16" s="44" t="inlineStr">
        <is>
          <t>Row</t>
        </is>
      </c>
      <c r="B16" s="45" t="inlineStr">
        <is>
          <t>Event type *</t>
        </is>
      </c>
      <c r="C16" s="45" t="inlineStr">
        <is>
          <t>Rule name *</t>
        </is>
      </c>
      <c r="D16" s="45" t="inlineStr">
        <is>
          <t>Business line</t>
        </is>
      </c>
      <c r="E16" s="45" t="inlineStr">
        <is>
          <t>Currency</t>
        </is>
      </c>
      <c r="F16" s="45" t="inlineStr">
        <is>
          <t>Effective from *</t>
        </is>
      </c>
      <c r="G16" s="45" t="inlineStr">
        <is>
          <t>Line *</t>
        </is>
      </c>
      <c r="H16" s="45" t="inlineStr">
        <is>
          <t>Debit or credit *</t>
        </is>
      </c>
      <c r="I16" s="45" t="inlineStr">
        <is>
          <t>Account code *</t>
        </is>
      </c>
      <c r="J16" s="45" t="inlineStr">
        <is>
          <t>Amount component *</t>
        </is>
      </c>
      <c r="K16" s="45" t="inlineStr">
        <is>
          <t>Narration</t>
        </is>
      </c>
    </row>
    <row r="17" ht="18" customHeight="1">
      <c r="A17" s="46" t="inlineStr">
        <is>
          <t>Example – overwrite or delete</t>
        </is>
      </c>
      <c r="B17" s="47" t="inlineStr">
        <is>
          <t>PREMIUM_BOOKED</t>
        </is>
      </c>
      <c r="C17" s="47" t="inlineStr">
        <is>
          <t>Premium booked - non-life</t>
        </is>
      </c>
      <c r="D17" s="47" t="n"/>
      <c r="E17" s="47" t="n"/>
      <c r="F17" s="48" t="n">
        <v>46753</v>
      </c>
      <c r="G17" s="52" t="n">
        <v>1</v>
      </c>
      <c r="H17" s="47" t="inlineStr">
        <is>
          <t>DEBIT</t>
        </is>
      </c>
      <c r="I17" s="47" t="inlineStr">
        <is>
          <t>1210.07</t>
        </is>
      </c>
      <c r="J17" s="47" t="inlineStr">
        <is>
          <t>GROSS_PREMIUM</t>
        </is>
      </c>
      <c r="K17" s="47" t="inlineStr">
        <is>
          <t>Premium receivable</t>
        </is>
      </c>
    </row>
    <row r="18">
      <c r="B18" s="49" t="n"/>
      <c r="C18" s="49" t="n"/>
      <c r="D18" s="49" t="n"/>
      <c r="E18" s="49" t="n"/>
      <c r="F18" s="50" t="n"/>
      <c r="H18" s="49" t="n"/>
      <c r="I18" s="49" t="n"/>
      <c r="J18" s="49" t="n"/>
      <c r="K18" s="49" t="n"/>
    </row>
    <row r="19">
      <c r="B19" s="49" t="n"/>
      <c r="C19" s="49" t="n"/>
      <c r="D19" s="49" t="n"/>
      <c r="E19" s="49" t="n"/>
      <c r="F19" s="50" t="n"/>
      <c r="H19" s="49" t="n"/>
      <c r="I19" s="49" t="n"/>
      <c r="J19" s="49" t="n"/>
      <c r="K19" s="49" t="n"/>
    </row>
    <row r="20">
      <c r="B20" s="49" t="n"/>
      <c r="C20" s="49" t="n"/>
      <c r="D20" s="49" t="n"/>
      <c r="E20" s="49" t="n"/>
      <c r="F20" s="50" t="n"/>
      <c r="H20" s="49" t="n"/>
      <c r="I20" s="49" t="n"/>
      <c r="J20" s="49" t="n"/>
      <c r="K20" s="49" t="n"/>
    </row>
    <row r="21">
      <c r="B21" s="49" t="n"/>
      <c r="C21" s="49" t="n"/>
      <c r="D21" s="49" t="n"/>
      <c r="E21" s="49" t="n"/>
      <c r="F21" s="50" t="n"/>
      <c r="H21" s="49" t="n"/>
      <c r="I21" s="49" t="n"/>
      <c r="J21" s="49" t="n"/>
      <c r="K21" s="49" t="n"/>
    </row>
    <row r="22">
      <c r="B22" s="49" t="n"/>
      <c r="C22" s="49" t="n"/>
      <c r="D22" s="49" t="n"/>
      <c r="E22" s="49" t="n"/>
      <c r="F22" s="50" t="n"/>
      <c r="H22" s="49" t="n"/>
      <c r="I22" s="49" t="n"/>
      <c r="J22" s="49" t="n"/>
      <c r="K22" s="49" t="n"/>
    </row>
    <row r="23">
      <c r="B23" s="49" t="n"/>
      <c r="C23" s="49" t="n"/>
      <c r="D23" s="49" t="n"/>
      <c r="E23" s="49" t="n"/>
      <c r="F23" s="50" t="n"/>
      <c r="H23" s="49" t="n"/>
      <c r="I23" s="49" t="n"/>
      <c r="J23" s="49" t="n"/>
      <c r="K23" s="49" t="n"/>
    </row>
    <row r="24">
      <c r="B24" s="49" t="n"/>
      <c r="C24" s="49" t="n"/>
      <c r="D24" s="49" t="n"/>
      <c r="E24" s="49" t="n"/>
      <c r="F24" s="50" t="n"/>
      <c r="H24" s="49" t="n"/>
      <c r="I24" s="49" t="n"/>
      <c r="J24" s="49" t="n"/>
      <c r="K24" s="49" t="n"/>
    </row>
    <row r="25">
      <c r="B25" s="49" t="n"/>
      <c r="C25" s="49" t="n"/>
      <c r="D25" s="49" t="n"/>
      <c r="E25" s="49" t="n"/>
      <c r="F25" s="50" t="n"/>
      <c r="H25" s="49" t="n"/>
      <c r="I25" s="49" t="n"/>
      <c r="J25" s="49" t="n"/>
      <c r="K25" s="49" t="n"/>
    </row>
    <row r="26">
      <c r="B26" s="49" t="n"/>
      <c r="C26" s="49" t="n"/>
      <c r="D26" s="49" t="n"/>
      <c r="E26" s="49" t="n"/>
      <c r="F26" s="50" t="n"/>
      <c r="H26" s="49" t="n"/>
      <c r="I26" s="49" t="n"/>
      <c r="J26" s="49" t="n"/>
      <c r="K26" s="49" t="n"/>
    </row>
    <row r="27">
      <c r="B27" s="49" t="n"/>
      <c r="C27" s="49" t="n"/>
      <c r="D27" s="49" t="n"/>
      <c r="E27" s="49" t="n"/>
      <c r="F27" s="50" t="n"/>
      <c r="H27" s="49" t="n"/>
      <c r="I27" s="49" t="n"/>
      <c r="J27" s="49" t="n"/>
      <c r="K27" s="49" t="n"/>
    </row>
    <row r="28">
      <c r="B28" s="49" t="n"/>
      <c r="C28" s="49" t="n"/>
      <c r="D28" s="49" t="n"/>
      <c r="E28" s="49" t="n"/>
      <c r="F28" s="50" t="n"/>
      <c r="H28" s="49" t="n"/>
      <c r="I28" s="49" t="n"/>
      <c r="J28" s="49" t="n"/>
      <c r="K28" s="49" t="n"/>
    </row>
    <row r="29">
      <c r="B29" s="49" t="n"/>
      <c r="C29" s="49" t="n"/>
      <c r="D29" s="49" t="n"/>
      <c r="E29" s="49" t="n"/>
      <c r="F29" s="50" t="n"/>
      <c r="H29" s="49" t="n"/>
      <c r="I29" s="49" t="n"/>
      <c r="J29" s="49" t="n"/>
      <c r="K29" s="49" t="n"/>
    </row>
    <row r="30">
      <c r="B30" s="49" t="n"/>
      <c r="C30" s="49" t="n"/>
      <c r="D30" s="49" t="n"/>
      <c r="E30" s="49" t="n"/>
      <c r="F30" s="50" t="n"/>
      <c r="H30" s="49" t="n"/>
      <c r="I30" s="49" t="n"/>
      <c r="J30" s="49" t="n"/>
      <c r="K30" s="49" t="n"/>
    </row>
    <row r="31">
      <c r="B31" s="49" t="n"/>
      <c r="C31" s="49" t="n"/>
      <c r="D31" s="49" t="n"/>
      <c r="E31" s="49" t="n"/>
      <c r="F31" s="50" t="n"/>
      <c r="H31" s="49" t="n"/>
      <c r="I31" s="49" t="n"/>
      <c r="J31" s="49" t="n"/>
      <c r="K31" s="49" t="n"/>
    </row>
    <row r="32">
      <c r="B32" s="49" t="n"/>
      <c r="C32" s="49" t="n"/>
      <c r="D32" s="49" t="n"/>
      <c r="E32" s="49" t="n"/>
      <c r="F32" s="50" t="n"/>
      <c r="H32" s="49" t="n"/>
      <c r="I32" s="49" t="n"/>
      <c r="J32" s="49" t="n"/>
      <c r="K32" s="49" t="n"/>
    </row>
    <row r="33">
      <c r="B33" s="49" t="n"/>
      <c r="C33" s="49" t="n"/>
      <c r="D33" s="49" t="n"/>
      <c r="E33" s="49" t="n"/>
      <c r="F33" s="50" t="n"/>
      <c r="H33" s="49" t="n"/>
      <c r="I33" s="49" t="n"/>
      <c r="J33" s="49" t="n"/>
      <c r="K33" s="49" t="n"/>
    </row>
    <row r="34">
      <c r="B34" s="49" t="n"/>
      <c r="C34" s="49" t="n"/>
      <c r="D34" s="49" t="n"/>
      <c r="E34" s="49" t="n"/>
      <c r="F34" s="50" t="n"/>
      <c r="H34" s="49" t="n"/>
      <c r="I34" s="49" t="n"/>
      <c r="J34" s="49" t="n"/>
      <c r="K34" s="49" t="n"/>
    </row>
    <row r="35">
      <c r="B35" s="49" t="n"/>
      <c r="C35" s="49" t="n"/>
      <c r="D35" s="49" t="n"/>
      <c r="E35" s="49" t="n"/>
      <c r="F35" s="50" t="n"/>
      <c r="H35" s="49" t="n"/>
      <c r="I35" s="49" t="n"/>
      <c r="J35" s="49" t="n"/>
      <c r="K35" s="49" t="n"/>
    </row>
    <row r="36">
      <c r="B36" s="49" t="n"/>
      <c r="C36" s="49" t="n"/>
      <c r="D36" s="49" t="n"/>
      <c r="E36" s="49" t="n"/>
      <c r="F36" s="50" t="n"/>
      <c r="H36" s="49" t="n"/>
      <c r="I36" s="49" t="n"/>
      <c r="J36" s="49" t="n"/>
      <c r="K36" s="49" t="n"/>
    </row>
    <row r="37">
      <c r="B37" s="49" t="n"/>
      <c r="C37" s="49" t="n"/>
      <c r="D37" s="49" t="n"/>
      <c r="E37" s="49" t="n"/>
      <c r="F37" s="50" t="n"/>
      <c r="H37" s="49" t="n"/>
      <c r="I37" s="49" t="n"/>
      <c r="J37" s="49" t="n"/>
      <c r="K37" s="49" t="n"/>
    </row>
    <row r="38">
      <c r="B38" s="49" t="n"/>
      <c r="C38" s="49" t="n"/>
      <c r="D38" s="49" t="n"/>
      <c r="E38" s="49" t="n"/>
      <c r="F38" s="50" t="n"/>
      <c r="H38" s="49" t="n"/>
      <c r="I38" s="49" t="n"/>
      <c r="J38" s="49" t="n"/>
      <c r="K38" s="49" t="n"/>
    </row>
    <row r="39">
      <c r="B39" s="49" t="n"/>
      <c r="C39" s="49" t="n"/>
      <c r="D39" s="49" t="n"/>
      <c r="E39" s="49" t="n"/>
      <c r="F39" s="50" t="n"/>
      <c r="H39" s="49" t="n"/>
      <c r="I39" s="49" t="n"/>
      <c r="J39" s="49" t="n"/>
      <c r="K39" s="49" t="n"/>
    </row>
    <row r="40">
      <c r="B40" s="49" t="n"/>
      <c r="C40" s="49" t="n"/>
      <c r="D40" s="49" t="n"/>
      <c r="E40" s="49" t="n"/>
      <c r="F40" s="50" t="n"/>
      <c r="H40" s="49" t="n"/>
      <c r="I40" s="49" t="n"/>
      <c r="J40" s="49" t="n"/>
      <c r="K40" s="49" t="n"/>
    </row>
    <row r="41">
      <c r="B41" s="49" t="n"/>
      <c r="C41" s="49" t="n"/>
      <c r="D41" s="49" t="n"/>
      <c r="E41" s="49" t="n"/>
      <c r="F41" s="50" t="n"/>
      <c r="H41" s="49" t="n"/>
      <c r="I41" s="49" t="n"/>
      <c r="J41" s="49" t="n"/>
      <c r="K41" s="49" t="n"/>
    </row>
    <row r="42">
      <c r="B42" s="49" t="n"/>
      <c r="C42" s="49" t="n"/>
      <c r="D42" s="49" t="n"/>
      <c r="E42" s="49" t="n"/>
      <c r="F42" s="50" t="n"/>
      <c r="H42" s="49" t="n"/>
      <c r="I42" s="49" t="n"/>
      <c r="J42" s="49" t="n"/>
      <c r="K42" s="49" t="n"/>
    </row>
    <row r="43">
      <c r="B43" s="49" t="n"/>
      <c r="C43" s="49" t="n"/>
      <c r="D43" s="49" t="n"/>
      <c r="E43" s="49" t="n"/>
      <c r="F43" s="50" t="n"/>
      <c r="H43" s="49" t="n"/>
      <c r="I43" s="49" t="n"/>
      <c r="J43" s="49" t="n"/>
      <c r="K43" s="49" t="n"/>
    </row>
    <row r="44">
      <c r="B44" s="49" t="n"/>
      <c r="C44" s="49" t="n"/>
      <c r="D44" s="49" t="n"/>
      <c r="E44" s="49" t="n"/>
      <c r="F44" s="50" t="n"/>
      <c r="H44" s="49" t="n"/>
      <c r="I44" s="49" t="n"/>
      <c r="J44" s="49" t="n"/>
      <c r="K44" s="49" t="n"/>
    </row>
    <row r="45">
      <c r="B45" s="49" t="n"/>
      <c r="C45" s="49" t="n"/>
      <c r="D45" s="49" t="n"/>
      <c r="E45" s="49" t="n"/>
      <c r="F45" s="50" t="n"/>
      <c r="H45" s="49" t="n"/>
      <c r="I45" s="49" t="n"/>
      <c r="J45" s="49" t="n"/>
      <c r="K45" s="49" t="n"/>
    </row>
    <row r="46">
      <c r="B46" s="49" t="n"/>
      <c r="C46" s="49" t="n"/>
      <c r="D46" s="49" t="n"/>
      <c r="E46" s="49" t="n"/>
      <c r="F46" s="50" t="n"/>
      <c r="H46" s="49" t="n"/>
      <c r="I46" s="49" t="n"/>
      <c r="J46" s="49" t="n"/>
      <c r="K46" s="49" t="n"/>
    </row>
    <row r="47">
      <c r="B47" s="49" t="n"/>
      <c r="C47" s="49" t="n"/>
      <c r="D47" s="49" t="n"/>
      <c r="E47" s="49" t="n"/>
      <c r="F47" s="50" t="n"/>
      <c r="H47" s="49" t="n"/>
      <c r="I47" s="49" t="n"/>
      <c r="J47" s="49" t="n"/>
      <c r="K47" s="49" t="n"/>
    </row>
    <row r="48">
      <c r="B48" s="49" t="n"/>
      <c r="C48" s="49" t="n"/>
      <c r="D48" s="49" t="n"/>
      <c r="E48" s="49" t="n"/>
      <c r="F48" s="50" t="n"/>
      <c r="H48" s="49" t="n"/>
      <c r="I48" s="49" t="n"/>
      <c r="J48" s="49" t="n"/>
      <c r="K48" s="49" t="n"/>
    </row>
    <row r="49">
      <c r="B49" s="49" t="n"/>
      <c r="C49" s="49" t="n"/>
      <c r="D49" s="49" t="n"/>
      <c r="E49" s="49" t="n"/>
      <c r="F49" s="50" t="n"/>
      <c r="H49" s="49" t="n"/>
      <c r="I49" s="49" t="n"/>
      <c r="J49" s="49" t="n"/>
      <c r="K49" s="49" t="n"/>
    </row>
    <row r="50">
      <c r="B50" s="49" t="n"/>
      <c r="C50" s="49" t="n"/>
      <c r="D50" s="49" t="n"/>
      <c r="E50" s="49" t="n"/>
      <c r="F50" s="50" t="n"/>
      <c r="H50" s="49" t="n"/>
      <c r="I50" s="49" t="n"/>
      <c r="J50" s="49" t="n"/>
      <c r="K50" s="49" t="n"/>
    </row>
    <row r="51">
      <c r="B51" s="49" t="n"/>
      <c r="C51" s="49" t="n"/>
      <c r="D51" s="49" t="n"/>
      <c r="E51" s="49" t="n"/>
      <c r="F51" s="50" t="n"/>
      <c r="H51" s="49" t="n"/>
      <c r="I51" s="49" t="n"/>
      <c r="J51" s="49" t="n"/>
      <c r="K51" s="49" t="n"/>
    </row>
    <row r="52">
      <c r="B52" s="49" t="n"/>
      <c r="C52" s="49" t="n"/>
      <c r="D52" s="49" t="n"/>
      <c r="E52" s="49" t="n"/>
      <c r="F52" s="50" t="n"/>
      <c r="H52" s="49" t="n"/>
      <c r="I52" s="49" t="n"/>
      <c r="J52" s="49" t="n"/>
      <c r="K52" s="49" t="n"/>
    </row>
    <row r="53">
      <c r="B53" s="49" t="n"/>
      <c r="C53" s="49" t="n"/>
      <c r="D53" s="49" t="n"/>
      <c r="E53" s="49" t="n"/>
      <c r="F53" s="50" t="n"/>
      <c r="H53" s="49" t="n"/>
      <c r="I53" s="49" t="n"/>
      <c r="J53" s="49" t="n"/>
      <c r="K53" s="49" t="n"/>
    </row>
    <row r="54">
      <c r="B54" s="49" t="n"/>
      <c r="C54" s="49" t="n"/>
      <c r="D54" s="49" t="n"/>
      <c r="E54" s="49" t="n"/>
      <c r="F54" s="50" t="n"/>
      <c r="H54" s="49" t="n"/>
      <c r="I54" s="49" t="n"/>
      <c r="J54" s="49" t="n"/>
      <c r="K54" s="49" t="n"/>
    </row>
    <row r="55">
      <c r="B55" s="49" t="n"/>
      <c r="C55" s="49" t="n"/>
      <c r="D55" s="49" t="n"/>
      <c r="E55" s="49" t="n"/>
      <c r="F55" s="50" t="n"/>
      <c r="H55" s="49" t="n"/>
      <c r="I55" s="49" t="n"/>
      <c r="J55" s="49" t="n"/>
      <c r="K55" s="49" t="n"/>
    </row>
    <row r="56">
      <c r="B56" s="49" t="n"/>
      <c r="C56" s="49" t="n"/>
      <c r="D56" s="49" t="n"/>
      <c r="E56" s="49" t="n"/>
      <c r="F56" s="50" t="n"/>
      <c r="H56" s="49" t="n"/>
      <c r="I56" s="49" t="n"/>
      <c r="J56" s="49" t="n"/>
      <c r="K56" s="49" t="n"/>
    </row>
    <row r="57">
      <c r="B57" s="49" t="n"/>
      <c r="C57" s="49" t="n"/>
      <c r="D57" s="49" t="n"/>
      <c r="E57" s="49" t="n"/>
      <c r="F57" s="50" t="n"/>
      <c r="H57" s="49" t="n"/>
      <c r="I57" s="49" t="n"/>
      <c r="J57" s="49" t="n"/>
      <c r="K57" s="49" t="n"/>
    </row>
    <row r="58">
      <c r="B58" s="49" t="n"/>
      <c r="C58" s="49" t="n"/>
      <c r="D58" s="49" t="n"/>
      <c r="E58" s="49" t="n"/>
      <c r="F58" s="50" t="n"/>
      <c r="H58" s="49" t="n"/>
      <c r="I58" s="49" t="n"/>
      <c r="J58" s="49" t="n"/>
      <c r="K58" s="49" t="n"/>
    </row>
    <row r="59">
      <c r="B59" s="49" t="n"/>
      <c r="C59" s="49" t="n"/>
      <c r="D59" s="49" t="n"/>
      <c r="E59" s="49" t="n"/>
      <c r="F59" s="50" t="n"/>
      <c r="H59" s="49" t="n"/>
      <c r="I59" s="49" t="n"/>
      <c r="J59" s="49" t="n"/>
      <c r="K59" s="49" t="n"/>
    </row>
    <row r="60">
      <c r="B60" s="49" t="n"/>
      <c r="C60" s="49" t="n"/>
      <c r="D60" s="49" t="n"/>
      <c r="E60" s="49" t="n"/>
      <c r="F60" s="50" t="n"/>
      <c r="H60" s="49" t="n"/>
      <c r="I60" s="49" t="n"/>
      <c r="J60" s="49" t="n"/>
      <c r="K60" s="49" t="n"/>
    </row>
    <row r="61">
      <c r="B61" s="49" t="n"/>
      <c r="C61" s="49" t="n"/>
      <c r="D61" s="49" t="n"/>
      <c r="E61" s="49" t="n"/>
      <c r="F61" s="50" t="n"/>
      <c r="H61" s="49" t="n"/>
      <c r="I61" s="49" t="n"/>
      <c r="J61" s="49" t="n"/>
      <c r="K61" s="49" t="n"/>
    </row>
    <row r="62">
      <c r="B62" s="49" t="n"/>
      <c r="C62" s="49" t="n"/>
      <c r="D62" s="49" t="n"/>
      <c r="E62" s="49" t="n"/>
      <c r="F62" s="50" t="n"/>
      <c r="H62" s="49" t="n"/>
      <c r="I62" s="49" t="n"/>
      <c r="J62" s="49" t="n"/>
      <c r="K62" s="49" t="n"/>
    </row>
    <row r="63">
      <c r="B63" s="49" t="n"/>
      <c r="C63" s="49" t="n"/>
      <c r="D63" s="49" t="n"/>
      <c r="E63" s="49" t="n"/>
      <c r="F63" s="50" t="n"/>
      <c r="H63" s="49" t="n"/>
      <c r="I63" s="49" t="n"/>
      <c r="J63" s="49" t="n"/>
      <c r="K63" s="49" t="n"/>
    </row>
    <row r="64">
      <c r="B64" s="49" t="n"/>
      <c r="C64" s="49" t="n"/>
      <c r="D64" s="49" t="n"/>
      <c r="E64" s="49" t="n"/>
      <c r="F64" s="50" t="n"/>
      <c r="H64" s="49" t="n"/>
      <c r="I64" s="49" t="n"/>
      <c r="J64" s="49" t="n"/>
      <c r="K64" s="49" t="n"/>
    </row>
    <row r="65">
      <c r="B65" s="49" t="n"/>
      <c r="C65" s="49" t="n"/>
      <c r="D65" s="49" t="n"/>
      <c r="E65" s="49" t="n"/>
      <c r="F65" s="50" t="n"/>
      <c r="H65" s="49" t="n"/>
      <c r="I65" s="49" t="n"/>
      <c r="J65" s="49" t="n"/>
      <c r="K65" s="49" t="n"/>
    </row>
    <row r="66">
      <c r="B66" s="49" t="n"/>
      <c r="C66" s="49" t="n"/>
      <c r="D66" s="49" t="n"/>
      <c r="E66" s="49" t="n"/>
      <c r="F66" s="50" t="n"/>
      <c r="H66" s="49" t="n"/>
      <c r="I66" s="49" t="n"/>
      <c r="J66" s="49" t="n"/>
      <c r="K66" s="49" t="n"/>
    </row>
    <row r="67">
      <c r="B67" s="49" t="n"/>
      <c r="C67" s="49" t="n"/>
      <c r="D67" s="49" t="n"/>
      <c r="E67" s="49" t="n"/>
      <c r="F67" s="50" t="n"/>
      <c r="H67" s="49" t="n"/>
      <c r="I67" s="49" t="n"/>
      <c r="J67" s="49" t="n"/>
      <c r="K67" s="49" t="n"/>
    </row>
    <row r="68">
      <c r="B68" s="49" t="n"/>
      <c r="C68" s="49" t="n"/>
      <c r="D68" s="49" t="n"/>
      <c r="E68" s="49" t="n"/>
      <c r="F68" s="50" t="n"/>
      <c r="H68" s="49" t="n"/>
      <c r="I68" s="49" t="n"/>
      <c r="J68" s="49" t="n"/>
      <c r="K68" s="49" t="n"/>
    </row>
    <row r="69">
      <c r="B69" s="49" t="n"/>
      <c r="C69" s="49" t="n"/>
      <c r="D69" s="49" t="n"/>
      <c r="E69" s="49" t="n"/>
      <c r="F69" s="50" t="n"/>
      <c r="H69" s="49" t="n"/>
      <c r="I69" s="49" t="n"/>
      <c r="J69" s="49" t="n"/>
      <c r="K69" s="49" t="n"/>
    </row>
    <row r="70">
      <c r="B70" s="49" t="n"/>
      <c r="C70" s="49" t="n"/>
      <c r="D70" s="49" t="n"/>
      <c r="E70" s="49" t="n"/>
      <c r="F70" s="50" t="n"/>
      <c r="H70" s="49" t="n"/>
      <c r="I70" s="49" t="n"/>
      <c r="J70" s="49" t="n"/>
      <c r="K70" s="49" t="n"/>
    </row>
    <row r="71">
      <c r="B71" s="49" t="n"/>
      <c r="C71" s="49" t="n"/>
      <c r="D71" s="49" t="n"/>
      <c r="E71" s="49" t="n"/>
      <c r="F71" s="50" t="n"/>
      <c r="H71" s="49" t="n"/>
      <c r="I71" s="49" t="n"/>
      <c r="J71" s="49" t="n"/>
      <c r="K71" s="49" t="n"/>
    </row>
    <row r="72">
      <c r="B72" s="49" t="n"/>
      <c r="C72" s="49" t="n"/>
      <c r="D72" s="49" t="n"/>
      <c r="E72" s="49" t="n"/>
      <c r="F72" s="50" t="n"/>
      <c r="H72" s="49" t="n"/>
      <c r="I72" s="49" t="n"/>
      <c r="J72" s="49" t="n"/>
      <c r="K72" s="49" t="n"/>
    </row>
    <row r="73">
      <c r="B73" s="49" t="n"/>
      <c r="C73" s="49" t="n"/>
      <c r="D73" s="49" t="n"/>
      <c r="E73" s="49" t="n"/>
      <c r="F73" s="50" t="n"/>
      <c r="H73" s="49" t="n"/>
      <c r="I73" s="49" t="n"/>
      <c r="J73" s="49" t="n"/>
      <c r="K73" s="49" t="n"/>
    </row>
    <row r="74">
      <c r="B74" s="49" t="n"/>
      <c r="C74" s="49" t="n"/>
      <c r="D74" s="49" t="n"/>
      <c r="E74" s="49" t="n"/>
      <c r="F74" s="50" t="n"/>
      <c r="H74" s="49" t="n"/>
      <c r="I74" s="49" t="n"/>
      <c r="J74" s="49" t="n"/>
      <c r="K74" s="49" t="n"/>
    </row>
    <row r="75">
      <c r="B75" s="49" t="n"/>
      <c r="C75" s="49" t="n"/>
      <c r="D75" s="49" t="n"/>
      <c r="E75" s="49" t="n"/>
      <c r="F75" s="50" t="n"/>
      <c r="H75" s="49" t="n"/>
      <c r="I75" s="49" t="n"/>
      <c r="J75" s="49" t="n"/>
      <c r="K75" s="49" t="n"/>
    </row>
    <row r="76">
      <c r="B76" s="49" t="n"/>
      <c r="C76" s="49" t="n"/>
      <c r="D76" s="49" t="n"/>
      <c r="E76" s="49" t="n"/>
      <c r="F76" s="50" t="n"/>
      <c r="H76" s="49" t="n"/>
      <c r="I76" s="49" t="n"/>
      <c r="J76" s="49" t="n"/>
      <c r="K76" s="49" t="n"/>
    </row>
    <row r="77">
      <c r="B77" s="49" t="n"/>
      <c r="C77" s="49" t="n"/>
      <c r="D77" s="49" t="n"/>
      <c r="E77" s="49" t="n"/>
      <c r="F77" s="50" t="n"/>
      <c r="H77" s="49" t="n"/>
      <c r="I77" s="49" t="n"/>
      <c r="J77" s="49" t="n"/>
      <c r="K77" s="49" t="n"/>
    </row>
    <row r="78">
      <c r="B78" s="49" t="n"/>
      <c r="C78" s="49" t="n"/>
      <c r="D78" s="49" t="n"/>
      <c r="E78" s="49" t="n"/>
      <c r="F78" s="50" t="n"/>
      <c r="H78" s="49" t="n"/>
      <c r="I78" s="49" t="n"/>
      <c r="J78" s="49" t="n"/>
      <c r="K78" s="49" t="n"/>
    </row>
    <row r="79">
      <c r="B79" s="49" t="n"/>
      <c r="C79" s="49" t="n"/>
      <c r="D79" s="49" t="n"/>
      <c r="E79" s="49" t="n"/>
      <c r="F79" s="50" t="n"/>
      <c r="H79" s="49" t="n"/>
      <c r="I79" s="49" t="n"/>
      <c r="J79" s="49" t="n"/>
      <c r="K79" s="49" t="n"/>
    </row>
    <row r="80">
      <c r="B80" s="49" t="n"/>
      <c r="C80" s="49" t="n"/>
      <c r="D80" s="49" t="n"/>
      <c r="E80" s="49" t="n"/>
      <c r="F80" s="50" t="n"/>
      <c r="H80" s="49" t="n"/>
      <c r="I80" s="49" t="n"/>
      <c r="J80" s="49" t="n"/>
      <c r="K80" s="49" t="n"/>
    </row>
    <row r="81">
      <c r="B81" s="49" t="n"/>
      <c r="C81" s="49" t="n"/>
      <c r="D81" s="49" t="n"/>
      <c r="E81" s="49" t="n"/>
      <c r="F81" s="50" t="n"/>
      <c r="H81" s="49" t="n"/>
      <c r="I81" s="49" t="n"/>
      <c r="J81" s="49" t="n"/>
      <c r="K81" s="49" t="n"/>
    </row>
    <row r="82">
      <c r="B82" s="49" t="n"/>
      <c r="C82" s="49" t="n"/>
      <c r="D82" s="49" t="n"/>
      <c r="E82" s="49" t="n"/>
      <c r="F82" s="50" t="n"/>
      <c r="H82" s="49" t="n"/>
      <c r="I82" s="49" t="n"/>
      <c r="J82" s="49" t="n"/>
      <c r="K82" s="49" t="n"/>
    </row>
    <row r="83">
      <c r="B83" s="49" t="n"/>
      <c r="C83" s="49" t="n"/>
      <c r="D83" s="49" t="n"/>
      <c r="E83" s="49" t="n"/>
      <c r="F83" s="50" t="n"/>
      <c r="H83" s="49" t="n"/>
      <c r="I83" s="49" t="n"/>
      <c r="J83" s="49" t="n"/>
      <c r="K83" s="49" t="n"/>
    </row>
    <row r="84">
      <c r="B84" s="49" t="n"/>
      <c r="C84" s="49" t="n"/>
      <c r="D84" s="49" t="n"/>
      <c r="E84" s="49" t="n"/>
      <c r="F84" s="50" t="n"/>
      <c r="H84" s="49" t="n"/>
      <c r="I84" s="49" t="n"/>
      <c r="J84" s="49" t="n"/>
      <c r="K84" s="49" t="n"/>
    </row>
    <row r="85">
      <c r="B85" s="49" t="n"/>
      <c r="C85" s="49" t="n"/>
      <c r="D85" s="49" t="n"/>
      <c r="E85" s="49" t="n"/>
      <c r="F85" s="50" t="n"/>
      <c r="H85" s="49" t="n"/>
      <c r="I85" s="49" t="n"/>
      <c r="J85" s="49" t="n"/>
      <c r="K85" s="49" t="n"/>
    </row>
    <row r="86">
      <c r="B86" s="49" t="n"/>
      <c r="C86" s="49" t="n"/>
      <c r="D86" s="49" t="n"/>
      <c r="E86" s="49" t="n"/>
      <c r="F86" s="50" t="n"/>
      <c r="H86" s="49" t="n"/>
      <c r="I86" s="49" t="n"/>
      <c r="J86" s="49" t="n"/>
      <c r="K86" s="49" t="n"/>
    </row>
    <row r="87">
      <c r="B87" s="49" t="n"/>
      <c r="C87" s="49" t="n"/>
      <c r="D87" s="49" t="n"/>
      <c r="E87" s="49" t="n"/>
      <c r="F87" s="50" t="n"/>
      <c r="H87" s="49" t="n"/>
      <c r="I87" s="49" t="n"/>
      <c r="J87" s="49" t="n"/>
      <c r="K87" s="49" t="n"/>
    </row>
    <row r="88">
      <c r="B88" s="49" t="n"/>
      <c r="C88" s="49" t="n"/>
      <c r="D88" s="49" t="n"/>
      <c r="E88" s="49" t="n"/>
      <c r="F88" s="50" t="n"/>
      <c r="H88" s="49" t="n"/>
      <c r="I88" s="49" t="n"/>
      <c r="J88" s="49" t="n"/>
      <c r="K88" s="49" t="n"/>
    </row>
    <row r="89">
      <c r="B89" s="49" t="n"/>
      <c r="C89" s="49" t="n"/>
      <c r="D89" s="49" t="n"/>
      <c r="E89" s="49" t="n"/>
      <c r="F89" s="50" t="n"/>
      <c r="H89" s="49" t="n"/>
      <c r="I89" s="49" t="n"/>
      <c r="J89" s="49" t="n"/>
      <c r="K89" s="49" t="n"/>
    </row>
    <row r="90">
      <c r="B90" s="49" t="n"/>
      <c r="C90" s="49" t="n"/>
      <c r="D90" s="49" t="n"/>
      <c r="E90" s="49" t="n"/>
      <c r="F90" s="50" t="n"/>
      <c r="H90" s="49" t="n"/>
      <c r="I90" s="49" t="n"/>
      <c r="J90" s="49" t="n"/>
      <c r="K90" s="49" t="n"/>
    </row>
    <row r="91">
      <c r="B91" s="49" t="n"/>
      <c r="C91" s="49" t="n"/>
      <c r="D91" s="49" t="n"/>
      <c r="E91" s="49" t="n"/>
      <c r="F91" s="50" t="n"/>
      <c r="H91" s="49" t="n"/>
      <c r="I91" s="49" t="n"/>
      <c r="J91" s="49" t="n"/>
      <c r="K91" s="49" t="n"/>
    </row>
    <row r="92">
      <c r="B92" s="49" t="n"/>
      <c r="C92" s="49" t="n"/>
      <c r="D92" s="49" t="n"/>
      <c r="E92" s="49" t="n"/>
      <c r="F92" s="50" t="n"/>
      <c r="H92" s="49" t="n"/>
      <c r="I92" s="49" t="n"/>
      <c r="J92" s="49" t="n"/>
      <c r="K92" s="49" t="n"/>
    </row>
    <row r="93">
      <c r="B93" s="49" t="n"/>
      <c r="C93" s="49" t="n"/>
      <c r="D93" s="49" t="n"/>
      <c r="E93" s="49" t="n"/>
      <c r="F93" s="50" t="n"/>
      <c r="H93" s="49" t="n"/>
      <c r="I93" s="49" t="n"/>
      <c r="J93" s="49" t="n"/>
      <c r="K93" s="49" t="n"/>
    </row>
    <row r="94">
      <c r="B94" s="49" t="n"/>
      <c r="C94" s="49" t="n"/>
      <c r="D94" s="49" t="n"/>
      <c r="E94" s="49" t="n"/>
      <c r="F94" s="50" t="n"/>
      <c r="H94" s="49" t="n"/>
      <c r="I94" s="49" t="n"/>
      <c r="J94" s="49" t="n"/>
      <c r="K94" s="49" t="n"/>
    </row>
    <row r="95">
      <c r="B95" s="49" t="n"/>
      <c r="C95" s="49" t="n"/>
      <c r="D95" s="49" t="n"/>
      <c r="E95" s="49" t="n"/>
      <c r="F95" s="50" t="n"/>
      <c r="H95" s="49" t="n"/>
      <c r="I95" s="49" t="n"/>
      <c r="J95" s="49" t="n"/>
      <c r="K95" s="49" t="n"/>
    </row>
    <row r="96">
      <c r="B96" s="49" t="n"/>
      <c r="C96" s="49" t="n"/>
      <c r="D96" s="49" t="n"/>
      <c r="E96" s="49" t="n"/>
      <c r="F96" s="50" t="n"/>
      <c r="H96" s="49" t="n"/>
      <c r="I96" s="49" t="n"/>
      <c r="J96" s="49" t="n"/>
      <c r="K96" s="49" t="n"/>
    </row>
    <row r="97">
      <c r="B97" s="49" t="n"/>
      <c r="C97" s="49" t="n"/>
      <c r="D97" s="49" t="n"/>
      <c r="E97" s="49" t="n"/>
      <c r="F97" s="50" t="n"/>
      <c r="H97" s="49" t="n"/>
      <c r="I97" s="49" t="n"/>
      <c r="J97" s="49" t="n"/>
      <c r="K97" s="49" t="n"/>
    </row>
    <row r="98">
      <c r="B98" s="49" t="n"/>
      <c r="C98" s="49" t="n"/>
      <c r="D98" s="49" t="n"/>
      <c r="E98" s="49" t="n"/>
      <c r="F98" s="50" t="n"/>
      <c r="H98" s="49" t="n"/>
      <c r="I98" s="49" t="n"/>
      <c r="J98" s="49" t="n"/>
      <c r="K98" s="49" t="n"/>
    </row>
    <row r="99">
      <c r="B99" s="49" t="n"/>
      <c r="C99" s="49" t="n"/>
      <c r="D99" s="49" t="n"/>
      <c r="E99" s="49" t="n"/>
      <c r="F99" s="50" t="n"/>
      <c r="H99" s="49" t="n"/>
      <c r="I99" s="49" t="n"/>
      <c r="J99" s="49" t="n"/>
      <c r="K99" s="49" t="n"/>
    </row>
    <row r="100">
      <c r="B100" s="49" t="n"/>
      <c r="C100" s="49" t="n"/>
      <c r="D100" s="49" t="n"/>
      <c r="E100" s="49" t="n"/>
      <c r="F100" s="50" t="n"/>
      <c r="H100" s="49" t="n"/>
      <c r="I100" s="49" t="n"/>
      <c r="J100" s="49" t="n"/>
      <c r="K100" s="49" t="n"/>
    </row>
    <row r="101">
      <c r="B101" s="49" t="n"/>
      <c r="C101" s="49" t="n"/>
      <c r="D101" s="49" t="n"/>
      <c r="E101" s="49" t="n"/>
      <c r="F101" s="50" t="n"/>
      <c r="H101" s="49" t="n"/>
      <c r="I101" s="49" t="n"/>
      <c r="J101" s="49" t="n"/>
      <c r="K101" s="49" t="n"/>
    </row>
    <row r="102">
      <c r="B102" s="49" t="n"/>
      <c r="C102" s="49" t="n"/>
      <c r="D102" s="49" t="n"/>
      <c r="E102" s="49" t="n"/>
      <c r="F102" s="50" t="n"/>
      <c r="H102" s="49" t="n"/>
      <c r="I102" s="49" t="n"/>
      <c r="J102" s="49" t="n"/>
      <c r="K102" s="49" t="n"/>
    </row>
    <row r="103">
      <c r="B103" s="49" t="n"/>
      <c r="C103" s="49" t="n"/>
      <c r="D103" s="49" t="n"/>
      <c r="E103" s="49" t="n"/>
      <c r="F103" s="50" t="n"/>
      <c r="H103" s="49" t="n"/>
      <c r="I103" s="49" t="n"/>
      <c r="J103" s="49" t="n"/>
      <c r="K103" s="49" t="n"/>
    </row>
    <row r="104">
      <c r="B104" s="49" t="n"/>
      <c r="C104" s="49" t="n"/>
      <c r="D104" s="49" t="n"/>
      <c r="E104" s="49" t="n"/>
      <c r="F104" s="50" t="n"/>
      <c r="H104" s="49" t="n"/>
      <c r="I104" s="49" t="n"/>
      <c r="J104" s="49" t="n"/>
      <c r="K104" s="49" t="n"/>
    </row>
    <row r="105">
      <c r="B105" s="49" t="n"/>
      <c r="C105" s="49" t="n"/>
      <c r="D105" s="49" t="n"/>
      <c r="E105" s="49" t="n"/>
      <c r="F105" s="50" t="n"/>
      <c r="H105" s="49" t="n"/>
      <c r="I105" s="49" t="n"/>
      <c r="J105" s="49" t="n"/>
      <c r="K105" s="49" t="n"/>
    </row>
    <row r="106">
      <c r="B106" s="49" t="n"/>
      <c r="C106" s="49" t="n"/>
      <c r="D106" s="49" t="n"/>
      <c r="E106" s="49" t="n"/>
      <c r="F106" s="50" t="n"/>
      <c r="H106" s="49" t="n"/>
      <c r="I106" s="49" t="n"/>
      <c r="J106" s="49" t="n"/>
      <c r="K106" s="49" t="n"/>
    </row>
    <row r="107">
      <c r="B107" s="49" t="n"/>
      <c r="C107" s="49" t="n"/>
      <c r="D107" s="49" t="n"/>
      <c r="E107" s="49" t="n"/>
      <c r="F107" s="50" t="n"/>
      <c r="H107" s="49" t="n"/>
      <c r="I107" s="49" t="n"/>
      <c r="J107" s="49" t="n"/>
      <c r="K107" s="49" t="n"/>
    </row>
    <row r="108">
      <c r="B108" s="49" t="n"/>
      <c r="C108" s="49" t="n"/>
      <c r="D108" s="49" t="n"/>
      <c r="E108" s="49" t="n"/>
      <c r="F108" s="50" t="n"/>
      <c r="H108" s="49" t="n"/>
      <c r="I108" s="49" t="n"/>
      <c r="J108" s="49" t="n"/>
      <c r="K108" s="49" t="n"/>
    </row>
    <row r="109">
      <c r="B109" s="49" t="n"/>
      <c r="C109" s="49" t="n"/>
      <c r="D109" s="49" t="n"/>
      <c r="E109" s="49" t="n"/>
      <c r="F109" s="50" t="n"/>
      <c r="H109" s="49" t="n"/>
      <c r="I109" s="49" t="n"/>
      <c r="J109" s="49" t="n"/>
      <c r="K109" s="49" t="n"/>
    </row>
    <row r="110">
      <c r="B110" s="49" t="n"/>
      <c r="C110" s="49" t="n"/>
      <c r="D110" s="49" t="n"/>
      <c r="E110" s="49" t="n"/>
      <c r="F110" s="50" t="n"/>
      <c r="H110" s="49" t="n"/>
      <c r="I110" s="49" t="n"/>
      <c r="J110" s="49" t="n"/>
      <c r="K110" s="49" t="n"/>
    </row>
    <row r="111">
      <c r="B111" s="49" t="n"/>
      <c r="C111" s="49" t="n"/>
      <c r="D111" s="49" t="n"/>
      <c r="E111" s="49" t="n"/>
      <c r="F111" s="50" t="n"/>
      <c r="H111" s="49" t="n"/>
      <c r="I111" s="49" t="n"/>
      <c r="J111" s="49" t="n"/>
      <c r="K111" s="49" t="n"/>
    </row>
    <row r="112">
      <c r="B112" s="49" t="n"/>
      <c r="C112" s="49" t="n"/>
      <c r="D112" s="49" t="n"/>
      <c r="E112" s="49" t="n"/>
      <c r="F112" s="50" t="n"/>
      <c r="H112" s="49" t="n"/>
      <c r="I112" s="49" t="n"/>
      <c r="J112" s="49" t="n"/>
      <c r="K112" s="49" t="n"/>
    </row>
    <row r="113">
      <c r="B113" s="49" t="n"/>
      <c r="C113" s="49" t="n"/>
      <c r="D113" s="49" t="n"/>
      <c r="E113" s="49" t="n"/>
      <c r="F113" s="50" t="n"/>
      <c r="H113" s="49" t="n"/>
      <c r="I113" s="49" t="n"/>
      <c r="J113" s="49" t="n"/>
      <c r="K113" s="49" t="n"/>
    </row>
    <row r="114">
      <c r="B114" s="49" t="n"/>
      <c r="C114" s="49" t="n"/>
      <c r="D114" s="49" t="n"/>
      <c r="E114" s="49" t="n"/>
      <c r="F114" s="50" t="n"/>
      <c r="H114" s="49" t="n"/>
      <c r="I114" s="49" t="n"/>
      <c r="J114" s="49" t="n"/>
      <c r="K114" s="49" t="n"/>
    </row>
    <row r="115">
      <c r="B115" s="49" t="n"/>
      <c r="C115" s="49" t="n"/>
      <c r="D115" s="49" t="n"/>
      <c r="E115" s="49" t="n"/>
      <c r="F115" s="50" t="n"/>
      <c r="H115" s="49" t="n"/>
      <c r="I115" s="49" t="n"/>
      <c r="J115" s="49" t="n"/>
      <c r="K115" s="49" t="n"/>
    </row>
    <row r="116">
      <c r="B116" s="49" t="n"/>
      <c r="C116" s="49" t="n"/>
      <c r="D116" s="49" t="n"/>
      <c r="E116" s="49" t="n"/>
      <c r="F116" s="50" t="n"/>
      <c r="H116" s="49" t="n"/>
      <c r="I116" s="49" t="n"/>
      <c r="J116" s="49" t="n"/>
      <c r="K116" s="49" t="n"/>
    </row>
    <row r="117">
      <c r="B117" s="49" t="n"/>
      <c r="C117" s="49" t="n"/>
      <c r="D117" s="49" t="n"/>
      <c r="E117" s="49" t="n"/>
      <c r="F117" s="50" t="n"/>
      <c r="H117" s="49" t="n"/>
      <c r="I117" s="49" t="n"/>
      <c r="J117" s="49" t="n"/>
      <c r="K117" s="49" t="n"/>
    </row>
    <row r="118">
      <c r="B118" s="49" t="n"/>
      <c r="C118" s="49" t="n"/>
      <c r="D118" s="49" t="n"/>
      <c r="E118" s="49" t="n"/>
      <c r="F118" s="50" t="n"/>
      <c r="H118" s="49" t="n"/>
      <c r="I118" s="49" t="n"/>
      <c r="J118" s="49" t="n"/>
      <c r="K118" s="49" t="n"/>
    </row>
    <row r="119">
      <c r="B119" s="49" t="n"/>
      <c r="C119" s="49" t="n"/>
      <c r="D119" s="49" t="n"/>
      <c r="E119" s="49" t="n"/>
      <c r="F119" s="50" t="n"/>
      <c r="H119" s="49" t="n"/>
      <c r="I119" s="49" t="n"/>
      <c r="J119" s="49" t="n"/>
      <c r="K119" s="49" t="n"/>
    </row>
    <row r="120">
      <c r="B120" s="49" t="n"/>
      <c r="C120" s="49" t="n"/>
      <c r="D120" s="49" t="n"/>
      <c r="E120" s="49" t="n"/>
      <c r="F120" s="50" t="n"/>
      <c r="H120" s="49" t="n"/>
      <c r="I120" s="49" t="n"/>
      <c r="J120" s="49" t="n"/>
      <c r="K120" s="49" t="n"/>
    </row>
    <row r="121">
      <c r="B121" s="49" t="n"/>
      <c r="C121" s="49" t="n"/>
      <c r="D121" s="49" t="n"/>
      <c r="E121" s="49" t="n"/>
      <c r="F121" s="50" t="n"/>
      <c r="H121" s="49" t="n"/>
      <c r="I121" s="49" t="n"/>
      <c r="J121" s="49" t="n"/>
      <c r="K121" s="49" t="n"/>
    </row>
    <row r="122">
      <c r="B122" s="49" t="n"/>
      <c r="C122" s="49" t="n"/>
      <c r="D122" s="49" t="n"/>
      <c r="E122" s="49" t="n"/>
      <c r="F122" s="50" t="n"/>
      <c r="H122" s="49" t="n"/>
      <c r="I122" s="49" t="n"/>
      <c r="J122" s="49" t="n"/>
      <c r="K122" s="49" t="n"/>
    </row>
    <row r="123">
      <c r="B123" s="49" t="n"/>
      <c r="C123" s="49" t="n"/>
      <c r="D123" s="49" t="n"/>
      <c r="E123" s="49" t="n"/>
      <c r="F123" s="50" t="n"/>
      <c r="H123" s="49" t="n"/>
      <c r="I123" s="49" t="n"/>
      <c r="J123" s="49" t="n"/>
      <c r="K123" s="49" t="n"/>
    </row>
    <row r="124">
      <c r="B124" s="49" t="n"/>
      <c r="C124" s="49" t="n"/>
      <c r="D124" s="49" t="n"/>
      <c r="E124" s="49" t="n"/>
      <c r="F124" s="50" t="n"/>
      <c r="H124" s="49" t="n"/>
      <c r="I124" s="49" t="n"/>
      <c r="J124" s="49" t="n"/>
      <c r="K124" s="49" t="n"/>
    </row>
    <row r="125">
      <c r="B125" s="49" t="n"/>
      <c r="C125" s="49" t="n"/>
      <c r="D125" s="49" t="n"/>
      <c r="E125" s="49" t="n"/>
      <c r="F125" s="50" t="n"/>
      <c r="H125" s="49" t="n"/>
      <c r="I125" s="49" t="n"/>
      <c r="J125" s="49" t="n"/>
      <c r="K125" s="49" t="n"/>
    </row>
    <row r="126">
      <c r="B126" s="49" t="n"/>
      <c r="C126" s="49" t="n"/>
      <c r="D126" s="49" t="n"/>
      <c r="E126" s="49" t="n"/>
      <c r="F126" s="50" t="n"/>
      <c r="H126" s="49" t="n"/>
      <c r="I126" s="49" t="n"/>
      <c r="J126" s="49" t="n"/>
      <c r="K126" s="49" t="n"/>
    </row>
    <row r="127">
      <c r="B127" s="49" t="n"/>
      <c r="C127" s="49" t="n"/>
      <c r="D127" s="49" t="n"/>
      <c r="E127" s="49" t="n"/>
      <c r="F127" s="50" t="n"/>
      <c r="H127" s="49" t="n"/>
      <c r="I127" s="49" t="n"/>
      <c r="J127" s="49" t="n"/>
      <c r="K127" s="49" t="n"/>
    </row>
    <row r="128">
      <c r="B128" s="49" t="n"/>
      <c r="C128" s="49" t="n"/>
      <c r="D128" s="49" t="n"/>
      <c r="E128" s="49" t="n"/>
      <c r="F128" s="50" t="n"/>
      <c r="H128" s="49" t="n"/>
      <c r="I128" s="49" t="n"/>
      <c r="J128" s="49" t="n"/>
      <c r="K128" s="49" t="n"/>
    </row>
    <row r="129">
      <c r="B129" s="49" t="n"/>
      <c r="C129" s="49" t="n"/>
      <c r="D129" s="49" t="n"/>
      <c r="E129" s="49" t="n"/>
      <c r="F129" s="50" t="n"/>
      <c r="H129" s="49" t="n"/>
      <c r="I129" s="49" t="n"/>
      <c r="J129" s="49" t="n"/>
      <c r="K129" s="49" t="n"/>
    </row>
    <row r="130">
      <c r="B130" s="49" t="n"/>
      <c r="C130" s="49" t="n"/>
      <c r="D130" s="49" t="n"/>
      <c r="E130" s="49" t="n"/>
      <c r="F130" s="50" t="n"/>
      <c r="H130" s="49" t="n"/>
      <c r="I130" s="49" t="n"/>
      <c r="J130" s="49" t="n"/>
      <c r="K130" s="49" t="n"/>
    </row>
    <row r="131">
      <c r="B131" s="49" t="n"/>
      <c r="C131" s="49" t="n"/>
      <c r="D131" s="49" t="n"/>
      <c r="E131" s="49" t="n"/>
      <c r="F131" s="50" t="n"/>
      <c r="H131" s="49" t="n"/>
      <c r="I131" s="49" t="n"/>
      <c r="J131" s="49" t="n"/>
      <c r="K131" s="49" t="n"/>
    </row>
    <row r="132">
      <c r="B132" s="49" t="n"/>
      <c r="C132" s="49" t="n"/>
      <c r="D132" s="49" t="n"/>
      <c r="E132" s="49" t="n"/>
      <c r="F132" s="50" t="n"/>
      <c r="H132" s="49" t="n"/>
      <c r="I132" s="49" t="n"/>
      <c r="J132" s="49" t="n"/>
      <c r="K132" s="49" t="n"/>
    </row>
    <row r="133">
      <c r="B133" s="49" t="n"/>
      <c r="C133" s="49" t="n"/>
      <c r="D133" s="49" t="n"/>
      <c r="E133" s="49" t="n"/>
      <c r="F133" s="50" t="n"/>
      <c r="H133" s="49" t="n"/>
      <c r="I133" s="49" t="n"/>
      <c r="J133" s="49" t="n"/>
      <c r="K133" s="49" t="n"/>
    </row>
    <row r="134">
      <c r="B134" s="49" t="n"/>
      <c r="C134" s="49" t="n"/>
      <c r="D134" s="49" t="n"/>
      <c r="E134" s="49" t="n"/>
      <c r="F134" s="50" t="n"/>
      <c r="H134" s="49" t="n"/>
      <c r="I134" s="49" t="n"/>
      <c r="J134" s="49" t="n"/>
      <c r="K134" s="49" t="n"/>
    </row>
    <row r="135">
      <c r="B135" s="49" t="n"/>
      <c r="C135" s="49" t="n"/>
      <c r="D135" s="49" t="n"/>
      <c r="E135" s="49" t="n"/>
      <c r="F135" s="50" t="n"/>
      <c r="H135" s="49" t="n"/>
      <c r="I135" s="49" t="n"/>
      <c r="J135" s="49" t="n"/>
      <c r="K135" s="49" t="n"/>
    </row>
    <row r="136">
      <c r="B136" s="49" t="n"/>
      <c r="C136" s="49" t="n"/>
      <c r="D136" s="49" t="n"/>
      <c r="E136" s="49" t="n"/>
      <c r="F136" s="50" t="n"/>
      <c r="H136" s="49" t="n"/>
      <c r="I136" s="49" t="n"/>
      <c r="J136" s="49" t="n"/>
      <c r="K136" s="49" t="n"/>
    </row>
    <row r="137">
      <c r="B137" s="49" t="n"/>
      <c r="C137" s="49" t="n"/>
      <c r="D137" s="49" t="n"/>
      <c r="E137" s="49" t="n"/>
      <c r="F137" s="50" t="n"/>
      <c r="H137" s="49" t="n"/>
      <c r="I137" s="49" t="n"/>
      <c r="J137" s="49" t="n"/>
      <c r="K137" s="49" t="n"/>
    </row>
    <row r="138">
      <c r="B138" s="49" t="n"/>
      <c r="C138" s="49" t="n"/>
      <c r="D138" s="49" t="n"/>
      <c r="E138" s="49" t="n"/>
      <c r="F138" s="50" t="n"/>
      <c r="H138" s="49" t="n"/>
      <c r="I138" s="49" t="n"/>
      <c r="J138" s="49" t="n"/>
      <c r="K138" s="49" t="n"/>
    </row>
    <row r="139">
      <c r="B139" s="49" t="n"/>
      <c r="C139" s="49" t="n"/>
      <c r="D139" s="49" t="n"/>
      <c r="E139" s="49" t="n"/>
      <c r="F139" s="50" t="n"/>
      <c r="H139" s="49" t="n"/>
      <c r="I139" s="49" t="n"/>
      <c r="J139" s="49" t="n"/>
      <c r="K139" s="49" t="n"/>
    </row>
    <row r="140">
      <c r="B140" s="49" t="n"/>
      <c r="C140" s="49" t="n"/>
      <c r="D140" s="49" t="n"/>
      <c r="E140" s="49" t="n"/>
      <c r="F140" s="50" t="n"/>
      <c r="H140" s="49" t="n"/>
      <c r="I140" s="49" t="n"/>
      <c r="J140" s="49" t="n"/>
      <c r="K140" s="49" t="n"/>
    </row>
    <row r="141">
      <c r="B141" s="49" t="n"/>
      <c r="C141" s="49" t="n"/>
      <c r="D141" s="49" t="n"/>
      <c r="E141" s="49" t="n"/>
      <c r="F141" s="50" t="n"/>
      <c r="H141" s="49" t="n"/>
      <c r="I141" s="49" t="n"/>
      <c r="J141" s="49" t="n"/>
      <c r="K141" s="49" t="n"/>
    </row>
    <row r="142">
      <c r="B142" s="49" t="n"/>
      <c r="C142" s="49" t="n"/>
      <c r="D142" s="49" t="n"/>
      <c r="E142" s="49" t="n"/>
      <c r="F142" s="50" t="n"/>
      <c r="H142" s="49" t="n"/>
      <c r="I142" s="49" t="n"/>
      <c r="J142" s="49" t="n"/>
      <c r="K142" s="49" t="n"/>
    </row>
    <row r="143">
      <c r="B143" s="49" t="n"/>
      <c r="C143" s="49" t="n"/>
      <c r="D143" s="49" t="n"/>
      <c r="E143" s="49" t="n"/>
      <c r="F143" s="50" t="n"/>
      <c r="H143" s="49" t="n"/>
      <c r="I143" s="49" t="n"/>
      <c r="J143" s="49" t="n"/>
      <c r="K143" s="49" t="n"/>
    </row>
    <row r="144">
      <c r="B144" s="49" t="n"/>
      <c r="C144" s="49" t="n"/>
      <c r="D144" s="49" t="n"/>
      <c r="E144" s="49" t="n"/>
      <c r="F144" s="50" t="n"/>
      <c r="H144" s="49" t="n"/>
      <c r="I144" s="49" t="n"/>
      <c r="J144" s="49" t="n"/>
      <c r="K144" s="49" t="n"/>
    </row>
    <row r="145">
      <c r="B145" s="49" t="n"/>
      <c r="C145" s="49" t="n"/>
      <c r="D145" s="49" t="n"/>
      <c r="E145" s="49" t="n"/>
      <c r="F145" s="50" t="n"/>
      <c r="H145" s="49" t="n"/>
      <c r="I145" s="49" t="n"/>
      <c r="J145" s="49" t="n"/>
      <c r="K145" s="49" t="n"/>
    </row>
    <row r="146">
      <c r="B146" s="49" t="n"/>
      <c r="C146" s="49" t="n"/>
      <c r="D146" s="49" t="n"/>
      <c r="E146" s="49" t="n"/>
      <c r="F146" s="50" t="n"/>
      <c r="H146" s="49" t="n"/>
      <c r="I146" s="49" t="n"/>
      <c r="J146" s="49" t="n"/>
      <c r="K146" s="49" t="n"/>
    </row>
    <row r="147">
      <c r="B147" s="49" t="n"/>
      <c r="C147" s="49" t="n"/>
      <c r="D147" s="49" t="n"/>
      <c r="E147" s="49" t="n"/>
      <c r="F147" s="50" t="n"/>
      <c r="H147" s="49" t="n"/>
      <c r="I147" s="49" t="n"/>
      <c r="J147" s="49" t="n"/>
      <c r="K147" s="49" t="n"/>
    </row>
    <row r="148">
      <c r="B148" s="49" t="n"/>
      <c r="C148" s="49" t="n"/>
      <c r="D148" s="49" t="n"/>
      <c r="E148" s="49" t="n"/>
      <c r="F148" s="50" t="n"/>
      <c r="H148" s="49" t="n"/>
      <c r="I148" s="49" t="n"/>
      <c r="J148" s="49" t="n"/>
      <c r="K148" s="49" t="n"/>
    </row>
    <row r="149">
      <c r="B149" s="49" t="n"/>
      <c r="C149" s="49" t="n"/>
      <c r="D149" s="49" t="n"/>
      <c r="E149" s="49" t="n"/>
      <c r="F149" s="50" t="n"/>
      <c r="H149" s="49" t="n"/>
      <c r="I149" s="49" t="n"/>
      <c r="J149" s="49" t="n"/>
      <c r="K149" s="49" t="n"/>
    </row>
    <row r="150">
      <c r="B150" s="49" t="n"/>
      <c r="C150" s="49" t="n"/>
      <c r="D150" s="49" t="n"/>
      <c r="E150" s="49" t="n"/>
      <c r="F150" s="50" t="n"/>
      <c r="H150" s="49" t="n"/>
      <c r="I150" s="49" t="n"/>
      <c r="J150" s="49" t="n"/>
      <c r="K150" s="49" t="n"/>
    </row>
    <row r="151">
      <c r="B151" s="49" t="n"/>
      <c r="C151" s="49" t="n"/>
      <c r="D151" s="49" t="n"/>
      <c r="E151" s="49" t="n"/>
      <c r="F151" s="50" t="n"/>
      <c r="H151" s="49" t="n"/>
      <c r="I151" s="49" t="n"/>
      <c r="J151" s="49" t="n"/>
      <c r="K151" s="49" t="n"/>
    </row>
    <row r="152">
      <c r="B152" s="49" t="n"/>
      <c r="C152" s="49" t="n"/>
      <c r="D152" s="49" t="n"/>
      <c r="E152" s="49" t="n"/>
      <c r="F152" s="50" t="n"/>
      <c r="H152" s="49" t="n"/>
      <c r="I152" s="49" t="n"/>
      <c r="J152" s="49" t="n"/>
      <c r="K152" s="49" t="n"/>
    </row>
    <row r="153">
      <c r="B153" s="49" t="n"/>
      <c r="C153" s="49" t="n"/>
      <c r="D153" s="49" t="n"/>
      <c r="E153" s="49" t="n"/>
      <c r="F153" s="50" t="n"/>
      <c r="H153" s="49" t="n"/>
      <c r="I153" s="49" t="n"/>
      <c r="J153" s="49" t="n"/>
      <c r="K153" s="49" t="n"/>
    </row>
    <row r="154">
      <c r="B154" s="49" t="n"/>
      <c r="C154" s="49" t="n"/>
      <c r="D154" s="49" t="n"/>
      <c r="E154" s="49" t="n"/>
      <c r="F154" s="50" t="n"/>
      <c r="H154" s="49" t="n"/>
      <c r="I154" s="49" t="n"/>
      <c r="J154" s="49" t="n"/>
      <c r="K154" s="49" t="n"/>
    </row>
    <row r="155">
      <c r="B155" s="49" t="n"/>
      <c r="C155" s="49" t="n"/>
      <c r="D155" s="49" t="n"/>
      <c r="E155" s="49" t="n"/>
      <c r="F155" s="50" t="n"/>
      <c r="H155" s="49" t="n"/>
      <c r="I155" s="49" t="n"/>
      <c r="J155" s="49" t="n"/>
      <c r="K155" s="49" t="n"/>
    </row>
    <row r="156">
      <c r="B156" s="49" t="n"/>
      <c r="C156" s="49" t="n"/>
      <c r="D156" s="49" t="n"/>
      <c r="E156" s="49" t="n"/>
      <c r="F156" s="50" t="n"/>
      <c r="H156" s="49" t="n"/>
      <c r="I156" s="49" t="n"/>
      <c r="J156" s="49" t="n"/>
      <c r="K156" s="49" t="n"/>
    </row>
    <row r="157">
      <c r="B157" s="49" t="n"/>
      <c r="C157" s="49" t="n"/>
      <c r="D157" s="49" t="n"/>
      <c r="E157" s="49" t="n"/>
      <c r="F157" s="50" t="n"/>
      <c r="H157" s="49" t="n"/>
      <c r="I157" s="49" t="n"/>
      <c r="J157" s="49" t="n"/>
      <c r="K157" s="49" t="n"/>
    </row>
    <row r="158">
      <c r="B158" s="49" t="n"/>
      <c r="C158" s="49" t="n"/>
      <c r="D158" s="49" t="n"/>
      <c r="E158" s="49" t="n"/>
      <c r="F158" s="50" t="n"/>
      <c r="H158" s="49" t="n"/>
      <c r="I158" s="49" t="n"/>
      <c r="J158" s="49" t="n"/>
      <c r="K158" s="49" t="n"/>
    </row>
    <row r="159">
      <c r="B159" s="49" t="n"/>
      <c r="C159" s="49" t="n"/>
      <c r="D159" s="49" t="n"/>
      <c r="E159" s="49" t="n"/>
      <c r="F159" s="50" t="n"/>
      <c r="H159" s="49" t="n"/>
      <c r="I159" s="49" t="n"/>
      <c r="J159" s="49" t="n"/>
      <c r="K159" s="49" t="n"/>
    </row>
    <row r="160">
      <c r="B160" s="49" t="n"/>
      <c r="C160" s="49" t="n"/>
      <c r="D160" s="49" t="n"/>
      <c r="E160" s="49" t="n"/>
      <c r="F160" s="50" t="n"/>
      <c r="H160" s="49" t="n"/>
      <c r="I160" s="49" t="n"/>
      <c r="J160" s="49" t="n"/>
      <c r="K160" s="49" t="n"/>
    </row>
    <row r="161">
      <c r="B161" s="49" t="n"/>
      <c r="C161" s="49" t="n"/>
      <c r="D161" s="49" t="n"/>
      <c r="E161" s="49" t="n"/>
      <c r="F161" s="50" t="n"/>
      <c r="H161" s="49" t="n"/>
      <c r="I161" s="49" t="n"/>
      <c r="J161" s="49" t="n"/>
      <c r="K161" s="49" t="n"/>
    </row>
    <row r="162">
      <c r="B162" s="49" t="n"/>
      <c r="C162" s="49" t="n"/>
      <c r="D162" s="49" t="n"/>
      <c r="E162" s="49" t="n"/>
      <c r="F162" s="50" t="n"/>
      <c r="H162" s="49" t="n"/>
      <c r="I162" s="49" t="n"/>
      <c r="J162" s="49" t="n"/>
      <c r="K162" s="49" t="n"/>
    </row>
    <row r="163">
      <c r="B163" s="49" t="n"/>
      <c r="C163" s="49" t="n"/>
      <c r="D163" s="49" t="n"/>
      <c r="E163" s="49" t="n"/>
      <c r="F163" s="50" t="n"/>
      <c r="H163" s="49" t="n"/>
      <c r="I163" s="49" t="n"/>
      <c r="J163" s="49" t="n"/>
      <c r="K163" s="49" t="n"/>
    </row>
    <row r="164">
      <c r="B164" s="49" t="n"/>
      <c r="C164" s="49" t="n"/>
      <c r="D164" s="49" t="n"/>
      <c r="E164" s="49" t="n"/>
      <c r="F164" s="50" t="n"/>
      <c r="H164" s="49" t="n"/>
      <c r="I164" s="49" t="n"/>
      <c r="J164" s="49" t="n"/>
      <c r="K164" s="49" t="n"/>
    </row>
    <row r="165">
      <c r="B165" s="49" t="n"/>
      <c r="C165" s="49" t="n"/>
      <c r="D165" s="49" t="n"/>
      <c r="E165" s="49" t="n"/>
      <c r="F165" s="50" t="n"/>
      <c r="H165" s="49" t="n"/>
      <c r="I165" s="49" t="n"/>
      <c r="J165" s="49" t="n"/>
      <c r="K165" s="49" t="n"/>
    </row>
    <row r="166">
      <c r="B166" s="49" t="n"/>
      <c r="C166" s="49" t="n"/>
      <c r="D166" s="49" t="n"/>
      <c r="E166" s="49" t="n"/>
      <c r="F166" s="50" t="n"/>
      <c r="H166" s="49" t="n"/>
      <c r="I166" s="49" t="n"/>
      <c r="J166" s="49" t="n"/>
      <c r="K166" s="49" t="n"/>
    </row>
    <row r="167">
      <c r="B167" s="49" t="n"/>
      <c r="C167" s="49" t="n"/>
      <c r="D167" s="49" t="n"/>
      <c r="E167" s="49" t="n"/>
      <c r="F167" s="50" t="n"/>
      <c r="H167" s="49" t="n"/>
      <c r="I167" s="49" t="n"/>
      <c r="J167" s="49" t="n"/>
      <c r="K167" s="49" t="n"/>
    </row>
    <row r="168">
      <c r="B168" s="49" t="n"/>
      <c r="C168" s="49" t="n"/>
      <c r="D168" s="49" t="n"/>
      <c r="E168" s="49" t="n"/>
      <c r="F168" s="50" t="n"/>
      <c r="H168" s="49" t="n"/>
      <c r="I168" s="49" t="n"/>
      <c r="J168" s="49" t="n"/>
      <c r="K168" s="49" t="n"/>
    </row>
    <row r="169">
      <c r="B169" s="49" t="n"/>
      <c r="C169" s="49" t="n"/>
      <c r="D169" s="49" t="n"/>
      <c r="E169" s="49" t="n"/>
      <c r="F169" s="50" t="n"/>
      <c r="H169" s="49" t="n"/>
      <c r="I169" s="49" t="n"/>
      <c r="J169" s="49" t="n"/>
      <c r="K169" s="49" t="n"/>
    </row>
    <row r="170">
      <c r="B170" s="49" t="n"/>
      <c r="C170" s="49" t="n"/>
      <c r="D170" s="49" t="n"/>
      <c r="E170" s="49" t="n"/>
      <c r="F170" s="50" t="n"/>
      <c r="H170" s="49" t="n"/>
      <c r="I170" s="49" t="n"/>
      <c r="J170" s="49" t="n"/>
      <c r="K170" s="49" t="n"/>
    </row>
    <row r="171">
      <c r="B171" s="49" t="n"/>
      <c r="C171" s="49" t="n"/>
      <c r="D171" s="49" t="n"/>
      <c r="E171" s="49" t="n"/>
      <c r="F171" s="50" t="n"/>
      <c r="H171" s="49" t="n"/>
      <c r="I171" s="49" t="n"/>
      <c r="J171" s="49" t="n"/>
      <c r="K171" s="49" t="n"/>
    </row>
    <row r="172">
      <c r="B172" s="49" t="n"/>
      <c r="C172" s="49" t="n"/>
      <c r="D172" s="49" t="n"/>
      <c r="E172" s="49" t="n"/>
      <c r="F172" s="50" t="n"/>
      <c r="H172" s="49" t="n"/>
      <c r="I172" s="49" t="n"/>
      <c r="J172" s="49" t="n"/>
      <c r="K172" s="49" t="n"/>
    </row>
    <row r="173">
      <c r="B173" s="49" t="n"/>
      <c r="C173" s="49" t="n"/>
      <c r="D173" s="49" t="n"/>
      <c r="E173" s="49" t="n"/>
      <c r="F173" s="50" t="n"/>
      <c r="H173" s="49" t="n"/>
      <c r="I173" s="49" t="n"/>
      <c r="J173" s="49" t="n"/>
      <c r="K173" s="49" t="n"/>
    </row>
    <row r="174">
      <c r="B174" s="49" t="n"/>
      <c r="C174" s="49" t="n"/>
      <c r="D174" s="49" t="n"/>
      <c r="E174" s="49" t="n"/>
      <c r="F174" s="50" t="n"/>
      <c r="H174" s="49" t="n"/>
      <c r="I174" s="49" t="n"/>
      <c r="J174" s="49" t="n"/>
      <c r="K174" s="49" t="n"/>
    </row>
    <row r="175">
      <c r="B175" s="49" t="n"/>
      <c r="C175" s="49" t="n"/>
      <c r="D175" s="49" t="n"/>
      <c r="E175" s="49" t="n"/>
      <c r="F175" s="50" t="n"/>
      <c r="H175" s="49" t="n"/>
      <c r="I175" s="49" t="n"/>
      <c r="J175" s="49" t="n"/>
      <c r="K175" s="49" t="n"/>
    </row>
    <row r="176">
      <c r="B176" s="49" t="n"/>
      <c r="C176" s="49" t="n"/>
      <c r="D176" s="49" t="n"/>
      <c r="E176" s="49" t="n"/>
      <c r="F176" s="50" t="n"/>
      <c r="H176" s="49" t="n"/>
      <c r="I176" s="49" t="n"/>
      <c r="J176" s="49" t="n"/>
      <c r="K176" s="49" t="n"/>
    </row>
    <row r="177">
      <c r="B177" s="49" t="n"/>
      <c r="C177" s="49" t="n"/>
      <c r="D177" s="49" t="n"/>
      <c r="E177" s="49" t="n"/>
      <c r="F177" s="50" t="n"/>
      <c r="H177" s="49" t="n"/>
      <c r="I177" s="49" t="n"/>
      <c r="J177" s="49" t="n"/>
      <c r="K177" s="49" t="n"/>
    </row>
    <row r="178">
      <c r="B178" s="49" t="n"/>
      <c r="C178" s="49" t="n"/>
      <c r="D178" s="49" t="n"/>
      <c r="E178" s="49" t="n"/>
      <c r="F178" s="50" t="n"/>
      <c r="H178" s="49" t="n"/>
      <c r="I178" s="49" t="n"/>
      <c r="J178" s="49" t="n"/>
      <c r="K178" s="49" t="n"/>
    </row>
    <row r="179">
      <c r="B179" s="49" t="n"/>
      <c r="C179" s="49" t="n"/>
      <c r="D179" s="49" t="n"/>
      <c r="E179" s="49" t="n"/>
      <c r="F179" s="50" t="n"/>
      <c r="H179" s="49" t="n"/>
      <c r="I179" s="49" t="n"/>
      <c r="J179" s="49" t="n"/>
      <c r="K179" s="49" t="n"/>
    </row>
    <row r="180">
      <c r="B180" s="49" t="n"/>
      <c r="C180" s="49" t="n"/>
      <c r="D180" s="49" t="n"/>
      <c r="E180" s="49" t="n"/>
      <c r="F180" s="50" t="n"/>
      <c r="H180" s="49" t="n"/>
      <c r="I180" s="49" t="n"/>
      <c r="J180" s="49" t="n"/>
      <c r="K180" s="49" t="n"/>
    </row>
    <row r="181">
      <c r="B181" s="49" t="n"/>
      <c r="C181" s="49" t="n"/>
      <c r="D181" s="49" t="n"/>
      <c r="E181" s="49" t="n"/>
      <c r="F181" s="50" t="n"/>
      <c r="H181" s="49" t="n"/>
      <c r="I181" s="49" t="n"/>
      <c r="J181" s="49" t="n"/>
      <c r="K181" s="49" t="n"/>
    </row>
    <row r="182">
      <c r="B182" s="49" t="n"/>
      <c r="C182" s="49" t="n"/>
      <c r="D182" s="49" t="n"/>
      <c r="E182" s="49" t="n"/>
      <c r="F182" s="50" t="n"/>
      <c r="H182" s="49" t="n"/>
      <c r="I182" s="49" t="n"/>
      <c r="J182" s="49" t="n"/>
      <c r="K182" s="49" t="n"/>
    </row>
    <row r="183">
      <c r="B183" s="49" t="n"/>
      <c r="C183" s="49" t="n"/>
      <c r="D183" s="49" t="n"/>
      <c r="E183" s="49" t="n"/>
      <c r="F183" s="50" t="n"/>
      <c r="H183" s="49" t="n"/>
      <c r="I183" s="49" t="n"/>
      <c r="J183" s="49" t="n"/>
      <c r="K183" s="49" t="n"/>
    </row>
    <row r="184">
      <c r="B184" s="49" t="n"/>
      <c r="C184" s="49" t="n"/>
      <c r="D184" s="49" t="n"/>
      <c r="E184" s="49" t="n"/>
      <c r="F184" s="50" t="n"/>
      <c r="H184" s="49" t="n"/>
      <c r="I184" s="49" t="n"/>
      <c r="J184" s="49" t="n"/>
      <c r="K184" s="49" t="n"/>
    </row>
    <row r="185">
      <c r="B185" s="49" t="n"/>
      <c r="C185" s="49" t="n"/>
      <c r="D185" s="49" t="n"/>
      <c r="E185" s="49" t="n"/>
      <c r="F185" s="50" t="n"/>
      <c r="H185" s="49" t="n"/>
      <c r="I185" s="49" t="n"/>
      <c r="J185" s="49" t="n"/>
      <c r="K185" s="49" t="n"/>
    </row>
    <row r="186">
      <c r="B186" s="49" t="n"/>
      <c r="C186" s="49" t="n"/>
      <c r="D186" s="49" t="n"/>
      <c r="E186" s="49" t="n"/>
      <c r="F186" s="50" t="n"/>
      <c r="H186" s="49" t="n"/>
      <c r="I186" s="49" t="n"/>
      <c r="J186" s="49" t="n"/>
      <c r="K186" s="49" t="n"/>
    </row>
    <row r="187">
      <c r="B187" s="49" t="n"/>
      <c r="C187" s="49" t="n"/>
      <c r="D187" s="49" t="n"/>
      <c r="E187" s="49" t="n"/>
      <c r="F187" s="50" t="n"/>
      <c r="H187" s="49" t="n"/>
      <c r="I187" s="49" t="n"/>
      <c r="J187" s="49" t="n"/>
      <c r="K187" s="49" t="n"/>
    </row>
    <row r="188">
      <c r="B188" s="49" t="n"/>
      <c r="C188" s="49" t="n"/>
      <c r="D188" s="49" t="n"/>
      <c r="E188" s="49" t="n"/>
      <c r="F188" s="50" t="n"/>
      <c r="H188" s="49" t="n"/>
      <c r="I188" s="49" t="n"/>
      <c r="J188" s="49" t="n"/>
      <c r="K188" s="49" t="n"/>
    </row>
    <row r="189">
      <c r="B189" s="49" t="n"/>
      <c r="C189" s="49" t="n"/>
      <c r="D189" s="49" t="n"/>
      <c r="E189" s="49" t="n"/>
      <c r="F189" s="50" t="n"/>
      <c r="H189" s="49" t="n"/>
      <c r="I189" s="49" t="n"/>
      <c r="J189" s="49" t="n"/>
      <c r="K189" s="49" t="n"/>
    </row>
    <row r="190">
      <c r="B190" s="49" t="n"/>
      <c r="C190" s="49" t="n"/>
      <c r="D190" s="49" t="n"/>
      <c r="E190" s="49" t="n"/>
      <c r="F190" s="50" t="n"/>
      <c r="H190" s="49" t="n"/>
      <c r="I190" s="49" t="n"/>
      <c r="J190" s="49" t="n"/>
      <c r="K190" s="49" t="n"/>
    </row>
    <row r="191">
      <c r="B191" s="49" t="n"/>
      <c r="C191" s="49" t="n"/>
      <c r="D191" s="49" t="n"/>
      <c r="E191" s="49" t="n"/>
      <c r="F191" s="50" t="n"/>
      <c r="H191" s="49" t="n"/>
      <c r="I191" s="49" t="n"/>
      <c r="J191" s="49" t="n"/>
      <c r="K191" s="49" t="n"/>
    </row>
    <row r="192">
      <c r="B192" s="49" t="n"/>
      <c r="C192" s="49" t="n"/>
      <c r="D192" s="49" t="n"/>
      <c r="E192" s="49" t="n"/>
      <c r="F192" s="50" t="n"/>
      <c r="H192" s="49" t="n"/>
      <c r="I192" s="49" t="n"/>
      <c r="J192" s="49" t="n"/>
      <c r="K192" s="49" t="n"/>
    </row>
    <row r="193">
      <c r="B193" s="49" t="n"/>
      <c r="C193" s="49" t="n"/>
      <c r="D193" s="49" t="n"/>
      <c r="E193" s="49" t="n"/>
      <c r="F193" s="50" t="n"/>
      <c r="H193" s="49" t="n"/>
      <c r="I193" s="49" t="n"/>
      <c r="J193" s="49" t="n"/>
      <c r="K193" s="49" t="n"/>
    </row>
    <row r="194">
      <c r="B194" s="49" t="n"/>
      <c r="C194" s="49" t="n"/>
      <c r="D194" s="49" t="n"/>
      <c r="E194" s="49" t="n"/>
      <c r="F194" s="50" t="n"/>
      <c r="H194" s="49" t="n"/>
      <c r="I194" s="49" t="n"/>
      <c r="J194" s="49" t="n"/>
      <c r="K194" s="49" t="n"/>
    </row>
    <row r="195">
      <c r="B195" s="49" t="n"/>
      <c r="C195" s="49" t="n"/>
      <c r="D195" s="49" t="n"/>
      <c r="E195" s="49" t="n"/>
      <c r="F195" s="50" t="n"/>
      <c r="H195" s="49" t="n"/>
      <c r="I195" s="49" t="n"/>
      <c r="J195" s="49" t="n"/>
      <c r="K195" s="49" t="n"/>
    </row>
    <row r="196">
      <c r="B196" s="49" t="n"/>
      <c r="C196" s="49" t="n"/>
      <c r="D196" s="49" t="n"/>
      <c r="E196" s="49" t="n"/>
      <c r="F196" s="50" t="n"/>
      <c r="H196" s="49" t="n"/>
      <c r="I196" s="49" t="n"/>
      <c r="J196" s="49" t="n"/>
      <c r="K196" s="49" t="n"/>
    </row>
    <row r="197">
      <c r="B197" s="49" t="n"/>
      <c r="C197" s="49" t="n"/>
      <c r="D197" s="49" t="n"/>
      <c r="E197" s="49" t="n"/>
      <c r="F197" s="50" t="n"/>
      <c r="H197" s="49" t="n"/>
      <c r="I197" s="49" t="n"/>
      <c r="J197" s="49" t="n"/>
      <c r="K197" s="49" t="n"/>
    </row>
    <row r="198">
      <c r="B198" s="49" t="n"/>
      <c r="C198" s="49" t="n"/>
      <c r="D198" s="49" t="n"/>
      <c r="E198" s="49" t="n"/>
      <c r="F198" s="50" t="n"/>
      <c r="H198" s="49" t="n"/>
      <c r="I198" s="49" t="n"/>
      <c r="J198" s="49" t="n"/>
      <c r="K198" s="49" t="n"/>
    </row>
    <row r="199">
      <c r="B199" s="49" t="n"/>
      <c r="C199" s="49" t="n"/>
      <c r="D199" s="49" t="n"/>
      <c r="E199" s="49" t="n"/>
      <c r="F199" s="50" t="n"/>
      <c r="H199" s="49" t="n"/>
      <c r="I199" s="49" t="n"/>
      <c r="J199" s="49" t="n"/>
      <c r="K199" s="49" t="n"/>
    </row>
    <row r="200">
      <c r="B200" s="49" t="n"/>
      <c r="C200" s="49" t="n"/>
      <c r="D200" s="49" t="n"/>
      <c r="E200" s="49" t="n"/>
      <c r="F200" s="50" t="n"/>
      <c r="H200" s="49" t="n"/>
      <c r="I200" s="49" t="n"/>
      <c r="J200" s="49" t="n"/>
      <c r="K200" s="49" t="n"/>
    </row>
    <row r="201">
      <c r="B201" s="49" t="n"/>
      <c r="C201" s="49" t="n"/>
      <c r="D201" s="49" t="n"/>
      <c r="E201" s="49" t="n"/>
      <c r="F201" s="50" t="n"/>
      <c r="H201" s="49" t="n"/>
      <c r="I201" s="49" t="n"/>
      <c r="J201" s="49" t="n"/>
      <c r="K201" s="49" t="n"/>
    </row>
    <row r="202">
      <c r="B202" s="49" t="n"/>
      <c r="C202" s="49" t="n"/>
      <c r="D202" s="49" t="n"/>
      <c r="E202" s="49" t="n"/>
      <c r="F202" s="50" t="n"/>
      <c r="H202" s="49" t="n"/>
      <c r="I202" s="49" t="n"/>
      <c r="J202" s="49" t="n"/>
      <c r="K202" s="49" t="n"/>
    </row>
    <row r="203">
      <c r="B203" s="49" t="n"/>
      <c r="C203" s="49" t="n"/>
      <c r="D203" s="49" t="n"/>
      <c r="E203" s="49" t="n"/>
      <c r="F203" s="50" t="n"/>
      <c r="H203" s="49" t="n"/>
      <c r="I203" s="49" t="n"/>
      <c r="J203" s="49" t="n"/>
      <c r="K203" s="49" t="n"/>
    </row>
    <row r="204">
      <c r="B204" s="49" t="n"/>
      <c r="C204" s="49" t="n"/>
      <c r="D204" s="49" t="n"/>
      <c r="E204" s="49" t="n"/>
      <c r="F204" s="50" t="n"/>
      <c r="H204" s="49" t="n"/>
      <c r="I204" s="49" t="n"/>
      <c r="J204" s="49" t="n"/>
      <c r="K204" s="49" t="n"/>
    </row>
    <row r="205">
      <c r="B205" s="49" t="n"/>
      <c r="C205" s="49" t="n"/>
      <c r="D205" s="49" t="n"/>
      <c r="E205" s="49" t="n"/>
      <c r="F205" s="50" t="n"/>
      <c r="H205" s="49" t="n"/>
      <c r="I205" s="49" t="n"/>
      <c r="J205" s="49" t="n"/>
      <c r="K205" s="49" t="n"/>
    </row>
    <row r="206">
      <c r="B206" s="49" t="n"/>
      <c r="C206" s="49" t="n"/>
      <c r="D206" s="49" t="n"/>
      <c r="E206" s="49" t="n"/>
      <c r="F206" s="50" t="n"/>
      <c r="H206" s="49" t="n"/>
      <c r="I206" s="49" t="n"/>
      <c r="J206" s="49" t="n"/>
      <c r="K206" s="49" t="n"/>
    </row>
    <row r="207">
      <c r="B207" s="49" t="n"/>
      <c r="C207" s="49" t="n"/>
      <c r="D207" s="49" t="n"/>
      <c r="E207" s="49" t="n"/>
      <c r="F207" s="50" t="n"/>
      <c r="H207" s="49" t="n"/>
      <c r="I207" s="49" t="n"/>
      <c r="J207" s="49" t="n"/>
      <c r="K207" s="49" t="n"/>
    </row>
    <row r="208">
      <c r="B208" s="49" t="n"/>
      <c r="C208" s="49" t="n"/>
      <c r="D208" s="49" t="n"/>
      <c r="E208" s="49" t="n"/>
      <c r="F208" s="50" t="n"/>
      <c r="H208" s="49" t="n"/>
      <c r="I208" s="49" t="n"/>
      <c r="J208" s="49" t="n"/>
      <c r="K208" s="49" t="n"/>
    </row>
    <row r="209">
      <c r="B209" s="49" t="n"/>
      <c r="C209" s="49" t="n"/>
      <c r="D209" s="49" t="n"/>
      <c r="E209" s="49" t="n"/>
      <c r="F209" s="50" t="n"/>
      <c r="H209" s="49" t="n"/>
      <c r="I209" s="49" t="n"/>
      <c r="J209" s="49" t="n"/>
      <c r="K209" s="49" t="n"/>
    </row>
    <row r="210">
      <c r="B210" s="49" t="n"/>
      <c r="C210" s="49" t="n"/>
      <c r="D210" s="49" t="n"/>
      <c r="E210" s="49" t="n"/>
      <c r="F210" s="50" t="n"/>
      <c r="H210" s="49" t="n"/>
      <c r="I210" s="49" t="n"/>
      <c r="J210" s="49" t="n"/>
      <c r="K210" s="49" t="n"/>
    </row>
    <row r="211">
      <c r="B211" s="49" t="n"/>
      <c r="C211" s="49" t="n"/>
      <c r="D211" s="49" t="n"/>
      <c r="E211" s="49" t="n"/>
      <c r="F211" s="50" t="n"/>
      <c r="H211" s="49" t="n"/>
      <c r="I211" s="49" t="n"/>
      <c r="J211" s="49" t="n"/>
      <c r="K211" s="49" t="n"/>
    </row>
    <row r="212">
      <c r="B212" s="49" t="n"/>
      <c r="C212" s="49" t="n"/>
      <c r="D212" s="49" t="n"/>
      <c r="E212" s="49" t="n"/>
      <c r="F212" s="50" t="n"/>
      <c r="H212" s="49" t="n"/>
      <c r="I212" s="49" t="n"/>
      <c r="J212" s="49" t="n"/>
      <c r="K212" s="49" t="n"/>
    </row>
    <row r="213">
      <c r="B213" s="49" t="n"/>
      <c r="C213" s="49" t="n"/>
      <c r="D213" s="49" t="n"/>
      <c r="E213" s="49" t="n"/>
      <c r="F213" s="50" t="n"/>
      <c r="H213" s="49" t="n"/>
      <c r="I213" s="49" t="n"/>
      <c r="J213" s="49" t="n"/>
      <c r="K213" s="49" t="n"/>
    </row>
    <row r="214">
      <c r="B214" s="49" t="n"/>
      <c r="C214" s="49" t="n"/>
      <c r="D214" s="49" t="n"/>
      <c r="E214" s="49" t="n"/>
      <c r="F214" s="50" t="n"/>
      <c r="H214" s="49" t="n"/>
      <c r="I214" s="49" t="n"/>
      <c r="J214" s="49" t="n"/>
      <c r="K214" s="49" t="n"/>
    </row>
    <row r="215">
      <c r="B215" s="49" t="n"/>
      <c r="C215" s="49" t="n"/>
      <c r="D215" s="49" t="n"/>
      <c r="E215" s="49" t="n"/>
      <c r="F215" s="50" t="n"/>
      <c r="H215" s="49" t="n"/>
      <c r="I215" s="49" t="n"/>
      <c r="J215" s="49" t="n"/>
      <c r="K215" s="49" t="n"/>
    </row>
    <row r="216">
      <c r="B216" s="49" t="n"/>
      <c r="C216" s="49" t="n"/>
      <c r="D216" s="49" t="n"/>
      <c r="E216" s="49" t="n"/>
      <c r="F216" s="50" t="n"/>
      <c r="H216" s="49" t="n"/>
      <c r="I216" s="49" t="n"/>
      <c r="J216" s="49" t="n"/>
      <c r="K216" s="49" t="n"/>
    </row>
    <row r="217">
      <c r="B217" s="49" t="n"/>
      <c r="C217" s="49" t="n"/>
      <c r="D217" s="49" t="n"/>
      <c r="E217" s="49" t="n"/>
      <c r="F217" s="50" t="n"/>
      <c r="H217" s="49" t="n"/>
      <c r="I217" s="49" t="n"/>
      <c r="J217" s="49" t="n"/>
      <c r="K217" s="49" t="n"/>
    </row>
    <row r="218">
      <c r="B218" s="49" t="n"/>
      <c r="C218" s="49" t="n"/>
      <c r="D218" s="49" t="n"/>
      <c r="E218" s="49" t="n"/>
      <c r="F218" s="50" t="n"/>
      <c r="H218" s="49" t="n"/>
      <c r="I218" s="49" t="n"/>
      <c r="J218" s="49" t="n"/>
      <c r="K218" s="49" t="n"/>
    </row>
    <row r="219">
      <c r="B219" s="49" t="n"/>
      <c r="C219" s="49" t="n"/>
      <c r="D219" s="49" t="n"/>
      <c r="E219" s="49" t="n"/>
      <c r="F219" s="50" t="n"/>
      <c r="H219" s="49" t="n"/>
      <c r="I219" s="49" t="n"/>
      <c r="J219" s="49" t="n"/>
      <c r="K219" s="49" t="n"/>
    </row>
    <row r="220">
      <c r="B220" s="49" t="n"/>
      <c r="C220" s="49" t="n"/>
      <c r="D220" s="49" t="n"/>
      <c r="E220" s="49" t="n"/>
      <c r="F220" s="50" t="n"/>
      <c r="H220" s="49" t="n"/>
      <c r="I220" s="49" t="n"/>
      <c r="J220" s="49" t="n"/>
      <c r="K220" s="49" t="n"/>
    </row>
    <row r="221">
      <c r="B221" s="49" t="n"/>
      <c r="C221" s="49" t="n"/>
      <c r="D221" s="49" t="n"/>
      <c r="E221" s="49" t="n"/>
      <c r="F221" s="50" t="n"/>
      <c r="H221" s="49" t="n"/>
      <c r="I221" s="49" t="n"/>
      <c r="J221" s="49" t="n"/>
      <c r="K221" s="49" t="n"/>
    </row>
    <row r="222">
      <c r="B222" s="49" t="n"/>
      <c r="C222" s="49" t="n"/>
      <c r="D222" s="49" t="n"/>
      <c r="E222" s="49" t="n"/>
      <c r="F222" s="50" t="n"/>
      <c r="H222" s="49" t="n"/>
      <c r="I222" s="49" t="n"/>
      <c r="J222" s="49" t="n"/>
      <c r="K222" s="49" t="n"/>
    </row>
    <row r="223">
      <c r="B223" s="49" t="n"/>
      <c r="C223" s="49" t="n"/>
      <c r="D223" s="49" t="n"/>
      <c r="E223" s="49" t="n"/>
      <c r="F223" s="50" t="n"/>
      <c r="H223" s="49" t="n"/>
      <c r="I223" s="49" t="n"/>
      <c r="J223" s="49" t="n"/>
      <c r="K223" s="49" t="n"/>
    </row>
    <row r="224">
      <c r="B224" s="49" t="n"/>
      <c r="C224" s="49" t="n"/>
      <c r="D224" s="49" t="n"/>
      <c r="E224" s="49" t="n"/>
      <c r="F224" s="50" t="n"/>
      <c r="H224" s="49" t="n"/>
      <c r="I224" s="49" t="n"/>
      <c r="J224" s="49" t="n"/>
      <c r="K224" s="49" t="n"/>
    </row>
    <row r="225">
      <c r="B225" s="49" t="n"/>
      <c r="C225" s="49" t="n"/>
      <c r="D225" s="49" t="n"/>
      <c r="E225" s="49" t="n"/>
      <c r="F225" s="50" t="n"/>
      <c r="H225" s="49" t="n"/>
      <c r="I225" s="49" t="n"/>
      <c r="J225" s="49" t="n"/>
      <c r="K225" s="49" t="n"/>
    </row>
    <row r="226">
      <c r="B226" s="49" t="n"/>
      <c r="C226" s="49" t="n"/>
      <c r="D226" s="49" t="n"/>
      <c r="E226" s="49" t="n"/>
      <c r="F226" s="50" t="n"/>
      <c r="H226" s="49" t="n"/>
      <c r="I226" s="49" t="n"/>
      <c r="J226" s="49" t="n"/>
      <c r="K226" s="49" t="n"/>
    </row>
    <row r="227">
      <c r="B227" s="49" t="n"/>
      <c r="C227" s="49" t="n"/>
      <c r="D227" s="49" t="n"/>
      <c r="E227" s="49" t="n"/>
      <c r="F227" s="50" t="n"/>
      <c r="H227" s="49" t="n"/>
      <c r="I227" s="49" t="n"/>
      <c r="J227" s="49" t="n"/>
      <c r="K227" s="49" t="n"/>
    </row>
    <row r="228">
      <c r="B228" s="49" t="n"/>
      <c r="C228" s="49" t="n"/>
      <c r="D228" s="49" t="n"/>
      <c r="E228" s="49" t="n"/>
      <c r="F228" s="50" t="n"/>
      <c r="H228" s="49" t="n"/>
      <c r="I228" s="49" t="n"/>
      <c r="J228" s="49" t="n"/>
      <c r="K228" s="49" t="n"/>
    </row>
    <row r="229">
      <c r="B229" s="49" t="n"/>
      <c r="C229" s="49" t="n"/>
      <c r="D229" s="49" t="n"/>
      <c r="E229" s="49" t="n"/>
      <c r="F229" s="50" t="n"/>
      <c r="H229" s="49" t="n"/>
      <c r="I229" s="49" t="n"/>
      <c r="J229" s="49" t="n"/>
      <c r="K229" s="49" t="n"/>
    </row>
    <row r="230">
      <c r="B230" s="49" t="n"/>
      <c r="C230" s="49" t="n"/>
      <c r="D230" s="49" t="n"/>
      <c r="E230" s="49" t="n"/>
      <c r="F230" s="50" t="n"/>
      <c r="H230" s="49" t="n"/>
      <c r="I230" s="49" t="n"/>
      <c r="J230" s="49" t="n"/>
      <c r="K230" s="49" t="n"/>
    </row>
    <row r="231">
      <c r="B231" s="49" t="n"/>
      <c r="C231" s="49" t="n"/>
      <c r="D231" s="49" t="n"/>
      <c r="E231" s="49" t="n"/>
      <c r="F231" s="50" t="n"/>
      <c r="H231" s="49" t="n"/>
      <c r="I231" s="49" t="n"/>
      <c r="J231" s="49" t="n"/>
      <c r="K231" s="49" t="n"/>
    </row>
    <row r="232">
      <c r="B232" s="49" t="n"/>
      <c r="C232" s="49" t="n"/>
      <c r="D232" s="49" t="n"/>
      <c r="E232" s="49" t="n"/>
      <c r="F232" s="50" t="n"/>
      <c r="H232" s="49" t="n"/>
      <c r="I232" s="49" t="n"/>
      <c r="J232" s="49" t="n"/>
      <c r="K232" s="49" t="n"/>
    </row>
    <row r="233">
      <c r="B233" s="49" t="n"/>
      <c r="C233" s="49" t="n"/>
      <c r="D233" s="49" t="n"/>
      <c r="E233" s="49" t="n"/>
      <c r="F233" s="50" t="n"/>
      <c r="H233" s="49" t="n"/>
      <c r="I233" s="49" t="n"/>
      <c r="J233" s="49" t="n"/>
      <c r="K233" s="49" t="n"/>
    </row>
    <row r="234">
      <c r="B234" s="49" t="n"/>
      <c r="C234" s="49" t="n"/>
      <c r="D234" s="49" t="n"/>
      <c r="E234" s="49" t="n"/>
      <c r="F234" s="50" t="n"/>
      <c r="H234" s="49" t="n"/>
      <c r="I234" s="49" t="n"/>
      <c r="J234" s="49" t="n"/>
      <c r="K234" s="49" t="n"/>
    </row>
    <row r="235">
      <c r="B235" s="49" t="n"/>
      <c r="C235" s="49" t="n"/>
      <c r="D235" s="49" t="n"/>
      <c r="E235" s="49" t="n"/>
      <c r="F235" s="50" t="n"/>
      <c r="H235" s="49" t="n"/>
      <c r="I235" s="49" t="n"/>
      <c r="J235" s="49" t="n"/>
      <c r="K235" s="49" t="n"/>
    </row>
    <row r="236">
      <c r="B236" s="49" t="n"/>
      <c r="C236" s="49" t="n"/>
      <c r="D236" s="49" t="n"/>
      <c r="E236" s="49" t="n"/>
      <c r="F236" s="50" t="n"/>
      <c r="H236" s="49" t="n"/>
      <c r="I236" s="49" t="n"/>
      <c r="J236" s="49" t="n"/>
      <c r="K236" s="49" t="n"/>
    </row>
    <row r="237">
      <c r="B237" s="49" t="n"/>
      <c r="C237" s="49" t="n"/>
      <c r="D237" s="49" t="n"/>
      <c r="E237" s="49" t="n"/>
      <c r="F237" s="50" t="n"/>
      <c r="H237" s="49" t="n"/>
      <c r="I237" s="49" t="n"/>
      <c r="J237" s="49" t="n"/>
      <c r="K237" s="49" t="n"/>
    </row>
    <row r="238">
      <c r="B238" s="49" t="n"/>
      <c r="C238" s="49" t="n"/>
      <c r="D238" s="49" t="n"/>
      <c r="E238" s="49" t="n"/>
      <c r="F238" s="50" t="n"/>
      <c r="H238" s="49" t="n"/>
      <c r="I238" s="49" t="n"/>
      <c r="J238" s="49" t="n"/>
      <c r="K238" s="49" t="n"/>
    </row>
    <row r="239">
      <c r="B239" s="49" t="n"/>
      <c r="C239" s="49" t="n"/>
      <c r="D239" s="49" t="n"/>
      <c r="E239" s="49" t="n"/>
      <c r="F239" s="50" t="n"/>
      <c r="H239" s="49" t="n"/>
      <c r="I239" s="49" t="n"/>
      <c r="J239" s="49" t="n"/>
      <c r="K239" s="49" t="n"/>
    </row>
    <row r="240">
      <c r="B240" s="49" t="n"/>
      <c r="C240" s="49" t="n"/>
      <c r="D240" s="49" t="n"/>
      <c r="E240" s="49" t="n"/>
      <c r="F240" s="50" t="n"/>
      <c r="H240" s="49" t="n"/>
      <c r="I240" s="49" t="n"/>
      <c r="J240" s="49" t="n"/>
      <c r="K240" s="49" t="n"/>
    </row>
    <row r="241">
      <c r="B241" s="49" t="n"/>
      <c r="C241" s="49" t="n"/>
      <c r="D241" s="49" t="n"/>
      <c r="E241" s="49" t="n"/>
      <c r="F241" s="50" t="n"/>
      <c r="H241" s="49" t="n"/>
      <c r="I241" s="49" t="n"/>
      <c r="J241" s="49" t="n"/>
      <c r="K241" s="49" t="n"/>
    </row>
    <row r="242">
      <c r="B242" s="49" t="n"/>
      <c r="C242" s="49" t="n"/>
      <c r="D242" s="49" t="n"/>
      <c r="E242" s="49" t="n"/>
      <c r="F242" s="50" t="n"/>
      <c r="H242" s="49" t="n"/>
      <c r="I242" s="49" t="n"/>
      <c r="J242" s="49" t="n"/>
      <c r="K242" s="49" t="n"/>
    </row>
    <row r="243">
      <c r="B243" s="49" t="n"/>
      <c r="C243" s="49" t="n"/>
      <c r="D243" s="49" t="n"/>
      <c r="E243" s="49" t="n"/>
      <c r="F243" s="50" t="n"/>
      <c r="H243" s="49" t="n"/>
      <c r="I243" s="49" t="n"/>
      <c r="J243" s="49" t="n"/>
      <c r="K243" s="49" t="n"/>
    </row>
    <row r="244">
      <c r="B244" s="49" t="n"/>
      <c r="C244" s="49" t="n"/>
      <c r="D244" s="49" t="n"/>
      <c r="E244" s="49" t="n"/>
      <c r="F244" s="50" t="n"/>
      <c r="H244" s="49" t="n"/>
      <c r="I244" s="49" t="n"/>
      <c r="J244" s="49" t="n"/>
      <c r="K244" s="49" t="n"/>
    </row>
    <row r="245">
      <c r="B245" s="49" t="n"/>
      <c r="C245" s="49" t="n"/>
      <c r="D245" s="49" t="n"/>
      <c r="E245" s="49" t="n"/>
      <c r="F245" s="50" t="n"/>
      <c r="H245" s="49" t="n"/>
      <c r="I245" s="49" t="n"/>
      <c r="J245" s="49" t="n"/>
      <c r="K245" s="49" t="n"/>
    </row>
    <row r="246">
      <c r="B246" s="49" t="n"/>
      <c r="C246" s="49" t="n"/>
      <c r="D246" s="49" t="n"/>
      <c r="E246" s="49" t="n"/>
      <c r="F246" s="50" t="n"/>
      <c r="H246" s="49" t="n"/>
      <c r="I246" s="49" t="n"/>
      <c r="J246" s="49" t="n"/>
      <c r="K246" s="49" t="n"/>
    </row>
    <row r="247">
      <c r="B247" s="49" t="n"/>
      <c r="C247" s="49" t="n"/>
      <c r="D247" s="49" t="n"/>
      <c r="E247" s="49" t="n"/>
      <c r="F247" s="50" t="n"/>
      <c r="H247" s="49" t="n"/>
      <c r="I247" s="49" t="n"/>
      <c r="J247" s="49" t="n"/>
      <c r="K247" s="49" t="n"/>
    </row>
    <row r="248">
      <c r="B248" s="49" t="n"/>
      <c r="C248" s="49" t="n"/>
      <c r="D248" s="49" t="n"/>
      <c r="E248" s="49" t="n"/>
      <c r="F248" s="50" t="n"/>
      <c r="H248" s="49" t="n"/>
      <c r="I248" s="49" t="n"/>
      <c r="J248" s="49" t="n"/>
      <c r="K248" s="49" t="n"/>
    </row>
    <row r="249">
      <c r="B249" s="49" t="n"/>
      <c r="C249" s="49" t="n"/>
      <c r="D249" s="49" t="n"/>
      <c r="E249" s="49" t="n"/>
      <c r="F249" s="50" t="n"/>
      <c r="H249" s="49" t="n"/>
      <c r="I249" s="49" t="n"/>
      <c r="J249" s="49" t="n"/>
      <c r="K249" s="49" t="n"/>
    </row>
    <row r="250">
      <c r="B250" s="49" t="n"/>
      <c r="C250" s="49" t="n"/>
      <c r="D250" s="49" t="n"/>
      <c r="E250" s="49" t="n"/>
      <c r="F250" s="50" t="n"/>
      <c r="H250" s="49" t="n"/>
      <c r="I250" s="49" t="n"/>
      <c r="J250" s="49" t="n"/>
      <c r="K250" s="49" t="n"/>
    </row>
    <row r="251">
      <c r="B251" s="49" t="n"/>
      <c r="C251" s="49" t="n"/>
      <c r="D251" s="49" t="n"/>
      <c r="E251" s="49" t="n"/>
      <c r="F251" s="50" t="n"/>
      <c r="H251" s="49" t="n"/>
      <c r="I251" s="49" t="n"/>
      <c r="J251" s="49" t="n"/>
      <c r="K251" s="49" t="n"/>
    </row>
    <row r="252">
      <c r="B252" s="49" t="n"/>
      <c r="C252" s="49" t="n"/>
      <c r="D252" s="49" t="n"/>
      <c r="E252" s="49" t="n"/>
      <c r="F252" s="50" t="n"/>
      <c r="H252" s="49" t="n"/>
      <c r="I252" s="49" t="n"/>
      <c r="J252" s="49" t="n"/>
      <c r="K252" s="49" t="n"/>
    </row>
    <row r="253">
      <c r="B253" s="49" t="n"/>
      <c r="C253" s="49" t="n"/>
      <c r="D253" s="49" t="n"/>
      <c r="E253" s="49" t="n"/>
      <c r="F253" s="50" t="n"/>
      <c r="H253" s="49" t="n"/>
      <c r="I253" s="49" t="n"/>
      <c r="J253" s="49" t="n"/>
      <c r="K253" s="49" t="n"/>
    </row>
    <row r="254">
      <c r="B254" s="49" t="n"/>
      <c r="C254" s="49" t="n"/>
      <c r="D254" s="49" t="n"/>
      <c r="E254" s="49" t="n"/>
      <c r="F254" s="50" t="n"/>
      <c r="H254" s="49" t="n"/>
      <c r="I254" s="49" t="n"/>
      <c r="J254" s="49" t="n"/>
      <c r="K254" s="49" t="n"/>
    </row>
    <row r="255">
      <c r="B255" s="49" t="n"/>
      <c r="C255" s="49" t="n"/>
      <c r="D255" s="49" t="n"/>
      <c r="E255" s="49" t="n"/>
      <c r="F255" s="50" t="n"/>
      <c r="H255" s="49" t="n"/>
      <c r="I255" s="49" t="n"/>
      <c r="J255" s="49" t="n"/>
      <c r="K255" s="49" t="n"/>
    </row>
    <row r="256">
      <c r="B256" s="49" t="n"/>
      <c r="C256" s="49" t="n"/>
      <c r="D256" s="49" t="n"/>
      <c r="E256" s="49" t="n"/>
      <c r="F256" s="50" t="n"/>
      <c r="H256" s="49" t="n"/>
      <c r="I256" s="49" t="n"/>
      <c r="J256" s="49" t="n"/>
      <c r="K256" s="49" t="n"/>
    </row>
    <row r="257">
      <c r="B257" s="49" t="n"/>
      <c r="C257" s="49" t="n"/>
      <c r="D257" s="49" t="n"/>
      <c r="E257" s="49" t="n"/>
      <c r="F257" s="50" t="n"/>
      <c r="H257" s="49" t="n"/>
      <c r="I257" s="49" t="n"/>
      <c r="J257" s="49" t="n"/>
      <c r="K257" s="49" t="n"/>
    </row>
    <row r="258">
      <c r="B258" s="49" t="n"/>
      <c r="C258" s="49" t="n"/>
      <c r="D258" s="49" t="n"/>
      <c r="E258" s="49" t="n"/>
      <c r="F258" s="50" t="n"/>
      <c r="H258" s="49" t="n"/>
      <c r="I258" s="49" t="n"/>
      <c r="J258" s="49" t="n"/>
      <c r="K258" s="49" t="n"/>
    </row>
    <row r="259">
      <c r="B259" s="49" t="n"/>
      <c r="C259" s="49" t="n"/>
      <c r="D259" s="49" t="n"/>
      <c r="E259" s="49" t="n"/>
      <c r="F259" s="50" t="n"/>
      <c r="H259" s="49" t="n"/>
      <c r="I259" s="49" t="n"/>
      <c r="J259" s="49" t="n"/>
      <c r="K259" s="49" t="n"/>
    </row>
    <row r="260">
      <c r="B260" s="49" t="n"/>
      <c r="C260" s="49" t="n"/>
      <c r="D260" s="49" t="n"/>
      <c r="E260" s="49" t="n"/>
      <c r="F260" s="50" t="n"/>
      <c r="H260" s="49" t="n"/>
      <c r="I260" s="49" t="n"/>
      <c r="J260" s="49" t="n"/>
      <c r="K260" s="49" t="n"/>
    </row>
    <row r="261">
      <c r="B261" s="49" t="n"/>
      <c r="C261" s="49" t="n"/>
      <c r="D261" s="49" t="n"/>
      <c r="E261" s="49" t="n"/>
      <c r="F261" s="50" t="n"/>
      <c r="H261" s="49" t="n"/>
      <c r="I261" s="49" t="n"/>
      <c r="J261" s="49" t="n"/>
      <c r="K261" s="49" t="n"/>
    </row>
    <row r="262">
      <c r="B262" s="49" t="n"/>
      <c r="C262" s="49" t="n"/>
      <c r="D262" s="49" t="n"/>
      <c r="E262" s="49" t="n"/>
      <c r="F262" s="50" t="n"/>
      <c r="H262" s="49" t="n"/>
      <c r="I262" s="49" t="n"/>
      <c r="J262" s="49" t="n"/>
      <c r="K262" s="49" t="n"/>
    </row>
    <row r="263">
      <c r="B263" s="49" t="n"/>
      <c r="C263" s="49" t="n"/>
      <c r="D263" s="49" t="n"/>
      <c r="E263" s="49" t="n"/>
      <c r="F263" s="50" t="n"/>
      <c r="H263" s="49" t="n"/>
      <c r="I263" s="49" t="n"/>
      <c r="J263" s="49" t="n"/>
      <c r="K263" s="49" t="n"/>
    </row>
    <row r="264">
      <c r="B264" s="49" t="n"/>
      <c r="C264" s="49" t="n"/>
      <c r="D264" s="49" t="n"/>
      <c r="E264" s="49" t="n"/>
      <c r="F264" s="50" t="n"/>
      <c r="H264" s="49" t="n"/>
      <c r="I264" s="49" t="n"/>
      <c r="J264" s="49" t="n"/>
      <c r="K264" s="49" t="n"/>
    </row>
    <row r="265">
      <c r="B265" s="49" t="n"/>
      <c r="C265" s="49" t="n"/>
      <c r="D265" s="49" t="n"/>
      <c r="E265" s="49" t="n"/>
      <c r="F265" s="50" t="n"/>
      <c r="H265" s="49" t="n"/>
      <c r="I265" s="49" t="n"/>
      <c r="J265" s="49" t="n"/>
      <c r="K265" s="49" t="n"/>
    </row>
    <row r="266">
      <c r="B266" s="49" t="n"/>
      <c r="C266" s="49" t="n"/>
      <c r="D266" s="49" t="n"/>
      <c r="E266" s="49" t="n"/>
      <c r="F266" s="50" t="n"/>
      <c r="H266" s="49" t="n"/>
      <c r="I266" s="49" t="n"/>
      <c r="J266" s="49" t="n"/>
      <c r="K266" s="49" t="n"/>
    </row>
    <row r="267">
      <c r="B267" s="49" t="n"/>
      <c r="C267" s="49" t="n"/>
      <c r="D267" s="49" t="n"/>
      <c r="E267" s="49" t="n"/>
      <c r="F267" s="50" t="n"/>
      <c r="H267" s="49" t="n"/>
      <c r="I267" s="49" t="n"/>
      <c r="J267" s="49" t="n"/>
      <c r="K267" s="49" t="n"/>
    </row>
    <row r="268">
      <c r="B268" s="49" t="n"/>
      <c r="C268" s="49" t="n"/>
      <c r="D268" s="49" t="n"/>
      <c r="E268" s="49" t="n"/>
      <c r="F268" s="50" t="n"/>
      <c r="H268" s="49" t="n"/>
      <c r="I268" s="49" t="n"/>
      <c r="J268" s="49" t="n"/>
      <c r="K268" s="49" t="n"/>
    </row>
    <row r="269">
      <c r="B269" s="49" t="n"/>
      <c r="C269" s="49" t="n"/>
      <c r="D269" s="49" t="n"/>
      <c r="E269" s="49" t="n"/>
      <c r="F269" s="50" t="n"/>
      <c r="H269" s="49" t="n"/>
      <c r="I269" s="49" t="n"/>
      <c r="J269" s="49" t="n"/>
      <c r="K269" s="49" t="n"/>
    </row>
    <row r="270">
      <c r="B270" s="49" t="n"/>
      <c r="C270" s="49" t="n"/>
      <c r="D270" s="49" t="n"/>
      <c r="E270" s="49" t="n"/>
      <c r="F270" s="50" t="n"/>
      <c r="H270" s="49" t="n"/>
      <c r="I270" s="49" t="n"/>
      <c r="J270" s="49" t="n"/>
      <c r="K270" s="49" t="n"/>
    </row>
    <row r="271">
      <c r="B271" s="49" t="n"/>
      <c r="C271" s="49" t="n"/>
      <c r="D271" s="49" t="n"/>
      <c r="E271" s="49" t="n"/>
      <c r="F271" s="50" t="n"/>
      <c r="H271" s="49" t="n"/>
      <c r="I271" s="49" t="n"/>
      <c r="J271" s="49" t="n"/>
      <c r="K271" s="49" t="n"/>
    </row>
    <row r="272">
      <c r="B272" s="49" t="n"/>
      <c r="C272" s="49" t="n"/>
      <c r="D272" s="49" t="n"/>
      <c r="E272" s="49" t="n"/>
      <c r="F272" s="50" t="n"/>
      <c r="H272" s="49" t="n"/>
      <c r="I272" s="49" t="n"/>
      <c r="J272" s="49" t="n"/>
      <c r="K272" s="49" t="n"/>
    </row>
    <row r="273">
      <c r="B273" s="49" t="n"/>
      <c r="C273" s="49" t="n"/>
      <c r="D273" s="49" t="n"/>
      <c r="E273" s="49" t="n"/>
      <c r="F273" s="50" t="n"/>
      <c r="H273" s="49" t="n"/>
      <c r="I273" s="49" t="n"/>
      <c r="J273" s="49" t="n"/>
      <c r="K273" s="49" t="n"/>
    </row>
    <row r="274">
      <c r="B274" s="49" t="n"/>
      <c r="C274" s="49" t="n"/>
      <c r="D274" s="49" t="n"/>
      <c r="E274" s="49" t="n"/>
      <c r="F274" s="50" t="n"/>
      <c r="H274" s="49" t="n"/>
      <c r="I274" s="49" t="n"/>
      <c r="J274" s="49" t="n"/>
      <c r="K274" s="49" t="n"/>
    </row>
    <row r="275">
      <c r="B275" s="49" t="n"/>
      <c r="C275" s="49" t="n"/>
      <c r="D275" s="49" t="n"/>
      <c r="E275" s="49" t="n"/>
      <c r="F275" s="50" t="n"/>
      <c r="H275" s="49" t="n"/>
      <c r="I275" s="49" t="n"/>
      <c r="J275" s="49" t="n"/>
      <c r="K275" s="49" t="n"/>
    </row>
    <row r="276">
      <c r="B276" s="49" t="n"/>
      <c r="C276" s="49" t="n"/>
      <c r="D276" s="49" t="n"/>
      <c r="E276" s="49" t="n"/>
      <c r="F276" s="50" t="n"/>
      <c r="H276" s="49" t="n"/>
      <c r="I276" s="49" t="n"/>
      <c r="J276" s="49" t="n"/>
      <c r="K276" s="49" t="n"/>
    </row>
    <row r="277">
      <c r="B277" s="49" t="n"/>
      <c r="C277" s="49" t="n"/>
      <c r="D277" s="49" t="n"/>
      <c r="E277" s="49" t="n"/>
      <c r="F277" s="50" t="n"/>
      <c r="H277" s="49" t="n"/>
      <c r="I277" s="49" t="n"/>
      <c r="J277" s="49" t="n"/>
      <c r="K277" s="49" t="n"/>
    </row>
    <row r="278">
      <c r="B278" s="49" t="n"/>
      <c r="C278" s="49" t="n"/>
      <c r="D278" s="49" t="n"/>
      <c r="E278" s="49" t="n"/>
      <c r="F278" s="50" t="n"/>
      <c r="H278" s="49" t="n"/>
      <c r="I278" s="49" t="n"/>
      <c r="J278" s="49" t="n"/>
      <c r="K278" s="49" t="n"/>
    </row>
    <row r="279">
      <c r="B279" s="49" t="n"/>
      <c r="C279" s="49" t="n"/>
      <c r="D279" s="49" t="n"/>
      <c r="E279" s="49" t="n"/>
      <c r="F279" s="50" t="n"/>
      <c r="H279" s="49" t="n"/>
      <c r="I279" s="49" t="n"/>
      <c r="J279" s="49" t="n"/>
      <c r="K279" s="49" t="n"/>
    </row>
    <row r="280">
      <c r="B280" s="49" t="n"/>
      <c r="C280" s="49" t="n"/>
      <c r="D280" s="49" t="n"/>
      <c r="E280" s="49" t="n"/>
      <c r="F280" s="50" t="n"/>
      <c r="H280" s="49" t="n"/>
      <c r="I280" s="49" t="n"/>
      <c r="J280" s="49" t="n"/>
      <c r="K280" s="49" t="n"/>
    </row>
    <row r="281">
      <c r="B281" s="49" t="n"/>
      <c r="C281" s="49" t="n"/>
      <c r="D281" s="49" t="n"/>
      <c r="E281" s="49" t="n"/>
      <c r="F281" s="50" t="n"/>
      <c r="H281" s="49" t="n"/>
      <c r="I281" s="49" t="n"/>
      <c r="J281" s="49" t="n"/>
      <c r="K281" s="49" t="n"/>
    </row>
    <row r="282">
      <c r="B282" s="49" t="n"/>
      <c r="C282" s="49" t="n"/>
      <c r="D282" s="49" t="n"/>
      <c r="E282" s="49" t="n"/>
      <c r="F282" s="50" t="n"/>
      <c r="H282" s="49" t="n"/>
      <c r="I282" s="49" t="n"/>
      <c r="J282" s="49" t="n"/>
      <c r="K282" s="49" t="n"/>
    </row>
    <row r="283">
      <c r="B283" s="49" t="n"/>
      <c r="C283" s="49" t="n"/>
      <c r="D283" s="49" t="n"/>
      <c r="E283" s="49" t="n"/>
      <c r="F283" s="50" t="n"/>
      <c r="H283" s="49" t="n"/>
      <c r="I283" s="49" t="n"/>
      <c r="J283" s="49" t="n"/>
      <c r="K283" s="49" t="n"/>
    </row>
    <row r="284">
      <c r="B284" s="49" t="n"/>
      <c r="C284" s="49" t="n"/>
      <c r="D284" s="49" t="n"/>
      <c r="E284" s="49" t="n"/>
      <c r="F284" s="50" t="n"/>
      <c r="H284" s="49" t="n"/>
      <c r="I284" s="49" t="n"/>
      <c r="J284" s="49" t="n"/>
      <c r="K284" s="49" t="n"/>
    </row>
    <row r="285">
      <c r="B285" s="49" t="n"/>
      <c r="C285" s="49" t="n"/>
      <c r="D285" s="49" t="n"/>
      <c r="E285" s="49" t="n"/>
      <c r="F285" s="50" t="n"/>
      <c r="H285" s="49" t="n"/>
      <c r="I285" s="49" t="n"/>
      <c r="J285" s="49" t="n"/>
      <c r="K285" s="49" t="n"/>
    </row>
    <row r="286">
      <c r="B286" s="49" t="n"/>
      <c r="C286" s="49" t="n"/>
      <c r="D286" s="49" t="n"/>
      <c r="E286" s="49" t="n"/>
      <c r="F286" s="50" t="n"/>
      <c r="H286" s="49" t="n"/>
      <c r="I286" s="49" t="n"/>
      <c r="J286" s="49" t="n"/>
      <c r="K286" s="49" t="n"/>
    </row>
    <row r="287">
      <c r="B287" s="49" t="n"/>
      <c r="C287" s="49" t="n"/>
      <c r="D287" s="49" t="n"/>
      <c r="E287" s="49" t="n"/>
      <c r="F287" s="50" t="n"/>
      <c r="H287" s="49" t="n"/>
      <c r="I287" s="49" t="n"/>
      <c r="J287" s="49" t="n"/>
      <c r="K287" s="49" t="n"/>
    </row>
    <row r="288">
      <c r="B288" s="49" t="n"/>
      <c r="C288" s="49" t="n"/>
      <c r="D288" s="49" t="n"/>
      <c r="E288" s="49" t="n"/>
      <c r="F288" s="50" t="n"/>
      <c r="H288" s="49" t="n"/>
      <c r="I288" s="49" t="n"/>
      <c r="J288" s="49" t="n"/>
      <c r="K288" s="49" t="n"/>
    </row>
    <row r="289">
      <c r="B289" s="49" t="n"/>
      <c r="C289" s="49" t="n"/>
      <c r="D289" s="49" t="n"/>
      <c r="E289" s="49" t="n"/>
      <c r="F289" s="50" t="n"/>
      <c r="H289" s="49" t="n"/>
      <c r="I289" s="49" t="n"/>
      <c r="J289" s="49" t="n"/>
      <c r="K289" s="49" t="n"/>
    </row>
    <row r="290">
      <c r="B290" s="49" t="n"/>
      <c r="C290" s="49" t="n"/>
      <c r="D290" s="49" t="n"/>
      <c r="E290" s="49" t="n"/>
      <c r="F290" s="50" t="n"/>
      <c r="H290" s="49" t="n"/>
      <c r="I290" s="49" t="n"/>
      <c r="J290" s="49" t="n"/>
      <c r="K290" s="49" t="n"/>
    </row>
    <row r="291">
      <c r="B291" s="49" t="n"/>
      <c r="C291" s="49" t="n"/>
      <c r="D291" s="49" t="n"/>
      <c r="E291" s="49" t="n"/>
      <c r="F291" s="50" t="n"/>
      <c r="H291" s="49" t="n"/>
      <c r="I291" s="49" t="n"/>
      <c r="J291" s="49" t="n"/>
      <c r="K291" s="49" t="n"/>
    </row>
    <row r="292">
      <c r="B292" s="49" t="n"/>
      <c r="C292" s="49" t="n"/>
      <c r="D292" s="49" t="n"/>
      <c r="E292" s="49" t="n"/>
      <c r="F292" s="50" t="n"/>
      <c r="H292" s="49" t="n"/>
      <c r="I292" s="49" t="n"/>
      <c r="J292" s="49" t="n"/>
      <c r="K292" s="49" t="n"/>
    </row>
    <row r="293">
      <c r="B293" s="49" t="n"/>
      <c r="C293" s="49" t="n"/>
      <c r="D293" s="49" t="n"/>
      <c r="E293" s="49" t="n"/>
      <c r="F293" s="50" t="n"/>
      <c r="H293" s="49" t="n"/>
      <c r="I293" s="49" t="n"/>
      <c r="J293" s="49" t="n"/>
      <c r="K293" s="49" t="n"/>
    </row>
    <row r="294">
      <c r="B294" s="49" t="n"/>
      <c r="C294" s="49" t="n"/>
      <c r="D294" s="49" t="n"/>
      <c r="E294" s="49" t="n"/>
      <c r="F294" s="50" t="n"/>
      <c r="H294" s="49" t="n"/>
      <c r="I294" s="49" t="n"/>
      <c r="J294" s="49" t="n"/>
      <c r="K294" s="49" t="n"/>
    </row>
    <row r="295">
      <c r="B295" s="49" t="n"/>
      <c r="C295" s="49" t="n"/>
      <c r="D295" s="49" t="n"/>
      <c r="E295" s="49" t="n"/>
      <c r="F295" s="50" t="n"/>
      <c r="H295" s="49" t="n"/>
      <c r="I295" s="49" t="n"/>
      <c r="J295" s="49" t="n"/>
      <c r="K295" s="49" t="n"/>
    </row>
    <row r="296">
      <c r="B296" s="49" t="n"/>
      <c r="C296" s="49" t="n"/>
      <c r="D296" s="49" t="n"/>
      <c r="E296" s="49" t="n"/>
      <c r="F296" s="50" t="n"/>
      <c r="H296" s="49" t="n"/>
      <c r="I296" s="49" t="n"/>
      <c r="J296" s="49" t="n"/>
      <c r="K296" s="49" t="n"/>
    </row>
    <row r="297">
      <c r="B297" s="49" t="n"/>
      <c r="C297" s="49" t="n"/>
      <c r="D297" s="49" t="n"/>
      <c r="E297" s="49" t="n"/>
      <c r="F297" s="50" t="n"/>
      <c r="H297" s="49" t="n"/>
      <c r="I297" s="49" t="n"/>
      <c r="J297" s="49" t="n"/>
      <c r="K297" s="49" t="n"/>
    </row>
    <row r="298">
      <c r="B298" s="49" t="n"/>
      <c r="C298" s="49" t="n"/>
      <c r="D298" s="49" t="n"/>
      <c r="E298" s="49" t="n"/>
      <c r="F298" s="50" t="n"/>
      <c r="H298" s="49" t="n"/>
      <c r="I298" s="49" t="n"/>
      <c r="J298" s="49" t="n"/>
      <c r="K298" s="49" t="n"/>
    </row>
    <row r="299">
      <c r="B299" s="49" t="n"/>
      <c r="C299" s="49" t="n"/>
      <c r="D299" s="49" t="n"/>
      <c r="E299" s="49" t="n"/>
      <c r="F299" s="50" t="n"/>
      <c r="H299" s="49" t="n"/>
      <c r="I299" s="49" t="n"/>
      <c r="J299" s="49" t="n"/>
      <c r="K299" s="49" t="n"/>
    </row>
    <row r="300">
      <c r="B300" s="49" t="n"/>
      <c r="C300" s="49" t="n"/>
      <c r="D300" s="49" t="n"/>
      <c r="E300" s="49" t="n"/>
      <c r="F300" s="50" t="n"/>
      <c r="H300" s="49" t="n"/>
      <c r="I300" s="49" t="n"/>
      <c r="J300" s="49" t="n"/>
      <c r="K300" s="49" t="n"/>
    </row>
    <row r="301">
      <c r="B301" s="49" t="n"/>
      <c r="C301" s="49" t="n"/>
      <c r="D301" s="49" t="n"/>
      <c r="E301" s="49" t="n"/>
      <c r="F301" s="50" t="n"/>
      <c r="H301" s="49" t="n"/>
      <c r="I301" s="49" t="n"/>
      <c r="J301" s="49" t="n"/>
      <c r="K301" s="49" t="n"/>
    </row>
    <row r="302">
      <c r="B302" s="49" t="n"/>
      <c r="C302" s="49" t="n"/>
      <c r="D302" s="49" t="n"/>
      <c r="E302" s="49" t="n"/>
      <c r="F302" s="50" t="n"/>
      <c r="H302" s="49" t="n"/>
      <c r="I302" s="49" t="n"/>
      <c r="J302" s="49" t="n"/>
      <c r="K302" s="49" t="n"/>
    </row>
    <row r="303">
      <c r="B303" s="49" t="n"/>
      <c r="C303" s="49" t="n"/>
      <c r="D303" s="49" t="n"/>
      <c r="E303" s="49" t="n"/>
      <c r="F303" s="50" t="n"/>
      <c r="H303" s="49" t="n"/>
      <c r="I303" s="49" t="n"/>
      <c r="J303" s="49" t="n"/>
      <c r="K303" s="49" t="n"/>
    </row>
    <row r="304">
      <c r="B304" s="49" t="n"/>
      <c r="C304" s="49" t="n"/>
      <c r="D304" s="49" t="n"/>
      <c r="E304" s="49" t="n"/>
      <c r="F304" s="50" t="n"/>
      <c r="H304" s="49" t="n"/>
      <c r="I304" s="49" t="n"/>
      <c r="J304" s="49" t="n"/>
      <c r="K304" s="49" t="n"/>
    </row>
    <row r="305">
      <c r="B305" s="49" t="n"/>
      <c r="C305" s="49" t="n"/>
      <c r="D305" s="49" t="n"/>
      <c r="E305" s="49" t="n"/>
      <c r="F305" s="50" t="n"/>
      <c r="H305" s="49" t="n"/>
      <c r="I305" s="49" t="n"/>
      <c r="J305" s="49" t="n"/>
      <c r="K305" s="49" t="n"/>
    </row>
    <row r="306">
      <c r="B306" s="49" t="n"/>
      <c r="C306" s="49" t="n"/>
      <c r="D306" s="49" t="n"/>
      <c r="E306" s="49" t="n"/>
      <c r="F306" s="50" t="n"/>
      <c r="H306" s="49" t="n"/>
      <c r="I306" s="49" t="n"/>
      <c r="J306" s="49" t="n"/>
      <c r="K306" s="49" t="n"/>
    </row>
    <row r="307">
      <c r="B307" s="49" t="n"/>
      <c r="C307" s="49" t="n"/>
      <c r="D307" s="49" t="n"/>
      <c r="E307" s="49" t="n"/>
      <c r="F307" s="50" t="n"/>
      <c r="H307" s="49" t="n"/>
      <c r="I307" s="49" t="n"/>
      <c r="J307" s="49" t="n"/>
      <c r="K307" s="49" t="n"/>
    </row>
    <row r="308">
      <c r="B308" s="49" t="n"/>
      <c r="C308" s="49" t="n"/>
      <c r="D308" s="49" t="n"/>
      <c r="E308" s="49" t="n"/>
      <c r="F308" s="50" t="n"/>
      <c r="H308" s="49" t="n"/>
      <c r="I308" s="49" t="n"/>
      <c r="J308" s="49" t="n"/>
      <c r="K308" s="49" t="n"/>
    </row>
    <row r="309">
      <c r="B309" s="49" t="n"/>
      <c r="C309" s="49" t="n"/>
      <c r="D309" s="49" t="n"/>
      <c r="E309" s="49" t="n"/>
      <c r="F309" s="50" t="n"/>
      <c r="H309" s="49" t="n"/>
      <c r="I309" s="49" t="n"/>
      <c r="J309" s="49" t="n"/>
      <c r="K309" s="49" t="n"/>
    </row>
    <row r="310">
      <c r="B310" s="49" t="n"/>
      <c r="C310" s="49" t="n"/>
      <c r="D310" s="49" t="n"/>
      <c r="E310" s="49" t="n"/>
      <c r="F310" s="50" t="n"/>
      <c r="H310" s="49" t="n"/>
      <c r="I310" s="49" t="n"/>
      <c r="J310" s="49" t="n"/>
      <c r="K310" s="49" t="n"/>
    </row>
    <row r="311">
      <c r="B311" s="49" t="n"/>
      <c r="C311" s="49" t="n"/>
      <c r="D311" s="49" t="n"/>
      <c r="E311" s="49" t="n"/>
      <c r="F311" s="50" t="n"/>
      <c r="H311" s="49" t="n"/>
      <c r="I311" s="49" t="n"/>
      <c r="J311" s="49" t="n"/>
      <c r="K311" s="49" t="n"/>
    </row>
    <row r="312">
      <c r="B312" s="49" t="n"/>
      <c r="C312" s="49" t="n"/>
      <c r="D312" s="49" t="n"/>
      <c r="E312" s="49" t="n"/>
      <c r="F312" s="50" t="n"/>
      <c r="H312" s="49" t="n"/>
      <c r="I312" s="49" t="n"/>
      <c r="J312" s="49" t="n"/>
      <c r="K312" s="49" t="n"/>
    </row>
    <row r="313">
      <c r="B313" s="49" t="n"/>
      <c r="C313" s="49" t="n"/>
      <c r="D313" s="49" t="n"/>
      <c r="E313" s="49" t="n"/>
      <c r="F313" s="50" t="n"/>
      <c r="H313" s="49" t="n"/>
      <c r="I313" s="49" t="n"/>
      <c r="J313" s="49" t="n"/>
      <c r="K313" s="49" t="n"/>
    </row>
    <row r="314">
      <c r="B314" s="49" t="n"/>
      <c r="C314" s="49" t="n"/>
      <c r="D314" s="49" t="n"/>
      <c r="E314" s="49" t="n"/>
      <c r="F314" s="50" t="n"/>
      <c r="H314" s="49" t="n"/>
      <c r="I314" s="49" t="n"/>
      <c r="J314" s="49" t="n"/>
      <c r="K314" s="49" t="n"/>
    </row>
    <row r="315">
      <c r="B315" s="49" t="n"/>
      <c r="C315" s="49" t="n"/>
      <c r="D315" s="49" t="n"/>
      <c r="E315" s="49" t="n"/>
      <c r="F315" s="50" t="n"/>
      <c r="H315" s="49" t="n"/>
      <c r="I315" s="49" t="n"/>
      <c r="J315" s="49" t="n"/>
      <c r="K315" s="49" t="n"/>
    </row>
    <row r="316">
      <c r="B316" s="49" t="n"/>
      <c r="C316" s="49" t="n"/>
      <c r="D316" s="49" t="n"/>
      <c r="E316" s="49" t="n"/>
      <c r="F316" s="50" t="n"/>
      <c r="H316" s="49" t="n"/>
      <c r="I316" s="49" t="n"/>
      <c r="J316" s="49" t="n"/>
      <c r="K316" s="49" t="n"/>
    </row>
    <row r="317">
      <c r="B317" s="49" t="n"/>
      <c r="C317" s="49" t="n"/>
      <c r="D317" s="49" t="n"/>
      <c r="E317" s="49" t="n"/>
      <c r="F317" s="50" t="n"/>
      <c r="H317" s="49" t="n"/>
      <c r="I317" s="49" t="n"/>
      <c r="J317" s="49" t="n"/>
      <c r="K317" s="49" t="n"/>
    </row>
    <row r="318">
      <c r="B318" s="49" t="n"/>
      <c r="C318" s="49" t="n"/>
      <c r="D318" s="49" t="n"/>
      <c r="E318" s="49" t="n"/>
      <c r="F318" s="50" t="n"/>
      <c r="H318" s="49" t="n"/>
      <c r="I318" s="49" t="n"/>
      <c r="J318" s="49" t="n"/>
      <c r="K318" s="49" t="n"/>
    </row>
    <row r="319">
      <c r="B319" s="49" t="n"/>
      <c r="C319" s="49" t="n"/>
      <c r="D319" s="49" t="n"/>
      <c r="E319" s="49" t="n"/>
      <c r="F319" s="50" t="n"/>
      <c r="H319" s="49" t="n"/>
      <c r="I319" s="49" t="n"/>
      <c r="J319" s="49" t="n"/>
      <c r="K319" s="49" t="n"/>
    </row>
    <row r="320">
      <c r="B320" s="49" t="n"/>
      <c r="C320" s="49" t="n"/>
      <c r="D320" s="49" t="n"/>
      <c r="E320" s="49" t="n"/>
      <c r="F320" s="50" t="n"/>
      <c r="H320" s="49" t="n"/>
      <c r="I320" s="49" t="n"/>
      <c r="J320" s="49" t="n"/>
      <c r="K320" s="49" t="n"/>
    </row>
    <row r="321">
      <c r="B321" s="49" t="n"/>
      <c r="C321" s="49" t="n"/>
      <c r="D321" s="49" t="n"/>
      <c r="E321" s="49" t="n"/>
      <c r="F321" s="50" t="n"/>
      <c r="H321" s="49" t="n"/>
      <c r="I321" s="49" t="n"/>
      <c r="J321" s="49" t="n"/>
      <c r="K321" s="49" t="n"/>
    </row>
    <row r="322">
      <c r="B322" s="49" t="n"/>
      <c r="C322" s="49" t="n"/>
      <c r="D322" s="49" t="n"/>
      <c r="E322" s="49" t="n"/>
      <c r="F322" s="50" t="n"/>
      <c r="H322" s="49" t="n"/>
      <c r="I322" s="49" t="n"/>
      <c r="J322" s="49" t="n"/>
      <c r="K322" s="49" t="n"/>
    </row>
    <row r="323">
      <c r="B323" s="49" t="n"/>
      <c r="C323" s="49" t="n"/>
      <c r="D323" s="49" t="n"/>
      <c r="E323" s="49" t="n"/>
      <c r="F323" s="50" t="n"/>
      <c r="H323" s="49" t="n"/>
      <c r="I323" s="49" t="n"/>
      <c r="J323" s="49" t="n"/>
      <c r="K323" s="49" t="n"/>
    </row>
    <row r="324">
      <c r="B324" s="49" t="n"/>
      <c r="C324" s="49" t="n"/>
      <c r="D324" s="49" t="n"/>
      <c r="E324" s="49" t="n"/>
      <c r="F324" s="50" t="n"/>
      <c r="H324" s="49" t="n"/>
      <c r="I324" s="49" t="n"/>
      <c r="J324" s="49" t="n"/>
      <c r="K324" s="49" t="n"/>
    </row>
    <row r="325">
      <c r="B325" s="49" t="n"/>
      <c r="C325" s="49" t="n"/>
      <c r="D325" s="49" t="n"/>
      <c r="E325" s="49" t="n"/>
      <c r="F325" s="50" t="n"/>
      <c r="H325" s="49" t="n"/>
      <c r="I325" s="49" t="n"/>
      <c r="J325" s="49" t="n"/>
      <c r="K325" s="49" t="n"/>
    </row>
    <row r="326">
      <c r="B326" s="49" t="n"/>
      <c r="C326" s="49" t="n"/>
      <c r="D326" s="49" t="n"/>
      <c r="E326" s="49" t="n"/>
      <c r="F326" s="50" t="n"/>
      <c r="H326" s="49" t="n"/>
      <c r="I326" s="49" t="n"/>
      <c r="J326" s="49" t="n"/>
      <c r="K326" s="49" t="n"/>
    </row>
    <row r="327">
      <c r="B327" s="49" t="n"/>
      <c r="C327" s="49" t="n"/>
      <c r="D327" s="49" t="n"/>
      <c r="E327" s="49" t="n"/>
      <c r="F327" s="50" t="n"/>
      <c r="H327" s="49" t="n"/>
      <c r="I327" s="49" t="n"/>
      <c r="J327" s="49" t="n"/>
      <c r="K327" s="49" t="n"/>
    </row>
    <row r="328">
      <c r="B328" s="49" t="n"/>
      <c r="C328" s="49" t="n"/>
      <c r="D328" s="49" t="n"/>
      <c r="E328" s="49" t="n"/>
      <c r="F328" s="50" t="n"/>
      <c r="H328" s="49" t="n"/>
      <c r="I328" s="49" t="n"/>
      <c r="J328" s="49" t="n"/>
      <c r="K328" s="49" t="n"/>
    </row>
    <row r="329">
      <c r="B329" s="49" t="n"/>
      <c r="C329" s="49" t="n"/>
      <c r="D329" s="49" t="n"/>
      <c r="E329" s="49" t="n"/>
      <c r="F329" s="50" t="n"/>
      <c r="H329" s="49" t="n"/>
      <c r="I329" s="49" t="n"/>
      <c r="J329" s="49" t="n"/>
      <c r="K329" s="49" t="n"/>
    </row>
    <row r="330">
      <c r="B330" s="49" t="n"/>
      <c r="C330" s="49" t="n"/>
      <c r="D330" s="49" t="n"/>
      <c r="E330" s="49" t="n"/>
      <c r="F330" s="50" t="n"/>
      <c r="H330" s="49" t="n"/>
      <c r="I330" s="49" t="n"/>
      <c r="J330" s="49" t="n"/>
      <c r="K330" s="49" t="n"/>
    </row>
    <row r="331">
      <c r="B331" s="49" t="n"/>
      <c r="C331" s="49" t="n"/>
      <c r="D331" s="49" t="n"/>
      <c r="E331" s="49" t="n"/>
      <c r="F331" s="50" t="n"/>
      <c r="H331" s="49" t="n"/>
      <c r="I331" s="49" t="n"/>
      <c r="J331" s="49" t="n"/>
      <c r="K331" s="49" t="n"/>
    </row>
    <row r="332">
      <c r="B332" s="49" t="n"/>
      <c r="C332" s="49" t="n"/>
      <c r="D332" s="49" t="n"/>
      <c r="E332" s="49" t="n"/>
      <c r="F332" s="50" t="n"/>
      <c r="H332" s="49" t="n"/>
      <c r="I332" s="49" t="n"/>
      <c r="J332" s="49" t="n"/>
      <c r="K332" s="49" t="n"/>
    </row>
    <row r="333">
      <c r="B333" s="49" t="n"/>
      <c r="C333" s="49" t="n"/>
      <c r="D333" s="49" t="n"/>
      <c r="E333" s="49" t="n"/>
      <c r="F333" s="50" t="n"/>
      <c r="H333" s="49" t="n"/>
      <c r="I333" s="49" t="n"/>
      <c r="J333" s="49" t="n"/>
      <c r="K333" s="49" t="n"/>
    </row>
    <row r="334">
      <c r="B334" s="49" t="n"/>
      <c r="C334" s="49" t="n"/>
      <c r="D334" s="49" t="n"/>
      <c r="E334" s="49" t="n"/>
      <c r="F334" s="50" t="n"/>
      <c r="H334" s="49" t="n"/>
      <c r="I334" s="49" t="n"/>
      <c r="J334" s="49" t="n"/>
      <c r="K334" s="49" t="n"/>
    </row>
    <row r="335">
      <c r="B335" s="49" t="n"/>
      <c r="C335" s="49" t="n"/>
      <c r="D335" s="49" t="n"/>
      <c r="E335" s="49" t="n"/>
      <c r="F335" s="50" t="n"/>
      <c r="H335" s="49" t="n"/>
      <c r="I335" s="49" t="n"/>
      <c r="J335" s="49" t="n"/>
      <c r="K335" s="49" t="n"/>
    </row>
    <row r="336">
      <c r="B336" s="49" t="n"/>
      <c r="C336" s="49" t="n"/>
      <c r="D336" s="49" t="n"/>
      <c r="E336" s="49" t="n"/>
      <c r="F336" s="50" t="n"/>
      <c r="H336" s="49" t="n"/>
      <c r="I336" s="49" t="n"/>
      <c r="J336" s="49" t="n"/>
      <c r="K336" s="49" t="n"/>
    </row>
    <row r="337">
      <c r="B337" s="49" t="n"/>
      <c r="C337" s="49" t="n"/>
      <c r="D337" s="49" t="n"/>
      <c r="E337" s="49" t="n"/>
      <c r="F337" s="50" t="n"/>
      <c r="H337" s="49" t="n"/>
      <c r="I337" s="49" t="n"/>
      <c r="J337" s="49" t="n"/>
      <c r="K337" s="49" t="n"/>
    </row>
    <row r="338">
      <c r="B338" s="49" t="n"/>
      <c r="C338" s="49" t="n"/>
      <c r="D338" s="49" t="n"/>
      <c r="E338" s="49" t="n"/>
      <c r="F338" s="50" t="n"/>
      <c r="H338" s="49" t="n"/>
      <c r="I338" s="49" t="n"/>
      <c r="J338" s="49" t="n"/>
      <c r="K338" s="49" t="n"/>
    </row>
    <row r="339">
      <c r="B339" s="49" t="n"/>
      <c r="C339" s="49" t="n"/>
      <c r="D339" s="49" t="n"/>
      <c r="E339" s="49" t="n"/>
      <c r="F339" s="50" t="n"/>
      <c r="H339" s="49" t="n"/>
      <c r="I339" s="49" t="n"/>
      <c r="J339" s="49" t="n"/>
      <c r="K339" s="49" t="n"/>
    </row>
    <row r="340">
      <c r="B340" s="49" t="n"/>
      <c r="C340" s="49" t="n"/>
      <c r="D340" s="49" t="n"/>
      <c r="E340" s="49" t="n"/>
      <c r="F340" s="50" t="n"/>
      <c r="H340" s="49" t="n"/>
      <c r="I340" s="49" t="n"/>
      <c r="J340" s="49" t="n"/>
      <c r="K340" s="49" t="n"/>
    </row>
    <row r="341">
      <c r="B341" s="49" t="n"/>
      <c r="C341" s="49" t="n"/>
      <c r="D341" s="49" t="n"/>
      <c r="E341" s="49" t="n"/>
      <c r="F341" s="50" t="n"/>
      <c r="H341" s="49" t="n"/>
      <c r="I341" s="49" t="n"/>
      <c r="J341" s="49" t="n"/>
      <c r="K341" s="49" t="n"/>
    </row>
    <row r="342">
      <c r="B342" s="49" t="n"/>
      <c r="C342" s="49" t="n"/>
      <c r="D342" s="49" t="n"/>
      <c r="E342" s="49" t="n"/>
      <c r="F342" s="50" t="n"/>
      <c r="H342" s="49" t="n"/>
      <c r="I342" s="49" t="n"/>
      <c r="J342" s="49" t="n"/>
      <c r="K342" s="49" t="n"/>
    </row>
    <row r="343">
      <c r="B343" s="49" t="n"/>
      <c r="C343" s="49" t="n"/>
      <c r="D343" s="49" t="n"/>
      <c r="E343" s="49" t="n"/>
      <c r="F343" s="50" t="n"/>
      <c r="H343" s="49" t="n"/>
      <c r="I343" s="49" t="n"/>
      <c r="J343" s="49" t="n"/>
      <c r="K343" s="49" t="n"/>
    </row>
    <row r="344">
      <c r="B344" s="49" t="n"/>
      <c r="C344" s="49" t="n"/>
      <c r="D344" s="49" t="n"/>
      <c r="E344" s="49" t="n"/>
      <c r="F344" s="50" t="n"/>
      <c r="H344" s="49" t="n"/>
      <c r="I344" s="49" t="n"/>
      <c r="J344" s="49" t="n"/>
      <c r="K344" s="49" t="n"/>
    </row>
    <row r="345">
      <c r="B345" s="49" t="n"/>
      <c r="C345" s="49" t="n"/>
      <c r="D345" s="49" t="n"/>
      <c r="E345" s="49" t="n"/>
      <c r="F345" s="50" t="n"/>
      <c r="H345" s="49" t="n"/>
      <c r="I345" s="49" t="n"/>
      <c r="J345" s="49" t="n"/>
      <c r="K345" s="49" t="n"/>
    </row>
    <row r="346">
      <c r="B346" s="49" t="n"/>
      <c r="C346" s="49" t="n"/>
      <c r="D346" s="49" t="n"/>
      <c r="E346" s="49" t="n"/>
      <c r="F346" s="50" t="n"/>
      <c r="H346" s="49" t="n"/>
      <c r="I346" s="49" t="n"/>
      <c r="J346" s="49" t="n"/>
      <c r="K346" s="49" t="n"/>
    </row>
    <row r="347">
      <c r="B347" s="49" t="n"/>
      <c r="C347" s="49" t="n"/>
      <c r="D347" s="49" t="n"/>
      <c r="E347" s="49" t="n"/>
      <c r="F347" s="50" t="n"/>
      <c r="H347" s="49" t="n"/>
      <c r="I347" s="49" t="n"/>
      <c r="J347" s="49" t="n"/>
      <c r="K347" s="49" t="n"/>
    </row>
    <row r="348">
      <c r="B348" s="49" t="n"/>
      <c r="C348" s="49" t="n"/>
      <c r="D348" s="49" t="n"/>
      <c r="E348" s="49" t="n"/>
      <c r="F348" s="50" t="n"/>
      <c r="H348" s="49" t="n"/>
      <c r="I348" s="49" t="n"/>
      <c r="J348" s="49" t="n"/>
      <c r="K348" s="49" t="n"/>
    </row>
    <row r="349">
      <c r="B349" s="49" t="n"/>
      <c r="C349" s="49" t="n"/>
      <c r="D349" s="49" t="n"/>
      <c r="E349" s="49" t="n"/>
      <c r="F349" s="50" t="n"/>
      <c r="H349" s="49" t="n"/>
      <c r="I349" s="49" t="n"/>
      <c r="J349" s="49" t="n"/>
      <c r="K349" s="49" t="n"/>
    </row>
    <row r="350">
      <c r="B350" s="49" t="n"/>
      <c r="C350" s="49" t="n"/>
      <c r="D350" s="49" t="n"/>
      <c r="E350" s="49" t="n"/>
      <c r="F350" s="50" t="n"/>
      <c r="H350" s="49" t="n"/>
      <c r="I350" s="49" t="n"/>
      <c r="J350" s="49" t="n"/>
      <c r="K350" s="49" t="n"/>
    </row>
    <row r="351">
      <c r="B351" s="49" t="n"/>
      <c r="C351" s="49" t="n"/>
      <c r="D351" s="49" t="n"/>
      <c r="E351" s="49" t="n"/>
      <c r="F351" s="50" t="n"/>
      <c r="H351" s="49" t="n"/>
      <c r="I351" s="49" t="n"/>
      <c r="J351" s="49" t="n"/>
      <c r="K351" s="49" t="n"/>
    </row>
    <row r="352">
      <c r="B352" s="49" t="n"/>
      <c r="C352" s="49" t="n"/>
      <c r="D352" s="49" t="n"/>
      <c r="E352" s="49" t="n"/>
      <c r="F352" s="50" t="n"/>
      <c r="H352" s="49" t="n"/>
      <c r="I352" s="49" t="n"/>
      <c r="J352" s="49" t="n"/>
      <c r="K352" s="49" t="n"/>
    </row>
    <row r="353">
      <c r="B353" s="49" t="n"/>
      <c r="C353" s="49" t="n"/>
      <c r="D353" s="49" t="n"/>
      <c r="E353" s="49" t="n"/>
      <c r="F353" s="50" t="n"/>
      <c r="H353" s="49" t="n"/>
      <c r="I353" s="49" t="n"/>
      <c r="J353" s="49" t="n"/>
      <c r="K353" s="49" t="n"/>
    </row>
    <row r="354">
      <c r="B354" s="49" t="n"/>
      <c r="C354" s="49" t="n"/>
      <c r="D354" s="49" t="n"/>
      <c r="E354" s="49" t="n"/>
      <c r="F354" s="50" t="n"/>
      <c r="H354" s="49" t="n"/>
      <c r="I354" s="49" t="n"/>
      <c r="J354" s="49" t="n"/>
      <c r="K354" s="49" t="n"/>
    </row>
    <row r="355">
      <c r="B355" s="49" t="n"/>
      <c r="C355" s="49" t="n"/>
      <c r="D355" s="49" t="n"/>
      <c r="E355" s="49" t="n"/>
      <c r="F355" s="50" t="n"/>
      <c r="H355" s="49" t="n"/>
      <c r="I355" s="49" t="n"/>
      <c r="J355" s="49" t="n"/>
      <c r="K355" s="49" t="n"/>
    </row>
    <row r="356">
      <c r="B356" s="49" t="n"/>
      <c r="C356" s="49" t="n"/>
      <c r="D356" s="49" t="n"/>
      <c r="E356" s="49" t="n"/>
      <c r="F356" s="50" t="n"/>
      <c r="H356" s="49" t="n"/>
      <c r="I356" s="49" t="n"/>
      <c r="J356" s="49" t="n"/>
      <c r="K356" s="49" t="n"/>
    </row>
    <row r="357">
      <c r="B357" s="49" t="n"/>
      <c r="C357" s="49" t="n"/>
      <c r="D357" s="49" t="n"/>
      <c r="E357" s="49" t="n"/>
      <c r="F357" s="50" t="n"/>
      <c r="H357" s="49" t="n"/>
      <c r="I357" s="49" t="n"/>
      <c r="J357" s="49" t="n"/>
      <c r="K357" s="49" t="n"/>
    </row>
    <row r="358">
      <c r="B358" s="49" t="n"/>
      <c r="C358" s="49" t="n"/>
      <c r="D358" s="49" t="n"/>
      <c r="E358" s="49" t="n"/>
      <c r="F358" s="50" t="n"/>
      <c r="H358" s="49" t="n"/>
      <c r="I358" s="49" t="n"/>
      <c r="J358" s="49" t="n"/>
      <c r="K358" s="49" t="n"/>
    </row>
    <row r="359">
      <c r="B359" s="49" t="n"/>
      <c r="C359" s="49" t="n"/>
      <c r="D359" s="49" t="n"/>
      <c r="E359" s="49" t="n"/>
      <c r="F359" s="50" t="n"/>
      <c r="H359" s="49" t="n"/>
      <c r="I359" s="49" t="n"/>
      <c r="J359" s="49" t="n"/>
      <c r="K359" s="49" t="n"/>
    </row>
    <row r="360">
      <c r="B360" s="49" t="n"/>
      <c r="C360" s="49" t="n"/>
      <c r="D360" s="49" t="n"/>
      <c r="E360" s="49" t="n"/>
      <c r="F360" s="50" t="n"/>
      <c r="H360" s="49" t="n"/>
      <c r="I360" s="49" t="n"/>
      <c r="J360" s="49" t="n"/>
      <c r="K360" s="49" t="n"/>
    </row>
    <row r="361">
      <c r="B361" s="49" t="n"/>
      <c r="C361" s="49" t="n"/>
      <c r="D361" s="49" t="n"/>
      <c r="E361" s="49" t="n"/>
      <c r="F361" s="50" t="n"/>
      <c r="H361" s="49" t="n"/>
      <c r="I361" s="49" t="n"/>
      <c r="J361" s="49" t="n"/>
      <c r="K361" s="49" t="n"/>
    </row>
    <row r="362">
      <c r="B362" s="49" t="n"/>
      <c r="C362" s="49" t="n"/>
      <c r="D362" s="49" t="n"/>
      <c r="E362" s="49" t="n"/>
      <c r="F362" s="50" t="n"/>
      <c r="H362" s="49" t="n"/>
      <c r="I362" s="49" t="n"/>
      <c r="J362" s="49" t="n"/>
      <c r="K362" s="49" t="n"/>
    </row>
    <row r="363">
      <c r="B363" s="49" t="n"/>
      <c r="C363" s="49" t="n"/>
      <c r="D363" s="49" t="n"/>
      <c r="E363" s="49" t="n"/>
      <c r="F363" s="50" t="n"/>
      <c r="H363" s="49" t="n"/>
      <c r="I363" s="49" t="n"/>
      <c r="J363" s="49" t="n"/>
      <c r="K363" s="49" t="n"/>
    </row>
    <row r="364">
      <c r="B364" s="49" t="n"/>
      <c r="C364" s="49" t="n"/>
      <c r="D364" s="49" t="n"/>
      <c r="E364" s="49" t="n"/>
      <c r="F364" s="50" t="n"/>
      <c r="H364" s="49" t="n"/>
      <c r="I364" s="49" t="n"/>
      <c r="J364" s="49" t="n"/>
      <c r="K364" s="49" t="n"/>
    </row>
    <row r="365">
      <c r="B365" s="49" t="n"/>
      <c r="C365" s="49" t="n"/>
      <c r="D365" s="49" t="n"/>
      <c r="E365" s="49" t="n"/>
      <c r="F365" s="50" t="n"/>
      <c r="H365" s="49" t="n"/>
      <c r="I365" s="49" t="n"/>
      <c r="J365" s="49" t="n"/>
      <c r="K365" s="49" t="n"/>
    </row>
    <row r="366">
      <c r="B366" s="49" t="n"/>
      <c r="C366" s="49" t="n"/>
      <c r="D366" s="49" t="n"/>
      <c r="E366" s="49" t="n"/>
      <c r="F366" s="50" t="n"/>
      <c r="H366" s="49" t="n"/>
      <c r="I366" s="49" t="n"/>
      <c r="J366" s="49" t="n"/>
      <c r="K366" s="49" t="n"/>
    </row>
    <row r="367">
      <c r="B367" s="49" t="n"/>
      <c r="C367" s="49" t="n"/>
      <c r="D367" s="49" t="n"/>
      <c r="E367" s="49" t="n"/>
      <c r="F367" s="50" t="n"/>
      <c r="H367" s="49" t="n"/>
      <c r="I367" s="49" t="n"/>
      <c r="J367" s="49" t="n"/>
      <c r="K367" s="49" t="n"/>
    </row>
    <row r="368">
      <c r="B368" s="49" t="n"/>
      <c r="C368" s="49" t="n"/>
      <c r="D368" s="49" t="n"/>
      <c r="E368" s="49" t="n"/>
      <c r="F368" s="50" t="n"/>
      <c r="H368" s="49" t="n"/>
      <c r="I368" s="49" t="n"/>
      <c r="J368" s="49" t="n"/>
      <c r="K368" s="49" t="n"/>
    </row>
    <row r="369">
      <c r="B369" s="49" t="n"/>
      <c r="C369" s="49" t="n"/>
      <c r="D369" s="49" t="n"/>
      <c r="E369" s="49" t="n"/>
      <c r="F369" s="50" t="n"/>
      <c r="H369" s="49" t="n"/>
      <c r="I369" s="49" t="n"/>
      <c r="J369" s="49" t="n"/>
      <c r="K369" s="49" t="n"/>
    </row>
    <row r="370">
      <c r="B370" s="49" t="n"/>
      <c r="C370" s="49" t="n"/>
      <c r="D370" s="49" t="n"/>
      <c r="E370" s="49" t="n"/>
      <c r="F370" s="50" t="n"/>
      <c r="H370" s="49" t="n"/>
      <c r="I370" s="49" t="n"/>
      <c r="J370" s="49" t="n"/>
      <c r="K370" s="49" t="n"/>
    </row>
    <row r="371">
      <c r="B371" s="49" t="n"/>
      <c r="C371" s="49" t="n"/>
      <c r="D371" s="49" t="n"/>
      <c r="E371" s="49" t="n"/>
      <c r="F371" s="50" t="n"/>
      <c r="H371" s="49" t="n"/>
      <c r="I371" s="49" t="n"/>
      <c r="J371" s="49" t="n"/>
      <c r="K371" s="49" t="n"/>
    </row>
    <row r="372">
      <c r="B372" s="49" t="n"/>
      <c r="C372" s="49" t="n"/>
      <c r="D372" s="49" t="n"/>
      <c r="E372" s="49" t="n"/>
      <c r="F372" s="50" t="n"/>
      <c r="H372" s="49" t="n"/>
      <c r="I372" s="49" t="n"/>
      <c r="J372" s="49" t="n"/>
      <c r="K372" s="49" t="n"/>
    </row>
    <row r="373">
      <c r="B373" s="49" t="n"/>
      <c r="C373" s="49" t="n"/>
      <c r="D373" s="49" t="n"/>
      <c r="E373" s="49" t="n"/>
      <c r="F373" s="50" t="n"/>
      <c r="H373" s="49" t="n"/>
      <c r="I373" s="49" t="n"/>
      <c r="J373" s="49" t="n"/>
      <c r="K373" s="49" t="n"/>
    </row>
    <row r="374">
      <c r="B374" s="49" t="n"/>
      <c r="C374" s="49" t="n"/>
      <c r="D374" s="49" t="n"/>
      <c r="E374" s="49" t="n"/>
      <c r="F374" s="50" t="n"/>
      <c r="H374" s="49" t="n"/>
      <c r="I374" s="49" t="n"/>
      <c r="J374" s="49" t="n"/>
      <c r="K374" s="49" t="n"/>
    </row>
    <row r="375">
      <c r="B375" s="49" t="n"/>
      <c r="C375" s="49" t="n"/>
      <c r="D375" s="49" t="n"/>
      <c r="E375" s="49" t="n"/>
      <c r="F375" s="50" t="n"/>
      <c r="H375" s="49" t="n"/>
      <c r="I375" s="49" t="n"/>
      <c r="J375" s="49" t="n"/>
      <c r="K375" s="49" t="n"/>
    </row>
    <row r="376">
      <c r="B376" s="49" t="n"/>
      <c r="C376" s="49" t="n"/>
      <c r="D376" s="49" t="n"/>
      <c r="E376" s="49" t="n"/>
      <c r="F376" s="50" t="n"/>
      <c r="H376" s="49" t="n"/>
      <c r="I376" s="49" t="n"/>
      <c r="J376" s="49" t="n"/>
      <c r="K376" s="49" t="n"/>
    </row>
    <row r="377">
      <c r="B377" s="49" t="n"/>
      <c r="C377" s="49" t="n"/>
      <c r="D377" s="49" t="n"/>
      <c r="E377" s="49" t="n"/>
      <c r="F377" s="50" t="n"/>
      <c r="H377" s="49" t="n"/>
      <c r="I377" s="49" t="n"/>
      <c r="J377" s="49" t="n"/>
      <c r="K377" s="49" t="n"/>
    </row>
    <row r="378">
      <c r="B378" s="49" t="n"/>
      <c r="C378" s="49" t="n"/>
      <c r="D378" s="49" t="n"/>
      <c r="E378" s="49" t="n"/>
      <c r="F378" s="50" t="n"/>
      <c r="H378" s="49" t="n"/>
      <c r="I378" s="49" t="n"/>
      <c r="J378" s="49" t="n"/>
      <c r="K378" s="49" t="n"/>
    </row>
    <row r="379">
      <c r="B379" s="49" t="n"/>
      <c r="C379" s="49" t="n"/>
      <c r="D379" s="49" t="n"/>
      <c r="E379" s="49" t="n"/>
      <c r="F379" s="50" t="n"/>
      <c r="H379" s="49" t="n"/>
      <c r="I379" s="49" t="n"/>
      <c r="J379" s="49" t="n"/>
      <c r="K379" s="49" t="n"/>
    </row>
    <row r="380">
      <c r="B380" s="49" t="n"/>
      <c r="C380" s="49" t="n"/>
      <c r="D380" s="49" t="n"/>
      <c r="E380" s="49" t="n"/>
      <c r="F380" s="50" t="n"/>
      <c r="H380" s="49" t="n"/>
      <c r="I380" s="49" t="n"/>
      <c r="J380" s="49" t="n"/>
      <c r="K380" s="49" t="n"/>
    </row>
    <row r="381">
      <c r="B381" s="49" t="n"/>
      <c r="C381" s="49" t="n"/>
      <c r="D381" s="49" t="n"/>
      <c r="E381" s="49" t="n"/>
      <c r="F381" s="50" t="n"/>
      <c r="H381" s="49" t="n"/>
      <c r="I381" s="49" t="n"/>
      <c r="J381" s="49" t="n"/>
      <c r="K381" s="49" t="n"/>
    </row>
    <row r="382">
      <c r="B382" s="49" t="n"/>
      <c r="C382" s="49" t="n"/>
      <c r="D382" s="49" t="n"/>
      <c r="E382" s="49" t="n"/>
      <c r="F382" s="50" t="n"/>
      <c r="H382" s="49" t="n"/>
      <c r="I382" s="49" t="n"/>
      <c r="J382" s="49" t="n"/>
      <c r="K382" s="49" t="n"/>
    </row>
    <row r="383">
      <c r="B383" s="49" t="n"/>
      <c r="C383" s="49" t="n"/>
      <c r="D383" s="49" t="n"/>
      <c r="E383" s="49" t="n"/>
      <c r="F383" s="50" t="n"/>
      <c r="H383" s="49" t="n"/>
      <c r="I383" s="49" t="n"/>
      <c r="J383" s="49" t="n"/>
      <c r="K383" s="49" t="n"/>
    </row>
    <row r="384">
      <c r="B384" s="49" t="n"/>
      <c r="C384" s="49" t="n"/>
      <c r="D384" s="49" t="n"/>
      <c r="E384" s="49" t="n"/>
      <c r="F384" s="50" t="n"/>
      <c r="H384" s="49" t="n"/>
      <c r="I384" s="49" t="n"/>
      <c r="J384" s="49" t="n"/>
      <c r="K384" s="49" t="n"/>
    </row>
    <row r="385">
      <c r="B385" s="49" t="n"/>
      <c r="C385" s="49" t="n"/>
      <c r="D385" s="49" t="n"/>
      <c r="E385" s="49" t="n"/>
      <c r="F385" s="50" t="n"/>
      <c r="H385" s="49" t="n"/>
      <c r="I385" s="49" t="n"/>
      <c r="J385" s="49" t="n"/>
      <c r="K385" s="49" t="n"/>
    </row>
    <row r="386">
      <c r="B386" s="49" t="n"/>
      <c r="C386" s="49" t="n"/>
      <c r="D386" s="49" t="n"/>
      <c r="E386" s="49" t="n"/>
      <c r="F386" s="50" t="n"/>
      <c r="H386" s="49" t="n"/>
      <c r="I386" s="49" t="n"/>
      <c r="J386" s="49" t="n"/>
      <c r="K386" s="49" t="n"/>
    </row>
    <row r="387">
      <c r="B387" s="49" t="n"/>
      <c r="C387" s="49" t="n"/>
      <c r="D387" s="49" t="n"/>
      <c r="E387" s="49" t="n"/>
      <c r="F387" s="50" t="n"/>
      <c r="H387" s="49" t="n"/>
      <c r="I387" s="49" t="n"/>
      <c r="J387" s="49" t="n"/>
      <c r="K387" s="49" t="n"/>
    </row>
    <row r="388">
      <c r="B388" s="49" t="n"/>
      <c r="C388" s="49" t="n"/>
      <c r="D388" s="49" t="n"/>
      <c r="E388" s="49" t="n"/>
      <c r="F388" s="50" t="n"/>
      <c r="H388" s="49" t="n"/>
      <c r="I388" s="49" t="n"/>
      <c r="J388" s="49" t="n"/>
      <c r="K388" s="49" t="n"/>
    </row>
    <row r="389">
      <c r="B389" s="49" t="n"/>
      <c r="C389" s="49" t="n"/>
      <c r="D389" s="49" t="n"/>
      <c r="E389" s="49" t="n"/>
      <c r="F389" s="50" t="n"/>
      <c r="H389" s="49" t="n"/>
      <c r="I389" s="49" t="n"/>
      <c r="J389" s="49" t="n"/>
      <c r="K389" s="49" t="n"/>
    </row>
    <row r="390">
      <c r="B390" s="49" t="n"/>
      <c r="C390" s="49" t="n"/>
      <c r="D390" s="49" t="n"/>
      <c r="E390" s="49" t="n"/>
      <c r="F390" s="50" t="n"/>
      <c r="H390" s="49" t="n"/>
      <c r="I390" s="49" t="n"/>
      <c r="J390" s="49" t="n"/>
      <c r="K390" s="49" t="n"/>
    </row>
    <row r="391">
      <c r="B391" s="49" t="n"/>
      <c r="C391" s="49" t="n"/>
      <c r="D391" s="49" t="n"/>
      <c r="E391" s="49" t="n"/>
      <c r="F391" s="50" t="n"/>
      <c r="H391" s="49" t="n"/>
      <c r="I391" s="49" t="n"/>
      <c r="J391" s="49" t="n"/>
      <c r="K391" s="49" t="n"/>
    </row>
    <row r="392">
      <c r="B392" s="49" t="n"/>
      <c r="C392" s="49" t="n"/>
      <c r="D392" s="49" t="n"/>
      <c r="E392" s="49" t="n"/>
      <c r="F392" s="50" t="n"/>
      <c r="H392" s="49" t="n"/>
      <c r="I392" s="49" t="n"/>
      <c r="J392" s="49" t="n"/>
      <c r="K392" s="49" t="n"/>
    </row>
    <row r="393">
      <c r="B393" s="49" t="n"/>
      <c r="C393" s="49" t="n"/>
      <c r="D393" s="49" t="n"/>
      <c r="E393" s="49" t="n"/>
      <c r="F393" s="50" t="n"/>
      <c r="H393" s="49" t="n"/>
      <c r="I393" s="49" t="n"/>
      <c r="J393" s="49" t="n"/>
      <c r="K393" s="49" t="n"/>
    </row>
    <row r="394">
      <c r="B394" s="49" t="n"/>
      <c r="C394" s="49" t="n"/>
      <c r="D394" s="49" t="n"/>
      <c r="E394" s="49" t="n"/>
      <c r="F394" s="50" t="n"/>
      <c r="H394" s="49" t="n"/>
      <c r="I394" s="49" t="n"/>
      <c r="J394" s="49" t="n"/>
      <c r="K394" s="49" t="n"/>
    </row>
    <row r="395">
      <c r="B395" s="49" t="n"/>
      <c r="C395" s="49" t="n"/>
      <c r="D395" s="49" t="n"/>
      <c r="E395" s="49" t="n"/>
      <c r="F395" s="50" t="n"/>
      <c r="H395" s="49" t="n"/>
      <c r="I395" s="49" t="n"/>
      <c r="J395" s="49" t="n"/>
      <c r="K395" s="49" t="n"/>
    </row>
    <row r="396">
      <c r="B396" s="49" t="n"/>
      <c r="C396" s="49" t="n"/>
      <c r="D396" s="49" t="n"/>
      <c r="E396" s="49" t="n"/>
      <c r="F396" s="50" t="n"/>
      <c r="H396" s="49" t="n"/>
      <c r="I396" s="49" t="n"/>
      <c r="J396" s="49" t="n"/>
      <c r="K396" s="49" t="n"/>
    </row>
    <row r="397">
      <c r="B397" s="49" t="n"/>
      <c r="C397" s="49" t="n"/>
      <c r="D397" s="49" t="n"/>
      <c r="E397" s="49" t="n"/>
      <c r="F397" s="50" t="n"/>
      <c r="H397" s="49" t="n"/>
      <c r="I397" s="49" t="n"/>
      <c r="J397" s="49" t="n"/>
      <c r="K397" s="49" t="n"/>
    </row>
    <row r="398">
      <c r="B398" s="49" t="n"/>
      <c r="C398" s="49" t="n"/>
      <c r="D398" s="49" t="n"/>
      <c r="E398" s="49" t="n"/>
      <c r="F398" s="50" t="n"/>
      <c r="H398" s="49" t="n"/>
      <c r="I398" s="49" t="n"/>
      <c r="J398" s="49" t="n"/>
      <c r="K398" s="49" t="n"/>
    </row>
    <row r="399">
      <c r="B399" s="49" t="n"/>
      <c r="C399" s="49" t="n"/>
      <c r="D399" s="49" t="n"/>
      <c r="E399" s="49" t="n"/>
      <c r="F399" s="50" t="n"/>
      <c r="H399" s="49" t="n"/>
      <c r="I399" s="49" t="n"/>
      <c r="J399" s="49" t="n"/>
      <c r="K399" s="49" t="n"/>
    </row>
    <row r="400">
      <c r="B400" s="49" t="n"/>
      <c r="C400" s="49" t="n"/>
      <c r="D400" s="49" t="n"/>
      <c r="E400" s="49" t="n"/>
      <c r="F400" s="50" t="n"/>
      <c r="H400" s="49" t="n"/>
      <c r="I400" s="49" t="n"/>
      <c r="J400" s="49" t="n"/>
      <c r="K400" s="49" t="n"/>
    </row>
    <row r="401">
      <c r="B401" s="49" t="n"/>
      <c r="C401" s="49" t="n"/>
      <c r="D401" s="49" t="n"/>
      <c r="E401" s="49" t="n"/>
      <c r="F401" s="50" t="n"/>
      <c r="H401" s="49" t="n"/>
      <c r="I401" s="49" t="n"/>
      <c r="J401" s="49" t="n"/>
      <c r="K401" s="49" t="n"/>
    </row>
    <row r="402">
      <c r="B402" s="49" t="n"/>
      <c r="C402" s="49" t="n"/>
      <c r="D402" s="49" t="n"/>
      <c r="E402" s="49" t="n"/>
      <c r="F402" s="50" t="n"/>
      <c r="H402" s="49" t="n"/>
      <c r="I402" s="49" t="n"/>
      <c r="J402" s="49" t="n"/>
      <c r="K402" s="49" t="n"/>
    </row>
    <row r="403">
      <c r="B403" s="49" t="n"/>
      <c r="C403" s="49" t="n"/>
      <c r="D403" s="49" t="n"/>
      <c r="E403" s="49" t="n"/>
      <c r="F403" s="50" t="n"/>
      <c r="H403" s="49" t="n"/>
      <c r="I403" s="49" t="n"/>
      <c r="J403" s="49" t="n"/>
      <c r="K403" s="49" t="n"/>
    </row>
    <row r="404">
      <c r="B404" s="49" t="n"/>
      <c r="C404" s="49" t="n"/>
      <c r="D404" s="49" t="n"/>
      <c r="E404" s="49" t="n"/>
      <c r="F404" s="50" t="n"/>
      <c r="H404" s="49" t="n"/>
      <c r="I404" s="49" t="n"/>
      <c r="J404" s="49" t="n"/>
      <c r="K404" s="49" t="n"/>
    </row>
    <row r="405">
      <c r="B405" s="49" t="n"/>
      <c r="C405" s="49" t="n"/>
      <c r="D405" s="49" t="n"/>
      <c r="E405" s="49" t="n"/>
      <c r="F405" s="50" t="n"/>
      <c r="H405" s="49" t="n"/>
      <c r="I405" s="49" t="n"/>
      <c r="J405" s="49" t="n"/>
      <c r="K405" s="49" t="n"/>
    </row>
    <row r="406">
      <c r="B406" s="49" t="n"/>
      <c r="C406" s="49" t="n"/>
      <c r="D406" s="49" t="n"/>
      <c r="E406" s="49" t="n"/>
      <c r="F406" s="50" t="n"/>
      <c r="H406" s="49" t="n"/>
      <c r="I406" s="49" t="n"/>
      <c r="J406" s="49" t="n"/>
      <c r="K406" s="49" t="n"/>
    </row>
    <row r="407">
      <c r="B407" s="49" t="n"/>
      <c r="C407" s="49" t="n"/>
      <c r="D407" s="49" t="n"/>
      <c r="E407" s="49" t="n"/>
      <c r="F407" s="50" t="n"/>
      <c r="H407" s="49" t="n"/>
      <c r="I407" s="49" t="n"/>
      <c r="J407" s="49" t="n"/>
      <c r="K407" s="49" t="n"/>
    </row>
    <row r="408">
      <c r="B408" s="49" t="n"/>
      <c r="C408" s="49" t="n"/>
      <c r="D408" s="49" t="n"/>
      <c r="E408" s="49" t="n"/>
      <c r="F408" s="50" t="n"/>
      <c r="H408" s="49" t="n"/>
      <c r="I408" s="49" t="n"/>
      <c r="J408" s="49" t="n"/>
      <c r="K408" s="49" t="n"/>
    </row>
    <row r="409">
      <c r="B409" s="49" t="n"/>
      <c r="C409" s="49" t="n"/>
      <c r="D409" s="49" t="n"/>
      <c r="E409" s="49" t="n"/>
      <c r="F409" s="50" t="n"/>
      <c r="H409" s="49" t="n"/>
      <c r="I409" s="49" t="n"/>
      <c r="J409" s="49" t="n"/>
      <c r="K409" s="49" t="n"/>
    </row>
    <row r="410">
      <c r="B410" s="49" t="n"/>
      <c r="C410" s="49" t="n"/>
      <c r="D410" s="49" t="n"/>
      <c r="E410" s="49" t="n"/>
      <c r="F410" s="50" t="n"/>
      <c r="H410" s="49" t="n"/>
      <c r="I410" s="49" t="n"/>
      <c r="J410" s="49" t="n"/>
      <c r="K410" s="49" t="n"/>
    </row>
    <row r="411">
      <c r="B411" s="49" t="n"/>
      <c r="C411" s="49" t="n"/>
      <c r="D411" s="49" t="n"/>
      <c r="E411" s="49" t="n"/>
      <c r="F411" s="50" t="n"/>
      <c r="H411" s="49" t="n"/>
      <c r="I411" s="49" t="n"/>
      <c r="J411" s="49" t="n"/>
      <c r="K411" s="49" t="n"/>
    </row>
    <row r="412">
      <c r="B412" s="49" t="n"/>
      <c r="C412" s="49" t="n"/>
      <c r="D412" s="49" t="n"/>
      <c r="E412" s="49" t="n"/>
      <c r="F412" s="50" t="n"/>
      <c r="H412" s="49" t="n"/>
      <c r="I412" s="49" t="n"/>
      <c r="J412" s="49" t="n"/>
      <c r="K412" s="49" t="n"/>
    </row>
    <row r="413">
      <c r="B413" s="49" t="n"/>
      <c r="C413" s="49" t="n"/>
      <c r="D413" s="49" t="n"/>
      <c r="E413" s="49" t="n"/>
      <c r="F413" s="50" t="n"/>
      <c r="H413" s="49" t="n"/>
      <c r="I413" s="49" t="n"/>
      <c r="J413" s="49" t="n"/>
      <c r="K413" s="49" t="n"/>
    </row>
    <row r="414">
      <c r="B414" s="49" t="n"/>
      <c r="C414" s="49" t="n"/>
      <c r="D414" s="49" t="n"/>
      <c r="E414" s="49" t="n"/>
      <c r="F414" s="50" t="n"/>
      <c r="H414" s="49" t="n"/>
      <c r="I414" s="49" t="n"/>
      <c r="J414" s="49" t="n"/>
      <c r="K414" s="49" t="n"/>
    </row>
    <row r="415">
      <c r="B415" s="49" t="n"/>
      <c r="C415" s="49" t="n"/>
      <c r="D415" s="49" t="n"/>
      <c r="E415" s="49" t="n"/>
      <c r="F415" s="50" t="n"/>
      <c r="H415" s="49" t="n"/>
      <c r="I415" s="49" t="n"/>
      <c r="J415" s="49" t="n"/>
      <c r="K415" s="49" t="n"/>
    </row>
    <row r="416">
      <c r="B416" s="49" t="n"/>
      <c r="C416" s="49" t="n"/>
      <c r="D416" s="49" t="n"/>
      <c r="E416" s="49" t="n"/>
      <c r="F416" s="50" t="n"/>
      <c r="H416" s="49" t="n"/>
      <c r="I416" s="49" t="n"/>
      <c r="J416" s="49" t="n"/>
      <c r="K416" s="49" t="n"/>
    </row>
    <row r="417">
      <c r="B417" s="49" t="n"/>
      <c r="C417" s="49" t="n"/>
      <c r="D417" s="49" t="n"/>
      <c r="E417" s="49" t="n"/>
      <c r="F417" s="50" t="n"/>
      <c r="H417" s="49" t="n"/>
      <c r="I417" s="49" t="n"/>
      <c r="J417" s="49" t="n"/>
      <c r="K417" s="49" t="n"/>
    </row>
    <row r="418">
      <c r="B418" s="49" t="n"/>
      <c r="C418" s="49" t="n"/>
      <c r="D418" s="49" t="n"/>
      <c r="E418" s="49" t="n"/>
      <c r="F418" s="50" t="n"/>
      <c r="H418" s="49" t="n"/>
      <c r="I418" s="49" t="n"/>
      <c r="J418" s="49" t="n"/>
      <c r="K418" s="49" t="n"/>
    </row>
    <row r="419">
      <c r="B419" s="49" t="n"/>
      <c r="C419" s="49" t="n"/>
      <c r="D419" s="49" t="n"/>
      <c r="E419" s="49" t="n"/>
      <c r="F419" s="50" t="n"/>
      <c r="H419" s="49" t="n"/>
      <c r="I419" s="49" t="n"/>
      <c r="J419" s="49" t="n"/>
      <c r="K419" s="49" t="n"/>
    </row>
    <row r="420">
      <c r="B420" s="49" t="n"/>
      <c r="C420" s="49" t="n"/>
      <c r="D420" s="49" t="n"/>
      <c r="E420" s="49" t="n"/>
      <c r="F420" s="50" t="n"/>
      <c r="H420" s="49" t="n"/>
      <c r="I420" s="49" t="n"/>
      <c r="J420" s="49" t="n"/>
      <c r="K420" s="49" t="n"/>
    </row>
    <row r="421">
      <c r="B421" s="49" t="n"/>
      <c r="C421" s="49" t="n"/>
      <c r="D421" s="49" t="n"/>
      <c r="E421" s="49" t="n"/>
      <c r="F421" s="50" t="n"/>
      <c r="H421" s="49" t="n"/>
      <c r="I421" s="49" t="n"/>
      <c r="J421" s="49" t="n"/>
      <c r="K421" s="49" t="n"/>
    </row>
    <row r="422">
      <c r="B422" s="49" t="n"/>
      <c r="C422" s="49" t="n"/>
      <c r="D422" s="49" t="n"/>
      <c r="E422" s="49" t="n"/>
      <c r="F422" s="50" t="n"/>
      <c r="H422" s="49" t="n"/>
      <c r="I422" s="49" t="n"/>
      <c r="J422" s="49" t="n"/>
      <c r="K422" s="49" t="n"/>
    </row>
    <row r="423">
      <c r="B423" s="49" t="n"/>
      <c r="C423" s="49" t="n"/>
      <c r="D423" s="49" t="n"/>
      <c r="E423" s="49" t="n"/>
      <c r="F423" s="50" t="n"/>
      <c r="H423" s="49" t="n"/>
      <c r="I423" s="49" t="n"/>
      <c r="J423" s="49" t="n"/>
      <c r="K423" s="49" t="n"/>
    </row>
    <row r="424">
      <c r="B424" s="49" t="n"/>
      <c r="C424" s="49" t="n"/>
      <c r="D424" s="49" t="n"/>
      <c r="E424" s="49" t="n"/>
      <c r="F424" s="50" t="n"/>
      <c r="H424" s="49" t="n"/>
      <c r="I424" s="49" t="n"/>
      <c r="J424" s="49" t="n"/>
      <c r="K424" s="49" t="n"/>
    </row>
    <row r="425">
      <c r="B425" s="49" t="n"/>
      <c r="C425" s="49" t="n"/>
      <c r="D425" s="49" t="n"/>
      <c r="E425" s="49" t="n"/>
      <c r="F425" s="50" t="n"/>
      <c r="H425" s="49" t="n"/>
      <c r="I425" s="49" t="n"/>
      <c r="J425" s="49" t="n"/>
      <c r="K425" s="49" t="n"/>
    </row>
    <row r="426">
      <c r="B426" s="49" t="n"/>
      <c r="C426" s="49" t="n"/>
      <c r="D426" s="49" t="n"/>
      <c r="E426" s="49" t="n"/>
      <c r="F426" s="50" t="n"/>
      <c r="H426" s="49" t="n"/>
      <c r="I426" s="49" t="n"/>
      <c r="J426" s="49" t="n"/>
      <c r="K426" s="49" t="n"/>
    </row>
    <row r="427">
      <c r="B427" s="49" t="n"/>
      <c r="C427" s="49" t="n"/>
      <c r="D427" s="49" t="n"/>
      <c r="E427" s="49" t="n"/>
      <c r="F427" s="50" t="n"/>
      <c r="H427" s="49" t="n"/>
      <c r="I427" s="49" t="n"/>
      <c r="J427" s="49" t="n"/>
      <c r="K427" s="49" t="n"/>
    </row>
    <row r="428">
      <c r="B428" s="49" t="n"/>
      <c r="C428" s="49" t="n"/>
      <c r="D428" s="49" t="n"/>
      <c r="E428" s="49" t="n"/>
      <c r="F428" s="50" t="n"/>
      <c r="H428" s="49" t="n"/>
      <c r="I428" s="49" t="n"/>
      <c r="J428" s="49" t="n"/>
      <c r="K428" s="49" t="n"/>
    </row>
    <row r="429">
      <c r="B429" s="49" t="n"/>
      <c r="C429" s="49" t="n"/>
      <c r="D429" s="49" t="n"/>
      <c r="E429" s="49" t="n"/>
      <c r="F429" s="50" t="n"/>
      <c r="H429" s="49" t="n"/>
      <c r="I429" s="49" t="n"/>
      <c r="J429" s="49" t="n"/>
      <c r="K429" s="49" t="n"/>
    </row>
    <row r="430">
      <c r="B430" s="49" t="n"/>
      <c r="C430" s="49" t="n"/>
      <c r="D430" s="49" t="n"/>
      <c r="E430" s="49" t="n"/>
      <c r="F430" s="50" t="n"/>
      <c r="H430" s="49" t="n"/>
      <c r="I430" s="49" t="n"/>
      <c r="J430" s="49" t="n"/>
      <c r="K430" s="49" t="n"/>
    </row>
    <row r="431">
      <c r="B431" s="49" t="n"/>
      <c r="C431" s="49" t="n"/>
      <c r="D431" s="49" t="n"/>
      <c r="E431" s="49" t="n"/>
      <c r="F431" s="50" t="n"/>
      <c r="H431" s="49" t="n"/>
      <c r="I431" s="49" t="n"/>
      <c r="J431" s="49" t="n"/>
      <c r="K431" s="49" t="n"/>
    </row>
    <row r="432">
      <c r="B432" s="49" t="n"/>
      <c r="C432" s="49" t="n"/>
      <c r="D432" s="49" t="n"/>
      <c r="E432" s="49" t="n"/>
      <c r="F432" s="50" t="n"/>
      <c r="H432" s="49" t="n"/>
      <c r="I432" s="49" t="n"/>
      <c r="J432" s="49" t="n"/>
      <c r="K432" s="49" t="n"/>
    </row>
    <row r="433">
      <c r="B433" s="49" t="n"/>
      <c r="C433" s="49" t="n"/>
      <c r="D433" s="49" t="n"/>
      <c r="E433" s="49" t="n"/>
      <c r="F433" s="50" t="n"/>
      <c r="H433" s="49" t="n"/>
      <c r="I433" s="49" t="n"/>
      <c r="J433" s="49" t="n"/>
      <c r="K433" s="49" t="n"/>
    </row>
    <row r="434">
      <c r="B434" s="49" t="n"/>
      <c r="C434" s="49" t="n"/>
      <c r="D434" s="49" t="n"/>
      <c r="E434" s="49" t="n"/>
      <c r="F434" s="50" t="n"/>
      <c r="H434" s="49" t="n"/>
      <c r="I434" s="49" t="n"/>
      <c r="J434" s="49" t="n"/>
      <c r="K434" s="49" t="n"/>
    </row>
    <row r="435">
      <c r="B435" s="49" t="n"/>
      <c r="C435" s="49" t="n"/>
      <c r="D435" s="49" t="n"/>
      <c r="E435" s="49" t="n"/>
      <c r="F435" s="50" t="n"/>
      <c r="H435" s="49" t="n"/>
      <c r="I435" s="49" t="n"/>
      <c r="J435" s="49" t="n"/>
      <c r="K435" s="49" t="n"/>
    </row>
    <row r="436">
      <c r="B436" s="49" t="n"/>
      <c r="C436" s="49" t="n"/>
      <c r="D436" s="49" t="n"/>
      <c r="E436" s="49" t="n"/>
      <c r="F436" s="50" t="n"/>
      <c r="H436" s="49" t="n"/>
      <c r="I436" s="49" t="n"/>
      <c r="J436" s="49" t="n"/>
      <c r="K436" s="49" t="n"/>
    </row>
    <row r="437">
      <c r="B437" s="49" t="n"/>
      <c r="C437" s="49" t="n"/>
      <c r="D437" s="49" t="n"/>
      <c r="E437" s="49" t="n"/>
      <c r="F437" s="50" t="n"/>
      <c r="H437" s="49" t="n"/>
      <c r="I437" s="49" t="n"/>
      <c r="J437" s="49" t="n"/>
      <c r="K437" s="49" t="n"/>
    </row>
    <row r="438">
      <c r="B438" s="49" t="n"/>
      <c r="C438" s="49" t="n"/>
      <c r="D438" s="49" t="n"/>
      <c r="E438" s="49" t="n"/>
      <c r="F438" s="50" t="n"/>
      <c r="H438" s="49" t="n"/>
      <c r="I438" s="49" t="n"/>
      <c r="J438" s="49" t="n"/>
      <c r="K438" s="49" t="n"/>
    </row>
    <row r="439">
      <c r="B439" s="49" t="n"/>
      <c r="C439" s="49" t="n"/>
      <c r="D439" s="49" t="n"/>
      <c r="E439" s="49" t="n"/>
      <c r="F439" s="50" t="n"/>
      <c r="H439" s="49" t="n"/>
      <c r="I439" s="49" t="n"/>
      <c r="J439" s="49" t="n"/>
      <c r="K439" s="49" t="n"/>
    </row>
    <row r="440">
      <c r="B440" s="49" t="n"/>
      <c r="C440" s="49" t="n"/>
      <c r="D440" s="49" t="n"/>
      <c r="E440" s="49" t="n"/>
      <c r="F440" s="50" t="n"/>
      <c r="H440" s="49" t="n"/>
      <c r="I440" s="49" t="n"/>
      <c r="J440" s="49" t="n"/>
      <c r="K440" s="49" t="n"/>
    </row>
    <row r="441">
      <c r="B441" s="49" t="n"/>
      <c r="C441" s="49" t="n"/>
      <c r="D441" s="49" t="n"/>
      <c r="E441" s="49" t="n"/>
      <c r="F441" s="50" t="n"/>
      <c r="H441" s="49" t="n"/>
      <c r="I441" s="49" t="n"/>
      <c r="J441" s="49" t="n"/>
      <c r="K441" s="49" t="n"/>
    </row>
    <row r="442">
      <c r="B442" s="49" t="n"/>
      <c r="C442" s="49" t="n"/>
      <c r="D442" s="49" t="n"/>
      <c r="E442" s="49" t="n"/>
      <c r="F442" s="50" t="n"/>
      <c r="H442" s="49" t="n"/>
      <c r="I442" s="49" t="n"/>
      <c r="J442" s="49" t="n"/>
      <c r="K442" s="49" t="n"/>
    </row>
    <row r="443">
      <c r="B443" s="49" t="n"/>
      <c r="C443" s="49" t="n"/>
      <c r="D443" s="49" t="n"/>
      <c r="E443" s="49" t="n"/>
      <c r="F443" s="50" t="n"/>
      <c r="H443" s="49" t="n"/>
      <c r="I443" s="49" t="n"/>
      <c r="J443" s="49" t="n"/>
      <c r="K443" s="49" t="n"/>
    </row>
    <row r="444">
      <c r="B444" s="49" t="n"/>
      <c r="C444" s="49" t="n"/>
      <c r="D444" s="49" t="n"/>
      <c r="E444" s="49" t="n"/>
      <c r="F444" s="50" t="n"/>
      <c r="H444" s="49" t="n"/>
      <c r="I444" s="49" t="n"/>
      <c r="J444" s="49" t="n"/>
      <c r="K444" s="49" t="n"/>
    </row>
    <row r="445">
      <c r="B445" s="49" t="n"/>
      <c r="C445" s="49" t="n"/>
      <c r="D445" s="49" t="n"/>
      <c r="E445" s="49" t="n"/>
      <c r="F445" s="50" t="n"/>
      <c r="H445" s="49" t="n"/>
      <c r="I445" s="49" t="n"/>
      <c r="J445" s="49" t="n"/>
      <c r="K445" s="49" t="n"/>
    </row>
    <row r="446">
      <c r="B446" s="49" t="n"/>
      <c r="C446" s="49" t="n"/>
      <c r="D446" s="49" t="n"/>
      <c r="E446" s="49" t="n"/>
      <c r="F446" s="50" t="n"/>
      <c r="H446" s="49" t="n"/>
      <c r="I446" s="49" t="n"/>
      <c r="J446" s="49" t="n"/>
      <c r="K446" s="49" t="n"/>
    </row>
    <row r="447">
      <c r="B447" s="49" t="n"/>
      <c r="C447" s="49" t="n"/>
      <c r="D447" s="49" t="n"/>
      <c r="E447" s="49" t="n"/>
      <c r="F447" s="50" t="n"/>
      <c r="H447" s="49" t="n"/>
      <c r="I447" s="49" t="n"/>
      <c r="J447" s="49" t="n"/>
      <c r="K447" s="49" t="n"/>
    </row>
    <row r="448">
      <c r="B448" s="49" t="n"/>
      <c r="C448" s="49" t="n"/>
      <c r="D448" s="49" t="n"/>
      <c r="E448" s="49" t="n"/>
      <c r="F448" s="50" t="n"/>
      <c r="H448" s="49" t="n"/>
      <c r="I448" s="49" t="n"/>
      <c r="J448" s="49" t="n"/>
      <c r="K448" s="49" t="n"/>
    </row>
    <row r="449">
      <c r="B449" s="49" t="n"/>
      <c r="C449" s="49" t="n"/>
      <c r="D449" s="49" t="n"/>
      <c r="E449" s="49" t="n"/>
      <c r="F449" s="50" t="n"/>
      <c r="H449" s="49" t="n"/>
      <c r="I449" s="49" t="n"/>
      <c r="J449" s="49" t="n"/>
      <c r="K449" s="49" t="n"/>
    </row>
    <row r="450">
      <c r="B450" s="49" t="n"/>
      <c r="C450" s="49" t="n"/>
      <c r="D450" s="49" t="n"/>
      <c r="E450" s="49" t="n"/>
      <c r="F450" s="50" t="n"/>
      <c r="H450" s="49" t="n"/>
      <c r="I450" s="49" t="n"/>
      <c r="J450" s="49" t="n"/>
      <c r="K450" s="49" t="n"/>
    </row>
    <row r="451">
      <c r="B451" s="49" t="n"/>
      <c r="C451" s="49" t="n"/>
      <c r="D451" s="49" t="n"/>
      <c r="E451" s="49" t="n"/>
      <c r="F451" s="50" t="n"/>
      <c r="H451" s="49" t="n"/>
      <c r="I451" s="49" t="n"/>
      <c r="J451" s="49" t="n"/>
      <c r="K451" s="49" t="n"/>
    </row>
    <row r="452">
      <c r="B452" s="49" t="n"/>
      <c r="C452" s="49" t="n"/>
      <c r="D452" s="49" t="n"/>
      <c r="E452" s="49" t="n"/>
      <c r="F452" s="50" t="n"/>
      <c r="H452" s="49" t="n"/>
      <c r="I452" s="49" t="n"/>
      <c r="J452" s="49" t="n"/>
      <c r="K452" s="49" t="n"/>
    </row>
    <row r="453">
      <c r="B453" s="49" t="n"/>
      <c r="C453" s="49" t="n"/>
      <c r="D453" s="49" t="n"/>
      <c r="E453" s="49" t="n"/>
      <c r="F453" s="50" t="n"/>
      <c r="H453" s="49" t="n"/>
      <c r="I453" s="49" t="n"/>
      <c r="J453" s="49" t="n"/>
      <c r="K453" s="49" t="n"/>
    </row>
    <row r="454">
      <c r="B454" s="49" t="n"/>
      <c r="C454" s="49" t="n"/>
      <c r="D454" s="49" t="n"/>
      <c r="E454" s="49" t="n"/>
      <c r="F454" s="50" t="n"/>
      <c r="H454" s="49" t="n"/>
      <c r="I454" s="49" t="n"/>
      <c r="J454" s="49" t="n"/>
      <c r="K454" s="49" t="n"/>
    </row>
    <row r="455">
      <c r="B455" s="49" t="n"/>
      <c r="C455" s="49" t="n"/>
      <c r="D455" s="49" t="n"/>
      <c r="E455" s="49" t="n"/>
      <c r="F455" s="50" t="n"/>
      <c r="H455" s="49" t="n"/>
      <c r="I455" s="49" t="n"/>
      <c r="J455" s="49" t="n"/>
      <c r="K455" s="49" t="n"/>
    </row>
    <row r="456">
      <c r="B456" s="49" t="n"/>
      <c r="C456" s="49" t="n"/>
      <c r="D456" s="49" t="n"/>
      <c r="E456" s="49" t="n"/>
      <c r="F456" s="50" t="n"/>
      <c r="H456" s="49" t="n"/>
      <c r="I456" s="49" t="n"/>
      <c r="J456" s="49" t="n"/>
      <c r="K456" s="49" t="n"/>
    </row>
    <row r="457">
      <c r="B457" s="49" t="n"/>
      <c r="C457" s="49" t="n"/>
      <c r="D457" s="49" t="n"/>
      <c r="E457" s="49" t="n"/>
      <c r="F457" s="50" t="n"/>
      <c r="H457" s="49" t="n"/>
      <c r="I457" s="49" t="n"/>
      <c r="J457" s="49" t="n"/>
      <c r="K457" s="49" t="n"/>
    </row>
    <row r="458">
      <c r="B458" s="49" t="n"/>
      <c r="C458" s="49" t="n"/>
      <c r="D458" s="49" t="n"/>
      <c r="E458" s="49" t="n"/>
      <c r="F458" s="50" t="n"/>
      <c r="H458" s="49" t="n"/>
      <c r="I458" s="49" t="n"/>
      <c r="J458" s="49" t="n"/>
      <c r="K458" s="49" t="n"/>
    </row>
    <row r="459">
      <c r="B459" s="49" t="n"/>
      <c r="C459" s="49" t="n"/>
      <c r="D459" s="49" t="n"/>
      <c r="E459" s="49" t="n"/>
      <c r="F459" s="50" t="n"/>
      <c r="H459" s="49" t="n"/>
      <c r="I459" s="49" t="n"/>
      <c r="J459" s="49" t="n"/>
      <c r="K459" s="49" t="n"/>
    </row>
    <row r="460">
      <c r="B460" s="49" t="n"/>
      <c r="C460" s="49" t="n"/>
      <c r="D460" s="49" t="n"/>
      <c r="E460" s="49" t="n"/>
      <c r="F460" s="50" t="n"/>
      <c r="H460" s="49" t="n"/>
      <c r="I460" s="49" t="n"/>
      <c r="J460" s="49" t="n"/>
      <c r="K460" s="49" t="n"/>
    </row>
    <row r="461">
      <c r="B461" s="49" t="n"/>
      <c r="C461" s="49" t="n"/>
      <c r="D461" s="49" t="n"/>
      <c r="E461" s="49" t="n"/>
      <c r="F461" s="50" t="n"/>
      <c r="H461" s="49" t="n"/>
      <c r="I461" s="49" t="n"/>
      <c r="J461" s="49" t="n"/>
      <c r="K461" s="49" t="n"/>
    </row>
    <row r="462">
      <c r="B462" s="49" t="n"/>
      <c r="C462" s="49" t="n"/>
      <c r="D462" s="49" t="n"/>
      <c r="E462" s="49" t="n"/>
      <c r="F462" s="50" t="n"/>
      <c r="H462" s="49" t="n"/>
      <c r="I462" s="49" t="n"/>
      <c r="J462" s="49" t="n"/>
      <c r="K462" s="49" t="n"/>
    </row>
    <row r="463">
      <c r="B463" s="49" t="n"/>
      <c r="C463" s="49" t="n"/>
      <c r="D463" s="49" t="n"/>
      <c r="E463" s="49" t="n"/>
      <c r="F463" s="50" t="n"/>
      <c r="H463" s="49" t="n"/>
      <c r="I463" s="49" t="n"/>
      <c r="J463" s="49" t="n"/>
      <c r="K463" s="49" t="n"/>
    </row>
    <row r="464">
      <c r="B464" s="49" t="n"/>
      <c r="C464" s="49" t="n"/>
      <c r="D464" s="49" t="n"/>
      <c r="E464" s="49" t="n"/>
      <c r="F464" s="50" t="n"/>
      <c r="H464" s="49" t="n"/>
      <c r="I464" s="49" t="n"/>
      <c r="J464" s="49" t="n"/>
      <c r="K464" s="49" t="n"/>
    </row>
    <row r="465">
      <c r="B465" s="49" t="n"/>
      <c r="C465" s="49" t="n"/>
      <c r="D465" s="49" t="n"/>
      <c r="E465" s="49" t="n"/>
      <c r="F465" s="50" t="n"/>
      <c r="H465" s="49" t="n"/>
      <c r="I465" s="49" t="n"/>
      <c r="J465" s="49" t="n"/>
      <c r="K465" s="49" t="n"/>
    </row>
    <row r="466">
      <c r="B466" s="49" t="n"/>
      <c r="C466" s="49" t="n"/>
      <c r="D466" s="49" t="n"/>
      <c r="E466" s="49" t="n"/>
      <c r="F466" s="50" t="n"/>
      <c r="H466" s="49" t="n"/>
      <c r="I466" s="49" t="n"/>
      <c r="J466" s="49" t="n"/>
      <c r="K466" s="49" t="n"/>
    </row>
    <row r="467">
      <c r="B467" s="49" t="n"/>
      <c r="C467" s="49" t="n"/>
      <c r="D467" s="49" t="n"/>
      <c r="E467" s="49" t="n"/>
      <c r="F467" s="50" t="n"/>
      <c r="H467" s="49" t="n"/>
      <c r="I467" s="49" t="n"/>
      <c r="J467" s="49" t="n"/>
      <c r="K467" s="49" t="n"/>
    </row>
    <row r="468">
      <c r="B468" s="49" t="n"/>
      <c r="C468" s="49" t="n"/>
      <c r="D468" s="49" t="n"/>
      <c r="E468" s="49" t="n"/>
      <c r="F468" s="50" t="n"/>
      <c r="H468" s="49" t="n"/>
      <c r="I468" s="49" t="n"/>
      <c r="J468" s="49" t="n"/>
      <c r="K468" s="49" t="n"/>
    </row>
    <row r="469">
      <c r="B469" s="49" t="n"/>
      <c r="C469" s="49" t="n"/>
      <c r="D469" s="49" t="n"/>
      <c r="E469" s="49" t="n"/>
      <c r="F469" s="50" t="n"/>
      <c r="H469" s="49" t="n"/>
      <c r="I469" s="49" t="n"/>
      <c r="J469" s="49" t="n"/>
      <c r="K469" s="49" t="n"/>
    </row>
    <row r="470">
      <c r="B470" s="49" t="n"/>
      <c r="C470" s="49" t="n"/>
      <c r="D470" s="49" t="n"/>
      <c r="E470" s="49" t="n"/>
      <c r="F470" s="50" t="n"/>
      <c r="H470" s="49" t="n"/>
      <c r="I470" s="49" t="n"/>
      <c r="J470" s="49" t="n"/>
      <c r="K470" s="49" t="n"/>
    </row>
    <row r="471">
      <c r="B471" s="49" t="n"/>
      <c r="C471" s="49" t="n"/>
      <c r="D471" s="49" t="n"/>
      <c r="E471" s="49" t="n"/>
      <c r="F471" s="50" t="n"/>
      <c r="H471" s="49" t="n"/>
      <c r="I471" s="49" t="n"/>
      <c r="J471" s="49" t="n"/>
      <c r="K471" s="49" t="n"/>
    </row>
    <row r="472">
      <c r="B472" s="49" t="n"/>
      <c r="C472" s="49" t="n"/>
      <c r="D472" s="49" t="n"/>
      <c r="E472" s="49" t="n"/>
      <c r="F472" s="50" t="n"/>
      <c r="H472" s="49" t="n"/>
      <c r="I472" s="49" t="n"/>
      <c r="J472" s="49" t="n"/>
      <c r="K472" s="49" t="n"/>
    </row>
    <row r="473">
      <c r="B473" s="49" t="n"/>
      <c r="C473" s="49" t="n"/>
      <c r="D473" s="49" t="n"/>
      <c r="E473" s="49" t="n"/>
      <c r="F473" s="50" t="n"/>
      <c r="H473" s="49" t="n"/>
      <c r="I473" s="49" t="n"/>
      <c r="J473" s="49" t="n"/>
      <c r="K473" s="49" t="n"/>
    </row>
    <row r="474">
      <c r="B474" s="49" t="n"/>
      <c r="C474" s="49" t="n"/>
      <c r="D474" s="49" t="n"/>
      <c r="E474" s="49" t="n"/>
      <c r="F474" s="50" t="n"/>
      <c r="H474" s="49" t="n"/>
      <c r="I474" s="49" t="n"/>
      <c r="J474" s="49" t="n"/>
      <c r="K474" s="49" t="n"/>
    </row>
    <row r="475">
      <c r="B475" s="49" t="n"/>
      <c r="C475" s="49" t="n"/>
      <c r="D475" s="49" t="n"/>
      <c r="E475" s="49" t="n"/>
      <c r="F475" s="50" t="n"/>
      <c r="H475" s="49" t="n"/>
      <c r="I475" s="49" t="n"/>
      <c r="J475" s="49" t="n"/>
      <c r="K475" s="49" t="n"/>
    </row>
    <row r="476">
      <c r="B476" s="49" t="n"/>
      <c r="C476" s="49" t="n"/>
      <c r="D476" s="49" t="n"/>
      <c r="E476" s="49" t="n"/>
      <c r="F476" s="50" t="n"/>
      <c r="H476" s="49" t="n"/>
      <c r="I476" s="49" t="n"/>
      <c r="J476" s="49" t="n"/>
      <c r="K476" s="49" t="n"/>
    </row>
    <row r="477">
      <c r="B477" s="49" t="n"/>
      <c r="C477" s="49" t="n"/>
      <c r="D477" s="49" t="n"/>
      <c r="E477" s="49" t="n"/>
      <c r="F477" s="50" t="n"/>
      <c r="H477" s="49" t="n"/>
      <c r="I477" s="49" t="n"/>
      <c r="J477" s="49" t="n"/>
      <c r="K477" s="49" t="n"/>
    </row>
    <row r="478">
      <c r="B478" s="49" t="n"/>
      <c r="C478" s="49" t="n"/>
      <c r="D478" s="49" t="n"/>
      <c r="E478" s="49" t="n"/>
      <c r="F478" s="50" t="n"/>
      <c r="H478" s="49" t="n"/>
      <c r="I478" s="49" t="n"/>
      <c r="J478" s="49" t="n"/>
      <c r="K478" s="49" t="n"/>
    </row>
    <row r="479">
      <c r="B479" s="49" t="n"/>
      <c r="C479" s="49" t="n"/>
      <c r="D479" s="49" t="n"/>
      <c r="E479" s="49" t="n"/>
      <c r="F479" s="50" t="n"/>
      <c r="H479" s="49" t="n"/>
      <c r="I479" s="49" t="n"/>
      <c r="J479" s="49" t="n"/>
      <c r="K479" s="49" t="n"/>
    </row>
    <row r="480">
      <c r="B480" s="49" t="n"/>
      <c r="C480" s="49" t="n"/>
      <c r="D480" s="49" t="n"/>
      <c r="E480" s="49" t="n"/>
      <c r="F480" s="50" t="n"/>
      <c r="H480" s="49" t="n"/>
      <c r="I480" s="49" t="n"/>
      <c r="J480" s="49" t="n"/>
      <c r="K480" s="49" t="n"/>
    </row>
    <row r="481">
      <c r="B481" s="49" t="n"/>
      <c r="C481" s="49" t="n"/>
      <c r="D481" s="49" t="n"/>
      <c r="E481" s="49" t="n"/>
      <c r="F481" s="50" t="n"/>
      <c r="H481" s="49" t="n"/>
      <c r="I481" s="49" t="n"/>
      <c r="J481" s="49" t="n"/>
      <c r="K481" s="49" t="n"/>
    </row>
    <row r="482">
      <c r="B482" s="49" t="n"/>
      <c r="C482" s="49" t="n"/>
      <c r="D482" s="49" t="n"/>
      <c r="E482" s="49" t="n"/>
      <c r="F482" s="50" t="n"/>
      <c r="H482" s="49" t="n"/>
      <c r="I482" s="49" t="n"/>
      <c r="J482" s="49" t="n"/>
      <c r="K482" s="49" t="n"/>
    </row>
    <row r="483">
      <c r="B483" s="49" t="n"/>
      <c r="C483" s="49" t="n"/>
      <c r="D483" s="49" t="n"/>
      <c r="E483" s="49" t="n"/>
      <c r="F483" s="50" t="n"/>
      <c r="H483" s="49" t="n"/>
      <c r="I483" s="49" t="n"/>
      <c r="J483" s="49" t="n"/>
      <c r="K483" s="49" t="n"/>
    </row>
    <row r="484">
      <c r="B484" s="49" t="n"/>
      <c r="C484" s="49" t="n"/>
      <c r="D484" s="49" t="n"/>
      <c r="E484" s="49" t="n"/>
      <c r="F484" s="50" t="n"/>
      <c r="H484" s="49" t="n"/>
      <c r="I484" s="49" t="n"/>
      <c r="J484" s="49" t="n"/>
      <c r="K484" s="49" t="n"/>
    </row>
    <row r="485">
      <c r="B485" s="49" t="n"/>
      <c r="C485" s="49" t="n"/>
      <c r="D485" s="49" t="n"/>
      <c r="E485" s="49" t="n"/>
      <c r="F485" s="50" t="n"/>
      <c r="H485" s="49" t="n"/>
      <c r="I485" s="49" t="n"/>
      <c r="J485" s="49" t="n"/>
      <c r="K485" s="49" t="n"/>
    </row>
    <row r="486">
      <c r="B486" s="49" t="n"/>
      <c r="C486" s="49" t="n"/>
      <c r="D486" s="49" t="n"/>
      <c r="E486" s="49" t="n"/>
      <c r="F486" s="50" t="n"/>
      <c r="H486" s="49" t="n"/>
      <c r="I486" s="49" t="n"/>
      <c r="J486" s="49" t="n"/>
      <c r="K486" s="49" t="n"/>
    </row>
    <row r="487">
      <c r="B487" s="49" t="n"/>
      <c r="C487" s="49" t="n"/>
      <c r="D487" s="49" t="n"/>
      <c r="E487" s="49" t="n"/>
      <c r="F487" s="50" t="n"/>
      <c r="H487" s="49" t="n"/>
      <c r="I487" s="49" t="n"/>
      <c r="J487" s="49" t="n"/>
      <c r="K487" s="49" t="n"/>
    </row>
    <row r="488">
      <c r="B488" s="49" t="n"/>
      <c r="C488" s="49" t="n"/>
      <c r="D488" s="49" t="n"/>
      <c r="E488" s="49" t="n"/>
      <c r="F488" s="50" t="n"/>
      <c r="H488" s="49" t="n"/>
      <c r="I488" s="49" t="n"/>
      <c r="J488" s="49" t="n"/>
      <c r="K488" s="49" t="n"/>
    </row>
    <row r="489">
      <c r="B489" s="49" t="n"/>
      <c r="C489" s="49" t="n"/>
      <c r="D489" s="49" t="n"/>
      <c r="E489" s="49" t="n"/>
      <c r="F489" s="50" t="n"/>
      <c r="H489" s="49" t="n"/>
      <c r="I489" s="49" t="n"/>
      <c r="J489" s="49" t="n"/>
      <c r="K489" s="49" t="n"/>
    </row>
    <row r="490">
      <c r="B490" s="49" t="n"/>
      <c r="C490" s="49" t="n"/>
      <c r="D490" s="49" t="n"/>
      <c r="E490" s="49" t="n"/>
      <c r="F490" s="50" t="n"/>
      <c r="H490" s="49" t="n"/>
      <c r="I490" s="49" t="n"/>
      <c r="J490" s="49" t="n"/>
      <c r="K490" s="49" t="n"/>
    </row>
    <row r="491">
      <c r="B491" s="49" t="n"/>
      <c r="C491" s="49" t="n"/>
      <c r="D491" s="49" t="n"/>
      <c r="E491" s="49" t="n"/>
      <c r="F491" s="50" t="n"/>
      <c r="H491" s="49" t="n"/>
      <c r="I491" s="49" t="n"/>
      <c r="J491" s="49" t="n"/>
      <c r="K491" s="49" t="n"/>
    </row>
    <row r="492">
      <c r="B492" s="49" t="n"/>
      <c r="C492" s="49" t="n"/>
      <c r="D492" s="49" t="n"/>
      <c r="E492" s="49" t="n"/>
      <c r="F492" s="50" t="n"/>
      <c r="H492" s="49" t="n"/>
      <c r="I492" s="49" t="n"/>
      <c r="J492" s="49" t="n"/>
      <c r="K492" s="49" t="n"/>
    </row>
    <row r="493">
      <c r="B493" s="49" t="n"/>
      <c r="C493" s="49" t="n"/>
      <c r="D493" s="49" t="n"/>
      <c r="E493" s="49" t="n"/>
      <c r="F493" s="50" t="n"/>
      <c r="H493" s="49" t="n"/>
      <c r="I493" s="49" t="n"/>
      <c r="J493" s="49" t="n"/>
      <c r="K493" s="49" t="n"/>
    </row>
    <row r="494">
      <c r="B494" s="49" t="n"/>
      <c r="C494" s="49" t="n"/>
      <c r="D494" s="49" t="n"/>
      <c r="E494" s="49" t="n"/>
      <c r="F494" s="50" t="n"/>
      <c r="H494" s="49" t="n"/>
      <c r="I494" s="49" t="n"/>
      <c r="J494" s="49" t="n"/>
      <c r="K494" s="49" t="n"/>
    </row>
    <row r="495">
      <c r="B495" s="49" t="n"/>
      <c r="C495" s="49" t="n"/>
      <c r="D495" s="49" t="n"/>
      <c r="E495" s="49" t="n"/>
      <c r="F495" s="50" t="n"/>
      <c r="H495" s="49" t="n"/>
      <c r="I495" s="49" t="n"/>
      <c r="J495" s="49" t="n"/>
      <c r="K495" s="49" t="n"/>
    </row>
    <row r="496">
      <c r="B496" s="49" t="n"/>
      <c r="C496" s="49" t="n"/>
      <c r="D496" s="49" t="n"/>
      <c r="E496" s="49" t="n"/>
      <c r="F496" s="50" t="n"/>
      <c r="H496" s="49" t="n"/>
      <c r="I496" s="49" t="n"/>
      <c r="J496" s="49" t="n"/>
      <c r="K496" s="49" t="n"/>
    </row>
    <row r="497">
      <c r="B497" s="49" t="n"/>
      <c r="C497" s="49" t="n"/>
      <c r="D497" s="49" t="n"/>
      <c r="E497" s="49" t="n"/>
      <c r="F497" s="50" t="n"/>
      <c r="H497" s="49" t="n"/>
      <c r="I497" s="49" t="n"/>
      <c r="J497" s="49" t="n"/>
      <c r="K497" s="49" t="n"/>
    </row>
    <row r="498">
      <c r="B498" s="49" t="n"/>
      <c r="C498" s="49" t="n"/>
      <c r="D498" s="49" t="n"/>
      <c r="E498" s="49" t="n"/>
      <c r="F498" s="50" t="n"/>
      <c r="H498" s="49" t="n"/>
      <c r="I498" s="49" t="n"/>
      <c r="J498" s="49" t="n"/>
      <c r="K498" s="49" t="n"/>
    </row>
    <row r="499">
      <c r="B499" s="49" t="n"/>
      <c r="C499" s="49" t="n"/>
      <c r="D499" s="49" t="n"/>
      <c r="E499" s="49" t="n"/>
      <c r="F499" s="50" t="n"/>
      <c r="H499" s="49" t="n"/>
      <c r="I499" s="49" t="n"/>
      <c r="J499" s="49" t="n"/>
      <c r="K499" s="49" t="n"/>
    </row>
    <row r="500">
      <c r="B500" s="49" t="n"/>
      <c r="C500" s="49" t="n"/>
      <c r="D500" s="49" t="n"/>
      <c r="E500" s="49" t="n"/>
      <c r="F500" s="50" t="n"/>
      <c r="H500" s="49" t="n"/>
      <c r="I500" s="49" t="n"/>
      <c r="J500" s="49" t="n"/>
      <c r="K500" s="49" t="n"/>
    </row>
    <row r="501">
      <c r="B501" s="49" t="n"/>
      <c r="C501" s="49" t="n"/>
      <c r="D501" s="49" t="n"/>
      <c r="E501" s="49" t="n"/>
      <c r="F501" s="50" t="n"/>
      <c r="H501" s="49" t="n"/>
      <c r="I501" s="49" t="n"/>
      <c r="J501" s="49" t="n"/>
      <c r="K501" s="49" t="n"/>
    </row>
    <row r="502">
      <c r="B502" s="49" t="n"/>
      <c r="C502" s="49" t="n"/>
      <c r="D502" s="49" t="n"/>
      <c r="E502" s="49" t="n"/>
      <c r="F502" s="50" t="n"/>
      <c r="H502" s="49" t="n"/>
      <c r="I502" s="49" t="n"/>
      <c r="J502" s="49" t="n"/>
      <c r="K502" s="49" t="n"/>
    </row>
    <row r="503">
      <c r="B503" s="49" t="n"/>
      <c r="C503" s="49" t="n"/>
      <c r="D503" s="49" t="n"/>
      <c r="E503" s="49" t="n"/>
      <c r="F503" s="50" t="n"/>
      <c r="H503" s="49" t="n"/>
      <c r="I503" s="49" t="n"/>
      <c r="J503" s="49" t="n"/>
      <c r="K503" s="49" t="n"/>
    </row>
    <row r="504">
      <c r="B504" s="49" t="n"/>
      <c r="C504" s="49" t="n"/>
      <c r="D504" s="49" t="n"/>
      <c r="E504" s="49" t="n"/>
      <c r="F504" s="50" t="n"/>
      <c r="H504" s="49" t="n"/>
      <c r="I504" s="49" t="n"/>
      <c r="J504" s="49" t="n"/>
      <c r="K504" s="49" t="n"/>
    </row>
    <row r="505">
      <c r="B505" s="49" t="n"/>
      <c r="C505" s="49" t="n"/>
      <c r="D505" s="49" t="n"/>
      <c r="E505" s="49" t="n"/>
      <c r="F505" s="50" t="n"/>
      <c r="H505" s="49" t="n"/>
      <c r="I505" s="49" t="n"/>
      <c r="J505" s="49" t="n"/>
      <c r="K505" s="49" t="n"/>
    </row>
    <row r="506">
      <c r="B506" s="49" t="n"/>
      <c r="C506" s="49" t="n"/>
      <c r="D506" s="49" t="n"/>
      <c r="E506" s="49" t="n"/>
      <c r="F506" s="50" t="n"/>
      <c r="H506" s="49" t="n"/>
      <c r="I506" s="49" t="n"/>
      <c r="J506" s="49" t="n"/>
      <c r="K506" s="49" t="n"/>
    </row>
    <row r="507">
      <c r="B507" s="49" t="n"/>
      <c r="C507" s="49" t="n"/>
      <c r="D507" s="49" t="n"/>
      <c r="E507" s="49" t="n"/>
      <c r="F507" s="50" t="n"/>
      <c r="H507" s="49" t="n"/>
      <c r="I507" s="49" t="n"/>
      <c r="J507" s="49" t="n"/>
      <c r="K507" s="49" t="n"/>
    </row>
    <row r="508">
      <c r="B508" s="49" t="n"/>
      <c r="C508" s="49" t="n"/>
      <c r="D508" s="49" t="n"/>
      <c r="E508" s="49" t="n"/>
      <c r="F508" s="50" t="n"/>
      <c r="H508" s="49" t="n"/>
      <c r="I508" s="49" t="n"/>
      <c r="J508" s="49" t="n"/>
      <c r="K508" s="49" t="n"/>
    </row>
    <row r="509">
      <c r="B509" s="49" t="n"/>
      <c r="C509" s="49" t="n"/>
      <c r="D509" s="49" t="n"/>
      <c r="E509" s="49" t="n"/>
      <c r="F509" s="50" t="n"/>
      <c r="H509" s="49" t="n"/>
      <c r="I509" s="49" t="n"/>
      <c r="J509" s="49" t="n"/>
      <c r="K509" s="49" t="n"/>
    </row>
    <row r="510">
      <c r="B510" s="49" t="n"/>
      <c r="C510" s="49" t="n"/>
      <c r="D510" s="49" t="n"/>
      <c r="E510" s="49" t="n"/>
      <c r="F510" s="50" t="n"/>
      <c r="H510" s="49" t="n"/>
      <c r="I510" s="49" t="n"/>
      <c r="J510" s="49" t="n"/>
      <c r="K510" s="49" t="n"/>
    </row>
    <row r="511">
      <c r="B511" s="49" t="n"/>
      <c r="C511" s="49" t="n"/>
      <c r="D511" s="49" t="n"/>
      <c r="E511" s="49" t="n"/>
      <c r="F511" s="50" t="n"/>
      <c r="H511" s="49" t="n"/>
      <c r="I511" s="49" t="n"/>
      <c r="J511" s="49" t="n"/>
      <c r="K511" s="49" t="n"/>
    </row>
    <row r="512">
      <c r="B512" s="49" t="n"/>
      <c r="C512" s="49" t="n"/>
      <c r="D512" s="49" t="n"/>
      <c r="E512" s="49" t="n"/>
      <c r="F512" s="50" t="n"/>
      <c r="H512" s="49" t="n"/>
      <c r="I512" s="49" t="n"/>
      <c r="J512" s="49" t="n"/>
      <c r="K512" s="49" t="n"/>
    </row>
    <row r="513">
      <c r="B513" s="49" t="n"/>
      <c r="C513" s="49" t="n"/>
      <c r="D513" s="49" t="n"/>
      <c r="E513" s="49" t="n"/>
      <c r="F513" s="50" t="n"/>
      <c r="H513" s="49" t="n"/>
      <c r="I513" s="49" t="n"/>
      <c r="J513" s="49" t="n"/>
      <c r="K513" s="49" t="n"/>
    </row>
    <row r="514">
      <c r="B514" s="49" t="n"/>
      <c r="C514" s="49" t="n"/>
      <c r="D514" s="49" t="n"/>
      <c r="E514" s="49" t="n"/>
      <c r="F514" s="50" t="n"/>
      <c r="H514" s="49" t="n"/>
      <c r="I514" s="49" t="n"/>
      <c r="J514" s="49" t="n"/>
      <c r="K514" s="49" t="n"/>
    </row>
    <row r="515">
      <c r="B515" s="49" t="n"/>
      <c r="C515" s="49" t="n"/>
      <c r="D515" s="49" t="n"/>
      <c r="E515" s="49" t="n"/>
      <c r="F515" s="50" t="n"/>
      <c r="H515" s="49" t="n"/>
      <c r="I515" s="49" t="n"/>
      <c r="J515" s="49" t="n"/>
      <c r="K515" s="49" t="n"/>
    </row>
    <row r="516">
      <c r="B516" s="49" t="n"/>
      <c r="C516" s="49" t="n"/>
      <c r="D516" s="49" t="n"/>
      <c r="E516" s="49" t="n"/>
      <c r="F516" s="50" t="n"/>
      <c r="H516" s="49" t="n"/>
      <c r="I516" s="49" t="n"/>
      <c r="J516" s="49" t="n"/>
      <c r="K516" s="49" t="n"/>
    </row>
    <row r="517">
      <c r="B517" s="49" t="n"/>
      <c r="C517" s="49" t="n"/>
      <c r="D517" s="49" t="n"/>
      <c r="E517" s="49" t="n"/>
      <c r="F517" s="50" t="n"/>
      <c r="H517" s="49" t="n"/>
      <c r="I517" s="49" t="n"/>
      <c r="J517" s="49" t="n"/>
      <c r="K517" s="49" t="n"/>
    </row>
  </sheetData>
  <mergeCells count="8">
    <mergeCell ref="B4:K4"/>
    <mergeCell ref="D8:K8"/>
    <mergeCell ref="B10:C10"/>
    <mergeCell ref="B7:K7"/>
    <mergeCell ref="B6:K6"/>
    <mergeCell ref="B8:C8"/>
    <mergeCell ref="B3:K3"/>
    <mergeCell ref="B5:K5"/>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AND(LEN($B17&amp;$C17&amp;$D17&amp;$E17&amp;$F17&amp;$G17&amp;$H17&amp;$I17&amp;$J17&amp;$K17)&gt;0,B17="")</formula>
    </cfRule>
  </conditionalFormatting>
  <conditionalFormatting sqref="C17:C517">
    <cfRule type="expression" priority="3" dxfId="6">
      <formula>AND(LEN($B17&amp;$C17&amp;$D17&amp;$E17&amp;$F17&amp;$G17&amp;$H17&amp;$I17&amp;$J17&amp;$K17)&gt;0,C17="")</formula>
    </cfRule>
  </conditionalFormatting>
  <conditionalFormatting sqref="F17:F517">
    <cfRule type="expression" priority="4" dxfId="6">
      <formula>AND(LEN($B17&amp;$C17&amp;$D17&amp;$E17&amp;$F17&amp;$G17&amp;$H17&amp;$I17&amp;$J17&amp;$K17)&gt;0,F17="")</formula>
    </cfRule>
  </conditionalFormatting>
  <conditionalFormatting sqref="G17:G517">
    <cfRule type="expression" priority="5" dxfId="6">
      <formula>AND(LEN($B17&amp;$C17&amp;$D17&amp;$E17&amp;$F17&amp;$G17&amp;$H17&amp;$I17&amp;$J17&amp;$K17)&gt;0,G17="")</formula>
    </cfRule>
  </conditionalFormatting>
  <conditionalFormatting sqref="H17:H517">
    <cfRule type="expression" priority="6" dxfId="6">
      <formula>AND(LEN($B17&amp;$C17&amp;$D17&amp;$E17&amp;$F17&amp;$G17&amp;$H17&amp;$I17&amp;$J17&amp;$K17)&gt;0,H17="")</formula>
    </cfRule>
  </conditionalFormatting>
  <conditionalFormatting sqref="I17:I517">
    <cfRule type="expression" priority="7" dxfId="6">
      <formula>AND(LEN($B17&amp;$C17&amp;$D17&amp;$E17&amp;$F17&amp;$G17&amp;$H17&amp;$I17&amp;$J17&amp;$K17)&gt;0,I17="")</formula>
    </cfRule>
  </conditionalFormatting>
  <conditionalFormatting sqref="J17:J517">
    <cfRule type="expression" priority="8" dxfId="6">
      <formula>AND(LEN($B17&amp;$C17&amp;$D17&amp;$E17&amp;$F17&amp;$G17&amp;$H17&amp;$I17&amp;$J17&amp;$K17)&gt;0,J17="")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Event type" prompt="Yes. Event that the rule posts Allowed: Code of an existing accounting event"/>
    <dataValidation sqref="C17:C517" showDropDown="0" showInputMessage="1" showErrorMessage="0" allowBlank="1" promptTitle="Rule name" prompt="Yes. Name of the rule"/>
    <dataValidation sqref="D17:D517" showDropDown="0" showInputMessage="1" showErrorMessage="1" allowBlank="1" errorTitle="Business line" error="The code is not in D0-04, column Code. Enter it there first, or keep it if it is a code BIBS already holds." promptTitle="Business line" prompt="No. Line the rule applies to; blank = every line Allowed: Code of an existing business line" type="list" errorStyle="warning">
      <formula1>=CODES_D0_04_CODE</formula1>
    </dataValidation>
    <dataValidation sqref="E17:E517" showDropDown="0" showInputMessage="1" showErrorMessage="0" allowBlank="1" promptTitle="Currency" prompt="No. Currency the rule applies to; blank = every currency"/>
    <dataValidation sqref="F17:F517" showDropDown="0" showInputMessage="1" showErrorMessage="1" allowBlank="1" errorTitle="Effective from" error="Enter a date, for example 15-Jan-2028." promptTitle="Effective from" prompt="Yes. First posting date of the rule Allowed: A date, for example 15-Jan-2028" type="date" operator="greaterThan">
      <formula1>DATE(1900,1,1)</formula1>
    </dataValidation>
    <dataValidation sqref="G17:G517" showDropDown="0" showInputMessage="1" showErrorMessage="1" allowBlank="1" errorTitle="Line" error="Enter a whole number from 1 to 999." promptTitle="Line" prompt="Yes. Order of the line in the entry Allowed: A whole number from 1 to 999" type="whole" operator="between">
      <formula1>1</formula1>
      <formula2>999</formula2>
    </dataValidation>
    <dataValidation sqref="H17:H517" showDropDown="0" showInputMessage="1" showErrorMessage="1" allowBlank="1" errorTitle="Debit or credit" error="Choose a value of the list Debit or credit (D0-08) (sheet Reference lists)." promptTitle="Debit or credit" prompt="Yes. Side of the line Allowed: DEBIT, CREDIT (list Debit or credit (D0-08))" type="list" errorStyle="stop">
      <formula1>=LIST_D0_08_DEBIT_OR_CREDIT</formula1>
    </dataValidation>
    <dataValidation sqref="I17:I517" showDropDown="0" showInputMessage="1" showErrorMessage="1" allowBlank="1" errorTitle="Account code" error="The code is not in D0-06, column Account Code. Enter it there first, or keep it if it is a code BIBS already holds." promptTitle="Account code" prompt="Yes. Account posted Allowed: Code of an existing account of the chart of accounts" type="list" errorStyle="warning">
      <formula1>=CODES_D0_06_ACCOUNT_CODE</formula1>
    </dataValidation>
    <dataValidation sqref="J17:J517" showDropDown="0" showInputMessage="1" showErrorMessage="0" allowBlank="1" promptTitle="Amount component" prompt="Yes. Amount the line posts Allowed: A component of the event"/>
    <dataValidation sqref="K17:K517" showDropDown="0" showInputMessage="1" showErrorMessage="0" allowBlank="1" promptTitle="Narration" prompt="No. Text of the journal line"/>
  </dataValidations>
  <hyperlinks>
    <hyperlink ref="A2" location="'Start here'!A1"/>
    <hyperlink ref="K2" location="'Questions and comments'!A1"/>
    <hyperlink ref="B8" location="'D0-04 Dimensions'!A1"/>
    <hyperlink ref="D8" location="'D0-06 Chart of accounts'!A1"/>
    <hyperlink ref="D14" location="'D0-04 Dimensions'!C16"/>
    <hyperlink ref="H14" location="'Reference lists'!A361"/>
    <hyperlink ref="I14"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0" customWidth="1" min="2" max="2"/>
    <col width="15" customWidth="1" min="3" max="3"/>
    <col width="22" customWidth="1" min="4" max="4"/>
    <col width="23" customWidth="1" min="5" max="5"/>
    <col width="32" customWidth="1" min="6" max="6"/>
    <col width="12" customWidth="1" min="7" max="7"/>
  </cols>
  <sheetData>
    <row r="1" ht="26" customHeight="1">
      <c r="A1" s="25" t="inlineStr">
        <is>
          <t>D0-09 Legacy control accounts</t>
        </is>
      </c>
      <c r="G1" s="26" t="inlineStr">
        <is>
          <t>Step 31 of 52</t>
        </is>
      </c>
    </row>
    <row r="2">
      <c r="A2" s="27" t="inlineStr">
        <is>
          <t>← Back to Start here</t>
        </is>
      </c>
      <c r="B2" s="28" t="inlineStr">
        <is>
          <t>Step 31 of 52. Fill in one row per record below the column headers; the guide above each column says what to enter.</t>
        </is>
      </c>
      <c r="G2" s="29" t="inlineStr">
        <is>
          <t>Ask a question →</t>
        </is>
      </c>
    </row>
    <row r="3" outlineLevel="1" ht="15.5" customHeight="1">
      <c r="A3" s="30" t="inlineStr">
        <is>
          <t>Purpose</t>
        </is>
      </c>
      <c r="B3" s="31" t="inlineStr">
        <is>
          <t>The accounts that carry the migrated invoices and unapplied payments until they run off, and Migration Clearing</t>
        </is>
      </c>
    </row>
    <row r="4" outlineLevel="1" ht="15.5" customHeight="1">
      <c r="A4" s="30" t="inlineStr">
        <is>
          <t>Provided by</t>
        </is>
      </c>
      <c r="B4" s="31" t="inlineStr">
        <is>
          <t>Head, Comptrollership</t>
        </is>
      </c>
    </row>
    <row r="5" outlineLevel="1" ht="15.5" customHeight="1">
      <c r="A5" s="30" t="inlineStr">
        <is>
          <t>Due</t>
        </is>
      </c>
      <c r="B5" s="32" t="inlineStr">
        <is>
          <t>1-Dec-2026 – Drafts with the Drop 0 sign-off</t>
        </is>
      </c>
    </row>
    <row r="6" outlineLevel="1" ht="15.5" customHeight="1">
      <c r="A6" s="30" t="inlineStr">
        <is>
          <t>How it is loaded</t>
        </is>
      </c>
      <c r="B6" s="31" t="inlineStr">
        <is>
          <t>Upload on the configuration screen Finance › General Ledger › Chart of Accounts, approved by a second user</t>
        </is>
      </c>
    </row>
    <row r="7" outlineLevel="1" ht="15.5" customHeight="1">
      <c r="A7" s="30" t="inlineStr">
        <is>
          <t>Source</t>
        </is>
      </c>
      <c r="B7" s="31" t="inlineStr">
        <is>
          <t>Upload template of the configuration screen (the same columns, headers, mandatory flags and allowed values)</t>
        </is>
      </c>
    </row>
    <row r="8" outlineLevel="1" ht="15" customHeight="1">
      <c r="A8" s="30" t="inlineStr">
        <is>
          <t>Depends on</t>
        </is>
      </c>
      <c r="B8" s="53" t="inlineStr">
        <is>
          <t>D0-06 Chart of accounts →</t>
        </is>
      </c>
    </row>
    <row r="9" ht="26" customHeight="1">
      <c r="A9" s="34" t="inlineStr">
        <is>
          <t>Progress</t>
        </is>
      </c>
      <c r="B9" s="35" t="inlineStr">
        <is>
          <t>Rows entered</t>
        </is>
      </c>
      <c r="C9" s="36">
        <f>SUMPRODUCT(((ROW($B$17:$B$517)&gt;17)+($B$17&lt;&gt;"Migration Clearing")&gt;0)*(LEN($B$17:$B$517&amp;$C$17:$C$517&amp;$D$17:$D$517&amp;$E$17:$E$517&amp;$F$17:$F$517)&gt;0))</f>
        <v/>
      </c>
      <c r="D9" s="35" t="inlineStr">
        <is>
          <t>Mandatory cells missing</t>
        </is>
      </c>
      <c r="E9" s="36">
        <f>SUMPRODUCT(((ROW($B$17:$B$517)&gt;17)+($B$17&lt;&gt;"Migration Clearing")&gt;0)*(LEN($B$17:$B$517&amp;$C$17:$C$517&amp;$D$17:$D$517&amp;$E$17:$E$517&amp;$F$17:$F$517)&gt;0)*(($B$17:$B$517="")+($D$17:$D$517="")))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43" customHeight="1">
      <c r="A12" s="41" t="inlineStr">
        <is>
          <t>Mandatory</t>
        </is>
      </c>
      <c r="B12" s="42" t="inlineStr">
        <is>
          <t>Yes</t>
        </is>
      </c>
      <c r="C12" s="43" t="inlineStr">
        <is>
          <t>Conditional: Premium Receivable - Legacy</t>
        </is>
      </c>
      <c r="D12" s="42" t="inlineStr">
        <is>
          <t>Yes</t>
        </is>
      </c>
      <c r="E12" s="43" t="inlineStr">
        <is>
          <t>No</t>
        </is>
      </c>
      <c r="F12" s="43" t="inlineStr">
        <is>
          <t>No</t>
        </is>
      </c>
    </row>
    <row r="13" ht="30" customHeight="1">
      <c r="A13" s="41" t="inlineStr">
        <is>
          <t>Format</t>
        </is>
      </c>
      <c r="B13" s="43" t="inlineStr">
        <is>
          <t>Code from the drop-down</t>
        </is>
      </c>
      <c r="C13" s="43" t="inlineStr">
        <is>
          <t>Text</t>
        </is>
      </c>
      <c r="D13" s="43" t="inlineStr">
        <is>
          <t>Text</t>
        </is>
      </c>
      <c r="E13" s="43" t="inlineStr">
        <is>
          <t>Account codes separated by commas</t>
        </is>
      </c>
      <c r="F13" s="43" t="inlineStr">
        <is>
          <t>Text</t>
        </is>
      </c>
    </row>
    <row r="14" ht="43" customHeight="1">
      <c r="A14" s="41" t="inlineStr">
        <is>
          <t>Allowed values</t>
        </is>
      </c>
      <c r="B14" s="51" t="inlineStr">
        <is>
          <t>List Legacy account (D0-09): 8 values, see Reference lists</t>
        </is>
      </c>
      <c r="C14" s="43" t="inlineStr">
        <is>
          <t>Free entry</t>
        </is>
      </c>
      <c r="D14" s="51" t="inlineStr">
        <is>
          <t>Code of an existing account of the chart of accounts</t>
        </is>
      </c>
      <c r="E14" s="43" t="inlineStr">
        <is>
          <t>Free entry</t>
        </is>
      </c>
      <c r="F14" s="43" t="inlineStr">
        <is>
          <t>Free entry</t>
        </is>
      </c>
    </row>
    <row r="15" ht="30" customHeight="1">
      <c r="A15" s="41" t="inlineStr">
        <is>
          <t>What to enter</t>
        </is>
      </c>
      <c r="B15" s="43" t="inlineStr">
        <is>
          <t>One row per account</t>
        </is>
      </c>
      <c r="C15" s="43" t="inlineStr">
        <is>
          <t>Component the account holds</t>
        </is>
      </c>
      <c r="D15" s="43" t="inlineStr">
        <is>
          <t>Account in the production chart</t>
        </is>
      </c>
      <c r="E15" s="43" t="inlineStr">
        <is>
          <t>The legacy accounts it replaces (code map gl account)</t>
        </is>
      </c>
      <c r="F15" s="43" t="inlineStr">
        <is>
          <t>End state after the run-off</t>
        </is>
      </c>
    </row>
    <row r="16" ht="30" customHeight="1">
      <c r="A16" s="44" t="inlineStr">
        <is>
          <t>Row</t>
        </is>
      </c>
      <c r="B16" s="45" t="inlineStr">
        <is>
          <t>Legacy account *</t>
        </is>
      </c>
      <c r="C16" s="45" t="inlineStr">
        <is>
          <t>Component</t>
        </is>
      </c>
      <c r="D16" s="45" t="inlineStr">
        <is>
          <t>BIBS account code *</t>
        </is>
      </c>
      <c r="E16" s="45" t="inlineStr">
        <is>
          <t>Legacy GL accounts</t>
        </is>
      </c>
      <c r="F16" s="45" t="inlineStr">
        <is>
          <t>Remarks</t>
        </is>
      </c>
    </row>
    <row r="17" ht="18" customHeight="1">
      <c r="A17" s="46" t="inlineStr">
        <is>
          <t>Example – overwrite or delete</t>
        </is>
      </c>
      <c r="B17" s="47" t="inlineStr">
        <is>
          <t>Migration Clearing</t>
        </is>
      </c>
      <c r="C17" s="47" t="inlineStr">
        <is>
          <t>Basic premium</t>
        </is>
      </c>
      <c r="D17" s="47" t="inlineStr">
        <is>
          <t>1990.01</t>
        </is>
      </c>
      <c r="E17" s="47" t="inlineStr">
        <is>
          <t>1210-01</t>
        </is>
      </c>
      <c r="F17" s="47" t="inlineStr">
        <is>
          <t>Nets to 0.00 after the opening</t>
        </is>
      </c>
    </row>
    <row r="18">
      <c r="B18" s="49" t="n"/>
      <c r="C18" s="49" t="n"/>
      <c r="D18" s="49" t="n"/>
      <c r="E18" s="49" t="n"/>
      <c r="F18" s="49" t="n"/>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row r="219">
      <c r="B219" s="49" t="n"/>
      <c r="C219" s="49" t="n"/>
      <c r="D219" s="49" t="n"/>
      <c r="E219" s="49" t="n"/>
      <c r="F219" s="49" t="n"/>
    </row>
    <row r="220">
      <c r="B220" s="49" t="n"/>
      <c r="C220" s="49" t="n"/>
      <c r="D220" s="49" t="n"/>
      <c r="E220" s="49" t="n"/>
      <c r="F220" s="49" t="n"/>
    </row>
    <row r="221">
      <c r="B221" s="49" t="n"/>
      <c r="C221" s="49" t="n"/>
      <c r="D221" s="49" t="n"/>
      <c r="E221" s="49" t="n"/>
      <c r="F221" s="49" t="n"/>
    </row>
    <row r="222">
      <c r="B222" s="49" t="n"/>
      <c r="C222" s="49" t="n"/>
      <c r="D222" s="49" t="n"/>
      <c r="E222" s="49" t="n"/>
      <c r="F222" s="49" t="n"/>
    </row>
    <row r="223">
      <c r="B223" s="49" t="n"/>
      <c r="C223" s="49" t="n"/>
      <c r="D223" s="49" t="n"/>
      <c r="E223" s="49" t="n"/>
      <c r="F223" s="49" t="n"/>
    </row>
    <row r="224">
      <c r="B224" s="49" t="n"/>
      <c r="C224" s="49" t="n"/>
      <c r="D224" s="49" t="n"/>
      <c r="E224" s="49" t="n"/>
      <c r="F224" s="49" t="n"/>
    </row>
    <row r="225">
      <c r="B225" s="49" t="n"/>
      <c r="C225" s="49" t="n"/>
      <c r="D225" s="49" t="n"/>
      <c r="E225" s="49" t="n"/>
      <c r="F225" s="49" t="n"/>
    </row>
    <row r="226">
      <c r="B226" s="49" t="n"/>
      <c r="C226" s="49" t="n"/>
      <c r="D226" s="49" t="n"/>
      <c r="E226" s="49" t="n"/>
      <c r="F226" s="49" t="n"/>
    </row>
    <row r="227">
      <c r="B227" s="49" t="n"/>
      <c r="C227" s="49" t="n"/>
      <c r="D227" s="49" t="n"/>
      <c r="E227" s="49" t="n"/>
      <c r="F227" s="49" t="n"/>
    </row>
    <row r="228">
      <c r="B228" s="49" t="n"/>
      <c r="C228" s="49" t="n"/>
      <c r="D228" s="49" t="n"/>
      <c r="E228" s="49" t="n"/>
      <c r="F228" s="49" t="n"/>
    </row>
    <row r="229">
      <c r="B229" s="49" t="n"/>
      <c r="C229" s="49" t="n"/>
      <c r="D229" s="49" t="n"/>
      <c r="E229" s="49" t="n"/>
      <c r="F229" s="49" t="n"/>
    </row>
    <row r="230">
      <c r="B230" s="49" t="n"/>
      <c r="C230" s="49" t="n"/>
      <c r="D230" s="49" t="n"/>
      <c r="E230" s="49" t="n"/>
      <c r="F230" s="49" t="n"/>
    </row>
    <row r="231">
      <c r="B231" s="49" t="n"/>
      <c r="C231" s="49" t="n"/>
      <c r="D231" s="49" t="n"/>
      <c r="E231" s="49" t="n"/>
      <c r="F231" s="49" t="n"/>
    </row>
    <row r="232">
      <c r="B232" s="49" t="n"/>
      <c r="C232" s="49" t="n"/>
      <c r="D232" s="49" t="n"/>
      <c r="E232" s="49" t="n"/>
      <c r="F232" s="49" t="n"/>
    </row>
    <row r="233">
      <c r="B233" s="49" t="n"/>
      <c r="C233" s="49" t="n"/>
      <c r="D233" s="49" t="n"/>
      <c r="E233" s="49" t="n"/>
      <c r="F233" s="49" t="n"/>
    </row>
    <row r="234">
      <c r="B234" s="49" t="n"/>
      <c r="C234" s="49" t="n"/>
      <c r="D234" s="49" t="n"/>
      <c r="E234" s="49" t="n"/>
      <c r="F234" s="49" t="n"/>
    </row>
    <row r="235">
      <c r="B235" s="49" t="n"/>
      <c r="C235" s="49" t="n"/>
      <c r="D235" s="49" t="n"/>
      <c r="E235" s="49" t="n"/>
      <c r="F235" s="49" t="n"/>
    </row>
    <row r="236">
      <c r="B236" s="49" t="n"/>
      <c r="C236" s="49" t="n"/>
      <c r="D236" s="49" t="n"/>
      <c r="E236" s="49" t="n"/>
      <c r="F236" s="49" t="n"/>
    </row>
    <row r="237">
      <c r="B237" s="49" t="n"/>
      <c r="C237" s="49" t="n"/>
      <c r="D237" s="49" t="n"/>
      <c r="E237" s="49" t="n"/>
      <c r="F237" s="49" t="n"/>
    </row>
    <row r="238">
      <c r="B238" s="49" t="n"/>
      <c r="C238" s="49" t="n"/>
      <c r="D238" s="49" t="n"/>
      <c r="E238" s="49" t="n"/>
      <c r="F238" s="49" t="n"/>
    </row>
    <row r="239">
      <c r="B239" s="49" t="n"/>
      <c r="C239" s="49" t="n"/>
      <c r="D239" s="49" t="n"/>
      <c r="E239" s="49" t="n"/>
      <c r="F239" s="49" t="n"/>
    </row>
    <row r="240">
      <c r="B240" s="49" t="n"/>
      <c r="C240" s="49" t="n"/>
      <c r="D240" s="49" t="n"/>
      <c r="E240" s="49" t="n"/>
      <c r="F240" s="49" t="n"/>
    </row>
    <row r="241">
      <c r="B241" s="49" t="n"/>
      <c r="C241" s="49" t="n"/>
      <c r="D241" s="49" t="n"/>
      <c r="E241" s="49" t="n"/>
      <c r="F241" s="49" t="n"/>
    </row>
    <row r="242">
      <c r="B242" s="49" t="n"/>
      <c r="C242" s="49" t="n"/>
      <c r="D242" s="49" t="n"/>
      <c r="E242" s="49" t="n"/>
      <c r="F242" s="49" t="n"/>
    </row>
    <row r="243">
      <c r="B243" s="49" t="n"/>
      <c r="C243" s="49" t="n"/>
      <c r="D243" s="49" t="n"/>
      <c r="E243" s="49" t="n"/>
      <c r="F243" s="49" t="n"/>
    </row>
    <row r="244">
      <c r="B244" s="49" t="n"/>
      <c r="C244" s="49" t="n"/>
      <c r="D244" s="49" t="n"/>
      <c r="E244" s="49" t="n"/>
      <c r="F244" s="49" t="n"/>
    </row>
    <row r="245">
      <c r="B245" s="49" t="n"/>
      <c r="C245" s="49" t="n"/>
      <c r="D245" s="49" t="n"/>
      <c r="E245" s="49" t="n"/>
      <c r="F245" s="49" t="n"/>
    </row>
    <row r="246">
      <c r="B246" s="49" t="n"/>
      <c r="C246" s="49" t="n"/>
      <c r="D246" s="49" t="n"/>
      <c r="E246" s="49" t="n"/>
      <c r="F246" s="49" t="n"/>
    </row>
    <row r="247">
      <c r="B247" s="49" t="n"/>
      <c r="C247" s="49" t="n"/>
      <c r="D247" s="49" t="n"/>
      <c r="E247" s="49" t="n"/>
      <c r="F247" s="49" t="n"/>
    </row>
    <row r="248">
      <c r="B248" s="49" t="n"/>
      <c r="C248" s="49" t="n"/>
      <c r="D248" s="49" t="n"/>
      <c r="E248" s="49" t="n"/>
      <c r="F248" s="49" t="n"/>
    </row>
    <row r="249">
      <c r="B249" s="49" t="n"/>
      <c r="C249" s="49" t="n"/>
      <c r="D249" s="49" t="n"/>
      <c r="E249" s="49" t="n"/>
      <c r="F249" s="49" t="n"/>
    </row>
    <row r="250">
      <c r="B250" s="49" t="n"/>
      <c r="C250" s="49" t="n"/>
      <c r="D250" s="49" t="n"/>
      <c r="E250" s="49" t="n"/>
      <c r="F250" s="49" t="n"/>
    </row>
    <row r="251">
      <c r="B251" s="49" t="n"/>
      <c r="C251" s="49" t="n"/>
      <c r="D251" s="49" t="n"/>
      <c r="E251" s="49" t="n"/>
      <c r="F251" s="49" t="n"/>
    </row>
    <row r="252">
      <c r="B252" s="49" t="n"/>
      <c r="C252" s="49" t="n"/>
      <c r="D252" s="49" t="n"/>
      <c r="E252" s="49" t="n"/>
      <c r="F252" s="49" t="n"/>
    </row>
    <row r="253">
      <c r="B253" s="49" t="n"/>
      <c r="C253" s="49" t="n"/>
      <c r="D253" s="49" t="n"/>
      <c r="E253" s="49" t="n"/>
      <c r="F253" s="49" t="n"/>
    </row>
    <row r="254">
      <c r="B254" s="49" t="n"/>
      <c r="C254" s="49" t="n"/>
      <c r="D254" s="49" t="n"/>
      <c r="E254" s="49" t="n"/>
      <c r="F254" s="49" t="n"/>
    </row>
    <row r="255">
      <c r="B255" s="49" t="n"/>
      <c r="C255" s="49" t="n"/>
      <c r="D255" s="49" t="n"/>
      <c r="E255" s="49" t="n"/>
      <c r="F255" s="49" t="n"/>
    </row>
    <row r="256">
      <c r="B256" s="49" t="n"/>
      <c r="C256" s="49" t="n"/>
      <c r="D256" s="49" t="n"/>
      <c r="E256" s="49" t="n"/>
      <c r="F256" s="49" t="n"/>
    </row>
    <row r="257">
      <c r="B257" s="49" t="n"/>
      <c r="C257" s="49" t="n"/>
      <c r="D257" s="49" t="n"/>
      <c r="E257" s="49" t="n"/>
      <c r="F257" s="49" t="n"/>
    </row>
    <row r="258">
      <c r="B258" s="49" t="n"/>
      <c r="C258" s="49" t="n"/>
      <c r="D258" s="49" t="n"/>
      <c r="E258" s="49" t="n"/>
      <c r="F258" s="49" t="n"/>
    </row>
    <row r="259">
      <c r="B259" s="49" t="n"/>
      <c r="C259" s="49" t="n"/>
      <c r="D259" s="49" t="n"/>
      <c r="E259" s="49" t="n"/>
      <c r="F259" s="49" t="n"/>
    </row>
    <row r="260">
      <c r="B260" s="49" t="n"/>
      <c r="C260" s="49" t="n"/>
      <c r="D260" s="49" t="n"/>
      <c r="E260" s="49" t="n"/>
      <c r="F260" s="49" t="n"/>
    </row>
    <row r="261">
      <c r="B261" s="49" t="n"/>
      <c r="C261" s="49" t="n"/>
      <c r="D261" s="49" t="n"/>
      <c r="E261" s="49" t="n"/>
      <c r="F261" s="49" t="n"/>
    </row>
    <row r="262">
      <c r="B262" s="49" t="n"/>
      <c r="C262" s="49" t="n"/>
      <c r="D262" s="49" t="n"/>
      <c r="E262" s="49" t="n"/>
      <c r="F262" s="49" t="n"/>
    </row>
    <row r="263">
      <c r="B263" s="49" t="n"/>
      <c r="C263" s="49" t="n"/>
      <c r="D263" s="49" t="n"/>
      <c r="E263" s="49" t="n"/>
      <c r="F263" s="49" t="n"/>
    </row>
    <row r="264">
      <c r="B264" s="49" t="n"/>
      <c r="C264" s="49" t="n"/>
      <c r="D264" s="49" t="n"/>
      <c r="E264" s="49" t="n"/>
      <c r="F264" s="49" t="n"/>
    </row>
    <row r="265">
      <c r="B265" s="49" t="n"/>
      <c r="C265" s="49" t="n"/>
      <c r="D265" s="49" t="n"/>
      <c r="E265" s="49" t="n"/>
      <c r="F265" s="49" t="n"/>
    </row>
    <row r="266">
      <c r="B266" s="49" t="n"/>
      <c r="C266" s="49" t="n"/>
      <c r="D266" s="49" t="n"/>
      <c r="E266" s="49" t="n"/>
      <c r="F266" s="49" t="n"/>
    </row>
    <row r="267">
      <c r="B267" s="49" t="n"/>
      <c r="C267" s="49" t="n"/>
      <c r="D267" s="49" t="n"/>
      <c r="E267" s="49" t="n"/>
      <c r="F267" s="49" t="n"/>
    </row>
    <row r="268">
      <c r="B268" s="49" t="n"/>
      <c r="C268" s="49" t="n"/>
      <c r="D268" s="49" t="n"/>
      <c r="E268" s="49" t="n"/>
      <c r="F268" s="49" t="n"/>
    </row>
    <row r="269">
      <c r="B269" s="49" t="n"/>
      <c r="C269" s="49" t="n"/>
      <c r="D269" s="49" t="n"/>
      <c r="E269" s="49" t="n"/>
      <c r="F269" s="49" t="n"/>
    </row>
    <row r="270">
      <c r="B270" s="49" t="n"/>
      <c r="C270" s="49" t="n"/>
      <c r="D270" s="49" t="n"/>
      <c r="E270" s="49" t="n"/>
      <c r="F270" s="49" t="n"/>
    </row>
    <row r="271">
      <c r="B271" s="49" t="n"/>
      <c r="C271" s="49" t="n"/>
      <c r="D271" s="49" t="n"/>
      <c r="E271" s="49" t="n"/>
      <c r="F271" s="49" t="n"/>
    </row>
    <row r="272">
      <c r="B272" s="49" t="n"/>
      <c r="C272" s="49" t="n"/>
      <c r="D272" s="49" t="n"/>
      <c r="E272" s="49" t="n"/>
      <c r="F272" s="49" t="n"/>
    </row>
    <row r="273">
      <c r="B273" s="49" t="n"/>
      <c r="C273" s="49" t="n"/>
      <c r="D273" s="49" t="n"/>
      <c r="E273" s="49" t="n"/>
      <c r="F273" s="49" t="n"/>
    </row>
    <row r="274">
      <c r="B274" s="49" t="n"/>
      <c r="C274" s="49" t="n"/>
      <c r="D274" s="49" t="n"/>
      <c r="E274" s="49" t="n"/>
      <c r="F274" s="49" t="n"/>
    </row>
    <row r="275">
      <c r="B275" s="49" t="n"/>
      <c r="C275" s="49" t="n"/>
      <c r="D275" s="49" t="n"/>
      <c r="E275" s="49" t="n"/>
      <c r="F275" s="49" t="n"/>
    </row>
    <row r="276">
      <c r="B276" s="49" t="n"/>
      <c r="C276" s="49" t="n"/>
      <c r="D276" s="49" t="n"/>
      <c r="E276" s="49" t="n"/>
      <c r="F276" s="49" t="n"/>
    </row>
    <row r="277">
      <c r="B277" s="49" t="n"/>
      <c r="C277" s="49" t="n"/>
      <c r="D277" s="49" t="n"/>
      <c r="E277" s="49" t="n"/>
      <c r="F277" s="49" t="n"/>
    </row>
    <row r="278">
      <c r="B278" s="49" t="n"/>
      <c r="C278" s="49" t="n"/>
      <c r="D278" s="49" t="n"/>
      <c r="E278" s="49" t="n"/>
      <c r="F278" s="49" t="n"/>
    </row>
    <row r="279">
      <c r="B279" s="49" t="n"/>
      <c r="C279" s="49" t="n"/>
      <c r="D279" s="49" t="n"/>
      <c r="E279" s="49" t="n"/>
      <c r="F279" s="49" t="n"/>
    </row>
    <row r="280">
      <c r="B280" s="49" t="n"/>
      <c r="C280" s="49" t="n"/>
      <c r="D280" s="49" t="n"/>
      <c r="E280" s="49" t="n"/>
      <c r="F280" s="49" t="n"/>
    </row>
    <row r="281">
      <c r="B281" s="49" t="n"/>
      <c r="C281" s="49" t="n"/>
      <c r="D281" s="49" t="n"/>
      <c r="E281" s="49" t="n"/>
      <c r="F281" s="49" t="n"/>
    </row>
    <row r="282">
      <c r="B282" s="49" t="n"/>
      <c r="C282" s="49" t="n"/>
      <c r="D282" s="49" t="n"/>
      <c r="E282" s="49" t="n"/>
      <c r="F282" s="49" t="n"/>
    </row>
    <row r="283">
      <c r="B283" s="49" t="n"/>
      <c r="C283" s="49" t="n"/>
      <c r="D283" s="49" t="n"/>
      <c r="E283" s="49" t="n"/>
      <c r="F283" s="49" t="n"/>
    </row>
    <row r="284">
      <c r="B284" s="49" t="n"/>
      <c r="C284" s="49" t="n"/>
      <c r="D284" s="49" t="n"/>
      <c r="E284" s="49" t="n"/>
      <c r="F284" s="49" t="n"/>
    </row>
    <row r="285">
      <c r="B285" s="49" t="n"/>
      <c r="C285" s="49" t="n"/>
      <c r="D285" s="49" t="n"/>
      <c r="E285" s="49" t="n"/>
      <c r="F285" s="49" t="n"/>
    </row>
    <row r="286">
      <c r="B286" s="49" t="n"/>
      <c r="C286" s="49" t="n"/>
      <c r="D286" s="49" t="n"/>
      <c r="E286" s="49" t="n"/>
      <c r="F286" s="49" t="n"/>
    </row>
    <row r="287">
      <c r="B287" s="49" t="n"/>
      <c r="C287" s="49" t="n"/>
      <c r="D287" s="49" t="n"/>
      <c r="E287" s="49" t="n"/>
      <c r="F287" s="49" t="n"/>
    </row>
    <row r="288">
      <c r="B288" s="49" t="n"/>
      <c r="C288" s="49" t="n"/>
      <c r="D288" s="49" t="n"/>
      <c r="E288" s="49" t="n"/>
      <c r="F288" s="49" t="n"/>
    </row>
    <row r="289">
      <c r="B289" s="49" t="n"/>
      <c r="C289" s="49" t="n"/>
      <c r="D289" s="49" t="n"/>
      <c r="E289" s="49" t="n"/>
      <c r="F289" s="49" t="n"/>
    </row>
    <row r="290">
      <c r="B290" s="49" t="n"/>
      <c r="C290" s="49" t="n"/>
      <c r="D290" s="49" t="n"/>
      <c r="E290" s="49" t="n"/>
      <c r="F290" s="49" t="n"/>
    </row>
    <row r="291">
      <c r="B291" s="49" t="n"/>
      <c r="C291" s="49" t="n"/>
      <c r="D291" s="49" t="n"/>
      <c r="E291" s="49" t="n"/>
      <c r="F291" s="49" t="n"/>
    </row>
    <row r="292">
      <c r="B292" s="49" t="n"/>
      <c r="C292" s="49" t="n"/>
      <c r="D292" s="49" t="n"/>
      <c r="E292" s="49" t="n"/>
      <c r="F292" s="49" t="n"/>
    </row>
    <row r="293">
      <c r="B293" s="49" t="n"/>
      <c r="C293" s="49" t="n"/>
      <c r="D293" s="49" t="n"/>
      <c r="E293" s="49" t="n"/>
      <c r="F293" s="49" t="n"/>
    </row>
    <row r="294">
      <c r="B294" s="49" t="n"/>
      <c r="C294" s="49" t="n"/>
      <c r="D294" s="49" t="n"/>
      <c r="E294" s="49" t="n"/>
      <c r="F294" s="49" t="n"/>
    </row>
    <row r="295">
      <c r="B295" s="49" t="n"/>
      <c r="C295" s="49" t="n"/>
      <c r="D295" s="49" t="n"/>
      <c r="E295" s="49" t="n"/>
      <c r="F295" s="49" t="n"/>
    </row>
    <row r="296">
      <c r="B296" s="49" t="n"/>
      <c r="C296" s="49" t="n"/>
      <c r="D296" s="49" t="n"/>
      <c r="E296" s="49" t="n"/>
      <c r="F296" s="49" t="n"/>
    </row>
    <row r="297">
      <c r="B297" s="49" t="n"/>
      <c r="C297" s="49" t="n"/>
      <c r="D297" s="49" t="n"/>
      <c r="E297" s="49" t="n"/>
      <c r="F297" s="49" t="n"/>
    </row>
    <row r="298">
      <c r="B298" s="49" t="n"/>
      <c r="C298" s="49" t="n"/>
      <c r="D298" s="49" t="n"/>
      <c r="E298" s="49" t="n"/>
      <c r="F298" s="49" t="n"/>
    </row>
    <row r="299">
      <c r="B299" s="49" t="n"/>
      <c r="C299" s="49" t="n"/>
      <c r="D299" s="49" t="n"/>
      <c r="E299" s="49" t="n"/>
      <c r="F299" s="49" t="n"/>
    </row>
    <row r="300">
      <c r="B300" s="49" t="n"/>
      <c r="C300" s="49" t="n"/>
      <c r="D300" s="49" t="n"/>
      <c r="E300" s="49" t="n"/>
      <c r="F300" s="49" t="n"/>
    </row>
    <row r="301">
      <c r="B301" s="49" t="n"/>
      <c r="C301" s="49" t="n"/>
      <c r="D301" s="49" t="n"/>
      <c r="E301" s="49" t="n"/>
      <c r="F301" s="49" t="n"/>
    </row>
    <row r="302">
      <c r="B302" s="49" t="n"/>
      <c r="C302" s="49" t="n"/>
      <c r="D302" s="49" t="n"/>
      <c r="E302" s="49" t="n"/>
      <c r="F302" s="49" t="n"/>
    </row>
    <row r="303">
      <c r="B303" s="49" t="n"/>
      <c r="C303" s="49" t="n"/>
      <c r="D303" s="49" t="n"/>
      <c r="E303" s="49" t="n"/>
      <c r="F303" s="49" t="n"/>
    </row>
    <row r="304">
      <c r="B304" s="49" t="n"/>
      <c r="C304" s="49" t="n"/>
      <c r="D304" s="49" t="n"/>
      <c r="E304" s="49" t="n"/>
      <c r="F304" s="49" t="n"/>
    </row>
    <row r="305">
      <c r="B305" s="49" t="n"/>
      <c r="C305" s="49" t="n"/>
      <c r="D305" s="49" t="n"/>
      <c r="E305" s="49" t="n"/>
      <c r="F305" s="49" t="n"/>
    </row>
    <row r="306">
      <c r="B306" s="49" t="n"/>
      <c r="C306" s="49" t="n"/>
      <c r="D306" s="49" t="n"/>
      <c r="E306" s="49" t="n"/>
      <c r="F306" s="49" t="n"/>
    </row>
    <row r="307">
      <c r="B307" s="49" t="n"/>
      <c r="C307" s="49" t="n"/>
      <c r="D307" s="49" t="n"/>
      <c r="E307" s="49" t="n"/>
      <c r="F307" s="49" t="n"/>
    </row>
    <row r="308">
      <c r="B308" s="49" t="n"/>
      <c r="C308" s="49" t="n"/>
      <c r="D308" s="49" t="n"/>
      <c r="E308" s="49" t="n"/>
      <c r="F308" s="49" t="n"/>
    </row>
    <row r="309">
      <c r="B309" s="49" t="n"/>
      <c r="C309" s="49" t="n"/>
      <c r="D309" s="49" t="n"/>
      <c r="E309" s="49" t="n"/>
      <c r="F309" s="49" t="n"/>
    </row>
    <row r="310">
      <c r="B310" s="49" t="n"/>
      <c r="C310" s="49" t="n"/>
      <c r="D310" s="49" t="n"/>
      <c r="E310" s="49" t="n"/>
      <c r="F310" s="49" t="n"/>
    </row>
    <row r="311">
      <c r="B311" s="49" t="n"/>
      <c r="C311" s="49" t="n"/>
      <c r="D311" s="49" t="n"/>
      <c r="E311" s="49" t="n"/>
      <c r="F311" s="49" t="n"/>
    </row>
    <row r="312">
      <c r="B312" s="49" t="n"/>
      <c r="C312" s="49" t="n"/>
      <c r="D312" s="49" t="n"/>
      <c r="E312" s="49" t="n"/>
      <c r="F312" s="49" t="n"/>
    </row>
    <row r="313">
      <c r="B313" s="49" t="n"/>
      <c r="C313" s="49" t="n"/>
      <c r="D313" s="49" t="n"/>
      <c r="E313" s="49" t="n"/>
      <c r="F313" s="49" t="n"/>
    </row>
    <row r="314">
      <c r="B314" s="49" t="n"/>
      <c r="C314" s="49" t="n"/>
      <c r="D314" s="49" t="n"/>
      <c r="E314" s="49" t="n"/>
      <c r="F314" s="49" t="n"/>
    </row>
    <row r="315">
      <c r="B315" s="49" t="n"/>
      <c r="C315" s="49" t="n"/>
      <c r="D315" s="49" t="n"/>
      <c r="E315" s="49" t="n"/>
      <c r="F315" s="49" t="n"/>
    </row>
    <row r="316">
      <c r="B316" s="49" t="n"/>
      <c r="C316" s="49" t="n"/>
      <c r="D316" s="49" t="n"/>
      <c r="E316" s="49" t="n"/>
      <c r="F316" s="49" t="n"/>
    </row>
    <row r="317">
      <c r="B317" s="49" t="n"/>
      <c r="C317" s="49" t="n"/>
      <c r="D317" s="49" t="n"/>
      <c r="E317" s="49" t="n"/>
      <c r="F317" s="49" t="n"/>
    </row>
    <row r="318">
      <c r="B318" s="49" t="n"/>
      <c r="C318" s="49" t="n"/>
      <c r="D318" s="49" t="n"/>
      <c r="E318" s="49" t="n"/>
      <c r="F318" s="49" t="n"/>
    </row>
    <row r="319">
      <c r="B319" s="49" t="n"/>
      <c r="C319" s="49" t="n"/>
      <c r="D319" s="49" t="n"/>
      <c r="E319" s="49" t="n"/>
      <c r="F319" s="49" t="n"/>
    </row>
    <row r="320">
      <c r="B320" s="49" t="n"/>
      <c r="C320" s="49" t="n"/>
      <c r="D320" s="49" t="n"/>
      <c r="E320" s="49" t="n"/>
      <c r="F320" s="49" t="n"/>
    </row>
    <row r="321">
      <c r="B321" s="49" t="n"/>
      <c r="C321" s="49" t="n"/>
      <c r="D321" s="49" t="n"/>
      <c r="E321" s="49" t="n"/>
      <c r="F321" s="49" t="n"/>
    </row>
    <row r="322">
      <c r="B322" s="49" t="n"/>
      <c r="C322" s="49" t="n"/>
      <c r="D322" s="49" t="n"/>
      <c r="E322" s="49" t="n"/>
      <c r="F322" s="49" t="n"/>
    </row>
    <row r="323">
      <c r="B323" s="49" t="n"/>
      <c r="C323" s="49" t="n"/>
      <c r="D323" s="49" t="n"/>
      <c r="E323" s="49" t="n"/>
      <c r="F323" s="49" t="n"/>
    </row>
    <row r="324">
      <c r="B324" s="49" t="n"/>
      <c r="C324" s="49" t="n"/>
      <c r="D324" s="49" t="n"/>
      <c r="E324" s="49" t="n"/>
      <c r="F324" s="49" t="n"/>
    </row>
    <row r="325">
      <c r="B325" s="49" t="n"/>
      <c r="C325" s="49" t="n"/>
      <c r="D325" s="49" t="n"/>
      <c r="E325" s="49" t="n"/>
      <c r="F325" s="49" t="n"/>
    </row>
    <row r="326">
      <c r="B326" s="49" t="n"/>
      <c r="C326" s="49" t="n"/>
      <c r="D326" s="49" t="n"/>
      <c r="E326" s="49" t="n"/>
      <c r="F326" s="49" t="n"/>
    </row>
    <row r="327">
      <c r="B327" s="49" t="n"/>
      <c r="C327" s="49" t="n"/>
      <c r="D327" s="49" t="n"/>
      <c r="E327" s="49" t="n"/>
      <c r="F327" s="49" t="n"/>
    </row>
    <row r="328">
      <c r="B328" s="49" t="n"/>
      <c r="C328" s="49" t="n"/>
      <c r="D328" s="49" t="n"/>
      <c r="E328" s="49" t="n"/>
      <c r="F328" s="49" t="n"/>
    </row>
    <row r="329">
      <c r="B329" s="49" t="n"/>
      <c r="C329" s="49" t="n"/>
      <c r="D329" s="49" t="n"/>
      <c r="E329" s="49" t="n"/>
      <c r="F329" s="49" t="n"/>
    </row>
    <row r="330">
      <c r="B330" s="49" t="n"/>
      <c r="C330" s="49" t="n"/>
      <c r="D330" s="49" t="n"/>
      <c r="E330" s="49" t="n"/>
      <c r="F330" s="49" t="n"/>
    </row>
    <row r="331">
      <c r="B331" s="49" t="n"/>
      <c r="C331" s="49" t="n"/>
      <c r="D331" s="49" t="n"/>
      <c r="E331" s="49" t="n"/>
      <c r="F331" s="49" t="n"/>
    </row>
    <row r="332">
      <c r="B332" s="49" t="n"/>
      <c r="C332" s="49" t="n"/>
      <c r="D332" s="49" t="n"/>
      <c r="E332" s="49" t="n"/>
      <c r="F332" s="49" t="n"/>
    </row>
    <row r="333">
      <c r="B333" s="49" t="n"/>
      <c r="C333" s="49" t="n"/>
      <c r="D333" s="49" t="n"/>
      <c r="E333" s="49" t="n"/>
      <c r="F333" s="49" t="n"/>
    </row>
    <row r="334">
      <c r="B334" s="49" t="n"/>
      <c r="C334" s="49" t="n"/>
      <c r="D334" s="49" t="n"/>
      <c r="E334" s="49" t="n"/>
      <c r="F334" s="49" t="n"/>
    </row>
    <row r="335">
      <c r="B335" s="49" t="n"/>
      <c r="C335" s="49" t="n"/>
      <c r="D335" s="49" t="n"/>
      <c r="E335" s="49" t="n"/>
      <c r="F335" s="49" t="n"/>
    </row>
    <row r="336">
      <c r="B336" s="49" t="n"/>
      <c r="C336" s="49" t="n"/>
      <c r="D336" s="49" t="n"/>
      <c r="E336" s="49" t="n"/>
      <c r="F336" s="49" t="n"/>
    </row>
    <row r="337">
      <c r="B337" s="49" t="n"/>
      <c r="C337" s="49" t="n"/>
      <c r="D337" s="49" t="n"/>
      <c r="E337" s="49" t="n"/>
      <c r="F337" s="49" t="n"/>
    </row>
    <row r="338">
      <c r="B338" s="49" t="n"/>
      <c r="C338" s="49" t="n"/>
      <c r="D338" s="49" t="n"/>
      <c r="E338" s="49" t="n"/>
      <c r="F338" s="49" t="n"/>
    </row>
    <row r="339">
      <c r="B339" s="49" t="n"/>
      <c r="C339" s="49" t="n"/>
      <c r="D339" s="49" t="n"/>
      <c r="E339" s="49" t="n"/>
      <c r="F339" s="49" t="n"/>
    </row>
    <row r="340">
      <c r="B340" s="49" t="n"/>
      <c r="C340" s="49" t="n"/>
      <c r="D340" s="49" t="n"/>
      <c r="E340" s="49" t="n"/>
      <c r="F340" s="49" t="n"/>
    </row>
    <row r="341">
      <c r="B341" s="49" t="n"/>
      <c r="C341" s="49" t="n"/>
      <c r="D341" s="49" t="n"/>
      <c r="E341" s="49" t="n"/>
      <c r="F341" s="49" t="n"/>
    </row>
    <row r="342">
      <c r="B342" s="49" t="n"/>
      <c r="C342" s="49" t="n"/>
      <c r="D342" s="49" t="n"/>
      <c r="E342" s="49" t="n"/>
      <c r="F342" s="49" t="n"/>
    </row>
    <row r="343">
      <c r="B343" s="49" t="n"/>
      <c r="C343" s="49" t="n"/>
      <c r="D343" s="49" t="n"/>
      <c r="E343" s="49" t="n"/>
      <c r="F343" s="49" t="n"/>
    </row>
    <row r="344">
      <c r="B344" s="49" t="n"/>
      <c r="C344" s="49" t="n"/>
      <c r="D344" s="49" t="n"/>
      <c r="E344" s="49" t="n"/>
      <c r="F344" s="49" t="n"/>
    </row>
    <row r="345">
      <c r="B345" s="49" t="n"/>
      <c r="C345" s="49" t="n"/>
      <c r="D345" s="49" t="n"/>
      <c r="E345" s="49" t="n"/>
      <c r="F345" s="49" t="n"/>
    </row>
    <row r="346">
      <c r="B346" s="49" t="n"/>
      <c r="C346" s="49" t="n"/>
      <c r="D346" s="49" t="n"/>
      <c r="E346" s="49" t="n"/>
      <c r="F346" s="49" t="n"/>
    </row>
    <row r="347">
      <c r="B347" s="49" t="n"/>
      <c r="C347" s="49" t="n"/>
      <c r="D347" s="49" t="n"/>
      <c r="E347" s="49" t="n"/>
      <c r="F347" s="49" t="n"/>
    </row>
    <row r="348">
      <c r="B348" s="49" t="n"/>
      <c r="C348" s="49" t="n"/>
      <c r="D348" s="49" t="n"/>
      <c r="E348" s="49" t="n"/>
      <c r="F348" s="49" t="n"/>
    </row>
    <row r="349">
      <c r="B349" s="49" t="n"/>
      <c r="C349" s="49" t="n"/>
      <c r="D349" s="49" t="n"/>
      <c r="E349" s="49" t="n"/>
      <c r="F349" s="49" t="n"/>
    </row>
    <row r="350">
      <c r="B350" s="49" t="n"/>
      <c r="C350" s="49" t="n"/>
      <c r="D350" s="49" t="n"/>
      <c r="E350" s="49" t="n"/>
      <c r="F350" s="49" t="n"/>
    </row>
    <row r="351">
      <c r="B351" s="49" t="n"/>
      <c r="C351" s="49" t="n"/>
      <c r="D351" s="49" t="n"/>
      <c r="E351" s="49" t="n"/>
      <c r="F351" s="49" t="n"/>
    </row>
    <row r="352">
      <c r="B352" s="49" t="n"/>
      <c r="C352" s="49" t="n"/>
      <c r="D352" s="49" t="n"/>
      <c r="E352" s="49" t="n"/>
      <c r="F352" s="49" t="n"/>
    </row>
    <row r="353">
      <c r="B353" s="49" t="n"/>
      <c r="C353" s="49" t="n"/>
      <c r="D353" s="49" t="n"/>
      <c r="E353" s="49" t="n"/>
      <c r="F353" s="49" t="n"/>
    </row>
    <row r="354">
      <c r="B354" s="49" t="n"/>
      <c r="C354" s="49" t="n"/>
      <c r="D354" s="49" t="n"/>
      <c r="E354" s="49" t="n"/>
      <c r="F354" s="49" t="n"/>
    </row>
    <row r="355">
      <c r="B355" s="49" t="n"/>
      <c r="C355" s="49" t="n"/>
      <c r="D355" s="49" t="n"/>
      <c r="E355" s="49" t="n"/>
      <c r="F355" s="49" t="n"/>
    </row>
    <row r="356">
      <c r="B356" s="49" t="n"/>
      <c r="C356" s="49" t="n"/>
      <c r="D356" s="49" t="n"/>
      <c r="E356" s="49" t="n"/>
      <c r="F356" s="49" t="n"/>
    </row>
    <row r="357">
      <c r="B357" s="49" t="n"/>
      <c r="C357" s="49" t="n"/>
      <c r="D357" s="49" t="n"/>
      <c r="E357" s="49" t="n"/>
      <c r="F357" s="49" t="n"/>
    </row>
    <row r="358">
      <c r="B358" s="49" t="n"/>
      <c r="C358" s="49" t="n"/>
      <c r="D358" s="49" t="n"/>
      <c r="E358" s="49" t="n"/>
      <c r="F358" s="49" t="n"/>
    </row>
    <row r="359">
      <c r="B359" s="49" t="n"/>
      <c r="C359" s="49" t="n"/>
      <c r="D359" s="49" t="n"/>
      <c r="E359" s="49" t="n"/>
      <c r="F359" s="49" t="n"/>
    </row>
    <row r="360">
      <c r="B360" s="49" t="n"/>
      <c r="C360" s="49" t="n"/>
      <c r="D360" s="49" t="n"/>
      <c r="E360" s="49" t="n"/>
      <c r="F360" s="49" t="n"/>
    </row>
    <row r="361">
      <c r="B361" s="49" t="n"/>
      <c r="C361" s="49" t="n"/>
      <c r="D361" s="49" t="n"/>
      <c r="E361" s="49" t="n"/>
      <c r="F361" s="49" t="n"/>
    </row>
    <row r="362">
      <c r="B362" s="49" t="n"/>
      <c r="C362" s="49" t="n"/>
      <c r="D362" s="49" t="n"/>
      <c r="E362" s="49" t="n"/>
      <c r="F362" s="49" t="n"/>
    </row>
    <row r="363">
      <c r="B363" s="49" t="n"/>
      <c r="C363" s="49" t="n"/>
      <c r="D363" s="49" t="n"/>
      <c r="E363" s="49" t="n"/>
      <c r="F363" s="49" t="n"/>
    </row>
    <row r="364">
      <c r="B364" s="49" t="n"/>
      <c r="C364" s="49" t="n"/>
      <c r="D364" s="49" t="n"/>
      <c r="E364" s="49" t="n"/>
      <c r="F364" s="49" t="n"/>
    </row>
    <row r="365">
      <c r="B365" s="49" t="n"/>
      <c r="C365" s="49" t="n"/>
      <c r="D365" s="49" t="n"/>
      <c r="E365" s="49" t="n"/>
      <c r="F365" s="49" t="n"/>
    </row>
    <row r="366">
      <c r="B366" s="49" t="n"/>
      <c r="C366" s="49" t="n"/>
      <c r="D366" s="49" t="n"/>
      <c r="E366" s="49" t="n"/>
      <c r="F366" s="49" t="n"/>
    </row>
    <row r="367">
      <c r="B367" s="49" t="n"/>
      <c r="C367" s="49" t="n"/>
      <c r="D367" s="49" t="n"/>
      <c r="E367" s="49" t="n"/>
      <c r="F367" s="49" t="n"/>
    </row>
    <row r="368">
      <c r="B368" s="49" t="n"/>
      <c r="C368" s="49" t="n"/>
      <c r="D368" s="49" t="n"/>
      <c r="E368" s="49" t="n"/>
      <c r="F368" s="49" t="n"/>
    </row>
    <row r="369">
      <c r="B369" s="49" t="n"/>
      <c r="C369" s="49" t="n"/>
      <c r="D369" s="49" t="n"/>
      <c r="E369" s="49" t="n"/>
      <c r="F369" s="49" t="n"/>
    </row>
    <row r="370">
      <c r="B370" s="49" t="n"/>
      <c r="C370" s="49" t="n"/>
      <c r="D370" s="49" t="n"/>
      <c r="E370" s="49" t="n"/>
      <c r="F370" s="49" t="n"/>
    </row>
    <row r="371">
      <c r="B371" s="49" t="n"/>
      <c r="C371" s="49" t="n"/>
      <c r="D371" s="49" t="n"/>
      <c r="E371" s="49" t="n"/>
      <c r="F371" s="49" t="n"/>
    </row>
    <row r="372">
      <c r="B372" s="49" t="n"/>
      <c r="C372" s="49" t="n"/>
      <c r="D372" s="49" t="n"/>
      <c r="E372" s="49" t="n"/>
      <c r="F372" s="49" t="n"/>
    </row>
    <row r="373">
      <c r="B373" s="49" t="n"/>
      <c r="C373" s="49" t="n"/>
      <c r="D373" s="49" t="n"/>
      <c r="E373" s="49" t="n"/>
      <c r="F373" s="49" t="n"/>
    </row>
    <row r="374">
      <c r="B374" s="49" t="n"/>
      <c r="C374" s="49" t="n"/>
      <c r="D374" s="49" t="n"/>
      <c r="E374" s="49" t="n"/>
      <c r="F374" s="49" t="n"/>
    </row>
    <row r="375">
      <c r="B375" s="49" t="n"/>
      <c r="C375" s="49" t="n"/>
      <c r="D375" s="49" t="n"/>
      <c r="E375" s="49" t="n"/>
      <c r="F375" s="49" t="n"/>
    </row>
    <row r="376">
      <c r="B376" s="49" t="n"/>
      <c r="C376" s="49" t="n"/>
      <c r="D376" s="49" t="n"/>
      <c r="E376" s="49" t="n"/>
      <c r="F376" s="49" t="n"/>
    </row>
    <row r="377">
      <c r="B377" s="49" t="n"/>
      <c r="C377" s="49" t="n"/>
      <c r="D377" s="49" t="n"/>
      <c r="E377" s="49" t="n"/>
      <c r="F377" s="49" t="n"/>
    </row>
    <row r="378">
      <c r="B378" s="49" t="n"/>
      <c r="C378" s="49" t="n"/>
      <c r="D378" s="49" t="n"/>
      <c r="E378" s="49" t="n"/>
      <c r="F378" s="49" t="n"/>
    </row>
    <row r="379">
      <c r="B379" s="49" t="n"/>
      <c r="C379" s="49" t="n"/>
      <c r="D379" s="49" t="n"/>
      <c r="E379" s="49" t="n"/>
      <c r="F379" s="49" t="n"/>
    </row>
    <row r="380">
      <c r="B380" s="49" t="n"/>
      <c r="C380" s="49" t="n"/>
      <c r="D380" s="49" t="n"/>
      <c r="E380" s="49" t="n"/>
      <c r="F380" s="49" t="n"/>
    </row>
    <row r="381">
      <c r="B381" s="49" t="n"/>
      <c r="C381" s="49" t="n"/>
      <c r="D381" s="49" t="n"/>
      <c r="E381" s="49" t="n"/>
      <c r="F381" s="49" t="n"/>
    </row>
    <row r="382">
      <c r="B382" s="49" t="n"/>
      <c r="C382" s="49" t="n"/>
      <c r="D382" s="49" t="n"/>
      <c r="E382" s="49" t="n"/>
      <c r="F382" s="49" t="n"/>
    </row>
    <row r="383">
      <c r="B383" s="49" t="n"/>
      <c r="C383" s="49" t="n"/>
      <c r="D383" s="49" t="n"/>
      <c r="E383" s="49" t="n"/>
      <c r="F383" s="49" t="n"/>
    </row>
    <row r="384">
      <c r="B384" s="49" t="n"/>
      <c r="C384" s="49" t="n"/>
      <c r="D384" s="49" t="n"/>
      <c r="E384" s="49" t="n"/>
      <c r="F384" s="49" t="n"/>
    </row>
    <row r="385">
      <c r="B385" s="49" t="n"/>
      <c r="C385" s="49" t="n"/>
      <c r="D385" s="49" t="n"/>
      <c r="E385" s="49" t="n"/>
      <c r="F385" s="49" t="n"/>
    </row>
    <row r="386">
      <c r="B386" s="49" t="n"/>
      <c r="C386" s="49" t="n"/>
      <c r="D386" s="49" t="n"/>
      <c r="E386" s="49" t="n"/>
      <c r="F386" s="49" t="n"/>
    </row>
    <row r="387">
      <c r="B387" s="49" t="n"/>
      <c r="C387" s="49" t="n"/>
      <c r="D387" s="49" t="n"/>
      <c r="E387" s="49" t="n"/>
      <c r="F387" s="49" t="n"/>
    </row>
    <row r="388">
      <c r="B388" s="49" t="n"/>
      <c r="C388" s="49" t="n"/>
      <c r="D388" s="49" t="n"/>
      <c r="E388" s="49" t="n"/>
      <c r="F388" s="49" t="n"/>
    </row>
    <row r="389">
      <c r="B389" s="49" t="n"/>
      <c r="C389" s="49" t="n"/>
      <c r="D389" s="49" t="n"/>
      <c r="E389" s="49" t="n"/>
      <c r="F389" s="49" t="n"/>
    </row>
    <row r="390">
      <c r="B390" s="49" t="n"/>
      <c r="C390" s="49" t="n"/>
      <c r="D390" s="49" t="n"/>
      <c r="E390" s="49" t="n"/>
      <c r="F390" s="49" t="n"/>
    </row>
    <row r="391">
      <c r="B391" s="49" t="n"/>
      <c r="C391" s="49" t="n"/>
      <c r="D391" s="49" t="n"/>
      <c r="E391" s="49" t="n"/>
      <c r="F391" s="49" t="n"/>
    </row>
    <row r="392">
      <c r="B392" s="49" t="n"/>
      <c r="C392" s="49" t="n"/>
      <c r="D392" s="49" t="n"/>
      <c r="E392" s="49" t="n"/>
      <c r="F392" s="49" t="n"/>
    </row>
    <row r="393">
      <c r="B393" s="49" t="n"/>
      <c r="C393" s="49" t="n"/>
      <c r="D393" s="49" t="n"/>
      <c r="E393" s="49" t="n"/>
      <c r="F393" s="49" t="n"/>
    </row>
    <row r="394">
      <c r="B394" s="49" t="n"/>
      <c r="C394" s="49" t="n"/>
      <c r="D394" s="49" t="n"/>
      <c r="E394" s="49" t="n"/>
      <c r="F394" s="49" t="n"/>
    </row>
    <row r="395">
      <c r="B395" s="49" t="n"/>
      <c r="C395" s="49" t="n"/>
      <c r="D395" s="49" t="n"/>
      <c r="E395" s="49" t="n"/>
      <c r="F395" s="49" t="n"/>
    </row>
    <row r="396">
      <c r="B396" s="49" t="n"/>
      <c r="C396" s="49" t="n"/>
      <c r="D396" s="49" t="n"/>
      <c r="E396" s="49" t="n"/>
      <c r="F396" s="49" t="n"/>
    </row>
    <row r="397">
      <c r="B397" s="49" t="n"/>
      <c r="C397" s="49" t="n"/>
      <c r="D397" s="49" t="n"/>
      <c r="E397" s="49" t="n"/>
      <c r="F397" s="49" t="n"/>
    </row>
    <row r="398">
      <c r="B398" s="49" t="n"/>
      <c r="C398" s="49" t="n"/>
      <c r="D398" s="49" t="n"/>
      <c r="E398" s="49" t="n"/>
      <c r="F398" s="49" t="n"/>
    </row>
    <row r="399">
      <c r="B399" s="49" t="n"/>
      <c r="C399" s="49" t="n"/>
      <c r="D399" s="49" t="n"/>
      <c r="E399" s="49" t="n"/>
      <c r="F399" s="49" t="n"/>
    </row>
    <row r="400">
      <c r="B400" s="49" t="n"/>
      <c r="C400" s="49" t="n"/>
      <c r="D400" s="49" t="n"/>
      <c r="E400" s="49" t="n"/>
      <c r="F400" s="49" t="n"/>
    </row>
    <row r="401">
      <c r="B401" s="49" t="n"/>
      <c r="C401" s="49" t="n"/>
      <c r="D401" s="49" t="n"/>
      <c r="E401" s="49" t="n"/>
      <c r="F401" s="49" t="n"/>
    </row>
    <row r="402">
      <c r="B402" s="49" t="n"/>
      <c r="C402" s="49" t="n"/>
      <c r="D402" s="49" t="n"/>
      <c r="E402" s="49" t="n"/>
      <c r="F402" s="49" t="n"/>
    </row>
    <row r="403">
      <c r="B403" s="49" t="n"/>
      <c r="C403" s="49" t="n"/>
      <c r="D403" s="49" t="n"/>
      <c r="E403" s="49" t="n"/>
      <c r="F403" s="49" t="n"/>
    </row>
    <row r="404">
      <c r="B404" s="49" t="n"/>
      <c r="C404" s="49" t="n"/>
      <c r="D404" s="49" t="n"/>
      <c r="E404" s="49" t="n"/>
      <c r="F404" s="49" t="n"/>
    </row>
    <row r="405">
      <c r="B405" s="49" t="n"/>
      <c r="C405" s="49" t="n"/>
      <c r="D405" s="49" t="n"/>
      <c r="E405" s="49" t="n"/>
      <c r="F405" s="49" t="n"/>
    </row>
    <row r="406">
      <c r="B406" s="49" t="n"/>
      <c r="C406" s="49" t="n"/>
      <c r="D406" s="49" t="n"/>
      <c r="E406" s="49" t="n"/>
      <c r="F406" s="49" t="n"/>
    </row>
    <row r="407">
      <c r="B407" s="49" t="n"/>
      <c r="C407" s="49" t="n"/>
      <c r="D407" s="49" t="n"/>
      <c r="E407" s="49" t="n"/>
      <c r="F407" s="49" t="n"/>
    </row>
    <row r="408">
      <c r="B408" s="49" t="n"/>
      <c r="C408" s="49" t="n"/>
      <c r="D408" s="49" t="n"/>
      <c r="E408" s="49" t="n"/>
      <c r="F408" s="49" t="n"/>
    </row>
    <row r="409">
      <c r="B409" s="49" t="n"/>
      <c r="C409" s="49" t="n"/>
      <c r="D409" s="49" t="n"/>
      <c r="E409" s="49" t="n"/>
      <c r="F409" s="49" t="n"/>
    </row>
    <row r="410">
      <c r="B410" s="49" t="n"/>
      <c r="C410" s="49" t="n"/>
      <c r="D410" s="49" t="n"/>
      <c r="E410" s="49" t="n"/>
      <c r="F410" s="49" t="n"/>
    </row>
    <row r="411">
      <c r="B411" s="49" t="n"/>
      <c r="C411" s="49" t="n"/>
      <c r="D411" s="49" t="n"/>
      <c r="E411" s="49" t="n"/>
      <c r="F411" s="49" t="n"/>
    </row>
    <row r="412">
      <c r="B412" s="49" t="n"/>
      <c r="C412" s="49" t="n"/>
      <c r="D412" s="49" t="n"/>
      <c r="E412" s="49" t="n"/>
      <c r="F412" s="49" t="n"/>
    </row>
    <row r="413">
      <c r="B413" s="49" t="n"/>
      <c r="C413" s="49" t="n"/>
      <c r="D413" s="49" t="n"/>
      <c r="E413" s="49" t="n"/>
      <c r="F413" s="49" t="n"/>
    </row>
    <row r="414">
      <c r="B414" s="49" t="n"/>
      <c r="C414" s="49" t="n"/>
      <c r="D414" s="49" t="n"/>
      <c r="E414" s="49" t="n"/>
      <c r="F414" s="49" t="n"/>
    </row>
    <row r="415">
      <c r="B415" s="49" t="n"/>
      <c r="C415" s="49" t="n"/>
      <c r="D415" s="49" t="n"/>
      <c r="E415" s="49" t="n"/>
      <c r="F415" s="49" t="n"/>
    </row>
    <row r="416">
      <c r="B416" s="49" t="n"/>
      <c r="C416" s="49" t="n"/>
      <c r="D416" s="49" t="n"/>
      <c r="E416" s="49" t="n"/>
      <c r="F416" s="49" t="n"/>
    </row>
    <row r="417">
      <c r="B417" s="49" t="n"/>
      <c r="C417" s="49" t="n"/>
      <c r="D417" s="49" t="n"/>
      <c r="E417" s="49" t="n"/>
      <c r="F417" s="49" t="n"/>
    </row>
    <row r="418">
      <c r="B418" s="49" t="n"/>
      <c r="C418" s="49" t="n"/>
      <c r="D418" s="49" t="n"/>
      <c r="E418" s="49" t="n"/>
      <c r="F418" s="49" t="n"/>
    </row>
    <row r="419">
      <c r="B419" s="49" t="n"/>
      <c r="C419" s="49" t="n"/>
      <c r="D419" s="49" t="n"/>
      <c r="E419" s="49" t="n"/>
      <c r="F419" s="49" t="n"/>
    </row>
    <row r="420">
      <c r="B420" s="49" t="n"/>
      <c r="C420" s="49" t="n"/>
      <c r="D420" s="49" t="n"/>
      <c r="E420" s="49" t="n"/>
      <c r="F420" s="49" t="n"/>
    </row>
    <row r="421">
      <c r="B421" s="49" t="n"/>
      <c r="C421" s="49" t="n"/>
      <c r="D421" s="49" t="n"/>
      <c r="E421" s="49" t="n"/>
      <c r="F421" s="49" t="n"/>
    </row>
    <row r="422">
      <c r="B422" s="49" t="n"/>
      <c r="C422" s="49" t="n"/>
      <c r="D422" s="49" t="n"/>
      <c r="E422" s="49" t="n"/>
      <c r="F422" s="49" t="n"/>
    </row>
    <row r="423">
      <c r="B423" s="49" t="n"/>
      <c r="C423" s="49" t="n"/>
      <c r="D423" s="49" t="n"/>
      <c r="E423" s="49" t="n"/>
      <c r="F423" s="49" t="n"/>
    </row>
    <row r="424">
      <c r="B424" s="49" t="n"/>
      <c r="C424" s="49" t="n"/>
      <c r="D424" s="49" t="n"/>
      <c r="E424" s="49" t="n"/>
      <c r="F424" s="49" t="n"/>
    </row>
    <row r="425">
      <c r="B425" s="49" t="n"/>
      <c r="C425" s="49" t="n"/>
      <c r="D425" s="49" t="n"/>
      <c r="E425" s="49" t="n"/>
      <c r="F425" s="49" t="n"/>
    </row>
    <row r="426">
      <c r="B426" s="49" t="n"/>
      <c r="C426" s="49" t="n"/>
      <c r="D426" s="49" t="n"/>
      <c r="E426" s="49" t="n"/>
      <c r="F426" s="49" t="n"/>
    </row>
    <row r="427">
      <c r="B427" s="49" t="n"/>
      <c r="C427" s="49" t="n"/>
      <c r="D427" s="49" t="n"/>
      <c r="E427" s="49" t="n"/>
      <c r="F427" s="49" t="n"/>
    </row>
    <row r="428">
      <c r="B428" s="49" t="n"/>
      <c r="C428" s="49" t="n"/>
      <c r="D428" s="49" t="n"/>
      <c r="E428" s="49" t="n"/>
      <c r="F428" s="49" t="n"/>
    </row>
    <row r="429">
      <c r="B429" s="49" t="n"/>
      <c r="C429" s="49" t="n"/>
      <c r="D429" s="49" t="n"/>
      <c r="E429" s="49" t="n"/>
      <c r="F429" s="49" t="n"/>
    </row>
    <row r="430">
      <c r="B430" s="49" t="n"/>
      <c r="C430" s="49" t="n"/>
      <c r="D430" s="49" t="n"/>
      <c r="E430" s="49" t="n"/>
      <c r="F430" s="49" t="n"/>
    </row>
    <row r="431">
      <c r="B431" s="49" t="n"/>
      <c r="C431" s="49" t="n"/>
      <c r="D431" s="49" t="n"/>
      <c r="E431" s="49" t="n"/>
      <c r="F431" s="49" t="n"/>
    </row>
    <row r="432">
      <c r="B432" s="49" t="n"/>
      <c r="C432" s="49" t="n"/>
      <c r="D432" s="49" t="n"/>
      <c r="E432" s="49" t="n"/>
      <c r="F432" s="49" t="n"/>
    </row>
    <row r="433">
      <c r="B433" s="49" t="n"/>
      <c r="C433" s="49" t="n"/>
      <c r="D433" s="49" t="n"/>
      <c r="E433" s="49" t="n"/>
      <c r="F433" s="49" t="n"/>
    </row>
    <row r="434">
      <c r="B434" s="49" t="n"/>
      <c r="C434" s="49" t="n"/>
      <c r="D434" s="49" t="n"/>
      <c r="E434" s="49" t="n"/>
      <c r="F434" s="49" t="n"/>
    </row>
    <row r="435">
      <c r="B435" s="49" t="n"/>
      <c r="C435" s="49" t="n"/>
      <c r="D435" s="49" t="n"/>
      <c r="E435" s="49" t="n"/>
      <c r="F435" s="49" t="n"/>
    </row>
    <row r="436">
      <c r="B436" s="49" t="n"/>
      <c r="C436" s="49" t="n"/>
      <c r="D436" s="49" t="n"/>
      <c r="E436" s="49" t="n"/>
      <c r="F436" s="49" t="n"/>
    </row>
    <row r="437">
      <c r="B437" s="49" t="n"/>
      <c r="C437" s="49" t="n"/>
      <c r="D437" s="49" t="n"/>
      <c r="E437" s="49" t="n"/>
      <c r="F437" s="49" t="n"/>
    </row>
    <row r="438">
      <c r="B438" s="49" t="n"/>
      <c r="C438" s="49" t="n"/>
      <c r="D438" s="49" t="n"/>
      <c r="E438" s="49" t="n"/>
      <c r="F438" s="49" t="n"/>
    </row>
    <row r="439">
      <c r="B439" s="49" t="n"/>
      <c r="C439" s="49" t="n"/>
      <c r="D439" s="49" t="n"/>
      <c r="E439" s="49" t="n"/>
      <c r="F439" s="49" t="n"/>
    </row>
    <row r="440">
      <c r="B440" s="49" t="n"/>
      <c r="C440" s="49" t="n"/>
      <c r="D440" s="49" t="n"/>
      <c r="E440" s="49" t="n"/>
      <c r="F440" s="49" t="n"/>
    </row>
    <row r="441">
      <c r="B441" s="49" t="n"/>
      <c r="C441" s="49" t="n"/>
      <c r="D441" s="49" t="n"/>
      <c r="E441" s="49" t="n"/>
      <c r="F441" s="49" t="n"/>
    </row>
    <row r="442">
      <c r="B442" s="49" t="n"/>
      <c r="C442" s="49" t="n"/>
      <c r="D442" s="49" t="n"/>
      <c r="E442" s="49" t="n"/>
      <c r="F442" s="49" t="n"/>
    </row>
    <row r="443">
      <c r="B443" s="49" t="n"/>
      <c r="C443" s="49" t="n"/>
      <c r="D443" s="49" t="n"/>
      <c r="E443" s="49" t="n"/>
      <c r="F443" s="49" t="n"/>
    </row>
    <row r="444">
      <c r="B444" s="49" t="n"/>
      <c r="C444" s="49" t="n"/>
      <c r="D444" s="49" t="n"/>
      <c r="E444" s="49" t="n"/>
      <c r="F444" s="49" t="n"/>
    </row>
    <row r="445">
      <c r="B445" s="49" t="n"/>
      <c r="C445" s="49" t="n"/>
      <c r="D445" s="49" t="n"/>
      <c r="E445" s="49" t="n"/>
      <c r="F445" s="49" t="n"/>
    </row>
    <row r="446">
      <c r="B446" s="49" t="n"/>
      <c r="C446" s="49" t="n"/>
      <c r="D446" s="49" t="n"/>
      <c r="E446" s="49" t="n"/>
      <c r="F446" s="49" t="n"/>
    </row>
    <row r="447">
      <c r="B447" s="49" t="n"/>
      <c r="C447" s="49" t="n"/>
      <c r="D447" s="49" t="n"/>
      <c r="E447" s="49" t="n"/>
      <c r="F447" s="49" t="n"/>
    </row>
    <row r="448">
      <c r="B448" s="49" t="n"/>
      <c r="C448" s="49" t="n"/>
      <c r="D448" s="49" t="n"/>
      <c r="E448" s="49" t="n"/>
      <c r="F448" s="49" t="n"/>
    </row>
    <row r="449">
      <c r="B449" s="49" t="n"/>
      <c r="C449" s="49" t="n"/>
      <c r="D449" s="49" t="n"/>
      <c r="E449" s="49" t="n"/>
      <c r="F449" s="49" t="n"/>
    </row>
    <row r="450">
      <c r="B450" s="49" t="n"/>
      <c r="C450" s="49" t="n"/>
      <c r="D450" s="49" t="n"/>
      <c r="E450" s="49" t="n"/>
      <c r="F450" s="49" t="n"/>
    </row>
    <row r="451">
      <c r="B451" s="49" t="n"/>
      <c r="C451" s="49" t="n"/>
      <c r="D451" s="49" t="n"/>
      <c r="E451" s="49" t="n"/>
      <c r="F451" s="49" t="n"/>
    </row>
    <row r="452">
      <c r="B452" s="49" t="n"/>
      <c r="C452" s="49" t="n"/>
      <c r="D452" s="49" t="n"/>
      <c r="E452" s="49" t="n"/>
      <c r="F452" s="49" t="n"/>
    </row>
    <row r="453">
      <c r="B453" s="49" t="n"/>
      <c r="C453" s="49" t="n"/>
      <c r="D453" s="49" t="n"/>
      <c r="E453" s="49" t="n"/>
      <c r="F453" s="49" t="n"/>
    </row>
    <row r="454">
      <c r="B454" s="49" t="n"/>
      <c r="C454" s="49" t="n"/>
      <c r="D454" s="49" t="n"/>
      <c r="E454" s="49" t="n"/>
      <c r="F454" s="49" t="n"/>
    </row>
    <row r="455">
      <c r="B455" s="49" t="n"/>
      <c r="C455" s="49" t="n"/>
      <c r="D455" s="49" t="n"/>
      <c r="E455" s="49" t="n"/>
      <c r="F455" s="49" t="n"/>
    </row>
    <row r="456">
      <c r="B456" s="49" t="n"/>
      <c r="C456" s="49" t="n"/>
      <c r="D456" s="49" t="n"/>
      <c r="E456" s="49" t="n"/>
      <c r="F456" s="49" t="n"/>
    </row>
    <row r="457">
      <c r="B457" s="49" t="n"/>
      <c r="C457" s="49" t="n"/>
      <c r="D457" s="49" t="n"/>
      <c r="E457" s="49" t="n"/>
      <c r="F457" s="49" t="n"/>
    </row>
    <row r="458">
      <c r="B458" s="49" t="n"/>
      <c r="C458" s="49" t="n"/>
      <c r="D458" s="49" t="n"/>
      <c r="E458" s="49" t="n"/>
      <c r="F458" s="49" t="n"/>
    </row>
    <row r="459">
      <c r="B459" s="49" t="n"/>
      <c r="C459" s="49" t="n"/>
      <c r="D459" s="49" t="n"/>
      <c r="E459" s="49" t="n"/>
      <c r="F459" s="49" t="n"/>
    </row>
    <row r="460">
      <c r="B460" s="49" t="n"/>
      <c r="C460" s="49" t="n"/>
      <c r="D460" s="49" t="n"/>
      <c r="E460" s="49" t="n"/>
      <c r="F460" s="49" t="n"/>
    </row>
    <row r="461">
      <c r="B461" s="49" t="n"/>
      <c r="C461" s="49" t="n"/>
      <c r="D461" s="49" t="n"/>
      <c r="E461" s="49" t="n"/>
      <c r="F461" s="49" t="n"/>
    </row>
    <row r="462">
      <c r="B462" s="49" t="n"/>
      <c r="C462" s="49" t="n"/>
      <c r="D462" s="49" t="n"/>
      <c r="E462" s="49" t="n"/>
      <c r="F462" s="49" t="n"/>
    </row>
    <row r="463">
      <c r="B463" s="49" t="n"/>
      <c r="C463" s="49" t="n"/>
      <c r="D463" s="49" t="n"/>
      <c r="E463" s="49" t="n"/>
      <c r="F463" s="49" t="n"/>
    </row>
    <row r="464">
      <c r="B464" s="49" t="n"/>
      <c r="C464" s="49" t="n"/>
      <c r="D464" s="49" t="n"/>
      <c r="E464" s="49" t="n"/>
      <c r="F464" s="49" t="n"/>
    </row>
    <row r="465">
      <c r="B465" s="49" t="n"/>
      <c r="C465" s="49" t="n"/>
      <c r="D465" s="49" t="n"/>
      <c r="E465" s="49" t="n"/>
      <c r="F465" s="49" t="n"/>
    </row>
    <row r="466">
      <c r="B466" s="49" t="n"/>
      <c r="C466" s="49" t="n"/>
      <c r="D466" s="49" t="n"/>
      <c r="E466" s="49" t="n"/>
      <c r="F466" s="49" t="n"/>
    </row>
    <row r="467">
      <c r="B467" s="49" t="n"/>
      <c r="C467" s="49" t="n"/>
      <c r="D467" s="49" t="n"/>
      <c r="E467" s="49" t="n"/>
      <c r="F467" s="49" t="n"/>
    </row>
    <row r="468">
      <c r="B468" s="49" t="n"/>
      <c r="C468" s="49" t="n"/>
      <c r="D468" s="49" t="n"/>
      <c r="E468" s="49" t="n"/>
      <c r="F468" s="49" t="n"/>
    </row>
    <row r="469">
      <c r="B469" s="49" t="n"/>
      <c r="C469" s="49" t="n"/>
      <c r="D469" s="49" t="n"/>
      <c r="E469" s="49" t="n"/>
      <c r="F469" s="49" t="n"/>
    </row>
    <row r="470">
      <c r="B470" s="49" t="n"/>
      <c r="C470" s="49" t="n"/>
      <c r="D470" s="49" t="n"/>
      <c r="E470" s="49" t="n"/>
      <c r="F470" s="49" t="n"/>
    </row>
    <row r="471">
      <c r="B471" s="49" t="n"/>
      <c r="C471" s="49" t="n"/>
      <c r="D471" s="49" t="n"/>
      <c r="E471" s="49" t="n"/>
      <c r="F471" s="49" t="n"/>
    </row>
    <row r="472">
      <c r="B472" s="49" t="n"/>
      <c r="C472" s="49" t="n"/>
      <c r="D472" s="49" t="n"/>
      <c r="E472" s="49" t="n"/>
      <c r="F472" s="49" t="n"/>
    </row>
    <row r="473">
      <c r="B473" s="49" t="n"/>
      <c r="C473" s="49" t="n"/>
      <c r="D473" s="49" t="n"/>
      <c r="E473" s="49" t="n"/>
      <c r="F473" s="49" t="n"/>
    </row>
    <row r="474">
      <c r="B474" s="49" t="n"/>
      <c r="C474" s="49" t="n"/>
      <c r="D474" s="49" t="n"/>
      <c r="E474" s="49" t="n"/>
      <c r="F474" s="49" t="n"/>
    </row>
    <row r="475">
      <c r="B475" s="49" t="n"/>
      <c r="C475" s="49" t="n"/>
      <c r="D475" s="49" t="n"/>
      <c r="E475" s="49" t="n"/>
      <c r="F475" s="49" t="n"/>
    </row>
    <row r="476">
      <c r="B476" s="49" t="n"/>
      <c r="C476" s="49" t="n"/>
      <c r="D476" s="49" t="n"/>
      <c r="E476" s="49" t="n"/>
      <c r="F476" s="49" t="n"/>
    </row>
    <row r="477">
      <c r="B477" s="49" t="n"/>
      <c r="C477" s="49" t="n"/>
      <c r="D477" s="49" t="n"/>
      <c r="E477" s="49" t="n"/>
      <c r="F477" s="49" t="n"/>
    </row>
    <row r="478">
      <c r="B478" s="49" t="n"/>
      <c r="C478" s="49" t="n"/>
      <c r="D478" s="49" t="n"/>
      <c r="E478" s="49" t="n"/>
      <c r="F478" s="49" t="n"/>
    </row>
    <row r="479">
      <c r="B479" s="49" t="n"/>
      <c r="C479" s="49" t="n"/>
      <c r="D479" s="49" t="n"/>
      <c r="E479" s="49" t="n"/>
      <c r="F479" s="49" t="n"/>
    </row>
    <row r="480">
      <c r="B480" s="49" t="n"/>
      <c r="C480" s="49" t="n"/>
      <c r="D480" s="49" t="n"/>
      <c r="E480" s="49" t="n"/>
      <c r="F480" s="49" t="n"/>
    </row>
    <row r="481">
      <c r="B481" s="49" t="n"/>
      <c r="C481" s="49" t="n"/>
      <c r="D481" s="49" t="n"/>
      <c r="E481" s="49" t="n"/>
      <c r="F481" s="49" t="n"/>
    </row>
    <row r="482">
      <c r="B482" s="49" t="n"/>
      <c r="C482" s="49" t="n"/>
      <c r="D482" s="49" t="n"/>
      <c r="E482" s="49" t="n"/>
      <c r="F482" s="49" t="n"/>
    </row>
    <row r="483">
      <c r="B483" s="49" t="n"/>
      <c r="C483" s="49" t="n"/>
      <c r="D483" s="49" t="n"/>
      <c r="E483" s="49" t="n"/>
      <c r="F483" s="49" t="n"/>
    </row>
    <row r="484">
      <c r="B484" s="49" t="n"/>
      <c r="C484" s="49" t="n"/>
      <c r="D484" s="49" t="n"/>
      <c r="E484" s="49" t="n"/>
      <c r="F484" s="49" t="n"/>
    </row>
    <row r="485">
      <c r="B485" s="49" t="n"/>
      <c r="C485" s="49" t="n"/>
      <c r="D485" s="49" t="n"/>
      <c r="E485" s="49" t="n"/>
      <c r="F485" s="49" t="n"/>
    </row>
    <row r="486">
      <c r="B486" s="49" t="n"/>
      <c r="C486" s="49" t="n"/>
      <c r="D486" s="49" t="n"/>
      <c r="E486" s="49" t="n"/>
      <c r="F486" s="49" t="n"/>
    </row>
    <row r="487">
      <c r="B487" s="49" t="n"/>
      <c r="C487" s="49" t="n"/>
      <c r="D487" s="49" t="n"/>
      <c r="E487" s="49" t="n"/>
      <c r="F487" s="49" t="n"/>
    </row>
    <row r="488">
      <c r="B488" s="49" t="n"/>
      <c r="C488" s="49" t="n"/>
      <c r="D488" s="49" t="n"/>
      <c r="E488" s="49" t="n"/>
      <c r="F488" s="49" t="n"/>
    </row>
    <row r="489">
      <c r="B489" s="49" t="n"/>
      <c r="C489" s="49" t="n"/>
      <c r="D489" s="49" t="n"/>
      <c r="E489" s="49" t="n"/>
      <c r="F489" s="49" t="n"/>
    </row>
    <row r="490">
      <c r="B490" s="49" t="n"/>
      <c r="C490" s="49" t="n"/>
      <c r="D490" s="49" t="n"/>
      <c r="E490" s="49" t="n"/>
      <c r="F490" s="49" t="n"/>
    </row>
    <row r="491">
      <c r="B491" s="49" t="n"/>
      <c r="C491" s="49" t="n"/>
      <c r="D491" s="49" t="n"/>
      <c r="E491" s="49" t="n"/>
      <c r="F491" s="49" t="n"/>
    </row>
    <row r="492">
      <c r="B492" s="49" t="n"/>
      <c r="C492" s="49" t="n"/>
      <c r="D492" s="49" t="n"/>
      <c r="E492" s="49" t="n"/>
      <c r="F492" s="49" t="n"/>
    </row>
    <row r="493">
      <c r="B493" s="49" t="n"/>
      <c r="C493" s="49" t="n"/>
      <c r="D493" s="49" t="n"/>
      <c r="E493" s="49" t="n"/>
      <c r="F493" s="49" t="n"/>
    </row>
    <row r="494">
      <c r="B494" s="49" t="n"/>
      <c r="C494" s="49" t="n"/>
      <c r="D494" s="49" t="n"/>
      <c r="E494" s="49" t="n"/>
      <c r="F494" s="49" t="n"/>
    </row>
    <row r="495">
      <c r="B495" s="49" t="n"/>
      <c r="C495" s="49" t="n"/>
      <c r="D495" s="49" t="n"/>
      <c r="E495" s="49" t="n"/>
      <c r="F495" s="49" t="n"/>
    </row>
    <row r="496">
      <c r="B496" s="49" t="n"/>
      <c r="C496" s="49" t="n"/>
      <c r="D496" s="49" t="n"/>
      <c r="E496" s="49" t="n"/>
      <c r="F496" s="49" t="n"/>
    </row>
    <row r="497">
      <c r="B497" s="49" t="n"/>
      <c r="C497" s="49" t="n"/>
      <c r="D497" s="49" t="n"/>
      <c r="E497" s="49" t="n"/>
      <c r="F497" s="49" t="n"/>
    </row>
    <row r="498">
      <c r="B498" s="49" t="n"/>
      <c r="C498" s="49" t="n"/>
      <c r="D498" s="49" t="n"/>
      <c r="E498" s="49" t="n"/>
      <c r="F498" s="49" t="n"/>
    </row>
    <row r="499">
      <c r="B499" s="49" t="n"/>
      <c r="C499" s="49" t="n"/>
      <c r="D499" s="49" t="n"/>
      <c r="E499" s="49" t="n"/>
      <c r="F499" s="49" t="n"/>
    </row>
    <row r="500">
      <c r="B500" s="49" t="n"/>
      <c r="C500" s="49" t="n"/>
      <c r="D500" s="49" t="n"/>
      <c r="E500" s="49" t="n"/>
      <c r="F500" s="49" t="n"/>
    </row>
    <row r="501">
      <c r="B501" s="49" t="n"/>
      <c r="C501" s="49" t="n"/>
      <c r="D501" s="49" t="n"/>
      <c r="E501" s="49" t="n"/>
      <c r="F501" s="49" t="n"/>
    </row>
    <row r="502">
      <c r="B502" s="49" t="n"/>
      <c r="C502" s="49" t="n"/>
      <c r="D502" s="49" t="n"/>
      <c r="E502" s="49" t="n"/>
      <c r="F502" s="49" t="n"/>
    </row>
    <row r="503">
      <c r="B503" s="49" t="n"/>
      <c r="C503" s="49" t="n"/>
      <c r="D503" s="49" t="n"/>
      <c r="E503" s="49" t="n"/>
      <c r="F503" s="49" t="n"/>
    </row>
    <row r="504">
      <c r="B504" s="49" t="n"/>
      <c r="C504" s="49" t="n"/>
      <c r="D504" s="49" t="n"/>
      <c r="E504" s="49" t="n"/>
      <c r="F504" s="49" t="n"/>
    </row>
    <row r="505">
      <c r="B505" s="49" t="n"/>
      <c r="C505" s="49" t="n"/>
      <c r="D505" s="49" t="n"/>
      <c r="E505" s="49" t="n"/>
      <c r="F505" s="49" t="n"/>
    </row>
    <row r="506">
      <c r="B506" s="49" t="n"/>
      <c r="C506" s="49" t="n"/>
      <c r="D506" s="49" t="n"/>
      <c r="E506" s="49" t="n"/>
      <c r="F506" s="49" t="n"/>
    </row>
    <row r="507">
      <c r="B507" s="49" t="n"/>
      <c r="C507" s="49" t="n"/>
      <c r="D507" s="49" t="n"/>
      <c r="E507" s="49" t="n"/>
      <c r="F507" s="49" t="n"/>
    </row>
    <row r="508">
      <c r="B508" s="49" t="n"/>
      <c r="C508" s="49" t="n"/>
      <c r="D508" s="49" t="n"/>
      <c r="E508" s="49" t="n"/>
      <c r="F508" s="49" t="n"/>
    </row>
    <row r="509">
      <c r="B509" s="49" t="n"/>
      <c r="C509" s="49" t="n"/>
      <c r="D509" s="49" t="n"/>
      <c r="E509" s="49" t="n"/>
      <c r="F509" s="49" t="n"/>
    </row>
    <row r="510">
      <c r="B510" s="49" t="n"/>
      <c r="C510" s="49" t="n"/>
      <c r="D510" s="49" t="n"/>
      <c r="E510" s="49" t="n"/>
      <c r="F510" s="49" t="n"/>
    </row>
    <row r="511">
      <c r="B511" s="49" t="n"/>
      <c r="C511" s="49" t="n"/>
      <c r="D511" s="49" t="n"/>
      <c r="E511" s="49" t="n"/>
      <c r="F511" s="49" t="n"/>
    </row>
    <row r="512">
      <c r="B512" s="49" t="n"/>
      <c r="C512" s="49" t="n"/>
      <c r="D512" s="49" t="n"/>
      <c r="E512" s="49" t="n"/>
      <c r="F512" s="49" t="n"/>
    </row>
    <row r="513">
      <c r="B513" s="49" t="n"/>
      <c r="C513" s="49" t="n"/>
      <c r="D513" s="49" t="n"/>
      <c r="E513" s="49" t="n"/>
      <c r="F513" s="49" t="n"/>
    </row>
    <row r="514">
      <c r="B514" s="49" t="n"/>
      <c r="C514" s="49" t="n"/>
      <c r="D514" s="49" t="n"/>
      <c r="E514" s="49" t="n"/>
      <c r="F514" s="49" t="n"/>
    </row>
    <row r="515">
      <c r="B515" s="49" t="n"/>
      <c r="C515" s="49" t="n"/>
      <c r="D515" s="49" t="n"/>
      <c r="E515" s="49" t="n"/>
      <c r="F515" s="49" t="n"/>
    </row>
    <row r="516">
      <c r="B516" s="49" t="n"/>
      <c r="C516" s="49" t="n"/>
      <c r="D516" s="49" t="n"/>
      <c r="E516" s="49" t="n"/>
      <c r="F516" s="49" t="n"/>
    </row>
    <row r="517">
      <c r="B517" s="49" t="n"/>
      <c r="C517" s="49" t="n"/>
      <c r="D517" s="49" t="n"/>
      <c r="E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D17:D517">
    <cfRule type="expression" priority="3" dxfId="6">
      <formula>AND(LEN($B17&amp;$C17&amp;$D17&amp;$E17&amp;$F17)&gt;0,D17="")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egacy account" error="Choose a value of the list Legacy account (D0-09) (sheet Reference lists)." promptTitle="Legacy account" prompt="Yes. One row per account Allowed: List Legacy account (D0-09): 8 values, see Reference lists" type="list" errorStyle="stop">
      <formula1>=LIST_D0_09_LEGACY_ACCOUNT</formula1>
    </dataValidation>
    <dataValidation sqref="C17:C517" showDropDown="0" showInputMessage="1" showErrorMessage="0" allowBlank="1" promptTitle="Component" prompt="Conditional: Premium Receivable - Legacy. Component the account holds"/>
    <dataValidation sqref="D17:D517" showDropDown="0" showInputMessage="1" showErrorMessage="1" allowBlank="1" errorTitle="BIBS account code" error="The code is not in D0-06, column Account Code. Enter it there first, or keep it if it is a code BIBS already holds." promptTitle="BIBS account code" prompt="Yes. Account in the production chart Allowed: Code of an existing account of the chart of accounts" type="list" errorStyle="warning">
      <formula1>=CODES_D0_06_ACCOUNT_CODE</formula1>
    </dataValidation>
    <dataValidation sqref="E17:E517" showDropDown="0" showInputMessage="1" showErrorMessage="0" allowBlank="1" promptTitle="Legacy GL accounts" prompt="No. The legacy accounts it replaces (code map gl account)"/>
    <dataValidation sqref="F17:F517" showDropDown="0" showInputMessage="1" showErrorMessage="0" allowBlank="1" promptTitle="Remarks" prompt="No. End state after the run-off"/>
  </dataValidations>
  <hyperlinks>
    <hyperlink ref="A2" location="'Start here'!A1"/>
    <hyperlink ref="G2" location="'Questions and comments'!A1"/>
    <hyperlink ref="B8" location="'D0-06 Chart of accounts'!A1"/>
    <hyperlink ref="B14" location="'Reference lists'!A353"/>
    <hyperlink ref="D14"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4.xml><?xml version="1.0" encoding="utf-8"?>
<worksheet xmlns="http://schemas.openxmlformats.org/spreadsheetml/2006/main">
  <sheetPr>
    <tabColor rgb="00004EA8"/>
    <outlinePr summaryBelow="0" summaryRight="1"/>
    <pageSetUpPr fitToPage="1"/>
  </sheetPr>
  <dimension ref="A1:J519"/>
  <sheetViews>
    <sheetView showGridLines="0" tabSelected="0" zoomScale="90" workbookViewId="0">
      <pane xSplit="2" ySplit="18" topLeftCell="C19" activePane="bottomRight" state="frozen"/>
      <selection pane="topRight"/>
      <selection pane="bottomLeft"/>
      <selection pane="bottomRight" activeCell="A1" sqref="A1"/>
    </sheetView>
  </sheetViews>
  <sheetFormatPr baseColWidth="8" defaultRowHeight="15"/>
  <cols>
    <col width="17" customWidth="1" min="1" max="1"/>
    <col width="20" customWidth="1" min="2" max="2"/>
    <col width="28" customWidth="1" min="3" max="3"/>
    <col width="25" customWidth="1" min="4" max="4"/>
    <col width="23.63636363636363" customWidth="1" min="5" max="5"/>
    <col width="23.63636363636363" customWidth="1" min="6" max="6"/>
    <col width="23.63636363636363" customWidth="1" min="7" max="7"/>
    <col width="18" customWidth="1" min="8" max="8"/>
    <col width="19" customWidth="1" min="9" max="9"/>
    <col width="20" customWidth="1" min="10" max="10"/>
  </cols>
  <sheetData>
    <row r="1" ht="26" customHeight="1">
      <c r="A1" s="25" t="inlineStr">
        <is>
          <t>D0-15 Approval limits and matrices</t>
        </is>
      </c>
      <c r="J1" s="26" t="inlineStr">
        <is>
          <t>Step 32 of 52</t>
        </is>
      </c>
    </row>
    <row r="2">
      <c r="A2" s="27" t="inlineStr">
        <is>
          <t>← Back to Start here</t>
        </is>
      </c>
      <c r="B2" s="28" t="inlineStr">
        <is>
          <t>Step 32 of 52. Fill in one row per record below the column headers; the guide above each column says what to enter.</t>
        </is>
      </c>
      <c r="J2" s="29" t="inlineStr">
        <is>
          <t>Ask a question →</t>
        </is>
      </c>
    </row>
    <row r="3" outlineLevel="1" ht="15.5" customHeight="1">
      <c r="A3" s="30" t="inlineStr">
        <is>
          <t>Purpose</t>
        </is>
      </c>
      <c r="B3" s="31" t="inlineStr">
        <is>
          <t>The approval levels by amount, sum insured or segment of the modules that approve by level</t>
        </is>
      </c>
    </row>
    <row r="4" outlineLevel="1" ht="15.5" customHeight="1">
      <c r="A4" s="30" t="inlineStr">
        <is>
          <t>Provided by</t>
        </is>
      </c>
      <c r="B4" s="31" t="inlineStr">
        <is>
          <t>Owners of the modules; Head, Comptrollership for the amounts</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Client &amp; Policy › Submitted Policies › Submitted Policies Setup or Client &amp; Policy › Employee Benefits › EB Setup,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UA-02 Role-to-permission matrix →</t>
        </is>
      </c>
      <c r="D8" s="53" t="inlineStr">
        <is>
          <t>UA-01 Users and roles load →</t>
        </is>
      </c>
    </row>
    <row r="9" outlineLevel="1" ht="15.5" customHeight="1">
      <c r="A9" s="30" t="inlineStr">
        <is>
          <t>Approver role</t>
        </is>
      </c>
      <c r="B9" s="31" t="inlineStr">
        <is>
          <t>Give the permission that the approvers of the level hold (a permission of the role matrix UA-02, for example SBM_PROCESS), not a group profile: the upload checks the permission</t>
        </is>
      </c>
    </row>
    <row r="10" outlineLevel="1" ht="28" customHeight="1">
      <c r="A10" s="30" t="inlineStr">
        <is>
          <t>Refused rows</t>
        </is>
      </c>
      <c r="B10" s="31" t="inlineStr">
        <is>
          <t>Rows of the modules Sanction Screening and Disbursement are refused by the upload: the approval routes of Sanction Screening are set in a draft configuration version on Compliance Setup, and disbursements follow the authorisation limit of the user (UA-03). Give those values in a BDOI comment; the configuration team sets them on those screens</t>
        </is>
      </c>
    </row>
    <row r="11" ht="26" customHeight="1">
      <c r="A11" s="34" t="inlineStr">
        <is>
          <t>Progress</t>
        </is>
      </c>
      <c r="B11" s="35" t="inlineStr">
        <is>
          <t>Rows entered</t>
        </is>
      </c>
      <c r="C11" s="36">
        <f>SUMPRODUCT(((ROW($B$19:$B$519)&gt;19)+($B$19&lt;&gt;"Submitted Policies")&gt;0)*(LEN($B$19:$B$519&amp;$C$19:$C$519&amp;$D$19:$D$519&amp;$E$19:$E$519&amp;$F$19:$F$519&amp;$G$19:$G$519&amp;$H$19:$H$519&amp;$I$19:$I$519&amp;$J$19:$J$519)&gt;0))</f>
        <v/>
      </c>
      <c r="D11" s="35" t="inlineStr">
        <is>
          <t>Mandatory cells missing</t>
        </is>
      </c>
      <c r="E11" s="36">
        <f>SUMPRODUCT(((ROW($B$19:$B$519)&gt;19)+($B$19&lt;&gt;"Submitted Policies")&gt;0)*(LEN($B$19:$B$519&amp;$C$19:$C$519&amp;$D$19:$D$519&amp;$E$19:$E$519&amp;$F$19:$F$519&amp;$G$19:$G$519&amp;$H$19:$H$519&amp;$I$19:$I$519&amp;$J$19:$J$519)&gt;0)*(($B$19:$B$519="")+($C$19:$C$519="")+($G$19:$G$519="")+($H$19:$H$519="")))</f>
        <v/>
      </c>
    </row>
    <row r="12" ht="26" customHeight="1">
      <c r="A12" s="37" t="inlineStr">
        <is>
          <t>Confirmed by (BDOI owner)</t>
        </is>
      </c>
      <c r="B12" s="38" t="n"/>
      <c r="C12" s="38" t="n"/>
      <c r="D12" s="35" t="inlineStr">
        <is>
          <t>Date</t>
        </is>
      </c>
      <c r="E12" s="39" t="n"/>
    </row>
    <row r="13" ht="6" customHeight="1">
      <c r="A13" s="40" t="n"/>
      <c r="B13" s="40" t="n"/>
      <c r="C13" s="40" t="n"/>
      <c r="D13" s="40" t="n"/>
      <c r="E13" s="40" t="n"/>
      <c r="F13" s="40" t="n"/>
      <c r="G13" s="40" t="n"/>
      <c r="H13" s="40" t="n"/>
      <c r="I13" s="40" t="n"/>
      <c r="J13" s="40" t="n"/>
    </row>
    <row r="14" ht="17" customHeight="1">
      <c r="A14" s="41" t="inlineStr">
        <is>
          <t>Mandatory</t>
        </is>
      </c>
      <c r="B14" s="42" t="inlineStr">
        <is>
          <t>Yes</t>
        </is>
      </c>
      <c r="C14" s="42" t="inlineStr">
        <is>
          <t>Yes</t>
        </is>
      </c>
      <c r="D14" s="43" t="inlineStr">
        <is>
          <t>No</t>
        </is>
      </c>
      <c r="E14" s="43" t="inlineStr">
        <is>
          <t>No</t>
        </is>
      </c>
      <c r="F14" s="43" t="inlineStr">
        <is>
          <t>No</t>
        </is>
      </c>
      <c r="G14" s="42" t="inlineStr">
        <is>
          <t>Yes</t>
        </is>
      </c>
      <c r="H14" s="42" t="inlineStr">
        <is>
          <t>Yes</t>
        </is>
      </c>
      <c r="I14" s="43" t="inlineStr">
        <is>
          <t>No</t>
        </is>
      </c>
      <c r="J14" s="43" t="inlineStr">
        <is>
          <t>No</t>
        </is>
      </c>
    </row>
    <row r="15" ht="30" customHeight="1">
      <c r="A15" s="41" t="inlineStr">
        <is>
          <t>Format</t>
        </is>
      </c>
      <c r="B15" s="43" t="inlineStr">
        <is>
          <t>Code from the drop-down</t>
        </is>
      </c>
      <c r="C15" s="43" t="inlineStr">
        <is>
          <t>Text</t>
        </is>
      </c>
      <c r="D15" s="43" t="inlineStr">
        <is>
          <t>Text</t>
        </is>
      </c>
      <c r="E15" s="43" t="inlineStr">
        <is>
          <t>Number without thousands separators, e.g. 1500000.50</t>
        </is>
      </c>
      <c r="F15" s="43" t="inlineStr">
        <is>
          <t>Number without thousands separators, e.g. 1500000.50</t>
        </is>
      </c>
      <c r="G15" s="43" t="inlineStr">
        <is>
          <t>Number without thousands separators, e.g. 1500000.50</t>
        </is>
      </c>
      <c r="H15" s="43" t="inlineStr">
        <is>
          <t>Text</t>
        </is>
      </c>
      <c r="I15" s="43" t="inlineStr">
        <is>
          <t>Text</t>
        </is>
      </c>
      <c r="J15" s="43" t="inlineStr">
        <is>
          <t>Text</t>
        </is>
      </c>
    </row>
    <row r="16" ht="69" customHeight="1">
      <c r="A16" s="41" t="inlineStr">
        <is>
          <t>Allowed values</t>
        </is>
      </c>
      <c r="B16" s="51" t="inlineStr">
        <is>
          <t>Submitted Policies, Employee Benefits, Sanction Screening, Disbursement (list Module (D0-15))</t>
        </is>
      </c>
      <c r="C16" s="43" t="inlineStr">
        <is>
          <t>IAAF or Terms of reference; for Employee Benefits: Sum insured or Annual premium</t>
        </is>
      </c>
      <c r="D16" s="43" t="inlineStr">
        <is>
          <t>Free entry</t>
        </is>
      </c>
      <c r="E16" s="43" t="inlineStr">
        <is>
          <t>A number</t>
        </is>
      </c>
      <c r="F16" s="43" t="inlineStr">
        <is>
          <t>A number</t>
        </is>
      </c>
      <c r="G16" s="43" t="inlineStr">
        <is>
          <t>A whole number from 1 to 9</t>
        </is>
      </c>
      <c r="H16" s="43" t="inlineStr">
        <is>
          <t>A permission of the role matrix (UA-02)</t>
        </is>
      </c>
      <c r="I16" s="51" t="inlineStr">
        <is>
          <t>A code of UA-01 Users and roles load, column User ID</t>
        </is>
      </c>
      <c r="J16" s="43" t="inlineStr">
        <is>
          <t>Free entry</t>
        </is>
      </c>
    </row>
    <row r="17" ht="43" customHeight="1">
      <c r="A17" s="41" t="inlineStr">
        <is>
          <t>What to enter</t>
        </is>
      </c>
      <c r="B17" s="43" t="inlineStr">
        <is>
          <t>Module of the approval</t>
        </is>
      </c>
      <c r="C17" s="43" t="inlineStr">
        <is>
          <t>What is approved</t>
        </is>
      </c>
      <c r="D17" s="43" t="inlineStr">
        <is>
          <t>Segment or benefit line of the row</t>
        </is>
      </c>
      <c r="E17" s="43" t="inlineStr">
        <is>
          <t>Lower bound (sum insured, premium or amount)</t>
        </is>
      </c>
      <c r="F17" s="43" t="inlineStr">
        <is>
          <t>Upper bound; blank = no limit</t>
        </is>
      </c>
      <c r="G17" s="43" t="inlineStr">
        <is>
          <t>Order of the approval</t>
        </is>
      </c>
      <c r="H17" s="43" t="inlineStr">
        <is>
          <t>Permission held by the approvers of the level</t>
        </is>
      </c>
      <c r="I17" s="43" t="inlineStr">
        <is>
          <t>User ID, only when one person approves</t>
        </is>
      </c>
      <c r="J17" s="43" t="inlineStr">
        <is>
          <t>Title printed on the document</t>
        </is>
      </c>
    </row>
    <row r="18" ht="30" customHeight="1">
      <c r="A18" s="44" t="inlineStr">
        <is>
          <t>Row</t>
        </is>
      </c>
      <c r="B18" s="45" t="inlineStr">
        <is>
          <t>Module *</t>
        </is>
      </c>
      <c r="C18" s="45" t="inlineStr">
        <is>
          <t>Document or transaction *</t>
        </is>
      </c>
      <c r="D18" s="45" t="inlineStr">
        <is>
          <t>Segment or case type</t>
        </is>
      </c>
      <c r="E18" s="45" t="inlineStr">
        <is>
          <t>From amount</t>
        </is>
      </c>
      <c r="F18" s="45" t="inlineStr">
        <is>
          <t>To amount</t>
        </is>
      </c>
      <c r="G18" s="45" t="inlineStr">
        <is>
          <t>Approval level *</t>
        </is>
      </c>
      <c r="H18" s="45" t="inlineStr">
        <is>
          <t>Approver role *</t>
        </is>
      </c>
      <c r="I18" s="45" t="inlineStr">
        <is>
          <t>Named approver</t>
        </is>
      </c>
      <c r="J18" s="45" t="inlineStr">
        <is>
          <t>Signatory title</t>
        </is>
      </c>
    </row>
    <row r="19" ht="18" customHeight="1">
      <c r="A19" s="46" t="inlineStr">
        <is>
          <t>Example – overwrite or delete</t>
        </is>
      </c>
      <c r="B19" s="47" t="inlineStr">
        <is>
          <t>Submitted Policies</t>
        </is>
      </c>
      <c r="C19" s="47" t="inlineStr">
        <is>
          <t>Terms of reference</t>
        </is>
      </c>
      <c r="D19" s="47" t="inlineStr">
        <is>
          <t>CBG</t>
        </is>
      </c>
      <c r="E19" s="52" t="n">
        <v>0</v>
      </c>
      <c r="F19" s="52" t="n">
        <v>10000000</v>
      </c>
      <c r="G19" s="52" t="n">
        <v>1</v>
      </c>
      <c r="H19" s="47" t="inlineStr">
        <is>
          <t>SBM_PROCESS</t>
        </is>
      </c>
      <c r="I19" s="47" t="n"/>
      <c r="J19" s="47" t="inlineStr">
        <is>
          <t>Unit Head, Combank</t>
        </is>
      </c>
    </row>
    <row r="20">
      <c r="B20" s="49" t="n"/>
      <c r="C20" s="49" t="n"/>
      <c r="D20" s="49" t="n"/>
      <c r="H20" s="49" t="n"/>
      <c r="I20" s="49" t="n"/>
      <c r="J20" s="49" t="n"/>
    </row>
    <row r="21">
      <c r="B21" s="49" t="n"/>
      <c r="C21" s="49" t="n"/>
      <c r="D21" s="49" t="n"/>
      <c r="H21" s="49" t="n"/>
      <c r="I21" s="49" t="n"/>
      <c r="J21" s="49" t="n"/>
    </row>
    <row r="22">
      <c r="B22" s="49" t="n"/>
      <c r="C22" s="49" t="n"/>
      <c r="D22" s="49" t="n"/>
      <c r="H22" s="49" t="n"/>
      <c r="I22" s="49" t="n"/>
      <c r="J22" s="49" t="n"/>
    </row>
    <row r="23">
      <c r="B23" s="49" t="n"/>
      <c r="C23" s="49" t="n"/>
      <c r="D23" s="49" t="n"/>
      <c r="H23" s="49" t="n"/>
      <c r="I23" s="49" t="n"/>
      <c r="J23" s="49" t="n"/>
    </row>
    <row r="24">
      <c r="B24" s="49" t="n"/>
      <c r="C24" s="49" t="n"/>
      <c r="D24" s="49" t="n"/>
      <c r="H24" s="49" t="n"/>
      <c r="I24" s="49" t="n"/>
      <c r="J24" s="49" t="n"/>
    </row>
    <row r="25">
      <c r="B25" s="49" t="n"/>
      <c r="C25" s="49" t="n"/>
      <c r="D25" s="49" t="n"/>
      <c r="H25" s="49" t="n"/>
      <c r="I25" s="49" t="n"/>
      <c r="J25" s="49" t="n"/>
    </row>
    <row r="26">
      <c r="B26" s="49" t="n"/>
      <c r="C26" s="49" t="n"/>
      <c r="D26" s="49" t="n"/>
      <c r="H26" s="49" t="n"/>
      <c r="I26" s="49" t="n"/>
      <c r="J26" s="49" t="n"/>
    </row>
    <row r="27">
      <c r="B27" s="49" t="n"/>
      <c r="C27" s="49" t="n"/>
      <c r="D27" s="49" t="n"/>
      <c r="H27" s="49" t="n"/>
      <c r="I27" s="49" t="n"/>
      <c r="J27" s="49" t="n"/>
    </row>
    <row r="28">
      <c r="B28" s="49" t="n"/>
      <c r="C28" s="49" t="n"/>
      <c r="D28" s="49" t="n"/>
      <c r="H28" s="49" t="n"/>
      <c r="I28" s="49" t="n"/>
      <c r="J28" s="49" t="n"/>
    </row>
    <row r="29">
      <c r="B29" s="49" t="n"/>
      <c r="C29" s="49" t="n"/>
      <c r="D29" s="49" t="n"/>
      <c r="H29" s="49" t="n"/>
      <c r="I29" s="49" t="n"/>
      <c r="J29" s="49" t="n"/>
    </row>
    <row r="30">
      <c r="B30" s="49" t="n"/>
      <c r="C30" s="49" t="n"/>
      <c r="D30" s="49" t="n"/>
      <c r="H30" s="49" t="n"/>
      <c r="I30" s="49" t="n"/>
      <c r="J30" s="49" t="n"/>
    </row>
    <row r="31">
      <c r="B31" s="49" t="n"/>
      <c r="C31" s="49" t="n"/>
      <c r="D31" s="49" t="n"/>
      <c r="H31" s="49" t="n"/>
      <c r="I31" s="49" t="n"/>
      <c r="J31" s="49" t="n"/>
    </row>
    <row r="32">
      <c r="B32" s="49" t="n"/>
      <c r="C32" s="49" t="n"/>
      <c r="D32" s="49" t="n"/>
      <c r="H32" s="49" t="n"/>
      <c r="I32" s="49" t="n"/>
      <c r="J32" s="49" t="n"/>
    </row>
    <row r="33">
      <c r="B33" s="49" t="n"/>
      <c r="C33" s="49" t="n"/>
      <c r="D33" s="49" t="n"/>
      <c r="H33" s="49" t="n"/>
      <c r="I33" s="49" t="n"/>
      <c r="J33" s="49" t="n"/>
    </row>
    <row r="34">
      <c r="B34" s="49" t="n"/>
      <c r="C34" s="49" t="n"/>
      <c r="D34" s="49" t="n"/>
      <c r="H34" s="49" t="n"/>
      <c r="I34" s="49" t="n"/>
      <c r="J34" s="49" t="n"/>
    </row>
    <row r="35">
      <c r="B35" s="49" t="n"/>
      <c r="C35" s="49" t="n"/>
      <c r="D35" s="49" t="n"/>
      <c r="H35" s="49" t="n"/>
      <c r="I35" s="49" t="n"/>
      <c r="J35" s="49" t="n"/>
    </row>
    <row r="36">
      <c r="B36" s="49" t="n"/>
      <c r="C36" s="49" t="n"/>
      <c r="D36" s="49" t="n"/>
      <c r="H36" s="49" t="n"/>
      <c r="I36" s="49" t="n"/>
      <c r="J36" s="49" t="n"/>
    </row>
    <row r="37">
      <c r="B37" s="49" t="n"/>
      <c r="C37" s="49" t="n"/>
      <c r="D37" s="49" t="n"/>
      <c r="H37" s="49" t="n"/>
      <c r="I37" s="49" t="n"/>
      <c r="J37" s="49" t="n"/>
    </row>
    <row r="38">
      <c r="B38" s="49" t="n"/>
      <c r="C38" s="49" t="n"/>
      <c r="D38" s="49" t="n"/>
      <c r="H38" s="49" t="n"/>
      <c r="I38" s="49" t="n"/>
      <c r="J38" s="49" t="n"/>
    </row>
    <row r="39">
      <c r="B39" s="49" t="n"/>
      <c r="C39" s="49" t="n"/>
      <c r="D39" s="49" t="n"/>
      <c r="H39" s="49" t="n"/>
      <c r="I39" s="49" t="n"/>
      <c r="J39" s="49" t="n"/>
    </row>
    <row r="40">
      <c r="B40" s="49" t="n"/>
      <c r="C40" s="49" t="n"/>
      <c r="D40" s="49" t="n"/>
      <c r="H40" s="49" t="n"/>
      <c r="I40" s="49" t="n"/>
      <c r="J40" s="49" t="n"/>
    </row>
    <row r="41">
      <c r="B41" s="49" t="n"/>
      <c r="C41" s="49" t="n"/>
      <c r="D41" s="49" t="n"/>
      <c r="H41" s="49" t="n"/>
      <c r="I41" s="49" t="n"/>
      <c r="J41" s="49" t="n"/>
    </row>
    <row r="42">
      <c r="B42" s="49" t="n"/>
      <c r="C42" s="49" t="n"/>
      <c r="D42" s="49" t="n"/>
      <c r="H42" s="49" t="n"/>
      <c r="I42" s="49" t="n"/>
      <c r="J42" s="49" t="n"/>
    </row>
    <row r="43">
      <c r="B43" s="49" t="n"/>
      <c r="C43" s="49" t="n"/>
      <c r="D43" s="49" t="n"/>
      <c r="H43" s="49" t="n"/>
      <c r="I43" s="49" t="n"/>
      <c r="J43" s="49" t="n"/>
    </row>
    <row r="44">
      <c r="B44" s="49" t="n"/>
      <c r="C44" s="49" t="n"/>
      <c r="D44" s="49" t="n"/>
      <c r="H44" s="49" t="n"/>
      <c r="I44" s="49" t="n"/>
      <c r="J44" s="49" t="n"/>
    </row>
    <row r="45">
      <c r="B45" s="49" t="n"/>
      <c r="C45" s="49" t="n"/>
      <c r="D45" s="49" t="n"/>
      <c r="H45" s="49" t="n"/>
      <c r="I45" s="49" t="n"/>
      <c r="J45" s="49" t="n"/>
    </row>
    <row r="46">
      <c r="B46" s="49" t="n"/>
      <c r="C46" s="49" t="n"/>
      <c r="D46" s="49" t="n"/>
      <c r="H46" s="49" t="n"/>
      <c r="I46" s="49" t="n"/>
      <c r="J46" s="49" t="n"/>
    </row>
    <row r="47">
      <c r="B47" s="49" t="n"/>
      <c r="C47" s="49" t="n"/>
      <c r="D47" s="49" t="n"/>
      <c r="H47" s="49" t="n"/>
      <c r="I47" s="49" t="n"/>
      <c r="J47" s="49" t="n"/>
    </row>
    <row r="48">
      <c r="B48" s="49" t="n"/>
      <c r="C48" s="49" t="n"/>
      <c r="D48" s="49" t="n"/>
      <c r="H48" s="49" t="n"/>
      <c r="I48" s="49" t="n"/>
      <c r="J48" s="49" t="n"/>
    </row>
    <row r="49">
      <c r="B49" s="49" t="n"/>
      <c r="C49" s="49" t="n"/>
      <c r="D49" s="49" t="n"/>
      <c r="H49" s="49" t="n"/>
      <c r="I49" s="49" t="n"/>
      <c r="J49" s="49" t="n"/>
    </row>
    <row r="50">
      <c r="B50" s="49" t="n"/>
      <c r="C50" s="49" t="n"/>
      <c r="D50" s="49" t="n"/>
      <c r="H50" s="49" t="n"/>
      <c r="I50" s="49" t="n"/>
      <c r="J50" s="49" t="n"/>
    </row>
    <row r="51">
      <c r="B51" s="49" t="n"/>
      <c r="C51" s="49" t="n"/>
      <c r="D51" s="49" t="n"/>
      <c r="H51" s="49" t="n"/>
      <c r="I51" s="49" t="n"/>
      <c r="J51" s="49" t="n"/>
    </row>
    <row r="52">
      <c r="B52" s="49" t="n"/>
      <c r="C52" s="49" t="n"/>
      <c r="D52" s="49" t="n"/>
      <c r="H52" s="49" t="n"/>
      <c r="I52" s="49" t="n"/>
      <c r="J52" s="49" t="n"/>
    </row>
    <row r="53">
      <c r="B53" s="49" t="n"/>
      <c r="C53" s="49" t="n"/>
      <c r="D53" s="49" t="n"/>
      <c r="H53" s="49" t="n"/>
      <c r="I53" s="49" t="n"/>
      <c r="J53" s="49" t="n"/>
    </row>
    <row r="54">
      <c r="B54" s="49" t="n"/>
      <c r="C54" s="49" t="n"/>
      <c r="D54" s="49" t="n"/>
      <c r="H54" s="49" t="n"/>
      <c r="I54" s="49" t="n"/>
      <c r="J54" s="49" t="n"/>
    </row>
    <row r="55">
      <c r="B55" s="49" t="n"/>
      <c r="C55" s="49" t="n"/>
      <c r="D55" s="49" t="n"/>
      <c r="H55" s="49" t="n"/>
      <c r="I55" s="49" t="n"/>
      <c r="J55" s="49" t="n"/>
    </row>
    <row r="56">
      <c r="B56" s="49" t="n"/>
      <c r="C56" s="49" t="n"/>
      <c r="D56" s="49" t="n"/>
      <c r="H56" s="49" t="n"/>
      <c r="I56" s="49" t="n"/>
      <c r="J56" s="49" t="n"/>
    </row>
    <row r="57">
      <c r="B57" s="49" t="n"/>
      <c r="C57" s="49" t="n"/>
      <c r="D57" s="49" t="n"/>
      <c r="H57" s="49" t="n"/>
      <c r="I57" s="49" t="n"/>
      <c r="J57" s="49" t="n"/>
    </row>
    <row r="58">
      <c r="B58" s="49" t="n"/>
      <c r="C58" s="49" t="n"/>
      <c r="D58" s="49" t="n"/>
      <c r="H58" s="49" t="n"/>
      <c r="I58" s="49" t="n"/>
      <c r="J58" s="49" t="n"/>
    </row>
    <row r="59">
      <c r="B59" s="49" t="n"/>
      <c r="C59" s="49" t="n"/>
      <c r="D59" s="49" t="n"/>
      <c r="H59" s="49" t="n"/>
      <c r="I59" s="49" t="n"/>
      <c r="J59" s="49" t="n"/>
    </row>
    <row r="60">
      <c r="B60" s="49" t="n"/>
      <c r="C60" s="49" t="n"/>
      <c r="D60" s="49" t="n"/>
      <c r="H60" s="49" t="n"/>
      <c r="I60" s="49" t="n"/>
      <c r="J60" s="49" t="n"/>
    </row>
    <row r="61">
      <c r="B61" s="49" t="n"/>
      <c r="C61" s="49" t="n"/>
      <c r="D61" s="49" t="n"/>
      <c r="H61" s="49" t="n"/>
      <c r="I61" s="49" t="n"/>
      <c r="J61" s="49" t="n"/>
    </row>
    <row r="62">
      <c r="B62" s="49" t="n"/>
      <c r="C62" s="49" t="n"/>
      <c r="D62" s="49" t="n"/>
      <c r="H62" s="49" t="n"/>
      <c r="I62" s="49" t="n"/>
      <c r="J62" s="49" t="n"/>
    </row>
    <row r="63">
      <c r="B63" s="49" t="n"/>
      <c r="C63" s="49" t="n"/>
      <c r="D63" s="49" t="n"/>
      <c r="H63" s="49" t="n"/>
      <c r="I63" s="49" t="n"/>
      <c r="J63" s="49" t="n"/>
    </row>
    <row r="64">
      <c r="B64" s="49" t="n"/>
      <c r="C64" s="49" t="n"/>
      <c r="D64" s="49" t="n"/>
      <c r="H64" s="49" t="n"/>
      <c r="I64" s="49" t="n"/>
      <c r="J64" s="49" t="n"/>
    </row>
    <row r="65">
      <c r="B65" s="49" t="n"/>
      <c r="C65" s="49" t="n"/>
      <c r="D65" s="49" t="n"/>
      <c r="H65" s="49" t="n"/>
      <c r="I65" s="49" t="n"/>
      <c r="J65" s="49" t="n"/>
    </row>
    <row r="66">
      <c r="B66" s="49" t="n"/>
      <c r="C66" s="49" t="n"/>
      <c r="D66" s="49" t="n"/>
      <c r="H66" s="49" t="n"/>
      <c r="I66" s="49" t="n"/>
      <c r="J66" s="49" t="n"/>
    </row>
    <row r="67">
      <c r="B67" s="49" t="n"/>
      <c r="C67" s="49" t="n"/>
      <c r="D67" s="49" t="n"/>
      <c r="H67" s="49" t="n"/>
      <c r="I67" s="49" t="n"/>
      <c r="J67" s="49" t="n"/>
    </row>
    <row r="68">
      <c r="B68" s="49" t="n"/>
      <c r="C68" s="49" t="n"/>
      <c r="D68" s="49" t="n"/>
      <c r="H68" s="49" t="n"/>
      <c r="I68" s="49" t="n"/>
      <c r="J68" s="49" t="n"/>
    </row>
    <row r="69">
      <c r="B69" s="49" t="n"/>
      <c r="C69" s="49" t="n"/>
      <c r="D69" s="49" t="n"/>
      <c r="H69" s="49" t="n"/>
      <c r="I69" s="49" t="n"/>
      <c r="J69" s="49" t="n"/>
    </row>
    <row r="70">
      <c r="B70" s="49" t="n"/>
      <c r="C70" s="49" t="n"/>
      <c r="D70" s="49" t="n"/>
      <c r="H70" s="49" t="n"/>
      <c r="I70" s="49" t="n"/>
      <c r="J70" s="49" t="n"/>
    </row>
    <row r="71">
      <c r="B71" s="49" t="n"/>
      <c r="C71" s="49" t="n"/>
      <c r="D71" s="49" t="n"/>
      <c r="H71" s="49" t="n"/>
      <c r="I71" s="49" t="n"/>
      <c r="J71" s="49" t="n"/>
    </row>
    <row r="72">
      <c r="B72" s="49" t="n"/>
      <c r="C72" s="49" t="n"/>
      <c r="D72" s="49" t="n"/>
      <c r="H72" s="49" t="n"/>
      <c r="I72" s="49" t="n"/>
      <c r="J72" s="49" t="n"/>
    </row>
    <row r="73">
      <c r="B73" s="49" t="n"/>
      <c r="C73" s="49" t="n"/>
      <c r="D73" s="49" t="n"/>
      <c r="H73" s="49" t="n"/>
      <c r="I73" s="49" t="n"/>
      <c r="J73" s="49" t="n"/>
    </row>
    <row r="74">
      <c r="B74" s="49" t="n"/>
      <c r="C74" s="49" t="n"/>
      <c r="D74" s="49" t="n"/>
      <c r="H74" s="49" t="n"/>
      <c r="I74" s="49" t="n"/>
      <c r="J74" s="49" t="n"/>
    </row>
    <row r="75">
      <c r="B75" s="49" t="n"/>
      <c r="C75" s="49" t="n"/>
      <c r="D75" s="49" t="n"/>
      <c r="H75" s="49" t="n"/>
      <c r="I75" s="49" t="n"/>
      <c r="J75" s="49" t="n"/>
    </row>
    <row r="76">
      <c r="B76" s="49" t="n"/>
      <c r="C76" s="49" t="n"/>
      <c r="D76" s="49" t="n"/>
      <c r="H76" s="49" t="n"/>
      <c r="I76" s="49" t="n"/>
      <c r="J76" s="49" t="n"/>
    </row>
    <row r="77">
      <c r="B77" s="49" t="n"/>
      <c r="C77" s="49" t="n"/>
      <c r="D77" s="49" t="n"/>
      <c r="H77" s="49" t="n"/>
      <c r="I77" s="49" t="n"/>
      <c r="J77" s="49" t="n"/>
    </row>
    <row r="78">
      <c r="B78" s="49" t="n"/>
      <c r="C78" s="49" t="n"/>
      <c r="D78" s="49" t="n"/>
      <c r="H78" s="49" t="n"/>
      <c r="I78" s="49" t="n"/>
      <c r="J78" s="49" t="n"/>
    </row>
    <row r="79">
      <c r="B79" s="49" t="n"/>
      <c r="C79" s="49" t="n"/>
      <c r="D79" s="49" t="n"/>
      <c r="H79" s="49" t="n"/>
      <c r="I79" s="49" t="n"/>
      <c r="J79" s="49" t="n"/>
    </row>
    <row r="80">
      <c r="B80" s="49" t="n"/>
      <c r="C80" s="49" t="n"/>
      <c r="D80" s="49" t="n"/>
      <c r="H80" s="49" t="n"/>
      <c r="I80" s="49" t="n"/>
      <c r="J80" s="49" t="n"/>
    </row>
    <row r="81">
      <c r="B81" s="49" t="n"/>
      <c r="C81" s="49" t="n"/>
      <c r="D81" s="49" t="n"/>
      <c r="H81" s="49" t="n"/>
      <c r="I81" s="49" t="n"/>
      <c r="J81" s="49" t="n"/>
    </row>
    <row r="82">
      <c r="B82" s="49" t="n"/>
      <c r="C82" s="49" t="n"/>
      <c r="D82" s="49" t="n"/>
      <c r="H82" s="49" t="n"/>
      <c r="I82" s="49" t="n"/>
      <c r="J82" s="49" t="n"/>
    </row>
    <row r="83">
      <c r="B83" s="49" t="n"/>
      <c r="C83" s="49" t="n"/>
      <c r="D83" s="49" t="n"/>
      <c r="H83" s="49" t="n"/>
      <c r="I83" s="49" t="n"/>
      <c r="J83" s="49" t="n"/>
    </row>
    <row r="84">
      <c r="B84" s="49" t="n"/>
      <c r="C84" s="49" t="n"/>
      <c r="D84" s="49" t="n"/>
      <c r="H84" s="49" t="n"/>
      <c r="I84" s="49" t="n"/>
      <c r="J84" s="49" t="n"/>
    </row>
    <row r="85">
      <c r="B85" s="49" t="n"/>
      <c r="C85" s="49" t="n"/>
      <c r="D85" s="49" t="n"/>
      <c r="H85" s="49" t="n"/>
      <c r="I85" s="49" t="n"/>
      <c r="J85" s="49" t="n"/>
    </row>
    <row r="86">
      <c r="B86" s="49" t="n"/>
      <c r="C86" s="49" t="n"/>
      <c r="D86" s="49" t="n"/>
      <c r="H86" s="49" t="n"/>
      <c r="I86" s="49" t="n"/>
      <c r="J86" s="49" t="n"/>
    </row>
    <row r="87">
      <c r="B87" s="49" t="n"/>
      <c r="C87" s="49" t="n"/>
      <c r="D87" s="49" t="n"/>
      <c r="H87" s="49" t="n"/>
      <c r="I87" s="49" t="n"/>
      <c r="J87" s="49" t="n"/>
    </row>
    <row r="88">
      <c r="B88" s="49" t="n"/>
      <c r="C88" s="49" t="n"/>
      <c r="D88" s="49" t="n"/>
      <c r="H88" s="49" t="n"/>
      <c r="I88" s="49" t="n"/>
      <c r="J88" s="49" t="n"/>
    </row>
    <row r="89">
      <c r="B89" s="49" t="n"/>
      <c r="C89" s="49" t="n"/>
      <c r="D89" s="49" t="n"/>
      <c r="H89" s="49" t="n"/>
      <c r="I89" s="49" t="n"/>
      <c r="J89" s="49" t="n"/>
    </row>
    <row r="90">
      <c r="B90" s="49" t="n"/>
      <c r="C90" s="49" t="n"/>
      <c r="D90" s="49" t="n"/>
      <c r="H90" s="49" t="n"/>
      <c r="I90" s="49" t="n"/>
      <c r="J90" s="49" t="n"/>
    </row>
    <row r="91">
      <c r="B91" s="49" t="n"/>
      <c r="C91" s="49" t="n"/>
      <c r="D91" s="49" t="n"/>
      <c r="H91" s="49" t="n"/>
      <c r="I91" s="49" t="n"/>
      <c r="J91" s="49" t="n"/>
    </row>
    <row r="92">
      <c r="B92" s="49" t="n"/>
      <c r="C92" s="49" t="n"/>
      <c r="D92" s="49" t="n"/>
      <c r="H92" s="49" t="n"/>
      <c r="I92" s="49" t="n"/>
      <c r="J92" s="49" t="n"/>
    </row>
    <row r="93">
      <c r="B93" s="49" t="n"/>
      <c r="C93" s="49" t="n"/>
      <c r="D93" s="49" t="n"/>
      <c r="H93" s="49" t="n"/>
      <c r="I93" s="49" t="n"/>
      <c r="J93" s="49" t="n"/>
    </row>
    <row r="94">
      <c r="B94" s="49" t="n"/>
      <c r="C94" s="49" t="n"/>
      <c r="D94" s="49" t="n"/>
      <c r="H94" s="49" t="n"/>
      <c r="I94" s="49" t="n"/>
      <c r="J94" s="49" t="n"/>
    </row>
    <row r="95">
      <c r="B95" s="49" t="n"/>
      <c r="C95" s="49" t="n"/>
      <c r="D95" s="49" t="n"/>
      <c r="H95" s="49" t="n"/>
      <c r="I95" s="49" t="n"/>
      <c r="J95" s="49" t="n"/>
    </row>
    <row r="96">
      <c r="B96" s="49" t="n"/>
      <c r="C96" s="49" t="n"/>
      <c r="D96" s="49" t="n"/>
      <c r="H96" s="49" t="n"/>
      <c r="I96" s="49" t="n"/>
      <c r="J96" s="49" t="n"/>
    </row>
    <row r="97">
      <c r="B97" s="49" t="n"/>
      <c r="C97" s="49" t="n"/>
      <c r="D97" s="49" t="n"/>
      <c r="H97" s="49" t="n"/>
      <c r="I97" s="49" t="n"/>
      <c r="J97" s="49" t="n"/>
    </row>
    <row r="98">
      <c r="B98" s="49" t="n"/>
      <c r="C98" s="49" t="n"/>
      <c r="D98" s="49" t="n"/>
      <c r="H98" s="49" t="n"/>
      <c r="I98" s="49" t="n"/>
      <c r="J98" s="49" t="n"/>
    </row>
    <row r="99">
      <c r="B99" s="49" t="n"/>
      <c r="C99" s="49" t="n"/>
      <c r="D99" s="49" t="n"/>
      <c r="H99" s="49" t="n"/>
      <c r="I99" s="49" t="n"/>
      <c r="J99" s="49" t="n"/>
    </row>
    <row r="100">
      <c r="B100" s="49" t="n"/>
      <c r="C100" s="49" t="n"/>
      <c r="D100" s="49" t="n"/>
      <c r="H100" s="49" t="n"/>
      <c r="I100" s="49" t="n"/>
      <c r="J100" s="49" t="n"/>
    </row>
    <row r="101">
      <c r="B101" s="49" t="n"/>
      <c r="C101" s="49" t="n"/>
      <c r="D101" s="49" t="n"/>
      <c r="H101" s="49" t="n"/>
      <c r="I101" s="49" t="n"/>
      <c r="J101" s="49" t="n"/>
    </row>
    <row r="102">
      <c r="B102" s="49" t="n"/>
      <c r="C102" s="49" t="n"/>
      <c r="D102" s="49" t="n"/>
      <c r="H102" s="49" t="n"/>
      <c r="I102" s="49" t="n"/>
      <c r="J102" s="49" t="n"/>
    </row>
    <row r="103">
      <c r="B103" s="49" t="n"/>
      <c r="C103" s="49" t="n"/>
      <c r="D103" s="49" t="n"/>
      <c r="H103" s="49" t="n"/>
      <c r="I103" s="49" t="n"/>
      <c r="J103" s="49" t="n"/>
    </row>
    <row r="104">
      <c r="B104" s="49" t="n"/>
      <c r="C104" s="49" t="n"/>
      <c r="D104" s="49" t="n"/>
      <c r="H104" s="49" t="n"/>
      <c r="I104" s="49" t="n"/>
      <c r="J104" s="49" t="n"/>
    </row>
    <row r="105">
      <c r="B105" s="49" t="n"/>
      <c r="C105" s="49" t="n"/>
      <c r="D105" s="49" t="n"/>
      <c r="H105" s="49" t="n"/>
      <c r="I105" s="49" t="n"/>
      <c r="J105" s="49" t="n"/>
    </row>
    <row r="106">
      <c r="B106" s="49" t="n"/>
      <c r="C106" s="49" t="n"/>
      <c r="D106" s="49" t="n"/>
      <c r="H106" s="49" t="n"/>
      <c r="I106" s="49" t="n"/>
      <c r="J106" s="49" t="n"/>
    </row>
    <row r="107">
      <c r="B107" s="49" t="n"/>
      <c r="C107" s="49" t="n"/>
      <c r="D107" s="49" t="n"/>
      <c r="H107" s="49" t="n"/>
      <c r="I107" s="49" t="n"/>
      <c r="J107" s="49" t="n"/>
    </row>
    <row r="108">
      <c r="B108" s="49" t="n"/>
      <c r="C108" s="49" t="n"/>
      <c r="D108" s="49" t="n"/>
      <c r="H108" s="49" t="n"/>
      <c r="I108" s="49" t="n"/>
      <c r="J108" s="49" t="n"/>
    </row>
    <row r="109">
      <c r="B109" s="49" t="n"/>
      <c r="C109" s="49" t="n"/>
      <c r="D109" s="49" t="n"/>
      <c r="H109" s="49" t="n"/>
      <c r="I109" s="49" t="n"/>
      <c r="J109" s="49" t="n"/>
    </row>
    <row r="110">
      <c r="B110" s="49" t="n"/>
      <c r="C110" s="49" t="n"/>
      <c r="D110" s="49" t="n"/>
      <c r="H110" s="49" t="n"/>
      <c r="I110" s="49" t="n"/>
      <c r="J110" s="49" t="n"/>
    </row>
    <row r="111">
      <c r="B111" s="49" t="n"/>
      <c r="C111" s="49" t="n"/>
      <c r="D111" s="49" t="n"/>
      <c r="H111" s="49" t="n"/>
      <c r="I111" s="49" t="n"/>
      <c r="J111" s="49" t="n"/>
    </row>
    <row r="112">
      <c r="B112" s="49" t="n"/>
      <c r="C112" s="49" t="n"/>
      <c r="D112" s="49" t="n"/>
      <c r="H112" s="49" t="n"/>
      <c r="I112" s="49" t="n"/>
      <c r="J112" s="49" t="n"/>
    </row>
    <row r="113">
      <c r="B113" s="49" t="n"/>
      <c r="C113" s="49" t="n"/>
      <c r="D113" s="49" t="n"/>
      <c r="H113" s="49" t="n"/>
      <c r="I113" s="49" t="n"/>
      <c r="J113" s="49" t="n"/>
    </row>
    <row r="114">
      <c r="B114" s="49" t="n"/>
      <c r="C114" s="49" t="n"/>
      <c r="D114" s="49" t="n"/>
      <c r="H114" s="49" t="n"/>
      <c r="I114" s="49" t="n"/>
      <c r="J114" s="49" t="n"/>
    </row>
    <row r="115">
      <c r="B115" s="49" t="n"/>
      <c r="C115" s="49" t="n"/>
      <c r="D115" s="49" t="n"/>
      <c r="H115" s="49" t="n"/>
      <c r="I115" s="49" t="n"/>
      <c r="J115" s="49" t="n"/>
    </row>
    <row r="116">
      <c r="B116" s="49" t="n"/>
      <c r="C116" s="49" t="n"/>
      <c r="D116" s="49" t="n"/>
      <c r="H116" s="49" t="n"/>
      <c r="I116" s="49" t="n"/>
      <c r="J116" s="49" t="n"/>
    </row>
    <row r="117">
      <c r="B117" s="49" t="n"/>
      <c r="C117" s="49" t="n"/>
      <c r="D117" s="49" t="n"/>
      <c r="H117" s="49" t="n"/>
      <c r="I117" s="49" t="n"/>
      <c r="J117" s="49" t="n"/>
    </row>
    <row r="118">
      <c r="B118" s="49" t="n"/>
      <c r="C118" s="49" t="n"/>
      <c r="D118" s="49" t="n"/>
      <c r="H118" s="49" t="n"/>
      <c r="I118" s="49" t="n"/>
      <c r="J118" s="49" t="n"/>
    </row>
    <row r="119">
      <c r="B119" s="49" t="n"/>
      <c r="C119" s="49" t="n"/>
      <c r="D119" s="49" t="n"/>
      <c r="H119" s="49" t="n"/>
      <c r="I119" s="49" t="n"/>
      <c r="J119" s="49" t="n"/>
    </row>
    <row r="120">
      <c r="B120" s="49" t="n"/>
      <c r="C120" s="49" t="n"/>
      <c r="D120" s="49" t="n"/>
      <c r="H120" s="49" t="n"/>
      <c r="I120" s="49" t="n"/>
      <c r="J120" s="49" t="n"/>
    </row>
    <row r="121">
      <c r="B121" s="49" t="n"/>
      <c r="C121" s="49" t="n"/>
      <c r="D121" s="49" t="n"/>
      <c r="H121" s="49" t="n"/>
      <c r="I121" s="49" t="n"/>
      <c r="J121" s="49" t="n"/>
    </row>
    <row r="122">
      <c r="B122" s="49" t="n"/>
      <c r="C122" s="49" t="n"/>
      <c r="D122" s="49" t="n"/>
      <c r="H122" s="49" t="n"/>
      <c r="I122" s="49" t="n"/>
      <c r="J122" s="49" t="n"/>
    </row>
    <row r="123">
      <c r="B123" s="49" t="n"/>
      <c r="C123" s="49" t="n"/>
      <c r="D123" s="49" t="n"/>
      <c r="H123" s="49" t="n"/>
      <c r="I123" s="49" t="n"/>
      <c r="J123" s="49" t="n"/>
    </row>
    <row r="124">
      <c r="B124" s="49" t="n"/>
      <c r="C124" s="49" t="n"/>
      <c r="D124" s="49" t="n"/>
      <c r="H124" s="49" t="n"/>
      <c r="I124" s="49" t="n"/>
      <c r="J124" s="49" t="n"/>
    </row>
    <row r="125">
      <c r="B125" s="49" t="n"/>
      <c r="C125" s="49" t="n"/>
      <c r="D125" s="49" t="n"/>
      <c r="H125" s="49" t="n"/>
      <c r="I125" s="49" t="n"/>
      <c r="J125" s="49" t="n"/>
    </row>
    <row r="126">
      <c r="B126" s="49" t="n"/>
      <c r="C126" s="49" t="n"/>
      <c r="D126" s="49" t="n"/>
      <c r="H126" s="49" t="n"/>
      <c r="I126" s="49" t="n"/>
      <c r="J126" s="49" t="n"/>
    </row>
    <row r="127">
      <c r="B127" s="49" t="n"/>
      <c r="C127" s="49" t="n"/>
      <c r="D127" s="49" t="n"/>
      <c r="H127" s="49" t="n"/>
      <c r="I127" s="49" t="n"/>
      <c r="J127" s="49" t="n"/>
    </row>
    <row r="128">
      <c r="B128" s="49" t="n"/>
      <c r="C128" s="49" t="n"/>
      <c r="D128" s="49" t="n"/>
      <c r="H128" s="49" t="n"/>
      <c r="I128" s="49" t="n"/>
      <c r="J128" s="49" t="n"/>
    </row>
    <row r="129">
      <c r="B129" s="49" t="n"/>
      <c r="C129" s="49" t="n"/>
      <c r="D129" s="49" t="n"/>
      <c r="H129" s="49" t="n"/>
      <c r="I129" s="49" t="n"/>
      <c r="J129" s="49" t="n"/>
    </row>
    <row r="130">
      <c r="B130" s="49" t="n"/>
      <c r="C130" s="49" t="n"/>
      <c r="D130" s="49" t="n"/>
      <c r="H130" s="49" t="n"/>
      <c r="I130" s="49" t="n"/>
      <c r="J130" s="49" t="n"/>
    </row>
    <row r="131">
      <c r="B131" s="49" t="n"/>
      <c r="C131" s="49" t="n"/>
      <c r="D131" s="49" t="n"/>
      <c r="H131" s="49" t="n"/>
      <c r="I131" s="49" t="n"/>
      <c r="J131" s="49" t="n"/>
    </row>
    <row r="132">
      <c r="B132" s="49" t="n"/>
      <c r="C132" s="49" t="n"/>
      <c r="D132" s="49" t="n"/>
      <c r="H132" s="49" t="n"/>
      <c r="I132" s="49" t="n"/>
      <c r="J132" s="49" t="n"/>
    </row>
    <row r="133">
      <c r="B133" s="49" t="n"/>
      <c r="C133" s="49" t="n"/>
      <c r="D133" s="49" t="n"/>
      <c r="H133" s="49" t="n"/>
      <c r="I133" s="49" t="n"/>
      <c r="J133" s="49" t="n"/>
    </row>
    <row r="134">
      <c r="B134" s="49" t="n"/>
      <c r="C134" s="49" t="n"/>
      <c r="D134" s="49" t="n"/>
      <c r="H134" s="49" t="n"/>
      <c r="I134" s="49" t="n"/>
      <c r="J134" s="49" t="n"/>
    </row>
    <row r="135">
      <c r="B135" s="49" t="n"/>
      <c r="C135" s="49" t="n"/>
      <c r="D135" s="49" t="n"/>
      <c r="H135" s="49" t="n"/>
      <c r="I135" s="49" t="n"/>
      <c r="J135" s="49" t="n"/>
    </row>
    <row r="136">
      <c r="B136" s="49" t="n"/>
      <c r="C136" s="49" t="n"/>
      <c r="D136" s="49" t="n"/>
      <c r="H136" s="49" t="n"/>
      <c r="I136" s="49" t="n"/>
      <c r="J136" s="49" t="n"/>
    </row>
    <row r="137">
      <c r="B137" s="49" t="n"/>
      <c r="C137" s="49" t="n"/>
      <c r="D137" s="49" t="n"/>
      <c r="H137" s="49" t="n"/>
      <c r="I137" s="49" t="n"/>
      <c r="J137" s="49" t="n"/>
    </row>
    <row r="138">
      <c r="B138" s="49" t="n"/>
      <c r="C138" s="49" t="n"/>
      <c r="D138" s="49" t="n"/>
      <c r="H138" s="49" t="n"/>
      <c r="I138" s="49" t="n"/>
      <c r="J138" s="49" t="n"/>
    </row>
    <row r="139">
      <c r="B139" s="49" t="n"/>
      <c r="C139" s="49" t="n"/>
      <c r="D139" s="49" t="n"/>
      <c r="H139" s="49" t="n"/>
      <c r="I139" s="49" t="n"/>
      <c r="J139" s="49" t="n"/>
    </row>
    <row r="140">
      <c r="B140" s="49" t="n"/>
      <c r="C140" s="49" t="n"/>
      <c r="D140" s="49" t="n"/>
      <c r="H140" s="49" t="n"/>
      <c r="I140" s="49" t="n"/>
      <c r="J140" s="49" t="n"/>
    </row>
    <row r="141">
      <c r="B141" s="49" t="n"/>
      <c r="C141" s="49" t="n"/>
      <c r="D141" s="49" t="n"/>
      <c r="H141" s="49" t="n"/>
      <c r="I141" s="49" t="n"/>
      <c r="J141" s="49" t="n"/>
    </row>
    <row r="142">
      <c r="B142" s="49" t="n"/>
      <c r="C142" s="49" t="n"/>
      <c r="D142" s="49" t="n"/>
      <c r="H142" s="49" t="n"/>
      <c r="I142" s="49" t="n"/>
      <c r="J142" s="49" t="n"/>
    </row>
    <row r="143">
      <c r="B143" s="49" t="n"/>
      <c r="C143" s="49" t="n"/>
      <c r="D143" s="49" t="n"/>
      <c r="H143" s="49" t="n"/>
      <c r="I143" s="49" t="n"/>
      <c r="J143" s="49" t="n"/>
    </row>
    <row r="144">
      <c r="B144" s="49" t="n"/>
      <c r="C144" s="49" t="n"/>
      <c r="D144" s="49" t="n"/>
      <c r="H144" s="49" t="n"/>
      <c r="I144" s="49" t="n"/>
      <c r="J144" s="49" t="n"/>
    </row>
    <row r="145">
      <c r="B145" s="49" t="n"/>
      <c r="C145" s="49" t="n"/>
      <c r="D145" s="49" t="n"/>
      <c r="H145" s="49" t="n"/>
      <c r="I145" s="49" t="n"/>
      <c r="J145" s="49" t="n"/>
    </row>
    <row r="146">
      <c r="B146" s="49" t="n"/>
      <c r="C146" s="49" t="n"/>
      <c r="D146" s="49" t="n"/>
      <c r="H146" s="49" t="n"/>
      <c r="I146" s="49" t="n"/>
      <c r="J146" s="49" t="n"/>
    </row>
    <row r="147">
      <c r="B147" s="49" t="n"/>
      <c r="C147" s="49" t="n"/>
      <c r="D147" s="49" t="n"/>
      <c r="H147" s="49" t="n"/>
      <c r="I147" s="49" t="n"/>
      <c r="J147" s="49" t="n"/>
    </row>
    <row r="148">
      <c r="B148" s="49" t="n"/>
      <c r="C148" s="49" t="n"/>
      <c r="D148" s="49" t="n"/>
      <c r="H148" s="49" t="n"/>
      <c r="I148" s="49" t="n"/>
      <c r="J148" s="49" t="n"/>
    </row>
    <row r="149">
      <c r="B149" s="49" t="n"/>
      <c r="C149" s="49" t="n"/>
      <c r="D149" s="49" t="n"/>
      <c r="H149" s="49" t="n"/>
      <c r="I149" s="49" t="n"/>
      <c r="J149" s="49" t="n"/>
    </row>
    <row r="150">
      <c r="B150" s="49" t="n"/>
      <c r="C150" s="49" t="n"/>
      <c r="D150" s="49" t="n"/>
      <c r="H150" s="49" t="n"/>
      <c r="I150" s="49" t="n"/>
      <c r="J150" s="49" t="n"/>
    </row>
    <row r="151">
      <c r="B151" s="49" t="n"/>
      <c r="C151" s="49" t="n"/>
      <c r="D151" s="49" t="n"/>
      <c r="H151" s="49" t="n"/>
      <c r="I151" s="49" t="n"/>
      <c r="J151" s="49" t="n"/>
    </row>
    <row r="152">
      <c r="B152" s="49" t="n"/>
      <c r="C152" s="49" t="n"/>
      <c r="D152" s="49" t="n"/>
      <c r="H152" s="49" t="n"/>
      <c r="I152" s="49" t="n"/>
      <c r="J152" s="49" t="n"/>
    </row>
    <row r="153">
      <c r="B153" s="49" t="n"/>
      <c r="C153" s="49" t="n"/>
      <c r="D153" s="49" t="n"/>
      <c r="H153" s="49" t="n"/>
      <c r="I153" s="49" t="n"/>
      <c r="J153" s="49" t="n"/>
    </row>
    <row r="154">
      <c r="B154" s="49" t="n"/>
      <c r="C154" s="49" t="n"/>
      <c r="D154" s="49" t="n"/>
      <c r="H154" s="49" t="n"/>
      <c r="I154" s="49" t="n"/>
      <c r="J154" s="49" t="n"/>
    </row>
    <row r="155">
      <c r="B155" s="49" t="n"/>
      <c r="C155" s="49" t="n"/>
      <c r="D155" s="49" t="n"/>
      <c r="H155" s="49" t="n"/>
      <c r="I155" s="49" t="n"/>
      <c r="J155" s="49" t="n"/>
    </row>
    <row r="156">
      <c r="B156" s="49" t="n"/>
      <c r="C156" s="49" t="n"/>
      <c r="D156" s="49" t="n"/>
      <c r="H156" s="49" t="n"/>
      <c r="I156" s="49" t="n"/>
      <c r="J156" s="49" t="n"/>
    </row>
    <row r="157">
      <c r="B157" s="49" t="n"/>
      <c r="C157" s="49" t="n"/>
      <c r="D157" s="49" t="n"/>
      <c r="H157" s="49" t="n"/>
      <c r="I157" s="49" t="n"/>
      <c r="J157" s="49" t="n"/>
    </row>
    <row r="158">
      <c r="B158" s="49" t="n"/>
      <c r="C158" s="49" t="n"/>
      <c r="D158" s="49" t="n"/>
      <c r="H158" s="49" t="n"/>
      <c r="I158" s="49" t="n"/>
      <c r="J158" s="49" t="n"/>
    </row>
    <row r="159">
      <c r="B159" s="49" t="n"/>
      <c r="C159" s="49" t="n"/>
      <c r="D159" s="49" t="n"/>
      <c r="H159" s="49" t="n"/>
      <c r="I159" s="49" t="n"/>
      <c r="J159" s="49" t="n"/>
    </row>
    <row r="160">
      <c r="B160" s="49" t="n"/>
      <c r="C160" s="49" t="n"/>
      <c r="D160" s="49" t="n"/>
      <c r="H160" s="49" t="n"/>
      <c r="I160" s="49" t="n"/>
      <c r="J160" s="49" t="n"/>
    </row>
    <row r="161">
      <c r="B161" s="49" t="n"/>
      <c r="C161" s="49" t="n"/>
      <c r="D161" s="49" t="n"/>
      <c r="H161" s="49" t="n"/>
      <c r="I161" s="49" t="n"/>
      <c r="J161" s="49" t="n"/>
    </row>
    <row r="162">
      <c r="B162" s="49" t="n"/>
      <c r="C162" s="49" t="n"/>
      <c r="D162" s="49" t="n"/>
      <c r="H162" s="49" t="n"/>
      <c r="I162" s="49" t="n"/>
      <c r="J162" s="49" t="n"/>
    </row>
    <row r="163">
      <c r="B163" s="49" t="n"/>
      <c r="C163" s="49" t="n"/>
      <c r="D163" s="49" t="n"/>
      <c r="H163" s="49" t="n"/>
      <c r="I163" s="49" t="n"/>
      <c r="J163" s="49" t="n"/>
    </row>
    <row r="164">
      <c r="B164" s="49" t="n"/>
      <c r="C164" s="49" t="n"/>
      <c r="D164" s="49" t="n"/>
      <c r="H164" s="49" t="n"/>
      <c r="I164" s="49" t="n"/>
      <c r="J164" s="49" t="n"/>
    </row>
    <row r="165">
      <c r="B165" s="49" t="n"/>
      <c r="C165" s="49" t="n"/>
      <c r="D165" s="49" t="n"/>
      <c r="H165" s="49" t="n"/>
      <c r="I165" s="49" t="n"/>
      <c r="J165" s="49" t="n"/>
    </row>
    <row r="166">
      <c r="B166" s="49" t="n"/>
      <c r="C166" s="49" t="n"/>
      <c r="D166" s="49" t="n"/>
      <c r="H166" s="49" t="n"/>
      <c r="I166" s="49" t="n"/>
      <c r="J166" s="49" t="n"/>
    </row>
    <row r="167">
      <c r="B167" s="49" t="n"/>
      <c r="C167" s="49" t="n"/>
      <c r="D167" s="49" t="n"/>
      <c r="H167" s="49" t="n"/>
      <c r="I167" s="49" t="n"/>
      <c r="J167" s="49" t="n"/>
    </row>
    <row r="168">
      <c r="B168" s="49" t="n"/>
      <c r="C168" s="49" t="n"/>
      <c r="D168" s="49" t="n"/>
      <c r="H168" s="49" t="n"/>
      <c r="I168" s="49" t="n"/>
      <c r="J168" s="49" t="n"/>
    </row>
    <row r="169">
      <c r="B169" s="49" t="n"/>
      <c r="C169" s="49" t="n"/>
      <c r="D169" s="49" t="n"/>
      <c r="H169" s="49" t="n"/>
      <c r="I169" s="49" t="n"/>
      <c r="J169" s="49" t="n"/>
    </row>
    <row r="170">
      <c r="B170" s="49" t="n"/>
      <c r="C170" s="49" t="n"/>
      <c r="D170" s="49" t="n"/>
      <c r="H170" s="49" t="n"/>
      <c r="I170" s="49" t="n"/>
      <c r="J170" s="49" t="n"/>
    </row>
    <row r="171">
      <c r="B171" s="49" t="n"/>
      <c r="C171" s="49" t="n"/>
      <c r="D171" s="49" t="n"/>
      <c r="H171" s="49" t="n"/>
      <c r="I171" s="49" t="n"/>
      <c r="J171" s="49" t="n"/>
    </row>
    <row r="172">
      <c r="B172" s="49" t="n"/>
      <c r="C172" s="49" t="n"/>
      <c r="D172" s="49" t="n"/>
      <c r="H172" s="49" t="n"/>
      <c r="I172" s="49" t="n"/>
      <c r="J172" s="49" t="n"/>
    </row>
    <row r="173">
      <c r="B173" s="49" t="n"/>
      <c r="C173" s="49" t="n"/>
      <c r="D173" s="49" t="n"/>
      <c r="H173" s="49" t="n"/>
      <c r="I173" s="49" t="n"/>
      <c r="J173" s="49" t="n"/>
    </row>
    <row r="174">
      <c r="B174" s="49" t="n"/>
      <c r="C174" s="49" t="n"/>
      <c r="D174" s="49" t="n"/>
      <c r="H174" s="49" t="n"/>
      <c r="I174" s="49" t="n"/>
      <c r="J174" s="49" t="n"/>
    </row>
    <row r="175">
      <c r="B175" s="49" t="n"/>
      <c r="C175" s="49" t="n"/>
      <c r="D175" s="49" t="n"/>
      <c r="H175" s="49" t="n"/>
      <c r="I175" s="49" t="n"/>
      <c r="J175" s="49" t="n"/>
    </row>
    <row r="176">
      <c r="B176" s="49" t="n"/>
      <c r="C176" s="49" t="n"/>
      <c r="D176" s="49" t="n"/>
      <c r="H176" s="49" t="n"/>
      <c r="I176" s="49" t="n"/>
      <c r="J176" s="49" t="n"/>
    </row>
    <row r="177">
      <c r="B177" s="49" t="n"/>
      <c r="C177" s="49" t="n"/>
      <c r="D177" s="49" t="n"/>
      <c r="H177" s="49" t="n"/>
      <c r="I177" s="49" t="n"/>
      <c r="J177" s="49" t="n"/>
    </row>
    <row r="178">
      <c r="B178" s="49" t="n"/>
      <c r="C178" s="49" t="n"/>
      <c r="D178" s="49" t="n"/>
      <c r="H178" s="49" t="n"/>
      <c r="I178" s="49" t="n"/>
      <c r="J178" s="49" t="n"/>
    </row>
    <row r="179">
      <c r="B179" s="49" t="n"/>
      <c r="C179" s="49" t="n"/>
      <c r="D179" s="49" t="n"/>
      <c r="H179" s="49" t="n"/>
      <c r="I179" s="49" t="n"/>
      <c r="J179" s="49" t="n"/>
    </row>
    <row r="180">
      <c r="B180" s="49" t="n"/>
      <c r="C180" s="49" t="n"/>
      <c r="D180" s="49" t="n"/>
      <c r="H180" s="49" t="n"/>
      <c r="I180" s="49" t="n"/>
      <c r="J180" s="49" t="n"/>
    </row>
    <row r="181">
      <c r="B181" s="49" t="n"/>
      <c r="C181" s="49" t="n"/>
      <c r="D181" s="49" t="n"/>
      <c r="H181" s="49" t="n"/>
      <c r="I181" s="49" t="n"/>
      <c r="J181" s="49" t="n"/>
    </row>
    <row r="182">
      <c r="B182" s="49" t="n"/>
      <c r="C182" s="49" t="n"/>
      <c r="D182" s="49" t="n"/>
      <c r="H182" s="49" t="n"/>
      <c r="I182" s="49" t="n"/>
      <c r="J182" s="49" t="n"/>
    </row>
    <row r="183">
      <c r="B183" s="49" t="n"/>
      <c r="C183" s="49" t="n"/>
      <c r="D183" s="49" t="n"/>
      <c r="H183" s="49" t="n"/>
      <c r="I183" s="49" t="n"/>
      <c r="J183" s="49" t="n"/>
    </row>
    <row r="184">
      <c r="B184" s="49" t="n"/>
      <c r="C184" s="49" t="n"/>
      <c r="D184" s="49" t="n"/>
      <c r="H184" s="49" t="n"/>
      <c r="I184" s="49" t="n"/>
      <c r="J184" s="49" t="n"/>
    </row>
    <row r="185">
      <c r="B185" s="49" t="n"/>
      <c r="C185" s="49" t="n"/>
      <c r="D185" s="49" t="n"/>
      <c r="H185" s="49" t="n"/>
      <c r="I185" s="49" t="n"/>
      <c r="J185" s="49" t="n"/>
    </row>
    <row r="186">
      <c r="B186" s="49" t="n"/>
      <c r="C186" s="49" t="n"/>
      <c r="D186" s="49" t="n"/>
      <c r="H186" s="49" t="n"/>
      <c r="I186" s="49" t="n"/>
      <c r="J186" s="49" t="n"/>
    </row>
    <row r="187">
      <c r="B187" s="49" t="n"/>
      <c r="C187" s="49" t="n"/>
      <c r="D187" s="49" t="n"/>
      <c r="H187" s="49" t="n"/>
      <c r="I187" s="49" t="n"/>
      <c r="J187" s="49" t="n"/>
    </row>
    <row r="188">
      <c r="B188" s="49" t="n"/>
      <c r="C188" s="49" t="n"/>
      <c r="D188" s="49" t="n"/>
      <c r="H188" s="49" t="n"/>
      <c r="I188" s="49" t="n"/>
      <c r="J188" s="49" t="n"/>
    </row>
    <row r="189">
      <c r="B189" s="49" t="n"/>
      <c r="C189" s="49" t="n"/>
      <c r="D189" s="49" t="n"/>
      <c r="H189" s="49" t="n"/>
      <c r="I189" s="49" t="n"/>
      <c r="J189" s="49" t="n"/>
    </row>
    <row r="190">
      <c r="B190" s="49" t="n"/>
      <c r="C190" s="49" t="n"/>
      <c r="D190" s="49" t="n"/>
      <c r="H190" s="49" t="n"/>
      <c r="I190" s="49" t="n"/>
      <c r="J190" s="49" t="n"/>
    </row>
    <row r="191">
      <c r="B191" s="49" t="n"/>
      <c r="C191" s="49" t="n"/>
      <c r="D191" s="49" t="n"/>
      <c r="H191" s="49" t="n"/>
      <c r="I191" s="49" t="n"/>
      <c r="J191" s="49" t="n"/>
    </row>
    <row r="192">
      <c r="B192" s="49" t="n"/>
      <c r="C192" s="49" t="n"/>
      <c r="D192" s="49" t="n"/>
      <c r="H192" s="49" t="n"/>
      <c r="I192" s="49" t="n"/>
      <c r="J192" s="49" t="n"/>
    </row>
    <row r="193">
      <c r="B193" s="49" t="n"/>
      <c r="C193" s="49" t="n"/>
      <c r="D193" s="49" t="n"/>
      <c r="H193" s="49" t="n"/>
      <c r="I193" s="49" t="n"/>
      <c r="J193" s="49" t="n"/>
    </row>
    <row r="194">
      <c r="B194" s="49" t="n"/>
      <c r="C194" s="49" t="n"/>
      <c r="D194" s="49" t="n"/>
      <c r="H194" s="49" t="n"/>
      <c r="I194" s="49" t="n"/>
      <c r="J194" s="49" t="n"/>
    </row>
    <row r="195">
      <c r="B195" s="49" t="n"/>
      <c r="C195" s="49" t="n"/>
      <c r="D195" s="49" t="n"/>
      <c r="H195" s="49" t="n"/>
      <c r="I195" s="49" t="n"/>
      <c r="J195" s="49" t="n"/>
    </row>
    <row r="196">
      <c r="B196" s="49" t="n"/>
      <c r="C196" s="49" t="n"/>
      <c r="D196" s="49" t="n"/>
      <c r="H196" s="49" t="n"/>
      <c r="I196" s="49" t="n"/>
      <c r="J196" s="49" t="n"/>
    </row>
    <row r="197">
      <c r="B197" s="49" t="n"/>
      <c r="C197" s="49" t="n"/>
      <c r="D197" s="49" t="n"/>
      <c r="H197" s="49" t="n"/>
      <c r="I197" s="49" t="n"/>
      <c r="J197" s="49" t="n"/>
    </row>
    <row r="198">
      <c r="B198" s="49" t="n"/>
      <c r="C198" s="49" t="n"/>
      <c r="D198" s="49" t="n"/>
      <c r="H198" s="49" t="n"/>
      <c r="I198" s="49" t="n"/>
      <c r="J198" s="49" t="n"/>
    </row>
    <row r="199">
      <c r="B199" s="49" t="n"/>
      <c r="C199" s="49" t="n"/>
      <c r="D199" s="49" t="n"/>
      <c r="H199" s="49" t="n"/>
      <c r="I199" s="49" t="n"/>
      <c r="J199" s="49" t="n"/>
    </row>
    <row r="200">
      <c r="B200" s="49" t="n"/>
      <c r="C200" s="49" t="n"/>
      <c r="D200" s="49" t="n"/>
      <c r="H200" s="49" t="n"/>
      <c r="I200" s="49" t="n"/>
      <c r="J200" s="49" t="n"/>
    </row>
    <row r="201">
      <c r="B201" s="49" t="n"/>
      <c r="C201" s="49" t="n"/>
      <c r="D201" s="49" t="n"/>
      <c r="H201" s="49" t="n"/>
      <c r="I201" s="49" t="n"/>
      <c r="J201" s="49" t="n"/>
    </row>
    <row r="202">
      <c r="B202" s="49" t="n"/>
      <c r="C202" s="49" t="n"/>
      <c r="D202" s="49" t="n"/>
      <c r="H202" s="49" t="n"/>
      <c r="I202" s="49" t="n"/>
      <c r="J202" s="49" t="n"/>
    </row>
    <row r="203">
      <c r="B203" s="49" t="n"/>
      <c r="C203" s="49" t="n"/>
      <c r="D203" s="49" t="n"/>
      <c r="H203" s="49" t="n"/>
      <c r="I203" s="49" t="n"/>
      <c r="J203" s="49" t="n"/>
    </row>
    <row r="204">
      <c r="B204" s="49" t="n"/>
      <c r="C204" s="49" t="n"/>
      <c r="D204" s="49" t="n"/>
      <c r="H204" s="49" t="n"/>
      <c r="I204" s="49" t="n"/>
      <c r="J204" s="49" t="n"/>
    </row>
    <row r="205">
      <c r="B205" s="49" t="n"/>
      <c r="C205" s="49" t="n"/>
      <c r="D205" s="49" t="n"/>
      <c r="H205" s="49" t="n"/>
      <c r="I205" s="49" t="n"/>
      <c r="J205" s="49" t="n"/>
    </row>
    <row r="206">
      <c r="B206" s="49" t="n"/>
      <c r="C206" s="49" t="n"/>
      <c r="D206" s="49" t="n"/>
      <c r="H206" s="49" t="n"/>
      <c r="I206" s="49" t="n"/>
      <c r="J206" s="49" t="n"/>
    </row>
    <row r="207">
      <c r="B207" s="49" t="n"/>
      <c r="C207" s="49" t="n"/>
      <c r="D207" s="49" t="n"/>
      <c r="H207" s="49" t="n"/>
      <c r="I207" s="49" t="n"/>
      <c r="J207" s="49" t="n"/>
    </row>
    <row r="208">
      <c r="B208" s="49" t="n"/>
      <c r="C208" s="49" t="n"/>
      <c r="D208" s="49" t="n"/>
      <c r="H208" s="49" t="n"/>
      <c r="I208" s="49" t="n"/>
      <c r="J208" s="49" t="n"/>
    </row>
    <row r="209">
      <c r="B209" s="49" t="n"/>
      <c r="C209" s="49" t="n"/>
      <c r="D209" s="49" t="n"/>
      <c r="H209" s="49" t="n"/>
      <c r="I209" s="49" t="n"/>
      <c r="J209" s="49" t="n"/>
    </row>
    <row r="210">
      <c r="B210" s="49" t="n"/>
      <c r="C210" s="49" t="n"/>
      <c r="D210" s="49" t="n"/>
      <c r="H210" s="49" t="n"/>
      <c r="I210" s="49" t="n"/>
      <c r="J210" s="49" t="n"/>
    </row>
    <row r="211">
      <c r="B211" s="49" t="n"/>
      <c r="C211" s="49" t="n"/>
      <c r="D211" s="49" t="n"/>
      <c r="H211" s="49" t="n"/>
      <c r="I211" s="49" t="n"/>
      <c r="J211" s="49" t="n"/>
    </row>
    <row r="212">
      <c r="B212" s="49" t="n"/>
      <c r="C212" s="49" t="n"/>
      <c r="D212" s="49" t="n"/>
      <c r="H212" s="49" t="n"/>
      <c r="I212" s="49" t="n"/>
      <c r="J212" s="49" t="n"/>
    </row>
    <row r="213">
      <c r="B213" s="49" t="n"/>
      <c r="C213" s="49" t="n"/>
      <c r="D213" s="49" t="n"/>
      <c r="H213" s="49" t="n"/>
      <c r="I213" s="49" t="n"/>
      <c r="J213" s="49" t="n"/>
    </row>
    <row r="214">
      <c r="B214" s="49" t="n"/>
      <c r="C214" s="49" t="n"/>
      <c r="D214" s="49" t="n"/>
      <c r="H214" s="49" t="n"/>
      <c r="I214" s="49" t="n"/>
      <c r="J214" s="49" t="n"/>
    </row>
    <row r="215">
      <c r="B215" s="49" t="n"/>
      <c r="C215" s="49" t="n"/>
      <c r="D215" s="49" t="n"/>
      <c r="H215" s="49" t="n"/>
      <c r="I215" s="49" t="n"/>
      <c r="J215" s="49" t="n"/>
    </row>
    <row r="216">
      <c r="B216" s="49" t="n"/>
      <c r="C216" s="49" t="n"/>
      <c r="D216" s="49" t="n"/>
      <c r="H216" s="49" t="n"/>
      <c r="I216" s="49" t="n"/>
      <c r="J216" s="49" t="n"/>
    </row>
    <row r="217">
      <c r="B217" s="49" t="n"/>
      <c r="C217" s="49" t="n"/>
      <c r="D217" s="49" t="n"/>
      <c r="H217" s="49" t="n"/>
      <c r="I217" s="49" t="n"/>
      <c r="J217" s="49" t="n"/>
    </row>
    <row r="218">
      <c r="B218" s="49" t="n"/>
      <c r="C218" s="49" t="n"/>
      <c r="D218" s="49" t="n"/>
      <c r="H218" s="49" t="n"/>
      <c r="I218" s="49" t="n"/>
      <c r="J218" s="49" t="n"/>
    </row>
    <row r="219">
      <c r="B219" s="49" t="n"/>
      <c r="C219" s="49" t="n"/>
      <c r="D219" s="49" t="n"/>
      <c r="H219" s="49" t="n"/>
      <c r="I219" s="49" t="n"/>
      <c r="J219" s="49" t="n"/>
    </row>
    <row r="220">
      <c r="B220" s="49" t="n"/>
      <c r="C220" s="49" t="n"/>
      <c r="D220" s="49" t="n"/>
      <c r="H220" s="49" t="n"/>
      <c r="I220" s="49" t="n"/>
      <c r="J220" s="49" t="n"/>
    </row>
    <row r="221">
      <c r="B221" s="49" t="n"/>
      <c r="C221" s="49" t="n"/>
      <c r="D221" s="49" t="n"/>
      <c r="H221" s="49" t="n"/>
      <c r="I221" s="49" t="n"/>
      <c r="J221" s="49" t="n"/>
    </row>
    <row r="222">
      <c r="B222" s="49" t="n"/>
      <c r="C222" s="49" t="n"/>
      <c r="D222" s="49" t="n"/>
      <c r="H222" s="49" t="n"/>
      <c r="I222" s="49" t="n"/>
      <c r="J222" s="49" t="n"/>
    </row>
    <row r="223">
      <c r="B223" s="49" t="n"/>
      <c r="C223" s="49" t="n"/>
      <c r="D223" s="49" t="n"/>
      <c r="H223" s="49" t="n"/>
      <c r="I223" s="49" t="n"/>
      <c r="J223" s="49" t="n"/>
    </row>
    <row r="224">
      <c r="B224" s="49" t="n"/>
      <c r="C224" s="49" t="n"/>
      <c r="D224" s="49" t="n"/>
      <c r="H224" s="49" t="n"/>
      <c r="I224" s="49" t="n"/>
      <c r="J224" s="49" t="n"/>
    </row>
    <row r="225">
      <c r="B225" s="49" t="n"/>
      <c r="C225" s="49" t="n"/>
      <c r="D225" s="49" t="n"/>
      <c r="H225" s="49" t="n"/>
      <c r="I225" s="49" t="n"/>
      <c r="J225" s="49" t="n"/>
    </row>
    <row r="226">
      <c r="B226" s="49" t="n"/>
      <c r="C226" s="49" t="n"/>
      <c r="D226" s="49" t="n"/>
      <c r="H226" s="49" t="n"/>
      <c r="I226" s="49" t="n"/>
      <c r="J226" s="49" t="n"/>
    </row>
    <row r="227">
      <c r="B227" s="49" t="n"/>
      <c r="C227" s="49" t="n"/>
      <c r="D227" s="49" t="n"/>
      <c r="H227" s="49" t="n"/>
      <c r="I227" s="49" t="n"/>
      <c r="J227" s="49" t="n"/>
    </row>
    <row r="228">
      <c r="B228" s="49" t="n"/>
      <c r="C228" s="49" t="n"/>
      <c r="D228" s="49" t="n"/>
      <c r="H228" s="49" t="n"/>
      <c r="I228" s="49" t="n"/>
      <c r="J228" s="49" t="n"/>
    </row>
    <row r="229">
      <c r="B229" s="49" t="n"/>
      <c r="C229" s="49" t="n"/>
      <c r="D229" s="49" t="n"/>
      <c r="H229" s="49" t="n"/>
      <c r="I229" s="49" t="n"/>
      <c r="J229" s="49" t="n"/>
    </row>
    <row r="230">
      <c r="B230" s="49" t="n"/>
      <c r="C230" s="49" t="n"/>
      <c r="D230" s="49" t="n"/>
      <c r="H230" s="49" t="n"/>
      <c r="I230" s="49" t="n"/>
      <c r="J230" s="49" t="n"/>
    </row>
    <row r="231">
      <c r="B231" s="49" t="n"/>
      <c r="C231" s="49" t="n"/>
      <c r="D231" s="49" t="n"/>
      <c r="H231" s="49" t="n"/>
      <c r="I231" s="49" t="n"/>
      <c r="J231" s="49" t="n"/>
    </row>
    <row r="232">
      <c r="B232" s="49" t="n"/>
      <c r="C232" s="49" t="n"/>
      <c r="D232" s="49" t="n"/>
      <c r="H232" s="49" t="n"/>
      <c r="I232" s="49" t="n"/>
      <c r="J232" s="49" t="n"/>
    </row>
    <row r="233">
      <c r="B233" s="49" t="n"/>
      <c r="C233" s="49" t="n"/>
      <c r="D233" s="49" t="n"/>
      <c r="H233" s="49" t="n"/>
      <c r="I233" s="49" t="n"/>
      <c r="J233" s="49" t="n"/>
    </row>
    <row r="234">
      <c r="B234" s="49" t="n"/>
      <c r="C234" s="49" t="n"/>
      <c r="D234" s="49" t="n"/>
      <c r="H234" s="49" t="n"/>
      <c r="I234" s="49" t="n"/>
      <c r="J234" s="49" t="n"/>
    </row>
    <row r="235">
      <c r="B235" s="49" t="n"/>
      <c r="C235" s="49" t="n"/>
      <c r="D235" s="49" t="n"/>
      <c r="H235" s="49" t="n"/>
      <c r="I235" s="49" t="n"/>
      <c r="J235" s="49" t="n"/>
    </row>
    <row r="236">
      <c r="B236" s="49" t="n"/>
      <c r="C236" s="49" t="n"/>
      <c r="D236" s="49" t="n"/>
      <c r="H236" s="49" t="n"/>
      <c r="I236" s="49" t="n"/>
      <c r="J236" s="49" t="n"/>
    </row>
    <row r="237">
      <c r="B237" s="49" t="n"/>
      <c r="C237" s="49" t="n"/>
      <c r="D237" s="49" t="n"/>
      <c r="H237" s="49" t="n"/>
      <c r="I237" s="49" t="n"/>
      <c r="J237" s="49" t="n"/>
    </row>
    <row r="238">
      <c r="B238" s="49" t="n"/>
      <c r="C238" s="49" t="n"/>
      <c r="D238" s="49" t="n"/>
      <c r="H238" s="49" t="n"/>
      <c r="I238" s="49" t="n"/>
      <c r="J238" s="49" t="n"/>
    </row>
    <row r="239">
      <c r="B239" s="49" t="n"/>
      <c r="C239" s="49" t="n"/>
      <c r="D239" s="49" t="n"/>
      <c r="H239" s="49" t="n"/>
      <c r="I239" s="49" t="n"/>
      <c r="J239" s="49" t="n"/>
    </row>
    <row r="240">
      <c r="B240" s="49" t="n"/>
      <c r="C240" s="49" t="n"/>
      <c r="D240" s="49" t="n"/>
      <c r="H240" s="49" t="n"/>
      <c r="I240" s="49" t="n"/>
      <c r="J240" s="49" t="n"/>
    </row>
    <row r="241">
      <c r="B241" s="49" t="n"/>
      <c r="C241" s="49" t="n"/>
      <c r="D241" s="49" t="n"/>
      <c r="H241" s="49" t="n"/>
      <c r="I241" s="49" t="n"/>
      <c r="J241" s="49" t="n"/>
    </row>
    <row r="242">
      <c r="B242" s="49" t="n"/>
      <c r="C242" s="49" t="n"/>
      <c r="D242" s="49" t="n"/>
      <c r="H242" s="49" t="n"/>
      <c r="I242" s="49" t="n"/>
      <c r="J242" s="49" t="n"/>
    </row>
    <row r="243">
      <c r="B243" s="49" t="n"/>
      <c r="C243" s="49" t="n"/>
      <c r="D243" s="49" t="n"/>
      <c r="H243" s="49" t="n"/>
      <c r="I243" s="49" t="n"/>
      <c r="J243" s="49" t="n"/>
    </row>
    <row r="244">
      <c r="B244" s="49" t="n"/>
      <c r="C244" s="49" t="n"/>
      <c r="D244" s="49" t="n"/>
      <c r="H244" s="49" t="n"/>
      <c r="I244" s="49" t="n"/>
      <c r="J244" s="49" t="n"/>
    </row>
    <row r="245">
      <c r="B245" s="49" t="n"/>
      <c r="C245" s="49" t="n"/>
      <c r="D245" s="49" t="n"/>
      <c r="H245" s="49" t="n"/>
      <c r="I245" s="49" t="n"/>
      <c r="J245" s="49" t="n"/>
    </row>
    <row r="246">
      <c r="B246" s="49" t="n"/>
      <c r="C246" s="49" t="n"/>
      <c r="D246" s="49" t="n"/>
      <c r="H246" s="49" t="n"/>
      <c r="I246" s="49" t="n"/>
      <c r="J246" s="49" t="n"/>
    </row>
    <row r="247">
      <c r="B247" s="49" t="n"/>
      <c r="C247" s="49" t="n"/>
      <c r="D247" s="49" t="n"/>
      <c r="H247" s="49" t="n"/>
      <c r="I247" s="49" t="n"/>
      <c r="J247" s="49" t="n"/>
    </row>
    <row r="248">
      <c r="B248" s="49" t="n"/>
      <c r="C248" s="49" t="n"/>
      <c r="D248" s="49" t="n"/>
      <c r="H248" s="49" t="n"/>
      <c r="I248" s="49" t="n"/>
      <c r="J248" s="49" t="n"/>
    </row>
    <row r="249">
      <c r="B249" s="49" t="n"/>
      <c r="C249" s="49" t="n"/>
      <c r="D249" s="49" t="n"/>
      <c r="H249" s="49" t="n"/>
      <c r="I249" s="49" t="n"/>
      <c r="J249" s="49" t="n"/>
    </row>
    <row r="250">
      <c r="B250" s="49" t="n"/>
      <c r="C250" s="49" t="n"/>
      <c r="D250" s="49" t="n"/>
      <c r="H250" s="49" t="n"/>
      <c r="I250" s="49" t="n"/>
      <c r="J250" s="49" t="n"/>
    </row>
    <row r="251">
      <c r="B251" s="49" t="n"/>
      <c r="C251" s="49" t="n"/>
      <c r="D251" s="49" t="n"/>
      <c r="H251" s="49" t="n"/>
      <c r="I251" s="49" t="n"/>
      <c r="J251" s="49" t="n"/>
    </row>
    <row r="252">
      <c r="B252" s="49" t="n"/>
      <c r="C252" s="49" t="n"/>
      <c r="D252" s="49" t="n"/>
      <c r="H252" s="49" t="n"/>
      <c r="I252" s="49" t="n"/>
      <c r="J252" s="49" t="n"/>
    </row>
    <row r="253">
      <c r="B253" s="49" t="n"/>
      <c r="C253" s="49" t="n"/>
      <c r="D253" s="49" t="n"/>
      <c r="H253" s="49" t="n"/>
      <c r="I253" s="49" t="n"/>
      <c r="J253" s="49" t="n"/>
    </row>
    <row r="254">
      <c r="B254" s="49" t="n"/>
      <c r="C254" s="49" t="n"/>
      <c r="D254" s="49" t="n"/>
      <c r="H254" s="49" t="n"/>
      <c r="I254" s="49" t="n"/>
      <c r="J254" s="49" t="n"/>
    </row>
    <row r="255">
      <c r="B255" s="49" t="n"/>
      <c r="C255" s="49" t="n"/>
      <c r="D255" s="49" t="n"/>
      <c r="H255" s="49" t="n"/>
      <c r="I255" s="49" t="n"/>
      <c r="J255" s="49" t="n"/>
    </row>
    <row r="256">
      <c r="B256" s="49" t="n"/>
      <c r="C256" s="49" t="n"/>
      <c r="D256" s="49" t="n"/>
      <c r="H256" s="49" t="n"/>
      <c r="I256" s="49" t="n"/>
      <c r="J256" s="49" t="n"/>
    </row>
    <row r="257">
      <c r="B257" s="49" t="n"/>
      <c r="C257" s="49" t="n"/>
      <c r="D257" s="49" t="n"/>
      <c r="H257" s="49" t="n"/>
      <c r="I257" s="49" t="n"/>
      <c r="J257" s="49" t="n"/>
    </row>
    <row r="258">
      <c r="B258" s="49" t="n"/>
      <c r="C258" s="49" t="n"/>
      <c r="D258" s="49" t="n"/>
      <c r="H258" s="49" t="n"/>
      <c r="I258" s="49" t="n"/>
      <c r="J258" s="49" t="n"/>
    </row>
    <row r="259">
      <c r="B259" s="49" t="n"/>
      <c r="C259" s="49" t="n"/>
      <c r="D259" s="49" t="n"/>
      <c r="H259" s="49" t="n"/>
      <c r="I259" s="49" t="n"/>
      <c r="J259" s="49" t="n"/>
    </row>
    <row r="260">
      <c r="B260" s="49" t="n"/>
      <c r="C260" s="49" t="n"/>
      <c r="D260" s="49" t="n"/>
      <c r="H260" s="49" t="n"/>
      <c r="I260" s="49" t="n"/>
      <c r="J260" s="49" t="n"/>
    </row>
    <row r="261">
      <c r="B261" s="49" t="n"/>
      <c r="C261" s="49" t="n"/>
      <c r="D261" s="49" t="n"/>
      <c r="H261" s="49" t="n"/>
      <c r="I261" s="49" t="n"/>
      <c r="J261" s="49" t="n"/>
    </row>
    <row r="262">
      <c r="B262" s="49" t="n"/>
      <c r="C262" s="49" t="n"/>
      <c r="D262" s="49" t="n"/>
      <c r="H262" s="49" t="n"/>
      <c r="I262" s="49" t="n"/>
      <c r="J262" s="49" t="n"/>
    </row>
    <row r="263">
      <c r="B263" s="49" t="n"/>
      <c r="C263" s="49" t="n"/>
      <c r="D263" s="49" t="n"/>
      <c r="H263" s="49" t="n"/>
      <c r="I263" s="49" t="n"/>
      <c r="J263" s="49" t="n"/>
    </row>
    <row r="264">
      <c r="B264" s="49" t="n"/>
      <c r="C264" s="49" t="n"/>
      <c r="D264" s="49" t="n"/>
      <c r="H264" s="49" t="n"/>
      <c r="I264" s="49" t="n"/>
      <c r="J264" s="49" t="n"/>
    </row>
    <row r="265">
      <c r="B265" s="49" t="n"/>
      <c r="C265" s="49" t="n"/>
      <c r="D265" s="49" t="n"/>
      <c r="H265" s="49" t="n"/>
      <c r="I265" s="49" t="n"/>
      <c r="J265" s="49" t="n"/>
    </row>
    <row r="266">
      <c r="B266" s="49" t="n"/>
      <c r="C266" s="49" t="n"/>
      <c r="D266" s="49" t="n"/>
      <c r="H266" s="49" t="n"/>
      <c r="I266" s="49" t="n"/>
      <c r="J266" s="49" t="n"/>
    </row>
    <row r="267">
      <c r="B267" s="49" t="n"/>
      <c r="C267" s="49" t="n"/>
      <c r="D267" s="49" t="n"/>
      <c r="H267" s="49" t="n"/>
      <c r="I267" s="49" t="n"/>
      <c r="J267" s="49" t="n"/>
    </row>
    <row r="268">
      <c r="B268" s="49" t="n"/>
      <c r="C268" s="49" t="n"/>
      <c r="D268" s="49" t="n"/>
      <c r="H268" s="49" t="n"/>
      <c r="I268" s="49" t="n"/>
      <c r="J268" s="49" t="n"/>
    </row>
    <row r="269">
      <c r="B269" s="49" t="n"/>
      <c r="C269" s="49" t="n"/>
      <c r="D269" s="49" t="n"/>
      <c r="H269" s="49" t="n"/>
      <c r="I269" s="49" t="n"/>
      <c r="J269" s="49" t="n"/>
    </row>
    <row r="270">
      <c r="B270" s="49" t="n"/>
      <c r="C270" s="49" t="n"/>
      <c r="D270" s="49" t="n"/>
      <c r="H270" s="49" t="n"/>
      <c r="I270" s="49" t="n"/>
      <c r="J270" s="49" t="n"/>
    </row>
    <row r="271">
      <c r="B271" s="49" t="n"/>
      <c r="C271" s="49" t="n"/>
      <c r="D271" s="49" t="n"/>
      <c r="H271" s="49" t="n"/>
      <c r="I271" s="49" t="n"/>
      <c r="J271" s="49" t="n"/>
    </row>
    <row r="272">
      <c r="B272" s="49" t="n"/>
      <c r="C272" s="49" t="n"/>
      <c r="D272" s="49" t="n"/>
      <c r="H272" s="49" t="n"/>
      <c r="I272" s="49" t="n"/>
      <c r="J272" s="49" t="n"/>
    </row>
    <row r="273">
      <c r="B273" s="49" t="n"/>
      <c r="C273" s="49" t="n"/>
      <c r="D273" s="49" t="n"/>
      <c r="H273" s="49" t="n"/>
      <c r="I273" s="49" t="n"/>
      <c r="J273" s="49" t="n"/>
    </row>
    <row r="274">
      <c r="B274" s="49" t="n"/>
      <c r="C274" s="49" t="n"/>
      <c r="D274" s="49" t="n"/>
      <c r="H274" s="49" t="n"/>
      <c r="I274" s="49" t="n"/>
      <c r="J274" s="49" t="n"/>
    </row>
    <row r="275">
      <c r="B275" s="49" t="n"/>
      <c r="C275" s="49" t="n"/>
      <c r="D275" s="49" t="n"/>
      <c r="H275" s="49" t="n"/>
      <c r="I275" s="49" t="n"/>
      <c r="J275" s="49" t="n"/>
    </row>
    <row r="276">
      <c r="B276" s="49" t="n"/>
      <c r="C276" s="49" t="n"/>
      <c r="D276" s="49" t="n"/>
      <c r="H276" s="49" t="n"/>
      <c r="I276" s="49" t="n"/>
      <c r="J276" s="49" t="n"/>
    </row>
    <row r="277">
      <c r="B277" s="49" t="n"/>
      <c r="C277" s="49" t="n"/>
      <c r="D277" s="49" t="n"/>
      <c r="H277" s="49" t="n"/>
      <c r="I277" s="49" t="n"/>
      <c r="J277" s="49" t="n"/>
    </row>
    <row r="278">
      <c r="B278" s="49" t="n"/>
      <c r="C278" s="49" t="n"/>
      <c r="D278" s="49" t="n"/>
      <c r="H278" s="49" t="n"/>
      <c r="I278" s="49" t="n"/>
      <c r="J278" s="49" t="n"/>
    </row>
    <row r="279">
      <c r="B279" s="49" t="n"/>
      <c r="C279" s="49" t="n"/>
      <c r="D279" s="49" t="n"/>
      <c r="H279" s="49" t="n"/>
      <c r="I279" s="49" t="n"/>
      <c r="J279" s="49" t="n"/>
    </row>
    <row r="280">
      <c r="B280" s="49" t="n"/>
      <c r="C280" s="49" t="n"/>
      <c r="D280" s="49" t="n"/>
      <c r="H280" s="49" t="n"/>
      <c r="I280" s="49" t="n"/>
      <c r="J280" s="49" t="n"/>
    </row>
    <row r="281">
      <c r="B281" s="49" t="n"/>
      <c r="C281" s="49" t="n"/>
      <c r="D281" s="49" t="n"/>
      <c r="H281" s="49" t="n"/>
      <c r="I281" s="49" t="n"/>
      <c r="J281" s="49" t="n"/>
    </row>
    <row r="282">
      <c r="B282" s="49" t="n"/>
      <c r="C282" s="49" t="n"/>
      <c r="D282" s="49" t="n"/>
      <c r="H282" s="49" t="n"/>
      <c r="I282" s="49" t="n"/>
      <c r="J282" s="49" t="n"/>
    </row>
    <row r="283">
      <c r="B283" s="49" t="n"/>
      <c r="C283" s="49" t="n"/>
      <c r="D283" s="49" t="n"/>
      <c r="H283" s="49" t="n"/>
      <c r="I283" s="49" t="n"/>
      <c r="J283" s="49" t="n"/>
    </row>
    <row r="284">
      <c r="B284" s="49" t="n"/>
      <c r="C284" s="49" t="n"/>
      <c r="D284" s="49" t="n"/>
      <c r="H284" s="49" t="n"/>
      <c r="I284" s="49" t="n"/>
      <c r="J284" s="49" t="n"/>
    </row>
    <row r="285">
      <c r="B285" s="49" t="n"/>
      <c r="C285" s="49" t="n"/>
      <c r="D285" s="49" t="n"/>
      <c r="H285" s="49" t="n"/>
      <c r="I285" s="49" t="n"/>
      <c r="J285" s="49" t="n"/>
    </row>
    <row r="286">
      <c r="B286" s="49" t="n"/>
      <c r="C286" s="49" t="n"/>
      <c r="D286" s="49" t="n"/>
      <c r="H286" s="49" t="n"/>
      <c r="I286" s="49" t="n"/>
      <c r="J286" s="49" t="n"/>
    </row>
    <row r="287">
      <c r="B287" s="49" t="n"/>
      <c r="C287" s="49" t="n"/>
      <c r="D287" s="49" t="n"/>
      <c r="H287" s="49" t="n"/>
      <c r="I287" s="49" t="n"/>
      <c r="J287" s="49" t="n"/>
    </row>
    <row r="288">
      <c r="B288" s="49" t="n"/>
      <c r="C288" s="49" t="n"/>
      <c r="D288" s="49" t="n"/>
      <c r="H288" s="49" t="n"/>
      <c r="I288" s="49" t="n"/>
      <c r="J288" s="49" t="n"/>
    </row>
    <row r="289">
      <c r="B289" s="49" t="n"/>
      <c r="C289" s="49" t="n"/>
      <c r="D289" s="49" t="n"/>
      <c r="H289" s="49" t="n"/>
      <c r="I289" s="49" t="n"/>
      <c r="J289" s="49" t="n"/>
    </row>
    <row r="290">
      <c r="B290" s="49" t="n"/>
      <c r="C290" s="49" t="n"/>
      <c r="D290" s="49" t="n"/>
      <c r="H290" s="49" t="n"/>
      <c r="I290" s="49" t="n"/>
      <c r="J290" s="49" t="n"/>
    </row>
    <row r="291">
      <c r="B291" s="49" t="n"/>
      <c r="C291" s="49" t="n"/>
      <c r="D291" s="49" t="n"/>
      <c r="H291" s="49" t="n"/>
      <c r="I291" s="49" t="n"/>
      <c r="J291" s="49" t="n"/>
    </row>
    <row r="292">
      <c r="B292" s="49" t="n"/>
      <c r="C292" s="49" t="n"/>
      <c r="D292" s="49" t="n"/>
      <c r="H292" s="49" t="n"/>
      <c r="I292" s="49" t="n"/>
      <c r="J292" s="49" t="n"/>
    </row>
    <row r="293">
      <c r="B293" s="49" t="n"/>
      <c r="C293" s="49" t="n"/>
      <c r="D293" s="49" t="n"/>
      <c r="H293" s="49" t="n"/>
      <c r="I293" s="49" t="n"/>
      <c r="J293" s="49" t="n"/>
    </row>
    <row r="294">
      <c r="B294" s="49" t="n"/>
      <c r="C294" s="49" t="n"/>
      <c r="D294" s="49" t="n"/>
      <c r="H294" s="49" t="n"/>
      <c r="I294" s="49" t="n"/>
      <c r="J294" s="49" t="n"/>
    </row>
    <row r="295">
      <c r="B295" s="49" t="n"/>
      <c r="C295" s="49" t="n"/>
      <c r="D295" s="49" t="n"/>
      <c r="H295" s="49" t="n"/>
      <c r="I295" s="49" t="n"/>
      <c r="J295" s="49" t="n"/>
    </row>
    <row r="296">
      <c r="B296" s="49" t="n"/>
      <c r="C296" s="49" t="n"/>
      <c r="D296" s="49" t="n"/>
      <c r="H296" s="49" t="n"/>
      <c r="I296" s="49" t="n"/>
      <c r="J296" s="49" t="n"/>
    </row>
    <row r="297">
      <c r="B297" s="49" t="n"/>
      <c r="C297" s="49" t="n"/>
      <c r="D297" s="49" t="n"/>
      <c r="H297" s="49" t="n"/>
      <c r="I297" s="49" t="n"/>
      <c r="J297" s="49" t="n"/>
    </row>
    <row r="298">
      <c r="B298" s="49" t="n"/>
      <c r="C298" s="49" t="n"/>
      <c r="D298" s="49" t="n"/>
      <c r="H298" s="49" t="n"/>
      <c r="I298" s="49" t="n"/>
      <c r="J298" s="49" t="n"/>
    </row>
    <row r="299">
      <c r="B299" s="49" t="n"/>
      <c r="C299" s="49" t="n"/>
      <c r="D299" s="49" t="n"/>
      <c r="H299" s="49" t="n"/>
      <c r="I299" s="49" t="n"/>
      <c r="J299" s="49" t="n"/>
    </row>
    <row r="300">
      <c r="B300" s="49" t="n"/>
      <c r="C300" s="49" t="n"/>
      <c r="D300" s="49" t="n"/>
      <c r="H300" s="49" t="n"/>
      <c r="I300" s="49" t="n"/>
      <c r="J300" s="49" t="n"/>
    </row>
    <row r="301">
      <c r="B301" s="49" t="n"/>
      <c r="C301" s="49" t="n"/>
      <c r="D301" s="49" t="n"/>
      <c r="H301" s="49" t="n"/>
      <c r="I301" s="49" t="n"/>
      <c r="J301" s="49" t="n"/>
    </row>
    <row r="302">
      <c r="B302" s="49" t="n"/>
      <c r="C302" s="49" t="n"/>
      <c r="D302" s="49" t="n"/>
      <c r="H302" s="49" t="n"/>
      <c r="I302" s="49" t="n"/>
      <c r="J302" s="49" t="n"/>
    </row>
    <row r="303">
      <c r="B303" s="49" t="n"/>
      <c r="C303" s="49" t="n"/>
      <c r="D303" s="49" t="n"/>
      <c r="H303" s="49" t="n"/>
      <c r="I303" s="49" t="n"/>
      <c r="J303" s="49" t="n"/>
    </row>
    <row r="304">
      <c r="B304" s="49" t="n"/>
      <c r="C304" s="49" t="n"/>
      <c r="D304" s="49" t="n"/>
      <c r="H304" s="49" t="n"/>
      <c r="I304" s="49" t="n"/>
      <c r="J304" s="49" t="n"/>
    </row>
    <row r="305">
      <c r="B305" s="49" t="n"/>
      <c r="C305" s="49" t="n"/>
      <c r="D305" s="49" t="n"/>
      <c r="H305" s="49" t="n"/>
      <c r="I305" s="49" t="n"/>
      <c r="J305" s="49" t="n"/>
    </row>
    <row r="306">
      <c r="B306" s="49" t="n"/>
      <c r="C306" s="49" t="n"/>
      <c r="D306" s="49" t="n"/>
      <c r="H306" s="49" t="n"/>
      <c r="I306" s="49" t="n"/>
      <c r="J306" s="49" t="n"/>
    </row>
    <row r="307">
      <c r="B307" s="49" t="n"/>
      <c r="C307" s="49" t="n"/>
      <c r="D307" s="49" t="n"/>
      <c r="H307" s="49" t="n"/>
      <c r="I307" s="49" t="n"/>
      <c r="J307" s="49" t="n"/>
    </row>
    <row r="308">
      <c r="B308" s="49" t="n"/>
      <c r="C308" s="49" t="n"/>
      <c r="D308" s="49" t="n"/>
      <c r="H308" s="49" t="n"/>
      <c r="I308" s="49" t="n"/>
      <c r="J308" s="49" t="n"/>
    </row>
    <row r="309">
      <c r="B309" s="49" t="n"/>
      <c r="C309" s="49" t="n"/>
      <c r="D309" s="49" t="n"/>
      <c r="H309" s="49" t="n"/>
      <c r="I309" s="49" t="n"/>
      <c r="J309" s="49" t="n"/>
    </row>
    <row r="310">
      <c r="B310" s="49" t="n"/>
      <c r="C310" s="49" t="n"/>
      <c r="D310" s="49" t="n"/>
      <c r="H310" s="49" t="n"/>
      <c r="I310" s="49" t="n"/>
      <c r="J310" s="49" t="n"/>
    </row>
    <row r="311">
      <c r="B311" s="49" t="n"/>
      <c r="C311" s="49" t="n"/>
      <c r="D311" s="49" t="n"/>
      <c r="H311" s="49" t="n"/>
      <c r="I311" s="49" t="n"/>
      <c r="J311" s="49" t="n"/>
    </row>
    <row r="312">
      <c r="B312" s="49" t="n"/>
      <c r="C312" s="49" t="n"/>
      <c r="D312" s="49" t="n"/>
      <c r="H312" s="49" t="n"/>
      <c r="I312" s="49" t="n"/>
      <c r="J312" s="49" t="n"/>
    </row>
    <row r="313">
      <c r="B313" s="49" t="n"/>
      <c r="C313" s="49" t="n"/>
      <c r="D313" s="49" t="n"/>
      <c r="H313" s="49" t="n"/>
      <c r="I313" s="49" t="n"/>
      <c r="J313" s="49" t="n"/>
    </row>
    <row r="314">
      <c r="B314" s="49" t="n"/>
      <c r="C314" s="49" t="n"/>
      <c r="D314" s="49" t="n"/>
      <c r="H314" s="49" t="n"/>
      <c r="I314" s="49" t="n"/>
      <c r="J314" s="49" t="n"/>
    </row>
    <row r="315">
      <c r="B315" s="49" t="n"/>
      <c r="C315" s="49" t="n"/>
      <c r="D315" s="49" t="n"/>
      <c r="H315" s="49" t="n"/>
      <c r="I315" s="49" t="n"/>
      <c r="J315" s="49" t="n"/>
    </row>
    <row r="316">
      <c r="B316" s="49" t="n"/>
      <c r="C316" s="49" t="n"/>
      <c r="D316" s="49" t="n"/>
      <c r="H316" s="49" t="n"/>
      <c r="I316" s="49" t="n"/>
      <c r="J316" s="49" t="n"/>
    </row>
    <row r="317">
      <c r="B317" s="49" t="n"/>
      <c r="C317" s="49" t="n"/>
      <c r="D317" s="49" t="n"/>
      <c r="H317" s="49" t="n"/>
      <c r="I317" s="49" t="n"/>
      <c r="J317" s="49" t="n"/>
    </row>
    <row r="318">
      <c r="B318" s="49" t="n"/>
      <c r="C318" s="49" t="n"/>
      <c r="D318" s="49" t="n"/>
      <c r="H318" s="49" t="n"/>
      <c r="I318" s="49" t="n"/>
      <c r="J318" s="49" t="n"/>
    </row>
    <row r="319">
      <c r="B319" s="49" t="n"/>
      <c r="C319" s="49" t="n"/>
      <c r="D319" s="49" t="n"/>
      <c r="H319" s="49" t="n"/>
      <c r="I319" s="49" t="n"/>
      <c r="J319" s="49" t="n"/>
    </row>
    <row r="320">
      <c r="B320" s="49" t="n"/>
      <c r="C320" s="49" t="n"/>
      <c r="D320" s="49" t="n"/>
      <c r="H320" s="49" t="n"/>
      <c r="I320" s="49" t="n"/>
      <c r="J320" s="49" t="n"/>
    </row>
    <row r="321">
      <c r="B321" s="49" t="n"/>
      <c r="C321" s="49" t="n"/>
      <c r="D321" s="49" t="n"/>
      <c r="H321" s="49" t="n"/>
      <c r="I321" s="49" t="n"/>
      <c r="J321" s="49" t="n"/>
    </row>
    <row r="322">
      <c r="B322" s="49" t="n"/>
      <c r="C322" s="49" t="n"/>
      <c r="D322" s="49" t="n"/>
      <c r="H322" s="49" t="n"/>
      <c r="I322" s="49" t="n"/>
      <c r="J322" s="49" t="n"/>
    </row>
    <row r="323">
      <c r="B323" s="49" t="n"/>
      <c r="C323" s="49" t="n"/>
      <c r="D323" s="49" t="n"/>
      <c r="H323" s="49" t="n"/>
      <c r="I323" s="49" t="n"/>
      <c r="J323" s="49" t="n"/>
    </row>
    <row r="324">
      <c r="B324" s="49" t="n"/>
      <c r="C324" s="49" t="n"/>
      <c r="D324" s="49" t="n"/>
      <c r="H324" s="49" t="n"/>
      <c r="I324" s="49" t="n"/>
      <c r="J324" s="49" t="n"/>
    </row>
    <row r="325">
      <c r="B325" s="49" t="n"/>
      <c r="C325" s="49" t="n"/>
      <c r="D325" s="49" t="n"/>
      <c r="H325" s="49" t="n"/>
      <c r="I325" s="49" t="n"/>
      <c r="J325" s="49" t="n"/>
    </row>
    <row r="326">
      <c r="B326" s="49" t="n"/>
      <c r="C326" s="49" t="n"/>
      <c r="D326" s="49" t="n"/>
      <c r="H326" s="49" t="n"/>
      <c r="I326" s="49" t="n"/>
      <c r="J326" s="49" t="n"/>
    </row>
    <row r="327">
      <c r="B327" s="49" t="n"/>
      <c r="C327" s="49" t="n"/>
      <c r="D327" s="49" t="n"/>
      <c r="H327" s="49" t="n"/>
      <c r="I327" s="49" t="n"/>
      <c r="J327" s="49" t="n"/>
    </row>
    <row r="328">
      <c r="B328" s="49" t="n"/>
      <c r="C328" s="49" t="n"/>
      <c r="D328" s="49" t="n"/>
      <c r="H328" s="49" t="n"/>
      <c r="I328" s="49" t="n"/>
      <c r="J328" s="49" t="n"/>
    </row>
    <row r="329">
      <c r="B329" s="49" t="n"/>
      <c r="C329" s="49" t="n"/>
      <c r="D329" s="49" t="n"/>
      <c r="H329" s="49" t="n"/>
      <c r="I329" s="49" t="n"/>
      <c r="J329" s="49" t="n"/>
    </row>
    <row r="330">
      <c r="B330" s="49" t="n"/>
      <c r="C330" s="49" t="n"/>
      <c r="D330" s="49" t="n"/>
      <c r="H330" s="49" t="n"/>
      <c r="I330" s="49" t="n"/>
      <c r="J330" s="49" t="n"/>
    </row>
    <row r="331">
      <c r="B331" s="49" t="n"/>
      <c r="C331" s="49" t="n"/>
      <c r="D331" s="49" t="n"/>
      <c r="H331" s="49" t="n"/>
      <c r="I331" s="49" t="n"/>
      <c r="J331" s="49" t="n"/>
    </row>
    <row r="332">
      <c r="B332" s="49" t="n"/>
      <c r="C332" s="49" t="n"/>
      <c r="D332" s="49" t="n"/>
      <c r="H332" s="49" t="n"/>
      <c r="I332" s="49" t="n"/>
      <c r="J332" s="49" t="n"/>
    </row>
    <row r="333">
      <c r="B333" s="49" t="n"/>
      <c r="C333" s="49" t="n"/>
      <c r="D333" s="49" t="n"/>
      <c r="H333" s="49" t="n"/>
      <c r="I333" s="49" t="n"/>
      <c r="J333" s="49" t="n"/>
    </row>
    <row r="334">
      <c r="B334" s="49" t="n"/>
      <c r="C334" s="49" t="n"/>
      <c r="D334" s="49" t="n"/>
      <c r="H334" s="49" t="n"/>
      <c r="I334" s="49" t="n"/>
      <c r="J334" s="49" t="n"/>
    </row>
    <row r="335">
      <c r="B335" s="49" t="n"/>
      <c r="C335" s="49" t="n"/>
      <c r="D335" s="49" t="n"/>
      <c r="H335" s="49" t="n"/>
      <c r="I335" s="49" t="n"/>
      <c r="J335" s="49" t="n"/>
    </row>
    <row r="336">
      <c r="B336" s="49" t="n"/>
      <c r="C336" s="49" t="n"/>
      <c r="D336" s="49" t="n"/>
      <c r="H336" s="49" t="n"/>
      <c r="I336" s="49" t="n"/>
      <c r="J336" s="49" t="n"/>
    </row>
    <row r="337">
      <c r="B337" s="49" t="n"/>
      <c r="C337" s="49" t="n"/>
      <c r="D337" s="49" t="n"/>
      <c r="H337" s="49" t="n"/>
      <c r="I337" s="49" t="n"/>
      <c r="J337" s="49" t="n"/>
    </row>
    <row r="338">
      <c r="B338" s="49" t="n"/>
      <c r="C338" s="49" t="n"/>
      <c r="D338" s="49" t="n"/>
      <c r="H338" s="49" t="n"/>
      <c r="I338" s="49" t="n"/>
      <c r="J338" s="49" t="n"/>
    </row>
    <row r="339">
      <c r="B339" s="49" t="n"/>
      <c r="C339" s="49" t="n"/>
      <c r="D339" s="49" t="n"/>
      <c r="H339" s="49" t="n"/>
      <c r="I339" s="49" t="n"/>
      <c r="J339" s="49" t="n"/>
    </row>
    <row r="340">
      <c r="B340" s="49" t="n"/>
      <c r="C340" s="49" t="n"/>
      <c r="D340" s="49" t="n"/>
      <c r="H340" s="49" t="n"/>
      <c r="I340" s="49" t="n"/>
      <c r="J340" s="49" t="n"/>
    </row>
    <row r="341">
      <c r="B341" s="49" t="n"/>
      <c r="C341" s="49" t="n"/>
      <c r="D341" s="49" t="n"/>
      <c r="H341" s="49" t="n"/>
      <c r="I341" s="49" t="n"/>
      <c r="J341" s="49" t="n"/>
    </row>
    <row r="342">
      <c r="B342" s="49" t="n"/>
      <c r="C342" s="49" t="n"/>
      <c r="D342" s="49" t="n"/>
      <c r="H342" s="49" t="n"/>
      <c r="I342" s="49" t="n"/>
      <c r="J342" s="49" t="n"/>
    </row>
    <row r="343">
      <c r="B343" s="49" t="n"/>
      <c r="C343" s="49" t="n"/>
      <c r="D343" s="49" t="n"/>
      <c r="H343" s="49" t="n"/>
      <c r="I343" s="49" t="n"/>
      <c r="J343" s="49" t="n"/>
    </row>
    <row r="344">
      <c r="B344" s="49" t="n"/>
      <c r="C344" s="49" t="n"/>
      <c r="D344" s="49" t="n"/>
      <c r="H344" s="49" t="n"/>
      <c r="I344" s="49" t="n"/>
      <c r="J344" s="49" t="n"/>
    </row>
    <row r="345">
      <c r="B345" s="49" t="n"/>
      <c r="C345" s="49" t="n"/>
      <c r="D345" s="49" t="n"/>
      <c r="H345" s="49" t="n"/>
      <c r="I345" s="49" t="n"/>
      <c r="J345" s="49" t="n"/>
    </row>
    <row r="346">
      <c r="B346" s="49" t="n"/>
      <c r="C346" s="49" t="n"/>
      <c r="D346" s="49" t="n"/>
      <c r="H346" s="49" t="n"/>
      <c r="I346" s="49" t="n"/>
      <c r="J346" s="49" t="n"/>
    </row>
    <row r="347">
      <c r="B347" s="49" t="n"/>
      <c r="C347" s="49" t="n"/>
      <c r="D347" s="49" t="n"/>
      <c r="H347" s="49" t="n"/>
      <c r="I347" s="49" t="n"/>
      <c r="J347" s="49" t="n"/>
    </row>
    <row r="348">
      <c r="B348" s="49" t="n"/>
      <c r="C348" s="49" t="n"/>
      <c r="D348" s="49" t="n"/>
      <c r="H348" s="49" t="n"/>
      <c r="I348" s="49" t="n"/>
      <c r="J348" s="49" t="n"/>
    </row>
    <row r="349">
      <c r="B349" s="49" t="n"/>
      <c r="C349" s="49" t="n"/>
      <c r="D349" s="49" t="n"/>
      <c r="H349" s="49" t="n"/>
      <c r="I349" s="49" t="n"/>
      <c r="J349" s="49" t="n"/>
    </row>
    <row r="350">
      <c r="B350" s="49" t="n"/>
      <c r="C350" s="49" t="n"/>
      <c r="D350" s="49" t="n"/>
      <c r="H350" s="49" t="n"/>
      <c r="I350" s="49" t="n"/>
      <c r="J350" s="49" t="n"/>
    </row>
    <row r="351">
      <c r="B351" s="49" t="n"/>
      <c r="C351" s="49" t="n"/>
      <c r="D351" s="49" t="n"/>
      <c r="H351" s="49" t="n"/>
      <c r="I351" s="49" t="n"/>
      <c r="J351" s="49" t="n"/>
    </row>
    <row r="352">
      <c r="B352" s="49" t="n"/>
      <c r="C352" s="49" t="n"/>
      <c r="D352" s="49" t="n"/>
      <c r="H352" s="49" t="n"/>
      <c r="I352" s="49" t="n"/>
      <c r="J352" s="49" t="n"/>
    </row>
    <row r="353">
      <c r="B353" s="49" t="n"/>
      <c r="C353" s="49" t="n"/>
      <c r="D353" s="49" t="n"/>
      <c r="H353" s="49" t="n"/>
      <c r="I353" s="49" t="n"/>
      <c r="J353" s="49" t="n"/>
    </row>
    <row r="354">
      <c r="B354" s="49" t="n"/>
      <c r="C354" s="49" t="n"/>
      <c r="D354" s="49" t="n"/>
      <c r="H354" s="49" t="n"/>
      <c r="I354" s="49" t="n"/>
      <c r="J354" s="49" t="n"/>
    </row>
    <row r="355">
      <c r="B355" s="49" t="n"/>
      <c r="C355" s="49" t="n"/>
      <c r="D355" s="49" t="n"/>
      <c r="H355" s="49" t="n"/>
      <c r="I355" s="49" t="n"/>
      <c r="J355" s="49" t="n"/>
    </row>
    <row r="356">
      <c r="B356" s="49" t="n"/>
      <c r="C356" s="49" t="n"/>
      <c r="D356" s="49" t="n"/>
      <c r="H356" s="49" t="n"/>
      <c r="I356" s="49" t="n"/>
      <c r="J356" s="49" t="n"/>
    </row>
    <row r="357">
      <c r="B357" s="49" t="n"/>
      <c r="C357" s="49" t="n"/>
      <c r="D357" s="49" t="n"/>
      <c r="H357" s="49" t="n"/>
      <c r="I357" s="49" t="n"/>
      <c r="J357" s="49" t="n"/>
    </row>
    <row r="358">
      <c r="B358" s="49" t="n"/>
      <c r="C358" s="49" t="n"/>
      <c r="D358" s="49" t="n"/>
      <c r="H358" s="49" t="n"/>
      <c r="I358" s="49" t="n"/>
      <c r="J358" s="49" t="n"/>
    </row>
    <row r="359">
      <c r="B359" s="49" t="n"/>
      <c r="C359" s="49" t="n"/>
      <c r="D359" s="49" t="n"/>
      <c r="H359" s="49" t="n"/>
      <c r="I359" s="49" t="n"/>
      <c r="J359" s="49" t="n"/>
    </row>
    <row r="360">
      <c r="B360" s="49" t="n"/>
      <c r="C360" s="49" t="n"/>
      <c r="D360" s="49" t="n"/>
      <c r="H360" s="49" t="n"/>
      <c r="I360" s="49" t="n"/>
      <c r="J360" s="49" t="n"/>
    </row>
    <row r="361">
      <c r="B361" s="49" t="n"/>
      <c r="C361" s="49" t="n"/>
      <c r="D361" s="49" t="n"/>
      <c r="H361" s="49" t="n"/>
      <c r="I361" s="49" t="n"/>
      <c r="J361" s="49" t="n"/>
    </row>
    <row r="362">
      <c r="B362" s="49" t="n"/>
      <c r="C362" s="49" t="n"/>
      <c r="D362" s="49" t="n"/>
      <c r="H362" s="49" t="n"/>
      <c r="I362" s="49" t="n"/>
      <c r="J362" s="49" t="n"/>
    </row>
    <row r="363">
      <c r="B363" s="49" t="n"/>
      <c r="C363" s="49" t="n"/>
      <c r="D363" s="49" t="n"/>
      <c r="H363" s="49" t="n"/>
      <c r="I363" s="49" t="n"/>
      <c r="J363" s="49" t="n"/>
    </row>
    <row r="364">
      <c r="B364" s="49" t="n"/>
      <c r="C364" s="49" t="n"/>
      <c r="D364" s="49" t="n"/>
      <c r="H364" s="49" t="n"/>
      <c r="I364" s="49" t="n"/>
      <c r="J364" s="49" t="n"/>
    </row>
    <row r="365">
      <c r="B365" s="49" t="n"/>
      <c r="C365" s="49" t="n"/>
      <c r="D365" s="49" t="n"/>
      <c r="H365" s="49" t="n"/>
      <c r="I365" s="49" t="n"/>
      <c r="J365" s="49" t="n"/>
    </row>
    <row r="366">
      <c r="B366" s="49" t="n"/>
      <c r="C366" s="49" t="n"/>
      <c r="D366" s="49" t="n"/>
      <c r="H366" s="49" t="n"/>
      <c r="I366" s="49" t="n"/>
      <c r="J366" s="49" t="n"/>
    </row>
    <row r="367">
      <c r="B367" s="49" t="n"/>
      <c r="C367" s="49" t="n"/>
      <c r="D367" s="49" t="n"/>
      <c r="H367" s="49" t="n"/>
      <c r="I367" s="49" t="n"/>
      <c r="J367" s="49" t="n"/>
    </row>
    <row r="368">
      <c r="B368" s="49" t="n"/>
      <c r="C368" s="49" t="n"/>
      <c r="D368" s="49" t="n"/>
      <c r="H368" s="49" t="n"/>
      <c r="I368" s="49" t="n"/>
      <c r="J368" s="49" t="n"/>
    </row>
    <row r="369">
      <c r="B369" s="49" t="n"/>
      <c r="C369" s="49" t="n"/>
      <c r="D369" s="49" t="n"/>
      <c r="H369" s="49" t="n"/>
      <c r="I369" s="49" t="n"/>
      <c r="J369" s="49" t="n"/>
    </row>
    <row r="370">
      <c r="B370" s="49" t="n"/>
      <c r="C370" s="49" t="n"/>
      <c r="D370" s="49" t="n"/>
      <c r="H370" s="49" t="n"/>
      <c r="I370" s="49" t="n"/>
      <c r="J370" s="49" t="n"/>
    </row>
    <row r="371">
      <c r="B371" s="49" t="n"/>
      <c r="C371" s="49" t="n"/>
      <c r="D371" s="49" t="n"/>
      <c r="H371" s="49" t="n"/>
      <c r="I371" s="49" t="n"/>
      <c r="J371" s="49" t="n"/>
    </row>
    <row r="372">
      <c r="B372" s="49" t="n"/>
      <c r="C372" s="49" t="n"/>
      <c r="D372" s="49" t="n"/>
      <c r="H372" s="49" t="n"/>
      <c r="I372" s="49" t="n"/>
      <c r="J372" s="49" t="n"/>
    </row>
    <row r="373">
      <c r="B373" s="49" t="n"/>
      <c r="C373" s="49" t="n"/>
      <c r="D373" s="49" t="n"/>
      <c r="H373" s="49" t="n"/>
      <c r="I373" s="49" t="n"/>
      <c r="J373" s="49" t="n"/>
    </row>
    <row r="374">
      <c r="B374" s="49" t="n"/>
      <c r="C374" s="49" t="n"/>
      <c r="D374" s="49" t="n"/>
      <c r="H374" s="49" t="n"/>
      <c r="I374" s="49" t="n"/>
      <c r="J374" s="49" t="n"/>
    </row>
    <row r="375">
      <c r="B375" s="49" t="n"/>
      <c r="C375" s="49" t="n"/>
      <c r="D375" s="49" t="n"/>
      <c r="H375" s="49" t="n"/>
      <c r="I375" s="49" t="n"/>
      <c r="J375" s="49" t="n"/>
    </row>
    <row r="376">
      <c r="B376" s="49" t="n"/>
      <c r="C376" s="49" t="n"/>
      <c r="D376" s="49" t="n"/>
      <c r="H376" s="49" t="n"/>
      <c r="I376" s="49" t="n"/>
      <c r="J376" s="49" t="n"/>
    </row>
    <row r="377">
      <c r="B377" s="49" t="n"/>
      <c r="C377" s="49" t="n"/>
      <c r="D377" s="49" t="n"/>
      <c r="H377" s="49" t="n"/>
      <c r="I377" s="49" t="n"/>
      <c r="J377" s="49" t="n"/>
    </row>
    <row r="378">
      <c r="B378" s="49" t="n"/>
      <c r="C378" s="49" t="n"/>
      <c r="D378" s="49" t="n"/>
      <c r="H378" s="49" t="n"/>
      <c r="I378" s="49" t="n"/>
      <c r="J378" s="49" t="n"/>
    </row>
    <row r="379">
      <c r="B379" s="49" t="n"/>
      <c r="C379" s="49" t="n"/>
      <c r="D379" s="49" t="n"/>
      <c r="H379" s="49" t="n"/>
      <c r="I379" s="49" t="n"/>
      <c r="J379" s="49" t="n"/>
    </row>
    <row r="380">
      <c r="B380" s="49" t="n"/>
      <c r="C380" s="49" t="n"/>
      <c r="D380" s="49" t="n"/>
      <c r="H380" s="49" t="n"/>
      <c r="I380" s="49" t="n"/>
      <c r="J380" s="49" t="n"/>
    </row>
    <row r="381">
      <c r="B381" s="49" t="n"/>
      <c r="C381" s="49" t="n"/>
      <c r="D381" s="49" t="n"/>
      <c r="H381" s="49" t="n"/>
      <c r="I381" s="49" t="n"/>
      <c r="J381" s="49" t="n"/>
    </row>
    <row r="382">
      <c r="B382" s="49" t="n"/>
      <c r="C382" s="49" t="n"/>
      <c r="D382" s="49" t="n"/>
      <c r="H382" s="49" t="n"/>
      <c r="I382" s="49" t="n"/>
      <c r="J382" s="49" t="n"/>
    </row>
    <row r="383">
      <c r="B383" s="49" t="n"/>
      <c r="C383" s="49" t="n"/>
      <c r="D383" s="49" t="n"/>
      <c r="H383" s="49" t="n"/>
      <c r="I383" s="49" t="n"/>
      <c r="J383" s="49" t="n"/>
    </row>
    <row r="384">
      <c r="B384" s="49" t="n"/>
      <c r="C384" s="49" t="n"/>
      <c r="D384" s="49" t="n"/>
      <c r="H384" s="49" t="n"/>
      <c r="I384" s="49" t="n"/>
      <c r="J384" s="49" t="n"/>
    </row>
    <row r="385">
      <c r="B385" s="49" t="n"/>
      <c r="C385" s="49" t="n"/>
      <c r="D385" s="49" t="n"/>
      <c r="H385" s="49" t="n"/>
      <c r="I385" s="49" t="n"/>
      <c r="J385" s="49" t="n"/>
    </row>
    <row r="386">
      <c r="B386" s="49" t="n"/>
      <c r="C386" s="49" t="n"/>
      <c r="D386" s="49" t="n"/>
      <c r="H386" s="49" t="n"/>
      <c r="I386" s="49" t="n"/>
      <c r="J386" s="49" t="n"/>
    </row>
    <row r="387">
      <c r="B387" s="49" t="n"/>
      <c r="C387" s="49" t="n"/>
      <c r="D387" s="49" t="n"/>
      <c r="H387" s="49" t="n"/>
      <c r="I387" s="49" t="n"/>
      <c r="J387" s="49" t="n"/>
    </row>
    <row r="388">
      <c r="B388" s="49" t="n"/>
      <c r="C388" s="49" t="n"/>
      <c r="D388" s="49" t="n"/>
      <c r="H388" s="49" t="n"/>
      <c r="I388" s="49" t="n"/>
      <c r="J388" s="49" t="n"/>
    </row>
    <row r="389">
      <c r="B389" s="49" t="n"/>
      <c r="C389" s="49" t="n"/>
      <c r="D389" s="49" t="n"/>
      <c r="H389" s="49" t="n"/>
      <c r="I389" s="49" t="n"/>
      <c r="J389" s="49" t="n"/>
    </row>
    <row r="390">
      <c r="B390" s="49" t="n"/>
      <c r="C390" s="49" t="n"/>
      <c r="D390" s="49" t="n"/>
      <c r="H390" s="49" t="n"/>
      <c r="I390" s="49" t="n"/>
      <c r="J390" s="49" t="n"/>
    </row>
    <row r="391">
      <c r="B391" s="49" t="n"/>
      <c r="C391" s="49" t="n"/>
      <c r="D391" s="49" t="n"/>
      <c r="H391" s="49" t="n"/>
      <c r="I391" s="49" t="n"/>
      <c r="J391" s="49" t="n"/>
    </row>
    <row r="392">
      <c r="B392" s="49" t="n"/>
      <c r="C392" s="49" t="n"/>
      <c r="D392" s="49" t="n"/>
      <c r="H392" s="49" t="n"/>
      <c r="I392" s="49" t="n"/>
      <c r="J392" s="49" t="n"/>
    </row>
    <row r="393">
      <c r="B393" s="49" t="n"/>
      <c r="C393" s="49" t="n"/>
      <c r="D393" s="49" t="n"/>
      <c r="H393" s="49" t="n"/>
      <c r="I393" s="49" t="n"/>
      <c r="J393" s="49" t="n"/>
    </row>
    <row r="394">
      <c r="B394" s="49" t="n"/>
      <c r="C394" s="49" t="n"/>
      <c r="D394" s="49" t="n"/>
      <c r="H394" s="49" t="n"/>
      <c r="I394" s="49" t="n"/>
      <c r="J394" s="49" t="n"/>
    </row>
    <row r="395">
      <c r="B395" s="49" t="n"/>
      <c r="C395" s="49" t="n"/>
      <c r="D395" s="49" t="n"/>
      <c r="H395" s="49" t="n"/>
      <c r="I395" s="49" t="n"/>
      <c r="J395" s="49" t="n"/>
    </row>
    <row r="396">
      <c r="B396" s="49" t="n"/>
      <c r="C396" s="49" t="n"/>
      <c r="D396" s="49" t="n"/>
      <c r="H396" s="49" t="n"/>
      <c r="I396" s="49" t="n"/>
      <c r="J396" s="49" t="n"/>
    </row>
    <row r="397">
      <c r="B397" s="49" t="n"/>
      <c r="C397" s="49" t="n"/>
      <c r="D397" s="49" t="n"/>
      <c r="H397" s="49" t="n"/>
      <c r="I397" s="49" t="n"/>
      <c r="J397" s="49" t="n"/>
    </row>
    <row r="398">
      <c r="B398" s="49" t="n"/>
      <c r="C398" s="49" t="n"/>
      <c r="D398" s="49" t="n"/>
      <c r="H398" s="49" t="n"/>
      <c r="I398" s="49" t="n"/>
      <c r="J398" s="49" t="n"/>
    </row>
    <row r="399">
      <c r="B399" s="49" t="n"/>
      <c r="C399" s="49" t="n"/>
      <c r="D399" s="49" t="n"/>
      <c r="H399" s="49" t="n"/>
      <c r="I399" s="49" t="n"/>
      <c r="J399" s="49" t="n"/>
    </row>
    <row r="400">
      <c r="B400" s="49" t="n"/>
      <c r="C400" s="49" t="n"/>
      <c r="D400" s="49" t="n"/>
      <c r="H400" s="49" t="n"/>
      <c r="I400" s="49" t="n"/>
      <c r="J400" s="49" t="n"/>
    </row>
    <row r="401">
      <c r="B401" s="49" t="n"/>
      <c r="C401" s="49" t="n"/>
      <c r="D401" s="49" t="n"/>
      <c r="H401" s="49" t="n"/>
      <c r="I401" s="49" t="n"/>
      <c r="J401" s="49" t="n"/>
    </row>
    <row r="402">
      <c r="B402" s="49" t="n"/>
      <c r="C402" s="49" t="n"/>
      <c r="D402" s="49" t="n"/>
      <c r="H402" s="49" t="n"/>
      <c r="I402" s="49" t="n"/>
      <c r="J402" s="49" t="n"/>
    </row>
    <row r="403">
      <c r="B403" s="49" t="n"/>
      <c r="C403" s="49" t="n"/>
      <c r="D403" s="49" t="n"/>
      <c r="H403" s="49" t="n"/>
      <c r="I403" s="49" t="n"/>
      <c r="J403" s="49" t="n"/>
    </row>
    <row r="404">
      <c r="B404" s="49" t="n"/>
      <c r="C404" s="49" t="n"/>
      <c r="D404" s="49" t="n"/>
      <c r="H404" s="49" t="n"/>
      <c r="I404" s="49" t="n"/>
      <c r="J404" s="49" t="n"/>
    </row>
    <row r="405">
      <c r="B405" s="49" t="n"/>
      <c r="C405" s="49" t="n"/>
      <c r="D405" s="49" t="n"/>
      <c r="H405" s="49" t="n"/>
      <c r="I405" s="49" t="n"/>
      <c r="J405" s="49" t="n"/>
    </row>
    <row r="406">
      <c r="B406" s="49" t="n"/>
      <c r="C406" s="49" t="n"/>
      <c r="D406" s="49" t="n"/>
      <c r="H406" s="49" t="n"/>
      <c r="I406" s="49" t="n"/>
      <c r="J406" s="49" t="n"/>
    </row>
    <row r="407">
      <c r="B407" s="49" t="n"/>
      <c r="C407" s="49" t="n"/>
      <c r="D407" s="49" t="n"/>
      <c r="H407" s="49" t="n"/>
      <c r="I407" s="49" t="n"/>
      <c r="J407" s="49" t="n"/>
    </row>
    <row r="408">
      <c r="B408" s="49" t="n"/>
      <c r="C408" s="49" t="n"/>
      <c r="D408" s="49" t="n"/>
      <c r="H408" s="49" t="n"/>
      <c r="I408" s="49" t="n"/>
      <c r="J408" s="49" t="n"/>
    </row>
    <row r="409">
      <c r="B409" s="49" t="n"/>
      <c r="C409" s="49" t="n"/>
      <c r="D409" s="49" t="n"/>
      <c r="H409" s="49" t="n"/>
      <c r="I409" s="49" t="n"/>
      <c r="J409" s="49" t="n"/>
    </row>
    <row r="410">
      <c r="B410" s="49" t="n"/>
      <c r="C410" s="49" t="n"/>
      <c r="D410" s="49" t="n"/>
      <c r="H410" s="49" t="n"/>
      <c r="I410" s="49" t="n"/>
      <c r="J410" s="49" t="n"/>
    </row>
    <row r="411">
      <c r="B411" s="49" t="n"/>
      <c r="C411" s="49" t="n"/>
      <c r="D411" s="49" t="n"/>
      <c r="H411" s="49" t="n"/>
      <c r="I411" s="49" t="n"/>
      <c r="J411" s="49" t="n"/>
    </row>
    <row r="412">
      <c r="B412" s="49" t="n"/>
      <c r="C412" s="49" t="n"/>
      <c r="D412" s="49" t="n"/>
      <c r="H412" s="49" t="n"/>
      <c r="I412" s="49" t="n"/>
      <c r="J412" s="49" t="n"/>
    </row>
    <row r="413">
      <c r="B413" s="49" t="n"/>
      <c r="C413" s="49" t="n"/>
      <c r="D413" s="49" t="n"/>
      <c r="H413" s="49" t="n"/>
      <c r="I413" s="49" t="n"/>
      <c r="J413" s="49" t="n"/>
    </row>
    <row r="414">
      <c r="B414" s="49" t="n"/>
      <c r="C414" s="49" t="n"/>
      <c r="D414" s="49" t="n"/>
      <c r="H414" s="49" t="n"/>
      <c r="I414" s="49" t="n"/>
      <c r="J414" s="49" t="n"/>
    </row>
    <row r="415">
      <c r="B415" s="49" t="n"/>
      <c r="C415" s="49" t="n"/>
      <c r="D415" s="49" t="n"/>
      <c r="H415" s="49" t="n"/>
      <c r="I415" s="49" t="n"/>
      <c r="J415" s="49" t="n"/>
    </row>
    <row r="416">
      <c r="B416" s="49" t="n"/>
      <c r="C416" s="49" t="n"/>
      <c r="D416" s="49" t="n"/>
      <c r="H416" s="49" t="n"/>
      <c r="I416" s="49" t="n"/>
      <c r="J416" s="49" t="n"/>
    </row>
    <row r="417">
      <c r="B417" s="49" t="n"/>
      <c r="C417" s="49" t="n"/>
      <c r="D417" s="49" t="n"/>
      <c r="H417" s="49" t="n"/>
      <c r="I417" s="49" t="n"/>
      <c r="J417" s="49" t="n"/>
    </row>
    <row r="418">
      <c r="B418" s="49" t="n"/>
      <c r="C418" s="49" t="n"/>
      <c r="D418" s="49" t="n"/>
      <c r="H418" s="49" t="n"/>
      <c r="I418" s="49" t="n"/>
      <c r="J418" s="49" t="n"/>
    </row>
    <row r="419">
      <c r="B419" s="49" t="n"/>
      <c r="C419" s="49" t="n"/>
      <c r="D419" s="49" t="n"/>
      <c r="H419" s="49" t="n"/>
      <c r="I419" s="49" t="n"/>
      <c r="J419" s="49" t="n"/>
    </row>
    <row r="420">
      <c r="B420" s="49" t="n"/>
      <c r="C420" s="49" t="n"/>
      <c r="D420" s="49" t="n"/>
      <c r="H420" s="49" t="n"/>
      <c r="I420" s="49" t="n"/>
      <c r="J420" s="49" t="n"/>
    </row>
    <row r="421">
      <c r="B421" s="49" t="n"/>
      <c r="C421" s="49" t="n"/>
      <c r="D421" s="49" t="n"/>
      <c r="H421" s="49" t="n"/>
      <c r="I421" s="49" t="n"/>
      <c r="J421" s="49" t="n"/>
    </row>
    <row r="422">
      <c r="B422" s="49" t="n"/>
      <c r="C422" s="49" t="n"/>
      <c r="D422" s="49" t="n"/>
      <c r="H422" s="49" t="n"/>
      <c r="I422" s="49" t="n"/>
      <c r="J422" s="49" t="n"/>
    </row>
    <row r="423">
      <c r="B423" s="49" t="n"/>
      <c r="C423" s="49" t="n"/>
      <c r="D423" s="49" t="n"/>
      <c r="H423" s="49" t="n"/>
      <c r="I423" s="49" t="n"/>
      <c r="J423" s="49" t="n"/>
    </row>
    <row r="424">
      <c r="B424" s="49" t="n"/>
      <c r="C424" s="49" t="n"/>
      <c r="D424" s="49" t="n"/>
      <c r="H424" s="49" t="n"/>
      <c r="I424" s="49" t="n"/>
      <c r="J424" s="49" t="n"/>
    </row>
    <row r="425">
      <c r="B425" s="49" t="n"/>
      <c r="C425" s="49" t="n"/>
      <c r="D425" s="49" t="n"/>
      <c r="H425" s="49" t="n"/>
      <c r="I425" s="49" t="n"/>
      <c r="J425" s="49" t="n"/>
    </row>
    <row r="426">
      <c r="B426" s="49" t="n"/>
      <c r="C426" s="49" t="n"/>
      <c r="D426" s="49" t="n"/>
      <c r="H426" s="49" t="n"/>
      <c r="I426" s="49" t="n"/>
      <c r="J426" s="49" t="n"/>
    </row>
    <row r="427">
      <c r="B427" s="49" t="n"/>
      <c r="C427" s="49" t="n"/>
      <c r="D427" s="49" t="n"/>
      <c r="H427" s="49" t="n"/>
      <c r="I427" s="49" t="n"/>
      <c r="J427" s="49" t="n"/>
    </row>
    <row r="428">
      <c r="B428" s="49" t="n"/>
      <c r="C428" s="49" t="n"/>
      <c r="D428" s="49" t="n"/>
      <c r="H428" s="49" t="n"/>
      <c r="I428" s="49" t="n"/>
      <c r="J428" s="49" t="n"/>
    </row>
    <row r="429">
      <c r="B429" s="49" t="n"/>
      <c r="C429" s="49" t="n"/>
      <c r="D429" s="49" t="n"/>
      <c r="H429" s="49" t="n"/>
      <c r="I429" s="49" t="n"/>
      <c r="J429" s="49" t="n"/>
    </row>
    <row r="430">
      <c r="B430" s="49" t="n"/>
      <c r="C430" s="49" t="n"/>
      <c r="D430" s="49" t="n"/>
      <c r="H430" s="49" t="n"/>
      <c r="I430" s="49" t="n"/>
      <c r="J430" s="49" t="n"/>
    </row>
    <row r="431">
      <c r="B431" s="49" t="n"/>
      <c r="C431" s="49" t="n"/>
      <c r="D431" s="49" t="n"/>
      <c r="H431" s="49" t="n"/>
      <c r="I431" s="49" t="n"/>
      <c r="J431" s="49" t="n"/>
    </row>
    <row r="432">
      <c r="B432" s="49" t="n"/>
      <c r="C432" s="49" t="n"/>
      <c r="D432" s="49" t="n"/>
      <c r="H432" s="49" t="n"/>
      <c r="I432" s="49" t="n"/>
      <c r="J432" s="49" t="n"/>
    </row>
    <row r="433">
      <c r="B433" s="49" t="n"/>
      <c r="C433" s="49" t="n"/>
      <c r="D433" s="49" t="n"/>
      <c r="H433" s="49" t="n"/>
      <c r="I433" s="49" t="n"/>
      <c r="J433" s="49" t="n"/>
    </row>
    <row r="434">
      <c r="B434" s="49" t="n"/>
      <c r="C434" s="49" t="n"/>
      <c r="D434" s="49" t="n"/>
      <c r="H434" s="49" t="n"/>
      <c r="I434" s="49" t="n"/>
      <c r="J434" s="49" t="n"/>
    </row>
    <row r="435">
      <c r="B435" s="49" t="n"/>
      <c r="C435" s="49" t="n"/>
      <c r="D435" s="49" t="n"/>
      <c r="H435" s="49" t="n"/>
      <c r="I435" s="49" t="n"/>
      <c r="J435" s="49" t="n"/>
    </row>
    <row r="436">
      <c r="B436" s="49" t="n"/>
      <c r="C436" s="49" t="n"/>
      <c r="D436" s="49" t="n"/>
      <c r="H436" s="49" t="n"/>
      <c r="I436" s="49" t="n"/>
      <c r="J436" s="49" t="n"/>
    </row>
    <row r="437">
      <c r="B437" s="49" t="n"/>
      <c r="C437" s="49" t="n"/>
      <c r="D437" s="49" t="n"/>
      <c r="H437" s="49" t="n"/>
      <c r="I437" s="49" t="n"/>
      <c r="J437" s="49" t="n"/>
    </row>
    <row r="438">
      <c r="B438" s="49" t="n"/>
      <c r="C438" s="49" t="n"/>
      <c r="D438" s="49" t="n"/>
      <c r="H438" s="49" t="n"/>
      <c r="I438" s="49" t="n"/>
      <c r="J438" s="49" t="n"/>
    </row>
    <row r="439">
      <c r="B439" s="49" t="n"/>
      <c r="C439" s="49" t="n"/>
      <c r="D439" s="49" t="n"/>
      <c r="H439" s="49" t="n"/>
      <c r="I439" s="49" t="n"/>
      <c r="J439" s="49" t="n"/>
    </row>
    <row r="440">
      <c r="B440" s="49" t="n"/>
      <c r="C440" s="49" t="n"/>
      <c r="D440" s="49" t="n"/>
      <c r="H440" s="49" t="n"/>
      <c r="I440" s="49" t="n"/>
      <c r="J440" s="49" t="n"/>
    </row>
    <row r="441">
      <c r="B441" s="49" t="n"/>
      <c r="C441" s="49" t="n"/>
      <c r="D441" s="49" t="n"/>
      <c r="H441" s="49" t="n"/>
      <c r="I441" s="49" t="n"/>
      <c r="J441" s="49" t="n"/>
    </row>
    <row r="442">
      <c r="B442" s="49" t="n"/>
      <c r="C442" s="49" t="n"/>
      <c r="D442" s="49" t="n"/>
      <c r="H442" s="49" t="n"/>
      <c r="I442" s="49" t="n"/>
      <c r="J442" s="49" t="n"/>
    </row>
    <row r="443">
      <c r="B443" s="49" t="n"/>
      <c r="C443" s="49" t="n"/>
      <c r="D443" s="49" t="n"/>
      <c r="H443" s="49" t="n"/>
      <c r="I443" s="49" t="n"/>
      <c r="J443" s="49" t="n"/>
    </row>
    <row r="444">
      <c r="B444" s="49" t="n"/>
      <c r="C444" s="49" t="n"/>
      <c r="D444" s="49" t="n"/>
      <c r="H444" s="49" t="n"/>
      <c r="I444" s="49" t="n"/>
      <c r="J444" s="49" t="n"/>
    </row>
    <row r="445">
      <c r="B445" s="49" t="n"/>
      <c r="C445" s="49" t="n"/>
      <c r="D445" s="49" t="n"/>
      <c r="H445" s="49" t="n"/>
      <c r="I445" s="49" t="n"/>
      <c r="J445" s="49" t="n"/>
    </row>
    <row r="446">
      <c r="B446" s="49" t="n"/>
      <c r="C446" s="49" t="n"/>
      <c r="D446" s="49" t="n"/>
      <c r="H446" s="49" t="n"/>
      <c r="I446" s="49" t="n"/>
      <c r="J446" s="49" t="n"/>
    </row>
    <row r="447">
      <c r="B447" s="49" t="n"/>
      <c r="C447" s="49" t="n"/>
      <c r="D447" s="49" t="n"/>
      <c r="H447" s="49" t="n"/>
      <c r="I447" s="49" t="n"/>
      <c r="J447" s="49" t="n"/>
    </row>
    <row r="448">
      <c r="B448" s="49" t="n"/>
      <c r="C448" s="49" t="n"/>
      <c r="D448" s="49" t="n"/>
      <c r="H448" s="49" t="n"/>
      <c r="I448" s="49" t="n"/>
      <c r="J448" s="49" t="n"/>
    </row>
    <row r="449">
      <c r="B449" s="49" t="n"/>
      <c r="C449" s="49" t="n"/>
      <c r="D449" s="49" t="n"/>
      <c r="H449" s="49" t="n"/>
      <c r="I449" s="49" t="n"/>
      <c r="J449" s="49" t="n"/>
    </row>
    <row r="450">
      <c r="B450" s="49" t="n"/>
      <c r="C450" s="49" t="n"/>
      <c r="D450" s="49" t="n"/>
      <c r="H450" s="49" t="n"/>
      <c r="I450" s="49" t="n"/>
      <c r="J450" s="49" t="n"/>
    </row>
    <row r="451">
      <c r="B451" s="49" t="n"/>
      <c r="C451" s="49" t="n"/>
      <c r="D451" s="49" t="n"/>
      <c r="H451" s="49" t="n"/>
      <c r="I451" s="49" t="n"/>
      <c r="J451" s="49" t="n"/>
    </row>
    <row r="452">
      <c r="B452" s="49" t="n"/>
      <c r="C452" s="49" t="n"/>
      <c r="D452" s="49" t="n"/>
      <c r="H452" s="49" t="n"/>
      <c r="I452" s="49" t="n"/>
      <c r="J452" s="49" t="n"/>
    </row>
    <row r="453">
      <c r="B453" s="49" t="n"/>
      <c r="C453" s="49" t="n"/>
      <c r="D453" s="49" t="n"/>
      <c r="H453" s="49" t="n"/>
      <c r="I453" s="49" t="n"/>
      <c r="J453" s="49" t="n"/>
    </row>
    <row r="454">
      <c r="B454" s="49" t="n"/>
      <c r="C454" s="49" t="n"/>
      <c r="D454" s="49" t="n"/>
      <c r="H454" s="49" t="n"/>
      <c r="I454" s="49" t="n"/>
      <c r="J454" s="49" t="n"/>
    </row>
    <row r="455">
      <c r="B455" s="49" t="n"/>
      <c r="C455" s="49" t="n"/>
      <c r="D455" s="49" t="n"/>
      <c r="H455" s="49" t="n"/>
      <c r="I455" s="49" t="n"/>
      <c r="J455" s="49" t="n"/>
    </row>
    <row r="456">
      <c r="B456" s="49" t="n"/>
      <c r="C456" s="49" t="n"/>
      <c r="D456" s="49" t="n"/>
      <c r="H456" s="49" t="n"/>
      <c r="I456" s="49" t="n"/>
      <c r="J456" s="49" t="n"/>
    </row>
    <row r="457">
      <c r="B457" s="49" t="n"/>
      <c r="C457" s="49" t="n"/>
      <c r="D457" s="49" t="n"/>
      <c r="H457" s="49" t="n"/>
      <c r="I457" s="49" t="n"/>
      <c r="J457" s="49" t="n"/>
    </row>
    <row r="458">
      <c r="B458" s="49" t="n"/>
      <c r="C458" s="49" t="n"/>
      <c r="D458" s="49" t="n"/>
      <c r="H458" s="49" t="n"/>
      <c r="I458" s="49" t="n"/>
      <c r="J458" s="49" t="n"/>
    </row>
    <row r="459">
      <c r="B459" s="49" t="n"/>
      <c r="C459" s="49" t="n"/>
      <c r="D459" s="49" t="n"/>
      <c r="H459" s="49" t="n"/>
      <c r="I459" s="49" t="n"/>
      <c r="J459" s="49" t="n"/>
    </row>
    <row r="460">
      <c r="B460" s="49" t="n"/>
      <c r="C460" s="49" t="n"/>
      <c r="D460" s="49" t="n"/>
      <c r="H460" s="49" t="n"/>
      <c r="I460" s="49" t="n"/>
      <c r="J460" s="49" t="n"/>
    </row>
    <row r="461">
      <c r="B461" s="49" t="n"/>
      <c r="C461" s="49" t="n"/>
      <c r="D461" s="49" t="n"/>
      <c r="H461" s="49" t="n"/>
      <c r="I461" s="49" t="n"/>
      <c r="J461" s="49" t="n"/>
    </row>
    <row r="462">
      <c r="B462" s="49" t="n"/>
      <c r="C462" s="49" t="n"/>
      <c r="D462" s="49" t="n"/>
      <c r="H462" s="49" t="n"/>
      <c r="I462" s="49" t="n"/>
      <c r="J462" s="49" t="n"/>
    </row>
    <row r="463">
      <c r="B463" s="49" t="n"/>
      <c r="C463" s="49" t="n"/>
      <c r="D463" s="49" t="n"/>
      <c r="H463" s="49" t="n"/>
      <c r="I463" s="49" t="n"/>
      <c r="J463" s="49" t="n"/>
    </row>
    <row r="464">
      <c r="B464" s="49" t="n"/>
      <c r="C464" s="49" t="n"/>
      <c r="D464" s="49" t="n"/>
      <c r="H464" s="49" t="n"/>
      <c r="I464" s="49" t="n"/>
      <c r="J464" s="49" t="n"/>
    </row>
    <row r="465">
      <c r="B465" s="49" t="n"/>
      <c r="C465" s="49" t="n"/>
      <c r="D465" s="49" t="n"/>
      <c r="H465" s="49" t="n"/>
      <c r="I465" s="49" t="n"/>
      <c r="J465" s="49" t="n"/>
    </row>
    <row r="466">
      <c r="B466" s="49" t="n"/>
      <c r="C466" s="49" t="n"/>
      <c r="D466" s="49" t="n"/>
      <c r="H466" s="49" t="n"/>
      <c r="I466" s="49" t="n"/>
      <c r="J466" s="49" t="n"/>
    </row>
    <row r="467">
      <c r="B467" s="49" t="n"/>
      <c r="C467" s="49" t="n"/>
      <c r="D467" s="49" t="n"/>
      <c r="H467" s="49" t="n"/>
      <c r="I467" s="49" t="n"/>
      <c r="J467" s="49" t="n"/>
    </row>
    <row r="468">
      <c r="B468" s="49" t="n"/>
      <c r="C468" s="49" t="n"/>
      <c r="D468" s="49" t="n"/>
      <c r="H468" s="49" t="n"/>
      <c r="I468" s="49" t="n"/>
      <c r="J468" s="49" t="n"/>
    </row>
    <row r="469">
      <c r="B469" s="49" t="n"/>
      <c r="C469" s="49" t="n"/>
      <c r="D469" s="49" t="n"/>
      <c r="H469" s="49" t="n"/>
      <c r="I469" s="49" t="n"/>
      <c r="J469" s="49" t="n"/>
    </row>
    <row r="470">
      <c r="B470" s="49" t="n"/>
      <c r="C470" s="49" t="n"/>
      <c r="D470" s="49" t="n"/>
      <c r="H470" s="49" t="n"/>
      <c r="I470" s="49" t="n"/>
      <c r="J470" s="49" t="n"/>
    </row>
    <row r="471">
      <c r="B471" s="49" t="n"/>
      <c r="C471" s="49" t="n"/>
      <c r="D471" s="49" t="n"/>
      <c r="H471" s="49" t="n"/>
      <c r="I471" s="49" t="n"/>
      <c r="J471" s="49" t="n"/>
    </row>
    <row r="472">
      <c r="B472" s="49" t="n"/>
      <c r="C472" s="49" t="n"/>
      <c r="D472" s="49" t="n"/>
      <c r="H472" s="49" t="n"/>
      <c r="I472" s="49" t="n"/>
      <c r="J472" s="49" t="n"/>
    </row>
    <row r="473">
      <c r="B473" s="49" t="n"/>
      <c r="C473" s="49" t="n"/>
      <c r="D473" s="49" t="n"/>
      <c r="H473" s="49" t="n"/>
      <c r="I473" s="49" t="n"/>
      <c r="J473" s="49" t="n"/>
    </row>
    <row r="474">
      <c r="B474" s="49" t="n"/>
      <c r="C474" s="49" t="n"/>
      <c r="D474" s="49" t="n"/>
      <c r="H474" s="49" t="n"/>
      <c r="I474" s="49" t="n"/>
      <c r="J474" s="49" t="n"/>
    </row>
    <row r="475">
      <c r="B475" s="49" t="n"/>
      <c r="C475" s="49" t="n"/>
      <c r="D475" s="49" t="n"/>
      <c r="H475" s="49" t="n"/>
      <c r="I475" s="49" t="n"/>
      <c r="J475" s="49" t="n"/>
    </row>
    <row r="476">
      <c r="B476" s="49" t="n"/>
      <c r="C476" s="49" t="n"/>
      <c r="D476" s="49" t="n"/>
      <c r="H476" s="49" t="n"/>
      <c r="I476" s="49" t="n"/>
      <c r="J476" s="49" t="n"/>
    </row>
    <row r="477">
      <c r="B477" s="49" t="n"/>
      <c r="C477" s="49" t="n"/>
      <c r="D477" s="49" t="n"/>
      <c r="H477" s="49" t="n"/>
      <c r="I477" s="49" t="n"/>
      <c r="J477" s="49" t="n"/>
    </row>
    <row r="478">
      <c r="B478" s="49" t="n"/>
      <c r="C478" s="49" t="n"/>
      <c r="D478" s="49" t="n"/>
      <c r="H478" s="49" t="n"/>
      <c r="I478" s="49" t="n"/>
      <c r="J478" s="49" t="n"/>
    </row>
    <row r="479">
      <c r="B479" s="49" t="n"/>
      <c r="C479" s="49" t="n"/>
      <c r="D479" s="49" t="n"/>
      <c r="H479" s="49" t="n"/>
      <c r="I479" s="49" t="n"/>
      <c r="J479" s="49" t="n"/>
    </row>
    <row r="480">
      <c r="B480" s="49" t="n"/>
      <c r="C480" s="49" t="n"/>
      <c r="D480" s="49" t="n"/>
      <c r="H480" s="49" t="n"/>
      <c r="I480" s="49" t="n"/>
      <c r="J480" s="49" t="n"/>
    </row>
    <row r="481">
      <c r="B481" s="49" t="n"/>
      <c r="C481" s="49" t="n"/>
      <c r="D481" s="49" t="n"/>
      <c r="H481" s="49" t="n"/>
      <c r="I481" s="49" t="n"/>
      <c r="J481" s="49" t="n"/>
    </row>
    <row r="482">
      <c r="B482" s="49" t="n"/>
      <c r="C482" s="49" t="n"/>
      <c r="D482" s="49" t="n"/>
      <c r="H482" s="49" t="n"/>
      <c r="I482" s="49" t="n"/>
      <c r="J482" s="49" t="n"/>
    </row>
    <row r="483">
      <c r="B483" s="49" t="n"/>
      <c r="C483" s="49" t="n"/>
      <c r="D483" s="49" t="n"/>
      <c r="H483" s="49" t="n"/>
      <c r="I483" s="49" t="n"/>
      <c r="J483" s="49" t="n"/>
    </row>
    <row r="484">
      <c r="B484" s="49" t="n"/>
      <c r="C484" s="49" t="n"/>
      <c r="D484" s="49" t="n"/>
      <c r="H484" s="49" t="n"/>
      <c r="I484" s="49" t="n"/>
      <c r="J484" s="49" t="n"/>
    </row>
    <row r="485">
      <c r="B485" s="49" t="n"/>
      <c r="C485" s="49" t="n"/>
      <c r="D485" s="49" t="n"/>
      <c r="H485" s="49" t="n"/>
      <c r="I485" s="49" t="n"/>
      <c r="J485" s="49" t="n"/>
    </row>
    <row r="486">
      <c r="B486" s="49" t="n"/>
      <c r="C486" s="49" t="n"/>
      <c r="D486" s="49" t="n"/>
      <c r="H486" s="49" t="n"/>
      <c r="I486" s="49" t="n"/>
      <c r="J486" s="49" t="n"/>
    </row>
    <row r="487">
      <c r="B487" s="49" t="n"/>
      <c r="C487" s="49" t="n"/>
      <c r="D487" s="49" t="n"/>
      <c r="H487" s="49" t="n"/>
      <c r="I487" s="49" t="n"/>
      <c r="J487" s="49" t="n"/>
    </row>
    <row r="488">
      <c r="B488" s="49" t="n"/>
      <c r="C488" s="49" t="n"/>
      <c r="D488" s="49" t="n"/>
      <c r="H488" s="49" t="n"/>
      <c r="I488" s="49" t="n"/>
      <c r="J488" s="49" t="n"/>
    </row>
    <row r="489">
      <c r="B489" s="49" t="n"/>
      <c r="C489" s="49" t="n"/>
      <c r="D489" s="49" t="n"/>
      <c r="H489" s="49" t="n"/>
      <c r="I489" s="49" t="n"/>
      <c r="J489" s="49" t="n"/>
    </row>
    <row r="490">
      <c r="B490" s="49" t="n"/>
      <c r="C490" s="49" t="n"/>
      <c r="D490" s="49" t="n"/>
      <c r="H490" s="49" t="n"/>
      <c r="I490" s="49" t="n"/>
      <c r="J490" s="49" t="n"/>
    </row>
    <row r="491">
      <c r="B491" s="49" t="n"/>
      <c r="C491" s="49" t="n"/>
      <c r="D491" s="49" t="n"/>
      <c r="H491" s="49" t="n"/>
      <c r="I491" s="49" t="n"/>
      <c r="J491" s="49" t="n"/>
    </row>
    <row r="492">
      <c r="B492" s="49" t="n"/>
      <c r="C492" s="49" t="n"/>
      <c r="D492" s="49" t="n"/>
      <c r="H492" s="49" t="n"/>
      <c r="I492" s="49" t="n"/>
      <c r="J492" s="49" t="n"/>
    </row>
    <row r="493">
      <c r="B493" s="49" t="n"/>
      <c r="C493" s="49" t="n"/>
      <c r="D493" s="49" t="n"/>
      <c r="H493" s="49" t="n"/>
      <c r="I493" s="49" t="n"/>
      <c r="J493" s="49" t="n"/>
    </row>
    <row r="494">
      <c r="B494" s="49" t="n"/>
      <c r="C494" s="49" t="n"/>
      <c r="D494" s="49" t="n"/>
      <c r="H494" s="49" t="n"/>
      <c r="I494" s="49" t="n"/>
      <c r="J494" s="49" t="n"/>
    </row>
    <row r="495">
      <c r="B495" s="49" t="n"/>
      <c r="C495" s="49" t="n"/>
      <c r="D495" s="49" t="n"/>
      <c r="H495" s="49" t="n"/>
      <c r="I495" s="49" t="n"/>
      <c r="J495" s="49" t="n"/>
    </row>
    <row r="496">
      <c r="B496" s="49" t="n"/>
      <c r="C496" s="49" t="n"/>
      <c r="D496" s="49" t="n"/>
      <c r="H496" s="49" t="n"/>
      <c r="I496" s="49" t="n"/>
      <c r="J496" s="49" t="n"/>
    </row>
    <row r="497">
      <c r="B497" s="49" t="n"/>
      <c r="C497" s="49" t="n"/>
      <c r="D497" s="49" t="n"/>
      <c r="H497" s="49" t="n"/>
      <c r="I497" s="49" t="n"/>
      <c r="J497" s="49" t="n"/>
    </row>
    <row r="498">
      <c r="B498" s="49" t="n"/>
      <c r="C498" s="49" t="n"/>
      <c r="D498" s="49" t="n"/>
      <c r="H498" s="49" t="n"/>
      <c r="I498" s="49" t="n"/>
      <c r="J498" s="49" t="n"/>
    </row>
    <row r="499">
      <c r="B499" s="49" t="n"/>
      <c r="C499" s="49" t="n"/>
      <c r="D499" s="49" t="n"/>
      <c r="H499" s="49" t="n"/>
      <c r="I499" s="49" t="n"/>
      <c r="J499" s="49" t="n"/>
    </row>
    <row r="500">
      <c r="B500" s="49" t="n"/>
      <c r="C500" s="49" t="n"/>
      <c r="D500" s="49" t="n"/>
      <c r="H500" s="49" t="n"/>
      <c r="I500" s="49" t="n"/>
      <c r="J500" s="49" t="n"/>
    </row>
    <row r="501">
      <c r="B501" s="49" t="n"/>
      <c r="C501" s="49" t="n"/>
      <c r="D501" s="49" t="n"/>
      <c r="H501" s="49" t="n"/>
      <c r="I501" s="49" t="n"/>
      <c r="J501" s="49" t="n"/>
    </row>
    <row r="502">
      <c r="B502" s="49" t="n"/>
      <c r="C502" s="49" t="n"/>
      <c r="D502" s="49" t="n"/>
      <c r="H502" s="49" t="n"/>
      <c r="I502" s="49" t="n"/>
      <c r="J502" s="49" t="n"/>
    </row>
    <row r="503">
      <c r="B503" s="49" t="n"/>
      <c r="C503" s="49" t="n"/>
      <c r="D503" s="49" t="n"/>
      <c r="H503" s="49" t="n"/>
      <c r="I503" s="49" t="n"/>
      <c r="J503" s="49" t="n"/>
    </row>
    <row r="504">
      <c r="B504" s="49" t="n"/>
      <c r="C504" s="49" t="n"/>
      <c r="D504" s="49" t="n"/>
      <c r="H504" s="49" t="n"/>
      <c r="I504" s="49" t="n"/>
      <c r="J504" s="49" t="n"/>
    </row>
    <row r="505">
      <c r="B505" s="49" t="n"/>
      <c r="C505" s="49" t="n"/>
      <c r="D505" s="49" t="n"/>
      <c r="H505" s="49" t="n"/>
      <c r="I505" s="49" t="n"/>
      <c r="J505" s="49" t="n"/>
    </row>
    <row r="506">
      <c r="B506" s="49" t="n"/>
      <c r="C506" s="49" t="n"/>
      <c r="D506" s="49" t="n"/>
      <c r="H506" s="49" t="n"/>
      <c r="I506" s="49" t="n"/>
      <c r="J506" s="49" t="n"/>
    </row>
    <row r="507">
      <c r="B507" s="49" t="n"/>
      <c r="C507" s="49" t="n"/>
      <c r="D507" s="49" t="n"/>
      <c r="H507" s="49" t="n"/>
      <c r="I507" s="49" t="n"/>
      <c r="J507" s="49" t="n"/>
    </row>
    <row r="508">
      <c r="B508" s="49" t="n"/>
      <c r="C508" s="49" t="n"/>
      <c r="D508" s="49" t="n"/>
      <c r="H508" s="49" t="n"/>
      <c r="I508" s="49" t="n"/>
      <c r="J508" s="49" t="n"/>
    </row>
    <row r="509">
      <c r="B509" s="49" t="n"/>
      <c r="C509" s="49" t="n"/>
      <c r="D509" s="49" t="n"/>
      <c r="H509" s="49" t="n"/>
      <c r="I509" s="49" t="n"/>
      <c r="J509" s="49" t="n"/>
    </row>
    <row r="510">
      <c r="B510" s="49" t="n"/>
      <c r="C510" s="49" t="n"/>
      <c r="D510" s="49" t="n"/>
      <c r="H510" s="49" t="n"/>
      <c r="I510" s="49" t="n"/>
      <c r="J510" s="49" t="n"/>
    </row>
    <row r="511">
      <c r="B511" s="49" t="n"/>
      <c r="C511" s="49" t="n"/>
      <c r="D511" s="49" t="n"/>
      <c r="H511" s="49" t="n"/>
      <c r="I511" s="49" t="n"/>
      <c r="J511" s="49" t="n"/>
    </row>
    <row r="512">
      <c r="B512" s="49" t="n"/>
      <c r="C512" s="49" t="n"/>
      <c r="D512" s="49" t="n"/>
      <c r="H512" s="49" t="n"/>
      <c r="I512" s="49" t="n"/>
      <c r="J512" s="49" t="n"/>
    </row>
    <row r="513">
      <c r="B513" s="49" t="n"/>
      <c r="C513" s="49" t="n"/>
      <c r="D513" s="49" t="n"/>
      <c r="H513" s="49" t="n"/>
      <c r="I513" s="49" t="n"/>
      <c r="J513" s="49" t="n"/>
    </row>
    <row r="514">
      <c r="B514" s="49" t="n"/>
      <c r="C514" s="49" t="n"/>
      <c r="D514" s="49" t="n"/>
      <c r="H514" s="49" t="n"/>
      <c r="I514" s="49" t="n"/>
      <c r="J514" s="49" t="n"/>
    </row>
    <row r="515">
      <c r="B515" s="49" t="n"/>
      <c r="C515" s="49" t="n"/>
      <c r="D515" s="49" t="n"/>
      <c r="H515" s="49" t="n"/>
      <c r="I515" s="49" t="n"/>
      <c r="J515" s="49" t="n"/>
    </row>
    <row r="516">
      <c r="B516" s="49" t="n"/>
      <c r="C516" s="49" t="n"/>
      <c r="D516" s="49" t="n"/>
      <c r="H516" s="49" t="n"/>
      <c r="I516" s="49" t="n"/>
      <c r="J516" s="49" t="n"/>
    </row>
    <row r="517">
      <c r="B517" s="49" t="n"/>
      <c r="C517" s="49" t="n"/>
      <c r="D517" s="49" t="n"/>
      <c r="H517" s="49" t="n"/>
      <c r="I517" s="49" t="n"/>
      <c r="J517" s="49" t="n"/>
    </row>
    <row r="518">
      <c r="B518" s="49" t="n"/>
      <c r="C518" s="49" t="n"/>
      <c r="D518" s="49" t="n"/>
      <c r="H518" s="49" t="n"/>
      <c r="I518" s="49" t="n"/>
      <c r="J518" s="49" t="n"/>
    </row>
    <row r="519">
      <c r="B519" s="49" t="n"/>
      <c r="C519" s="49" t="n"/>
      <c r="D519" s="49" t="n"/>
      <c r="H519" s="49" t="n"/>
      <c r="I519" s="49" t="n"/>
      <c r="J519" s="49" t="n"/>
    </row>
  </sheetData>
  <mergeCells count="10">
    <mergeCell ref="B7:J7"/>
    <mergeCell ref="B3:J3"/>
    <mergeCell ref="B5:J5"/>
    <mergeCell ref="B10:J10"/>
    <mergeCell ref="D8:J8"/>
    <mergeCell ref="B9:J9"/>
    <mergeCell ref="B4:J4"/>
    <mergeCell ref="B8:C8"/>
    <mergeCell ref="B6:J6"/>
    <mergeCell ref="B12:C12"/>
  </mergeCells>
  <conditionalFormatting sqref="E11">
    <cfRule type="cellIs" priority="1" operator="greaterThan" dxfId="5">
      <formula>0</formula>
    </cfRule>
  </conditionalFormatting>
  <conditionalFormatting sqref="B19:B519">
    <cfRule type="expression" priority="2" dxfId="6">
      <formula>AND(LEN($B19&amp;$C19&amp;$D19&amp;$E19&amp;$F19&amp;$G19&amp;$H19&amp;$I19&amp;$J19)&gt;0,B19="")</formula>
    </cfRule>
  </conditionalFormatting>
  <conditionalFormatting sqref="C19:C519">
    <cfRule type="expression" priority="3" dxfId="6">
      <formula>AND(LEN($B19&amp;$C19&amp;$D19&amp;$E19&amp;$F19&amp;$G19&amp;$H19&amp;$I19&amp;$J19)&gt;0,C19="")</formula>
    </cfRule>
  </conditionalFormatting>
  <conditionalFormatting sqref="G19:G519">
    <cfRule type="expression" priority="4" dxfId="6">
      <formula>AND(LEN($B19&amp;$C19&amp;$D19&amp;$E19&amp;$F19&amp;$G19&amp;$H19&amp;$I19&amp;$J19)&gt;0,G19="")</formula>
    </cfRule>
  </conditionalFormatting>
  <conditionalFormatting sqref="H19:H519">
    <cfRule type="expression" priority="5" dxfId="6">
      <formula>AND(LEN($B19&amp;$C19&amp;$D19&amp;$E19&amp;$F19&amp;$G19&amp;$H19&amp;$I19&amp;$J19)&gt;0,H19="")</formula>
    </cfRule>
  </conditionalFormatting>
  <dataValidations count="10">
    <dataValidation sqref="E12" showDropDown="0" showInputMessage="1" showErrorMessage="1" allowBlank="1" errorTitle="Date" error="Enter a date (dd-mmm-yyyy)." promptTitle="Date" prompt="Date the owner confirmed the content" type="date" operator="greaterThan">
      <formula1>DATE(2026,1,1)</formula1>
    </dataValidation>
    <dataValidation sqref="B19:B519" showDropDown="0" showInputMessage="1" showErrorMessage="1" allowBlank="1" errorTitle="Module" error="Choose a value of the list Module (D0-15) (sheet Reference lists)." promptTitle="Module" prompt="Yes. Module of the approval Allowed: Submitted Policies, Employee Benefits, Sanction Screening, Disbursement (list Module (D0-15))" type="list" errorStyle="stop">
      <formula1>=LIST_D0_15_MODULE</formula1>
    </dataValidation>
    <dataValidation sqref="C19:C519" showDropDown="0" showInputMessage="1" showErrorMessage="0" allowBlank="1" promptTitle="Document or transaction" prompt="Yes. What is approved Allowed: IAAF or Terms of reference; for Employee Benefits: Sum insured or Annual premium"/>
    <dataValidation sqref="D19:D519" showDropDown="0" showInputMessage="1" showErrorMessage="0" allowBlank="1" promptTitle="Segment or case type" prompt="No. Segment or benefit line of the row"/>
    <dataValidation sqref="E19:E519" showDropDown="0" showInputMessage="1" showErrorMessage="1" allowBlank="1" errorTitle="From amount" error="Enter a number." promptTitle="From amount" prompt="No. Lower bound (sum insured, premium or amount) Allowed: A number" type="decimal" operator="greaterThanOrEqual">
      <formula1>-1E+15</formula1>
    </dataValidation>
    <dataValidation sqref="F19:F519" showDropDown="0" showInputMessage="1" showErrorMessage="1" allowBlank="1" errorTitle="To amount" error="Enter a number." promptTitle="To amount" prompt="No. Upper bound; blank = no limit Allowed: A number" type="decimal" operator="greaterThanOrEqual">
      <formula1>-1E+15</formula1>
    </dataValidation>
    <dataValidation sqref="G19:G519" showDropDown="0" showInputMessage="1" showErrorMessage="1" allowBlank="1" errorTitle="Approval level" error="Enter a whole number from 1 to 9." promptTitle="Approval level" prompt="Yes. Order of the approval Allowed: A whole number from 1 to 9" type="whole" operator="between">
      <formula1>1</formula1>
      <formula2>9</formula2>
    </dataValidation>
    <dataValidation sqref="H19:H519" showDropDown="0" showInputMessage="1" showErrorMessage="0" allowBlank="1" promptTitle="Approver role" prompt="Yes. Permission held by the approvers of the level Allowed: A permission of the role matrix (UA-02)"/>
    <dataValidation sqref="I19:I519" showDropDown="0" showInputMessage="1" showErrorMessage="1" allowBlank="1" errorTitle="Named approver" error="The code is not in UA-01, column User ID. Enter it there first, or keep it if it is a code BIBS already holds." promptTitle="Named approver" prompt="No. User ID, only when one person approves Allowed: A code of UA-01 Users and roles load, column User ID" type="list" errorStyle="warning">
      <formula1>=CODES_UA_01_USER_ID</formula1>
    </dataValidation>
    <dataValidation sqref="J19:J519" showDropDown="0" showInputMessage="1" showErrorMessage="0" allowBlank="1" promptTitle="Signatory title" prompt="No. Title printed on the document"/>
  </dataValidations>
  <hyperlinks>
    <hyperlink ref="A2" location="'Start here'!A1"/>
    <hyperlink ref="J2" location="'Questions and comments'!A1"/>
    <hyperlink ref="B8" location="'UA-02 Role matrix'!A1"/>
    <hyperlink ref="D8" location="'UA-01 Users and roles'!A1"/>
    <hyperlink ref="B16" location="'Reference lists'!A324"/>
    <hyperlink ref="I16" location="'UA-01 Users and role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5.xml><?xml version="1.0" encoding="utf-8"?>
<worksheet xmlns="http://schemas.openxmlformats.org/spreadsheetml/2006/main">
  <sheetPr>
    <tabColor rgb="00004EA8"/>
    <outlinePr summaryBelow="0" summaryRight="1"/>
    <pageSetUpPr fitToPage="1"/>
  </sheetPr>
  <dimension ref="A1:G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5.90909090909091" customWidth="1" min="3" max="3"/>
    <col width="14.09090909090909" customWidth="1" min="4" max="4"/>
    <col width="19" customWidth="1" min="5" max="5"/>
    <col width="17" customWidth="1" min="6" max="6"/>
    <col width="12" customWidth="1" min="7" max="7"/>
  </cols>
  <sheetData>
    <row r="1" ht="26" customHeight="1">
      <c r="A1" s="25" t="inlineStr">
        <is>
          <t>R07 Commission rates by insurer and product</t>
        </is>
      </c>
      <c r="G1" s="26" t="inlineStr">
        <is>
          <t>Step 33 of 52</t>
        </is>
      </c>
    </row>
    <row r="2">
      <c r="A2" s="27" t="inlineStr">
        <is>
          <t>← Back to Start here</t>
        </is>
      </c>
      <c r="B2" s="28" t="inlineStr">
        <is>
          <t>Step 33 of 52. Fill in one row per record below the column headers; the guide above each column says what to enter.</t>
        </is>
      </c>
      <c r="G2" s="29" t="inlineStr">
        <is>
          <t>Ask a question →</t>
        </is>
      </c>
    </row>
    <row r="3" outlineLevel="1" ht="40.5" customHeight="1">
      <c r="A3" s="30" t="inlineStr">
        <is>
          <t>Purpose</t>
        </is>
      </c>
      <c r="B3" s="31" t="inlineStr">
        <is>
          <t>One row per record of Commission rates by insurer and product as extracted from QPS, EBIX. Key insurer_code, risk_code, effective_from. Sent as the file R07_template.csv (CSV, header row as below) with its control file (row count, row count).</t>
        </is>
      </c>
    </row>
    <row r="4" outlineLevel="1" ht="15.5" customHeight="1">
      <c r="A4" s="30" t="inlineStr">
        <is>
          <t>Provided by</t>
        </is>
      </c>
      <c r="B4" s="31" t="inlineStr">
        <is>
          <t>Operations data steward (to name); approved by Head, Operations; extracted by BDOI IT</t>
        </is>
      </c>
    </row>
    <row r="5" outlineLevel="1" ht="15.5" customHeight="1">
      <c r="A5" s="30" t="inlineStr">
        <is>
          <t>Due</t>
        </is>
      </c>
      <c r="B5" s="32" t="inlineStr">
        <is>
          <t>M3 (29 Jan 2027)</t>
        </is>
      </c>
    </row>
    <row r="6" outlineLevel="1" ht="40.5" customHeight="1">
      <c r="A6" s="30" t="inlineStr">
        <is>
          <t>How it is loaded</t>
        </is>
      </c>
      <c r="B6" s="31" t="inlineStr">
        <is>
          <t>Migration Console: the file R07_template.csv (the header row as below) and its control file are received on Data Migration › Data Migration › Extracts and loaded by a batch of object R07; lands in: Commission rates of the product catalogue</t>
        </is>
      </c>
    </row>
    <row r="7" outlineLevel="1" ht="15.5" customHeight="1">
      <c r="A7" s="30" t="inlineStr">
        <is>
          <t>Source</t>
        </is>
      </c>
      <c r="B7" s="31" t="inlineStr">
        <is>
          <t>QPS, EBIX</t>
        </is>
      </c>
    </row>
    <row r="8" outlineLevel="1" ht="26" customHeight="1">
      <c r="A8" s="30" t="inlineStr">
        <is>
          <t>Depends on</t>
        </is>
      </c>
      <c r="B8" s="53" t="inlineStr">
        <is>
          <t>R04 Insurers →</t>
        </is>
      </c>
      <c r="D8" s="53" t="inlineStr">
        <is>
          <t>R05 Product lines, cover types, products and risk codes →</t>
        </is>
      </c>
    </row>
    <row r="9" ht="26" customHeight="1">
      <c r="A9" s="34" t="inlineStr">
        <is>
          <t>Progress</t>
        </is>
      </c>
      <c r="B9" s="35" t="inlineStr">
        <is>
          <t>Rows entered</t>
        </is>
      </c>
      <c r="C9" s="36">
        <f>SUMPRODUCT(((ROW($B$18:$B$218)&gt;18)+($B$18&lt;&gt;"MAL")&gt;0)*(LEN($B$18:$B$218&amp;$C$18:$C$218&amp;$D$18:$D$218&amp;$E$18:$E$218&amp;$F$18:$F$218)&gt;0))</f>
        <v/>
      </c>
      <c r="D9" s="35" t="inlineStr">
        <is>
          <t>Mandatory cells missing</t>
        </is>
      </c>
      <c r="E9" s="36">
        <f>SUMPRODUCT(((ROW($B$18:$B$218)&gt;18)+($B$18&lt;&gt;"MAL")&gt;0)*(LEN($B$18:$B$218&amp;$C$18:$C$218&amp;$D$18:$D$218&amp;$E$18:$E$218&amp;$F$18:$F$218)&gt;0)*(($B$18:$B$218="")+($C$18:$C$218="")+($D$18:$D$218="")+($E$18:$E$218="")))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43" customHeight="1">
      <c r="A12" s="41" t="inlineStr">
        <is>
          <t>Check when loaded</t>
        </is>
      </c>
      <c r="B12" s="43" t="inlineStr">
        <is>
          <t>Mapped</t>
        </is>
      </c>
      <c r="C12" s="43" t="inlineStr">
        <is>
          <t>Mapped</t>
        </is>
      </c>
      <c r="D12" s="43" t="inlineStr">
        <is>
          <t>0 to 100</t>
        </is>
      </c>
      <c r="E12" s="43" t="inlineStr">
        <is>
          <t>Valid date</t>
        </is>
      </c>
      <c r="F12" s="43" t="inlineStr">
        <is>
          <t>No overlap for the same insurer and product</t>
        </is>
      </c>
    </row>
    <row r="13" ht="17" customHeight="1">
      <c r="A13" s="41" t="inlineStr">
        <is>
          <t>Mandatory</t>
        </is>
      </c>
      <c r="B13" s="42" t="inlineStr">
        <is>
          <t>Yes</t>
        </is>
      </c>
      <c r="C13" s="42" t="inlineStr">
        <is>
          <t>Yes</t>
        </is>
      </c>
      <c r="D13" s="42" t="inlineStr">
        <is>
          <t>Yes</t>
        </is>
      </c>
      <c r="E13" s="42" t="inlineStr">
        <is>
          <t>Yes</t>
        </is>
      </c>
      <c r="F13" s="43" t="inlineStr">
        <is>
          <t>No</t>
        </is>
      </c>
    </row>
    <row r="14" ht="30" customHeight="1">
      <c r="A14" s="41" t="inlineStr">
        <is>
          <t>Format</t>
        </is>
      </c>
      <c r="B14" s="43" t="inlineStr">
        <is>
          <t>Code, up to 30; As stored in legacy</t>
        </is>
      </c>
      <c r="C14" s="43" t="inlineStr">
        <is>
          <t>Code, up to 20; As stored in legacy</t>
        </is>
      </c>
      <c r="D14" s="43" t="inlineStr">
        <is>
          <t>Decimal, up to 9,4; Dot decimal</t>
        </is>
      </c>
      <c r="E14" s="43" t="inlineStr">
        <is>
          <t>Date, up to 10; yyyy-MM-dd</t>
        </is>
      </c>
      <c r="F14" s="43" t="inlineStr">
        <is>
          <t>Date, up to 10; yyyy-MM-dd</t>
        </is>
      </c>
    </row>
    <row r="15" ht="121" customHeight="1">
      <c r="A15" s="41" t="inlineStr">
        <is>
          <t>Allowed values</t>
        </is>
      </c>
      <c r="B15" s="43" t="inlineStr">
        <is>
          <t>The legacy code; mapped by the code map INSURER (Code Maps screen of the Data Migration Console; maps prepared in the Migration Workbook of BRD-13)</t>
        </is>
      </c>
      <c r="C15" s="43" t="inlineStr">
        <is>
          <t>The legacy code; mapped by the code map PRODUCT (Code Maps screen of the Data Migration Console; maps prepared in the Migration Workbook of BRD-13)</t>
        </is>
      </c>
      <c r="D15" s="43" t="inlineStr">
        <is>
          <t>A number</t>
        </is>
      </c>
      <c r="E15" s="43" t="inlineStr">
        <is>
          <t>Free entry</t>
        </is>
      </c>
      <c r="F15" s="43" t="inlineStr">
        <is>
          <t>Free entry</t>
        </is>
      </c>
    </row>
    <row r="16" ht="30" customHeight="1">
      <c r="A16" s="41" t="inlineStr">
        <is>
          <t>What to enter</t>
        </is>
      </c>
      <c r="B16" s="43" t="inlineStr">
        <is>
          <t>Legacy insurer code</t>
        </is>
      </c>
      <c r="C16" s="43" t="inlineStr">
        <is>
          <t>Legacy product / risk code</t>
        </is>
      </c>
      <c r="D16" s="43" t="inlineStr">
        <is>
          <t>Commission rate in percent</t>
        </is>
      </c>
      <c r="E16" s="43" t="inlineStr">
        <is>
          <t>Rate valid from</t>
        </is>
      </c>
      <c r="F16" s="43" t="inlineStr">
        <is>
          <t>Rate valid to</t>
        </is>
      </c>
    </row>
    <row r="17" ht="30" customHeight="1">
      <c r="A17" s="44" t="inlineStr">
        <is>
          <t>Row</t>
        </is>
      </c>
      <c r="B17" s="45" t="inlineStr">
        <is>
          <t>insurer_code *</t>
        </is>
      </c>
      <c r="C17" s="45" t="inlineStr">
        <is>
          <t>risk_code *</t>
        </is>
      </c>
      <c r="D17" s="45" t="inlineStr">
        <is>
          <t>rate_pct *</t>
        </is>
      </c>
      <c r="E17" s="45" t="inlineStr">
        <is>
          <t>effective_from *</t>
        </is>
      </c>
      <c r="F17" s="45" t="inlineStr">
        <is>
          <t>effective_to</t>
        </is>
      </c>
    </row>
    <row r="18" ht="18" customHeight="1">
      <c r="A18" s="46" t="inlineStr">
        <is>
          <t>Example – overwrite or delete</t>
        </is>
      </c>
      <c r="B18" s="47" t="inlineStr">
        <is>
          <t>MAL</t>
        </is>
      </c>
      <c r="C18" s="47" t="inlineStr">
        <is>
          <t>MC-PC-COMP</t>
        </is>
      </c>
      <c r="D18" s="52" t="n">
        <v>20</v>
      </c>
      <c r="E18" s="47" t="inlineStr">
        <is>
          <t>2026-01-01</t>
        </is>
      </c>
      <c r="F18" s="47" t="n"/>
    </row>
    <row r="19">
      <c r="B19" s="49" t="n"/>
      <c r="C19" s="49" t="n"/>
      <c r="E19" s="49" t="n"/>
      <c r="F19" s="49" t="n"/>
    </row>
    <row r="20">
      <c r="B20" s="49" t="n"/>
      <c r="C20" s="49" t="n"/>
      <c r="E20" s="49" t="n"/>
      <c r="F20" s="49" t="n"/>
    </row>
    <row r="21">
      <c r="B21" s="49" t="n"/>
      <c r="C21" s="49" t="n"/>
      <c r="E21" s="49" t="n"/>
      <c r="F21" s="49" t="n"/>
    </row>
    <row r="22">
      <c r="B22" s="49" t="n"/>
      <c r="C22" s="49" t="n"/>
      <c r="E22" s="49" t="n"/>
      <c r="F22" s="49" t="n"/>
    </row>
    <row r="23">
      <c r="B23" s="49" t="n"/>
      <c r="C23" s="49" t="n"/>
      <c r="E23" s="49" t="n"/>
      <c r="F23" s="49" t="n"/>
    </row>
    <row r="24">
      <c r="B24" s="49" t="n"/>
      <c r="C24" s="49" t="n"/>
      <c r="E24" s="49" t="n"/>
      <c r="F24" s="49" t="n"/>
    </row>
    <row r="25">
      <c r="B25" s="49" t="n"/>
      <c r="C25" s="49" t="n"/>
      <c r="E25" s="49" t="n"/>
      <c r="F25" s="49" t="n"/>
    </row>
    <row r="26">
      <c r="B26" s="49" t="n"/>
      <c r="C26" s="49" t="n"/>
      <c r="E26" s="49" t="n"/>
      <c r="F26" s="49" t="n"/>
    </row>
    <row r="27">
      <c r="B27" s="49" t="n"/>
      <c r="C27" s="49" t="n"/>
      <c r="E27" s="49" t="n"/>
      <c r="F27" s="49" t="n"/>
    </row>
    <row r="28">
      <c r="B28" s="49" t="n"/>
      <c r="C28" s="49" t="n"/>
      <c r="E28" s="49" t="n"/>
      <c r="F28" s="49" t="n"/>
    </row>
    <row r="29">
      <c r="B29" s="49" t="n"/>
      <c r="C29" s="49" t="n"/>
      <c r="E29" s="49" t="n"/>
      <c r="F29" s="49" t="n"/>
    </row>
    <row r="30">
      <c r="B30" s="49" t="n"/>
      <c r="C30" s="49" t="n"/>
      <c r="E30" s="49" t="n"/>
      <c r="F30" s="49" t="n"/>
    </row>
    <row r="31">
      <c r="B31" s="49" t="n"/>
      <c r="C31" s="49" t="n"/>
      <c r="E31" s="49" t="n"/>
      <c r="F31" s="49" t="n"/>
    </row>
    <row r="32">
      <c r="B32" s="49" t="n"/>
      <c r="C32" s="49" t="n"/>
      <c r="E32" s="49" t="n"/>
      <c r="F32" s="49" t="n"/>
    </row>
    <row r="33">
      <c r="B33" s="49" t="n"/>
      <c r="C33" s="49" t="n"/>
      <c r="E33" s="49" t="n"/>
      <c r="F33" s="49" t="n"/>
    </row>
    <row r="34">
      <c r="B34" s="49" t="n"/>
      <c r="C34" s="49" t="n"/>
      <c r="E34" s="49" t="n"/>
      <c r="F34" s="49" t="n"/>
    </row>
    <row r="35">
      <c r="B35" s="49" t="n"/>
      <c r="C35" s="49" t="n"/>
      <c r="E35" s="49" t="n"/>
      <c r="F35" s="49" t="n"/>
    </row>
    <row r="36">
      <c r="B36" s="49" t="n"/>
      <c r="C36" s="49" t="n"/>
      <c r="E36" s="49" t="n"/>
      <c r="F36" s="49" t="n"/>
    </row>
    <row r="37">
      <c r="B37" s="49" t="n"/>
      <c r="C37" s="49" t="n"/>
      <c r="E37" s="49" t="n"/>
      <c r="F37" s="49" t="n"/>
    </row>
    <row r="38">
      <c r="B38" s="49" t="n"/>
      <c r="C38" s="49" t="n"/>
      <c r="E38" s="49" t="n"/>
      <c r="F38" s="49" t="n"/>
    </row>
    <row r="39">
      <c r="B39" s="49" t="n"/>
      <c r="C39" s="49" t="n"/>
      <c r="E39" s="49" t="n"/>
      <c r="F39" s="49" t="n"/>
    </row>
    <row r="40">
      <c r="B40" s="49" t="n"/>
      <c r="C40" s="49" t="n"/>
      <c r="E40" s="49" t="n"/>
      <c r="F40" s="49" t="n"/>
    </row>
    <row r="41">
      <c r="B41" s="49" t="n"/>
      <c r="C41" s="49" t="n"/>
      <c r="E41" s="49" t="n"/>
      <c r="F41" s="49" t="n"/>
    </row>
    <row r="42">
      <c r="B42" s="49" t="n"/>
      <c r="C42" s="49" t="n"/>
      <c r="E42" s="49" t="n"/>
      <c r="F42" s="49" t="n"/>
    </row>
    <row r="43">
      <c r="B43" s="49" t="n"/>
      <c r="C43" s="49" t="n"/>
      <c r="E43" s="49" t="n"/>
      <c r="F43" s="49" t="n"/>
    </row>
    <row r="44">
      <c r="B44" s="49" t="n"/>
      <c r="C44" s="49" t="n"/>
      <c r="E44" s="49" t="n"/>
      <c r="F44" s="49" t="n"/>
    </row>
    <row r="45">
      <c r="B45" s="49" t="n"/>
      <c r="C45" s="49" t="n"/>
      <c r="E45" s="49" t="n"/>
      <c r="F45" s="49" t="n"/>
    </row>
    <row r="46">
      <c r="B46" s="49" t="n"/>
      <c r="C46" s="49" t="n"/>
      <c r="E46" s="49" t="n"/>
      <c r="F46" s="49" t="n"/>
    </row>
    <row r="47">
      <c r="B47" s="49" t="n"/>
      <c r="C47" s="49" t="n"/>
      <c r="E47" s="49" t="n"/>
      <c r="F47" s="49" t="n"/>
    </row>
    <row r="48">
      <c r="B48" s="49" t="n"/>
      <c r="C48" s="49" t="n"/>
      <c r="E48" s="49" t="n"/>
      <c r="F48" s="49" t="n"/>
    </row>
    <row r="49">
      <c r="B49" s="49" t="n"/>
      <c r="C49" s="49" t="n"/>
      <c r="E49" s="49" t="n"/>
      <c r="F49" s="49" t="n"/>
    </row>
    <row r="50">
      <c r="B50" s="49" t="n"/>
      <c r="C50" s="49" t="n"/>
      <c r="E50" s="49" t="n"/>
      <c r="F50" s="49" t="n"/>
    </row>
    <row r="51">
      <c r="B51" s="49" t="n"/>
      <c r="C51" s="49" t="n"/>
      <c r="E51" s="49" t="n"/>
      <c r="F51" s="49" t="n"/>
    </row>
    <row r="52">
      <c r="B52" s="49" t="n"/>
      <c r="C52" s="49" t="n"/>
      <c r="E52" s="49" t="n"/>
      <c r="F52" s="49" t="n"/>
    </row>
    <row r="53">
      <c r="B53" s="49" t="n"/>
      <c r="C53" s="49" t="n"/>
      <c r="E53" s="49" t="n"/>
      <c r="F53" s="49" t="n"/>
    </row>
    <row r="54">
      <c r="B54" s="49" t="n"/>
      <c r="C54" s="49" t="n"/>
      <c r="E54" s="49" t="n"/>
      <c r="F54" s="49" t="n"/>
    </row>
    <row r="55">
      <c r="B55" s="49" t="n"/>
      <c r="C55" s="49" t="n"/>
      <c r="E55" s="49" t="n"/>
      <c r="F55" s="49" t="n"/>
    </row>
    <row r="56">
      <c r="B56" s="49" t="n"/>
      <c r="C56" s="49" t="n"/>
      <c r="E56" s="49" t="n"/>
      <c r="F56" s="49" t="n"/>
    </row>
    <row r="57">
      <c r="B57" s="49" t="n"/>
      <c r="C57" s="49" t="n"/>
      <c r="E57" s="49" t="n"/>
      <c r="F57" s="49" t="n"/>
    </row>
    <row r="58">
      <c r="B58" s="49" t="n"/>
      <c r="C58" s="49" t="n"/>
      <c r="E58" s="49" t="n"/>
      <c r="F58" s="49" t="n"/>
    </row>
    <row r="59">
      <c r="B59" s="49" t="n"/>
      <c r="C59" s="49" t="n"/>
      <c r="E59" s="49" t="n"/>
      <c r="F59" s="49" t="n"/>
    </row>
    <row r="60">
      <c r="B60" s="49" t="n"/>
      <c r="C60" s="49" t="n"/>
      <c r="E60" s="49" t="n"/>
      <c r="F60" s="49" t="n"/>
    </row>
    <row r="61">
      <c r="B61" s="49" t="n"/>
      <c r="C61" s="49" t="n"/>
      <c r="E61" s="49" t="n"/>
      <c r="F61" s="49" t="n"/>
    </row>
    <row r="62">
      <c r="B62" s="49" t="n"/>
      <c r="C62" s="49" t="n"/>
      <c r="E62" s="49" t="n"/>
      <c r="F62" s="49" t="n"/>
    </row>
    <row r="63">
      <c r="B63" s="49" t="n"/>
      <c r="C63" s="49" t="n"/>
      <c r="E63" s="49" t="n"/>
      <c r="F63" s="49" t="n"/>
    </row>
    <row r="64">
      <c r="B64" s="49" t="n"/>
      <c r="C64" s="49" t="n"/>
      <c r="E64" s="49" t="n"/>
      <c r="F64" s="49" t="n"/>
    </row>
    <row r="65">
      <c r="B65" s="49" t="n"/>
      <c r="C65" s="49" t="n"/>
      <c r="E65" s="49" t="n"/>
      <c r="F65" s="49" t="n"/>
    </row>
    <row r="66">
      <c r="B66" s="49" t="n"/>
      <c r="C66" s="49" t="n"/>
      <c r="E66" s="49" t="n"/>
      <c r="F66" s="49" t="n"/>
    </row>
    <row r="67">
      <c r="B67" s="49" t="n"/>
      <c r="C67" s="49" t="n"/>
      <c r="E67" s="49" t="n"/>
      <c r="F67" s="49" t="n"/>
    </row>
    <row r="68">
      <c r="B68" s="49" t="n"/>
      <c r="C68" s="49" t="n"/>
      <c r="E68" s="49" t="n"/>
      <c r="F68" s="49" t="n"/>
    </row>
    <row r="69">
      <c r="B69" s="49" t="n"/>
      <c r="C69" s="49" t="n"/>
      <c r="E69" s="49" t="n"/>
      <c r="F69" s="49" t="n"/>
    </row>
    <row r="70">
      <c r="B70" s="49" t="n"/>
      <c r="C70" s="49" t="n"/>
      <c r="E70" s="49" t="n"/>
      <c r="F70" s="49" t="n"/>
    </row>
    <row r="71">
      <c r="B71" s="49" t="n"/>
      <c r="C71" s="49" t="n"/>
      <c r="E71" s="49" t="n"/>
      <c r="F71" s="49" t="n"/>
    </row>
    <row r="72">
      <c r="B72" s="49" t="n"/>
      <c r="C72" s="49" t="n"/>
      <c r="E72" s="49" t="n"/>
      <c r="F72" s="49" t="n"/>
    </row>
    <row r="73">
      <c r="B73" s="49" t="n"/>
      <c r="C73" s="49" t="n"/>
      <c r="E73" s="49" t="n"/>
      <c r="F73" s="49" t="n"/>
    </row>
    <row r="74">
      <c r="B74" s="49" t="n"/>
      <c r="C74" s="49" t="n"/>
      <c r="E74" s="49" t="n"/>
      <c r="F74" s="49" t="n"/>
    </row>
    <row r="75">
      <c r="B75" s="49" t="n"/>
      <c r="C75" s="49" t="n"/>
      <c r="E75" s="49" t="n"/>
      <c r="F75" s="49" t="n"/>
    </row>
    <row r="76">
      <c r="B76" s="49" t="n"/>
      <c r="C76" s="49" t="n"/>
      <c r="E76" s="49" t="n"/>
      <c r="F76" s="49" t="n"/>
    </row>
    <row r="77">
      <c r="B77" s="49" t="n"/>
      <c r="C77" s="49" t="n"/>
      <c r="E77" s="49" t="n"/>
      <c r="F77" s="49" t="n"/>
    </row>
    <row r="78">
      <c r="B78" s="49" t="n"/>
      <c r="C78" s="49" t="n"/>
      <c r="E78" s="49" t="n"/>
      <c r="F78" s="49" t="n"/>
    </row>
    <row r="79">
      <c r="B79" s="49" t="n"/>
      <c r="C79" s="49" t="n"/>
      <c r="E79" s="49" t="n"/>
      <c r="F79" s="49" t="n"/>
    </row>
    <row r="80">
      <c r="B80" s="49" t="n"/>
      <c r="C80" s="49" t="n"/>
      <c r="E80" s="49" t="n"/>
      <c r="F80" s="49" t="n"/>
    </row>
    <row r="81">
      <c r="B81" s="49" t="n"/>
      <c r="C81" s="49" t="n"/>
      <c r="E81" s="49" t="n"/>
      <c r="F81" s="49" t="n"/>
    </row>
    <row r="82">
      <c r="B82" s="49" t="n"/>
      <c r="C82" s="49" t="n"/>
      <c r="E82" s="49" t="n"/>
      <c r="F82" s="49" t="n"/>
    </row>
    <row r="83">
      <c r="B83" s="49" t="n"/>
      <c r="C83" s="49" t="n"/>
      <c r="E83" s="49" t="n"/>
      <c r="F83" s="49" t="n"/>
    </row>
    <row r="84">
      <c r="B84" s="49" t="n"/>
      <c r="C84" s="49" t="n"/>
      <c r="E84" s="49" t="n"/>
      <c r="F84" s="49" t="n"/>
    </row>
    <row r="85">
      <c r="B85" s="49" t="n"/>
      <c r="C85" s="49" t="n"/>
      <c r="E85" s="49" t="n"/>
      <c r="F85" s="49" t="n"/>
    </row>
    <row r="86">
      <c r="B86" s="49" t="n"/>
      <c r="C86" s="49" t="n"/>
      <c r="E86" s="49" t="n"/>
      <c r="F86" s="49" t="n"/>
    </row>
    <row r="87">
      <c r="B87" s="49" t="n"/>
      <c r="C87" s="49" t="n"/>
      <c r="E87" s="49" t="n"/>
      <c r="F87" s="49" t="n"/>
    </row>
    <row r="88">
      <c r="B88" s="49" t="n"/>
      <c r="C88" s="49" t="n"/>
      <c r="E88" s="49" t="n"/>
      <c r="F88" s="49" t="n"/>
    </row>
    <row r="89">
      <c r="B89" s="49" t="n"/>
      <c r="C89" s="49" t="n"/>
      <c r="E89" s="49" t="n"/>
      <c r="F89" s="49" t="n"/>
    </row>
    <row r="90">
      <c r="B90" s="49" t="n"/>
      <c r="C90" s="49" t="n"/>
      <c r="E90" s="49" t="n"/>
      <c r="F90" s="49" t="n"/>
    </row>
    <row r="91">
      <c r="B91" s="49" t="n"/>
      <c r="C91" s="49" t="n"/>
      <c r="E91" s="49" t="n"/>
      <c r="F91" s="49" t="n"/>
    </row>
    <row r="92">
      <c r="B92" s="49" t="n"/>
      <c r="C92" s="49" t="n"/>
      <c r="E92" s="49" t="n"/>
      <c r="F92" s="49" t="n"/>
    </row>
    <row r="93">
      <c r="B93" s="49" t="n"/>
      <c r="C93" s="49" t="n"/>
      <c r="E93" s="49" t="n"/>
      <c r="F93" s="49" t="n"/>
    </row>
    <row r="94">
      <c r="B94" s="49" t="n"/>
      <c r="C94" s="49" t="n"/>
      <c r="E94" s="49" t="n"/>
      <c r="F94" s="49" t="n"/>
    </row>
    <row r="95">
      <c r="B95" s="49" t="n"/>
      <c r="C95" s="49" t="n"/>
      <c r="E95" s="49" t="n"/>
      <c r="F95" s="49" t="n"/>
    </row>
    <row r="96">
      <c r="B96" s="49" t="n"/>
      <c r="C96" s="49" t="n"/>
      <c r="E96" s="49" t="n"/>
      <c r="F96" s="49" t="n"/>
    </row>
    <row r="97">
      <c r="B97" s="49" t="n"/>
      <c r="C97" s="49" t="n"/>
      <c r="E97" s="49" t="n"/>
      <c r="F97" s="49" t="n"/>
    </row>
    <row r="98">
      <c r="B98" s="49" t="n"/>
      <c r="C98" s="49" t="n"/>
      <c r="E98" s="49" t="n"/>
      <c r="F98" s="49" t="n"/>
    </row>
    <row r="99">
      <c r="B99" s="49" t="n"/>
      <c r="C99" s="49" t="n"/>
      <c r="E99" s="49" t="n"/>
      <c r="F99" s="49" t="n"/>
    </row>
    <row r="100">
      <c r="B100" s="49" t="n"/>
      <c r="C100" s="49" t="n"/>
      <c r="E100" s="49" t="n"/>
      <c r="F100" s="49" t="n"/>
    </row>
    <row r="101">
      <c r="B101" s="49" t="n"/>
      <c r="C101" s="49" t="n"/>
      <c r="E101" s="49" t="n"/>
      <c r="F101" s="49" t="n"/>
    </row>
    <row r="102">
      <c r="B102" s="49" t="n"/>
      <c r="C102" s="49" t="n"/>
      <c r="E102" s="49" t="n"/>
      <c r="F102" s="49" t="n"/>
    </row>
    <row r="103">
      <c r="B103" s="49" t="n"/>
      <c r="C103" s="49" t="n"/>
      <c r="E103" s="49" t="n"/>
      <c r="F103" s="49" t="n"/>
    </row>
    <row r="104">
      <c r="B104" s="49" t="n"/>
      <c r="C104" s="49" t="n"/>
      <c r="E104" s="49" t="n"/>
      <c r="F104" s="49" t="n"/>
    </row>
    <row r="105">
      <c r="B105" s="49" t="n"/>
      <c r="C105" s="49" t="n"/>
      <c r="E105" s="49" t="n"/>
      <c r="F105" s="49" t="n"/>
    </row>
    <row r="106">
      <c r="B106" s="49" t="n"/>
      <c r="C106" s="49" t="n"/>
      <c r="E106" s="49" t="n"/>
      <c r="F106" s="49" t="n"/>
    </row>
    <row r="107">
      <c r="B107" s="49" t="n"/>
      <c r="C107" s="49" t="n"/>
      <c r="E107" s="49" t="n"/>
      <c r="F107" s="49" t="n"/>
    </row>
    <row r="108">
      <c r="B108" s="49" t="n"/>
      <c r="C108" s="49" t="n"/>
      <c r="E108" s="49" t="n"/>
      <c r="F108" s="49" t="n"/>
    </row>
    <row r="109">
      <c r="B109" s="49" t="n"/>
      <c r="C109" s="49" t="n"/>
      <c r="E109" s="49" t="n"/>
      <c r="F109" s="49" t="n"/>
    </row>
    <row r="110">
      <c r="B110" s="49" t="n"/>
      <c r="C110" s="49" t="n"/>
      <c r="E110" s="49" t="n"/>
      <c r="F110" s="49" t="n"/>
    </row>
    <row r="111">
      <c r="B111" s="49" t="n"/>
      <c r="C111" s="49" t="n"/>
      <c r="E111" s="49" t="n"/>
      <c r="F111" s="49" t="n"/>
    </row>
    <row r="112">
      <c r="B112" s="49" t="n"/>
      <c r="C112" s="49" t="n"/>
      <c r="E112" s="49" t="n"/>
      <c r="F112" s="49" t="n"/>
    </row>
    <row r="113">
      <c r="B113" s="49" t="n"/>
      <c r="C113" s="49" t="n"/>
      <c r="E113" s="49" t="n"/>
      <c r="F113" s="49" t="n"/>
    </row>
    <row r="114">
      <c r="B114" s="49" t="n"/>
      <c r="C114" s="49" t="n"/>
      <c r="E114" s="49" t="n"/>
      <c r="F114" s="49" t="n"/>
    </row>
    <row r="115">
      <c r="B115" s="49" t="n"/>
      <c r="C115" s="49" t="n"/>
      <c r="E115" s="49" t="n"/>
      <c r="F115" s="49" t="n"/>
    </row>
    <row r="116">
      <c r="B116" s="49" t="n"/>
      <c r="C116" s="49" t="n"/>
      <c r="E116" s="49" t="n"/>
      <c r="F116" s="49" t="n"/>
    </row>
    <row r="117">
      <c r="B117" s="49" t="n"/>
      <c r="C117" s="49" t="n"/>
      <c r="E117" s="49" t="n"/>
      <c r="F117" s="49" t="n"/>
    </row>
    <row r="118">
      <c r="B118" s="49" t="n"/>
      <c r="C118" s="49" t="n"/>
      <c r="E118" s="49" t="n"/>
      <c r="F118" s="49" t="n"/>
    </row>
    <row r="119">
      <c r="B119" s="49" t="n"/>
      <c r="C119" s="49" t="n"/>
      <c r="E119" s="49" t="n"/>
      <c r="F119" s="49" t="n"/>
    </row>
    <row r="120">
      <c r="B120" s="49" t="n"/>
      <c r="C120" s="49" t="n"/>
      <c r="E120" s="49" t="n"/>
      <c r="F120" s="49" t="n"/>
    </row>
    <row r="121">
      <c r="B121" s="49" t="n"/>
      <c r="C121" s="49" t="n"/>
      <c r="E121" s="49" t="n"/>
      <c r="F121" s="49" t="n"/>
    </row>
    <row r="122">
      <c r="B122" s="49" t="n"/>
      <c r="C122" s="49" t="n"/>
      <c r="E122" s="49" t="n"/>
      <c r="F122" s="49" t="n"/>
    </row>
    <row r="123">
      <c r="B123" s="49" t="n"/>
      <c r="C123" s="49" t="n"/>
      <c r="E123" s="49" t="n"/>
      <c r="F123" s="49" t="n"/>
    </row>
    <row r="124">
      <c r="B124" s="49" t="n"/>
      <c r="C124" s="49" t="n"/>
      <c r="E124" s="49" t="n"/>
      <c r="F124" s="49" t="n"/>
    </row>
    <row r="125">
      <c r="B125" s="49" t="n"/>
      <c r="C125" s="49" t="n"/>
      <c r="E125" s="49" t="n"/>
      <c r="F125" s="49" t="n"/>
    </row>
    <row r="126">
      <c r="B126" s="49" t="n"/>
      <c r="C126" s="49" t="n"/>
      <c r="E126" s="49" t="n"/>
      <c r="F126" s="49" t="n"/>
    </row>
    <row r="127">
      <c r="B127" s="49" t="n"/>
      <c r="C127" s="49" t="n"/>
      <c r="E127" s="49" t="n"/>
      <c r="F127" s="49" t="n"/>
    </row>
    <row r="128">
      <c r="B128" s="49" t="n"/>
      <c r="C128" s="49" t="n"/>
      <c r="E128" s="49" t="n"/>
      <c r="F128" s="49" t="n"/>
    </row>
    <row r="129">
      <c r="B129" s="49" t="n"/>
      <c r="C129" s="49" t="n"/>
      <c r="E129" s="49" t="n"/>
      <c r="F129" s="49" t="n"/>
    </row>
    <row r="130">
      <c r="B130" s="49" t="n"/>
      <c r="C130" s="49" t="n"/>
      <c r="E130" s="49" t="n"/>
      <c r="F130" s="49" t="n"/>
    </row>
    <row r="131">
      <c r="B131" s="49" t="n"/>
      <c r="C131" s="49" t="n"/>
      <c r="E131" s="49" t="n"/>
      <c r="F131" s="49" t="n"/>
    </row>
    <row r="132">
      <c r="B132" s="49" t="n"/>
      <c r="C132" s="49" t="n"/>
      <c r="E132" s="49" t="n"/>
      <c r="F132" s="49" t="n"/>
    </row>
    <row r="133">
      <c r="B133" s="49" t="n"/>
      <c r="C133" s="49" t="n"/>
      <c r="E133" s="49" t="n"/>
      <c r="F133" s="49" t="n"/>
    </row>
    <row r="134">
      <c r="B134" s="49" t="n"/>
      <c r="C134" s="49" t="n"/>
      <c r="E134" s="49" t="n"/>
      <c r="F134" s="49" t="n"/>
    </row>
    <row r="135">
      <c r="B135" s="49" t="n"/>
      <c r="C135" s="49" t="n"/>
      <c r="E135" s="49" t="n"/>
      <c r="F135" s="49" t="n"/>
    </row>
    <row r="136">
      <c r="B136" s="49" t="n"/>
      <c r="C136" s="49" t="n"/>
      <c r="E136" s="49" t="n"/>
      <c r="F136" s="49" t="n"/>
    </row>
    <row r="137">
      <c r="B137" s="49" t="n"/>
      <c r="C137" s="49" t="n"/>
      <c r="E137" s="49" t="n"/>
      <c r="F137" s="49" t="n"/>
    </row>
    <row r="138">
      <c r="B138" s="49" t="n"/>
      <c r="C138" s="49" t="n"/>
      <c r="E138" s="49" t="n"/>
      <c r="F138" s="49" t="n"/>
    </row>
    <row r="139">
      <c r="B139" s="49" t="n"/>
      <c r="C139" s="49" t="n"/>
      <c r="E139" s="49" t="n"/>
      <c r="F139" s="49" t="n"/>
    </row>
    <row r="140">
      <c r="B140" s="49" t="n"/>
      <c r="C140" s="49" t="n"/>
      <c r="E140" s="49" t="n"/>
      <c r="F140" s="49" t="n"/>
    </row>
    <row r="141">
      <c r="B141" s="49" t="n"/>
      <c r="C141" s="49" t="n"/>
      <c r="E141" s="49" t="n"/>
      <c r="F141" s="49" t="n"/>
    </row>
    <row r="142">
      <c r="B142" s="49" t="n"/>
      <c r="C142" s="49" t="n"/>
      <c r="E142" s="49" t="n"/>
      <c r="F142" s="49" t="n"/>
    </row>
    <row r="143">
      <c r="B143" s="49" t="n"/>
      <c r="C143" s="49" t="n"/>
      <c r="E143" s="49" t="n"/>
      <c r="F143" s="49" t="n"/>
    </row>
    <row r="144">
      <c r="B144" s="49" t="n"/>
      <c r="C144" s="49" t="n"/>
      <c r="E144" s="49" t="n"/>
      <c r="F144" s="49" t="n"/>
    </row>
    <row r="145">
      <c r="B145" s="49" t="n"/>
      <c r="C145" s="49" t="n"/>
      <c r="E145" s="49" t="n"/>
      <c r="F145" s="49" t="n"/>
    </row>
    <row r="146">
      <c r="B146" s="49" t="n"/>
      <c r="C146" s="49" t="n"/>
      <c r="E146" s="49" t="n"/>
      <c r="F146" s="49" t="n"/>
    </row>
    <row r="147">
      <c r="B147" s="49" t="n"/>
      <c r="C147" s="49" t="n"/>
      <c r="E147" s="49" t="n"/>
      <c r="F147" s="49" t="n"/>
    </row>
    <row r="148">
      <c r="B148" s="49" t="n"/>
      <c r="C148" s="49" t="n"/>
      <c r="E148" s="49" t="n"/>
      <c r="F148" s="49" t="n"/>
    </row>
    <row r="149">
      <c r="B149" s="49" t="n"/>
      <c r="C149" s="49" t="n"/>
      <c r="E149" s="49" t="n"/>
      <c r="F149" s="49" t="n"/>
    </row>
    <row r="150">
      <c r="B150" s="49" t="n"/>
      <c r="C150" s="49" t="n"/>
      <c r="E150" s="49" t="n"/>
      <c r="F150" s="49" t="n"/>
    </row>
    <row r="151">
      <c r="B151" s="49" t="n"/>
      <c r="C151" s="49" t="n"/>
      <c r="E151" s="49" t="n"/>
      <c r="F151" s="49" t="n"/>
    </row>
    <row r="152">
      <c r="B152" s="49" t="n"/>
      <c r="C152" s="49" t="n"/>
      <c r="E152" s="49" t="n"/>
      <c r="F152" s="49" t="n"/>
    </row>
    <row r="153">
      <c r="B153" s="49" t="n"/>
      <c r="C153" s="49" t="n"/>
      <c r="E153" s="49" t="n"/>
      <c r="F153" s="49" t="n"/>
    </row>
    <row r="154">
      <c r="B154" s="49" t="n"/>
      <c r="C154" s="49" t="n"/>
      <c r="E154" s="49" t="n"/>
      <c r="F154" s="49" t="n"/>
    </row>
    <row r="155">
      <c r="B155" s="49" t="n"/>
      <c r="C155" s="49" t="n"/>
      <c r="E155" s="49" t="n"/>
      <c r="F155" s="49" t="n"/>
    </row>
    <row r="156">
      <c r="B156" s="49" t="n"/>
      <c r="C156" s="49" t="n"/>
      <c r="E156" s="49" t="n"/>
      <c r="F156" s="49" t="n"/>
    </row>
    <row r="157">
      <c r="B157" s="49" t="n"/>
      <c r="C157" s="49" t="n"/>
      <c r="E157" s="49" t="n"/>
      <c r="F157" s="49" t="n"/>
    </row>
    <row r="158">
      <c r="B158" s="49" t="n"/>
      <c r="C158" s="49" t="n"/>
      <c r="E158" s="49" t="n"/>
      <c r="F158" s="49" t="n"/>
    </row>
    <row r="159">
      <c r="B159" s="49" t="n"/>
      <c r="C159" s="49" t="n"/>
      <c r="E159" s="49" t="n"/>
      <c r="F159" s="49" t="n"/>
    </row>
    <row r="160">
      <c r="B160" s="49" t="n"/>
      <c r="C160" s="49" t="n"/>
      <c r="E160" s="49" t="n"/>
      <c r="F160" s="49" t="n"/>
    </row>
    <row r="161">
      <c r="B161" s="49" t="n"/>
      <c r="C161" s="49" t="n"/>
      <c r="E161" s="49" t="n"/>
      <c r="F161" s="49" t="n"/>
    </row>
    <row r="162">
      <c r="B162" s="49" t="n"/>
      <c r="C162" s="49" t="n"/>
      <c r="E162" s="49" t="n"/>
      <c r="F162" s="49" t="n"/>
    </row>
    <row r="163">
      <c r="B163" s="49" t="n"/>
      <c r="C163" s="49" t="n"/>
      <c r="E163" s="49" t="n"/>
      <c r="F163" s="49" t="n"/>
    </row>
    <row r="164">
      <c r="B164" s="49" t="n"/>
      <c r="C164" s="49" t="n"/>
      <c r="E164" s="49" t="n"/>
      <c r="F164" s="49" t="n"/>
    </row>
    <row r="165">
      <c r="B165" s="49" t="n"/>
      <c r="C165" s="49" t="n"/>
      <c r="E165" s="49" t="n"/>
      <c r="F165" s="49" t="n"/>
    </row>
    <row r="166">
      <c r="B166" s="49" t="n"/>
      <c r="C166" s="49" t="n"/>
      <c r="E166" s="49" t="n"/>
      <c r="F166" s="49" t="n"/>
    </row>
    <row r="167">
      <c r="B167" s="49" t="n"/>
      <c r="C167" s="49" t="n"/>
      <c r="E167" s="49" t="n"/>
      <c r="F167" s="49" t="n"/>
    </row>
    <row r="168">
      <c r="B168" s="49" t="n"/>
      <c r="C168" s="49" t="n"/>
      <c r="E168" s="49" t="n"/>
      <c r="F168" s="49" t="n"/>
    </row>
    <row r="169">
      <c r="B169" s="49" t="n"/>
      <c r="C169" s="49" t="n"/>
      <c r="E169" s="49" t="n"/>
      <c r="F169" s="49" t="n"/>
    </row>
    <row r="170">
      <c r="B170" s="49" t="n"/>
      <c r="C170" s="49" t="n"/>
      <c r="E170" s="49" t="n"/>
      <c r="F170" s="49" t="n"/>
    </row>
    <row r="171">
      <c r="B171" s="49" t="n"/>
      <c r="C171" s="49" t="n"/>
      <c r="E171" s="49" t="n"/>
      <c r="F171" s="49" t="n"/>
    </row>
    <row r="172">
      <c r="B172" s="49" t="n"/>
      <c r="C172" s="49" t="n"/>
      <c r="E172" s="49" t="n"/>
      <c r="F172" s="49" t="n"/>
    </row>
    <row r="173">
      <c r="B173" s="49" t="n"/>
      <c r="C173" s="49" t="n"/>
      <c r="E173" s="49" t="n"/>
      <c r="F173" s="49" t="n"/>
    </row>
    <row r="174">
      <c r="B174" s="49" t="n"/>
      <c r="C174" s="49" t="n"/>
      <c r="E174" s="49" t="n"/>
      <c r="F174" s="49" t="n"/>
    </row>
    <row r="175">
      <c r="B175" s="49" t="n"/>
      <c r="C175" s="49" t="n"/>
      <c r="E175" s="49" t="n"/>
      <c r="F175" s="49" t="n"/>
    </row>
    <row r="176">
      <c r="B176" s="49" t="n"/>
      <c r="C176" s="49" t="n"/>
      <c r="E176" s="49" t="n"/>
      <c r="F176" s="49" t="n"/>
    </row>
    <row r="177">
      <c r="B177" s="49" t="n"/>
      <c r="C177" s="49" t="n"/>
      <c r="E177" s="49" t="n"/>
      <c r="F177" s="49" t="n"/>
    </row>
    <row r="178">
      <c r="B178" s="49" t="n"/>
      <c r="C178" s="49" t="n"/>
      <c r="E178" s="49" t="n"/>
      <c r="F178" s="49" t="n"/>
    </row>
    <row r="179">
      <c r="B179" s="49" t="n"/>
      <c r="C179" s="49" t="n"/>
      <c r="E179" s="49" t="n"/>
      <c r="F179" s="49" t="n"/>
    </row>
    <row r="180">
      <c r="B180" s="49" t="n"/>
      <c r="C180" s="49" t="n"/>
      <c r="E180" s="49" t="n"/>
      <c r="F180" s="49" t="n"/>
    </row>
    <row r="181">
      <c r="B181" s="49" t="n"/>
      <c r="C181" s="49" t="n"/>
      <c r="E181" s="49" t="n"/>
      <c r="F181" s="49" t="n"/>
    </row>
    <row r="182">
      <c r="B182" s="49" t="n"/>
      <c r="C182" s="49" t="n"/>
      <c r="E182" s="49" t="n"/>
      <c r="F182" s="49" t="n"/>
    </row>
    <row r="183">
      <c r="B183" s="49" t="n"/>
      <c r="C183" s="49" t="n"/>
      <c r="E183" s="49" t="n"/>
      <c r="F183" s="49" t="n"/>
    </row>
    <row r="184">
      <c r="B184" s="49" t="n"/>
      <c r="C184" s="49" t="n"/>
      <c r="E184" s="49" t="n"/>
      <c r="F184" s="49" t="n"/>
    </row>
    <row r="185">
      <c r="B185" s="49" t="n"/>
      <c r="C185" s="49" t="n"/>
      <c r="E185" s="49" t="n"/>
      <c r="F185" s="49" t="n"/>
    </row>
    <row r="186">
      <c r="B186" s="49" t="n"/>
      <c r="C186" s="49" t="n"/>
      <c r="E186" s="49" t="n"/>
      <c r="F186" s="49" t="n"/>
    </row>
    <row r="187">
      <c r="B187" s="49" t="n"/>
      <c r="C187" s="49" t="n"/>
      <c r="E187" s="49" t="n"/>
      <c r="F187" s="49" t="n"/>
    </row>
    <row r="188">
      <c r="B188" s="49" t="n"/>
      <c r="C188" s="49" t="n"/>
      <c r="E188" s="49" t="n"/>
      <c r="F188" s="49" t="n"/>
    </row>
    <row r="189">
      <c r="B189" s="49" t="n"/>
      <c r="C189" s="49" t="n"/>
      <c r="E189" s="49" t="n"/>
      <c r="F189" s="49" t="n"/>
    </row>
    <row r="190">
      <c r="B190" s="49" t="n"/>
      <c r="C190" s="49" t="n"/>
      <c r="E190" s="49" t="n"/>
      <c r="F190" s="49" t="n"/>
    </row>
    <row r="191">
      <c r="B191" s="49" t="n"/>
      <c r="C191" s="49" t="n"/>
      <c r="E191" s="49" t="n"/>
      <c r="F191" s="49" t="n"/>
    </row>
    <row r="192">
      <c r="B192" s="49" t="n"/>
      <c r="C192" s="49" t="n"/>
      <c r="E192" s="49" t="n"/>
      <c r="F192" s="49" t="n"/>
    </row>
    <row r="193">
      <c r="B193" s="49" t="n"/>
      <c r="C193" s="49" t="n"/>
      <c r="E193" s="49" t="n"/>
      <c r="F193" s="49" t="n"/>
    </row>
    <row r="194">
      <c r="B194" s="49" t="n"/>
      <c r="C194" s="49" t="n"/>
      <c r="E194" s="49" t="n"/>
      <c r="F194" s="49" t="n"/>
    </row>
    <row r="195">
      <c r="B195" s="49" t="n"/>
      <c r="C195" s="49" t="n"/>
      <c r="E195" s="49" t="n"/>
      <c r="F195" s="49" t="n"/>
    </row>
    <row r="196">
      <c r="B196" s="49" t="n"/>
      <c r="C196" s="49" t="n"/>
      <c r="E196" s="49" t="n"/>
      <c r="F196" s="49" t="n"/>
    </row>
    <row r="197">
      <c r="B197" s="49" t="n"/>
      <c r="C197" s="49" t="n"/>
      <c r="E197" s="49" t="n"/>
      <c r="F197" s="49" t="n"/>
    </row>
    <row r="198">
      <c r="B198" s="49" t="n"/>
      <c r="C198" s="49" t="n"/>
      <c r="E198" s="49" t="n"/>
      <c r="F198" s="49" t="n"/>
    </row>
    <row r="199">
      <c r="B199" s="49" t="n"/>
      <c r="C199" s="49" t="n"/>
      <c r="E199" s="49" t="n"/>
      <c r="F199" s="49" t="n"/>
    </row>
    <row r="200">
      <c r="B200" s="49" t="n"/>
      <c r="C200" s="49" t="n"/>
      <c r="E200" s="49" t="n"/>
      <c r="F200" s="49" t="n"/>
    </row>
    <row r="201">
      <c r="B201" s="49" t="n"/>
      <c r="C201" s="49" t="n"/>
      <c r="E201" s="49" t="n"/>
      <c r="F201" s="49" t="n"/>
    </row>
    <row r="202">
      <c r="B202" s="49" t="n"/>
      <c r="C202" s="49" t="n"/>
      <c r="E202" s="49" t="n"/>
      <c r="F202" s="49" t="n"/>
    </row>
    <row r="203">
      <c r="B203" s="49" t="n"/>
      <c r="C203" s="49" t="n"/>
      <c r="E203" s="49" t="n"/>
      <c r="F203" s="49" t="n"/>
    </row>
    <row r="204">
      <c r="B204" s="49" t="n"/>
      <c r="C204" s="49" t="n"/>
      <c r="E204" s="49" t="n"/>
      <c r="F204" s="49" t="n"/>
    </row>
    <row r="205">
      <c r="B205" s="49" t="n"/>
      <c r="C205" s="49" t="n"/>
      <c r="E205" s="49" t="n"/>
      <c r="F205" s="49" t="n"/>
    </row>
    <row r="206">
      <c r="B206" s="49" t="n"/>
      <c r="C206" s="49" t="n"/>
      <c r="E206" s="49" t="n"/>
      <c r="F206" s="49" t="n"/>
    </row>
    <row r="207">
      <c r="B207" s="49" t="n"/>
      <c r="C207" s="49" t="n"/>
      <c r="E207" s="49" t="n"/>
      <c r="F207" s="49" t="n"/>
    </row>
    <row r="208">
      <c r="B208" s="49" t="n"/>
      <c r="C208" s="49" t="n"/>
      <c r="E208" s="49" t="n"/>
      <c r="F208" s="49" t="n"/>
    </row>
    <row r="209">
      <c r="B209" s="49" t="n"/>
      <c r="C209" s="49" t="n"/>
      <c r="E209" s="49" t="n"/>
      <c r="F209" s="49" t="n"/>
    </row>
    <row r="210">
      <c r="B210" s="49" t="n"/>
      <c r="C210" s="49" t="n"/>
      <c r="E210" s="49" t="n"/>
      <c r="F210" s="49" t="n"/>
    </row>
    <row r="211">
      <c r="B211" s="49" t="n"/>
      <c r="C211" s="49" t="n"/>
      <c r="E211" s="49" t="n"/>
      <c r="F211" s="49" t="n"/>
    </row>
    <row r="212">
      <c r="B212" s="49" t="n"/>
      <c r="C212" s="49" t="n"/>
      <c r="E212" s="49" t="n"/>
      <c r="F212" s="49" t="n"/>
    </row>
    <row r="213">
      <c r="B213" s="49" t="n"/>
      <c r="C213" s="49" t="n"/>
      <c r="E213" s="49" t="n"/>
      <c r="F213" s="49" t="n"/>
    </row>
    <row r="214">
      <c r="B214" s="49" t="n"/>
      <c r="C214" s="49" t="n"/>
      <c r="E214" s="49" t="n"/>
      <c r="F214" s="49" t="n"/>
    </row>
    <row r="215">
      <c r="B215" s="49" t="n"/>
      <c r="C215" s="49" t="n"/>
      <c r="E215" s="49" t="n"/>
      <c r="F215" s="49" t="n"/>
    </row>
    <row r="216">
      <c r="B216" s="49" t="n"/>
      <c r="C216" s="49" t="n"/>
      <c r="E216" s="49" t="n"/>
      <c r="F216" s="49" t="n"/>
    </row>
    <row r="217">
      <c r="B217" s="49" t="n"/>
      <c r="C217" s="49" t="n"/>
      <c r="E217" s="49" t="n"/>
      <c r="F217" s="49" t="n"/>
    </row>
    <row r="218">
      <c r="B218" s="49" t="n"/>
      <c r="C218" s="49" t="n"/>
      <c r="E218" s="49" t="n"/>
      <c r="F218" s="49"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18:B218">
    <cfRule type="expression" priority="2" dxfId="6">
      <formula>AND(LEN($B18&amp;$C18&amp;$D18&amp;$E18&amp;$F18)&gt;0,B18="")</formula>
    </cfRule>
  </conditionalFormatting>
  <conditionalFormatting sqref="C18:C218">
    <cfRule type="expression" priority="3" dxfId="6">
      <formula>AND(LEN($B18&amp;$C18&amp;$D18&amp;$E18&amp;$F18)&gt;0,C18="")</formula>
    </cfRule>
  </conditionalFormatting>
  <conditionalFormatting sqref="D18:D218">
    <cfRule type="expression" priority="4" dxfId="6">
      <formula>AND(LEN($B18&amp;$C18&amp;$D18&amp;$E18&amp;$F18)&gt;0,D18="")</formula>
    </cfRule>
  </conditionalFormatting>
  <conditionalFormatting sqref="E18:E218">
    <cfRule type="expression" priority="5" dxfId="6">
      <formula>AND(LEN($B18&amp;$C18&amp;$D18&amp;$E18&amp;$F18)&gt;0,E18="")</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insurer_code" error="At most 30 characters." promptTitle="insurer_code" prompt="Yes. Legacy insurer code Allowed: The legacy code; mapped by the code map INSURER (Code Maps screen of the Data Migration Console; maps prepared in the Migration Workbook of BRD-13)" type="textLength" operator="lessThanOrEqual">
      <formula1>30</formula1>
    </dataValidation>
    <dataValidation sqref="C18:C218" showDropDown="0" showInputMessage="1" showErrorMessage="1" allowBlank="1" errorTitle="risk_code" error="At most 20 characters." promptTitle="risk_code" prompt="Yes. Legacy product / risk code Allowed: The legacy code; mapped by the code map PRODUCT (Code Maps screen of the Data Migration Console; maps prepared in the Migration Workbook of BRD-13)" type="textLength" operator="lessThanOrEqual">
      <formula1>20</formula1>
    </dataValidation>
    <dataValidation sqref="D18:D218" showDropDown="0" showInputMessage="1" showErrorMessage="1" allowBlank="1" errorTitle="rate_pct" error="Enter a number." promptTitle="rate_pct" prompt="Yes. Commission rate in percent Allowed: A number" type="decimal" operator="greaterThanOrEqual">
      <formula1>-1E+15</formula1>
    </dataValidation>
    <dataValidation sqref="E18:E218" showDropDown="0" showInputMessage="1" showErrorMessage="0" allowBlank="1" promptTitle="effective_from" prompt="Yes. Rate valid from"/>
    <dataValidation sqref="F18:F218" showDropDown="0" showInputMessage="1" showErrorMessage="0" allowBlank="1" promptTitle="effective_to" prompt="No. Rate valid to"/>
  </dataValidations>
  <hyperlinks>
    <hyperlink ref="A2" location="'Start here'!A1"/>
    <hyperlink ref="G2" location="'Questions and comments'!A1"/>
    <hyperlink ref="B8" location="'R04 Insurers'!A1"/>
    <hyperlink ref="D8" location="'R05 Product lines, cover type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6.xml><?xml version="1.0" encoding="utf-8"?>
<worksheet xmlns="http://schemas.openxmlformats.org/spreadsheetml/2006/main">
  <sheetPr>
    <tabColor rgb="00004EA8"/>
    <outlinePr summaryBelow="0" summaryRight="1"/>
    <pageSetUpPr fitToPage="1"/>
  </sheetPr>
  <dimension ref="A1:K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22" customWidth="1" min="3" max="3"/>
    <col width="14" customWidth="1" min="4" max="4"/>
    <col width="14" customWidth="1" min="5" max="5"/>
    <col width="14" customWidth="1" min="6" max="6"/>
    <col width="28" customWidth="1" min="7" max="7"/>
    <col width="12" customWidth="1" min="8" max="8"/>
    <col width="24" customWidth="1" min="9" max="9"/>
    <col width="19" customWidth="1" min="10" max="10"/>
    <col width="17" customWidth="1" min="11" max="11"/>
  </cols>
  <sheetData>
    <row r="1" ht="26" customHeight="1">
      <c r="A1" s="25" t="inlineStr">
        <is>
          <t>TX-02 Tax forms and filing calendar</t>
        </is>
      </c>
      <c r="K1" s="26" t="inlineStr">
        <is>
          <t>Step 34 of 52</t>
        </is>
      </c>
    </row>
    <row r="2">
      <c r="A2" s="27" t="inlineStr">
        <is>
          <t>← Back to Start here</t>
        </is>
      </c>
      <c r="B2" s="28" t="inlineStr">
        <is>
          <t>Step 34 of 52. Fill in one row per record below the column headers; the guide above each column says what to enter.</t>
        </is>
      </c>
      <c r="K2" s="29" t="inlineStr">
        <is>
          <t>Ask a question →</t>
        </is>
      </c>
    </row>
    <row r="3" outlineLevel="1" ht="28" customHeight="1">
      <c r="A3" s="30" t="inlineStr">
        <is>
          <t>Purpose</t>
        </is>
      </c>
      <c r="B3" s="31" t="inlineStr">
        <is>
          <t>One row per tax return or remittance form BDOI files, with its frequency and due date, so that the tax calendar warns before each deadline and the return worksheets post to the right accounts. The forms BIBS knows are listed on the sheet D0-10 Tax checklist; BDOI confirms which apply to it as a broker.</t>
        </is>
      </c>
    </row>
    <row r="4" outlineLevel="1" ht="15.5" customHeight="1">
      <c r="A4" s="30" t="inlineStr">
        <is>
          <t>Provided by</t>
        </is>
      </c>
      <c r="B4" s="31" t="inlineStr">
        <is>
          <t>Head, Comptrollership (Tax)</t>
        </is>
      </c>
    </row>
    <row r="5" outlineLevel="1" ht="15.5" customHeight="1">
      <c r="A5" s="30" t="inlineStr">
        <is>
          <t>Due</t>
        </is>
      </c>
      <c r="B5" s="32" t="inlineStr">
        <is>
          <t>16-Jul-2027 – Values for UAT</t>
        </is>
      </c>
    </row>
    <row r="6" outlineLevel="1" ht="15.5" customHeight="1">
      <c r="A6" s="30" t="inlineStr">
        <is>
          <t>How it is loaded</t>
        </is>
      </c>
      <c r="B6" s="31" t="inlineStr">
        <is>
          <t>Configuration screen: Finance › Tax &amp; Statutory › Tax Codes &amp; Forms (Forms panel), authorised by a second user</t>
        </is>
      </c>
    </row>
    <row r="7" outlineLevel="1" ht="15.5" customHeight="1">
      <c r="A7" s="30" t="inlineStr">
        <is>
          <t>Source</t>
        </is>
      </c>
      <c r="B7" s="31" t="inlineStr">
        <is>
          <t>BDOI tax calendar</t>
        </is>
      </c>
    </row>
    <row r="8" outlineLevel="1" ht="15" customHeight="1">
      <c r="A8" s="30" t="inlineStr">
        <is>
          <t>Depends on</t>
        </is>
      </c>
      <c r="B8" s="53" t="inlineStr">
        <is>
          <t>D0-06 Chart of accounts →</t>
        </is>
      </c>
    </row>
    <row r="9" ht="26" customHeight="1">
      <c r="A9" s="34" t="inlineStr">
        <is>
          <t>Progress</t>
        </is>
      </c>
      <c r="B9" s="35" t="inlineStr">
        <is>
          <t>Rows entered</t>
        </is>
      </c>
      <c r="C9" s="36">
        <f>SUMPRODUCT(((ROW($B$17:$B$317)&gt;17)+($B$17&lt;&gt;"2550Q")&gt;0)*(LEN($B$17:$B$317&amp;$C$17:$C$317&amp;$D$17:$D$317&amp;$E$17:$E$317&amp;$F$17:$F$317&amp;$G$17:$G$317&amp;$H$17:$H$317&amp;$I$17:$I$317&amp;$J$17:$J$317&amp;$K$17:$K$317)&gt;0))</f>
        <v/>
      </c>
      <c r="D9" s="35" t="inlineStr">
        <is>
          <t>Mandatory cells missing</t>
        </is>
      </c>
      <c r="E9" s="36">
        <f>SUMPRODUCT(((ROW($B$17:$B$317)&gt;17)+($B$17&lt;&gt;"2550Q")&gt;0)*(LEN($B$17:$B$317&amp;$C$17:$C$317&amp;$D$17:$D$317&amp;$E$17:$E$317&amp;$F$17:$F$317&amp;$G$17:$G$317&amp;$H$17:$H$317&amp;$I$17:$I$317&amp;$J$17:$J$317&amp;$K$17:$K$317)&gt;0)*(($B$17:$B$317="")+($C$17:$C$317="")+($D$17:$D$317="")+($E$17:$E$317="")+($F$17:$F$317="")+($G$17:$G$317="")+($H$17:$H$317="")+($K$17:$K$317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row>
    <row r="12" ht="17" customHeight="1">
      <c r="A12" s="41" t="inlineStr">
        <is>
          <t>Mandatory</t>
        </is>
      </c>
      <c r="B12" s="42" t="inlineStr">
        <is>
          <t>Yes</t>
        </is>
      </c>
      <c r="C12" s="42" t="inlineStr">
        <is>
          <t>Yes</t>
        </is>
      </c>
      <c r="D12" s="42" t="inlineStr">
        <is>
          <t>Yes</t>
        </is>
      </c>
      <c r="E12" s="42" t="inlineStr">
        <is>
          <t>Yes</t>
        </is>
      </c>
      <c r="F12" s="42" t="inlineStr">
        <is>
          <t>Yes</t>
        </is>
      </c>
      <c r="G12" s="42" t="inlineStr">
        <is>
          <t>Yes</t>
        </is>
      </c>
      <c r="H12" s="42" t="inlineStr">
        <is>
          <t>Yes</t>
        </is>
      </c>
      <c r="I12" s="43" t="inlineStr">
        <is>
          <t>No</t>
        </is>
      </c>
      <c r="J12" s="43" t="inlineStr">
        <is>
          <t>No</t>
        </is>
      </c>
      <c r="K12" s="42" t="inlineStr">
        <is>
          <t>Yes</t>
        </is>
      </c>
    </row>
    <row r="13" ht="30" customHeight="1">
      <c r="A13" s="41" t="inlineStr">
        <is>
          <t>Format</t>
        </is>
      </c>
      <c r="B13" s="43" t="inlineStr">
        <is>
          <t>Up to 20 characters</t>
        </is>
      </c>
      <c r="C13" s="43" t="inlineStr">
        <is>
          <t>Text, up to 150</t>
        </is>
      </c>
      <c r="D13" s="43" t="inlineStr">
        <is>
          <t>Code of the list</t>
        </is>
      </c>
      <c r="E13" s="43" t="inlineStr">
        <is>
          <t>Code of the list</t>
        </is>
      </c>
      <c r="F13" s="43" t="inlineStr">
        <is>
          <t>Code of the list</t>
        </is>
      </c>
      <c r="G13" s="43" t="inlineStr">
        <is>
          <t>Whole number</t>
        </is>
      </c>
      <c r="H13" s="43" t="inlineStr">
        <is>
          <t>1 to 31 (31 = month end)</t>
        </is>
      </c>
      <c r="I13" s="43" t="inlineStr">
        <is>
          <t>Account of D0-06</t>
        </is>
      </c>
      <c r="J13" s="43" t="inlineStr">
        <is>
          <t>Account of D0-06</t>
        </is>
      </c>
      <c r="K13" s="43" t="inlineStr">
        <is>
          <t>dd-mmm-yyyy</t>
        </is>
      </c>
    </row>
    <row r="14" ht="69" customHeight="1">
      <c r="A14" s="41" t="inlineStr">
        <is>
          <t>Allowed values</t>
        </is>
      </c>
      <c r="B14" s="43" t="inlineStr">
        <is>
          <t>Free entry, up to 20 characters</t>
        </is>
      </c>
      <c r="C14" s="43" t="inlineStr">
        <is>
          <t>Free entry, up to 150 characters</t>
        </is>
      </c>
      <c r="D14" s="51" t="inlineStr">
        <is>
          <t>BIR, LGU, BFP (list Tax authority)</t>
        </is>
      </c>
      <c r="E14" s="51" t="inlineStr">
        <is>
          <t>MONTHLY, QUARTERLY, MONTHLY_EXCEPT_QUARTER_END, ANNUAL (list Filing frequency)</t>
        </is>
      </c>
      <c r="F14" s="51" t="inlineStr">
        <is>
          <t>VAT, EWT, NONE (list Tax worksheet)</t>
        </is>
      </c>
      <c r="G14" s="43" t="inlineStr">
        <is>
          <t>A whole number from 0 to 12</t>
        </is>
      </c>
      <c r="H14" s="43" t="inlineStr">
        <is>
          <t>A whole number from 1 to 31</t>
        </is>
      </c>
      <c r="I14" s="51" t="inlineStr">
        <is>
          <t>A code of D0-06 Chart of accounts, column Account Code</t>
        </is>
      </c>
      <c r="J14" s="51" t="inlineStr">
        <is>
          <t>A code of D0-06 Chart of accounts, column Account Code</t>
        </is>
      </c>
      <c r="K14" s="43" t="inlineStr">
        <is>
          <t>A date, for example 15-Jan-2028</t>
        </is>
      </c>
    </row>
    <row r="15" ht="82" customHeight="1">
      <c r="A15" s="41" t="inlineStr">
        <is>
          <t>What to enter</t>
        </is>
      </c>
      <c r="B15" s="43" t="inlineStr">
        <is>
          <t>BIR or local form number</t>
        </is>
      </c>
      <c r="C15" s="43" t="inlineStr">
        <is>
          <t>Name of the return</t>
        </is>
      </c>
      <c r="D15" s="43" t="inlineStr">
        <is>
          <t>Who the form is filed with</t>
        </is>
      </c>
      <c r="E15" s="43" t="inlineStr">
        <is>
          <t>How often the form is filed</t>
        </is>
      </c>
      <c r="F15" s="43" t="inlineStr">
        <is>
          <t>Computation worksheet behind the form (NONE: prepared outside BIBS, reminder only)</t>
        </is>
      </c>
      <c r="G15" s="43" t="inlineStr">
        <is>
          <t>Months after the end of the period in which the form is due</t>
        </is>
      </c>
      <c r="H15" s="43" t="inlineStr">
        <is>
          <t>Day of the month the form is due</t>
        </is>
      </c>
      <c r="I15" s="43" t="inlineStr">
        <is>
          <t>Account the tax payable is posted to</t>
        </is>
      </c>
      <c r="J15" s="43" t="inlineStr">
        <is>
          <t>Input VAT account credited against the output VAT (VAT return only)</t>
        </is>
      </c>
      <c r="K15" s="43" t="inlineStr">
        <is>
          <t>First period the filing is tracked</t>
        </is>
      </c>
    </row>
    <row r="16" ht="30" customHeight="1">
      <c r="A16" s="44" t="inlineStr">
        <is>
          <t>Row</t>
        </is>
      </c>
      <c r="B16" s="45" t="inlineStr">
        <is>
          <t>Form code *</t>
        </is>
      </c>
      <c r="C16" s="45" t="inlineStr">
        <is>
          <t>Name *</t>
        </is>
      </c>
      <c r="D16" s="45" t="inlineStr">
        <is>
          <t>Authority *</t>
        </is>
      </c>
      <c r="E16" s="45" t="inlineStr">
        <is>
          <t>Frequency *</t>
        </is>
      </c>
      <c r="F16" s="45" t="inlineStr">
        <is>
          <t>Worksheet *</t>
        </is>
      </c>
      <c r="G16" s="45" t="inlineStr">
        <is>
          <t>Months after period end *</t>
        </is>
      </c>
      <c r="H16" s="45" t="inlineStr">
        <is>
          <t>Due day *</t>
        </is>
      </c>
      <c r="I16" s="45" t="inlineStr">
        <is>
          <t>Tax payable account</t>
        </is>
      </c>
      <c r="J16" s="45" t="inlineStr">
        <is>
          <t>Credit account</t>
        </is>
      </c>
      <c r="K16" s="45" t="inlineStr">
        <is>
          <t>Tracked from *</t>
        </is>
      </c>
    </row>
    <row r="17" ht="18" customHeight="1">
      <c r="A17" s="46" t="inlineStr">
        <is>
          <t>Example – overwrite or delete</t>
        </is>
      </c>
      <c r="B17" s="47" t="inlineStr">
        <is>
          <t>2550Q</t>
        </is>
      </c>
      <c r="C17" s="47" t="inlineStr">
        <is>
          <t>Quarterly VAT return</t>
        </is>
      </c>
      <c r="D17" s="47" t="inlineStr">
        <is>
          <t>BIR</t>
        </is>
      </c>
      <c r="E17" s="47" t="inlineStr">
        <is>
          <t>QUARTERLY</t>
        </is>
      </c>
      <c r="F17" s="47" t="inlineStr">
        <is>
          <t>VAT</t>
        </is>
      </c>
      <c r="G17" s="52" t="n">
        <v>0</v>
      </c>
      <c r="H17" s="52" t="n">
        <v>25</v>
      </c>
      <c r="I17" s="47" t="n"/>
      <c r="J17" s="47" t="n"/>
      <c r="K17" s="48" t="n">
        <v>46753</v>
      </c>
    </row>
    <row r="18">
      <c r="B18" s="49" t="n"/>
      <c r="C18" s="49" t="n"/>
      <c r="D18" s="49" t="n"/>
      <c r="E18" s="49" t="n"/>
      <c r="F18" s="49" t="n"/>
      <c r="I18" s="49" t="n"/>
      <c r="J18" s="49" t="n"/>
      <c r="K18" s="50" t="n"/>
    </row>
    <row r="19">
      <c r="B19" s="49" t="n"/>
      <c r="C19" s="49" t="n"/>
      <c r="D19" s="49" t="n"/>
      <c r="E19" s="49" t="n"/>
      <c r="F19" s="49" t="n"/>
      <c r="I19" s="49" t="n"/>
      <c r="J19" s="49" t="n"/>
      <c r="K19" s="50" t="n"/>
    </row>
    <row r="20">
      <c r="B20" s="49" t="n"/>
      <c r="C20" s="49" t="n"/>
      <c r="D20" s="49" t="n"/>
      <c r="E20" s="49" t="n"/>
      <c r="F20" s="49" t="n"/>
      <c r="I20" s="49" t="n"/>
      <c r="J20" s="49" t="n"/>
      <c r="K20" s="50" t="n"/>
    </row>
    <row r="21">
      <c r="B21" s="49" t="n"/>
      <c r="C21" s="49" t="n"/>
      <c r="D21" s="49" t="n"/>
      <c r="E21" s="49" t="n"/>
      <c r="F21" s="49" t="n"/>
      <c r="I21" s="49" t="n"/>
      <c r="J21" s="49" t="n"/>
      <c r="K21" s="50" t="n"/>
    </row>
    <row r="22">
      <c r="B22" s="49" t="n"/>
      <c r="C22" s="49" t="n"/>
      <c r="D22" s="49" t="n"/>
      <c r="E22" s="49" t="n"/>
      <c r="F22" s="49" t="n"/>
      <c r="I22" s="49" t="n"/>
      <c r="J22" s="49" t="n"/>
      <c r="K22" s="50" t="n"/>
    </row>
    <row r="23">
      <c r="B23" s="49" t="n"/>
      <c r="C23" s="49" t="n"/>
      <c r="D23" s="49" t="n"/>
      <c r="E23" s="49" t="n"/>
      <c r="F23" s="49" t="n"/>
      <c r="I23" s="49" t="n"/>
      <c r="J23" s="49" t="n"/>
      <c r="K23" s="50" t="n"/>
    </row>
    <row r="24">
      <c r="B24" s="49" t="n"/>
      <c r="C24" s="49" t="n"/>
      <c r="D24" s="49" t="n"/>
      <c r="E24" s="49" t="n"/>
      <c r="F24" s="49" t="n"/>
      <c r="I24" s="49" t="n"/>
      <c r="J24" s="49" t="n"/>
      <c r="K24" s="50" t="n"/>
    </row>
    <row r="25">
      <c r="B25" s="49" t="n"/>
      <c r="C25" s="49" t="n"/>
      <c r="D25" s="49" t="n"/>
      <c r="E25" s="49" t="n"/>
      <c r="F25" s="49" t="n"/>
      <c r="I25" s="49" t="n"/>
      <c r="J25" s="49" t="n"/>
      <c r="K25" s="50" t="n"/>
    </row>
    <row r="26">
      <c r="B26" s="49" t="n"/>
      <c r="C26" s="49" t="n"/>
      <c r="D26" s="49" t="n"/>
      <c r="E26" s="49" t="n"/>
      <c r="F26" s="49" t="n"/>
      <c r="I26" s="49" t="n"/>
      <c r="J26" s="49" t="n"/>
      <c r="K26" s="50" t="n"/>
    </row>
    <row r="27">
      <c r="B27" s="49" t="n"/>
      <c r="C27" s="49" t="n"/>
      <c r="D27" s="49" t="n"/>
      <c r="E27" s="49" t="n"/>
      <c r="F27" s="49" t="n"/>
      <c r="I27" s="49" t="n"/>
      <c r="J27" s="49" t="n"/>
      <c r="K27" s="50" t="n"/>
    </row>
    <row r="28">
      <c r="B28" s="49" t="n"/>
      <c r="C28" s="49" t="n"/>
      <c r="D28" s="49" t="n"/>
      <c r="E28" s="49" t="n"/>
      <c r="F28" s="49" t="n"/>
      <c r="I28" s="49" t="n"/>
      <c r="J28" s="49" t="n"/>
      <c r="K28" s="50" t="n"/>
    </row>
    <row r="29">
      <c r="B29" s="49" t="n"/>
      <c r="C29" s="49" t="n"/>
      <c r="D29" s="49" t="n"/>
      <c r="E29" s="49" t="n"/>
      <c r="F29" s="49" t="n"/>
      <c r="I29" s="49" t="n"/>
      <c r="J29" s="49" t="n"/>
      <c r="K29" s="50" t="n"/>
    </row>
    <row r="30">
      <c r="B30" s="49" t="n"/>
      <c r="C30" s="49" t="n"/>
      <c r="D30" s="49" t="n"/>
      <c r="E30" s="49" t="n"/>
      <c r="F30" s="49" t="n"/>
      <c r="I30" s="49" t="n"/>
      <c r="J30" s="49" t="n"/>
      <c r="K30" s="50" t="n"/>
    </row>
    <row r="31">
      <c r="B31" s="49" t="n"/>
      <c r="C31" s="49" t="n"/>
      <c r="D31" s="49" t="n"/>
      <c r="E31" s="49" t="n"/>
      <c r="F31" s="49" t="n"/>
      <c r="I31" s="49" t="n"/>
      <c r="J31" s="49" t="n"/>
      <c r="K31" s="50" t="n"/>
    </row>
    <row r="32">
      <c r="B32" s="49" t="n"/>
      <c r="C32" s="49" t="n"/>
      <c r="D32" s="49" t="n"/>
      <c r="E32" s="49" t="n"/>
      <c r="F32" s="49" t="n"/>
      <c r="I32" s="49" t="n"/>
      <c r="J32" s="49" t="n"/>
      <c r="K32" s="50" t="n"/>
    </row>
    <row r="33">
      <c r="B33" s="49" t="n"/>
      <c r="C33" s="49" t="n"/>
      <c r="D33" s="49" t="n"/>
      <c r="E33" s="49" t="n"/>
      <c r="F33" s="49" t="n"/>
      <c r="I33" s="49" t="n"/>
      <c r="J33" s="49" t="n"/>
      <c r="K33" s="50" t="n"/>
    </row>
    <row r="34">
      <c r="B34" s="49" t="n"/>
      <c r="C34" s="49" t="n"/>
      <c r="D34" s="49" t="n"/>
      <c r="E34" s="49" t="n"/>
      <c r="F34" s="49" t="n"/>
      <c r="I34" s="49" t="n"/>
      <c r="J34" s="49" t="n"/>
      <c r="K34" s="50" t="n"/>
    </row>
    <row r="35">
      <c r="B35" s="49" t="n"/>
      <c r="C35" s="49" t="n"/>
      <c r="D35" s="49" t="n"/>
      <c r="E35" s="49" t="n"/>
      <c r="F35" s="49" t="n"/>
      <c r="I35" s="49" t="n"/>
      <c r="J35" s="49" t="n"/>
      <c r="K35" s="50" t="n"/>
    </row>
    <row r="36">
      <c r="B36" s="49" t="n"/>
      <c r="C36" s="49" t="n"/>
      <c r="D36" s="49" t="n"/>
      <c r="E36" s="49" t="n"/>
      <c r="F36" s="49" t="n"/>
      <c r="I36" s="49" t="n"/>
      <c r="J36" s="49" t="n"/>
      <c r="K36" s="50" t="n"/>
    </row>
    <row r="37">
      <c r="B37" s="49" t="n"/>
      <c r="C37" s="49" t="n"/>
      <c r="D37" s="49" t="n"/>
      <c r="E37" s="49" t="n"/>
      <c r="F37" s="49" t="n"/>
      <c r="I37" s="49" t="n"/>
      <c r="J37" s="49" t="n"/>
      <c r="K37" s="50" t="n"/>
    </row>
    <row r="38">
      <c r="B38" s="49" t="n"/>
      <c r="C38" s="49" t="n"/>
      <c r="D38" s="49" t="n"/>
      <c r="E38" s="49" t="n"/>
      <c r="F38" s="49" t="n"/>
      <c r="I38" s="49" t="n"/>
      <c r="J38" s="49" t="n"/>
      <c r="K38" s="50" t="n"/>
    </row>
    <row r="39">
      <c r="B39" s="49" t="n"/>
      <c r="C39" s="49" t="n"/>
      <c r="D39" s="49" t="n"/>
      <c r="E39" s="49" t="n"/>
      <c r="F39" s="49" t="n"/>
      <c r="I39" s="49" t="n"/>
      <c r="J39" s="49" t="n"/>
      <c r="K39" s="50" t="n"/>
    </row>
    <row r="40">
      <c r="B40" s="49" t="n"/>
      <c r="C40" s="49" t="n"/>
      <c r="D40" s="49" t="n"/>
      <c r="E40" s="49" t="n"/>
      <c r="F40" s="49" t="n"/>
      <c r="I40" s="49" t="n"/>
      <c r="J40" s="49" t="n"/>
      <c r="K40" s="50" t="n"/>
    </row>
    <row r="41">
      <c r="B41" s="49" t="n"/>
      <c r="C41" s="49" t="n"/>
      <c r="D41" s="49" t="n"/>
      <c r="E41" s="49" t="n"/>
      <c r="F41" s="49" t="n"/>
      <c r="I41" s="49" t="n"/>
      <c r="J41" s="49" t="n"/>
      <c r="K41" s="50" t="n"/>
    </row>
    <row r="42">
      <c r="B42" s="49" t="n"/>
      <c r="C42" s="49" t="n"/>
      <c r="D42" s="49" t="n"/>
      <c r="E42" s="49" t="n"/>
      <c r="F42" s="49" t="n"/>
      <c r="I42" s="49" t="n"/>
      <c r="J42" s="49" t="n"/>
      <c r="K42" s="50" t="n"/>
    </row>
    <row r="43">
      <c r="B43" s="49" t="n"/>
      <c r="C43" s="49" t="n"/>
      <c r="D43" s="49" t="n"/>
      <c r="E43" s="49" t="n"/>
      <c r="F43" s="49" t="n"/>
      <c r="I43" s="49" t="n"/>
      <c r="J43" s="49" t="n"/>
      <c r="K43" s="50" t="n"/>
    </row>
    <row r="44">
      <c r="B44" s="49" t="n"/>
      <c r="C44" s="49" t="n"/>
      <c r="D44" s="49" t="n"/>
      <c r="E44" s="49" t="n"/>
      <c r="F44" s="49" t="n"/>
      <c r="I44" s="49" t="n"/>
      <c r="J44" s="49" t="n"/>
      <c r="K44" s="50" t="n"/>
    </row>
    <row r="45">
      <c r="B45" s="49" t="n"/>
      <c r="C45" s="49" t="n"/>
      <c r="D45" s="49" t="n"/>
      <c r="E45" s="49" t="n"/>
      <c r="F45" s="49" t="n"/>
      <c r="I45" s="49" t="n"/>
      <c r="J45" s="49" t="n"/>
      <c r="K45" s="50" t="n"/>
    </row>
    <row r="46">
      <c r="B46" s="49" t="n"/>
      <c r="C46" s="49" t="n"/>
      <c r="D46" s="49" t="n"/>
      <c r="E46" s="49" t="n"/>
      <c r="F46" s="49" t="n"/>
      <c r="I46" s="49" t="n"/>
      <c r="J46" s="49" t="n"/>
      <c r="K46" s="50" t="n"/>
    </row>
    <row r="47">
      <c r="B47" s="49" t="n"/>
      <c r="C47" s="49" t="n"/>
      <c r="D47" s="49" t="n"/>
      <c r="E47" s="49" t="n"/>
      <c r="F47" s="49" t="n"/>
      <c r="I47" s="49" t="n"/>
      <c r="J47" s="49" t="n"/>
      <c r="K47" s="50" t="n"/>
    </row>
    <row r="48">
      <c r="B48" s="49" t="n"/>
      <c r="C48" s="49" t="n"/>
      <c r="D48" s="49" t="n"/>
      <c r="E48" s="49" t="n"/>
      <c r="F48" s="49" t="n"/>
      <c r="I48" s="49" t="n"/>
      <c r="J48" s="49" t="n"/>
      <c r="K48" s="50" t="n"/>
    </row>
    <row r="49">
      <c r="B49" s="49" t="n"/>
      <c r="C49" s="49" t="n"/>
      <c r="D49" s="49" t="n"/>
      <c r="E49" s="49" t="n"/>
      <c r="F49" s="49" t="n"/>
      <c r="I49" s="49" t="n"/>
      <c r="J49" s="49" t="n"/>
      <c r="K49" s="50" t="n"/>
    </row>
    <row r="50">
      <c r="B50" s="49" t="n"/>
      <c r="C50" s="49" t="n"/>
      <c r="D50" s="49" t="n"/>
      <c r="E50" s="49" t="n"/>
      <c r="F50" s="49" t="n"/>
      <c r="I50" s="49" t="n"/>
      <c r="J50" s="49" t="n"/>
      <c r="K50" s="50" t="n"/>
    </row>
    <row r="51">
      <c r="B51" s="49" t="n"/>
      <c r="C51" s="49" t="n"/>
      <c r="D51" s="49" t="n"/>
      <c r="E51" s="49" t="n"/>
      <c r="F51" s="49" t="n"/>
      <c r="I51" s="49" t="n"/>
      <c r="J51" s="49" t="n"/>
      <c r="K51" s="50" t="n"/>
    </row>
    <row r="52">
      <c r="B52" s="49" t="n"/>
      <c r="C52" s="49" t="n"/>
      <c r="D52" s="49" t="n"/>
      <c r="E52" s="49" t="n"/>
      <c r="F52" s="49" t="n"/>
      <c r="I52" s="49" t="n"/>
      <c r="J52" s="49" t="n"/>
      <c r="K52" s="50" t="n"/>
    </row>
    <row r="53">
      <c r="B53" s="49" t="n"/>
      <c r="C53" s="49" t="n"/>
      <c r="D53" s="49" t="n"/>
      <c r="E53" s="49" t="n"/>
      <c r="F53" s="49" t="n"/>
      <c r="I53" s="49" t="n"/>
      <c r="J53" s="49" t="n"/>
      <c r="K53" s="50" t="n"/>
    </row>
    <row r="54">
      <c r="B54" s="49" t="n"/>
      <c r="C54" s="49" t="n"/>
      <c r="D54" s="49" t="n"/>
      <c r="E54" s="49" t="n"/>
      <c r="F54" s="49" t="n"/>
      <c r="I54" s="49" t="n"/>
      <c r="J54" s="49" t="n"/>
      <c r="K54" s="50" t="n"/>
    </row>
    <row r="55">
      <c r="B55" s="49" t="n"/>
      <c r="C55" s="49" t="n"/>
      <c r="D55" s="49" t="n"/>
      <c r="E55" s="49" t="n"/>
      <c r="F55" s="49" t="n"/>
      <c r="I55" s="49" t="n"/>
      <c r="J55" s="49" t="n"/>
      <c r="K55" s="50" t="n"/>
    </row>
    <row r="56">
      <c r="B56" s="49" t="n"/>
      <c r="C56" s="49" t="n"/>
      <c r="D56" s="49" t="n"/>
      <c r="E56" s="49" t="n"/>
      <c r="F56" s="49" t="n"/>
      <c r="I56" s="49" t="n"/>
      <c r="J56" s="49" t="n"/>
      <c r="K56" s="50" t="n"/>
    </row>
    <row r="57">
      <c r="B57" s="49" t="n"/>
      <c r="C57" s="49" t="n"/>
      <c r="D57" s="49" t="n"/>
      <c r="E57" s="49" t="n"/>
      <c r="F57" s="49" t="n"/>
      <c r="I57" s="49" t="n"/>
      <c r="J57" s="49" t="n"/>
      <c r="K57" s="50" t="n"/>
    </row>
    <row r="58">
      <c r="B58" s="49" t="n"/>
      <c r="C58" s="49" t="n"/>
      <c r="D58" s="49" t="n"/>
      <c r="E58" s="49" t="n"/>
      <c r="F58" s="49" t="n"/>
      <c r="I58" s="49" t="n"/>
      <c r="J58" s="49" t="n"/>
      <c r="K58" s="50" t="n"/>
    </row>
    <row r="59">
      <c r="B59" s="49" t="n"/>
      <c r="C59" s="49" t="n"/>
      <c r="D59" s="49" t="n"/>
      <c r="E59" s="49" t="n"/>
      <c r="F59" s="49" t="n"/>
      <c r="I59" s="49" t="n"/>
      <c r="J59" s="49" t="n"/>
      <c r="K59" s="50" t="n"/>
    </row>
    <row r="60">
      <c r="B60" s="49" t="n"/>
      <c r="C60" s="49" t="n"/>
      <c r="D60" s="49" t="n"/>
      <c r="E60" s="49" t="n"/>
      <c r="F60" s="49" t="n"/>
      <c r="I60" s="49" t="n"/>
      <c r="J60" s="49" t="n"/>
      <c r="K60" s="50" t="n"/>
    </row>
    <row r="61">
      <c r="B61" s="49" t="n"/>
      <c r="C61" s="49" t="n"/>
      <c r="D61" s="49" t="n"/>
      <c r="E61" s="49" t="n"/>
      <c r="F61" s="49" t="n"/>
      <c r="I61" s="49" t="n"/>
      <c r="J61" s="49" t="n"/>
      <c r="K61" s="50" t="n"/>
    </row>
    <row r="62">
      <c r="B62" s="49" t="n"/>
      <c r="C62" s="49" t="n"/>
      <c r="D62" s="49" t="n"/>
      <c r="E62" s="49" t="n"/>
      <c r="F62" s="49" t="n"/>
      <c r="I62" s="49" t="n"/>
      <c r="J62" s="49" t="n"/>
      <c r="K62" s="50" t="n"/>
    </row>
    <row r="63">
      <c r="B63" s="49" t="n"/>
      <c r="C63" s="49" t="n"/>
      <c r="D63" s="49" t="n"/>
      <c r="E63" s="49" t="n"/>
      <c r="F63" s="49" t="n"/>
      <c r="I63" s="49" t="n"/>
      <c r="J63" s="49" t="n"/>
      <c r="K63" s="50" t="n"/>
    </row>
    <row r="64">
      <c r="B64" s="49" t="n"/>
      <c r="C64" s="49" t="n"/>
      <c r="D64" s="49" t="n"/>
      <c r="E64" s="49" t="n"/>
      <c r="F64" s="49" t="n"/>
      <c r="I64" s="49" t="n"/>
      <c r="J64" s="49" t="n"/>
      <c r="K64" s="50" t="n"/>
    </row>
    <row r="65">
      <c r="B65" s="49" t="n"/>
      <c r="C65" s="49" t="n"/>
      <c r="D65" s="49" t="n"/>
      <c r="E65" s="49" t="n"/>
      <c r="F65" s="49" t="n"/>
      <c r="I65" s="49" t="n"/>
      <c r="J65" s="49" t="n"/>
      <c r="K65" s="50" t="n"/>
    </row>
    <row r="66">
      <c r="B66" s="49" t="n"/>
      <c r="C66" s="49" t="n"/>
      <c r="D66" s="49" t="n"/>
      <c r="E66" s="49" t="n"/>
      <c r="F66" s="49" t="n"/>
      <c r="I66" s="49" t="n"/>
      <c r="J66" s="49" t="n"/>
      <c r="K66" s="50" t="n"/>
    </row>
    <row r="67">
      <c r="B67" s="49" t="n"/>
      <c r="C67" s="49" t="n"/>
      <c r="D67" s="49" t="n"/>
      <c r="E67" s="49" t="n"/>
      <c r="F67" s="49" t="n"/>
      <c r="I67" s="49" t="n"/>
      <c r="J67" s="49" t="n"/>
      <c r="K67" s="50" t="n"/>
    </row>
    <row r="68">
      <c r="B68" s="49" t="n"/>
      <c r="C68" s="49" t="n"/>
      <c r="D68" s="49" t="n"/>
      <c r="E68" s="49" t="n"/>
      <c r="F68" s="49" t="n"/>
      <c r="I68" s="49" t="n"/>
      <c r="J68" s="49" t="n"/>
      <c r="K68" s="50" t="n"/>
    </row>
    <row r="69">
      <c r="B69" s="49" t="n"/>
      <c r="C69" s="49" t="n"/>
      <c r="D69" s="49" t="n"/>
      <c r="E69" s="49" t="n"/>
      <c r="F69" s="49" t="n"/>
      <c r="I69" s="49" t="n"/>
      <c r="J69" s="49" t="n"/>
      <c r="K69" s="50" t="n"/>
    </row>
    <row r="70">
      <c r="B70" s="49" t="n"/>
      <c r="C70" s="49" t="n"/>
      <c r="D70" s="49" t="n"/>
      <c r="E70" s="49" t="n"/>
      <c r="F70" s="49" t="n"/>
      <c r="I70" s="49" t="n"/>
      <c r="J70" s="49" t="n"/>
      <c r="K70" s="50" t="n"/>
    </row>
    <row r="71">
      <c r="B71" s="49" t="n"/>
      <c r="C71" s="49" t="n"/>
      <c r="D71" s="49" t="n"/>
      <c r="E71" s="49" t="n"/>
      <c r="F71" s="49" t="n"/>
      <c r="I71" s="49" t="n"/>
      <c r="J71" s="49" t="n"/>
      <c r="K71" s="50" t="n"/>
    </row>
    <row r="72">
      <c r="B72" s="49" t="n"/>
      <c r="C72" s="49" t="n"/>
      <c r="D72" s="49" t="n"/>
      <c r="E72" s="49" t="n"/>
      <c r="F72" s="49" t="n"/>
      <c r="I72" s="49" t="n"/>
      <c r="J72" s="49" t="n"/>
      <c r="K72" s="50" t="n"/>
    </row>
    <row r="73">
      <c r="B73" s="49" t="n"/>
      <c r="C73" s="49" t="n"/>
      <c r="D73" s="49" t="n"/>
      <c r="E73" s="49" t="n"/>
      <c r="F73" s="49" t="n"/>
      <c r="I73" s="49" t="n"/>
      <c r="J73" s="49" t="n"/>
      <c r="K73" s="50" t="n"/>
    </row>
    <row r="74">
      <c r="B74" s="49" t="n"/>
      <c r="C74" s="49" t="n"/>
      <c r="D74" s="49" t="n"/>
      <c r="E74" s="49" t="n"/>
      <c r="F74" s="49" t="n"/>
      <c r="I74" s="49" t="n"/>
      <c r="J74" s="49" t="n"/>
      <c r="K74" s="50" t="n"/>
    </row>
    <row r="75">
      <c r="B75" s="49" t="n"/>
      <c r="C75" s="49" t="n"/>
      <c r="D75" s="49" t="n"/>
      <c r="E75" s="49" t="n"/>
      <c r="F75" s="49" t="n"/>
      <c r="I75" s="49" t="n"/>
      <c r="J75" s="49" t="n"/>
      <c r="K75" s="50" t="n"/>
    </row>
    <row r="76">
      <c r="B76" s="49" t="n"/>
      <c r="C76" s="49" t="n"/>
      <c r="D76" s="49" t="n"/>
      <c r="E76" s="49" t="n"/>
      <c r="F76" s="49" t="n"/>
      <c r="I76" s="49" t="n"/>
      <c r="J76" s="49" t="n"/>
      <c r="K76" s="50" t="n"/>
    </row>
    <row r="77">
      <c r="B77" s="49" t="n"/>
      <c r="C77" s="49" t="n"/>
      <c r="D77" s="49" t="n"/>
      <c r="E77" s="49" t="n"/>
      <c r="F77" s="49" t="n"/>
      <c r="I77" s="49" t="n"/>
      <c r="J77" s="49" t="n"/>
      <c r="K77" s="50" t="n"/>
    </row>
    <row r="78">
      <c r="B78" s="49" t="n"/>
      <c r="C78" s="49" t="n"/>
      <c r="D78" s="49" t="n"/>
      <c r="E78" s="49" t="n"/>
      <c r="F78" s="49" t="n"/>
      <c r="I78" s="49" t="n"/>
      <c r="J78" s="49" t="n"/>
      <c r="K78" s="50" t="n"/>
    </row>
    <row r="79">
      <c r="B79" s="49" t="n"/>
      <c r="C79" s="49" t="n"/>
      <c r="D79" s="49" t="n"/>
      <c r="E79" s="49" t="n"/>
      <c r="F79" s="49" t="n"/>
      <c r="I79" s="49" t="n"/>
      <c r="J79" s="49" t="n"/>
      <c r="K79" s="50" t="n"/>
    </row>
    <row r="80">
      <c r="B80" s="49" t="n"/>
      <c r="C80" s="49" t="n"/>
      <c r="D80" s="49" t="n"/>
      <c r="E80" s="49" t="n"/>
      <c r="F80" s="49" t="n"/>
      <c r="I80" s="49" t="n"/>
      <c r="J80" s="49" t="n"/>
      <c r="K80" s="50" t="n"/>
    </row>
    <row r="81">
      <c r="B81" s="49" t="n"/>
      <c r="C81" s="49" t="n"/>
      <c r="D81" s="49" t="n"/>
      <c r="E81" s="49" t="n"/>
      <c r="F81" s="49" t="n"/>
      <c r="I81" s="49" t="n"/>
      <c r="J81" s="49" t="n"/>
      <c r="K81" s="50" t="n"/>
    </row>
    <row r="82">
      <c r="B82" s="49" t="n"/>
      <c r="C82" s="49" t="n"/>
      <c r="D82" s="49" t="n"/>
      <c r="E82" s="49" t="n"/>
      <c r="F82" s="49" t="n"/>
      <c r="I82" s="49" t="n"/>
      <c r="J82" s="49" t="n"/>
      <c r="K82" s="50" t="n"/>
    </row>
    <row r="83">
      <c r="B83" s="49" t="n"/>
      <c r="C83" s="49" t="n"/>
      <c r="D83" s="49" t="n"/>
      <c r="E83" s="49" t="n"/>
      <c r="F83" s="49" t="n"/>
      <c r="I83" s="49" t="n"/>
      <c r="J83" s="49" t="n"/>
      <c r="K83" s="50" t="n"/>
    </row>
    <row r="84">
      <c r="B84" s="49" t="n"/>
      <c r="C84" s="49" t="n"/>
      <c r="D84" s="49" t="n"/>
      <c r="E84" s="49" t="n"/>
      <c r="F84" s="49" t="n"/>
      <c r="I84" s="49" t="n"/>
      <c r="J84" s="49" t="n"/>
      <c r="K84" s="50" t="n"/>
    </row>
    <row r="85">
      <c r="B85" s="49" t="n"/>
      <c r="C85" s="49" t="n"/>
      <c r="D85" s="49" t="n"/>
      <c r="E85" s="49" t="n"/>
      <c r="F85" s="49" t="n"/>
      <c r="I85" s="49" t="n"/>
      <c r="J85" s="49" t="n"/>
      <c r="K85" s="50" t="n"/>
    </row>
    <row r="86">
      <c r="B86" s="49" t="n"/>
      <c r="C86" s="49" t="n"/>
      <c r="D86" s="49" t="n"/>
      <c r="E86" s="49" t="n"/>
      <c r="F86" s="49" t="n"/>
      <c r="I86" s="49" t="n"/>
      <c r="J86" s="49" t="n"/>
      <c r="K86" s="50" t="n"/>
    </row>
    <row r="87">
      <c r="B87" s="49" t="n"/>
      <c r="C87" s="49" t="n"/>
      <c r="D87" s="49" t="n"/>
      <c r="E87" s="49" t="n"/>
      <c r="F87" s="49" t="n"/>
      <c r="I87" s="49" t="n"/>
      <c r="J87" s="49" t="n"/>
      <c r="K87" s="50" t="n"/>
    </row>
    <row r="88">
      <c r="B88" s="49" t="n"/>
      <c r="C88" s="49" t="n"/>
      <c r="D88" s="49" t="n"/>
      <c r="E88" s="49" t="n"/>
      <c r="F88" s="49" t="n"/>
      <c r="I88" s="49" t="n"/>
      <c r="J88" s="49" t="n"/>
      <c r="K88" s="50" t="n"/>
    </row>
    <row r="89">
      <c r="B89" s="49" t="n"/>
      <c r="C89" s="49" t="n"/>
      <c r="D89" s="49" t="n"/>
      <c r="E89" s="49" t="n"/>
      <c r="F89" s="49" t="n"/>
      <c r="I89" s="49" t="n"/>
      <c r="J89" s="49" t="n"/>
      <c r="K89" s="50" t="n"/>
    </row>
    <row r="90">
      <c r="B90" s="49" t="n"/>
      <c r="C90" s="49" t="n"/>
      <c r="D90" s="49" t="n"/>
      <c r="E90" s="49" t="n"/>
      <c r="F90" s="49" t="n"/>
      <c r="I90" s="49" t="n"/>
      <c r="J90" s="49" t="n"/>
      <c r="K90" s="50" t="n"/>
    </row>
    <row r="91">
      <c r="B91" s="49" t="n"/>
      <c r="C91" s="49" t="n"/>
      <c r="D91" s="49" t="n"/>
      <c r="E91" s="49" t="n"/>
      <c r="F91" s="49" t="n"/>
      <c r="I91" s="49" t="n"/>
      <c r="J91" s="49" t="n"/>
      <c r="K91" s="50" t="n"/>
    </row>
    <row r="92">
      <c r="B92" s="49" t="n"/>
      <c r="C92" s="49" t="n"/>
      <c r="D92" s="49" t="n"/>
      <c r="E92" s="49" t="n"/>
      <c r="F92" s="49" t="n"/>
      <c r="I92" s="49" t="n"/>
      <c r="J92" s="49" t="n"/>
      <c r="K92" s="50" t="n"/>
    </row>
    <row r="93">
      <c r="B93" s="49" t="n"/>
      <c r="C93" s="49" t="n"/>
      <c r="D93" s="49" t="n"/>
      <c r="E93" s="49" t="n"/>
      <c r="F93" s="49" t="n"/>
      <c r="I93" s="49" t="n"/>
      <c r="J93" s="49" t="n"/>
      <c r="K93" s="50" t="n"/>
    </row>
    <row r="94">
      <c r="B94" s="49" t="n"/>
      <c r="C94" s="49" t="n"/>
      <c r="D94" s="49" t="n"/>
      <c r="E94" s="49" t="n"/>
      <c r="F94" s="49" t="n"/>
      <c r="I94" s="49" t="n"/>
      <c r="J94" s="49" t="n"/>
      <c r="K94" s="50" t="n"/>
    </row>
    <row r="95">
      <c r="B95" s="49" t="n"/>
      <c r="C95" s="49" t="n"/>
      <c r="D95" s="49" t="n"/>
      <c r="E95" s="49" t="n"/>
      <c r="F95" s="49" t="n"/>
      <c r="I95" s="49" t="n"/>
      <c r="J95" s="49" t="n"/>
      <c r="K95" s="50" t="n"/>
    </row>
    <row r="96">
      <c r="B96" s="49" t="n"/>
      <c r="C96" s="49" t="n"/>
      <c r="D96" s="49" t="n"/>
      <c r="E96" s="49" t="n"/>
      <c r="F96" s="49" t="n"/>
      <c r="I96" s="49" t="n"/>
      <c r="J96" s="49" t="n"/>
      <c r="K96" s="50" t="n"/>
    </row>
    <row r="97">
      <c r="B97" s="49" t="n"/>
      <c r="C97" s="49" t="n"/>
      <c r="D97" s="49" t="n"/>
      <c r="E97" s="49" t="n"/>
      <c r="F97" s="49" t="n"/>
      <c r="I97" s="49" t="n"/>
      <c r="J97" s="49" t="n"/>
      <c r="K97" s="50" t="n"/>
    </row>
    <row r="98">
      <c r="B98" s="49" t="n"/>
      <c r="C98" s="49" t="n"/>
      <c r="D98" s="49" t="n"/>
      <c r="E98" s="49" t="n"/>
      <c r="F98" s="49" t="n"/>
      <c r="I98" s="49" t="n"/>
      <c r="J98" s="49" t="n"/>
      <c r="K98" s="50" t="n"/>
    </row>
    <row r="99">
      <c r="B99" s="49" t="n"/>
      <c r="C99" s="49" t="n"/>
      <c r="D99" s="49" t="n"/>
      <c r="E99" s="49" t="n"/>
      <c r="F99" s="49" t="n"/>
      <c r="I99" s="49" t="n"/>
      <c r="J99" s="49" t="n"/>
      <c r="K99" s="50" t="n"/>
    </row>
    <row r="100">
      <c r="B100" s="49" t="n"/>
      <c r="C100" s="49" t="n"/>
      <c r="D100" s="49" t="n"/>
      <c r="E100" s="49" t="n"/>
      <c r="F100" s="49" t="n"/>
      <c r="I100" s="49" t="n"/>
      <c r="J100" s="49" t="n"/>
      <c r="K100" s="50" t="n"/>
    </row>
    <row r="101">
      <c r="B101" s="49" t="n"/>
      <c r="C101" s="49" t="n"/>
      <c r="D101" s="49" t="n"/>
      <c r="E101" s="49" t="n"/>
      <c r="F101" s="49" t="n"/>
      <c r="I101" s="49" t="n"/>
      <c r="J101" s="49" t="n"/>
      <c r="K101" s="50" t="n"/>
    </row>
    <row r="102">
      <c r="B102" s="49" t="n"/>
      <c r="C102" s="49" t="n"/>
      <c r="D102" s="49" t="n"/>
      <c r="E102" s="49" t="n"/>
      <c r="F102" s="49" t="n"/>
      <c r="I102" s="49" t="n"/>
      <c r="J102" s="49" t="n"/>
      <c r="K102" s="50" t="n"/>
    </row>
    <row r="103">
      <c r="B103" s="49" t="n"/>
      <c r="C103" s="49" t="n"/>
      <c r="D103" s="49" t="n"/>
      <c r="E103" s="49" t="n"/>
      <c r="F103" s="49" t="n"/>
      <c r="I103" s="49" t="n"/>
      <c r="J103" s="49" t="n"/>
      <c r="K103" s="50" t="n"/>
    </row>
    <row r="104">
      <c r="B104" s="49" t="n"/>
      <c r="C104" s="49" t="n"/>
      <c r="D104" s="49" t="n"/>
      <c r="E104" s="49" t="n"/>
      <c r="F104" s="49" t="n"/>
      <c r="I104" s="49" t="n"/>
      <c r="J104" s="49" t="n"/>
      <c r="K104" s="50" t="n"/>
    </row>
    <row r="105">
      <c r="B105" s="49" t="n"/>
      <c r="C105" s="49" t="n"/>
      <c r="D105" s="49" t="n"/>
      <c r="E105" s="49" t="n"/>
      <c r="F105" s="49" t="n"/>
      <c r="I105" s="49" t="n"/>
      <c r="J105" s="49" t="n"/>
      <c r="K105" s="50" t="n"/>
    </row>
    <row r="106">
      <c r="B106" s="49" t="n"/>
      <c r="C106" s="49" t="n"/>
      <c r="D106" s="49" t="n"/>
      <c r="E106" s="49" t="n"/>
      <c r="F106" s="49" t="n"/>
      <c r="I106" s="49" t="n"/>
      <c r="J106" s="49" t="n"/>
      <c r="K106" s="50" t="n"/>
    </row>
    <row r="107">
      <c r="B107" s="49" t="n"/>
      <c r="C107" s="49" t="n"/>
      <c r="D107" s="49" t="n"/>
      <c r="E107" s="49" t="n"/>
      <c r="F107" s="49" t="n"/>
      <c r="I107" s="49" t="n"/>
      <c r="J107" s="49" t="n"/>
      <c r="K107" s="50" t="n"/>
    </row>
    <row r="108">
      <c r="B108" s="49" t="n"/>
      <c r="C108" s="49" t="n"/>
      <c r="D108" s="49" t="n"/>
      <c r="E108" s="49" t="n"/>
      <c r="F108" s="49" t="n"/>
      <c r="I108" s="49" t="n"/>
      <c r="J108" s="49" t="n"/>
      <c r="K108" s="50" t="n"/>
    </row>
    <row r="109">
      <c r="B109" s="49" t="n"/>
      <c r="C109" s="49" t="n"/>
      <c r="D109" s="49" t="n"/>
      <c r="E109" s="49" t="n"/>
      <c r="F109" s="49" t="n"/>
      <c r="I109" s="49" t="n"/>
      <c r="J109" s="49" t="n"/>
      <c r="K109" s="50" t="n"/>
    </row>
    <row r="110">
      <c r="B110" s="49" t="n"/>
      <c r="C110" s="49" t="n"/>
      <c r="D110" s="49" t="n"/>
      <c r="E110" s="49" t="n"/>
      <c r="F110" s="49" t="n"/>
      <c r="I110" s="49" t="n"/>
      <c r="J110" s="49" t="n"/>
      <c r="K110" s="50" t="n"/>
    </row>
    <row r="111">
      <c r="B111" s="49" t="n"/>
      <c r="C111" s="49" t="n"/>
      <c r="D111" s="49" t="n"/>
      <c r="E111" s="49" t="n"/>
      <c r="F111" s="49" t="n"/>
      <c r="I111" s="49" t="n"/>
      <c r="J111" s="49" t="n"/>
      <c r="K111" s="50" t="n"/>
    </row>
    <row r="112">
      <c r="B112" s="49" t="n"/>
      <c r="C112" s="49" t="n"/>
      <c r="D112" s="49" t="n"/>
      <c r="E112" s="49" t="n"/>
      <c r="F112" s="49" t="n"/>
      <c r="I112" s="49" t="n"/>
      <c r="J112" s="49" t="n"/>
      <c r="K112" s="50" t="n"/>
    </row>
    <row r="113">
      <c r="B113" s="49" t="n"/>
      <c r="C113" s="49" t="n"/>
      <c r="D113" s="49" t="n"/>
      <c r="E113" s="49" t="n"/>
      <c r="F113" s="49" t="n"/>
      <c r="I113" s="49" t="n"/>
      <c r="J113" s="49" t="n"/>
      <c r="K113" s="50" t="n"/>
    </row>
    <row r="114">
      <c r="B114" s="49" t="n"/>
      <c r="C114" s="49" t="n"/>
      <c r="D114" s="49" t="n"/>
      <c r="E114" s="49" t="n"/>
      <c r="F114" s="49" t="n"/>
      <c r="I114" s="49" t="n"/>
      <c r="J114" s="49" t="n"/>
      <c r="K114" s="50" t="n"/>
    </row>
    <row r="115">
      <c r="B115" s="49" t="n"/>
      <c r="C115" s="49" t="n"/>
      <c r="D115" s="49" t="n"/>
      <c r="E115" s="49" t="n"/>
      <c r="F115" s="49" t="n"/>
      <c r="I115" s="49" t="n"/>
      <c r="J115" s="49" t="n"/>
      <c r="K115" s="50" t="n"/>
    </row>
    <row r="116">
      <c r="B116" s="49" t="n"/>
      <c r="C116" s="49" t="n"/>
      <c r="D116" s="49" t="n"/>
      <c r="E116" s="49" t="n"/>
      <c r="F116" s="49" t="n"/>
      <c r="I116" s="49" t="n"/>
      <c r="J116" s="49" t="n"/>
      <c r="K116" s="50" t="n"/>
    </row>
    <row r="117">
      <c r="B117" s="49" t="n"/>
      <c r="C117" s="49" t="n"/>
      <c r="D117" s="49" t="n"/>
      <c r="E117" s="49" t="n"/>
      <c r="F117" s="49" t="n"/>
      <c r="I117" s="49" t="n"/>
      <c r="J117" s="49" t="n"/>
      <c r="K117" s="50" t="n"/>
    </row>
    <row r="118">
      <c r="B118" s="49" t="n"/>
      <c r="C118" s="49" t="n"/>
      <c r="D118" s="49" t="n"/>
      <c r="E118" s="49" t="n"/>
      <c r="F118" s="49" t="n"/>
      <c r="I118" s="49" t="n"/>
      <c r="J118" s="49" t="n"/>
      <c r="K118" s="50" t="n"/>
    </row>
    <row r="119">
      <c r="B119" s="49" t="n"/>
      <c r="C119" s="49" t="n"/>
      <c r="D119" s="49" t="n"/>
      <c r="E119" s="49" t="n"/>
      <c r="F119" s="49" t="n"/>
      <c r="I119" s="49" t="n"/>
      <c r="J119" s="49" t="n"/>
      <c r="K119" s="50" t="n"/>
    </row>
    <row r="120">
      <c r="B120" s="49" t="n"/>
      <c r="C120" s="49" t="n"/>
      <c r="D120" s="49" t="n"/>
      <c r="E120" s="49" t="n"/>
      <c r="F120" s="49" t="n"/>
      <c r="I120" s="49" t="n"/>
      <c r="J120" s="49" t="n"/>
      <c r="K120" s="50" t="n"/>
    </row>
    <row r="121">
      <c r="B121" s="49" t="n"/>
      <c r="C121" s="49" t="n"/>
      <c r="D121" s="49" t="n"/>
      <c r="E121" s="49" t="n"/>
      <c r="F121" s="49" t="n"/>
      <c r="I121" s="49" t="n"/>
      <c r="J121" s="49" t="n"/>
      <c r="K121" s="50" t="n"/>
    </row>
    <row r="122">
      <c r="B122" s="49" t="n"/>
      <c r="C122" s="49" t="n"/>
      <c r="D122" s="49" t="n"/>
      <c r="E122" s="49" t="n"/>
      <c r="F122" s="49" t="n"/>
      <c r="I122" s="49" t="n"/>
      <c r="J122" s="49" t="n"/>
      <c r="K122" s="50" t="n"/>
    </row>
    <row r="123">
      <c r="B123" s="49" t="n"/>
      <c r="C123" s="49" t="n"/>
      <c r="D123" s="49" t="n"/>
      <c r="E123" s="49" t="n"/>
      <c r="F123" s="49" t="n"/>
      <c r="I123" s="49" t="n"/>
      <c r="J123" s="49" t="n"/>
      <c r="K123" s="50" t="n"/>
    </row>
    <row r="124">
      <c r="B124" s="49" t="n"/>
      <c r="C124" s="49" t="n"/>
      <c r="D124" s="49" t="n"/>
      <c r="E124" s="49" t="n"/>
      <c r="F124" s="49" t="n"/>
      <c r="I124" s="49" t="n"/>
      <c r="J124" s="49" t="n"/>
      <c r="K124" s="50" t="n"/>
    </row>
    <row r="125">
      <c r="B125" s="49" t="n"/>
      <c r="C125" s="49" t="n"/>
      <c r="D125" s="49" t="n"/>
      <c r="E125" s="49" t="n"/>
      <c r="F125" s="49" t="n"/>
      <c r="I125" s="49" t="n"/>
      <c r="J125" s="49" t="n"/>
      <c r="K125" s="50" t="n"/>
    </row>
    <row r="126">
      <c r="B126" s="49" t="n"/>
      <c r="C126" s="49" t="n"/>
      <c r="D126" s="49" t="n"/>
      <c r="E126" s="49" t="n"/>
      <c r="F126" s="49" t="n"/>
      <c r="I126" s="49" t="n"/>
      <c r="J126" s="49" t="n"/>
      <c r="K126" s="50" t="n"/>
    </row>
    <row r="127">
      <c r="B127" s="49" t="n"/>
      <c r="C127" s="49" t="n"/>
      <c r="D127" s="49" t="n"/>
      <c r="E127" s="49" t="n"/>
      <c r="F127" s="49" t="n"/>
      <c r="I127" s="49" t="n"/>
      <c r="J127" s="49" t="n"/>
      <c r="K127" s="50" t="n"/>
    </row>
    <row r="128">
      <c r="B128" s="49" t="n"/>
      <c r="C128" s="49" t="n"/>
      <c r="D128" s="49" t="n"/>
      <c r="E128" s="49" t="n"/>
      <c r="F128" s="49" t="n"/>
      <c r="I128" s="49" t="n"/>
      <c r="J128" s="49" t="n"/>
      <c r="K128" s="50" t="n"/>
    </row>
    <row r="129">
      <c r="B129" s="49" t="n"/>
      <c r="C129" s="49" t="n"/>
      <c r="D129" s="49" t="n"/>
      <c r="E129" s="49" t="n"/>
      <c r="F129" s="49" t="n"/>
      <c r="I129" s="49" t="n"/>
      <c r="J129" s="49" t="n"/>
      <c r="K129" s="50" t="n"/>
    </row>
    <row r="130">
      <c r="B130" s="49" t="n"/>
      <c r="C130" s="49" t="n"/>
      <c r="D130" s="49" t="n"/>
      <c r="E130" s="49" t="n"/>
      <c r="F130" s="49" t="n"/>
      <c r="I130" s="49" t="n"/>
      <c r="J130" s="49" t="n"/>
      <c r="K130" s="50" t="n"/>
    </row>
    <row r="131">
      <c r="B131" s="49" t="n"/>
      <c r="C131" s="49" t="n"/>
      <c r="D131" s="49" t="n"/>
      <c r="E131" s="49" t="n"/>
      <c r="F131" s="49" t="n"/>
      <c r="I131" s="49" t="n"/>
      <c r="J131" s="49" t="n"/>
      <c r="K131" s="50" t="n"/>
    </row>
    <row r="132">
      <c r="B132" s="49" t="n"/>
      <c r="C132" s="49" t="n"/>
      <c r="D132" s="49" t="n"/>
      <c r="E132" s="49" t="n"/>
      <c r="F132" s="49" t="n"/>
      <c r="I132" s="49" t="n"/>
      <c r="J132" s="49" t="n"/>
      <c r="K132" s="50" t="n"/>
    </row>
    <row r="133">
      <c r="B133" s="49" t="n"/>
      <c r="C133" s="49" t="n"/>
      <c r="D133" s="49" t="n"/>
      <c r="E133" s="49" t="n"/>
      <c r="F133" s="49" t="n"/>
      <c r="I133" s="49" t="n"/>
      <c r="J133" s="49" t="n"/>
      <c r="K133" s="50" t="n"/>
    </row>
    <row r="134">
      <c r="B134" s="49" t="n"/>
      <c r="C134" s="49" t="n"/>
      <c r="D134" s="49" t="n"/>
      <c r="E134" s="49" t="n"/>
      <c r="F134" s="49" t="n"/>
      <c r="I134" s="49" t="n"/>
      <c r="J134" s="49" t="n"/>
      <c r="K134" s="50" t="n"/>
    </row>
    <row r="135">
      <c r="B135" s="49" t="n"/>
      <c r="C135" s="49" t="n"/>
      <c r="D135" s="49" t="n"/>
      <c r="E135" s="49" t="n"/>
      <c r="F135" s="49" t="n"/>
      <c r="I135" s="49" t="n"/>
      <c r="J135" s="49" t="n"/>
      <c r="K135" s="50" t="n"/>
    </row>
    <row r="136">
      <c r="B136" s="49" t="n"/>
      <c r="C136" s="49" t="n"/>
      <c r="D136" s="49" t="n"/>
      <c r="E136" s="49" t="n"/>
      <c r="F136" s="49" t="n"/>
      <c r="I136" s="49" t="n"/>
      <c r="J136" s="49" t="n"/>
      <c r="K136" s="50" t="n"/>
    </row>
    <row r="137">
      <c r="B137" s="49" t="n"/>
      <c r="C137" s="49" t="n"/>
      <c r="D137" s="49" t="n"/>
      <c r="E137" s="49" t="n"/>
      <c r="F137" s="49" t="n"/>
      <c r="I137" s="49" t="n"/>
      <c r="J137" s="49" t="n"/>
      <c r="K137" s="50" t="n"/>
    </row>
    <row r="138">
      <c r="B138" s="49" t="n"/>
      <c r="C138" s="49" t="n"/>
      <c r="D138" s="49" t="n"/>
      <c r="E138" s="49" t="n"/>
      <c r="F138" s="49" t="n"/>
      <c r="I138" s="49" t="n"/>
      <c r="J138" s="49" t="n"/>
      <c r="K138" s="50" t="n"/>
    </row>
    <row r="139">
      <c r="B139" s="49" t="n"/>
      <c r="C139" s="49" t="n"/>
      <c r="D139" s="49" t="n"/>
      <c r="E139" s="49" t="n"/>
      <c r="F139" s="49" t="n"/>
      <c r="I139" s="49" t="n"/>
      <c r="J139" s="49" t="n"/>
      <c r="K139" s="50" t="n"/>
    </row>
    <row r="140">
      <c r="B140" s="49" t="n"/>
      <c r="C140" s="49" t="n"/>
      <c r="D140" s="49" t="n"/>
      <c r="E140" s="49" t="n"/>
      <c r="F140" s="49" t="n"/>
      <c r="I140" s="49" t="n"/>
      <c r="J140" s="49" t="n"/>
      <c r="K140" s="50" t="n"/>
    </row>
    <row r="141">
      <c r="B141" s="49" t="n"/>
      <c r="C141" s="49" t="n"/>
      <c r="D141" s="49" t="n"/>
      <c r="E141" s="49" t="n"/>
      <c r="F141" s="49" t="n"/>
      <c r="I141" s="49" t="n"/>
      <c r="J141" s="49" t="n"/>
      <c r="K141" s="50" t="n"/>
    </row>
    <row r="142">
      <c r="B142" s="49" t="n"/>
      <c r="C142" s="49" t="n"/>
      <c r="D142" s="49" t="n"/>
      <c r="E142" s="49" t="n"/>
      <c r="F142" s="49" t="n"/>
      <c r="I142" s="49" t="n"/>
      <c r="J142" s="49" t="n"/>
      <c r="K142" s="50" t="n"/>
    </row>
    <row r="143">
      <c r="B143" s="49" t="n"/>
      <c r="C143" s="49" t="n"/>
      <c r="D143" s="49" t="n"/>
      <c r="E143" s="49" t="n"/>
      <c r="F143" s="49" t="n"/>
      <c r="I143" s="49" t="n"/>
      <c r="J143" s="49" t="n"/>
      <c r="K143" s="50" t="n"/>
    </row>
    <row r="144">
      <c r="B144" s="49" t="n"/>
      <c r="C144" s="49" t="n"/>
      <c r="D144" s="49" t="n"/>
      <c r="E144" s="49" t="n"/>
      <c r="F144" s="49" t="n"/>
      <c r="I144" s="49" t="n"/>
      <c r="J144" s="49" t="n"/>
      <c r="K144" s="50" t="n"/>
    </row>
    <row r="145">
      <c r="B145" s="49" t="n"/>
      <c r="C145" s="49" t="n"/>
      <c r="D145" s="49" t="n"/>
      <c r="E145" s="49" t="n"/>
      <c r="F145" s="49" t="n"/>
      <c r="I145" s="49" t="n"/>
      <c r="J145" s="49" t="n"/>
      <c r="K145" s="50" t="n"/>
    </row>
    <row r="146">
      <c r="B146" s="49" t="n"/>
      <c r="C146" s="49" t="n"/>
      <c r="D146" s="49" t="n"/>
      <c r="E146" s="49" t="n"/>
      <c r="F146" s="49" t="n"/>
      <c r="I146" s="49" t="n"/>
      <c r="J146" s="49" t="n"/>
      <c r="K146" s="50" t="n"/>
    </row>
    <row r="147">
      <c r="B147" s="49" t="n"/>
      <c r="C147" s="49" t="n"/>
      <c r="D147" s="49" t="n"/>
      <c r="E147" s="49" t="n"/>
      <c r="F147" s="49" t="n"/>
      <c r="I147" s="49" t="n"/>
      <c r="J147" s="49" t="n"/>
      <c r="K147" s="50" t="n"/>
    </row>
    <row r="148">
      <c r="B148" s="49" t="n"/>
      <c r="C148" s="49" t="n"/>
      <c r="D148" s="49" t="n"/>
      <c r="E148" s="49" t="n"/>
      <c r="F148" s="49" t="n"/>
      <c r="I148" s="49" t="n"/>
      <c r="J148" s="49" t="n"/>
      <c r="K148" s="50" t="n"/>
    </row>
    <row r="149">
      <c r="B149" s="49" t="n"/>
      <c r="C149" s="49" t="n"/>
      <c r="D149" s="49" t="n"/>
      <c r="E149" s="49" t="n"/>
      <c r="F149" s="49" t="n"/>
      <c r="I149" s="49" t="n"/>
      <c r="J149" s="49" t="n"/>
      <c r="K149" s="50" t="n"/>
    </row>
    <row r="150">
      <c r="B150" s="49" t="n"/>
      <c r="C150" s="49" t="n"/>
      <c r="D150" s="49" t="n"/>
      <c r="E150" s="49" t="n"/>
      <c r="F150" s="49" t="n"/>
      <c r="I150" s="49" t="n"/>
      <c r="J150" s="49" t="n"/>
      <c r="K150" s="50" t="n"/>
    </row>
    <row r="151">
      <c r="B151" s="49" t="n"/>
      <c r="C151" s="49" t="n"/>
      <c r="D151" s="49" t="n"/>
      <c r="E151" s="49" t="n"/>
      <c r="F151" s="49" t="n"/>
      <c r="I151" s="49" t="n"/>
      <c r="J151" s="49" t="n"/>
      <c r="K151" s="50" t="n"/>
    </row>
    <row r="152">
      <c r="B152" s="49" t="n"/>
      <c r="C152" s="49" t="n"/>
      <c r="D152" s="49" t="n"/>
      <c r="E152" s="49" t="n"/>
      <c r="F152" s="49" t="n"/>
      <c r="I152" s="49" t="n"/>
      <c r="J152" s="49" t="n"/>
      <c r="K152" s="50" t="n"/>
    </row>
    <row r="153">
      <c r="B153" s="49" t="n"/>
      <c r="C153" s="49" t="n"/>
      <c r="D153" s="49" t="n"/>
      <c r="E153" s="49" t="n"/>
      <c r="F153" s="49" t="n"/>
      <c r="I153" s="49" t="n"/>
      <c r="J153" s="49" t="n"/>
      <c r="K153" s="50" t="n"/>
    </row>
    <row r="154">
      <c r="B154" s="49" t="n"/>
      <c r="C154" s="49" t="n"/>
      <c r="D154" s="49" t="n"/>
      <c r="E154" s="49" t="n"/>
      <c r="F154" s="49" t="n"/>
      <c r="I154" s="49" t="n"/>
      <c r="J154" s="49" t="n"/>
      <c r="K154" s="50" t="n"/>
    </row>
    <row r="155">
      <c r="B155" s="49" t="n"/>
      <c r="C155" s="49" t="n"/>
      <c r="D155" s="49" t="n"/>
      <c r="E155" s="49" t="n"/>
      <c r="F155" s="49" t="n"/>
      <c r="I155" s="49" t="n"/>
      <c r="J155" s="49" t="n"/>
      <c r="K155" s="50" t="n"/>
    </row>
    <row r="156">
      <c r="B156" s="49" t="n"/>
      <c r="C156" s="49" t="n"/>
      <c r="D156" s="49" t="n"/>
      <c r="E156" s="49" t="n"/>
      <c r="F156" s="49" t="n"/>
      <c r="I156" s="49" t="n"/>
      <c r="J156" s="49" t="n"/>
      <c r="K156" s="50" t="n"/>
    </row>
    <row r="157">
      <c r="B157" s="49" t="n"/>
      <c r="C157" s="49" t="n"/>
      <c r="D157" s="49" t="n"/>
      <c r="E157" s="49" t="n"/>
      <c r="F157" s="49" t="n"/>
      <c r="I157" s="49" t="n"/>
      <c r="J157" s="49" t="n"/>
      <c r="K157" s="50" t="n"/>
    </row>
    <row r="158">
      <c r="B158" s="49" t="n"/>
      <c r="C158" s="49" t="n"/>
      <c r="D158" s="49" t="n"/>
      <c r="E158" s="49" t="n"/>
      <c r="F158" s="49" t="n"/>
      <c r="I158" s="49" t="n"/>
      <c r="J158" s="49" t="n"/>
      <c r="K158" s="50" t="n"/>
    </row>
    <row r="159">
      <c r="B159" s="49" t="n"/>
      <c r="C159" s="49" t="n"/>
      <c r="D159" s="49" t="n"/>
      <c r="E159" s="49" t="n"/>
      <c r="F159" s="49" t="n"/>
      <c r="I159" s="49" t="n"/>
      <c r="J159" s="49" t="n"/>
      <c r="K159" s="50" t="n"/>
    </row>
    <row r="160">
      <c r="B160" s="49" t="n"/>
      <c r="C160" s="49" t="n"/>
      <c r="D160" s="49" t="n"/>
      <c r="E160" s="49" t="n"/>
      <c r="F160" s="49" t="n"/>
      <c r="I160" s="49" t="n"/>
      <c r="J160" s="49" t="n"/>
      <c r="K160" s="50" t="n"/>
    </row>
    <row r="161">
      <c r="B161" s="49" t="n"/>
      <c r="C161" s="49" t="n"/>
      <c r="D161" s="49" t="n"/>
      <c r="E161" s="49" t="n"/>
      <c r="F161" s="49" t="n"/>
      <c r="I161" s="49" t="n"/>
      <c r="J161" s="49" t="n"/>
      <c r="K161" s="50" t="n"/>
    </row>
    <row r="162">
      <c r="B162" s="49" t="n"/>
      <c r="C162" s="49" t="n"/>
      <c r="D162" s="49" t="n"/>
      <c r="E162" s="49" t="n"/>
      <c r="F162" s="49" t="n"/>
      <c r="I162" s="49" t="n"/>
      <c r="J162" s="49" t="n"/>
      <c r="K162" s="50" t="n"/>
    </row>
    <row r="163">
      <c r="B163" s="49" t="n"/>
      <c r="C163" s="49" t="n"/>
      <c r="D163" s="49" t="n"/>
      <c r="E163" s="49" t="n"/>
      <c r="F163" s="49" t="n"/>
      <c r="I163" s="49" t="n"/>
      <c r="J163" s="49" t="n"/>
      <c r="K163" s="50" t="n"/>
    </row>
    <row r="164">
      <c r="B164" s="49" t="n"/>
      <c r="C164" s="49" t="n"/>
      <c r="D164" s="49" t="n"/>
      <c r="E164" s="49" t="n"/>
      <c r="F164" s="49" t="n"/>
      <c r="I164" s="49" t="n"/>
      <c r="J164" s="49" t="n"/>
      <c r="K164" s="50" t="n"/>
    </row>
    <row r="165">
      <c r="B165" s="49" t="n"/>
      <c r="C165" s="49" t="n"/>
      <c r="D165" s="49" t="n"/>
      <c r="E165" s="49" t="n"/>
      <c r="F165" s="49" t="n"/>
      <c r="I165" s="49" t="n"/>
      <c r="J165" s="49" t="n"/>
      <c r="K165" s="50" t="n"/>
    </row>
    <row r="166">
      <c r="B166" s="49" t="n"/>
      <c r="C166" s="49" t="n"/>
      <c r="D166" s="49" t="n"/>
      <c r="E166" s="49" t="n"/>
      <c r="F166" s="49" t="n"/>
      <c r="I166" s="49" t="n"/>
      <c r="J166" s="49" t="n"/>
      <c r="K166" s="50" t="n"/>
    </row>
    <row r="167">
      <c r="B167" s="49" t="n"/>
      <c r="C167" s="49" t="n"/>
      <c r="D167" s="49" t="n"/>
      <c r="E167" s="49" t="n"/>
      <c r="F167" s="49" t="n"/>
      <c r="I167" s="49" t="n"/>
      <c r="J167" s="49" t="n"/>
      <c r="K167" s="50" t="n"/>
    </row>
    <row r="168">
      <c r="B168" s="49" t="n"/>
      <c r="C168" s="49" t="n"/>
      <c r="D168" s="49" t="n"/>
      <c r="E168" s="49" t="n"/>
      <c r="F168" s="49" t="n"/>
      <c r="I168" s="49" t="n"/>
      <c r="J168" s="49" t="n"/>
      <c r="K168" s="50" t="n"/>
    </row>
    <row r="169">
      <c r="B169" s="49" t="n"/>
      <c r="C169" s="49" t="n"/>
      <c r="D169" s="49" t="n"/>
      <c r="E169" s="49" t="n"/>
      <c r="F169" s="49" t="n"/>
      <c r="I169" s="49" t="n"/>
      <c r="J169" s="49" t="n"/>
      <c r="K169" s="50" t="n"/>
    </row>
    <row r="170">
      <c r="B170" s="49" t="n"/>
      <c r="C170" s="49" t="n"/>
      <c r="D170" s="49" t="n"/>
      <c r="E170" s="49" t="n"/>
      <c r="F170" s="49" t="n"/>
      <c r="I170" s="49" t="n"/>
      <c r="J170" s="49" t="n"/>
      <c r="K170" s="50" t="n"/>
    </row>
    <row r="171">
      <c r="B171" s="49" t="n"/>
      <c r="C171" s="49" t="n"/>
      <c r="D171" s="49" t="n"/>
      <c r="E171" s="49" t="n"/>
      <c r="F171" s="49" t="n"/>
      <c r="I171" s="49" t="n"/>
      <c r="J171" s="49" t="n"/>
      <c r="K171" s="50" t="n"/>
    </row>
    <row r="172">
      <c r="B172" s="49" t="n"/>
      <c r="C172" s="49" t="n"/>
      <c r="D172" s="49" t="n"/>
      <c r="E172" s="49" t="n"/>
      <c r="F172" s="49" t="n"/>
      <c r="I172" s="49" t="n"/>
      <c r="J172" s="49" t="n"/>
      <c r="K172" s="50" t="n"/>
    </row>
    <row r="173">
      <c r="B173" s="49" t="n"/>
      <c r="C173" s="49" t="n"/>
      <c r="D173" s="49" t="n"/>
      <c r="E173" s="49" t="n"/>
      <c r="F173" s="49" t="n"/>
      <c r="I173" s="49" t="n"/>
      <c r="J173" s="49" t="n"/>
      <c r="K173" s="50" t="n"/>
    </row>
    <row r="174">
      <c r="B174" s="49" t="n"/>
      <c r="C174" s="49" t="n"/>
      <c r="D174" s="49" t="n"/>
      <c r="E174" s="49" t="n"/>
      <c r="F174" s="49" t="n"/>
      <c r="I174" s="49" t="n"/>
      <c r="J174" s="49" t="n"/>
      <c r="K174" s="50" t="n"/>
    </row>
    <row r="175">
      <c r="B175" s="49" t="n"/>
      <c r="C175" s="49" t="n"/>
      <c r="D175" s="49" t="n"/>
      <c r="E175" s="49" t="n"/>
      <c r="F175" s="49" t="n"/>
      <c r="I175" s="49" t="n"/>
      <c r="J175" s="49" t="n"/>
      <c r="K175" s="50" t="n"/>
    </row>
    <row r="176">
      <c r="B176" s="49" t="n"/>
      <c r="C176" s="49" t="n"/>
      <c r="D176" s="49" t="n"/>
      <c r="E176" s="49" t="n"/>
      <c r="F176" s="49" t="n"/>
      <c r="I176" s="49" t="n"/>
      <c r="J176" s="49" t="n"/>
      <c r="K176" s="50" t="n"/>
    </row>
    <row r="177">
      <c r="B177" s="49" t="n"/>
      <c r="C177" s="49" t="n"/>
      <c r="D177" s="49" t="n"/>
      <c r="E177" s="49" t="n"/>
      <c r="F177" s="49" t="n"/>
      <c r="I177" s="49" t="n"/>
      <c r="J177" s="49" t="n"/>
      <c r="K177" s="50" t="n"/>
    </row>
    <row r="178">
      <c r="B178" s="49" t="n"/>
      <c r="C178" s="49" t="n"/>
      <c r="D178" s="49" t="n"/>
      <c r="E178" s="49" t="n"/>
      <c r="F178" s="49" t="n"/>
      <c r="I178" s="49" t="n"/>
      <c r="J178" s="49" t="n"/>
      <c r="K178" s="50" t="n"/>
    </row>
    <row r="179">
      <c r="B179" s="49" t="n"/>
      <c r="C179" s="49" t="n"/>
      <c r="D179" s="49" t="n"/>
      <c r="E179" s="49" t="n"/>
      <c r="F179" s="49" t="n"/>
      <c r="I179" s="49" t="n"/>
      <c r="J179" s="49" t="n"/>
      <c r="K179" s="50" t="n"/>
    </row>
    <row r="180">
      <c r="B180" s="49" t="n"/>
      <c r="C180" s="49" t="n"/>
      <c r="D180" s="49" t="n"/>
      <c r="E180" s="49" t="n"/>
      <c r="F180" s="49" t="n"/>
      <c r="I180" s="49" t="n"/>
      <c r="J180" s="49" t="n"/>
      <c r="K180" s="50" t="n"/>
    </row>
    <row r="181">
      <c r="B181" s="49" t="n"/>
      <c r="C181" s="49" t="n"/>
      <c r="D181" s="49" t="n"/>
      <c r="E181" s="49" t="n"/>
      <c r="F181" s="49" t="n"/>
      <c r="I181" s="49" t="n"/>
      <c r="J181" s="49" t="n"/>
      <c r="K181" s="50" t="n"/>
    </row>
    <row r="182">
      <c r="B182" s="49" t="n"/>
      <c r="C182" s="49" t="n"/>
      <c r="D182" s="49" t="n"/>
      <c r="E182" s="49" t="n"/>
      <c r="F182" s="49" t="n"/>
      <c r="I182" s="49" t="n"/>
      <c r="J182" s="49" t="n"/>
      <c r="K182" s="50" t="n"/>
    </row>
    <row r="183">
      <c r="B183" s="49" t="n"/>
      <c r="C183" s="49" t="n"/>
      <c r="D183" s="49" t="n"/>
      <c r="E183" s="49" t="n"/>
      <c r="F183" s="49" t="n"/>
      <c r="I183" s="49" t="n"/>
      <c r="J183" s="49" t="n"/>
      <c r="K183" s="50" t="n"/>
    </row>
    <row r="184">
      <c r="B184" s="49" t="n"/>
      <c r="C184" s="49" t="n"/>
      <c r="D184" s="49" t="n"/>
      <c r="E184" s="49" t="n"/>
      <c r="F184" s="49" t="n"/>
      <c r="I184" s="49" t="n"/>
      <c r="J184" s="49" t="n"/>
      <c r="K184" s="50" t="n"/>
    </row>
    <row r="185">
      <c r="B185" s="49" t="n"/>
      <c r="C185" s="49" t="n"/>
      <c r="D185" s="49" t="n"/>
      <c r="E185" s="49" t="n"/>
      <c r="F185" s="49" t="n"/>
      <c r="I185" s="49" t="n"/>
      <c r="J185" s="49" t="n"/>
      <c r="K185" s="50" t="n"/>
    </row>
    <row r="186">
      <c r="B186" s="49" t="n"/>
      <c r="C186" s="49" t="n"/>
      <c r="D186" s="49" t="n"/>
      <c r="E186" s="49" t="n"/>
      <c r="F186" s="49" t="n"/>
      <c r="I186" s="49" t="n"/>
      <c r="J186" s="49" t="n"/>
      <c r="K186" s="50" t="n"/>
    </row>
    <row r="187">
      <c r="B187" s="49" t="n"/>
      <c r="C187" s="49" t="n"/>
      <c r="D187" s="49" t="n"/>
      <c r="E187" s="49" t="n"/>
      <c r="F187" s="49" t="n"/>
      <c r="I187" s="49" t="n"/>
      <c r="J187" s="49" t="n"/>
      <c r="K187" s="50" t="n"/>
    </row>
    <row r="188">
      <c r="B188" s="49" t="n"/>
      <c r="C188" s="49" t="n"/>
      <c r="D188" s="49" t="n"/>
      <c r="E188" s="49" t="n"/>
      <c r="F188" s="49" t="n"/>
      <c r="I188" s="49" t="n"/>
      <c r="J188" s="49" t="n"/>
      <c r="K188" s="50" t="n"/>
    </row>
    <row r="189">
      <c r="B189" s="49" t="n"/>
      <c r="C189" s="49" t="n"/>
      <c r="D189" s="49" t="n"/>
      <c r="E189" s="49" t="n"/>
      <c r="F189" s="49" t="n"/>
      <c r="I189" s="49" t="n"/>
      <c r="J189" s="49" t="n"/>
      <c r="K189" s="50" t="n"/>
    </row>
    <row r="190">
      <c r="B190" s="49" t="n"/>
      <c r="C190" s="49" t="n"/>
      <c r="D190" s="49" t="n"/>
      <c r="E190" s="49" t="n"/>
      <c r="F190" s="49" t="n"/>
      <c r="I190" s="49" t="n"/>
      <c r="J190" s="49" t="n"/>
      <c r="K190" s="50" t="n"/>
    </row>
    <row r="191">
      <c r="B191" s="49" t="n"/>
      <c r="C191" s="49" t="n"/>
      <c r="D191" s="49" t="n"/>
      <c r="E191" s="49" t="n"/>
      <c r="F191" s="49" t="n"/>
      <c r="I191" s="49" t="n"/>
      <c r="J191" s="49" t="n"/>
      <c r="K191" s="50" t="n"/>
    </row>
    <row r="192">
      <c r="B192" s="49" t="n"/>
      <c r="C192" s="49" t="n"/>
      <c r="D192" s="49" t="n"/>
      <c r="E192" s="49" t="n"/>
      <c r="F192" s="49" t="n"/>
      <c r="I192" s="49" t="n"/>
      <c r="J192" s="49" t="n"/>
      <c r="K192" s="50" t="n"/>
    </row>
    <row r="193">
      <c r="B193" s="49" t="n"/>
      <c r="C193" s="49" t="n"/>
      <c r="D193" s="49" t="n"/>
      <c r="E193" s="49" t="n"/>
      <c r="F193" s="49" t="n"/>
      <c r="I193" s="49" t="n"/>
      <c r="J193" s="49" t="n"/>
      <c r="K193" s="50" t="n"/>
    </row>
    <row r="194">
      <c r="B194" s="49" t="n"/>
      <c r="C194" s="49" t="n"/>
      <c r="D194" s="49" t="n"/>
      <c r="E194" s="49" t="n"/>
      <c r="F194" s="49" t="n"/>
      <c r="I194" s="49" t="n"/>
      <c r="J194" s="49" t="n"/>
      <c r="K194" s="50" t="n"/>
    </row>
    <row r="195">
      <c r="B195" s="49" t="n"/>
      <c r="C195" s="49" t="n"/>
      <c r="D195" s="49" t="n"/>
      <c r="E195" s="49" t="n"/>
      <c r="F195" s="49" t="n"/>
      <c r="I195" s="49" t="n"/>
      <c r="J195" s="49" t="n"/>
      <c r="K195" s="50" t="n"/>
    </row>
    <row r="196">
      <c r="B196" s="49" t="n"/>
      <c r="C196" s="49" t="n"/>
      <c r="D196" s="49" t="n"/>
      <c r="E196" s="49" t="n"/>
      <c r="F196" s="49" t="n"/>
      <c r="I196" s="49" t="n"/>
      <c r="J196" s="49" t="n"/>
      <c r="K196" s="50" t="n"/>
    </row>
    <row r="197">
      <c r="B197" s="49" t="n"/>
      <c r="C197" s="49" t="n"/>
      <c r="D197" s="49" t="n"/>
      <c r="E197" s="49" t="n"/>
      <c r="F197" s="49" t="n"/>
      <c r="I197" s="49" t="n"/>
      <c r="J197" s="49" t="n"/>
      <c r="K197" s="50" t="n"/>
    </row>
    <row r="198">
      <c r="B198" s="49" t="n"/>
      <c r="C198" s="49" t="n"/>
      <c r="D198" s="49" t="n"/>
      <c r="E198" s="49" t="n"/>
      <c r="F198" s="49" t="n"/>
      <c r="I198" s="49" t="n"/>
      <c r="J198" s="49" t="n"/>
      <c r="K198" s="50" t="n"/>
    </row>
    <row r="199">
      <c r="B199" s="49" t="n"/>
      <c r="C199" s="49" t="n"/>
      <c r="D199" s="49" t="n"/>
      <c r="E199" s="49" t="n"/>
      <c r="F199" s="49" t="n"/>
      <c r="I199" s="49" t="n"/>
      <c r="J199" s="49" t="n"/>
      <c r="K199" s="50" t="n"/>
    </row>
    <row r="200">
      <c r="B200" s="49" t="n"/>
      <c r="C200" s="49" t="n"/>
      <c r="D200" s="49" t="n"/>
      <c r="E200" s="49" t="n"/>
      <c r="F200" s="49" t="n"/>
      <c r="I200" s="49" t="n"/>
      <c r="J200" s="49" t="n"/>
      <c r="K200" s="50" t="n"/>
    </row>
    <row r="201">
      <c r="B201" s="49" t="n"/>
      <c r="C201" s="49" t="n"/>
      <c r="D201" s="49" t="n"/>
      <c r="E201" s="49" t="n"/>
      <c r="F201" s="49" t="n"/>
      <c r="I201" s="49" t="n"/>
      <c r="J201" s="49" t="n"/>
      <c r="K201" s="50" t="n"/>
    </row>
    <row r="202">
      <c r="B202" s="49" t="n"/>
      <c r="C202" s="49" t="n"/>
      <c r="D202" s="49" t="n"/>
      <c r="E202" s="49" t="n"/>
      <c r="F202" s="49" t="n"/>
      <c r="I202" s="49" t="n"/>
      <c r="J202" s="49" t="n"/>
      <c r="K202" s="50" t="n"/>
    </row>
    <row r="203">
      <c r="B203" s="49" t="n"/>
      <c r="C203" s="49" t="n"/>
      <c r="D203" s="49" t="n"/>
      <c r="E203" s="49" t="n"/>
      <c r="F203" s="49" t="n"/>
      <c r="I203" s="49" t="n"/>
      <c r="J203" s="49" t="n"/>
      <c r="K203" s="50" t="n"/>
    </row>
    <row r="204">
      <c r="B204" s="49" t="n"/>
      <c r="C204" s="49" t="n"/>
      <c r="D204" s="49" t="n"/>
      <c r="E204" s="49" t="n"/>
      <c r="F204" s="49" t="n"/>
      <c r="I204" s="49" t="n"/>
      <c r="J204" s="49" t="n"/>
      <c r="K204" s="50" t="n"/>
    </row>
    <row r="205">
      <c r="B205" s="49" t="n"/>
      <c r="C205" s="49" t="n"/>
      <c r="D205" s="49" t="n"/>
      <c r="E205" s="49" t="n"/>
      <c r="F205" s="49" t="n"/>
      <c r="I205" s="49" t="n"/>
      <c r="J205" s="49" t="n"/>
      <c r="K205" s="50" t="n"/>
    </row>
    <row r="206">
      <c r="B206" s="49" t="n"/>
      <c r="C206" s="49" t="n"/>
      <c r="D206" s="49" t="n"/>
      <c r="E206" s="49" t="n"/>
      <c r="F206" s="49" t="n"/>
      <c r="I206" s="49" t="n"/>
      <c r="J206" s="49" t="n"/>
      <c r="K206" s="50" t="n"/>
    </row>
    <row r="207">
      <c r="B207" s="49" t="n"/>
      <c r="C207" s="49" t="n"/>
      <c r="D207" s="49" t="n"/>
      <c r="E207" s="49" t="n"/>
      <c r="F207" s="49" t="n"/>
      <c r="I207" s="49" t="n"/>
      <c r="J207" s="49" t="n"/>
      <c r="K207" s="50" t="n"/>
    </row>
    <row r="208">
      <c r="B208" s="49" t="n"/>
      <c r="C208" s="49" t="n"/>
      <c r="D208" s="49" t="n"/>
      <c r="E208" s="49" t="n"/>
      <c r="F208" s="49" t="n"/>
      <c r="I208" s="49" t="n"/>
      <c r="J208" s="49" t="n"/>
      <c r="K208" s="50" t="n"/>
    </row>
    <row r="209">
      <c r="B209" s="49" t="n"/>
      <c r="C209" s="49" t="n"/>
      <c r="D209" s="49" t="n"/>
      <c r="E209" s="49" t="n"/>
      <c r="F209" s="49" t="n"/>
      <c r="I209" s="49" t="n"/>
      <c r="J209" s="49" t="n"/>
      <c r="K209" s="50" t="n"/>
    </row>
    <row r="210">
      <c r="B210" s="49" t="n"/>
      <c r="C210" s="49" t="n"/>
      <c r="D210" s="49" t="n"/>
      <c r="E210" s="49" t="n"/>
      <c r="F210" s="49" t="n"/>
      <c r="I210" s="49" t="n"/>
      <c r="J210" s="49" t="n"/>
      <c r="K210" s="50" t="n"/>
    </row>
    <row r="211">
      <c r="B211" s="49" t="n"/>
      <c r="C211" s="49" t="n"/>
      <c r="D211" s="49" t="n"/>
      <c r="E211" s="49" t="n"/>
      <c r="F211" s="49" t="n"/>
      <c r="I211" s="49" t="n"/>
      <c r="J211" s="49" t="n"/>
      <c r="K211" s="50" t="n"/>
    </row>
    <row r="212">
      <c r="B212" s="49" t="n"/>
      <c r="C212" s="49" t="n"/>
      <c r="D212" s="49" t="n"/>
      <c r="E212" s="49" t="n"/>
      <c r="F212" s="49" t="n"/>
      <c r="I212" s="49" t="n"/>
      <c r="J212" s="49" t="n"/>
      <c r="K212" s="50" t="n"/>
    </row>
    <row r="213">
      <c r="B213" s="49" t="n"/>
      <c r="C213" s="49" t="n"/>
      <c r="D213" s="49" t="n"/>
      <c r="E213" s="49" t="n"/>
      <c r="F213" s="49" t="n"/>
      <c r="I213" s="49" t="n"/>
      <c r="J213" s="49" t="n"/>
      <c r="K213" s="50" t="n"/>
    </row>
    <row r="214">
      <c r="B214" s="49" t="n"/>
      <c r="C214" s="49" t="n"/>
      <c r="D214" s="49" t="n"/>
      <c r="E214" s="49" t="n"/>
      <c r="F214" s="49" t="n"/>
      <c r="I214" s="49" t="n"/>
      <c r="J214" s="49" t="n"/>
      <c r="K214" s="50" t="n"/>
    </row>
    <row r="215">
      <c r="B215" s="49" t="n"/>
      <c r="C215" s="49" t="n"/>
      <c r="D215" s="49" t="n"/>
      <c r="E215" s="49" t="n"/>
      <c r="F215" s="49" t="n"/>
      <c r="I215" s="49" t="n"/>
      <c r="J215" s="49" t="n"/>
      <c r="K215" s="50" t="n"/>
    </row>
    <row r="216">
      <c r="B216" s="49" t="n"/>
      <c r="C216" s="49" t="n"/>
      <c r="D216" s="49" t="n"/>
      <c r="E216" s="49" t="n"/>
      <c r="F216" s="49" t="n"/>
      <c r="I216" s="49" t="n"/>
      <c r="J216" s="49" t="n"/>
      <c r="K216" s="50" t="n"/>
    </row>
    <row r="217">
      <c r="B217" s="49" t="n"/>
      <c r="C217" s="49" t="n"/>
      <c r="D217" s="49" t="n"/>
      <c r="E217" s="49" t="n"/>
      <c r="F217" s="49" t="n"/>
      <c r="I217" s="49" t="n"/>
      <c r="J217" s="49" t="n"/>
      <c r="K217" s="50" t="n"/>
    </row>
    <row r="218">
      <c r="B218" s="49" t="n"/>
      <c r="C218" s="49" t="n"/>
      <c r="D218" s="49" t="n"/>
      <c r="E218" s="49" t="n"/>
      <c r="F218" s="49" t="n"/>
      <c r="I218" s="49" t="n"/>
      <c r="J218" s="49" t="n"/>
      <c r="K218" s="50" t="n"/>
    </row>
    <row r="219">
      <c r="B219" s="49" t="n"/>
      <c r="C219" s="49" t="n"/>
      <c r="D219" s="49" t="n"/>
      <c r="E219" s="49" t="n"/>
      <c r="F219" s="49" t="n"/>
      <c r="I219" s="49" t="n"/>
      <c r="J219" s="49" t="n"/>
      <c r="K219" s="50" t="n"/>
    </row>
    <row r="220">
      <c r="B220" s="49" t="n"/>
      <c r="C220" s="49" t="n"/>
      <c r="D220" s="49" t="n"/>
      <c r="E220" s="49" t="n"/>
      <c r="F220" s="49" t="n"/>
      <c r="I220" s="49" t="n"/>
      <c r="J220" s="49" t="n"/>
      <c r="K220" s="50" t="n"/>
    </row>
    <row r="221">
      <c r="B221" s="49" t="n"/>
      <c r="C221" s="49" t="n"/>
      <c r="D221" s="49" t="n"/>
      <c r="E221" s="49" t="n"/>
      <c r="F221" s="49" t="n"/>
      <c r="I221" s="49" t="n"/>
      <c r="J221" s="49" t="n"/>
      <c r="K221" s="50" t="n"/>
    </row>
    <row r="222">
      <c r="B222" s="49" t="n"/>
      <c r="C222" s="49" t="n"/>
      <c r="D222" s="49" t="n"/>
      <c r="E222" s="49" t="n"/>
      <c r="F222" s="49" t="n"/>
      <c r="I222" s="49" t="n"/>
      <c r="J222" s="49" t="n"/>
      <c r="K222" s="50" t="n"/>
    </row>
    <row r="223">
      <c r="B223" s="49" t="n"/>
      <c r="C223" s="49" t="n"/>
      <c r="D223" s="49" t="n"/>
      <c r="E223" s="49" t="n"/>
      <c r="F223" s="49" t="n"/>
      <c r="I223" s="49" t="n"/>
      <c r="J223" s="49" t="n"/>
      <c r="K223" s="50" t="n"/>
    </row>
    <row r="224">
      <c r="B224" s="49" t="n"/>
      <c r="C224" s="49" t="n"/>
      <c r="D224" s="49" t="n"/>
      <c r="E224" s="49" t="n"/>
      <c r="F224" s="49" t="n"/>
      <c r="I224" s="49" t="n"/>
      <c r="J224" s="49" t="n"/>
      <c r="K224" s="50" t="n"/>
    </row>
    <row r="225">
      <c r="B225" s="49" t="n"/>
      <c r="C225" s="49" t="n"/>
      <c r="D225" s="49" t="n"/>
      <c r="E225" s="49" t="n"/>
      <c r="F225" s="49" t="n"/>
      <c r="I225" s="49" t="n"/>
      <c r="J225" s="49" t="n"/>
      <c r="K225" s="50" t="n"/>
    </row>
    <row r="226">
      <c r="B226" s="49" t="n"/>
      <c r="C226" s="49" t="n"/>
      <c r="D226" s="49" t="n"/>
      <c r="E226" s="49" t="n"/>
      <c r="F226" s="49" t="n"/>
      <c r="I226" s="49" t="n"/>
      <c r="J226" s="49" t="n"/>
      <c r="K226" s="50" t="n"/>
    </row>
    <row r="227">
      <c r="B227" s="49" t="n"/>
      <c r="C227" s="49" t="n"/>
      <c r="D227" s="49" t="n"/>
      <c r="E227" s="49" t="n"/>
      <c r="F227" s="49" t="n"/>
      <c r="I227" s="49" t="n"/>
      <c r="J227" s="49" t="n"/>
      <c r="K227" s="50" t="n"/>
    </row>
    <row r="228">
      <c r="B228" s="49" t="n"/>
      <c r="C228" s="49" t="n"/>
      <c r="D228" s="49" t="n"/>
      <c r="E228" s="49" t="n"/>
      <c r="F228" s="49" t="n"/>
      <c r="I228" s="49" t="n"/>
      <c r="J228" s="49" t="n"/>
      <c r="K228" s="50" t="n"/>
    </row>
    <row r="229">
      <c r="B229" s="49" t="n"/>
      <c r="C229" s="49" t="n"/>
      <c r="D229" s="49" t="n"/>
      <c r="E229" s="49" t="n"/>
      <c r="F229" s="49" t="n"/>
      <c r="I229" s="49" t="n"/>
      <c r="J229" s="49" t="n"/>
      <c r="K229" s="50" t="n"/>
    </row>
    <row r="230">
      <c r="B230" s="49" t="n"/>
      <c r="C230" s="49" t="n"/>
      <c r="D230" s="49" t="n"/>
      <c r="E230" s="49" t="n"/>
      <c r="F230" s="49" t="n"/>
      <c r="I230" s="49" t="n"/>
      <c r="J230" s="49" t="n"/>
      <c r="K230" s="50" t="n"/>
    </row>
    <row r="231">
      <c r="B231" s="49" t="n"/>
      <c r="C231" s="49" t="n"/>
      <c r="D231" s="49" t="n"/>
      <c r="E231" s="49" t="n"/>
      <c r="F231" s="49" t="n"/>
      <c r="I231" s="49" t="n"/>
      <c r="J231" s="49" t="n"/>
      <c r="K231" s="50" t="n"/>
    </row>
    <row r="232">
      <c r="B232" s="49" t="n"/>
      <c r="C232" s="49" t="n"/>
      <c r="D232" s="49" t="n"/>
      <c r="E232" s="49" t="n"/>
      <c r="F232" s="49" t="n"/>
      <c r="I232" s="49" t="n"/>
      <c r="J232" s="49" t="n"/>
      <c r="K232" s="50" t="n"/>
    </row>
    <row r="233">
      <c r="B233" s="49" t="n"/>
      <c r="C233" s="49" t="n"/>
      <c r="D233" s="49" t="n"/>
      <c r="E233" s="49" t="n"/>
      <c r="F233" s="49" t="n"/>
      <c r="I233" s="49" t="n"/>
      <c r="J233" s="49" t="n"/>
      <c r="K233" s="50" t="n"/>
    </row>
    <row r="234">
      <c r="B234" s="49" t="n"/>
      <c r="C234" s="49" t="n"/>
      <c r="D234" s="49" t="n"/>
      <c r="E234" s="49" t="n"/>
      <c r="F234" s="49" t="n"/>
      <c r="I234" s="49" t="n"/>
      <c r="J234" s="49" t="n"/>
      <c r="K234" s="50" t="n"/>
    </row>
    <row r="235">
      <c r="B235" s="49" t="n"/>
      <c r="C235" s="49" t="n"/>
      <c r="D235" s="49" t="n"/>
      <c r="E235" s="49" t="n"/>
      <c r="F235" s="49" t="n"/>
      <c r="I235" s="49" t="n"/>
      <c r="J235" s="49" t="n"/>
      <c r="K235" s="50" t="n"/>
    </row>
    <row r="236">
      <c r="B236" s="49" t="n"/>
      <c r="C236" s="49" t="n"/>
      <c r="D236" s="49" t="n"/>
      <c r="E236" s="49" t="n"/>
      <c r="F236" s="49" t="n"/>
      <c r="I236" s="49" t="n"/>
      <c r="J236" s="49" t="n"/>
      <c r="K236" s="50" t="n"/>
    </row>
    <row r="237">
      <c r="B237" s="49" t="n"/>
      <c r="C237" s="49" t="n"/>
      <c r="D237" s="49" t="n"/>
      <c r="E237" s="49" t="n"/>
      <c r="F237" s="49" t="n"/>
      <c r="I237" s="49" t="n"/>
      <c r="J237" s="49" t="n"/>
      <c r="K237" s="50" t="n"/>
    </row>
    <row r="238">
      <c r="B238" s="49" t="n"/>
      <c r="C238" s="49" t="n"/>
      <c r="D238" s="49" t="n"/>
      <c r="E238" s="49" t="n"/>
      <c r="F238" s="49" t="n"/>
      <c r="I238" s="49" t="n"/>
      <c r="J238" s="49" t="n"/>
      <c r="K238" s="50" t="n"/>
    </row>
    <row r="239">
      <c r="B239" s="49" t="n"/>
      <c r="C239" s="49" t="n"/>
      <c r="D239" s="49" t="n"/>
      <c r="E239" s="49" t="n"/>
      <c r="F239" s="49" t="n"/>
      <c r="I239" s="49" t="n"/>
      <c r="J239" s="49" t="n"/>
      <c r="K239" s="50" t="n"/>
    </row>
    <row r="240">
      <c r="B240" s="49" t="n"/>
      <c r="C240" s="49" t="n"/>
      <c r="D240" s="49" t="n"/>
      <c r="E240" s="49" t="n"/>
      <c r="F240" s="49" t="n"/>
      <c r="I240" s="49" t="n"/>
      <c r="J240" s="49" t="n"/>
      <c r="K240" s="50" t="n"/>
    </row>
    <row r="241">
      <c r="B241" s="49" t="n"/>
      <c r="C241" s="49" t="n"/>
      <c r="D241" s="49" t="n"/>
      <c r="E241" s="49" t="n"/>
      <c r="F241" s="49" t="n"/>
      <c r="I241" s="49" t="n"/>
      <c r="J241" s="49" t="n"/>
      <c r="K241" s="50" t="n"/>
    </row>
    <row r="242">
      <c r="B242" s="49" t="n"/>
      <c r="C242" s="49" t="n"/>
      <c r="D242" s="49" t="n"/>
      <c r="E242" s="49" t="n"/>
      <c r="F242" s="49" t="n"/>
      <c r="I242" s="49" t="n"/>
      <c r="J242" s="49" t="n"/>
      <c r="K242" s="50" t="n"/>
    </row>
    <row r="243">
      <c r="B243" s="49" t="n"/>
      <c r="C243" s="49" t="n"/>
      <c r="D243" s="49" t="n"/>
      <c r="E243" s="49" t="n"/>
      <c r="F243" s="49" t="n"/>
      <c r="I243" s="49" t="n"/>
      <c r="J243" s="49" t="n"/>
      <c r="K243" s="50" t="n"/>
    </row>
    <row r="244">
      <c r="B244" s="49" t="n"/>
      <c r="C244" s="49" t="n"/>
      <c r="D244" s="49" t="n"/>
      <c r="E244" s="49" t="n"/>
      <c r="F244" s="49" t="n"/>
      <c r="I244" s="49" t="n"/>
      <c r="J244" s="49" t="n"/>
      <c r="K244" s="50" t="n"/>
    </row>
    <row r="245">
      <c r="B245" s="49" t="n"/>
      <c r="C245" s="49" t="n"/>
      <c r="D245" s="49" t="n"/>
      <c r="E245" s="49" t="n"/>
      <c r="F245" s="49" t="n"/>
      <c r="I245" s="49" t="n"/>
      <c r="J245" s="49" t="n"/>
      <c r="K245" s="50" t="n"/>
    </row>
    <row r="246">
      <c r="B246" s="49" t="n"/>
      <c r="C246" s="49" t="n"/>
      <c r="D246" s="49" t="n"/>
      <c r="E246" s="49" t="n"/>
      <c r="F246" s="49" t="n"/>
      <c r="I246" s="49" t="n"/>
      <c r="J246" s="49" t="n"/>
      <c r="K246" s="50" t="n"/>
    </row>
    <row r="247">
      <c r="B247" s="49" t="n"/>
      <c r="C247" s="49" t="n"/>
      <c r="D247" s="49" t="n"/>
      <c r="E247" s="49" t="n"/>
      <c r="F247" s="49" t="n"/>
      <c r="I247" s="49" t="n"/>
      <c r="J247" s="49" t="n"/>
      <c r="K247" s="50" t="n"/>
    </row>
    <row r="248">
      <c r="B248" s="49" t="n"/>
      <c r="C248" s="49" t="n"/>
      <c r="D248" s="49" t="n"/>
      <c r="E248" s="49" t="n"/>
      <c r="F248" s="49" t="n"/>
      <c r="I248" s="49" t="n"/>
      <c r="J248" s="49" t="n"/>
      <c r="K248" s="50" t="n"/>
    </row>
    <row r="249">
      <c r="B249" s="49" t="n"/>
      <c r="C249" s="49" t="n"/>
      <c r="D249" s="49" t="n"/>
      <c r="E249" s="49" t="n"/>
      <c r="F249" s="49" t="n"/>
      <c r="I249" s="49" t="n"/>
      <c r="J249" s="49" t="n"/>
      <c r="K249" s="50" t="n"/>
    </row>
    <row r="250">
      <c r="B250" s="49" t="n"/>
      <c r="C250" s="49" t="n"/>
      <c r="D250" s="49" t="n"/>
      <c r="E250" s="49" t="n"/>
      <c r="F250" s="49" t="n"/>
      <c r="I250" s="49" t="n"/>
      <c r="J250" s="49" t="n"/>
      <c r="K250" s="50" t="n"/>
    </row>
    <row r="251">
      <c r="B251" s="49" t="n"/>
      <c r="C251" s="49" t="n"/>
      <c r="D251" s="49" t="n"/>
      <c r="E251" s="49" t="n"/>
      <c r="F251" s="49" t="n"/>
      <c r="I251" s="49" t="n"/>
      <c r="J251" s="49" t="n"/>
      <c r="K251" s="50" t="n"/>
    </row>
    <row r="252">
      <c r="B252" s="49" t="n"/>
      <c r="C252" s="49" t="n"/>
      <c r="D252" s="49" t="n"/>
      <c r="E252" s="49" t="n"/>
      <c r="F252" s="49" t="n"/>
      <c r="I252" s="49" t="n"/>
      <c r="J252" s="49" t="n"/>
      <c r="K252" s="50" t="n"/>
    </row>
    <row r="253">
      <c r="B253" s="49" t="n"/>
      <c r="C253" s="49" t="n"/>
      <c r="D253" s="49" t="n"/>
      <c r="E253" s="49" t="n"/>
      <c r="F253" s="49" t="n"/>
      <c r="I253" s="49" t="n"/>
      <c r="J253" s="49" t="n"/>
      <c r="K253" s="50" t="n"/>
    </row>
    <row r="254">
      <c r="B254" s="49" t="n"/>
      <c r="C254" s="49" t="n"/>
      <c r="D254" s="49" t="n"/>
      <c r="E254" s="49" t="n"/>
      <c r="F254" s="49" t="n"/>
      <c r="I254" s="49" t="n"/>
      <c r="J254" s="49" t="n"/>
      <c r="K254" s="50" t="n"/>
    </row>
    <row r="255">
      <c r="B255" s="49" t="n"/>
      <c r="C255" s="49" t="n"/>
      <c r="D255" s="49" t="n"/>
      <c r="E255" s="49" t="n"/>
      <c r="F255" s="49" t="n"/>
      <c r="I255" s="49" t="n"/>
      <c r="J255" s="49" t="n"/>
      <c r="K255" s="50" t="n"/>
    </row>
    <row r="256">
      <c r="B256" s="49" t="n"/>
      <c r="C256" s="49" t="n"/>
      <c r="D256" s="49" t="n"/>
      <c r="E256" s="49" t="n"/>
      <c r="F256" s="49" t="n"/>
      <c r="I256" s="49" t="n"/>
      <c r="J256" s="49" t="n"/>
      <c r="K256" s="50" t="n"/>
    </row>
    <row r="257">
      <c r="B257" s="49" t="n"/>
      <c r="C257" s="49" t="n"/>
      <c r="D257" s="49" t="n"/>
      <c r="E257" s="49" t="n"/>
      <c r="F257" s="49" t="n"/>
      <c r="I257" s="49" t="n"/>
      <c r="J257" s="49" t="n"/>
      <c r="K257" s="50" t="n"/>
    </row>
    <row r="258">
      <c r="B258" s="49" t="n"/>
      <c r="C258" s="49" t="n"/>
      <c r="D258" s="49" t="n"/>
      <c r="E258" s="49" t="n"/>
      <c r="F258" s="49" t="n"/>
      <c r="I258" s="49" t="n"/>
      <c r="J258" s="49" t="n"/>
      <c r="K258" s="50" t="n"/>
    </row>
    <row r="259">
      <c r="B259" s="49" t="n"/>
      <c r="C259" s="49" t="n"/>
      <c r="D259" s="49" t="n"/>
      <c r="E259" s="49" t="n"/>
      <c r="F259" s="49" t="n"/>
      <c r="I259" s="49" t="n"/>
      <c r="J259" s="49" t="n"/>
      <c r="K259" s="50" t="n"/>
    </row>
    <row r="260">
      <c r="B260" s="49" t="n"/>
      <c r="C260" s="49" t="n"/>
      <c r="D260" s="49" t="n"/>
      <c r="E260" s="49" t="n"/>
      <c r="F260" s="49" t="n"/>
      <c r="I260" s="49" t="n"/>
      <c r="J260" s="49" t="n"/>
      <c r="K260" s="50" t="n"/>
    </row>
    <row r="261">
      <c r="B261" s="49" t="n"/>
      <c r="C261" s="49" t="n"/>
      <c r="D261" s="49" t="n"/>
      <c r="E261" s="49" t="n"/>
      <c r="F261" s="49" t="n"/>
      <c r="I261" s="49" t="n"/>
      <c r="J261" s="49" t="n"/>
      <c r="K261" s="50" t="n"/>
    </row>
    <row r="262">
      <c r="B262" s="49" t="n"/>
      <c r="C262" s="49" t="n"/>
      <c r="D262" s="49" t="n"/>
      <c r="E262" s="49" t="n"/>
      <c r="F262" s="49" t="n"/>
      <c r="I262" s="49" t="n"/>
      <c r="J262" s="49" t="n"/>
      <c r="K262" s="50" t="n"/>
    </row>
    <row r="263">
      <c r="B263" s="49" t="n"/>
      <c r="C263" s="49" t="n"/>
      <c r="D263" s="49" t="n"/>
      <c r="E263" s="49" t="n"/>
      <c r="F263" s="49" t="n"/>
      <c r="I263" s="49" t="n"/>
      <c r="J263" s="49" t="n"/>
      <c r="K263" s="50" t="n"/>
    </row>
    <row r="264">
      <c r="B264" s="49" t="n"/>
      <c r="C264" s="49" t="n"/>
      <c r="D264" s="49" t="n"/>
      <c r="E264" s="49" t="n"/>
      <c r="F264" s="49" t="n"/>
      <c r="I264" s="49" t="n"/>
      <c r="J264" s="49" t="n"/>
      <c r="K264" s="50" t="n"/>
    </row>
    <row r="265">
      <c r="B265" s="49" t="n"/>
      <c r="C265" s="49" t="n"/>
      <c r="D265" s="49" t="n"/>
      <c r="E265" s="49" t="n"/>
      <c r="F265" s="49" t="n"/>
      <c r="I265" s="49" t="n"/>
      <c r="J265" s="49" t="n"/>
      <c r="K265" s="50" t="n"/>
    </row>
    <row r="266">
      <c r="B266" s="49" t="n"/>
      <c r="C266" s="49" t="n"/>
      <c r="D266" s="49" t="n"/>
      <c r="E266" s="49" t="n"/>
      <c r="F266" s="49" t="n"/>
      <c r="I266" s="49" t="n"/>
      <c r="J266" s="49" t="n"/>
      <c r="K266" s="50" t="n"/>
    </row>
    <row r="267">
      <c r="B267" s="49" t="n"/>
      <c r="C267" s="49" t="n"/>
      <c r="D267" s="49" t="n"/>
      <c r="E267" s="49" t="n"/>
      <c r="F267" s="49" t="n"/>
      <c r="I267" s="49" t="n"/>
      <c r="J267" s="49" t="n"/>
      <c r="K267" s="50" t="n"/>
    </row>
    <row r="268">
      <c r="B268" s="49" t="n"/>
      <c r="C268" s="49" t="n"/>
      <c r="D268" s="49" t="n"/>
      <c r="E268" s="49" t="n"/>
      <c r="F268" s="49" t="n"/>
      <c r="I268" s="49" t="n"/>
      <c r="J268" s="49" t="n"/>
      <c r="K268" s="50" t="n"/>
    </row>
    <row r="269">
      <c r="B269" s="49" t="n"/>
      <c r="C269" s="49" t="n"/>
      <c r="D269" s="49" t="n"/>
      <c r="E269" s="49" t="n"/>
      <c r="F269" s="49" t="n"/>
      <c r="I269" s="49" t="n"/>
      <c r="J269" s="49" t="n"/>
      <c r="K269" s="50" t="n"/>
    </row>
    <row r="270">
      <c r="B270" s="49" t="n"/>
      <c r="C270" s="49" t="n"/>
      <c r="D270" s="49" t="n"/>
      <c r="E270" s="49" t="n"/>
      <c r="F270" s="49" t="n"/>
      <c r="I270" s="49" t="n"/>
      <c r="J270" s="49" t="n"/>
      <c r="K270" s="50" t="n"/>
    </row>
    <row r="271">
      <c r="B271" s="49" t="n"/>
      <c r="C271" s="49" t="n"/>
      <c r="D271" s="49" t="n"/>
      <c r="E271" s="49" t="n"/>
      <c r="F271" s="49" t="n"/>
      <c r="I271" s="49" t="n"/>
      <c r="J271" s="49" t="n"/>
      <c r="K271" s="50" t="n"/>
    </row>
    <row r="272">
      <c r="B272" s="49" t="n"/>
      <c r="C272" s="49" t="n"/>
      <c r="D272" s="49" t="n"/>
      <c r="E272" s="49" t="n"/>
      <c r="F272" s="49" t="n"/>
      <c r="I272" s="49" t="n"/>
      <c r="J272" s="49" t="n"/>
      <c r="K272" s="50" t="n"/>
    </row>
    <row r="273">
      <c r="B273" s="49" t="n"/>
      <c r="C273" s="49" t="n"/>
      <c r="D273" s="49" t="n"/>
      <c r="E273" s="49" t="n"/>
      <c r="F273" s="49" t="n"/>
      <c r="I273" s="49" t="n"/>
      <c r="J273" s="49" t="n"/>
      <c r="K273" s="50" t="n"/>
    </row>
    <row r="274">
      <c r="B274" s="49" t="n"/>
      <c r="C274" s="49" t="n"/>
      <c r="D274" s="49" t="n"/>
      <c r="E274" s="49" t="n"/>
      <c r="F274" s="49" t="n"/>
      <c r="I274" s="49" t="n"/>
      <c r="J274" s="49" t="n"/>
      <c r="K274" s="50" t="n"/>
    </row>
    <row r="275">
      <c r="B275" s="49" t="n"/>
      <c r="C275" s="49" t="n"/>
      <c r="D275" s="49" t="n"/>
      <c r="E275" s="49" t="n"/>
      <c r="F275" s="49" t="n"/>
      <c r="I275" s="49" t="n"/>
      <c r="J275" s="49" t="n"/>
      <c r="K275" s="50" t="n"/>
    </row>
    <row r="276">
      <c r="B276" s="49" t="n"/>
      <c r="C276" s="49" t="n"/>
      <c r="D276" s="49" t="n"/>
      <c r="E276" s="49" t="n"/>
      <c r="F276" s="49" t="n"/>
      <c r="I276" s="49" t="n"/>
      <c r="J276" s="49" t="n"/>
      <c r="K276" s="50" t="n"/>
    </row>
    <row r="277">
      <c r="B277" s="49" t="n"/>
      <c r="C277" s="49" t="n"/>
      <c r="D277" s="49" t="n"/>
      <c r="E277" s="49" t="n"/>
      <c r="F277" s="49" t="n"/>
      <c r="I277" s="49" t="n"/>
      <c r="J277" s="49" t="n"/>
      <c r="K277" s="50" t="n"/>
    </row>
    <row r="278">
      <c r="B278" s="49" t="n"/>
      <c r="C278" s="49" t="n"/>
      <c r="D278" s="49" t="n"/>
      <c r="E278" s="49" t="n"/>
      <c r="F278" s="49" t="n"/>
      <c r="I278" s="49" t="n"/>
      <c r="J278" s="49" t="n"/>
      <c r="K278" s="50" t="n"/>
    </row>
    <row r="279">
      <c r="B279" s="49" t="n"/>
      <c r="C279" s="49" t="n"/>
      <c r="D279" s="49" t="n"/>
      <c r="E279" s="49" t="n"/>
      <c r="F279" s="49" t="n"/>
      <c r="I279" s="49" t="n"/>
      <c r="J279" s="49" t="n"/>
      <c r="K279" s="50" t="n"/>
    </row>
    <row r="280">
      <c r="B280" s="49" t="n"/>
      <c r="C280" s="49" t="n"/>
      <c r="D280" s="49" t="n"/>
      <c r="E280" s="49" t="n"/>
      <c r="F280" s="49" t="n"/>
      <c r="I280" s="49" t="n"/>
      <c r="J280" s="49" t="n"/>
      <c r="K280" s="50" t="n"/>
    </row>
    <row r="281">
      <c r="B281" s="49" t="n"/>
      <c r="C281" s="49" t="n"/>
      <c r="D281" s="49" t="n"/>
      <c r="E281" s="49" t="n"/>
      <c r="F281" s="49" t="n"/>
      <c r="I281" s="49" t="n"/>
      <c r="J281" s="49" t="n"/>
      <c r="K281" s="50" t="n"/>
    </row>
    <row r="282">
      <c r="B282" s="49" t="n"/>
      <c r="C282" s="49" t="n"/>
      <c r="D282" s="49" t="n"/>
      <c r="E282" s="49" t="n"/>
      <c r="F282" s="49" t="n"/>
      <c r="I282" s="49" t="n"/>
      <c r="J282" s="49" t="n"/>
      <c r="K282" s="50" t="n"/>
    </row>
    <row r="283">
      <c r="B283" s="49" t="n"/>
      <c r="C283" s="49" t="n"/>
      <c r="D283" s="49" t="n"/>
      <c r="E283" s="49" t="n"/>
      <c r="F283" s="49" t="n"/>
      <c r="I283" s="49" t="n"/>
      <c r="J283" s="49" t="n"/>
      <c r="K283" s="50" t="n"/>
    </row>
    <row r="284">
      <c r="B284" s="49" t="n"/>
      <c r="C284" s="49" t="n"/>
      <c r="D284" s="49" t="n"/>
      <c r="E284" s="49" t="n"/>
      <c r="F284" s="49" t="n"/>
      <c r="I284" s="49" t="n"/>
      <c r="J284" s="49" t="n"/>
      <c r="K284" s="50" t="n"/>
    </row>
    <row r="285">
      <c r="B285" s="49" t="n"/>
      <c r="C285" s="49" t="n"/>
      <c r="D285" s="49" t="n"/>
      <c r="E285" s="49" t="n"/>
      <c r="F285" s="49" t="n"/>
      <c r="I285" s="49" t="n"/>
      <c r="J285" s="49" t="n"/>
      <c r="K285" s="50" t="n"/>
    </row>
    <row r="286">
      <c r="B286" s="49" t="n"/>
      <c r="C286" s="49" t="n"/>
      <c r="D286" s="49" t="n"/>
      <c r="E286" s="49" t="n"/>
      <c r="F286" s="49" t="n"/>
      <c r="I286" s="49" t="n"/>
      <c r="J286" s="49" t="n"/>
      <c r="K286" s="50" t="n"/>
    </row>
    <row r="287">
      <c r="B287" s="49" t="n"/>
      <c r="C287" s="49" t="n"/>
      <c r="D287" s="49" t="n"/>
      <c r="E287" s="49" t="n"/>
      <c r="F287" s="49" t="n"/>
      <c r="I287" s="49" t="n"/>
      <c r="J287" s="49" t="n"/>
      <c r="K287" s="50" t="n"/>
    </row>
    <row r="288">
      <c r="B288" s="49" t="n"/>
      <c r="C288" s="49" t="n"/>
      <c r="D288" s="49" t="n"/>
      <c r="E288" s="49" t="n"/>
      <c r="F288" s="49" t="n"/>
      <c r="I288" s="49" t="n"/>
      <c r="J288" s="49" t="n"/>
      <c r="K288" s="50" t="n"/>
    </row>
    <row r="289">
      <c r="B289" s="49" t="n"/>
      <c r="C289" s="49" t="n"/>
      <c r="D289" s="49" t="n"/>
      <c r="E289" s="49" t="n"/>
      <c r="F289" s="49" t="n"/>
      <c r="I289" s="49" t="n"/>
      <c r="J289" s="49" t="n"/>
      <c r="K289" s="50" t="n"/>
    </row>
    <row r="290">
      <c r="B290" s="49" t="n"/>
      <c r="C290" s="49" t="n"/>
      <c r="D290" s="49" t="n"/>
      <c r="E290" s="49" t="n"/>
      <c r="F290" s="49" t="n"/>
      <c r="I290" s="49" t="n"/>
      <c r="J290" s="49" t="n"/>
      <c r="K290" s="50" t="n"/>
    </row>
    <row r="291">
      <c r="B291" s="49" t="n"/>
      <c r="C291" s="49" t="n"/>
      <c r="D291" s="49" t="n"/>
      <c r="E291" s="49" t="n"/>
      <c r="F291" s="49" t="n"/>
      <c r="I291" s="49" t="n"/>
      <c r="J291" s="49" t="n"/>
      <c r="K291" s="50" t="n"/>
    </row>
    <row r="292">
      <c r="B292" s="49" t="n"/>
      <c r="C292" s="49" t="n"/>
      <c r="D292" s="49" t="n"/>
      <c r="E292" s="49" t="n"/>
      <c r="F292" s="49" t="n"/>
      <c r="I292" s="49" t="n"/>
      <c r="J292" s="49" t="n"/>
      <c r="K292" s="50" t="n"/>
    </row>
    <row r="293">
      <c r="B293" s="49" t="n"/>
      <c r="C293" s="49" t="n"/>
      <c r="D293" s="49" t="n"/>
      <c r="E293" s="49" t="n"/>
      <c r="F293" s="49" t="n"/>
      <c r="I293" s="49" t="n"/>
      <c r="J293" s="49" t="n"/>
      <c r="K293" s="50" t="n"/>
    </row>
    <row r="294">
      <c r="B294" s="49" t="n"/>
      <c r="C294" s="49" t="n"/>
      <c r="D294" s="49" t="n"/>
      <c r="E294" s="49" t="n"/>
      <c r="F294" s="49" t="n"/>
      <c r="I294" s="49" t="n"/>
      <c r="J294" s="49" t="n"/>
      <c r="K294" s="50" t="n"/>
    </row>
    <row r="295">
      <c r="B295" s="49" t="n"/>
      <c r="C295" s="49" t="n"/>
      <c r="D295" s="49" t="n"/>
      <c r="E295" s="49" t="n"/>
      <c r="F295" s="49" t="n"/>
      <c r="I295" s="49" t="n"/>
      <c r="J295" s="49" t="n"/>
      <c r="K295" s="50" t="n"/>
    </row>
    <row r="296">
      <c r="B296" s="49" t="n"/>
      <c r="C296" s="49" t="n"/>
      <c r="D296" s="49" t="n"/>
      <c r="E296" s="49" t="n"/>
      <c r="F296" s="49" t="n"/>
      <c r="I296" s="49" t="n"/>
      <c r="J296" s="49" t="n"/>
      <c r="K296" s="50" t="n"/>
    </row>
    <row r="297">
      <c r="B297" s="49" t="n"/>
      <c r="C297" s="49" t="n"/>
      <c r="D297" s="49" t="n"/>
      <c r="E297" s="49" t="n"/>
      <c r="F297" s="49" t="n"/>
      <c r="I297" s="49" t="n"/>
      <c r="J297" s="49" t="n"/>
      <c r="K297" s="50" t="n"/>
    </row>
    <row r="298">
      <c r="B298" s="49" t="n"/>
      <c r="C298" s="49" t="n"/>
      <c r="D298" s="49" t="n"/>
      <c r="E298" s="49" t="n"/>
      <c r="F298" s="49" t="n"/>
      <c r="I298" s="49" t="n"/>
      <c r="J298" s="49" t="n"/>
      <c r="K298" s="50" t="n"/>
    </row>
    <row r="299">
      <c r="B299" s="49" t="n"/>
      <c r="C299" s="49" t="n"/>
      <c r="D299" s="49" t="n"/>
      <c r="E299" s="49" t="n"/>
      <c r="F299" s="49" t="n"/>
      <c r="I299" s="49" t="n"/>
      <c r="J299" s="49" t="n"/>
      <c r="K299" s="50" t="n"/>
    </row>
    <row r="300">
      <c r="B300" s="49" t="n"/>
      <c r="C300" s="49" t="n"/>
      <c r="D300" s="49" t="n"/>
      <c r="E300" s="49" t="n"/>
      <c r="F300" s="49" t="n"/>
      <c r="I300" s="49" t="n"/>
      <c r="J300" s="49" t="n"/>
      <c r="K300" s="50" t="n"/>
    </row>
    <row r="301">
      <c r="B301" s="49" t="n"/>
      <c r="C301" s="49" t="n"/>
      <c r="D301" s="49" t="n"/>
      <c r="E301" s="49" t="n"/>
      <c r="F301" s="49" t="n"/>
      <c r="I301" s="49" t="n"/>
      <c r="J301" s="49" t="n"/>
      <c r="K301" s="50" t="n"/>
    </row>
    <row r="302">
      <c r="B302" s="49" t="n"/>
      <c r="C302" s="49" t="n"/>
      <c r="D302" s="49" t="n"/>
      <c r="E302" s="49" t="n"/>
      <c r="F302" s="49" t="n"/>
      <c r="I302" s="49" t="n"/>
      <c r="J302" s="49" t="n"/>
      <c r="K302" s="50" t="n"/>
    </row>
    <row r="303">
      <c r="B303" s="49" t="n"/>
      <c r="C303" s="49" t="n"/>
      <c r="D303" s="49" t="n"/>
      <c r="E303" s="49" t="n"/>
      <c r="F303" s="49" t="n"/>
      <c r="I303" s="49" t="n"/>
      <c r="J303" s="49" t="n"/>
      <c r="K303" s="50" t="n"/>
    </row>
    <row r="304">
      <c r="B304" s="49" t="n"/>
      <c r="C304" s="49" t="n"/>
      <c r="D304" s="49" t="n"/>
      <c r="E304" s="49" t="n"/>
      <c r="F304" s="49" t="n"/>
      <c r="I304" s="49" t="n"/>
      <c r="J304" s="49" t="n"/>
      <c r="K304" s="50" t="n"/>
    </row>
    <row r="305">
      <c r="B305" s="49" t="n"/>
      <c r="C305" s="49" t="n"/>
      <c r="D305" s="49" t="n"/>
      <c r="E305" s="49" t="n"/>
      <c r="F305" s="49" t="n"/>
      <c r="I305" s="49" t="n"/>
      <c r="J305" s="49" t="n"/>
      <c r="K305" s="50" t="n"/>
    </row>
    <row r="306">
      <c r="B306" s="49" t="n"/>
      <c r="C306" s="49" t="n"/>
      <c r="D306" s="49" t="n"/>
      <c r="E306" s="49" t="n"/>
      <c r="F306" s="49" t="n"/>
      <c r="I306" s="49" t="n"/>
      <c r="J306" s="49" t="n"/>
      <c r="K306" s="50" t="n"/>
    </row>
    <row r="307">
      <c r="B307" s="49" t="n"/>
      <c r="C307" s="49" t="n"/>
      <c r="D307" s="49" t="n"/>
      <c r="E307" s="49" t="n"/>
      <c r="F307" s="49" t="n"/>
      <c r="I307" s="49" t="n"/>
      <c r="J307" s="49" t="n"/>
      <c r="K307" s="50" t="n"/>
    </row>
    <row r="308">
      <c r="B308" s="49" t="n"/>
      <c r="C308" s="49" t="n"/>
      <c r="D308" s="49" t="n"/>
      <c r="E308" s="49" t="n"/>
      <c r="F308" s="49" t="n"/>
      <c r="I308" s="49" t="n"/>
      <c r="J308" s="49" t="n"/>
      <c r="K308" s="50" t="n"/>
    </row>
    <row r="309">
      <c r="B309" s="49" t="n"/>
      <c r="C309" s="49" t="n"/>
      <c r="D309" s="49" t="n"/>
      <c r="E309" s="49" t="n"/>
      <c r="F309" s="49" t="n"/>
      <c r="I309" s="49" t="n"/>
      <c r="J309" s="49" t="n"/>
      <c r="K309" s="50" t="n"/>
    </row>
    <row r="310">
      <c r="B310" s="49" t="n"/>
      <c r="C310" s="49" t="n"/>
      <c r="D310" s="49" t="n"/>
      <c r="E310" s="49" t="n"/>
      <c r="F310" s="49" t="n"/>
      <c r="I310" s="49" t="n"/>
      <c r="J310" s="49" t="n"/>
      <c r="K310" s="50" t="n"/>
    </row>
    <row r="311">
      <c r="B311" s="49" t="n"/>
      <c r="C311" s="49" t="n"/>
      <c r="D311" s="49" t="n"/>
      <c r="E311" s="49" t="n"/>
      <c r="F311" s="49" t="n"/>
      <c r="I311" s="49" t="n"/>
      <c r="J311" s="49" t="n"/>
      <c r="K311" s="50" t="n"/>
    </row>
    <row r="312">
      <c r="B312" s="49" t="n"/>
      <c r="C312" s="49" t="n"/>
      <c r="D312" s="49" t="n"/>
      <c r="E312" s="49" t="n"/>
      <c r="F312" s="49" t="n"/>
      <c r="I312" s="49" t="n"/>
      <c r="J312" s="49" t="n"/>
      <c r="K312" s="50" t="n"/>
    </row>
    <row r="313">
      <c r="B313" s="49" t="n"/>
      <c r="C313" s="49" t="n"/>
      <c r="D313" s="49" t="n"/>
      <c r="E313" s="49" t="n"/>
      <c r="F313" s="49" t="n"/>
      <c r="I313" s="49" t="n"/>
      <c r="J313" s="49" t="n"/>
      <c r="K313" s="50" t="n"/>
    </row>
    <row r="314">
      <c r="B314" s="49" t="n"/>
      <c r="C314" s="49" t="n"/>
      <c r="D314" s="49" t="n"/>
      <c r="E314" s="49" t="n"/>
      <c r="F314" s="49" t="n"/>
      <c r="I314" s="49" t="n"/>
      <c r="J314" s="49" t="n"/>
      <c r="K314" s="50" t="n"/>
    </row>
    <row r="315">
      <c r="B315" s="49" t="n"/>
      <c r="C315" s="49" t="n"/>
      <c r="D315" s="49" t="n"/>
      <c r="E315" s="49" t="n"/>
      <c r="F315" s="49" t="n"/>
      <c r="I315" s="49" t="n"/>
      <c r="J315" s="49" t="n"/>
      <c r="K315" s="50" t="n"/>
    </row>
    <row r="316">
      <c r="B316" s="49" t="n"/>
      <c r="C316" s="49" t="n"/>
      <c r="D316" s="49" t="n"/>
      <c r="E316" s="49" t="n"/>
      <c r="F316" s="49" t="n"/>
      <c r="I316" s="49" t="n"/>
      <c r="J316" s="49" t="n"/>
      <c r="K316" s="50" t="n"/>
    </row>
    <row r="317">
      <c r="B317" s="49" t="n"/>
      <c r="C317" s="49" t="n"/>
      <c r="D317" s="49" t="n"/>
      <c r="E317" s="49" t="n"/>
      <c r="F317" s="49" t="n"/>
      <c r="I317" s="49" t="n"/>
      <c r="J317" s="49" t="n"/>
      <c r="K317" s="50"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AND(LEN($B17&amp;$C17&amp;$D17&amp;$E17&amp;$F17&amp;$G17&amp;$H17&amp;$I17&amp;$J17&amp;$K17)&gt;0,B17="")</formula>
    </cfRule>
  </conditionalFormatting>
  <conditionalFormatting sqref="C17:C317">
    <cfRule type="expression" priority="3" dxfId="6">
      <formula>AND(LEN($B17&amp;$C17&amp;$D17&amp;$E17&amp;$F17&amp;$G17&amp;$H17&amp;$I17&amp;$J17&amp;$K17)&gt;0,C17="")</formula>
    </cfRule>
  </conditionalFormatting>
  <conditionalFormatting sqref="D17:D317">
    <cfRule type="expression" priority="4" dxfId="6">
      <formula>AND(LEN($B17&amp;$C17&amp;$D17&amp;$E17&amp;$F17&amp;$G17&amp;$H17&amp;$I17&amp;$J17&amp;$K17)&gt;0,D17="")</formula>
    </cfRule>
  </conditionalFormatting>
  <conditionalFormatting sqref="E17:E317">
    <cfRule type="expression" priority="5" dxfId="6">
      <formula>AND(LEN($B17&amp;$C17&amp;$D17&amp;$E17&amp;$F17&amp;$G17&amp;$H17&amp;$I17&amp;$J17&amp;$K17)&gt;0,E17="")</formula>
    </cfRule>
  </conditionalFormatting>
  <conditionalFormatting sqref="F17:F317">
    <cfRule type="expression" priority="6" dxfId="6">
      <formula>AND(LEN($B17&amp;$C17&amp;$D17&amp;$E17&amp;$F17&amp;$G17&amp;$H17&amp;$I17&amp;$J17&amp;$K17)&gt;0,F17="")</formula>
    </cfRule>
  </conditionalFormatting>
  <conditionalFormatting sqref="G17:G317">
    <cfRule type="expression" priority="7" dxfId="6">
      <formula>AND(LEN($B17&amp;$C17&amp;$D17&amp;$E17&amp;$F17&amp;$G17&amp;$H17&amp;$I17&amp;$J17&amp;$K17)&gt;0,G17="")</formula>
    </cfRule>
  </conditionalFormatting>
  <conditionalFormatting sqref="H17:H317">
    <cfRule type="expression" priority="8" dxfId="6">
      <formula>AND(LEN($B17&amp;$C17&amp;$D17&amp;$E17&amp;$F17&amp;$G17&amp;$H17&amp;$I17&amp;$J17&amp;$K17)&gt;0,H17="")</formula>
    </cfRule>
  </conditionalFormatting>
  <conditionalFormatting sqref="K17:K317">
    <cfRule type="expression" priority="9" dxfId="6">
      <formula>AND(LEN($B17&amp;$C17&amp;$D17&amp;$E17&amp;$F17&amp;$G17&amp;$H17&amp;$I17&amp;$J17&amp;$K17)&gt;0,K17="")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1" allowBlank="1" errorTitle="Form code" error="At most 20 characters." promptTitle="Form code" prompt="Yes. BIR or local form number Allowed: Free entry, up to 20 characters" type="textLength" operator="lessThanOrEqual">
      <formula1>20</formula1>
    </dataValidation>
    <dataValidation sqref="C17:C317" showDropDown="0" showInputMessage="1" showErrorMessage="1" allowBlank="1" errorTitle="Name" error="At most 150 characters." promptTitle="Name" prompt="Yes. Name of the return Allowed: Free entry, up to 150 characters" type="textLength" operator="lessThanOrEqual">
      <formula1>150</formula1>
    </dataValidation>
    <dataValidation sqref="D17:D317" showDropDown="0" showInputMessage="1" showErrorMessage="1" allowBlank="1" errorTitle="Authority" error="Choose a value of the list Tax authority (sheet Reference lists)." promptTitle="Authority" prompt="Yes. Who the form is filed with Allowed: BIR, LGU, BFP (list Tax authority)" type="list" errorStyle="stop">
      <formula1>=LIST_TAX_AUTHORITY</formula1>
    </dataValidation>
    <dataValidation sqref="E17:E317" showDropDown="0" showInputMessage="1" showErrorMessage="1" allowBlank="1" errorTitle="Frequency" error="Choose a value of the list Filing frequency (sheet Reference lists)." promptTitle="Frequency" prompt="Yes. How often the form is filed Allowed: MONTHLY, QUARTERLY, MONTHLY_EXCEPT_QUARTER_END, ANNUAL (list Filing frequency)" type="list" errorStyle="stop">
      <formula1>=LIST_FILING_FREQUENCY</formula1>
    </dataValidation>
    <dataValidation sqref="F17:F317" showDropDown="0" showInputMessage="1" showErrorMessage="1" allowBlank="1" errorTitle="Worksheet" error="Choose a value of the list Tax worksheet (sheet Reference lists)." promptTitle="Worksheet" prompt="Yes. Computation worksheet behind the form (NONE: prepared outside BIBS, reminder only) Allowed: VAT, EWT, NONE (list Tax worksheet)" type="list" errorStyle="stop">
      <formula1>=LIST_TAX_WORKSHEET</formula1>
    </dataValidation>
    <dataValidation sqref="G17:G317" showDropDown="0" showInputMessage="1" showErrorMessage="1" allowBlank="1" errorTitle="Months after period end" error="Enter a whole number from 0 to 12." promptTitle="Months after period end" prompt="Yes. Months after the end of the period in which the form is due Allowed: A whole number from 0 to 12" type="whole" operator="between">
      <formula1>0</formula1>
      <formula2>12</formula2>
    </dataValidation>
    <dataValidation sqref="H17:H317" showDropDown="0" showInputMessage="1" showErrorMessage="1" allowBlank="1" errorTitle="Due day" error="Enter a whole number from 1 to 31." promptTitle="Due day" prompt="Yes. Day of the month the form is due Allowed: A whole number from 1 to 31" type="whole" operator="between">
      <formula1>1</formula1>
      <formula2>31</formula2>
    </dataValidation>
    <dataValidation sqref="I17:I317" showDropDown="0" showInputMessage="1" showErrorMessage="1" allowBlank="1" errorTitle="Tax payable account" error="The code is not in D0-06, column Account Code. Enter it there first, or keep it if it is a code BIBS already holds." promptTitle="Tax payable account" prompt="No. Account the tax payable is posted to Allowed: A code of D0-06 Chart of accounts, column Account Code" type="list" errorStyle="warning">
      <formula1>=CODES_D0_06_ACCOUNT_CODE</formula1>
    </dataValidation>
    <dataValidation sqref="J17:J317" showDropDown="0" showInputMessage="1" showErrorMessage="1" allowBlank="1" errorTitle="Credit account" error="The code is not in D0-06, column Account Code. Enter it there first, or keep it if it is a code BIBS already holds." promptTitle="Credit account" prompt="No. Input VAT account credited against the output VAT (VAT return only) Allowed: A code of D0-06 Chart of accounts, column Account Code" type="list" errorStyle="warning">
      <formula1>=CODES_D0_06_ACCOUNT_CODE</formula1>
    </dataValidation>
    <dataValidation sqref="K17:K317" showDropDown="0" showInputMessage="1" showErrorMessage="1" allowBlank="1" errorTitle="Tracked from" error="Enter a date, for example 15-Jan-2028." promptTitle="Tracked from" prompt="Yes. First period the filing is tracked Allowed: A date, for example 15-Jan-2028" type="date" operator="greaterThan">
      <formula1>DATE(1900,1,1)</formula1>
    </dataValidation>
  </dataValidations>
  <hyperlinks>
    <hyperlink ref="A2" location="'Start here'!A1"/>
    <hyperlink ref="K2" location="'Questions and comments'!A1"/>
    <hyperlink ref="B8" location="'D0-06 Chart of accounts'!A1"/>
    <hyperlink ref="D14" location="'Reference lists'!A377"/>
    <hyperlink ref="E14" location="'Reference lists'!A380"/>
    <hyperlink ref="F14" location="'Reference lists'!A384"/>
    <hyperlink ref="I14" location="'D0-06 Chart of accounts'!C16"/>
    <hyperlink ref="J14"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7.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12" customWidth="1" min="3" max="3"/>
    <col width="19" customWidth="1" min="4" max="4"/>
    <col width="38" customWidth="1" min="5" max="5"/>
    <col width="28" customWidth="1" min="6" max="6"/>
    <col width="24" customWidth="1" min="7" max="7"/>
  </cols>
  <sheetData>
    <row r="1" ht="26" customHeight="1">
      <c r="A1" s="25" t="inlineStr">
        <is>
          <t>UA-03 Approvers, approval rules and limits</t>
        </is>
      </c>
      <c r="G1" s="26" t="inlineStr">
        <is>
          <t>Step 35 of 52</t>
        </is>
      </c>
    </row>
    <row r="2">
      <c r="A2" s="27" t="inlineStr">
        <is>
          <t>← Back to Start here</t>
        </is>
      </c>
      <c r="B2" s="28" t="inlineStr">
        <is>
          <t>Step 35 of 52. Fill in one row per record below the column headers; the guide above each column says what to enter.</t>
        </is>
      </c>
      <c r="G2" s="29" t="inlineStr">
        <is>
          <t>Ask a question →</t>
        </is>
      </c>
    </row>
    <row r="3" outlineLevel="1" ht="28" customHeight="1">
      <c r="A3" s="30" t="inlineStr">
        <is>
          <t>Purpose</t>
        </is>
      </c>
      <c r="B3" s="31" t="inlineStr">
        <is>
          <t>Who requests and who approves user access, the order of the approvers of group-profile requests, the second approvers, the implementers, and the authorisation limits of the users whose work other modules approve by amount</t>
        </is>
      </c>
    </row>
    <row r="4" outlineLevel="1" ht="15.5" customHeight="1">
      <c r="A4" s="30" t="inlineStr">
        <is>
          <t>Provided by</t>
        </is>
      </c>
      <c r="B4" s="31" t="inlineStr">
        <is>
          <t>Business Administration; BDOI Information Security for the second approval; Comptrollership for the authorisation limits</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Setup &amp; Administration › Administration › Users,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UA-01 Users and roles load →</t>
        </is>
      </c>
    </row>
    <row r="9" ht="26" customHeight="1">
      <c r="A9" s="34" t="inlineStr">
        <is>
          <t>Progress</t>
        </is>
      </c>
      <c r="B9" s="35" t="inlineStr">
        <is>
          <t>Rows entered</t>
        </is>
      </c>
      <c r="C9" s="36">
        <f>SUMPRODUCT(((ROW($B$17:$B$517)&gt;17)+($B$17&lt;&gt;"Approver")&gt;0)*(LEN($B$17:$B$517&amp;$C$17:$C$517&amp;$D$17:$D$517&amp;$E$17:$E$517&amp;$F$17:$F$517&amp;$G$17:$G$517)&gt;0))</f>
        <v/>
      </c>
      <c r="D9" s="35" t="inlineStr">
        <is>
          <t>Mandatory cells missing</t>
        </is>
      </c>
      <c r="E9" s="36">
        <f>SUMPRODUCT(((ROW($B$17:$B$517)&gt;17)+($B$17&lt;&gt;"Approver")&gt;0)*(LEN($B$17:$B$517&amp;$C$17:$C$517&amp;$D$17:$D$517&amp;$E$17:$E$517&amp;$F$17:$F$517&amp;$G$17:$G$517)&gt;0)*(($B$17:$B$517="")+($C$17:$C$517="")+($D$17:$D$517="")))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Conditional: Approver</t>
        </is>
      </c>
      <c r="F12" s="43" t="inlineStr">
        <is>
          <t>No</t>
        </is>
      </c>
      <c r="G12" s="43" t="inlineStr">
        <is>
          <t>No</t>
        </is>
      </c>
    </row>
    <row r="13" ht="30" customHeight="1">
      <c r="A13" s="41" t="inlineStr">
        <is>
          <t>Format</t>
        </is>
      </c>
      <c r="B13" s="43" t="inlineStr">
        <is>
          <t>Code from the drop-down</t>
        </is>
      </c>
      <c r="C13" s="43" t="inlineStr">
        <is>
          <t>Text</t>
        </is>
      </c>
      <c r="D13" s="43" t="inlineStr">
        <is>
          <t>Text</t>
        </is>
      </c>
      <c r="E13" s="43" t="inlineStr">
        <is>
          <t>Number without thousands separators, e.g. 1500000.50</t>
        </is>
      </c>
      <c r="F13" s="43" t="inlineStr">
        <is>
          <t>Y or N</t>
        </is>
      </c>
      <c r="G13" s="43" t="inlineStr">
        <is>
          <t>Number without thousands separators, e.g. 1500000.50</t>
        </is>
      </c>
    </row>
    <row r="14" ht="56" customHeight="1">
      <c r="A14" s="41" t="inlineStr">
        <is>
          <t>Allowed values</t>
        </is>
      </c>
      <c r="B14" s="51" t="inlineStr">
        <is>
          <t>Requestor, Approver, Second Approver, Group-profile requester, Implementer (list Role in user access (UA-03))</t>
        </is>
      </c>
      <c r="C14" s="51" t="inlineStr">
        <is>
          <t>Code of an existing user</t>
        </is>
      </c>
      <c r="D14" s="43" t="inlineStr">
        <is>
          <t>Code of the list Business unit group (Lists of Values)</t>
        </is>
      </c>
      <c r="E14" s="43" t="inlineStr">
        <is>
          <t>A number</t>
        </is>
      </c>
      <c r="F14" s="43" t="inlineStr">
        <is>
          <t>Y or N</t>
        </is>
      </c>
      <c r="G14" s="43" t="inlineStr">
        <is>
          <t>A number</t>
        </is>
      </c>
    </row>
    <row r="15" ht="43" customHeight="1">
      <c r="A15" s="41" t="inlineStr">
        <is>
          <t>What to enter</t>
        </is>
      </c>
      <c r="B15" s="43" t="inlineStr">
        <is>
          <t>The user access role of the user</t>
        </is>
      </c>
      <c r="C15" s="43" t="inlineStr">
        <is>
          <t>The user who holds the role</t>
        </is>
      </c>
      <c r="D15" s="43" t="inlineStr">
        <is>
          <t>Unit the user requests or approves for</t>
        </is>
      </c>
      <c r="E15" s="43" t="inlineStr">
        <is>
          <t>Usual order of the approvers of a group-profile request</t>
        </is>
      </c>
      <c r="F15" s="43" t="inlineStr">
        <is>
          <t>Must match uam any approver (changed with UA-05)</t>
        </is>
      </c>
      <c r="G15" s="43" t="inlineStr">
        <is>
          <t>Limit of the approvals of the user; blank = unlimited</t>
        </is>
      </c>
    </row>
    <row r="16" ht="30" customHeight="1">
      <c r="A16" s="44" t="inlineStr">
        <is>
          <t>Row</t>
        </is>
      </c>
      <c r="B16" s="45" t="inlineStr">
        <is>
          <t>Role in user access *</t>
        </is>
      </c>
      <c r="C16" s="45" t="inlineStr">
        <is>
          <t>User ID *</t>
        </is>
      </c>
      <c r="D16" s="45" t="inlineStr">
        <is>
          <t>Unit *</t>
        </is>
      </c>
      <c r="E16" s="45" t="inlineStr">
        <is>
          <t>Approver order for group profiles</t>
        </is>
      </c>
      <c r="F16" s="45" t="inlineStr">
        <is>
          <t>Any approver may decide</t>
        </is>
      </c>
      <c r="G16" s="45" t="inlineStr">
        <is>
          <t>Authorisation limit</t>
        </is>
      </c>
    </row>
    <row r="17" ht="18" customHeight="1">
      <c r="A17" s="46" t="inlineStr">
        <is>
          <t>Example – overwrite or delete</t>
        </is>
      </c>
      <c r="B17" s="47" t="inlineStr">
        <is>
          <t>Approver</t>
        </is>
      </c>
      <c r="C17" s="47" t="inlineStr">
        <is>
          <t>a013000205</t>
        </is>
      </c>
      <c r="D17" s="47" t="inlineStr">
        <is>
          <t>Combank Marketing</t>
        </is>
      </c>
      <c r="E17" s="52" t="n">
        <v>1</v>
      </c>
      <c r="F17" s="47" t="inlineStr">
        <is>
          <t>N</t>
        </is>
      </c>
      <c r="G17" s="52" t="n">
        <v>500000</v>
      </c>
    </row>
    <row r="18">
      <c r="B18" s="49" t="n"/>
      <c r="C18" s="49" t="n"/>
      <c r="D18" s="49" t="n"/>
      <c r="F18" s="49" t="n"/>
    </row>
    <row r="19">
      <c r="B19" s="49" t="n"/>
      <c r="C19" s="49" t="n"/>
      <c r="D19" s="49" t="n"/>
      <c r="F19" s="49" t="n"/>
    </row>
    <row r="20">
      <c r="B20" s="49" t="n"/>
      <c r="C20" s="49" t="n"/>
      <c r="D20" s="49" t="n"/>
      <c r="F20" s="49" t="n"/>
    </row>
    <row r="21">
      <c r="B21" s="49" t="n"/>
      <c r="C21" s="49" t="n"/>
      <c r="D21" s="49" t="n"/>
      <c r="F21" s="49" t="n"/>
    </row>
    <row r="22">
      <c r="B22" s="49" t="n"/>
      <c r="C22" s="49" t="n"/>
      <c r="D22" s="49" t="n"/>
      <c r="F22" s="49" t="n"/>
    </row>
    <row r="23">
      <c r="B23" s="49" t="n"/>
      <c r="C23" s="49" t="n"/>
      <c r="D23" s="49" t="n"/>
      <c r="F23" s="49" t="n"/>
    </row>
    <row r="24">
      <c r="B24" s="49" t="n"/>
      <c r="C24" s="49" t="n"/>
      <c r="D24" s="49" t="n"/>
      <c r="F24" s="49" t="n"/>
    </row>
    <row r="25">
      <c r="B25" s="49" t="n"/>
      <c r="C25" s="49" t="n"/>
      <c r="D25" s="49" t="n"/>
      <c r="F25" s="49" t="n"/>
    </row>
    <row r="26">
      <c r="B26" s="49" t="n"/>
      <c r="C26" s="49" t="n"/>
      <c r="D26" s="49" t="n"/>
      <c r="F26" s="49" t="n"/>
    </row>
    <row r="27">
      <c r="B27" s="49" t="n"/>
      <c r="C27" s="49" t="n"/>
      <c r="D27" s="49" t="n"/>
      <c r="F27" s="49" t="n"/>
    </row>
    <row r="28">
      <c r="B28" s="49" t="n"/>
      <c r="C28" s="49" t="n"/>
      <c r="D28" s="49" t="n"/>
      <c r="F28" s="49" t="n"/>
    </row>
    <row r="29">
      <c r="B29" s="49" t="n"/>
      <c r="C29" s="49" t="n"/>
      <c r="D29" s="49" t="n"/>
      <c r="F29" s="49" t="n"/>
    </row>
    <row r="30">
      <c r="B30" s="49" t="n"/>
      <c r="C30" s="49" t="n"/>
      <c r="D30" s="49" t="n"/>
      <c r="F30" s="49" t="n"/>
    </row>
    <row r="31">
      <c r="B31" s="49" t="n"/>
      <c r="C31" s="49" t="n"/>
      <c r="D31" s="49" t="n"/>
      <c r="F31" s="49" t="n"/>
    </row>
    <row r="32">
      <c r="B32" s="49" t="n"/>
      <c r="C32" s="49" t="n"/>
      <c r="D32" s="49" t="n"/>
      <c r="F32" s="49" t="n"/>
    </row>
    <row r="33">
      <c r="B33" s="49" t="n"/>
      <c r="C33" s="49" t="n"/>
      <c r="D33" s="49" t="n"/>
      <c r="F33" s="49" t="n"/>
    </row>
    <row r="34">
      <c r="B34" s="49" t="n"/>
      <c r="C34" s="49" t="n"/>
      <c r="D34" s="49" t="n"/>
      <c r="F34" s="49" t="n"/>
    </row>
    <row r="35">
      <c r="B35" s="49" t="n"/>
      <c r="C35" s="49" t="n"/>
      <c r="D35" s="49" t="n"/>
      <c r="F35" s="49" t="n"/>
    </row>
    <row r="36">
      <c r="B36" s="49" t="n"/>
      <c r="C36" s="49" t="n"/>
      <c r="D36" s="49" t="n"/>
      <c r="F36" s="49" t="n"/>
    </row>
    <row r="37">
      <c r="B37" s="49" t="n"/>
      <c r="C37" s="49" t="n"/>
      <c r="D37" s="49" t="n"/>
      <c r="F37" s="49" t="n"/>
    </row>
    <row r="38">
      <c r="B38" s="49" t="n"/>
      <c r="C38" s="49" t="n"/>
      <c r="D38" s="49" t="n"/>
      <c r="F38" s="49" t="n"/>
    </row>
    <row r="39">
      <c r="B39" s="49" t="n"/>
      <c r="C39" s="49" t="n"/>
      <c r="D39" s="49" t="n"/>
      <c r="F39" s="49" t="n"/>
    </row>
    <row r="40">
      <c r="B40" s="49" t="n"/>
      <c r="C40" s="49" t="n"/>
      <c r="D40" s="49" t="n"/>
      <c r="F40" s="49" t="n"/>
    </row>
    <row r="41">
      <c r="B41" s="49" t="n"/>
      <c r="C41" s="49" t="n"/>
      <c r="D41" s="49" t="n"/>
      <c r="F41" s="49" t="n"/>
    </row>
    <row r="42">
      <c r="B42" s="49" t="n"/>
      <c r="C42" s="49" t="n"/>
      <c r="D42" s="49" t="n"/>
      <c r="F42" s="49" t="n"/>
    </row>
    <row r="43">
      <c r="B43" s="49" t="n"/>
      <c r="C43" s="49" t="n"/>
      <c r="D43" s="49" t="n"/>
      <c r="F43" s="49" t="n"/>
    </row>
    <row r="44">
      <c r="B44" s="49" t="n"/>
      <c r="C44" s="49" t="n"/>
      <c r="D44" s="49" t="n"/>
      <c r="F44" s="49" t="n"/>
    </row>
    <row r="45">
      <c r="B45" s="49" t="n"/>
      <c r="C45" s="49" t="n"/>
      <c r="D45" s="49" t="n"/>
      <c r="F45" s="49" t="n"/>
    </row>
    <row r="46">
      <c r="B46" s="49" t="n"/>
      <c r="C46" s="49" t="n"/>
      <c r="D46" s="49" t="n"/>
      <c r="F46" s="49" t="n"/>
    </row>
    <row r="47">
      <c r="B47" s="49" t="n"/>
      <c r="C47" s="49" t="n"/>
      <c r="D47" s="49" t="n"/>
      <c r="F47" s="49" t="n"/>
    </row>
    <row r="48">
      <c r="B48" s="49" t="n"/>
      <c r="C48" s="49" t="n"/>
      <c r="D48" s="49" t="n"/>
      <c r="F48" s="49" t="n"/>
    </row>
    <row r="49">
      <c r="B49" s="49" t="n"/>
      <c r="C49" s="49" t="n"/>
      <c r="D49" s="49" t="n"/>
      <c r="F49" s="49" t="n"/>
    </row>
    <row r="50">
      <c r="B50" s="49" t="n"/>
      <c r="C50" s="49" t="n"/>
      <c r="D50" s="49" t="n"/>
      <c r="F50" s="49" t="n"/>
    </row>
    <row r="51">
      <c r="B51" s="49" t="n"/>
      <c r="C51" s="49" t="n"/>
      <c r="D51" s="49" t="n"/>
      <c r="F51" s="49" t="n"/>
    </row>
    <row r="52">
      <c r="B52" s="49" t="n"/>
      <c r="C52" s="49" t="n"/>
      <c r="D52" s="49" t="n"/>
      <c r="F52" s="49" t="n"/>
    </row>
    <row r="53">
      <c r="B53" s="49" t="n"/>
      <c r="C53" s="49" t="n"/>
      <c r="D53" s="49" t="n"/>
      <c r="F53" s="49" t="n"/>
    </row>
    <row r="54">
      <c r="B54" s="49" t="n"/>
      <c r="C54" s="49" t="n"/>
      <c r="D54" s="49" t="n"/>
      <c r="F54" s="49" t="n"/>
    </row>
    <row r="55">
      <c r="B55" s="49" t="n"/>
      <c r="C55" s="49" t="n"/>
      <c r="D55" s="49" t="n"/>
      <c r="F55" s="49" t="n"/>
    </row>
    <row r="56">
      <c r="B56" s="49" t="n"/>
      <c r="C56" s="49" t="n"/>
      <c r="D56" s="49" t="n"/>
      <c r="F56" s="49" t="n"/>
    </row>
    <row r="57">
      <c r="B57" s="49" t="n"/>
      <c r="C57" s="49" t="n"/>
      <c r="D57" s="49" t="n"/>
      <c r="F57" s="49" t="n"/>
    </row>
    <row r="58">
      <c r="B58" s="49" t="n"/>
      <c r="C58" s="49" t="n"/>
      <c r="D58" s="49" t="n"/>
      <c r="F58" s="49" t="n"/>
    </row>
    <row r="59">
      <c r="B59" s="49" t="n"/>
      <c r="C59" s="49" t="n"/>
      <c r="D59" s="49" t="n"/>
      <c r="F59" s="49" t="n"/>
    </row>
    <row r="60">
      <c r="B60" s="49" t="n"/>
      <c r="C60" s="49" t="n"/>
      <c r="D60" s="49" t="n"/>
      <c r="F60" s="49" t="n"/>
    </row>
    <row r="61">
      <c r="B61" s="49" t="n"/>
      <c r="C61" s="49" t="n"/>
      <c r="D61" s="49" t="n"/>
      <c r="F61" s="49" t="n"/>
    </row>
    <row r="62">
      <c r="B62" s="49" t="n"/>
      <c r="C62" s="49" t="n"/>
      <c r="D62" s="49" t="n"/>
      <c r="F62" s="49" t="n"/>
    </row>
    <row r="63">
      <c r="B63" s="49" t="n"/>
      <c r="C63" s="49" t="n"/>
      <c r="D63" s="49" t="n"/>
      <c r="F63" s="49" t="n"/>
    </row>
    <row r="64">
      <c r="B64" s="49" t="n"/>
      <c r="C64" s="49" t="n"/>
      <c r="D64" s="49" t="n"/>
      <c r="F64" s="49" t="n"/>
    </row>
    <row r="65">
      <c r="B65" s="49" t="n"/>
      <c r="C65" s="49" t="n"/>
      <c r="D65" s="49" t="n"/>
      <c r="F65" s="49" t="n"/>
    </row>
    <row r="66">
      <c r="B66" s="49" t="n"/>
      <c r="C66" s="49" t="n"/>
      <c r="D66" s="49" t="n"/>
      <c r="F66" s="49" t="n"/>
    </row>
    <row r="67">
      <c r="B67" s="49" t="n"/>
      <c r="C67" s="49" t="n"/>
      <c r="D67" s="49" t="n"/>
      <c r="F67" s="49" t="n"/>
    </row>
    <row r="68">
      <c r="B68" s="49" t="n"/>
      <c r="C68" s="49" t="n"/>
      <c r="D68" s="49" t="n"/>
      <c r="F68" s="49" t="n"/>
    </row>
    <row r="69">
      <c r="B69" s="49" t="n"/>
      <c r="C69" s="49" t="n"/>
      <c r="D69" s="49" t="n"/>
      <c r="F69" s="49" t="n"/>
    </row>
    <row r="70">
      <c r="B70" s="49" t="n"/>
      <c r="C70" s="49" t="n"/>
      <c r="D70" s="49" t="n"/>
      <c r="F70" s="49" t="n"/>
    </row>
    <row r="71">
      <c r="B71" s="49" t="n"/>
      <c r="C71" s="49" t="n"/>
      <c r="D71" s="49" t="n"/>
      <c r="F71" s="49" t="n"/>
    </row>
    <row r="72">
      <c r="B72" s="49" t="n"/>
      <c r="C72" s="49" t="n"/>
      <c r="D72" s="49" t="n"/>
      <c r="F72" s="49" t="n"/>
    </row>
    <row r="73">
      <c r="B73" s="49" t="n"/>
      <c r="C73" s="49" t="n"/>
      <c r="D73" s="49" t="n"/>
      <c r="F73" s="49" t="n"/>
    </row>
    <row r="74">
      <c r="B74" s="49" t="n"/>
      <c r="C74" s="49" t="n"/>
      <c r="D74" s="49" t="n"/>
      <c r="F74" s="49" t="n"/>
    </row>
    <row r="75">
      <c r="B75" s="49" t="n"/>
      <c r="C75" s="49" t="n"/>
      <c r="D75" s="49" t="n"/>
      <c r="F75" s="49" t="n"/>
    </row>
    <row r="76">
      <c r="B76" s="49" t="n"/>
      <c r="C76" s="49" t="n"/>
      <c r="D76" s="49" t="n"/>
      <c r="F76" s="49" t="n"/>
    </row>
    <row r="77">
      <c r="B77" s="49" t="n"/>
      <c r="C77" s="49" t="n"/>
      <c r="D77" s="49" t="n"/>
      <c r="F77" s="49" t="n"/>
    </row>
    <row r="78">
      <c r="B78" s="49" t="n"/>
      <c r="C78" s="49" t="n"/>
      <c r="D78" s="49" t="n"/>
      <c r="F78" s="49" t="n"/>
    </row>
    <row r="79">
      <c r="B79" s="49" t="n"/>
      <c r="C79" s="49" t="n"/>
      <c r="D79" s="49" t="n"/>
      <c r="F79" s="49" t="n"/>
    </row>
    <row r="80">
      <c r="B80" s="49" t="n"/>
      <c r="C80" s="49" t="n"/>
      <c r="D80" s="49" t="n"/>
      <c r="F80" s="49" t="n"/>
    </row>
    <row r="81">
      <c r="B81" s="49" t="n"/>
      <c r="C81" s="49" t="n"/>
      <c r="D81" s="49" t="n"/>
      <c r="F81" s="49" t="n"/>
    </row>
    <row r="82">
      <c r="B82" s="49" t="n"/>
      <c r="C82" s="49" t="n"/>
      <c r="D82" s="49" t="n"/>
      <c r="F82" s="49" t="n"/>
    </row>
    <row r="83">
      <c r="B83" s="49" t="n"/>
      <c r="C83" s="49" t="n"/>
      <c r="D83" s="49" t="n"/>
      <c r="F83" s="49" t="n"/>
    </row>
    <row r="84">
      <c r="B84" s="49" t="n"/>
      <c r="C84" s="49" t="n"/>
      <c r="D84" s="49" t="n"/>
      <c r="F84" s="49" t="n"/>
    </row>
    <row r="85">
      <c r="B85" s="49" t="n"/>
      <c r="C85" s="49" t="n"/>
      <c r="D85" s="49" t="n"/>
      <c r="F85" s="49" t="n"/>
    </row>
    <row r="86">
      <c r="B86" s="49" t="n"/>
      <c r="C86" s="49" t="n"/>
      <c r="D86" s="49" t="n"/>
      <c r="F86" s="49" t="n"/>
    </row>
    <row r="87">
      <c r="B87" s="49" t="n"/>
      <c r="C87" s="49" t="n"/>
      <c r="D87" s="49" t="n"/>
      <c r="F87" s="49" t="n"/>
    </row>
    <row r="88">
      <c r="B88" s="49" t="n"/>
      <c r="C88" s="49" t="n"/>
      <c r="D88" s="49" t="n"/>
      <c r="F88" s="49" t="n"/>
    </row>
    <row r="89">
      <c r="B89" s="49" t="n"/>
      <c r="C89" s="49" t="n"/>
      <c r="D89" s="49" t="n"/>
      <c r="F89" s="49" t="n"/>
    </row>
    <row r="90">
      <c r="B90" s="49" t="n"/>
      <c r="C90" s="49" t="n"/>
      <c r="D90" s="49" t="n"/>
      <c r="F90" s="49" t="n"/>
    </row>
    <row r="91">
      <c r="B91" s="49" t="n"/>
      <c r="C91" s="49" t="n"/>
      <c r="D91" s="49" t="n"/>
      <c r="F91" s="49" t="n"/>
    </row>
    <row r="92">
      <c r="B92" s="49" t="n"/>
      <c r="C92" s="49" t="n"/>
      <c r="D92" s="49" t="n"/>
      <c r="F92" s="49" t="n"/>
    </row>
    <row r="93">
      <c r="B93" s="49" t="n"/>
      <c r="C93" s="49" t="n"/>
      <c r="D93" s="49" t="n"/>
      <c r="F93" s="49" t="n"/>
    </row>
    <row r="94">
      <c r="B94" s="49" t="n"/>
      <c r="C94" s="49" t="n"/>
      <c r="D94" s="49" t="n"/>
      <c r="F94" s="49" t="n"/>
    </row>
    <row r="95">
      <c r="B95" s="49" t="n"/>
      <c r="C95" s="49" t="n"/>
      <c r="D95" s="49" t="n"/>
      <c r="F95" s="49" t="n"/>
    </row>
    <row r="96">
      <c r="B96" s="49" t="n"/>
      <c r="C96" s="49" t="n"/>
      <c r="D96" s="49" t="n"/>
      <c r="F96" s="49" t="n"/>
    </row>
    <row r="97">
      <c r="B97" s="49" t="n"/>
      <c r="C97" s="49" t="n"/>
      <c r="D97" s="49" t="n"/>
      <c r="F97" s="49" t="n"/>
    </row>
    <row r="98">
      <c r="B98" s="49" t="n"/>
      <c r="C98" s="49" t="n"/>
      <c r="D98" s="49" t="n"/>
      <c r="F98" s="49" t="n"/>
    </row>
    <row r="99">
      <c r="B99" s="49" t="n"/>
      <c r="C99" s="49" t="n"/>
      <c r="D99" s="49" t="n"/>
      <c r="F99" s="49" t="n"/>
    </row>
    <row r="100">
      <c r="B100" s="49" t="n"/>
      <c r="C100" s="49" t="n"/>
      <c r="D100" s="49" t="n"/>
      <c r="F100" s="49" t="n"/>
    </row>
    <row r="101">
      <c r="B101" s="49" t="n"/>
      <c r="C101" s="49" t="n"/>
      <c r="D101" s="49" t="n"/>
      <c r="F101" s="49" t="n"/>
    </row>
    <row r="102">
      <c r="B102" s="49" t="n"/>
      <c r="C102" s="49" t="n"/>
      <c r="D102" s="49" t="n"/>
      <c r="F102" s="49" t="n"/>
    </row>
    <row r="103">
      <c r="B103" s="49" t="n"/>
      <c r="C103" s="49" t="n"/>
      <c r="D103" s="49" t="n"/>
      <c r="F103" s="49" t="n"/>
    </row>
    <row r="104">
      <c r="B104" s="49" t="n"/>
      <c r="C104" s="49" t="n"/>
      <c r="D104" s="49" t="n"/>
      <c r="F104" s="49" t="n"/>
    </row>
    <row r="105">
      <c r="B105" s="49" t="n"/>
      <c r="C105" s="49" t="n"/>
      <c r="D105" s="49" t="n"/>
      <c r="F105" s="49" t="n"/>
    </row>
    <row r="106">
      <c r="B106" s="49" t="n"/>
      <c r="C106" s="49" t="n"/>
      <c r="D106" s="49" t="n"/>
      <c r="F106" s="49" t="n"/>
    </row>
    <row r="107">
      <c r="B107" s="49" t="n"/>
      <c r="C107" s="49" t="n"/>
      <c r="D107" s="49" t="n"/>
      <c r="F107" s="49" t="n"/>
    </row>
    <row r="108">
      <c r="B108" s="49" t="n"/>
      <c r="C108" s="49" t="n"/>
      <c r="D108" s="49" t="n"/>
      <c r="F108" s="49" t="n"/>
    </row>
    <row r="109">
      <c r="B109" s="49" t="n"/>
      <c r="C109" s="49" t="n"/>
      <c r="D109" s="49" t="n"/>
      <c r="F109" s="49" t="n"/>
    </row>
    <row r="110">
      <c r="B110" s="49" t="n"/>
      <c r="C110" s="49" t="n"/>
      <c r="D110" s="49" t="n"/>
      <c r="F110" s="49" t="n"/>
    </row>
    <row r="111">
      <c r="B111" s="49" t="n"/>
      <c r="C111" s="49" t="n"/>
      <c r="D111" s="49" t="n"/>
      <c r="F111" s="49" t="n"/>
    </row>
    <row r="112">
      <c r="B112" s="49" t="n"/>
      <c r="C112" s="49" t="n"/>
      <c r="D112" s="49" t="n"/>
      <c r="F112" s="49" t="n"/>
    </row>
    <row r="113">
      <c r="B113" s="49" t="n"/>
      <c r="C113" s="49" t="n"/>
      <c r="D113" s="49" t="n"/>
      <c r="F113" s="49" t="n"/>
    </row>
    <row r="114">
      <c r="B114" s="49" t="n"/>
      <c r="C114" s="49" t="n"/>
      <c r="D114" s="49" t="n"/>
      <c r="F114" s="49" t="n"/>
    </row>
    <row r="115">
      <c r="B115" s="49" t="n"/>
      <c r="C115" s="49" t="n"/>
      <c r="D115" s="49" t="n"/>
      <c r="F115" s="49" t="n"/>
    </row>
    <row r="116">
      <c r="B116" s="49" t="n"/>
      <c r="C116" s="49" t="n"/>
      <c r="D116" s="49" t="n"/>
      <c r="F116" s="49" t="n"/>
    </row>
    <row r="117">
      <c r="B117" s="49" t="n"/>
      <c r="C117" s="49" t="n"/>
      <c r="D117" s="49" t="n"/>
      <c r="F117" s="49" t="n"/>
    </row>
    <row r="118">
      <c r="B118" s="49" t="n"/>
      <c r="C118" s="49" t="n"/>
      <c r="D118" s="49" t="n"/>
      <c r="F118" s="49" t="n"/>
    </row>
    <row r="119">
      <c r="B119" s="49" t="n"/>
      <c r="C119" s="49" t="n"/>
      <c r="D119" s="49" t="n"/>
      <c r="F119" s="49" t="n"/>
    </row>
    <row r="120">
      <c r="B120" s="49" t="n"/>
      <c r="C120" s="49" t="n"/>
      <c r="D120" s="49" t="n"/>
      <c r="F120" s="49" t="n"/>
    </row>
    <row r="121">
      <c r="B121" s="49" t="n"/>
      <c r="C121" s="49" t="n"/>
      <c r="D121" s="49" t="n"/>
      <c r="F121" s="49" t="n"/>
    </row>
    <row r="122">
      <c r="B122" s="49" t="n"/>
      <c r="C122" s="49" t="n"/>
      <c r="D122" s="49" t="n"/>
      <c r="F122" s="49" t="n"/>
    </row>
    <row r="123">
      <c r="B123" s="49" t="n"/>
      <c r="C123" s="49" t="n"/>
      <c r="D123" s="49" t="n"/>
      <c r="F123" s="49" t="n"/>
    </row>
    <row r="124">
      <c r="B124" s="49" t="n"/>
      <c r="C124" s="49" t="n"/>
      <c r="D124" s="49" t="n"/>
      <c r="F124" s="49" t="n"/>
    </row>
    <row r="125">
      <c r="B125" s="49" t="n"/>
      <c r="C125" s="49" t="n"/>
      <c r="D125" s="49" t="n"/>
      <c r="F125" s="49" t="n"/>
    </row>
    <row r="126">
      <c r="B126" s="49" t="n"/>
      <c r="C126" s="49" t="n"/>
      <c r="D126" s="49" t="n"/>
      <c r="F126" s="49" t="n"/>
    </row>
    <row r="127">
      <c r="B127" s="49" t="n"/>
      <c r="C127" s="49" t="n"/>
      <c r="D127" s="49" t="n"/>
      <c r="F127" s="49" t="n"/>
    </row>
    <row r="128">
      <c r="B128" s="49" t="n"/>
      <c r="C128" s="49" t="n"/>
      <c r="D128" s="49" t="n"/>
      <c r="F128" s="49" t="n"/>
    </row>
    <row r="129">
      <c r="B129" s="49" t="n"/>
      <c r="C129" s="49" t="n"/>
      <c r="D129" s="49" t="n"/>
      <c r="F129" s="49" t="n"/>
    </row>
    <row r="130">
      <c r="B130" s="49" t="n"/>
      <c r="C130" s="49" t="n"/>
      <c r="D130" s="49" t="n"/>
      <c r="F130" s="49" t="n"/>
    </row>
    <row r="131">
      <c r="B131" s="49" t="n"/>
      <c r="C131" s="49" t="n"/>
      <c r="D131" s="49" t="n"/>
      <c r="F131" s="49" t="n"/>
    </row>
    <row r="132">
      <c r="B132" s="49" t="n"/>
      <c r="C132" s="49" t="n"/>
      <c r="D132" s="49" t="n"/>
      <c r="F132" s="49" t="n"/>
    </row>
    <row r="133">
      <c r="B133" s="49" t="n"/>
      <c r="C133" s="49" t="n"/>
      <c r="D133" s="49" t="n"/>
      <c r="F133" s="49" t="n"/>
    </row>
    <row r="134">
      <c r="B134" s="49" t="n"/>
      <c r="C134" s="49" t="n"/>
      <c r="D134" s="49" t="n"/>
      <c r="F134" s="49" t="n"/>
    </row>
    <row r="135">
      <c r="B135" s="49" t="n"/>
      <c r="C135" s="49" t="n"/>
      <c r="D135" s="49" t="n"/>
      <c r="F135" s="49" t="n"/>
    </row>
    <row r="136">
      <c r="B136" s="49" t="n"/>
      <c r="C136" s="49" t="n"/>
      <c r="D136" s="49" t="n"/>
      <c r="F136" s="49" t="n"/>
    </row>
    <row r="137">
      <c r="B137" s="49" t="n"/>
      <c r="C137" s="49" t="n"/>
      <c r="D137" s="49" t="n"/>
      <c r="F137" s="49" t="n"/>
    </row>
    <row r="138">
      <c r="B138" s="49" t="n"/>
      <c r="C138" s="49" t="n"/>
      <c r="D138" s="49" t="n"/>
      <c r="F138" s="49" t="n"/>
    </row>
    <row r="139">
      <c r="B139" s="49" t="n"/>
      <c r="C139" s="49" t="n"/>
      <c r="D139" s="49" t="n"/>
      <c r="F139" s="49" t="n"/>
    </row>
    <row r="140">
      <c r="B140" s="49" t="n"/>
      <c r="C140" s="49" t="n"/>
      <c r="D140" s="49" t="n"/>
      <c r="F140" s="49" t="n"/>
    </row>
    <row r="141">
      <c r="B141" s="49" t="n"/>
      <c r="C141" s="49" t="n"/>
      <c r="D141" s="49" t="n"/>
      <c r="F141" s="49" t="n"/>
    </row>
    <row r="142">
      <c r="B142" s="49" t="n"/>
      <c r="C142" s="49" t="n"/>
      <c r="D142" s="49" t="n"/>
      <c r="F142" s="49" t="n"/>
    </row>
    <row r="143">
      <c r="B143" s="49" t="n"/>
      <c r="C143" s="49" t="n"/>
      <c r="D143" s="49" t="n"/>
      <c r="F143" s="49" t="n"/>
    </row>
    <row r="144">
      <c r="B144" s="49" t="n"/>
      <c r="C144" s="49" t="n"/>
      <c r="D144" s="49" t="n"/>
      <c r="F144" s="49" t="n"/>
    </row>
    <row r="145">
      <c r="B145" s="49" t="n"/>
      <c r="C145" s="49" t="n"/>
      <c r="D145" s="49" t="n"/>
      <c r="F145" s="49" t="n"/>
    </row>
    <row r="146">
      <c r="B146" s="49" t="n"/>
      <c r="C146" s="49" t="n"/>
      <c r="D146" s="49" t="n"/>
      <c r="F146" s="49" t="n"/>
    </row>
    <row r="147">
      <c r="B147" s="49" t="n"/>
      <c r="C147" s="49" t="n"/>
      <c r="D147" s="49" t="n"/>
      <c r="F147" s="49" t="n"/>
    </row>
    <row r="148">
      <c r="B148" s="49" t="n"/>
      <c r="C148" s="49" t="n"/>
      <c r="D148" s="49" t="n"/>
      <c r="F148" s="49" t="n"/>
    </row>
    <row r="149">
      <c r="B149" s="49" t="n"/>
      <c r="C149" s="49" t="n"/>
      <c r="D149" s="49" t="n"/>
      <c r="F149" s="49" t="n"/>
    </row>
    <row r="150">
      <c r="B150" s="49" t="n"/>
      <c r="C150" s="49" t="n"/>
      <c r="D150" s="49" t="n"/>
      <c r="F150" s="49" t="n"/>
    </row>
    <row r="151">
      <c r="B151" s="49" t="n"/>
      <c r="C151" s="49" t="n"/>
      <c r="D151" s="49" t="n"/>
      <c r="F151" s="49" t="n"/>
    </row>
    <row r="152">
      <c r="B152" s="49" t="n"/>
      <c r="C152" s="49" t="n"/>
      <c r="D152" s="49" t="n"/>
      <c r="F152" s="49" t="n"/>
    </row>
    <row r="153">
      <c r="B153" s="49" t="n"/>
      <c r="C153" s="49" t="n"/>
      <c r="D153" s="49" t="n"/>
      <c r="F153" s="49" t="n"/>
    </row>
    <row r="154">
      <c r="B154" s="49" t="n"/>
      <c r="C154" s="49" t="n"/>
      <c r="D154" s="49" t="n"/>
      <c r="F154" s="49" t="n"/>
    </row>
    <row r="155">
      <c r="B155" s="49" t="n"/>
      <c r="C155" s="49" t="n"/>
      <c r="D155" s="49" t="n"/>
      <c r="F155" s="49" t="n"/>
    </row>
    <row r="156">
      <c r="B156" s="49" t="n"/>
      <c r="C156" s="49" t="n"/>
      <c r="D156" s="49" t="n"/>
      <c r="F156" s="49" t="n"/>
    </row>
    <row r="157">
      <c r="B157" s="49" t="n"/>
      <c r="C157" s="49" t="n"/>
      <c r="D157" s="49" t="n"/>
      <c r="F157" s="49" t="n"/>
    </row>
    <row r="158">
      <c r="B158" s="49" t="n"/>
      <c r="C158" s="49" t="n"/>
      <c r="D158" s="49" t="n"/>
      <c r="F158" s="49" t="n"/>
    </row>
    <row r="159">
      <c r="B159" s="49" t="n"/>
      <c r="C159" s="49" t="n"/>
      <c r="D159" s="49" t="n"/>
      <c r="F159" s="49" t="n"/>
    </row>
    <row r="160">
      <c r="B160" s="49" t="n"/>
      <c r="C160" s="49" t="n"/>
      <c r="D160" s="49" t="n"/>
      <c r="F160" s="49" t="n"/>
    </row>
    <row r="161">
      <c r="B161" s="49" t="n"/>
      <c r="C161" s="49" t="n"/>
      <c r="D161" s="49" t="n"/>
      <c r="F161" s="49" t="n"/>
    </row>
    <row r="162">
      <c r="B162" s="49" t="n"/>
      <c r="C162" s="49" t="n"/>
      <c r="D162" s="49" t="n"/>
      <c r="F162" s="49" t="n"/>
    </row>
    <row r="163">
      <c r="B163" s="49" t="n"/>
      <c r="C163" s="49" t="n"/>
      <c r="D163" s="49" t="n"/>
      <c r="F163" s="49" t="n"/>
    </row>
    <row r="164">
      <c r="B164" s="49" t="n"/>
      <c r="C164" s="49" t="n"/>
      <c r="D164" s="49" t="n"/>
      <c r="F164" s="49" t="n"/>
    </row>
    <row r="165">
      <c r="B165" s="49" t="n"/>
      <c r="C165" s="49" t="n"/>
      <c r="D165" s="49" t="n"/>
      <c r="F165" s="49" t="n"/>
    </row>
    <row r="166">
      <c r="B166" s="49" t="n"/>
      <c r="C166" s="49" t="n"/>
      <c r="D166" s="49" t="n"/>
      <c r="F166" s="49" t="n"/>
    </row>
    <row r="167">
      <c r="B167" s="49" t="n"/>
      <c r="C167" s="49" t="n"/>
      <c r="D167" s="49" t="n"/>
      <c r="F167" s="49" t="n"/>
    </row>
    <row r="168">
      <c r="B168" s="49" t="n"/>
      <c r="C168" s="49" t="n"/>
      <c r="D168" s="49" t="n"/>
      <c r="F168" s="49" t="n"/>
    </row>
    <row r="169">
      <c r="B169" s="49" t="n"/>
      <c r="C169" s="49" t="n"/>
      <c r="D169" s="49" t="n"/>
      <c r="F169" s="49" t="n"/>
    </row>
    <row r="170">
      <c r="B170" s="49" t="n"/>
      <c r="C170" s="49" t="n"/>
      <c r="D170" s="49" t="n"/>
      <c r="F170" s="49" t="n"/>
    </row>
    <row r="171">
      <c r="B171" s="49" t="n"/>
      <c r="C171" s="49" t="n"/>
      <c r="D171" s="49" t="n"/>
      <c r="F171" s="49" t="n"/>
    </row>
    <row r="172">
      <c r="B172" s="49" t="n"/>
      <c r="C172" s="49" t="n"/>
      <c r="D172" s="49" t="n"/>
      <c r="F172" s="49" t="n"/>
    </row>
    <row r="173">
      <c r="B173" s="49" t="n"/>
      <c r="C173" s="49" t="n"/>
      <c r="D173" s="49" t="n"/>
      <c r="F173" s="49" t="n"/>
    </row>
    <row r="174">
      <c r="B174" s="49" t="n"/>
      <c r="C174" s="49" t="n"/>
      <c r="D174" s="49" t="n"/>
      <c r="F174" s="49" t="n"/>
    </row>
    <row r="175">
      <c r="B175" s="49" t="n"/>
      <c r="C175" s="49" t="n"/>
      <c r="D175" s="49" t="n"/>
      <c r="F175" s="49" t="n"/>
    </row>
    <row r="176">
      <c r="B176" s="49" t="n"/>
      <c r="C176" s="49" t="n"/>
      <c r="D176" s="49" t="n"/>
      <c r="F176" s="49" t="n"/>
    </row>
    <row r="177">
      <c r="B177" s="49" t="n"/>
      <c r="C177" s="49" t="n"/>
      <c r="D177" s="49" t="n"/>
      <c r="F177" s="49" t="n"/>
    </row>
    <row r="178">
      <c r="B178" s="49" t="n"/>
      <c r="C178" s="49" t="n"/>
      <c r="D178" s="49" t="n"/>
      <c r="F178" s="49" t="n"/>
    </row>
    <row r="179">
      <c r="B179" s="49" t="n"/>
      <c r="C179" s="49" t="n"/>
      <c r="D179" s="49" t="n"/>
      <c r="F179" s="49" t="n"/>
    </row>
    <row r="180">
      <c r="B180" s="49" t="n"/>
      <c r="C180" s="49" t="n"/>
      <c r="D180" s="49" t="n"/>
      <c r="F180" s="49" t="n"/>
    </row>
    <row r="181">
      <c r="B181" s="49" t="n"/>
      <c r="C181" s="49" t="n"/>
      <c r="D181" s="49" t="n"/>
      <c r="F181" s="49" t="n"/>
    </row>
    <row r="182">
      <c r="B182" s="49" t="n"/>
      <c r="C182" s="49" t="n"/>
      <c r="D182" s="49" t="n"/>
      <c r="F182" s="49" t="n"/>
    </row>
    <row r="183">
      <c r="B183" s="49" t="n"/>
      <c r="C183" s="49" t="n"/>
      <c r="D183" s="49" t="n"/>
      <c r="F183" s="49" t="n"/>
    </row>
    <row r="184">
      <c r="B184" s="49" t="n"/>
      <c r="C184" s="49" t="n"/>
      <c r="D184" s="49" t="n"/>
      <c r="F184" s="49" t="n"/>
    </row>
    <row r="185">
      <c r="B185" s="49" t="n"/>
      <c r="C185" s="49" t="n"/>
      <c r="D185" s="49" t="n"/>
      <c r="F185" s="49" t="n"/>
    </row>
    <row r="186">
      <c r="B186" s="49" t="n"/>
      <c r="C186" s="49" t="n"/>
      <c r="D186" s="49" t="n"/>
      <c r="F186" s="49" t="n"/>
    </row>
    <row r="187">
      <c r="B187" s="49" t="n"/>
      <c r="C187" s="49" t="n"/>
      <c r="D187" s="49" t="n"/>
      <c r="F187" s="49" t="n"/>
    </row>
    <row r="188">
      <c r="B188" s="49" t="n"/>
      <c r="C188" s="49" t="n"/>
      <c r="D188" s="49" t="n"/>
      <c r="F188" s="49" t="n"/>
    </row>
    <row r="189">
      <c r="B189" s="49" t="n"/>
      <c r="C189" s="49" t="n"/>
      <c r="D189" s="49" t="n"/>
      <c r="F189" s="49" t="n"/>
    </row>
    <row r="190">
      <c r="B190" s="49" t="n"/>
      <c r="C190" s="49" t="n"/>
      <c r="D190" s="49" t="n"/>
      <c r="F190" s="49" t="n"/>
    </row>
    <row r="191">
      <c r="B191" s="49" t="n"/>
      <c r="C191" s="49" t="n"/>
      <c r="D191" s="49" t="n"/>
      <c r="F191" s="49" t="n"/>
    </row>
    <row r="192">
      <c r="B192" s="49" t="n"/>
      <c r="C192" s="49" t="n"/>
      <c r="D192" s="49" t="n"/>
      <c r="F192" s="49" t="n"/>
    </row>
    <row r="193">
      <c r="B193" s="49" t="n"/>
      <c r="C193" s="49" t="n"/>
      <c r="D193" s="49" t="n"/>
      <c r="F193" s="49" t="n"/>
    </row>
    <row r="194">
      <c r="B194" s="49" t="n"/>
      <c r="C194" s="49" t="n"/>
      <c r="D194" s="49" t="n"/>
      <c r="F194" s="49" t="n"/>
    </row>
    <row r="195">
      <c r="B195" s="49" t="n"/>
      <c r="C195" s="49" t="n"/>
      <c r="D195" s="49" t="n"/>
      <c r="F195" s="49" t="n"/>
    </row>
    <row r="196">
      <c r="B196" s="49" t="n"/>
      <c r="C196" s="49" t="n"/>
      <c r="D196" s="49" t="n"/>
      <c r="F196" s="49" t="n"/>
    </row>
    <row r="197">
      <c r="B197" s="49" t="n"/>
      <c r="C197" s="49" t="n"/>
      <c r="D197" s="49" t="n"/>
      <c r="F197" s="49" t="n"/>
    </row>
    <row r="198">
      <c r="B198" s="49" t="n"/>
      <c r="C198" s="49" t="n"/>
      <c r="D198" s="49" t="n"/>
      <c r="F198" s="49" t="n"/>
    </row>
    <row r="199">
      <c r="B199" s="49" t="n"/>
      <c r="C199" s="49" t="n"/>
      <c r="D199" s="49" t="n"/>
      <c r="F199" s="49" t="n"/>
    </row>
    <row r="200">
      <c r="B200" s="49" t="n"/>
      <c r="C200" s="49" t="n"/>
      <c r="D200" s="49" t="n"/>
      <c r="F200" s="49" t="n"/>
    </row>
    <row r="201">
      <c r="B201" s="49" t="n"/>
      <c r="C201" s="49" t="n"/>
      <c r="D201" s="49" t="n"/>
      <c r="F201" s="49" t="n"/>
    </row>
    <row r="202">
      <c r="B202" s="49" t="n"/>
      <c r="C202" s="49" t="n"/>
      <c r="D202" s="49" t="n"/>
      <c r="F202" s="49" t="n"/>
    </row>
    <row r="203">
      <c r="B203" s="49" t="n"/>
      <c r="C203" s="49" t="n"/>
      <c r="D203" s="49" t="n"/>
      <c r="F203" s="49" t="n"/>
    </row>
    <row r="204">
      <c r="B204" s="49" t="n"/>
      <c r="C204" s="49" t="n"/>
      <c r="D204" s="49" t="n"/>
      <c r="F204" s="49" t="n"/>
    </row>
    <row r="205">
      <c r="B205" s="49" t="n"/>
      <c r="C205" s="49" t="n"/>
      <c r="D205" s="49" t="n"/>
      <c r="F205" s="49" t="n"/>
    </row>
    <row r="206">
      <c r="B206" s="49" t="n"/>
      <c r="C206" s="49" t="n"/>
      <c r="D206" s="49" t="n"/>
      <c r="F206" s="49" t="n"/>
    </row>
    <row r="207">
      <c r="B207" s="49" t="n"/>
      <c r="C207" s="49" t="n"/>
      <c r="D207" s="49" t="n"/>
      <c r="F207" s="49" t="n"/>
    </row>
    <row r="208">
      <c r="B208" s="49" t="n"/>
      <c r="C208" s="49" t="n"/>
      <c r="D208" s="49" t="n"/>
      <c r="F208" s="49" t="n"/>
    </row>
    <row r="209">
      <c r="B209" s="49" t="n"/>
      <c r="C209" s="49" t="n"/>
      <c r="D209" s="49" t="n"/>
      <c r="F209" s="49" t="n"/>
    </row>
    <row r="210">
      <c r="B210" s="49" t="n"/>
      <c r="C210" s="49" t="n"/>
      <c r="D210" s="49" t="n"/>
      <c r="F210" s="49" t="n"/>
    </row>
    <row r="211">
      <c r="B211" s="49" t="n"/>
      <c r="C211" s="49" t="n"/>
      <c r="D211" s="49" t="n"/>
      <c r="F211" s="49" t="n"/>
    </row>
    <row r="212">
      <c r="B212" s="49" t="n"/>
      <c r="C212" s="49" t="n"/>
      <c r="D212" s="49" t="n"/>
      <c r="F212" s="49" t="n"/>
    </row>
    <row r="213">
      <c r="B213" s="49" t="n"/>
      <c r="C213" s="49" t="n"/>
      <c r="D213" s="49" t="n"/>
      <c r="F213" s="49" t="n"/>
    </row>
    <row r="214">
      <c r="B214" s="49" t="n"/>
      <c r="C214" s="49" t="n"/>
      <c r="D214" s="49" t="n"/>
      <c r="F214" s="49" t="n"/>
    </row>
    <row r="215">
      <c r="B215" s="49" t="n"/>
      <c r="C215" s="49" t="n"/>
      <c r="D215" s="49" t="n"/>
      <c r="F215" s="49" t="n"/>
    </row>
    <row r="216">
      <c r="B216" s="49" t="n"/>
      <c r="C216" s="49" t="n"/>
      <c r="D216" s="49" t="n"/>
      <c r="F216" s="49" t="n"/>
    </row>
    <row r="217">
      <c r="B217" s="49" t="n"/>
      <c r="C217" s="49" t="n"/>
      <c r="D217" s="49" t="n"/>
      <c r="F217" s="49" t="n"/>
    </row>
    <row r="218">
      <c r="B218" s="49" t="n"/>
      <c r="C218" s="49" t="n"/>
      <c r="D218" s="49" t="n"/>
      <c r="F218" s="49" t="n"/>
    </row>
    <row r="219">
      <c r="B219" s="49" t="n"/>
      <c r="C219" s="49" t="n"/>
      <c r="D219" s="49" t="n"/>
      <c r="F219" s="49" t="n"/>
    </row>
    <row r="220">
      <c r="B220" s="49" t="n"/>
      <c r="C220" s="49" t="n"/>
      <c r="D220" s="49" t="n"/>
      <c r="F220" s="49" t="n"/>
    </row>
    <row r="221">
      <c r="B221" s="49" t="n"/>
      <c r="C221" s="49" t="n"/>
      <c r="D221" s="49" t="n"/>
      <c r="F221" s="49" t="n"/>
    </row>
    <row r="222">
      <c r="B222" s="49" t="n"/>
      <c r="C222" s="49" t="n"/>
      <c r="D222" s="49" t="n"/>
      <c r="F222" s="49" t="n"/>
    </row>
    <row r="223">
      <c r="B223" s="49" t="n"/>
      <c r="C223" s="49" t="n"/>
      <c r="D223" s="49" t="n"/>
      <c r="F223" s="49" t="n"/>
    </row>
    <row r="224">
      <c r="B224" s="49" t="n"/>
      <c r="C224" s="49" t="n"/>
      <c r="D224" s="49" t="n"/>
      <c r="F224" s="49" t="n"/>
    </row>
    <row r="225">
      <c r="B225" s="49" t="n"/>
      <c r="C225" s="49" t="n"/>
      <c r="D225" s="49" t="n"/>
      <c r="F225" s="49" t="n"/>
    </row>
    <row r="226">
      <c r="B226" s="49" t="n"/>
      <c r="C226" s="49" t="n"/>
      <c r="D226" s="49" t="n"/>
      <c r="F226" s="49" t="n"/>
    </row>
    <row r="227">
      <c r="B227" s="49" t="n"/>
      <c r="C227" s="49" t="n"/>
      <c r="D227" s="49" t="n"/>
      <c r="F227" s="49" t="n"/>
    </row>
    <row r="228">
      <c r="B228" s="49" t="n"/>
      <c r="C228" s="49" t="n"/>
      <c r="D228" s="49" t="n"/>
      <c r="F228" s="49" t="n"/>
    </row>
    <row r="229">
      <c r="B229" s="49" t="n"/>
      <c r="C229" s="49" t="n"/>
      <c r="D229" s="49" t="n"/>
      <c r="F229" s="49" t="n"/>
    </row>
    <row r="230">
      <c r="B230" s="49" t="n"/>
      <c r="C230" s="49" t="n"/>
      <c r="D230" s="49" t="n"/>
      <c r="F230" s="49" t="n"/>
    </row>
    <row r="231">
      <c r="B231" s="49" t="n"/>
      <c r="C231" s="49" t="n"/>
      <c r="D231" s="49" t="n"/>
      <c r="F231" s="49" t="n"/>
    </row>
    <row r="232">
      <c r="B232" s="49" t="n"/>
      <c r="C232" s="49" t="n"/>
      <c r="D232" s="49" t="n"/>
      <c r="F232" s="49" t="n"/>
    </row>
    <row r="233">
      <c r="B233" s="49" t="n"/>
      <c r="C233" s="49" t="n"/>
      <c r="D233" s="49" t="n"/>
      <c r="F233" s="49" t="n"/>
    </row>
    <row r="234">
      <c r="B234" s="49" t="n"/>
      <c r="C234" s="49" t="n"/>
      <c r="D234" s="49" t="n"/>
      <c r="F234" s="49" t="n"/>
    </row>
    <row r="235">
      <c r="B235" s="49" t="n"/>
      <c r="C235" s="49" t="n"/>
      <c r="D235" s="49" t="n"/>
      <c r="F235" s="49" t="n"/>
    </row>
    <row r="236">
      <c r="B236" s="49" t="n"/>
      <c r="C236" s="49" t="n"/>
      <c r="D236" s="49" t="n"/>
      <c r="F236" s="49" t="n"/>
    </row>
    <row r="237">
      <c r="B237" s="49" t="n"/>
      <c r="C237" s="49" t="n"/>
      <c r="D237" s="49" t="n"/>
      <c r="F237" s="49" t="n"/>
    </row>
    <row r="238">
      <c r="B238" s="49" t="n"/>
      <c r="C238" s="49" t="n"/>
      <c r="D238" s="49" t="n"/>
      <c r="F238" s="49" t="n"/>
    </row>
    <row r="239">
      <c r="B239" s="49" t="n"/>
      <c r="C239" s="49" t="n"/>
      <c r="D239" s="49" t="n"/>
      <c r="F239" s="49" t="n"/>
    </row>
    <row r="240">
      <c r="B240" s="49" t="n"/>
      <c r="C240" s="49" t="n"/>
      <c r="D240" s="49" t="n"/>
      <c r="F240" s="49" t="n"/>
    </row>
    <row r="241">
      <c r="B241" s="49" t="n"/>
      <c r="C241" s="49" t="n"/>
      <c r="D241" s="49" t="n"/>
      <c r="F241" s="49" t="n"/>
    </row>
    <row r="242">
      <c r="B242" s="49" t="n"/>
      <c r="C242" s="49" t="n"/>
      <c r="D242" s="49" t="n"/>
      <c r="F242" s="49" t="n"/>
    </row>
    <row r="243">
      <c r="B243" s="49" t="n"/>
      <c r="C243" s="49" t="n"/>
      <c r="D243" s="49" t="n"/>
      <c r="F243" s="49" t="n"/>
    </row>
    <row r="244">
      <c r="B244" s="49" t="n"/>
      <c r="C244" s="49" t="n"/>
      <c r="D244" s="49" t="n"/>
      <c r="F244" s="49" t="n"/>
    </row>
    <row r="245">
      <c r="B245" s="49" t="n"/>
      <c r="C245" s="49" t="n"/>
      <c r="D245" s="49" t="n"/>
      <c r="F245" s="49" t="n"/>
    </row>
    <row r="246">
      <c r="B246" s="49" t="n"/>
      <c r="C246" s="49" t="n"/>
      <c r="D246" s="49" t="n"/>
      <c r="F246" s="49" t="n"/>
    </row>
    <row r="247">
      <c r="B247" s="49" t="n"/>
      <c r="C247" s="49" t="n"/>
      <c r="D247" s="49" t="n"/>
      <c r="F247" s="49" t="n"/>
    </row>
    <row r="248">
      <c r="B248" s="49" t="n"/>
      <c r="C248" s="49" t="n"/>
      <c r="D248" s="49" t="n"/>
      <c r="F248" s="49" t="n"/>
    </row>
    <row r="249">
      <c r="B249" s="49" t="n"/>
      <c r="C249" s="49" t="n"/>
      <c r="D249" s="49" t="n"/>
      <c r="F249" s="49" t="n"/>
    </row>
    <row r="250">
      <c r="B250" s="49" t="n"/>
      <c r="C250" s="49" t="n"/>
      <c r="D250" s="49" t="n"/>
      <c r="F250" s="49" t="n"/>
    </row>
    <row r="251">
      <c r="B251" s="49" t="n"/>
      <c r="C251" s="49" t="n"/>
      <c r="D251" s="49" t="n"/>
      <c r="F251" s="49" t="n"/>
    </row>
    <row r="252">
      <c r="B252" s="49" t="n"/>
      <c r="C252" s="49" t="n"/>
      <c r="D252" s="49" t="n"/>
      <c r="F252" s="49" t="n"/>
    </row>
    <row r="253">
      <c r="B253" s="49" t="n"/>
      <c r="C253" s="49" t="n"/>
      <c r="D253" s="49" t="n"/>
      <c r="F253" s="49" t="n"/>
    </row>
    <row r="254">
      <c r="B254" s="49" t="n"/>
      <c r="C254" s="49" t="n"/>
      <c r="D254" s="49" t="n"/>
      <c r="F254" s="49" t="n"/>
    </row>
    <row r="255">
      <c r="B255" s="49" t="n"/>
      <c r="C255" s="49" t="n"/>
      <c r="D255" s="49" t="n"/>
      <c r="F255" s="49" t="n"/>
    </row>
    <row r="256">
      <c r="B256" s="49" t="n"/>
      <c r="C256" s="49" t="n"/>
      <c r="D256" s="49" t="n"/>
      <c r="F256" s="49" t="n"/>
    </row>
    <row r="257">
      <c r="B257" s="49" t="n"/>
      <c r="C257" s="49" t="n"/>
      <c r="D257" s="49" t="n"/>
      <c r="F257" s="49" t="n"/>
    </row>
    <row r="258">
      <c r="B258" s="49" t="n"/>
      <c r="C258" s="49" t="n"/>
      <c r="D258" s="49" t="n"/>
      <c r="F258" s="49" t="n"/>
    </row>
    <row r="259">
      <c r="B259" s="49" t="n"/>
      <c r="C259" s="49" t="n"/>
      <c r="D259" s="49" t="n"/>
      <c r="F259" s="49" t="n"/>
    </row>
    <row r="260">
      <c r="B260" s="49" t="n"/>
      <c r="C260" s="49" t="n"/>
      <c r="D260" s="49" t="n"/>
      <c r="F260" s="49" t="n"/>
    </row>
    <row r="261">
      <c r="B261" s="49" t="n"/>
      <c r="C261" s="49" t="n"/>
      <c r="D261" s="49" t="n"/>
      <c r="F261" s="49" t="n"/>
    </row>
    <row r="262">
      <c r="B262" s="49" t="n"/>
      <c r="C262" s="49" t="n"/>
      <c r="D262" s="49" t="n"/>
      <c r="F262" s="49" t="n"/>
    </row>
    <row r="263">
      <c r="B263" s="49" t="n"/>
      <c r="C263" s="49" t="n"/>
      <c r="D263" s="49" t="n"/>
      <c r="F263" s="49" t="n"/>
    </row>
    <row r="264">
      <c r="B264" s="49" t="n"/>
      <c r="C264" s="49" t="n"/>
      <c r="D264" s="49" t="n"/>
      <c r="F264" s="49" t="n"/>
    </row>
    <row r="265">
      <c r="B265" s="49" t="n"/>
      <c r="C265" s="49" t="n"/>
      <c r="D265" s="49" t="n"/>
      <c r="F265" s="49" t="n"/>
    </row>
    <row r="266">
      <c r="B266" s="49" t="n"/>
      <c r="C266" s="49" t="n"/>
      <c r="D266" s="49" t="n"/>
      <c r="F266" s="49" t="n"/>
    </row>
    <row r="267">
      <c r="B267" s="49" t="n"/>
      <c r="C267" s="49" t="n"/>
      <c r="D267" s="49" t="n"/>
      <c r="F267" s="49" t="n"/>
    </row>
    <row r="268">
      <c r="B268" s="49" t="n"/>
      <c r="C268" s="49" t="n"/>
      <c r="D268" s="49" t="n"/>
      <c r="F268" s="49" t="n"/>
    </row>
    <row r="269">
      <c r="B269" s="49" t="n"/>
      <c r="C269" s="49" t="n"/>
      <c r="D269" s="49" t="n"/>
      <c r="F269" s="49" t="n"/>
    </row>
    <row r="270">
      <c r="B270" s="49" t="n"/>
      <c r="C270" s="49" t="n"/>
      <c r="D270" s="49" t="n"/>
      <c r="F270" s="49" t="n"/>
    </row>
    <row r="271">
      <c r="B271" s="49" t="n"/>
      <c r="C271" s="49" t="n"/>
      <c r="D271" s="49" t="n"/>
      <c r="F271" s="49" t="n"/>
    </row>
    <row r="272">
      <c r="B272" s="49" t="n"/>
      <c r="C272" s="49" t="n"/>
      <c r="D272" s="49" t="n"/>
      <c r="F272" s="49" t="n"/>
    </row>
    <row r="273">
      <c r="B273" s="49" t="n"/>
      <c r="C273" s="49" t="n"/>
      <c r="D273" s="49" t="n"/>
      <c r="F273" s="49" t="n"/>
    </row>
    <row r="274">
      <c r="B274" s="49" t="n"/>
      <c r="C274" s="49" t="n"/>
      <c r="D274" s="49" t="n"/>
      <c r="F274" s="49" t="n"/>
    </row>
    <row r="275">
      <c r="B275" s="49" t="n"/>
      <c r="C275" s="49" t="n"/>
      <c r="D275" s="49" t="n"/>
      <c r="F275" s="49" t="n"/>
    </row>
    <row r="276">
      <c r="B276" s="49" t="n"/>
      <c r="C276" s="49" t="n"/>
      <c r="D276" s="49" t="n"/>
      <c r="F276" s="49" t="n"/>
    </row>
    <row r="277">
      <c r="B277" s="49" t="n"/>
      <c r="C277" s="49" t="n"/>
      <c r="D277" s="49" t="n"/>
      <c r="F277" s="49" t="n"/>
    </row>
    <row r="278">
      <c r="B278" s="49" t="n"/>
      <c r="C278" s="49" t="n"/>
      <c r="D278" s="49" t="n"/>
      <c r="F278" s="49" t="n"/>
    </row>
    <row r="279">
      <c r="B279" s="49" t="n"/>
      <c r="C279" s="49" t="n"/>
      <c r="D279" s="49" t="n"/>
      <c r="F279" s="49" t="n"/>
    </row>
    <row r="280">
      <c r="B280" s="49" t="n"/>
      <c r="C280" s="49" t="n"/>
      <c r="D280" s="49" t="n"/>
      <c r="F280" s="49" t="n"/>
    </row>
    <row r="281">
      <c r="B281" s="49" t="n"/>
      <c r="C281" s="49" t="n"/>
      <c r="D281" s="49" t="n"/>
      <c r="F281" s="49" t="n"/>
    </row>
    <row r="282">
      <c r="B282" s="49" t="n"/>
      <c r="C282" s="49" t="n"/>
      <c r="D282" s="49" t="n"/>
      <c r="F282" s="49" t="n"/>
    </row>
    <row r="283">
      <c r="B283" s="49" t="n"/>
      <c r="C283" s="49" t="n"/>
      <c r="D283" s="49" t="n"/>
      <c r="F283" s="49" t="n"/>
    </row>
    <row r="284">
      <c r="B284" s="49" t="n"/>
      <c r="C284" s="49" t="n"/>
      <c r="D284" s="49" t="n"/>
      <c r="F284" s="49" t="n"/>
    </row>
    <row r="285">
      <c r="B285" s="49" t="n"/>
      <c r="C285" s="49" t="n"/>
      <c r="D285" s="49" t="n"/>
      <c r="F285" s="49" t="n"/>
    </row>
    <row r="286">
      <c r="B286" s="49" t="n"/>
      <c r="C286" s="49" t="n"/>
      <c r="D286" s="49" t="n"/>
      <c r="F286" s="49" t="n"/>
    </row>
    <row r="287">
      <c r="B287" s="49" t="n"/>
      <c r="C287" s="49" t="n"/>
      <c r="D287" s="49" t="n"/>
      <c r="F287" s="49" t="n"/>
    </row>
    <row r="288">
      <c r="B288" s="49" t="n"/>
      <c r="C288" s="49" t="n"/>
      <c r="D288" s="49" t="n"/>
      <c r="F288" s="49" t="n"/>
    </row>
    <row r="289">
      <c r="B289" s="49" t="n"/>
      <c r="C289" s="49" t="n"/>
      <c r="D289" s="49" t="n"/>
      <c r="F289" s="49" t="n"/>
    </row>
    <row r="290">
      <c r="B290" s="49" t="n"/>
      <c r="C290" s="49" t="n"/>
      <c r="D290" s="49" t="n"/>
      <c r="F290" s="49" t="n"/>
    </row>
    <row r="291">
      <c r="B291" s="49" t="n"/>
      <c r="C291" s="49" t="n"/>
      <c r="D291" s="49" t="n"/>
      <c r="F291" s="49" t="n"/>
    </row>
    <row r="292">
      <c r="B292" s="49" t="n"/>
      <c r="C292" s="49" t="n"/>
      <c r="D292" s="49" t="n"/>
      <c r="F292" s="49" t="n"/>
    </row>
    <row r="293">
      <c r="B293" s="49" t="n"/>
      <c r="C293" s="49" t="n"/>
      <c r="D293" s="49" t="n"/>
      <c r="F293" s="49" t="n"/>
    </row>
    <row r="294">
      <c r="B294" s="49" t="n"/>
      <c r="C294" s="49" t="n"/>
      <c r="D294" s="49" t="n"/>
      <c r="F294" s="49" t="n"/>
    </row>
    <row r="295">
      <c r="B295" s="49" t="n"/>
      <c r="C295" s="49" t="n"/>
      <c r="D295" s="49" t="n"/>
      <c r="F295" s="49" t="n"/>
    </row>
    <row r="296">
      <c r="B296" s="49" t="n"/>
      <c r="C296" s="49" t="n"/>
      <c r="D296" s="49" t="n"/>
      <c r="F296" s="49" t="n"/>
    </row>
    <row r="297">
      <c r="B297" s="49" t="n"/>
      <c r="C297" s="49" t="n"/>
      <c r="D297" s="49" t="n"/>
      <c r="F297" s="49" t="n"/>
    </row>
    <row r="298">
      <c r="B298" s="49" t="n"/>
      <c r="C298" s="49" t="n"/>
      <c r="D298" s="49" t="n"/>
      <c r="F298" s="49" t="n"/>
    </row>
    <row r="299">
      <c r="B299" s="49" t="n"/>
      <c r="C299" s="49" t="n"/>
      <c r="D299" s="49" t="n"/>
      <c r="F299" s="49" t="n"/>
    </row>
    <row r="300">
      <c r="B300" s="49" t="n"/>
      <c r="C300" s="49" t="n"/>
      <c r="D300" s="49" t="n"/>
      <c r="F300" s="49" t="n"/>
    </row>
    <row r="301">
      <c r="B301" s="49" t="n"/>
      <c r="C301" s="49" t="n"/>
      <c r="D301" s="49" t="n"/>
      <c r="F301" s="49" t="n"/>
    </row>
    <row r="302">
      <c r="B302" s="49" t="n"/>
      <c r="C302" s="49" t="n"/>
      <c r="D302" s="49" t="n"/>
      <c r="F302" s="49" t="n"/>
    </row>
    <row r="303">
      <c r="B303" s="49" t="n"/>
      <c r="C303" s="49" t="n"/>
      <c r="D303" s="49" t="n"/>
      <c r="F303" s="49" t="n"/>
    </row>
    <row r="304">
      <c r="B304" s="49" t="n"/>
      <c r="C304" s="49" t="n"/>
      <c r="D304" s="49" t="n"/>
      <c r="F304" s="49" t="n"/>
    </row>
    <row r="305">
      <c r="B305" s="49" t="n"/>
      <c r="C305" s="49" t="n"/>
      <c r="D305" s="49" t="n"/>
      <c r="F305" s="49" t="n"/>
    </row>
    <row r="306">
      <c r="B306" s="49" t="n"/>
      <c r="C306" s="49" t="n"/>
      <c r="D306" s="49" t="n"/>
      <c r="F306" s="49" t="n"/>
    </row>
    <row r="307">
      <c r="B307" s="49" t="n"/>
      <c r="C307" s="49" t="n"/>
      <c r="D307" s="49" t="n"/>
      <c r="F307" s="49" t="n"/>
    </row>
    <row r="308">
      <c r="B308" s="49" t="n"/>
      <c r="C308" s="49" t="n"/>
      <c r="D308" s="49" t="n"/>
      <c r="F308" s="49" t="n"/>
    </row>
    <row r="309">
      <c r="B309" s="49" t="n"/>
      <c r="C309" s="49" t="n"/>
      <c r="D309" s="49" t="n"/>
      <c r="F309" s="49" t="n"/>
    </row>
    <row r="310">
      <c r="B310" s="49" t="n"/>
      <c r="C310" s="49" t="n"/>
      <c r="D310" s="49" t="n"/>
      <c r="F310" s="49" t="n"/>
    </row>
    <row r="311">
      <c r="B311" s="49" t="n"/>
      <c r="C311" s="49" t="n"/>
      <c r="D311" s="49" t="n"/>
      <c r="F311" s="49" t="n"/>
    </row>
    <row r="312">
      <c r="B312" s="49" t="n"/>
      <c r="C312" s="49" t="n"/>
      <c r="D312" s="49" t="n"/>
      <c r="F312" s="49" t="n"/>
    </row>
    <row r="313">
      <c r="B313" s="49" t="n"/>
      <c r="C313" s="49" t="n"/>
      <c r="D313" s="49" t="n"/>
      <c r="F313" s="49" t="n"/>
    </row>
    <row r="314">
      <c r="B314" s="49" t="n"/>
      <c r="C314" s="49" t="n"/>
      <c r="D314" s="49" t="n"/>
      <c r="F314" s="49" t="n"/>
    </row>
    <row r="315">
      <c r="B315" s="49" t="n"/>
      <c r="C315" s="49" t="n"/>
      <c r="D315" s="49" t="n"/>
      <c r="F315" s="49" t="n"/>
    </row>
    <row r="316">
      <c r="B316" s="49" t="n"/>
      <c r="C316" s="49" t="n"/>
      <c r="D316" s="49" t="n"/>
      <c r="F316" s="49" t="n"/>
    </row>
    <row r="317">
      <c r="B317" s="49" t="n"/>
      <c r="C317" s="49" t="n"/>
      <c r="D317" s="49" t="n"/>
      <c r="F317" s="49" t="n"/>
    </row>
    <row r="318">
      <c r="B318" s="49" t="n"/>
      <c r="C318" s="49" t="n"/>
      <c r="D318" s="49" t="n"/>
      <c r="F318" s="49" t="n"/>
    </row>
    <row r="319">
      <c r="B319" s="49" t="n"/>
      <c r="C319" s="49" t="n"/>
      <c r="D319" s="49" t="n"/>
      <c r="F319" s="49" t="n"/>
    </row>
    <row r="320">
      <c r="B320" s="49" t="n"/>
      <c r="C320" s="49" t="n"/>
      <c r="D320" s="49" t="n"/>
      <c r="F320" s="49" t="n"/>
    </row>
    <row r="321">
      <c r="B321" s="49" t="n"/>
      <c r="C321" s="49" t="n"/>
      <c r="D321" s="49" t="n"/>
      <c r="F321" s="49" t="n"/>
    </row>
    <row r="322">
      <c r="B322" s="49" t="n"/>
      <c r="C322" s="49" t="n"/>
      <c r="D322" s="49" t="n"/>
      <c r="F322" s="49" t="n"/>
    </row>
    <row r="323">
      <c r="B323" s="49" t="n"/>
      <c r="C323" s="49" t="n"/>
      <c r="D323" s="49" t="n"/>
      <c r="F323" s="49" t="n"/>
    </row>
    <row r="324">
      <c r="B324" s="49" t="n"/>
      <c r="C324" s="49" t="n"/>
      <c r="D324" s="49" t="n"/>
      <c r="F324" s="49" t="n"/>
    </row>
    <row r="325">
      <c r="B325" s="49" t="n"/>
      <c r="C325" s="49" t="n"/>
      <c r="D325" s="49" t="n"/>
      <c r="F325" s="49" t="n"/>
    </row>
    <row r="326">
      <c r="B326" s="49" t="n"/>
      <c r="C326" s="49" t="n"/>
      <c r="D326" s="49" t="n"/>
      <c r="F326" s="49" t="n"/>
    </row>
    <row r="327">
      <c r="B327" s="49" t="n"/>
      <c r="C327" s="49" t="n"/>
      <c r="D327" s="49" t="n"/>
      <c r="F327" s="49" t="n"/>
    </row>
    <row r="328">
      <c r="B328" s="49" t="n"/>
      <c r="C328" s="49" t="n"/>
      <c r="D328" s="49" t="n"/>
      <c r="F328" s="49" t="n"/>
    </row>
    <row r="329">
      <c r="B329" s="49" t="n"/>
      <c r="C329" s="49" t="n"/>
      <c r="D329" s="49" t="n"/>
      <c r="F329" s="49" t="n"/>
    </row>
    <row r="330">
      <c r="B330" s="49" t="n"/>
      <c r="C330" s="49" t="n"/>
      <c r="D330" s="49" t="n"/>
      <c r="F330" s="49" t="n"/>
    </row>
    <row r="331">
      <c r="B331" s="49" t="n"/>
      <c r="C331" s="49" t="n"/>
      <c r="D331" s="49" t="n"/>
      <c r="F331" s="49" t="n"/>
    </row>
    <row r="332">
      <c r="B332" s="49" t="n"/>
      <c r="C332" s="49" t="n"/>
      <c r="D332" s="49" t="n"/>
      <c r="F332" s="49" t="n"/>
    </row>
    <row r="333">
      <c r="B333" s="49" t="n"/>
      <c r="C333" s="49" t="n"/>
      <c r="D333" s="49" t="n"/>
      <c r="F333" s="49" t="n"/>
    </row>
    <row r="334">
      <c r="B334" s="49" t="n"/>
      <c r="C334" s="49" t="n"/>
      <c r="D334" s="49" t="n"/>
      <c r="F334" s="49" t="n"/>
    </row>
    <row r="335">
      <c r="B335" s="49" t="n"/>
      <c r="C335" s="49" t="n"/>
      <c r="D335" s="49" t="n"/>
      <c r="F335" s="49" t="n"/>
    </row>
    <row r="336">
      <c r="B336" s="49" t="n"/>
      <c r="C336" s="49" t="n"/>
      <c r="D336" s="49" t="n"/>
      <c r="F336" s="49" t="n"/>
    </row>
    <row r="337">
      <c r="B337" s="49" t="n"/>
      <c r="C337" s="49" t="n"/>
      <c r="D337" s="49" t="n"/>
      <c r="F337" s="49" t="n"/>
    </row>
    <row r="338">
      <c r="B338" s="49" t="n"/>
      <c r="C338" s="49" t="n"/>
      <c r="D338" s="49" t="n"/>
      <c r="F338" s="49" t="n"/>
    </row>
    <row r="339">
      <c r="B339" s="49" t="n"/>
      <c r="C339" s="49" t="n"/>
      <c r="D339" s="49" t="n"/>
      <c r="F339" s="49" t="n"/>
    </row>
    <row r="340">
      <c r="B340" s="49" t="n"/>
      <c r="C340" s="49" t="n"/>
      <c r="D340" s="49" t="n"/>
      <c r="F340" s="49" t="n"/>
    </row>
    <row r="341">
      <c r="B341" s="49" t="n"/>
      <c r="C341" s="49" t="n"/>
      <c r="D341" s="49" t="n"/>
      <c r="F341" s="49" t="n"/>
    </row>
    <row r="342">
      <c r="B342" s="49" t="n"/>
      <c r="C342" s="49" t="n"/>
      <c r="D342" s="49" t="n"/>
      <c r="F342" s="49" t="n"/>
    </row>
    <row r="343">
      <c r="B343" s="49" t="n"/>
      <c r="C343" s="49" t="n"/>
      <c r="D343" s="49" t="n"/>
      <c r="F343" s="49" t="n"/>
    </row>
    <row r="344">
      <c r="B344" s="49" t="n"/>
      <c r="C344" s="49" t="n"/>
      <c r="D344" s="49" t="n"/>
      <c r="F344" s="49" t="n"/>
    </row>
    <row r="345">
      <c r="B345" s="49" t="n"/>
      <c r="C345" s="49" t="n"/>
      <c r="D345" s="49" t="n"/>
      <c r="F345" s="49" t="n"/>
    </row>
    <row r="346">
      <c r="B346" s="49" t="n"/>
      <c r="C346" s="49" t="n"/>
      <c r="D346" s="49" t="n"/>
      <c r="F346" s="49" t="n"/>
    </row>
    <row r="347">
      <c r="B347" s="49" t="n"/>
      <c r="C347" s="49" t="n"/>
      <c r="D347" s="49" t="n"/>
      <c r="F347" s="49" t="n"/>
    </row>
    <row r="348">
      <c r="B348" s="49" t="n"/>
      <c r="C348" s="49" t="n"/>
      <c r="D348" s="49" t="n"/>
      <c r="F348" s="49" t="n"/>
    </row>
    <row r="349">
      <c r="B349" s="49" t="n"/>
      <c r="C349" s="49" t="n"/>
      <c r="D349" s="49" t="n"/>
      <c r="F349" s="49" t="n"/>
    </row>
    <row r="350">
      <c r="B350" s="49" t="n"/>
      <c r="C350" s="49" t="n"/>
      <c r="D350" s="49" t="n"/>
      <c r="F350" s="49" t="n"/>
    </row>
    <row r="351">
      <c r="B351" s="49" t="n"/>
      <c r="C351" s="49" t="n"/>
      <c r="D351" s="49" t="n"/>
      <c r="F351" s="49" t="n"/>
    </row>
    <row r="352">
      <c r="B352" s="49" t="n"/>
      <c r="C352" s="49" t="n"/>
      <c r="D352" s="49" t="n"/>
      <c r="F352" s="49" t="n"/>
    </row>
    <row r="353">
      <c r="B353" s="49" t="n"/>
      <c r="C353" s="49" t="n"/>
      <c r="D353" s="49" t="n"/>
      <c r="F353" s="49" t="n"/>
    </row>
    <row r="354">
      <c r="B354" s="49" t="n"/>
      <c r="C354" s="49" t="n"/>
      <c r="D354" s="49" t="n"/>
      <c r="F354" s="49" t="n"/>
    </row>
    <row r="355">
      <c r="B355" s="49" t="n"/>
      <c r="C355" s="49" t="n"/>
      <c r="D355" s="49" t="n"/>
      <c r="F355" s="49" t="n"/>
    </row>
    <row r="356">
      <c r="B356" s="49" t="n"/>
      <c r="C356" s="49" t="n"/>
      <c r="D356" s="49" t="n"/>
      <c r="F356" s="49" t="n"/>
    </row>
    <row r="357">
      <c r="B357" s="49" t="n"/>
      <c r="C357" s="49" t="n"/>
      <c r="D357" s="49" t="n"/>
      <c r="F357" s="49" t="n"/>
    </row>
    <row r="358">
      <c r="B358" s="49" t="n"/>
      <c r="C358" s="49" t="n"/>
      <c r="D358" s="49" t="n"/>
      <c r="F358" s="49" t="n"/>
    </row>
    <row r="359">
      <c r="B359" s="49" t="n"/>
      <c r="C359" s="49" t="n"/>
      <c r="D359" s="49" t="n"/>
      <c r="F359" s="49" t="n"/>
    </row>
    <row r="360">
      <c r="B360" s="49" t="n"/>
      <c r="C360" s="49" t="n"/>
      <c r="D360" s="49" t="n"/>
      <c r="F360" s="49" t="n"/>
    </row>
    <row r="361">
      <c r="B361" s="49" t="n"/>
      <c r="C361" s="49" t="n"/>
      <c r="D361" s="49" t="n"/>
      <c r="F361" s="49" t="n"/>
    </row>
    <row r="362">
      <c r="B362" s="49" t="n"/>
      <c r="C362" s="49" t="n"/>
      <c r="D362" s="49" t="n"/>
      <c r="F362" s="49" t="n"/>
    </row>
    <row r="363">
      <c r="B363" s="49" t="n"/>
      <c r="C363" s="49" t="n"/>
      <c r="D363" s="49" t="n"/>
      <c r="F363" s="49" t="n"/>
    </row>
    <row r="364">
      <c r="B364" s="49" t="n"/>
      <c r="C364" s="49" t="n"/>
      <c r="D364" s="49" t="n"/>
      <c r="F364" s="49" t="n"/>
    </row>
    <row r="365">
      <c r="B365" s="49" t="n"/>
      <c r="C365" s="49" t="n"/>
      <c r="D365" s="49" t="n"/>
      <c r="F365" s="49" t="n"/>
    </row>
    <row r="366">
      <c r="B366" s="49" t="n"/>
      <c r="C366" s="49" t="n"/>
      <c r="D366" s="49" t="n"/>
      <c r="F366" s="49" t="n"/>
    </row>
    <row r="367">
      <c r="B367" s="49" t="n"/>
      <c r="C367" s="49" t="n"/>
      <c r="D367" s="49" t="n"/>
      <c r="F367" s="49" t="n"/>
    </row>
    <row r="368">
      <c r="B368" s="49" t="n"/>
      <c r="C368" s="49" t="n"/>
      <c r="D368" s="49" t="n"/>
      <c r="F368" s="49" t="n"/>
    </row>
    <row r="369">
      <c r="B369" s="49" t="n"/>
      <c r="C369" s="49" t="n"/>
      <c r="D369" s="49" t="n"/>
      <c r="F369" s="49" t="n"/>
    </row>
    <row r="370">
      <c r="B370" s="49" t="n"/>
      <c r="C370" s="49" t="n"/>
      <c r="D370" s="49" t="n"/>
      <c r="F370" s="49" t="n"/>
    </row>
    <row r="371">
      <c r="B371" s="49" t="n"/>
      <c r="C371" s="49" t="n"/>
      <c r="D371" s="49" t="n"/>
      <c r="F371" s="49" t="n"/>
    </row>
    <row r="372">
      <c r="B372" s="49" t="n"/>
      <c r="C372" s="49" t="n"/>
      <c r="D372" s="49" t="n"/>
      <c r="F372" s="49" t="n"/>
    </row>
    <row r="373">
      <c r="B373" s="49" t="n"/>
      <c r="C373" s="49" t="n"/>
      <c r="D373" s="49" t="n"/>
      <c r="F373" s="49" t="n"/>
    </row>
    <row r="374">
      <c r="B374" s="49" t="n"/>
      <c r="C374" s="49" t="n"/>
      <c r="D374" s="49" t="n"/>
      <c r="F374" s="49" t="n"/>
    </row>
    <row r="375">
      <c r="B375" s="49" t="n"/>
      <c r="C375" s="49" t="n"/>
      <c r="D375" s="49" t="n"/>
      <c r="F375" s="49" t="n"/>
    </row>
    <row r="376">
      <c r="B376" s="49" t="n"/>
      <c r="C376" s="49" t="n"/>
      <c r="D376" s="49" t="n"/>
      <c r="F376" s="49" t="n"/>
    </row>
    <row r="377">
      <c r="B377" s="49" t="n"/>
      <c r="C377" s="49" t="n"/>
      <c r="D377" s="49" t="n"/>
      <c r="F377" s="49" t="n"/>
    </row>
    <row r="378">
      <c r="B378" s="49" t="n"/>
      <c r="C378" s="49" t="n"/>
      <c r="D378" s="49" t="n"/>
      <c r="F378" s="49" t="n"/>
    </row>
    <row r="379">
      <c r="B379" s="49" t="n"/>
      <c r="C379" s="49" t="n"/>
      <c r="D379" s="49" t="n"/>
      <c r="F379" s="49" t="n"/>
    </row>
    <row r="380">
      <c r="B380" s="49" t="n"/>
      <c r="C380" s="49" t="n"/>
      <c r="D380" s="49" t="n"/>
      <c r="F380" s="49" t="n"/>
    </row>
    <row r="381">
      <c r="B381" s="49" t="n"/>
      <c r="C381" s="49" t="n"/>
      <c r="D381" s="49" t="n"/>
      <c r="F381" s="49" t="n"/>
    </row>
    <row r="382">
      <c r="B382" s="49" t="n"/>
      <c r="C382" s="49" t="n"/>
      <c r="D382" s="49" t="n"/>
      <c r="F382" s="49" t="n"/>
    </row>
    <row r="383">
      <c r="B383" s="49" t="n"/>
      <c r="C383" s="49" t="n"/>
      <c r="D383" s="49" t="n"/>
      <c r="F383" s="49" t="n"/>
    </row>
    <row r="384">
      <c r="B384" s="49" t="n"/>
      <c r="C384" s="49" t="n"/>
      <c r="D384" s="49" t="n"/>
      <c r="F384" s="49" t="n"/>
    </row>
    <row r="385">
      <c r="B385" s="49" t="n"/>
      <c r="C385" s="49" t="n"/>
      <c r="D385" s="49" t="n"/>
      <c r="F385" s="49" t="n"/>
    </row>
    <row r="386">
      <c r="B386" s="49" t="n"/>
      <c r="C386" s="49" t="n"/>
      <c r="D386" s="49" t="n"/>
      <c r="F386" s="49" t="n"/>
    </row>
    <row r="387">
      <c r="B387" s="49" t="n"/>
      <c r="C387" s="49" t="n"/>
      <c r="D387" s="49" t="n"/>
      <c r="F387" s="49" t="n"/>
    </row>
    <row r="388">
      <c r="B388" s="49" t="n"/>
      <c r="C388" s="49" t="n"/>
      <c r="D388" s="49" t="n"/>
      <c r="F388" s="49" t="n"/>
    </row>
    <row r="389">
      <c r="B389" s="49" t="n"/>
      <c r="C389" s="49" t="n"/>
      <c r="D389" s="49" t="n"/>
      <c r="F389" s="49" t="n"/>
    </row>
    <row r="390">
      <c r="B390" s="49" t="n"/>
      <c r="C390" s="49" t="n"/>
      <c r="D390" s="49" t="n"/>
      <c r="F390" s="49" t="n"/>
    </row>
    <row r="391">
      <c r="B391" s="49" t="n"/>
      <c r="C391" s="49" t="n"/>
      <c r="D391" s="49" t="n"/>
      <c r="F391" s="49" t="n"/>
    </row>
    <row r="392">
      <c r="B392" s="49" t="n"/>
      <c r="C392" s="49" t="n"/>
      <c r="D392" s="49" t="n"/>
      <c r="F392" s="49" t="n"/>
    </row>
    <row r="393">
      <c r="B393" s="49" t="n"/>
      <c r="C393" s="49" t="n"/>
      <c r="D393" s="49" t="n"/>
      <c r="F393" s="49" t="n"/>
    </row>
    <row r="394">
      <c r="B394" s="49" t="n"/>
      <c r="C394" s="49" t="n"/>
      <c r="D394" s="49" t="n"/>
      <c r="F394" s="49" t="n"/>
    </row>
    <row r="395">
      <c r="B395" s="49" t="n"/>
      <c r="C395" s="49" t="n"/>
      <c r="D395" s="49" t="n"/>
      <c r="F395" s="49" t="n"/>
    </row>
    <row r="396">
      <c r="B396" s="49" t="n"/>
      <c r="C396" s="49" t="n"/>
      <c r="D396" s="49" t="n"/>
      <c r="F396" s="49" t="n"/>
    </row>
    <row r="397">
      <c r="B397" s="49" t="n"/>
      <c r="C397" s="49" t="n"/>
      <c r="D397" s="49" t="n"/>
      <c r="F397" s="49" t="n"/>
    </row>
    <row r="398">
      <c r="B398" s="49" t="n"/>
      <c r="C398" s="49" t="n"/>
      <c r="D398" s="49" t="n"/>
      <c r="F398" s="49" t="n"/>
    </row>
    <row r="399">
      <c r="B399" s="49" t="n"/>
      <c r="C399" s="49" t="n"/>
      <c r="D399" s="49" t="n"/>
      <c r="F399" s="49" t="n"/>
    </row>
    <row r="400">
      <c r="B400" s="49" t="n"/>
      <c r="C400" s="49" t="n"/>
      <c r="D400" s="49" t="n"/>
      <c r="F400" s="49" t="n"/>
    </row>
    <row r="401">
      <c r="B401" s="49" t="n"/>
      <c r="C401" s="49" t="n"/>
      <c r="D401" s="49" t="n"/>
      <c r="F401" s="49" t="n"/>
    </row>
    <row r="402">
      <c r="B402" s="49" t="n"/>
      <c r="C402" s="49" t="n"/>
      <c r="D402" s="49" t="n"/>
      <c r="F402" s="49" t="n"/>
    </row>
    <row r="403">
      <c r="B403" s="49" t="n"/>
      <c r="C403" s="49" t="n"/>
      <c r="D403" s="49" t="n"/>
      <c r="F403" s="49" t="n"/>
    </row>
    <row r="404">
      <c r="B404" s="49" t="n"/>
      <c r="C404" s="49" t="n"/>
      <c r="D404" s="49" t="n"/>
      <c r="F404" s="49" t="n"/>
    </row>
    <row r="405">
      <c r="B405" s="49" t="n"/>
      <c r="C405" s="49" t="n"/>
      <c r="D405" s="49" t="n"/>
      <c r="F405" s="49" t="n"/>
    </row>
    <row r="406">
      <c r="B406" s="49" t="n"/>
      <c r="C406" s="49" t="n"/>
      <c r="D406" s="49" t="n"/>
      <c r="F406" s="49" t="n"/>
    </row>
    <row r="407">
      <c r="B407" s="49" t="n"/>
      <c r="C407" s="49" t="n"/>
      <c r="D407" s="49" t="n"/>
      <c r="F407" s="49" t="n"/>
    </row>
    <row r="408">
      <c r="B408" s="49" t="n"/>
      <c r="C408" s="49" t="n"/>
      <c r="D408" s="49" t="n"/>
      <c r="F408" s="49" t="n"/>
    </row>
    <row r="409">
      <c r="B409" s="49" t="n"/>
      <c r="C409" s="49" t="n"/>
      <c r="D409" s="49" t="n"/>
      <c r="F409" s="49" t="n"/>
    </row>
    <row r="410">
      <c r="B410" s="49" t="n"/>
      <c r="C410" s="49" t="n"/>
      <c r="D410" s="49" t="n"/>
      <c r="F410" s="49" t="n"/>
    </row>
    <row r="411">
      <c r="B411" s="49" t="n"/>
      <c r="C411" s="49" t="n"/>
      <c r="D411" s="49" t="n"/>
      <c r="F411" s="49" t="n"/>
    </row>
    <row r="412">
      <c r="B412" s="49" t="n"/>
      <c r="C412" s="49" t="n"/>
      <c r="D412" s="49" t="n"/>
      <c r="F412" s="49" t="n"/>
    </row>
    <row r="413">
      <c r="B413" s="49" t="n"/>
      <c r="C413" s="49" t="n"/>
      <c r="D413" s="49" t="n"/>
      <c r="F413" s="49" t="n"/>
    </row>
    <row r="414">
      <c r="B414" s="49" t="n"/>
      <c r="C414" s="49" t="n"/>
      <c r="D414" s="49" t="n"/>
      <c r="F414" s="49" t="n"/>
    </row>
    <row r="415">
      <c r="B415" s="49" t="n"/>
      <c r="C415" s="49" t="n"/>
      <c r="D415" s="49" t="n"/>
      <c r="F415" s="49" t="n"/>
    </row>
    <row r="416">
      <c r="B416" s="49" t="n"/>
      <c r="C416" s="49" t="n"/>
      <c r="D416" s="49" t="n"/>
      <c r="F416" s="49" t="n"/>
    </row>
    <row r="417">
      <c r="B417" s="49" t="n"/>
      <c r="C417" s="49" t="n"/>
      <c r="D417" s="49" t="n"/>
      <c r="F417" s="49" t="n"/>
    </row>
    <row r="418">
      <c r="B418" s="49" t="n"/>
      <c r="C418" s="49" t="n"/>
      <c r="D418" s="49" t="n"/>
      <c r="F418" s="49" t="n"/>
    </row>
    <row r="419">
      <c r="B419" s="49" t="n"/>
      <c r="C419" s="49" t="n"/>
      <c r="D419" s="49" t="n"/>
      <c r="F419" s="49" t="n"/>
    </row>
    <row r="420">
      <c r="B420" s="49" t="n"/>
      <c r="C420" s="49" t="n"/>
      <c r="D420" s="49" t="n"/>
      <c r="F420" s="49" t="n"/>
    </row>
    <row r="421">
      <c r="B421" s="49" t="n"/>
      <c r="C421" s="49" t="n"/>
      <c r="D421" s="49" t="n"/>
      <c r="F421" s="49" t="n"/>
    </row>
    <row r="422">
      <c r="B422" s="49" t="n"/>
      <c r="C422" s="49" t="n"/>
      <c r="D422" s="49" t="n"/>
      <c r="F422" s="49" t="n"/>
    </row>
    <row r="423">
      <c r="B423" s="49" t="n"/>
      <c r="C423" s="49" t="n"/>
      <c r="D423" s="49" t="n"/>
      <c r="F423" s="49" t="n"/>
    </row>
    <row r="424">
      <c r="B424" s="49" t="n"/>
      <c r="C424" s="49" t="n"/>
      <c r="D424" s="49" t="n"/>
      <c r="F424" s="49" t="n"/>
    </row>
    <row r="425">
      <c r="B425" s="49" t="n"/>
      <c r="C425" s="49" t="n"/>
      <c r="D425" s="49" t="n"/>
      <c r="F425" s="49" t="n"/>
    </row>
    <row r="426">
      <c r="B426" s="49" t="n"/>
      <c r="C426" s="49" t="n"/>
      <c r="D426" s="49" t="n"/>
      <c r="F426" s="49" t="n"/>
    </row>
    <row r="427">
      <c r="B427" s="49" t="n"/>
      <c r="C427" s="49" t="n"/>
      <c r="D427" s="49" t="n"/>
      <c r="F427" s="49" t="n"/>
    </row>
    <row r="428">
      <c r="B428" s="49" t="n"/>
      <c r="C428" s="49" t="n"/>
      <c r="D428" s="49" t="n"/>
      <c r="F428" s="49" t="n"/>
    </row>
    <row r="429">
      <c r="B429" s="49" t="n"/>
      <c r="C429" s="49" t="n"/>
      <c r="D429" s="49" t="n"/>
      <c r="F429" s="49" t="n"/>
    </row>
    <row r="430">
      <c r="B430" s="49" t="n"/>
      <c r="C430" s="49" t="n"/>
      <c r="D430" s="49" t="n"/>
      <c r="F430" s="49" t="n"/>
    </row>
    <row r="431">
      <c r="B431" s="49" t="n"/>
      <c r="C431" s="49" t="n"/>
      <c r="D431" s="49" t="n"/>
      <c r="F431" s="49" t="n"/>
    </row>
    <row r="432">
      <c r="B432" s="49" t="n"/>
      <c r="C432" s="49" t="n"/>
      <c r="D432" s="49" t="n"/>
      <c r="F432" s="49" t="n"/>
    </row>
    <row r="433">
      <c r="B433" s="49" t="n"/>
      <c r="C433" s="49" t="n"/>
      <c r="D433" s="49" t="n"/>
      <c r="F433" s="49" t="n"/>
    </row>
    <row r="434">
      <c r="B434" s="49" t="n"/>
      <c r="C434" s="49" t="n"/>
      <c r="D434" s="49" t="n"/>
      <c r="F434" s="49" t="n"/>
    </row>
    <row r="435">
      <c r="B435" s="49" t="n"/>
      <c r="C435" s="49" t="n"/>
      <c r="D435" s="49" t="n"/>
      <c r="F435" s="49" t="n"/>
    </row>
    <row r="436">
      <c r="B436" s="49" t="n"/>
      <c r="C436" s="49" t="n"/>
      <c r="D436" s="49" t="n"/>
      <c r="F436" s="49" t="n"/>
    </row>
    <row r="437">
      <c r="B437" s="49" t="n"/>
      <c r="C437" s="49" t="n"/>
      <c r="D437" s="49" t="n"/>
      <c r="F437" s="49" t="n"/>
    </row>
    <row r="438">
      <c r="B438" s="49" t="n"/>
      <c r="C438" s="49" t="n"/>
      <c r="D438" s="49" t="n"/>
      <c r="F438" s="49" t="n"/>
    </row>
    <row r="439">
      <c r="B439" s="49" t="n"/>
      <c r="C439" s="49" t="n"/>
      <c r="D439" s="49" t="n"/>
      <c r="F439" s="49" t="n"/>
    </row>
    <row r="440">
      <c r="B440" s="49" t="n"/>
      <c r="C440" s="49" t="n"/>
      <c r="D440" s="49" t="n"/>
      <c r="F440" s="49" t="n"/>
    </row>
    <row r="441">
      <c r="B441" s="49" t="n"/>
      <c r="C441" s="49" t="n"/>
      <c r="D441" s="49" t="n"/>
      <c r="F441" s="49" t="n"/>
    </row>
    <row r="442">
      <c r="B442" s="49" t="n"/>
      <c r="C442" s="49" t="n"/>
      <c r="D442" s="49" t="n"/>
      <c r="F442" s="49" t="n"/>
    </row>
    <row r="443">
      <c r="B443" s="49" t="n"/>
      <c r="C443" s="49" t="n"/>
      <c r="D443" s="49" t="n"/>
      <c r="F443" s="49" t="n"/>
    </row>
    <row r="444">
      <c r="B444" s="49" t="n"/>
      <c r="C444" s="49" t="n"/>
      <c r="D444" s="49" t="n"/>
      <c r="F444" s="49" t="n"/>
    </row>
    <row r="445">
      <c r="B445" s="49" t="n"/>
      <c r="C445" s="49" t="n"/>
      <c r="D445" s="49" t="n"/>
      <c r="F445" s="49" t="n"/>
    </row>
    <row r="446">
      <c r="B446" s="49" t="n"/>
      <c r="C446" s="49" t="n"/>
      <c r="D446" s="49" t="n"/>
      <c r="F446" s="49" t="n"/>
    </row>
    <row r="447">
      <c r="B447" s="49" t="n"/>
      <c r="C447" s="49" t="n"/>
      <c r="D447" s="49" t="n"/>
      <c r="F447" s="49" t="n"/>
    </row>
    <row r="448">
      <c r="B448" s="49" t="n"/>
      <c r="C448" s="49" t="n"/>
      <c r="D448" s="49" t="n"/>
      <c r="F448" s="49" t="n"/>
    </row>
    <row r="449">
      <c r="B449" s="49" t="n"/>
      <c r="C449" s="49" t="n"/>
      <c r="D449" s="49" t="n"/>
      <c r="F449" s="49" t="n"/>
    </row>
    <row r="450">
      <c r="B450" s="49" t="n"/>
      <c r="C450" s="49" t="n"/>
      <c r="D450" s="49" t="n"/>
      <c r="F450" s="49" t="n"/>
    </row>
    <row r="451">
      <c r="B451" s="49" t="n"/>
      <c r="C451" s="49" t="n"/>
      <c r="D451" s="49" t="n"/>
      <c r="F451" s="49" t="n"/>
    </row>
    <row r="452">
      <c r="B452" s="49" t="n"/>
      <c r="C452" s="49" t="n"/>
      <c r="D452" s="49" t="n"/>
      <c r="F452" s="49" t="n"/>
    </row>
    <row r="453">
      <c r="B453" s="49" t="n"/>
      <c r="C453" s="49" t="n"/>
      <c r="D453" s="49" t="n"/>
      <c r="F453" s="49" t="n"/>
    </row>
    <row r="454">
      <c r="B454" s="49" t="n"/>
      <c r="C454" s="49" t="n"/>
      <c r="D454" s="49" t="n"/>
      <c r="F454" s="49" t="n"/>
    </row>
    <row r="455">
      <c r="B455" s="49" t="n"/>
      <c r="C455" s="49" t="n"/>
      <c r="D455" s="49" t="n"/>
      <c r="F455" s="49" t="n"/>
    </row>
    <row r="456">
      <c r="B456" s="49" t="n"/>
      <c r="C456" s="49" t="n"/>
      <c r="D456" s="49" t="n"/>
      <c r="F456" s="49" t="n"/>
    </row>
    <row r="457">
      <c r="B457" s="49" t="n"/>
      <c r="C457" s="49" t="n"/>
      <c r="D457" s="49" t="n"/>
      <c r="F457" s="49" t="n"/>
    </row>
    <row r="458">
      <c r="B458" s="49" t="n"/>
      <c r="C458" s="49" t="n"/>
      <c r="D458" s="49" t="n"/>
      <c r="F458" s="49" t="n"/>
    </row>
    <row r="459">
      <c r="B459" s="49" t="n"/>
      <c r="C459" s="49" t="n"/>
      <c r="D459" s="49" t="n"/>
      <c r="F459" s="49" t="n"/>
    </row>
    <row r="460">
      <c r="B460" s="49" t="n"/>
      <c r="C460" s="49" t="n"/>
      <c r="D460" s="49" t="n"/>
      <c r="F460" s="49" t="n"/>
    </row>
    <row r="461">
      <c r="B461" s="49" t="n"/>
      <c r="C461" s="49" t="n"/>
      <c r="D461" s="49" t="n"/>
      <c r="F461" s="49" t="n"/>
    </row>
    <row r="462">
      <c r="B462" s="49" t="n"/>
      <c r="C462" s="49" t="n"/>
      <c r="D462" s="49" t="n"/>
      <c r="F462" s="49" t="n"/>
    </row>
    <row r="463">
      <c r="B463" s="49" t="n"/>
      <c r="C463" s="49" t="n"/>
      <c r="D463" s="49" t="n"/>
      <c r="F463" s="49" t="n"/>
    </row>
    <row r="464">
      <c r="B464" s="49" t="n"/>
      <c r="C464" s="49" t="n"/>
      <c r="D464" s="49" t="n"/>
      <c r="F464" s="49" t="n"/>
    </row>
    <row r="465">
      <c r="B465" s="49" t="n"/>
      <c r="C465" s="49" t="n"/>
      <c r="D465" s="49" t="n"/>
      <c r="F465" s="49" t="n"/>
    </row>
    <row r="466">
      <c r="B466" s="49" t="n"/>
      <c r="C466" s="49" t="n"/>
      <c r="D466" s="49" t="n"/>
      <c r="F466" s="49" t="n"/>
    </row>
    <row r="467">
      <c r="B467" s="49" t="n"/>
      <c r="C467" s="49" t="n"/>
      <c r="D467" s="49" t="n"/>
      <c r="F467" s="49" t="n"/>
    </row>
    <row r="468">
      <c r="B468" s="49" t="n"/>
      <c r="C468" s="49" t="n"/>
      <c r="D468" s="49" t="n"/>
      <c r="F468" s="49" t="n"/>
    </row>
    <row r="469">
      <c r="B469" s="49" t="n"/>
      <c r="C469" s="49" t="n"/>
      <c r="D469" s="49" t="n"/>
      <c r="F469" s="49" t="n"/>
    </row>
    <row r="470">
      <c r="B470" s="49" t="n"/>
      <c r="C470" s="49" t="n"/>
      <c r="D470" s="49" t="n"/>
      <c r="F470" s="49" t="n"/>
    </row>
    <row r="471">
      <c r="B471" s="49" t="n"/>
      <c r="C471" s="49" t="n"/>
      <c r="D471" s="49" t="n"/>
      <c r="F471" s="49" t="n"/>
    </row>
    <row r="472">
      <c r="B472" s="49" t="n"/>
      <c r="C472" s="49" t="n"/>
      <c r="D472" s="49" t="n"/>
      <c r="F472" s="49" t="n"/>
    </row>
    <row r="473">
      <c r="B473" s="49" t="n"/>
      <c r="C473" s="49" t="n"/>
      <c r="D473" s="49" t="n"/>
      <c r="F473" s="49" t="n"/>
    </row>
    <row r="474">
      <c r="B474" s="49" t="n"/>
      <c r="C474" s="49" t="n"/>
      <c r="D474" s="49" t="n"/>
      <c r="F474" s="49" t="n"/>
    </row>
    <row r="475">
      <c r="B475" s="49" t="n"/>
      <c r="C475" s="49" t="n"/>
      <c r="D475" s="49" t="n"/>
      <c r="F475" s="49" t="n"/>
    </row>
    <row r="476">
      <c r="B476" s="49" t="n"/>
      <c r="C476" s="49" t="n"/>
      <c r="D476" s="49" t="n"/>
      <c r="F476" s="49" t="n"/>
    </row>
    <row r="477">
      <c r="B477" s="49" t="n"/>
      <c r="C477" s="49" t="n"/>
      <c r="D477" s="49" t="n"/>
      <c r="F477" s="49" t="n"/>
    </row>
    <row r="478">
      <c r="B478" s="49" t="n"/>
      <c r="C478" s="49" t="n"/>
      <c r="D478" s="49" t="n"/>
      <c r="F478" s="49" t="n"/>
    </row>
    <row r="479">
      <c r="B479" s="49" t="n"/>
      <c r="C479" s="49" t="n"/>
      <c r="D479" s="49" t="n"/>
      <c r="F479" s="49" t="n"/>
    </row>
    <row r="480">
      <c r="B480" s="49" t="n"/>
      <c r="C480" s="49" t="n"/>
      <c r="D480" s="49" t="n"/>
      <c r="F480" s="49" t="n"/>
    </row>
    <row r="481">
      <c r="B481" s="49" t="n"/>
      <c r="C481" s="49" t="n"/>
      <c r="D481" s="49" t="n"/>
      <c r="F481" s="49" t="n"/>
    </row>
    <row r="482">
      <c r="B482" s="49" t="n"/>
      <c r="C482" s="49" t="n"/>
      <c r="D482" s="49" t="n"/>
      <c r="F482" s="49" t="n"/>
    </row>
    <row r="483">
      <c r="B483" s="49" t="n"/>
      <c r="C483" s="49" t="n"/>
      <c r="D483" s="49" t="n"/>
      <c r="F483" s="49" t="n"/>
    </row>
    <row r="484">
      <c r="B484" s="49" t="n"/>
      <c r="C484" s="49" t="n"/>
      <c r="D484" s="49" t="n"/>
      <c r="F484" s="49" t="n"/>
    </row>
    <row r="485">
      <c r="B485" s="49" t="n"/>
      <c r="C485" s="49" t="n"/>
      <c r="D485" s="49" t="n"/>
      <c r="F485" s="49" t="n"/>
    </row>
    <row r="486">
      <c r="B486" s="49" t="n"/>
      <c r="C486" s="49" t="n"/>
      <c r="D486" s="49" t="n"/>
      <c r="F486" s="49" t="n"/>
    </row>
    <row r="487">
      <c r="B487" s="49" t="n"/>
      <c r="C487" s="49" t="n"/>
      <c r="D487" s="49" t="n"/>
      <c r="F487" s="49" t="n"/>
    </row>
    <row r="488">
      <c r="B488" s="49" t="n"/>
      <c r="C488" s="49" t="n"/>
      <c r="D488" s="49" t="n"/>
      <c r="F488" s="49" t="n"/>
    </row>
    <row r="489">
      <c r="B489" s="49" t="n"/>
      <c r="C489" s="49" t="n"/>
      <c r="D489" s="49" t="n"/>
      <c r="F489" s="49" t="n"/>
    </row>
    <row r="490">
      <c r="B490" s="49" t="n"/>
      <c r="C490" s="49" t="n"/>
      <c r="D490" s="49" t="n"/>
      <c r="F490" s="49" t="n"/>
    </row>
    <row r="491">
      <c r="B491" s="49" t="n"/>
      <c r="C491" s="49" t="n"/>
      <c r="D491" s="49" t="n"/>
      <c r="F491" s="49" t="n"/>
    </row>
    <row r="492">
      <c r="B492" s="49" t="n"/>
      <c r="C492" s="49" t="n"/>
      <c r="D492" s="49" t="n"/>
      <c r="F492" s="49" t="n"/>
    </row>
    <row r="493">
      <c r="B493" s="49" t="n"/>
      <c r="C493" s="49" t="n"/>
      <c r="D493" s="49" t="n"/>
      <c r="F493" s="49" t="n"/>
    </row>
    <row r="494">
      <c r="B494" s="49" t="n"/>
      <c r="C494" s="49" t="n"/>
      <c r="D494" s="49" t="n"/>
      <c r="F494" s="49" t="n"/>
    </row>
    <row r="495">
      <c r="B495" s="49" t="n"/>
      <c r="C495" s="49" t="n"/>
      <c r="D495" s="49" t="n"/>
      <c r="F495" s="49" t="n"/>
    </row>
    <row r="496">
      <c r="B496" s="49" t="n"/>
      <c r="C496" s="49" t="n"/>
      <c r="D496" s="49" t="n"/>
      <c r="F496" s="49" t="n"/>
    </row>
    <row r="497">
      <c r="B497" s="49" t="n"/>
      <c r="C497" s="49" t="n"/>
      <c r="D497" s="49" t="n"/>
      <c r="F497" s="49" t="n"/>
    </row>
    <row r="498">
      <c r="B498" s="49" t="n"/>
      <c r="C498" s="49" t="n"/>
      <c r="D498" s="49" t="n"/>
      <c r="F498" s="49" t="n"/>
    </row>
    <row r="499">
      <c r="B499" s="49" t="n"/>
      <c r="C499" s="49" t="n"/>
      <c r="D499" s="49" t="n"/>
      <c r="F499" s="49" t="n"/>
    </row>
    <row r="500">
      <c r="B500" s="49" t="n"/>
      <c r="C500" s="49" t="n"/>
      <c r="D500" s="49" t="n"/>
      <c r="F500" s="49" t="n"/>
    </row>
    <row r="501">
      <c r="B501" s="49" t="n"/>
      <c r="C501" s="49" t="n"/>
      <c r="D501" s="49" t="n"/>
      <c r="F501" s="49" t="n"/>
    </row>
    <row r="502">
      <c r="B502" s="49" t="n"/>
      <c r="C502" s="49" t="n"/>
      <c r="D502" s="49" t="n"/>
      <c r="F502" s="49" t="n"/>
    </row>
    <row r="503">
      <c r="B503" s="49" t="n"/>
      <c r="C503" s="49" t="n"/>
      <c r="D503" s="49" t="n"/>
      <c r="F503" s="49" t="n"/>
    </row>
    <row r="504">
      <c r="B504" s="49" t="n"/>
      <c r="C504" s="49" t="n"/>
      <c r="D504" s="49" t="n"/>
      <c r="F504" s="49" t="n"/>
    </row>
    <row r="505">
      <c r="B505" s="49" t="n"/>
      <c r="C505" s="49" t="n"/>
      <c r="D505" s="49" t="n"/>
      <c r="F505" s="49" t="n"/>
    </row>
    <row r="506">
      <c r="B506" s="49" t="n"/>
      <c r="C506" s="49" t="n"/>
      <c r="D506" s="49" t="n"/>
      <c r="F506" s="49" t="n"/>
    </row>
    <row r="507">
      <c r="B507" s="49" t="n"/>
      <c r="C507" s="49" t="n"/>
      <c r="D507" s="49" t="n"/>
      <c r="F507" s="49" t="n"/>
    </row>
    <row r="508">
      <c r="B508" s="49" t="n"/>
      <c r="C508" s="49" t="n"/>
      <c r="D508" s="49" t="n"/>
      <c r="F508" s="49" t="n"/>
    </row>
    <row r="509">
      <c r="B509" s="49" t="n"/>
      <c r="C509" s="49" t="n"/>
      <c r="D509" s="49" t="n"/>
      <c r="F509" s="49" t="n"/>
    </row>
    <row r="510">
      <c r="B510" s="49" t="n"/>
      <c r="C510" s="49" t="n"/>
      <c r="D510" s="49" t="n"/>
      <c r="F510" s="49" t="n"/>
    </row>
    <row r="511">
      <c r="B511" s="49" t="n"/>
      <c r="C511" s="49" t="n"/>
      <c r="D511" s="49" t="n"/>
      <c r="F511" s="49" t="n"/>
    </row>
    <row r="512">
      <c r="B512" s="49" t="n"/>
      <c r="C512" s="49" t="n"/>
      <c r="D512" s="49" t="n"/>
      <c r="F512" s="49" t="n"/>
    </row>
    <row r="513">
      <c r="B513" s="49" t="n"/>
      <c r="C513" s="49" t="n"/>
      <c r="D513" s="49" t="n"/>
      <c r="F513" s="49" t="n"/>
    </row>
    <row r="514">
      <c r="B514" s="49" t="n"/>
      <c r="C514" s="49" t="n"/>
      <c r="D514" s="49" t="n"/>
      <c r="F514" s="49" t="n"/>
    </row>
    <row r="515">
      <c r="B515" s="49" t="n"/>
      <c r="C515" s="49" t="n"/>
      <c r="D515" s="49" t="n"/>
      <c r="F515" s="49" t="n"/>
    </row>
    <row r="516">
      <c r="B516" s="49" t="n"/>
      <c r="C516" s="49" t="n"/>
      <c r="D516" s="49" t="n"/>
      <c r="F516" s="49" t="n"/>
    </row>
    <row r="517">
      <c r="B517" s="49" t="n"/>
      <c r="C517" s="49" t="n"/>
      <c r="D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D17:D517">
    <cfRule type="expression" priority="4" dxfId="6">
      <formula>AND(LEN($B17&amp;$C17&amp;$D17&amp;$E17&amp;$F17&amp;$G17)&gt;0,D17="")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ole in user access" error="Choose a value of the list Role in user access (UA-03) (sheet Reference lists)." promptTitle="Role in user access" prompt="Yes. The user access role of the user Allowed: Requestor, Approver, Second Approver, Group-profile requester, Implementer (list Role in user access (UA-03))" type="list" errorStyle="stop">
      <formula1>=LIST_UA_03_ROLE_IN_USER_ACCESS</formula1>
    </dataValidation>
    <dataValidation sqref="C17:C517" showDropDown="0" showInputMessage="1" showErrorMessage="1" allowBlank="1" errorTitle="User ID" error="The code is not in UA-01, column User ID. Enter it there first, or keep it if it is a code BIBS already holds." promptTitle="User ID" prompt="Yes. The user who holds the role Allowed: Code of an existing user" type="list" errorStyle="warning">
      <formula1>=CODES_UA_01_USER_ID</formula1>
    </dataValidation>
    <dataValidation sqref="D17:D517" showDropDown="0" showInputMessage="1" showErrorMessage="0" allowBlank="1" promptTitle="Unit" prompt="Yes. Unit the user requests or approves for Allowed: Code of the list Business unit group (Lists of Values)"/>
    <dataValidation sqref="E17:E517" showDropDown="0" showInputMessage="1" showErrorMessage="1" allowBlank="1" errorTitle="Approver order for group profile" error="Enter a number." promptTitle="Approver order for group profile" prompt="Conditional: Approver. Usual order of the approvers of a group-profile request Allowed: A number" type="decimal" operator="greaterThanOrEqual">
      <formula1>-1E+15</formula1>
    </dataValidation>
    <dataValidation sqref="F17:F517" showDropDown="0" showInputMessage="1" showErrorMessage="1" allowBlank="1" errorTitle="Any approver may decide" error="Choose a value of the list Yes or no (sheet Reference lists)." promptTitle="Any approver may decide" prompt="No. Must match uam any approver (changed with UA-05) Allowed: Y or N" type="list" errorStyle="stop">
      <formula1>=LIST_YES_NO</formula1>
    </dataValidation>
    <dataValidation sqref="G17:G517" showDropDown="0" showInputMessage="1" showErrorMessage="1" allowBlank="1" errorTitle="Authorisation limit" error="Enter a number." promptTitle="Authorisation limit" prompt="No. Limit of the approvals of the user; blank = unlimited Allowed: A number" type="decimal" operator="greaterThanOrEqual">
      <formula1>-1E+15</formula1>
    </dataValidation>
  </dataValidations>
  <hyperlinks>
    <hyperlink ref="A2" location="'Start here'!A1"/>
    <hyperlink ref="G2" location="'Questions and comments'!A1"/>
    <hyperlink ref="B8" location="'UA-01 Users and roles'!A1"/>
    <hyperlink ref="B14" location="'Reference lists'!A294"/>
    <hyperlink ref="C14" location="'UA-01 Users and role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8.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26" customWidth="1" min="3" max="3"/>
    <col width="22" customWidth="1" min="4" max="4"/>
    <col width="22" customWidth="1" min="5" max="5"/>
    <col width="18" customWidth="1" min="6" max="6"/>
    <col width="12" customWidth="1" min="7" max="7"/>
    <col width="15" customWidth="1" min="8" max="8"/>
    <col width="18" customWidth="1" min="9" max="9"/>
    <col width="14" customWidth="1" min="10" max="10"/>
  </cols>
  <sheetData>
    <row r="1" ht="26" customHeight="1">
      <c r="A1" s="25" t="inlineStr">
        <is>
          <t>PM-02 Coverages, perils and field rules</t>
        </is>
      </c>
      <c r="J1" s="26" t="inlineStr">
        <is>
          <t>Step 36 of 52</t>
        </is>
      </c>
    </row>
    <row r="2">
      <c r="A2" s="27" t="inlineStr">
        <is>
          <t>← Back to Start here</t>
        </is>
      </c>
      <c r="B2" s="28" t="inlineStr">
        <is>
          <t>Step 36 of 52. Fill in one row per record below the column headers; the guide above each column says what to enter.</t>
        </is>
      </c>
      <c r="J2" s="29" t="inlineStr">
        <is>
          <t>Ask a question →</t>
        </is>
      </c>
    </row>
    <row r="3" outlineLevel="1" ht="15.5" customHeight="1">
      <c r="A3" s="30" t="inlineStr">
        <is>
          <t>Purpose</t>
        </is>
      </c>
      <c r="B3" s="31" t="inlineStr">
        <is>
          <t>The coverage and peril level of each line, and the fields and documents each product needs on an account</t>
        </is>
      </c>
    </row>
    <row r="4" outlineLevel="1" ht="15.5" customHeight="1">
      <c r="A4" s="30" t="inlineStr">
        <is>
          <t>Provided by</t>
        </is>
      </c>
      <c r="B4" s="31" t="inlineStr">
        <is>
          <t>MBS</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Client &amp; Policy › Product Maintenance › Coverages &amp; Clauses or Client &amp; Policy › Product Maintenance › Products,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PM-09 Lists of values and parameters →</t>
        </is>
      </c>
      <c r="D8" s="53" t="inlineStr">
        <is>
          <t>PM-01 Product catalogue →</t>
        </is>
      </c>
    </row>
    <row r="9" ht="26" customHeight="1">
      <c r="A9" s="34" t="inlineStr">
        <is>
          <t>Progress</t>
        </is>
      </c>
      <c r="B9" s="35" t="inlineStr">
        <is>
          <t>Rows entered</t>
        </is>
      </c>
      <c r="C9" s="36">
        <f>SUMPRODUCT(((ROW($B$17:$B$517)&gt;17)+($B$17&lt;&gt;"COVERAGE")&gt;0)*(LEN($B$17:$B$517&amp;$C$17:$C$517&amp;$D$17:$D$517&amp;$E$17:$E$517&amp;$F$17:$F$517&amp;$G$17:$G$517&amp;$H$17:$H$517&amp;$I$17:$I$517&amp;$J$17:$J$517)&gt;0))</f>
        <v/>
      </c>
      <c r="D9" s="35" t="inlineStr">
        <is>
          <t>Mandatory cells missing</t>
        </is>
      </c>
      <c r="E9" s="36">
        <f>SUMPRODUCT(((ROW($B$17:$B$517)&gt;17)+($B$17&lt;&gt;"COVERAGE")&gt;0)*(LEN($B$17:$B$517&amp;$C$17:$C$517&amp;$D$17:$D$517&amp;$E$17:$E$517&amp;$F$17:$F$517&amp;$G$17:$G$517&amp;$H$17:$H$517&amp;$I$17:$I$517&amp;$J$17:$J$517)&gt;0)*(($B$17:$B$517="")+($C$17:$C$517="")+($D$17:$D$517="")+($E$17:$E$517="")+($F$17:$F$517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43" customHeight="1">
      <c r="A12" s="41" t="inlineStr">
        <is>
          <t>Mandatory</t>
        </is>
      </c>
      <c r="B12" s="42" t="inlineStr">
        <is>
          <t>Yes</t>
        </is>
      </c>
      <c r="C12" s="42" t="inlineStr">
        <is>
          <t>Yes</t>
        </is>
      </c>
      <c r="D12" s="42" t="inlineStr">
        <is>
          <t>Yes</t>
        </is>
      </c>
      <c r="E12" s="42" t="inlineStr">
        <is>
          <t>Yes</t>
        </is>
      </c>
      <c r="F12" s="42" t="inlineStr">
        <is>
          <t>Yes</t>
        </is>
      </c>
      <c r="G12" s="43" t="inlineStr">
        <is>
          <t>Conditional: COVERAGE</t>
        </is>
      </c>
      <c r="H12" s="43" t="inlineStr">
        <is>
          <t>Conditional: List, range or format rules</t>
        </is>
      </c>
      <c r="I12" s="43" t="inlineStr">
        <is>
          <t>Conditional: DOCUMENT_RULE</t>
        </is>
      </c>
      <c r="J12" s="42" t="inlineStr">
        <is>
          <t>Yes</t>
        </is>
      </c>
    </row>
    <row r="13" ht="30" customHeight="1">
      <c r="A13" s="41" t="inlineStr">
        <is>
          <t>Format</t>
        </is>
      </c>
      <c r="B13" s="43" t="inlineStr">
        <is>
          <t>Code from the drop-down</t>
        </is>
      </c>
      <c r="C13" s="43" t="inlineStr">
        <is>
          <t>Line or risk codes separated by commas</t>
        </is>
      </c>
      <c r="D13" s="43" t="inlineStr">
        <is>
          <t>Text</t>
        </is>
      </c>
      <c r="E13" s="43" t="inlineStr">
        <is>
          <t>Text</t>
        </is>
      </c>
      <c r="F13" s="43" t="inlineStr">
        <is>
          <t>Text</t>
        </is>
      </c>
      <c r="G13" s="43" t="inlineStr">
        <is>
          <t>Y or N</t>
        </is>
      </c>
      <c r="H13" s="43" t="inlineStr">
        <is>
          <t>Text</t>
        </is>
      </c>
      <c r="I13" s="43" t="inlineStr">
        <is>
          <t>Code from the drop-down</t>
        </is>
      </c>
      <c r="J13" s="43" t="inlineStr">
        <is>
          <t>Y or N</t>
        </is>
      </c>
    </row>
    <row r="14" ht="69" customHeight="1">
      <c r="A14" s="41" t="inlineStr">
        <is>
          <t>Allowed values</t>
        </is>
      </c>
      <c r="B14" s="51" t="inlineStr">
        <is>
          <t>COVERAGE, FIELD_RULE, DOCUMENT_RULE (list Record (PM-02))</t>
        </is>
      </c>
      <c r="C14" s="51" t="inlineStr">
        <is>
          <t>Codes of PM-01 Product catalogue, column Risk code (one or more)</t>
        </is>
      </c>
      <c r="D14" s="43" t="inlineStr">
        <is>
          <t>Free entry</t>
        </is>
      </c>
      <c r="E14" s="43" t="inlineStr">
        <is>
          <t>Free entry</t>
        </is>
      </c>
      <c r="F14" s="43" t="inlineStr">
        <is>
          <t>Section, Coverage, Peril, Extension; Presence, List of values, Number range, Format</t>
        </is>
      </c>
      <c r="G14" s="43" t="inlineStr">
        <is>
          <t>Y or N</t>
        </is>
      </c>
      <c r="H14" s="43" t="inlineStr">
        <is>
          <t>Free entry</t>
        </is>
      </c>
      <c r="I14" s="51" t="inlineStr">
        <is>
          <t>List Document type: 61 values, see Reference lists</t>
        </is>
      </c>
      <c r="J14" s="43" t="inlineStr">
        <is>
          <t>Y or N</t>
        </is>
      </c>
    </row>
    <row r="15" ht="43" customHeight="1">
      <c r="A15" s="41" t="inlineStr">
        <is>
          <t>What to enter</t>
        </is>
      </c>
      <c r="B15" s="43" t="inlineStr">
        <is>
          <t>Coverage, field rule or document rule</t>
        </is>
      </c>
      <c r="C15" s="43" t="inlineStr">
        <is>
          <t>Line or product the row applies to; * = every product</t>
        </is>
      </c>
      <c r="D15" s="43" t="inlineStr">
        <is>
          <t>Coverage code, or field key of the rule</t>
        </is>
      </c>
      <c r="E15" s="43" t="inlineStr">
        <is>
          <t>Name of the coverage or label of the field</t>
        </is>
      </c>
      <c r="F15" s="43" t="inlineStr">
        <is>
          <t>Coverage kind, or check of the field rule</t>
        </is>
      </c>
      <c r="G15" s="43" t="inlineStr">
        <is>
          <t>Y when the coverage is basic</t>
        </is>
      </c>
      <c r="H15" s="43" t="inlineStr">
        <is>
          <t>List code; minimum and maximum; pattern</t>
        </is>
      </c>
      <c r="I15" s="43" t="inlineStr">
        <is>
          <t>Document type of a document rule</t>
        </is>
      </c>
      <c r="J15" s="43" t="inlineStr">
        <is>
          <t>Y when the field or document is mandatory</t>
        </is>
      </c>
    </row>
    <row r="16" ht="30" customHeight="1">
      <c r="A16" s="44" t="inlineStr">
        <is>
          <t>Row</t>
        </is>
      </c>
      <c r="B16" s="45" t="inlineStr">
        <is>
          <t>Record *</t>
        </is>
      </c>
      <c r="C16" s="45" t="inlineStr">
        <is>
          <t>Line code / Risk code *</t>
        </is>
      </c>
      <c r="D16" s="45" t="inlineStr">
        <is>
          <t>Code or field key *</t>
        </is>
      </c>
      <c r="E16" s="45" t="inlineStr">
        <is>
          <t>Name or label *</t>
        </is>
      </c>
      <c r="F16" s="45" t="inlineStr">
        <is>
          <t>Kind or check *</t>
        </is>
      </c>
      <c r="G16" s="45" t="inlineStr">
        <is>
          <t>Basic</t>
        </is>
      </c>
      <c r="H16" s="45" t="inlineStr">
        <is>
          <t>Parameters</t>
        </is>
      </c>
      <c r="I16" s="45" t="inlineStr">
        <is>
          <t>Document type</t>
        </is>
      </c>
      <c r="J16" s="45" t="inlineStr">
        <is>
          <t>Mandatory *</t>
        </is>
      </c>
    </row>
    <row r="17" ht="18" customHeight="1">
      <c r="A17" s="46" t="inlineStr">
        <is>
          <t>Example – overwrite or delete</t>
        </is>
      </c>
      <c r="B17" s="47" t="inlineStr">
        <is>
          <t>COVERAGE</t>
        </is>
      </c>
      <c r="C17" s="47" t="inlineStr">
        <is>
          <t>MOTOR</t>
        </is>
      </c>
      <c r="D17" s="47" t="inlineStr">
        <is>
          <t>OD_THEFT</t>
        </is>
      </c>
      <c r="E17" s="47" t="inlineStr">
        <is>
          <t>Own damage and theft</t>
        </is>
      </c>
      <c r="F17" s="47" t="inlineStr">
        <is>
          <t>Coverage</t>
        </is>
      </c>
      <c r="G17" s="47" t="inlineStr">
        <is>
          <t>Y</t>
        </is>
      </c>
      <c r="H17" s="47" t="n"/>
      <c r="I17" s="47" t="n"/>
      <c r="J17" s="47" t="inlineStr">
        <is>
          <t>Y</t>
        </is>
      </c>
    </row>
    <row r="18">
      <c r="B18" s="49" t="n"/>
      <c r="C18" s="49" t="n"/>
      <c r="D18" s="49" t="n"/>
      <c r="E18" s="49" t="n"/>
      <c r="F18" s="49" t="n"/>
      <c r="G18" s="49" t="n"/>
      <c r="H18" s="49" t="n"/>
      <c r="I18" s="49" t="n"/>
      <c r="J18" s="49" t="n"/>
    </row>
    <row r="19">
      <c r="B19" s="49" t="n"/>
      <c r="C19" s="49" t="n"/>
      <c r="D19" s="49" t="n"/>
      <c r="E19" s="49" t="n"/>
      <c r="F19" s="49" t="n"/>
      <c r="G19" s="49" t="n"/>
      <c r="H19" s="49" t="n"/>
      <c r="I19" s="49" t="n"/>
      <c r="J19" s="49" t="n"/>
    </row>
    <row r="20">
      <c r="B20" s="49" t="n"/>
      <c r="C20" s="49" t="n"/>
      <c r="D20" s="49" t="n"/>
      <c r="E20" s="49" t="n"/>
      <c r="F20" s="49" t="n"/>
      <c r="G20" s="49" t="n"/>
      <c r="H20" s="49" t="n"/>
      <c r="I20" s="49" t="n"/>
      <c r="J20" s="49" t="n"/>
    </row>
    <row r="21">
      <c r="B21" s="49" t="n"/>
      <c r="C21" s="49" t="n"/>
      <c r="D21" s="49" t="n"/>
      <c r="E21" s="49" t="n"/>
      <c r="F21" s="49" t="n"/>
      <c r="G21" s="49" t="n"/>
      <c r="H21" s="49" t="n"/>
      <c r="I21" s="49" t="n"/>
      <c r="J21" s="49" t="n"/>
    </row>
    <row r="22">
      <c r="B22" s="49" t="n"/>
      <c r="C22" s="49" t="n"/>
      <c r="D22" s="49" t="n"/>
      <c r="E22" s="49" t="n"/>
      <c r="F22" s="49" t="n"/>
      <c r="G22" s="49" t="n"/>
      <c r="H22" s="49" t="n"/>
      <c r="I22" s="49" t="n"/>
      <c r="J22" s="49" t="n"/>
    </row>
    <row r="23">
      <c r="B23" s="49" t="n"/>
      <c r="C23" s="49" t="n"/>
      <c r="D23" s="49" t="n"/>
      <c r="E23" s="49" t="n"/>
      <c r="F23" s="49" t="n"/>
      <c r="G23" s="49" t="n"/>
      <c r="H23" s="49" t="n"/>
      <c r="I23" s="49" t="n"/>
      <c r="J23" s="49" t="n"/>
    </row>
    <row r="24">
      <c r="B24" s="49" t="n"/>
      <c r="C24" s="49" t="n"/>
      <c r="D24" s="49" t="n"/>
      <c r="E24" s="49" t="n"/>
      <c r="F24" s="49" t="n"/>
      <c r="G24" s="49" t="n"/>
      <c r="H24" s="49" t="n"/>
      <c r="I24" s="49" t="n"/>
      <c r="J24" s="49" t="n"/>
    </row>
    <row r="25">
      <c r="B25" s="49" t="n"/>
      <c r="C25" s="49" t="n"/>
      <c r="D25" s="49" t="n"/>
      <c r="E25" s="49" t="n"/>
      <c r="F25" s="49" t="n"/>
      <c r="G25" s="49" t="n"/>
      <c r="H25" s="49" t="n"/>
      <c r="I25" s="49" t="n"/>
      <c r="J25" s="49" t="n"/>
    </row>
    <row r="26">
      <c r="B26" s="49" t="n"/>
      <c r="C26" s="49" t="n"/>
      <c r="D26" s="49" t="n"/>
      <c r="E26" s="49" t="n"/>
      <c r="F26" s="49" t="n"/>
      <c r="G26" s="49" t="n"/>
      <c r="H26" s="49" t="n"/>
      <c r="I26" s="49" t="n"/>
      <c r="J26" s="49" t="n"/>
    </row>
    <row r="27">
      <c r="B27" s="49" t="n"/>
      <c r="C27" s="49" t="n"/>
      <c r="D27" s="49" t="n"/>
      <c r="E27" s="49" t="n"/>
      <c r="F27" s="49" t="n"/>
      <c r="G27" s="49" t="n"/>
      <c r="H27" s="49" t="n"/>
      <c r="I27" s="49" t="n"/>
      <c r="J27" s="49" t="n"/>
    </row>
    <row r="28">
      <c r="B28" s="49" t="n"/>
      <c r="C28" s="49" t="n"/>
      <c r="D28" s="49" t="n"/>
      <c r="E28" s="49" t="n"/>
      <c r="F28" s="49" t="n"/>
      <c r="G28" s="49" t="n"/>
      <c r="H28" s="49" t="n"/>
      <c r="I28" s="49" t="n"/>
      <c r="J28" s="49" t="n"/>
    </row>
    <row r="29">
      <c r="B29" s="49" t="n"/>
      <c r="C29" s="49" t="n"/>
      <c r="D29" s="49" t="n"/>
      <c r="E29" s="49" t="n"/>
      <c r="F29" s="49" t="n"/>
      <c r="G29" s="49" t="n"/>
      <c r="H29" s="49" t="n"/>
      <c r="I29" s="49" t="n"/>
      <c r="J29" s="49" t="n"/>
    </row>
    <row r="30">
      <c r="B30" s="49" t="n"/>
      <c r="C30" s="49" t="n"/>
      <c r="D30" s="49" t="n"/>
      <c r="E30" s="49" t="n"/>
      <c r="F30" s="49" t="n"/>
      <c r="G30" s="49" t="n"/>
      <c r="H30" s="49" t="n"/>
      <c r="I30" s="49" t="n"/>
      <c r="J30" s="49" t="n"/>
    </row>
    <row r="31">
      <c r="B31" s="49" t="n"/>
      <c r="C31" s="49" t="n"/>
      <c r="D31" s="49" t="n"/>
      <c r="E31" s="49" t="n"/>
      <c r="F31" s="49" t="n"/>
      <c r="G31" s="49" t="n"/>
      <c r="H31" s="49" t="n"/>
      <c r="I31" s="49" t="n"/>
      <c r="J31" s="49" t="n"/>
    </row>
    <row r="32">
      <c r="B32" s="49" t="n"/>
      <c r="C32" s="49" t="n"/>
      <c r="D32" s="49" t="n"/>
      <c r="E32" s="49" t="n"/>
      <c r="F32" s="49" t="n"/>
      <c r="G32" s="49" t="n"/>
      <c r="H32" s="49" t="n"/>
      <c r="I32" s="49" t="n"/>
      <c r="J32" s="49" t="n"/>
    </row>
    <row r="33">
      <c r="B33" s="49" t="n"/>
      <c r="C33" s="49" t="n"/>
      <c r="D33" s="49" t="n"/>
      <c r="E33" s="49" t="n"/>
      <c r="F33" s="49" t="n"/>
      <c r="G33" s="49" t="n"/>
      <c r="H33" s="49" t="n"/>
      <c r="I33" s="49" t="n"/>
      <c r="J33" s="49" t="n"/>
    </row>
    <row r="34">
      <c r="B34" s="49" t="n"/>
      <c r="C34" s="49" t="n"/>
      <c r="D34" s="49" t="n"/>
      <c r="E34" s="49" t="n"/>
      <c r="F34" s="49" t="n"/>
      <c r="G34" s="49" t="n"/>
      <c r="H34" s="49" t="n"/>
      <c r="I34" s="49" t="n"/>
      <c r="J34" s="49" t="n"/>
    </row>
    <row r="35">
      <c r="B35" s="49" t="n"/>
      <c r="C35" s="49" t="n"/>
      <c r="D35" s="49" t="n"/>
      <c r="E35" s="49" t="n"/>
      <c r="F35" s="49" t="n"/>
      <c r="G35" s="49" t="n"/>
      <c r="H35" s="49" t="n"/>
      <c r="I35" s="49" t="n"/>
      <c r="J35" s="49" t="n"/>
    </row>
    <row r="36">
      <c r="B36" s="49" t="n"/>
      <c r="C36" s="49" t="n"/>
      <c r="D36" s="49" t="n"/>
      <c r="E36" s="49" t="n"/>
      <c r="F36" s="49" t="n"/>
      <c r="G36" s="49" t="n"/>
      <c r="H36" s="49" t="n"/>
      <c r="I36" s="49" t="n"/>
      <c r="J36" s="49" t="n"/>
    </row>
    <row r="37">
      <c r="B37" s="49" t="n"/>
      <c r="C37" s="49" t="n"/>
      <c r="D37" s="49" t="n"/>
      <c r="E37" s="49" t="n"/>
      <c r="F37" s="49" t="n"/>
      <c r="G37" s="49" t="n"/>
      <c r="H37" s="49" t="n"/>
      <c r="I37" s="49" t="n"/>
      <c r="J37" s="49" t="n"/>
    </row>
    <row r="38">
      <c r="B38" s="49" t="n"/>
      <c r="C38" s="49" t="n"/>
      <c r="D38" s="49" t="n"/>
      <c r="E38" s="49" t="n"/>
      <c r="F38" s="49" t="n"/>
      <c r="G38" s="49" t="n"/>
      <c r="H38" s="49" t="n"/>
      <c r="I38" s="49" t="n"/>
      <c r="J38" s="49" t="n"/>
    </row>
    <row r="39">
      <c r="B39" s="49" t="n"/>
      <c r="C39" s="49" t="n"/>
      <c r="D39" s="49" t="n"/>
      <c r="E39" s="49" t="n"/>
      <c r="F39" s="49" t="n"/>
      <c r="G39" s="49" t="n"/>
      <c r="H39" s="49" t="n"/>
      <c r="I39" s="49" t="n"/>
      <c r="J39" s="49" t="n"/>
    </row>
    <row r="40">
      <c r="B40" s="49" t="n"/>
      <c r="C40" s="49" t="n"/>
      <c r="D40" s="49" t="n"/>
      <c r="E40" s="49" t="n"/>
      <c r="F40" s="49" t="n"/>
      <c r="G40" s="49" t="n"/>
      <c r="H40" s="49" t="n"/>
      <c r="I40" s="49" t="n"/>
      <c r="J40" s="49" t="n"/>
    </row>
    <row r="41">
      <c r="B41" s="49" t="n"/>
      <c r="C41" s="49" t="n"/>
      <c r="D41" s="49" t="n"/>
      <c r="E41" s="49" t="n"/>
      <c r="F41" s="49" t="n"/>
      <c r="G41" s="49" t="n"/>
      <c r="H41" s="49" t="n"/>
      <c r="I41" s="49" t="n"/>
      <c r="J41" s="49" t="n"/>
    </row>
    <row r="42">
      <c r="B42" s="49" t="n"/>
      <c r="C42" s="49" t="n"/>
      <c r="D42" s="49" t="n"/>
      <c r="E42" s="49" t="n"/>
      <c r="F42" s="49" t="n"/>
      <c r="G42" s="49" t="n"/>
      <c r="H42" s="49" t="n"/>
      <c r="I42" s="49" t="n"/>
      <c r="J42" s="49" t="n"/>
    </row>
    <row r="43">
      <c r="B43" s="49" t="n"/>
      <c r="C43" s="49" t="n"/>
      <c r="D43" s="49" t="n"/>
      <c r="E43" s="49" t="n"/>
      <c r="F43" s="49" t="n"/>
      <c r="G43" s="49" t="n"/>
      <c r="H43" s="49" t="n"/>
      <c r="I43" s="49" t="n"/>
      <c r="J43" s="49" t="n"/>
    </row>
    <row r="44">
      <c r="B44" s="49" t="n"/>
      <c r="C44" s="49" t="n"/>
      <c r="D44" s="49" t="n"/>
      <c r="E44" s="49" t="n"/>
      <c r="F44" s="49" t="n"/>
      <c r="G44" s="49" t="n"/>
      <c r="H44" s="49" t="n"/>
      <c r="I44" s="49" t="n"/>
      <c r="J44" s="49" t="n"/>
    </row>
    <row r="45">
      <c r="B45" s="49" t="n"/>
      <c r="C45" s="49" t="n"/>
      <c r="D45" s="49" t="n"/>
      <c r="E45" s="49" t="n"/>
      <c r="F45" s="49" t="n"/>
      <c r="G45" s="49" t="n"/>
      <c r="H45" s="49" t="n"/>
      <c r="I45" s="49" t="n"/>
      <c r="J45" s="49" t="n"/>
    </row>
    <row r="46">
      <c r="B46" s="49" t="n"/>
      <c r="C46" s="49" t="n"/>
      <c r="D46" s="49" t="n"/>
      <c r="E46" s="49" t="n"/>
      <c r="F46" s="49" t="n"/>
      <c r="G46" s="49" t="n"/>
      <c r="H46" s="49" t="n"/>
      <c r="I46" s="49" t="n"/>
      <c r="J46" s="49" t="n"/>
    </row>
    <row r="47">
      <c r="B47" s="49" t="n"/>
      <c r="C47" s="49" t="n"/>
      <c r="D47" s="49" t="n"/>
      <c r="E47" s="49" t="n"/>
      <c r="F47" s="49" t="n"/>
      <c r="G47" s="49" t="n"/>
      <c r="H47" s="49" t="n"/>
      <c r="I47" s="49" t="n"/>
      <c r="J47" s="49" t="n"/>
    </row>
    <row r="48">
      <c r="B48" s="49" t="n"/>
      <c r="C48" s="49" t="n"/>
      <c r="D48" s="49" t="n"/>
      <c r="E48" s="49" t="n"/>
      <c r="F48" s="49" t="n"/>
      <c r="G48" s="49" t="n"/>
      <c r="H48" s="49" t="n"/>
      <c r="I48" s="49" t="n"/>
      <c r="J48" s="49" t="n"/>
    </row>
    <row r="49">
      <c r="B49" s="49" t="n"/>
      <c r="C49" s="49" t="n"/>
      <c r="D49" s="49" t="n"/>
      <c r="E49" s="49" t="n"/>
      <c r="F49" s="49" t="n"/>
      <c r="G49" s="49" t="n"/>
      <c r="H49" s="49" t="n"/>
      <c r="I49" s="49" t="n"/>
      <c r="J49" s="49" t="n"/>
    </row>
    <row r="50">
      <c r="B50" s="49" t="n"/>
      <c r="C50" s="49" t="n"/>
      <c r="D50" s="49" t="n"/>
      <c r="E50" s="49" t="n"/>
      <c r="F50" s="49" t="n"/>
      <c r="G50" s="49" t="n"/>
      <c r="H50" s="49" t="n"/>
      <c r="I50" s="49" t="n"/>
      <c r="J50" s="49" t="n"/>
    </row>
    <row r="51">
      <c r="B51" s="49" t="n"/>
      <c r="C51" s="49" t="n"/>
      <c r="D51" s="49" t="n"/>
      <c r="E51" s="49" t="n"/>
      <c r="F51" s="49" t="n"/>
      <c r="G51" s="49" t="n"/>
      <c r="H51" s="49" t="n"/>
      <c r="I51" s="49" t="n"/>
      <c r="J51" s="49" t="n"/>
    </row>
    <row r="52">
      <c r="B52" s="49" t="n"/>
      <c r="C52" s="49" t="n"/>
      <c r="D52" s="49" t="n"/>
      <c r="E52" s="49" t="n"/>
      <c r="F52" s="49" t="n"/>
      <c r="G52" s="49" t="n"/>
      <c r="H52" s="49" t="n"/>
      <c r="I52" s="49" t="n"/>
      <c r="J52" s="49" t="n"/>
    </row>
    <row r="53">
      <c r="B53" s="49" t="n"/>
      <c r="C53" s="49" t="n"/>
      <c r="D53" s="49" t="n"/>
      <c r="E53" s="49" t="n"/>
      <c r="F53" s="49" t="n"/>
      <c r="G53" s="49" t="n"/>
      <c r="H53" s="49" t="n"/>
      <c r="I53" s="49" t="n"/>
      <c r="J53" s="49" t="n"/>
    </row>
    <row r="54">
      <c r="B54" s="49" t="n"/>
      <c r="C54" s="49" t="n"/>
      <c r="D54" s="49" t="n"/>
      <c r="E54" s="49" t="n"/>
      <c r="F54" s="49" t="n"/>
      <c r="G54" s="49" t="n"/>
      <c r="H54" s="49" t="n"/>
      <c r="I54" s="49" t="n"/>
      <c r="J54" s="49" t="n"/>
    </row>
    <row r="55">
      <c r="B55" s="49" t="n"/>
      <c r="C55" s="49" t="n"/>
      <c r="D55" s="49" t="n"/>
      <c r="E55" s="49" t="n"/>
      <c r="F55" s="49" t="n"/>
      <c r="G55" s="49" t="n"/>
      <c r="H55" s="49" t="n"/>
      <c r="I55" s="49" t="n"/>
      <c r="J55" s="49" t="n"/>
    </row>
    <row r="56">
      <c r="B56" s="49" t="n"/>
      <c r="C56" s="49" t="n"/>
      <c r="D56" s="49" t="n"/>
      <c r="E56" s="49" t="n"/>
      <c r="F56" s="49" t="n"/>
      <c r="G56" s="49" t="n"/>
      <c r="H56" s="49" t="n"/>
      <c r="I56" s="49" t="n"/>
      <c r="J56" s="49" t="n"/>
    </row>
    <row r="57">
      <c r="B57" s="49" t="n"/>
      <c r="C57" s="49" t="n"/>
      <c r="D57" s="49" t="n"/>
      <c r="E57" s="49" t="n"/>
      <c r="F57" s="49" t="n"/>
      <c r="G57" s="49" t="n"/>
      <c r="H57" s="49" t="n"/>
      <c r="I57" s="49" t="n"/>
      <c r="J57" s="49" t="n"/>
    </row>
    <row r="58">
      <c r="B58" s="49" t="n"/>
      <c r="C58" s="49" t="n"/>
      <c r="D58" s="49" t="n"/>
      <c r="E58" s="49" t="n"/>
      <c r="F58" s="49" t="n"/>
      <c r="G58" s="49" t="n"/>
      <c r="H58" s="49" t="n"/>
      <c r="I58" s="49" t="n"/>
      <c r="J58" s="49" t="n"/>
    </row>
    <row r="59">
      <c r="B59" s="49" t="n"/>
      <c r="C59" s="49" t="n"/>
      <c r="D59" s="49" t="n"/>
      <c r="E59" s="49" t="n"/>
      <c r="F59" s="49" t="n"/>
      <c r="G59" s="49" t="n"/>
      <c r="H59" s="49" t="n"/>
      <c r="I59" s="49" t="n"/>
      <c r="J59" s="49" t="n"/>
    </row>
    <row r="60">
      <c r="B60" s="49" t="n"/>
      <c r="C60" s="49" t="n"/>
      <c r="D60" s="49" t="n"/>
      <c r="E60" s="49" t="n"/>
      <c r="F60" s="49" t="n"/>
      <c r="G60" s="49" t="n"/>
      <c r="H60" s="49" t="n"/>
      <c r="I60" s="49" t="n"/>
      <c r="J60" s="49" t="n"/>
    </row>
    <row r="61">
      <c r="B61" s="49" t="n"/>
      <c r="C61" s="49" t="n"/>
      <c r="D61" s="49" t="n"/>
      <c r="E61" s="49" t="n"/>
      <c r="F61" s="49" t="n"/>
      <c r="G61" s="49" t="n"/>
      <c r="H61" s="49" t="n"/>
      <c r="I61" s="49" t="n"/>
      <c r="J61" s="49" t="n"/>
    </row>
    <row r="62">
      <c r="B62" s="49" t="n"/>
      <c r="C62" s="49" t="n"/>
      <c r="D62" s="49" t="n"/>
      <c r="E62" s="49" t="n"/>
      <c r="F62" s="49" t="n"/>
      <c r="G62" s="49" t="n"/>
      <c r="H62" s="49" t="n"/>
      <c r="I62" s="49" t="n"/>
      <c r="J62" s="49" t="n"/>
    </row>
    <row r="63">
      <c r="B63" s="49" t="n"/>
      <c r="C63" s="49" t="n"/>
      <c r="D63" s="49" t="n"/>
      <c r="E63" s="49" t="n"/>
      <c r="F63" s="49" t="n"/>
      <c r="G63" s="49" t="n"/>
      <c r="H63" s="49" t="n"/>
      <c r="I63" s="49" t="n"/>
      <c r="J63" s="49" t="n"/>
    </row>
    <row r="64">
      <c r="B64" s="49" t="n"/>
      <c r="C64" s="49" t="n"/>
      <c r="D64" s="49" t="n"/>
      <c r="E64" s="49" t="n"/>
      <c r="F64" s="49" t="n"/>
      <c r="G64" s="49" t="n"/>
      <c r="H64" s="49" t="n"/>
      <c r="I64" s="49" t="n"/>
      <c r="J64" s="49" t="n"/>
    </row>
    <row r="65">
      <c r="B65" s="49" t="n"/>
      <c r="C65" s="49" t="n"/>
      <c r="D65" s="49" t="n"/>
      <c r="E65" s="49" t="n"/>
      <c r="F65" s="49" t="n"/>
      <c r="G65" s="49" t="n"/>
      <c r="H65" s="49" t="n"/>
      <c r="I65" s="49" t="n"/>
      <c r="J65" s="49" t="n"/>
    </row>
    <row r="66">
      <c r="B66" s="49" t="n"/>
      <c r="C66" s="49" t="n"/>
      <c r="D66" s="49" t="n"/>
      <c r="E66" s="49" t="n"/>
      <c r="F66" s="49" t="n"/>
      <c r="G66" s="49" t="n"/>
      <c r="H66" s="49" t="n"/>
      <c r="I66" s="49" t="n"/>
      <c r="J66" s="49" t="n"/>
    </row>
    <row r="67">
      <c r="B67" s="49" t="n"/>
      <c r="C67" s="49" t="n"/>
      <c r="D67" s="49" t="n"/>
      <c r="E67" s="49" t="n"/>
      <c r="F67" s="49" t="n"/>
      <c r="G67" s="49" t="n"/>
      <c r="H67" s="49" t="n"/>
      <c r="I67" s="49" t="n"/>
      <c r="J67" s="49" t="n"/>
    </row>
    <row r="68">
      <c r="B68" s="49" t="n"/>
      <c r="C68" s="49" t="n"/>
      <c r="D68" s="49" t="n"/>
      <c r="E68" s="49" t="n"/>
      <c r="F68" s="49" t="n"/>
      <c r="G68" s="49" t="n"/>
      <c r="H68" s="49" t="n"/>
      <c r="I68" s="49" t="n"/>
      <c r="J68" s="49" t="n"/>
    </row>
    <row r="69">
      <c r="B69" s="49" t="n"/>
      <c r="C69" s="49" t="n"/>
      <c r="D69" s="49" t="n"/>
      <c r="E69" s="49" t="n"/>
      <c r="F69" s="49" t="n"/>
      <c r="G69" s="49" t="n"/>
      <c r="H69" s="49" t="n"/>
      <c r="I69" s="49" t="n"/>
      <c r="J69" s="49" t="n"/>
    </row>
    <row r="70">
      <c r="B70" s="49" t="n"/>
      <c r="C70" s="49" t="n"/>
      <c r="D70" s="49" t="n"/>
      <c r="E70" s="49" t="n"/>
      <c r="F70" s="49" t="n"/>
      <c r="G70" s="49" t="n"/>
      <c r="H70" s="49" t="n"/>
      <c r="I70" s="49" t="n"/>
      <c r="J70" s="49" t="n"/>
    </row>
    <row r="71">
      <c r="B71" s="49" t="n"/>
      <c r="C71" s="49" t="n"/>
      <c r="D71" s="49" t="n"/>
      <c r="E71" s="49" t="n"/>
      <c r="F71" s="49" t="n"/>
      <c r="G71" s="49" t="n"/>
      <c r="H71" s="49" t="n"/>
      <c r="I71" s="49" t="n"/>
      <c r="J71" s="49" t="n"/>
    </row>
    <row r="72">
      <c r="B72" s="49" t="n"/>
      <c r="C72" s="49" t="n"/>
      <c r="D72" s="49" t="n"/>
      <c r="E72" s="49" t="n"/>
      <c r="F72" s="49" t="n"/>
      <c r="G72" s="49" t="n"/>
      <c r="H72" s="49" t="n"/>
      <c r="I72" s="49" t="n"/>
      <c r="J72" s="49" t="n"/>
    </row>
    <row r="73">
      <c r="B73" s="49" t="n"/>
      <c r="C73" s="49" t="n"/>
      <c r="D73" s="49" t="n"/>
      <c r="E73" s="49" t="n"/>
      <c r="F73" s="49" t="n"/>
      <c r="G73" s="49" t="n"/>
      <c r="H73" s="49" t="n"/>
      <c r="I73" s="49" t="n"/>
      <c r="J73" s="49" t="n"/>
    </row>
    <row r="74">
      <c r="B74" s="49" t="n"/>
      <c r="C74" s="49" t="n"/>
      <c r="D74" s="49" t="n"/>
      <c r="E74" s="49" t="n"/>
      <c r="F74" s="49" t="n"/>
      <c r="G74" s="49" t="n"/>
      <c r="H74" s="49" t="n"/>
      <c r="I74" s="49" t="n"/>
      <c r="J74" s="49" t="n"/>
    </row>
    <row r="75">
      <c r="B75" s="49" t="n"/>
      <c r="C75" s="49" t="n"/>
      <c r="D75" s="49" t="n"/>
      <c r="E75" s="49" t="n"/>
      <c r="F75" s="49" t="n"/>
      <c r="G75" s="49" t="n"/>
      <c r="H75" s="49" t="n"/>
      <c r="I75" s="49" t="n"/>
      <c r="J75" s="49" t="n"/>
    </row>
    <row r="76">
      <c r="B76" s="49" t="n"/>
      <c r="C76" s="49" t="n"/>
      <c r="D76" s="49" t="n"/>
      <c r="E76" s="49" t="n"/>
      <c r="F76" s="49" t="n"/>
      <c r="G76" s="49" t="n"/>
      <c r="H76" s="49" t="n"/>
      <c r="I76" s="49" t="n"/>
      <c r="J76" s="49" t="n"/>
    </row>
    <row r="77">
      <c r="B77" s="49" t="n"/>
      <c r="C77" s="49" t="n"/>
      <c r="D77" s="49" t="n"/>
      <c r="E77" s="49" t="n"/>
      <c r="F77" s="49" t="n"/>
      <c r="G77" s="49" t="n"/>
      <c r="H77" s="49" t="n"/>
      <c r="I77" s="49" t="n"/>
      <c r="J77" s="49" t="n"/>
    </row>
    <row r="78">
      <c r="B78" s="49" t="n"/>
      <c r="C78" s="49" t="n"/>
      <c r="D78" s="49" t="n"/>
      <c r="E78" s="49" t="n"/>
      <c r="F78" s="49" t="n"/>
      <c r="G78" s="49" t="n"/>
      <c r="H78" s="49" t="n"/>
      <c r="I78" s="49" t="n"/>
      <c r="J78" s="49" t="n"/>
    </row>
    <row r="79">
      <c r="B79" s="49" t="n"/>
      <c r="C79" s="49" t="n"/>
      <c r="D79" s="49" t="n"/>
      <c r="E79" s="49" t="n"/>
      <c r="F79" s="49" t="n"/>
      <c r="G79" s="49" t="n"/>
      <c r="H79" s="49" t="n"/>
      <c r="I79" s="49" t="n"/>
      <c r="J79" s="49" t="n"/>
    </row>
    <row r="80">
      <c r="B80" s="49" t="n"/>
      <c r="C80" s="49" t="n"/>
      <c r="D80" s="49" t="n"/>
      <c r="E80" s="49" t="n"/>
      <c r="F80" s="49" t="n"/>
      <c r="G80" s="49" t="n"/>
      <c r="H80" s="49" t="n"/>
      <c r="I80" s="49" t="n"/>
      <c r="J80" s="49" t="n"/>
    </row>
    <row r="81">
      <c r="B81" s="49" t="n"/>
      <c r="C81" s="49" t="n"/>
      <c r="D81" s="49" t="n"/>
      <c r="E81" s="49" t="n"/>
      <c r="F81" s="49" t="n"/>
      <c r="G81" s="49" t="n"/>
      <c r="H81" s="49" t="n"/>
      <c r="I81" s="49" t="n"/>
      <c r="J81" s="49" t="n"/>
    </row>
    <row r="82">
      <c r="B82" s="49" t="n"/>
      <c r="C82" s="49" t="n"/>
      <c r="D82" s="49" t="n"/>
      <c r="E82" s="49" t="n"/>
      <c r="F82" s="49" t="n"/>
      <c r="G82" s="49" t="n"/>
      <c r="H82" s="49" t="n"/>
      <c r="I82" s="49" t="n"/>
      <c r="J82" s="49" t="n"/>
    </row>
    <row r="83">
      <c r="B83" s="49" t="n"/>
      <c r="C83" s="49" t="n"/>
      <c r="D83" s="49" t="n"/>
      <c r="E83" s="49" t="n"/>
      <c r="F83" s="49" t="n"/>
      <c r="G83" s="49" t="n"/>
      <c r="H83" s="49" t="n"/>
      <c r="I83" s="49" t="n"/>
      <c r="J83" s="49" t="n"/>
    </row>
    <row r="84">
      <c r="B84" s="49" t="n"/>
      <c r="C84" s="49" t="n"/>
      <c r="D84" s="49" t="n"/>
      <c r="E84" s="49" t="n"/>
      <c r="F84" s="49" t="n"/>
      <c r="G84" s="49" t="n"/>
      <c r="H84" s="49" t="n"/>
      <c r="I84" s="49" t="n"/>
      <c r="J84" s="49" t="n"/>
    </row>
    <row r="85">
      <c r="B85" s="49" t="n"/>
      <c r="C85" s="49" t="n"/>
      <c r="D85" s="49" t="n"/>
      <c r="E85" s="49" t="n"/>
      <c r="F85" s="49" t="n"/>
      <c r="G85" s="49" t="n"/>
      <c r="H85" s="49" t="n"/>
      <c r="I85" s="49" t="n"/>
      <c r="J85" s="49" t="n"/>
    </row>
    <row r="86">
      <c r="B86" s="49" t="n"/>
      <c r="C86" s="49" t="n"/>
      <c r="D86" s="49" t="n"/>
      <c r="E86" s="49" t="n"/>
      <c r="F86" s="49" t="n"/>
      <c r="G86" s="49" t="n"/>
      <c r="H86" s="49" t="n"/>
      <c r="I86" s="49" t="n"/>
      <c r="J86" s="49" t="n"/>
    </row>
    <row r="87">
      <c r="B87" s="49" t="n"/>
      <c r="C87" s="49" t="n"/>
      <c r="D87" s="49" t="n"/>
      <c r="E87" s="49" t="n"/>
      <c r="F87" s="49" t="n"/>
      <c r="G87" s="49" t="n"/>
      <c r="H87" s="49" t="n"/>
      <c r="I87" s="49" t="n"/>
      <c r="J87" s="49" t="n"/>
    </row>
    <row r="88">
      <c r="B88" s="49" t="n"/>
      <c r="C88" s="49" t="n"/>
      <c r="D88" s="49" t="n"/>
      <c r="E88" s="49" t="n"/>
      <c r="F88" s="49" t="n"/>
      <c r="G88" s="49" t="n"/>
      <c r="H88" s="49" t="n"/>
      <c r="I88" s="49" t="n"/>
      <c r="J88" s="49" t="n"/>
    </row>
    <row r="89">
      <c r="B89" s="49" t="n"/>
      <c r="C89" s="49" t="n"/>
      <c r="D89" s="49" t="n"/>
      <c r="E89" s="49" t="n"/>
      <c r="F89" s="49" t="n"/>
      <c r="G89" s="49" t="n"/>
      <c r="H89" s="49" t="n"/>
      <c r="I89" s="49" t="n"/>
      <c r="J89" s="49" t="n"/>
    </row>
    <row r="90">
      <c r="B90" s="49" t="n"/>
      <c r="C90" s="49" t="n"/>
      <c r="D90" s="49" t="n"/>
      <c r="E90" s="49" t="n"/>
      <c r="F90" s="49" t="n"/>
      <c r="G90" s="49" t="n"/>
      <c r="H90" s="49" t="n"/>
      <c r="I90" s="49" t="n"/>
      <c r="J90" s="49" t="n"/>
    </row>
    <row r="91">
      <c r="B91" s="49" t="n"/>
      <c r="C91" s="49" t="n"/>
      <c r="D91" s="49" t="n"/>
      <c r="E91" s="49" t="n"/>
      <c r="F91" s="49" t="n"/>
      <c r="G91" s="49" t="n"/>
      <c r="H91" s="49" t="n"/>
      <c r="I91" s="49" t="n"/>
      <c r="J91" s="49" t="n"/>
    </row>
    <row r="92">
      <c r="B92" s="49" t="n"/>
      <c r="C92" s="49" t="n"/>
      <c r="D92" s="49" t="n"/>
      <c r="E92" s="49" t="n"/>
      <c r="F92" s="49" t="n"/>
      <c r="G92" s="49" t="n"/>
      <c r="H92" s="49" t="n"/>
      <c r="I92" s="49" t="n"/>
      <c r="J92" s="49" t="n"/>
    </row>
    <row r="93">
      <c r="B93" s="49" t="n"/>
      <c r="C93" s="49" t="n"/>
      <c r="D93" s="49" t="n"/>
      <c r="E93" s="49" t="n"/>
      <c r="F93" s="49" t="n"/>
      <c r="G93" s="49" t="n"/>
      <c r="H93" s="49" t="n"/>
      <c r="I93" s="49" t="n"/>
      <c r="J93" s="49" t="n"/>
    </row>
    <row r="94">
      <c r="B94" s="49" t="n"/>
      <c r="C94" s="49" t="n"/>
      <c r="D94" s="49" t="n"/>
      <c r="E94" s="49" t="n"/>
      <c r="F94" s="49" t="n"/>
      <c r="G94" s="49" t="n"/>
      <c r="H94" s="49" t="n"/>
      <c r="I94" s="49" t="n"/>
      <c r="J94" s="49" t="n"/>
    </row>
    <row r="95">
      <c r="B95" s="49" t="n"/>
      <c r="C95" s="49" t="n"/>
      <c r="D95" s="49" t="n"/>
      <c r="E95" s="49" t="n"/>
      <c r="F95" s="49" t="n"/>
      <c r="G95" s="49" t="n"/>
      <c r="H95" s="49" t="n"/>
      <c r="I95" s="49" t="n"/>
      <c r="J95" s="49" t="n"/>
    </row>
    <row r="96">
      <c r="B96" s="49" t="n"/>
      <c r="C96" s="49" t="n"/>
      <c r="D96" s="49" t="n"/>
      <c r="E96" s="49" t="n"/>
      <c r="F96" s="49" t="n"/>
      <c r="G96" s="49" t="n"/>
      <c r="H96" s="49" t="n"/>
      <c r="I96" s="49" t="n"/>
      <c r="J96" s="49" t="n"/>
    </row>
    <row r="97">
      <c r="B97" s="49" t="n"/>
      <c r="C97" s="49" t="n"/>
      <c r="D97" s="49" t="n"/>
      <c r="E97" s="49" t="n"/>
      <c r="F97" s="49" t="n"/>
      <c r="G97" s="49" t="n"/>
      <c r="H97" s="49" t="n"/>
      <c r="I97" s="49" t="n"/>
      <c r="J97" s="49" t="n"/>
    </row>
    <row r="98">
      <c r="B98" s="49" t="n"/>
      <c r="C98" s="49" t="n"/>
      <c r="D98" s="49" t="n"/>
      <c r="E98" s="49" t="n"/>
      <c r="F98" s="49" t="n"/>
      <c r="G98" s="49" t="n"/>
      <c r="H98" s="49" t="n"/>
      <c r="I98" s="49" t="n"/>
      <c r="J98" s="49" t="n"/>
    </row>
    <row r="99">
      <c r="B99" s="49" t="n"/>
      <c r="C99" s="49" t="n"/>
      <c r="D99" s="49" t="n"/>
      <c r="E99" s="49" t="n"/>
      <c r="F99" s="49" t="n"/>
      <c r="G99" s="49" t="n"/>
      <c r="H99" s="49" t="n"/>
      <c r="I99" s="49" t="n"/>
      <c r="J99" s="49" t="n"/>
    </row>
    <row r="100">
      <c r="B100" s="49" t="n"/>
      <c r="C100" s="49" t="n"/>
      <c r="D100" s="49" t="n"/>
      <c r="E100" s="49" t="n"/>
      <c r="F100" s="49" t="n"/>
      <c r="G100" s="49" t="n"/>
      <c r="H100" s="49" t="n"/>
      <c r="I100" s="49" t="n"/>
      <c r="J100" s="49" t="n"/>
    </row>
    <row r="101">
      <c r="B101" s="49" t="n"/>
      <c r="C101" s="49" t="n"/>
      <c r="D101" s="49" t="n"/>
      <c r="E101" s="49" t="n"/>
      <c r="F101" s="49" t="n"/>
      <c r="G101" s="49" t="n"/>
      <c r="H101" s="49" t="n"/>
      <c r="I101" s="49" t="n"/>
      <c r="J101" s="49" t="n"/>
    </row>
    <row r="102">
      <c r="B102" s="49" t="n"/>
      <c r="C102" s="49" t="n"/>
      <c r="D102" s="49" t="n"/>
      <c r="E102" s="49" t="n"/>
      <c r="F102" s="49" t="n"/>
      <c r="G102" s="49" t="n"/>
      <c r="H102" s="49" t="n"/>
      <c r="I102" s="49" t="n"/>
      <c r="J102" s="49" t="n"/>
    </row>
    <row r="103">
      <c r="B103" s="49" t="n"/>
      <c r="C103" s="49" t="n"/>
      <c r="D103" s="49" t="n"/>
      <c r="E103" s="49" t="n"/>
      <c r="F103" s="49" t="n"/>
      <c r="G103" s="49" t="n"/>
      <c r="H103" s="49" t="n"/>
      <c r="I103" s="49" t="n"/>
      <c r="J103" s="49" t="n"/>
    </row>
    <row r="104">
      <c r="B104" s="49" t="n"/>
      <c r="C104" s="49" t="n"/>
      <c r="D104" s="49" t="n"/>
      <c r="E104" s="49" t="n"/>
      <c r="F104" s="49" t="n"/>
      <c r="G104" s="49" t="n"/>
      <c r="H104" s="49" t="n"/>
      <c r="I104" s="49" t="n"/>
      <c r="J104" s="49" t="n"/>
    </row>
    <row r="105">
      <c r="B105" s="49" t="n"/>
      <c r="C105" s="49" t="n"/>
      <c r="D105" s="49" t="n"/>
      <c r="E105" s="49" t="n"/>
      <c r="F105" s="49" t="n"/>
      <c r="G105" s="49" t="n"/>
      <c r="H105" s="49" t="n"/>
      <c r="I105" s="49" t="n"/>
      <c r="J105" s="49" t="n"/>
    </row>
    <row r="106">
      <c r="B106" s="49" t="n"/>
      <c r="C106" s="49" t="n"/>
      <c r="D106" s="49" t="n"/>
      <c r="E106" s="49" t="n"/>
      <c r="F106" s="49" t="n"/>
      <c r="G106" s="49" t="n"/>
      <c r="H106" s="49" t="n"/>
      <c r="I106" s="49" t="n"/>
      <c r="J106" s="49" t="n"/>
    </row>
    <row r="107">
      <c r="B107" s="49" t="n"/>
      <c r="C107" s="49" t="n"/>
      <c r="D107" s="49" t="n"/>
      <c r="E107" s="49" t="n"/>
      <c r="F107" s="49" t="n"/>
      <c r="G107" s="49" t="n"/>
      <c r="H107" s="49" t="n"/>
      <c r="I107" s="49" t="n"/>
      <c r="J107" s="49" t="n"/>
    </row>
    <row r="108">
      <c r="B108" s="49" t="n"/>
      <c r="C108" s="49" t="n"/>
      <c r="D108" s="49" t="n"/>
      <c r="E108" s="49" t="n"/>
      <c r="F108" s="49" t="n"/>
      <c r="G108" s="49" t="n"/>
      <c r="H108" s="49" t="n"/>
      <c r="I108" s="49" t="n"/>
      <c r="J108" s="49" t="n"/>
    </row>
    <row r="109">
      <c r="B109" s="49" t="n"/>
      <c r="C109" s="49" t="n"/>
      <c r="D109" s="49" t="n"/>
      <c r="E109" s="49" t="n"/>
      <c r="F109" s="49" t="n"/>
      <c r="G109" s="49" t="n"/>
      <c r="H109" s="49" t="n"/>
      <c r="I109" s="49" t="n"/>
      <c r="J109" s="49" t="n"/>
    </row>
    <row r="110">
      <c r="B110" s="49" t="n"/>
      <c r="C110" s="49" t="n"/>
      <c r="D110" s="49" t="n"/>
      <c r="E110" s="49" t="n"/>
      <c r="F110" s="49" t="n"/>
      <c r="G110" s="49" t="n"/>
      <c r="H110" s="49" t="n"/>
      <c r="I110" s="49" t="n"/>
      <c r="J110" s="49" t="n"/>
    </row>
    <row r="111">
      <c r="B111" s="49" t="n"/>
      <c r="C111" s="49" t="n"/>
      <c r="D111" s="49" t="n"/>
      <c r="E111" s="49" t="n"/>
      <c r="F111" s="49" t="n"/>
      <c r="G111" s="49" t="n"/>
      <c r="H111" s="49" t="n"/>
      <c r="I111" s="49" t="n"/>
      <c r="J111" s="49" t="n"/>
    </row>
    <row r="112">
      <c r="B112" s="49" t="n"/>
      <c r="C112" s="49" t="n"/>
      <c r="D112" s="49" t="n"/>
      <c r="E112" s="49" t="n"/>
      <c r="F112" s="49" t="n"/>
      <c r="G112" s="49" t="n"/>
      <c r="H112" s="49" t="n"/>
      <c r="I112" s="49" t="n"/>
      <c r="J112" s="49" t="n"/>
    </row>
    <row r="113">
      <c r="B113" s="49" t="n"/>
      <c r="C113" s="49" t="n"/>
      <c r="D113" s="49" t="n"/>
      <c r="E113" s="49" t="n"/>
      <c r="F113" s="49" t="n"/>
      <c r="G113" s="49" t="n"/>
      <c r="H113" s="49" t="n"/>
      <c r="I113" s="49" t="n"/>
      <c r="J113" s="49" t="n"/>
    </row>
    <row r="114">
      <c r="B114" s="49" t="n"/>
      <c r="C114" s="49" t="n"/>
      <c r="D114" s="49" t="n"/>
      <c r="E114" s="49" t="n"/>
      <c r="F114" s="49" t="n"/>
      <c r="G114" s="49" t="n"/>
      <c r="H114" s="49" t="n"/>
      <c r="I114" s="49" t="n"/>
      <c r="J114" s="49" t="n"/>
    </row>
    <row r="115">
      <c r="B115" s="49" t="n"/>
      <c r="C115" s="49" t="n"/>
      <c r="D115" s="49" t="n"/>
      <c r="E115" s="49" t="n"/>
      <c r="F115" s="49" t="n"/>
      <c r="G115" s="49" t="n"/>
      <c r="H115" s="49" t="n"/>
      <c r="I115" s="49" t="n"/>
      <c r="J115" s="49" t="n"/>
    </row>
    <row r="116">
      <c r="B116" s="49" t="n"/>
      <c r="C116" s="49" t="n"/>
      <c r="D116" s="49" t="n"/>
      <c r="E116" s="49" t="n"/>
      <c r="F116" s="49" t="n"/>
      <c r="G116" s="49" t="n"/>
      <c r="H116" s="49" t="n"/>
      <c r="I116" s="49" t="n"/>
      <c r="J116" s="49" t="n"/>
    </row>
    <row r="117">
      <c r="B117" s="49" t="n"/>
      <c r="C117" s="49" t="n"/>
      <c r="D117" s="49" t="n"/>
      <c r="E117" s="49" t="n"/>
      <c r="F117" s="49" t="n"/>
      <c r="G117" s="49" t="n"/>
      <c r="H117" s="49" t="n"/>
      <c r="I117" s="49" t="n"/>
      <c r="J117" s="49" t="n"/>
    </row>
    <row r="118">
      <c r="B118" s="49" t="n"/>
      <c r="C118" s="49" t="n"/>
      <c r="D118" s="49" t="n"/>
      <c r="E118" s="49" t="n"/>
      <c r="F118" s="49" t="n"/>
      <c r="G118" s="49" t="n"/>
      <c r="H118" s="49" t="n"/>
      <c r="I118" s="49" t="n"/>
      <c r="J118" s="49" t="n"/>
    </row>
    <row r="119">
      <c r="B119" s="49" t="n"/>
      <c r="C119" s="49" t="n"/>
      <c r="D119" s="49" t="n"/>
      <c r="E119" s="49" t="n"/>
      <c r="F119" s="49" t="n"/>
      <c r="G119" s="49" t="n"/>
      <c r="H119" s="49" t="n"/>
      <c r="I119" s="49" t="n"/>
      <c r="J119" s="49" t="n"/>
    </row>
    <row r="120">
      <c r="B120" s="49" t="n"/>
      <c r="C120" s="49" t="n"/>
      <c r="D120" s="49" t="n"/>
      <c r="E120" s="49" t="n"/>
      <c r="F120" s="49" t="n"/>
      <c r="G120" s="49" t="n"/>
      <c r="H120" s="49" t="n"/>
      <c r="I120" s="49" t="n"/>
      <c r="J120" s="49" t="n"/>
    </row>
    <row r="121">
      <c r="B121" s="49" t="n"/>
      <c r="C121" s="49" t="n"/>
      <c r="D121" s="49" t="n"/>
      <c r="E121" s="49" t="n"/>
      <c r="F121" s="49" t="n"/>
      <c r="G121" s="49" t="n"/>
      <c r="H121" s="49" t="n"/>
      <c r="I121" s="49" t="n"/>
      <c r="J121" s="49" t="n"/>
    </row>
    <row r="122">
      <c r="B122" s="49" t="n"/>
      <c r="C122" s="49" t="n"/>
      <c r="D122" s="49" t="n"/>
      <c r="E122" s="49" t="n"/>
      <c r="F122" s="49" t="n"/>
      <c r="G122" s="49" t="n"/>
      <c r="H122" s="49" t="n"/>
      <c r="I122" s="49" t="n"/>
      <c r="J122" s="49" t="n"/>
    </row>
    <row r="123">
      <c r="B123" s="49" t="n"/>
      <c r="C123" s="49" t="n"/>
      <c r="D123" s="49" t="n"/>
      <c r="E123" s="49" t="n"/>
      <c r="F123" s="49" t="n"/>
      <c r="G123" s="49" t="n"/>
      <c r="H123" s="49" t="n"/>
      <c r="I123" s="49" t="n"/>
      <c r="J123" s="49" t="n"/>
    </row>
    <row r="124">
      <c r="B124" s="49" t="n"/>
      <c r="C124" s="49" t="n"/>
      <c r="D124" s="49" t="n"/>
      <c r="E124" s="49" t="n"/>
      <c r="F124" s="49" t="n"/>
      <c r="G124" s="49" t="n"/>
      <c r="H124" s="49" t="n"/>
      <c r="I124" s="49" t="n"/>
      <c r="J124" s="49" t="n"/>
    </row>
    <row r="125">
      <c r="B125" s="49" t="n"/>
      <c r="C125" s="49" t="n"/>
      <c r="D125" s="49" t="n"/>
      <c r="E125" s="49" t="n"/>
      <c r="F125" s="49" t="n"/>
      <c r="G125" s="49" t="n"/>
      <c r="H125" s="49" t="n"/>
      <c r="I125" s="49" t="n"/>
      <c r="J125" s="49" t="n"/>
    </row>
    <row r="126">
      <c r="B126" s="49" t="n"/>
      <c r="C126" s="49" t="n"/>
      <c r="D126" s="49" t="n"/>
      <c r="E126" s="49" t="n"/>
      <c r="F126" s="49" t="n"/>
      <c r="G126" s="49" t="n"/>
      <c r="H126" s="49" t="n"/>
      <c r="I126" s="49" t="n"/>
      <c r="J126" s="49" t="n"/>
    </row>
    <row r="127">
      <c r="B127" s="49" t="n"/>
      <c r="C127" s="49" t="n"/>
      <c r="D127" s="49" t="n"/>
      <c r="E127" s="49" t="n"/>
      <c r="F127" s="49" t="n"/>
      <c r="G127" s="49" t="n"/>
      <c r="H127" s="49" t="n"/>
      <c r="I127" s="49" t="n"/>
      <c r="J127" s="49" t="n"/>
    </row>
    <row r="128">
      <c r="B128" s="49" t="n"/>
      <c r="C128" s="49" t="n"/>
      <c r="D128" s="49" t="n"/>
      <c r="E128" s="49" t="n"/>
      <c r="F128" s="49" t="n"/>
      <c r="G128" s="49" t="n"/>
      <c r="H128" s="49" t="n"/>
      <c r="I128" s="49" t="n"/>
      <c r="J128" s="49" t="n"/>
    </row>
    <row r="129">
      <c r="B129" s="49" t="n"/>
      <c r="C129" s="49" t="n"/>
      <c r="D129" s="49" t="n"/>
      <c r="E129" s="49" t="n"/>
      <c r="F129" s="49" t="n"/>
      <c r="G129" s="49" t="n"/>
      <c r="H129" s="49" t="n"/>
      <c r="I129" s="49" t="n"/>
      <c r="J129" s="49" t="n"/>
    </row>
    <row r="130">
      <c r="B130" s="49" t="n"/>
      <c r="C130" s="49" t="n"/>
      <c r="D130" s="49" t="n"/>
      <c r="E130" s="49" t="n"/>
      <c r="F130" s="49" t="n"/>
      <c r="G130" s="49" t="n"/>
      <c r="H130" s="49" t="n"/>
      <c r="I130" s="49" t="n"/>
      <c r="J130" s="49" t="n"/>
    </row>
    <row r="131">
      <c r="B131" s="49" t="n"/>
      <c r="C131" s="49" t="n"/>
      <c r="D131" s="49" t="n"/>
      <c r="E131" s="49" t="n"/>
      <c r="F131" s="49" t="n"/>
      <c r="G131" s="49" t="n"/>
      <c r="H131" s="49" t="n"/>
      <c r="I131" s="49" t="n"/>
      <c r="J131" s="49" t="n"/>
    </row>
    <row r="132">
      <c r="B132" s="49" t="n"/>
      <c r="C132" s="49" t="n"/>
      <c r="D132" s="49" t="n"/>
      <c r="E132" s="49" t="n"/>
      <c r="F132" s="49" t="n"/>
      <c r="G132" s="49" t="n"/>
      <c r="H132" s="49" t="n"/>
      <c r="I132" s="49" t="n"/>
      <c r="J132" s="49" t="n"/>
    </row>
    <row r="133">
      <c r="B133" s="49" t="n"/>
      <c r="C133" s="49" t="n"/>
      <c r="D133" s="49" t="n"/>
      <c r="E133" s="49" t="n"/>
      <c r="F133" s="49" t="n"/>
      <c r="G133" s="49" t="n"/>
      <c r="H133" s="49" t="n"/>
      <c r="I133" s="49" t="n"/>
      <c r="J133" s="49" t="n"/>
    </row>
    <row r="134">
      <c r="B134" s="49" t="n"/>
      <c r="C134" s="49" t="n"/>
      <c r="D134" s="49" t="n"/>
      <c r="E134" s="49" t="n"/>
      <c r="F134" s="49" t="n"/>
      <c r="G134" s="49" t="n"/>
      <c r="H134" s="49" t="n"/>
      <c r="I134" s="49" t="n"/>
      <c r="J134" s="49" t="n"/>
    </row>
    <row r="135">
      <c r="B135" s="49" t="n"/>
      <c r="C135" s="49" t="n"/>
      <c r="D135" s="49" t="n"/>
      <c r="E135" s="49" t="n"/>
      <c r="F135" s="49" t="n"/>
      <c r="G135" s="49" t="n"/>
      <c r="H135" s="49" t="n"/>
      <c r="I135" s="49" t="n"/>
      <c r="J135" s="49" t="n"/>
    </row>
    <row r="136">
      <c r="B136" s="49" t="n"/>
      <c r="C136" s="49" t="n"/>
      <c r="D136" s="49" t="n"/>
      <c r="E136" s="49" t="n"/>
      <c r="F136" s="49" t="n"/>
      <c r="G136" s="49" t="n"/>
      <c r="H136" s="49" t="n"/>
      <c r="I136" s="49" t="n"/>
      <c r="J136" s="49" t="n"/>
    </row>
    <row r="137">
      <c r="B137" s="49" t="n"/>
      <c r="C137" s="49" t="n"/>
      <c r="D137" s="49" t="n"/>
      <c r="E137" s="49" t="n"/>
      <c r="F137" s="49" t="n"/>
      <c r="G137" s="49" t="n"/>
      <c r="H137" s="49" t="n"/>
      <c r="I137" s="49" t="n"/>
      <c r="J137" s="49" t="n"/>
    </row>
    <row r="138">
      <c r="B138" s="49" t="n"/>
      <c r="C138" s="49" t="n"/>
      <c r="D138" s="49" t="n"/>
      <c r="E138" s="49" t="n"/>
      <c r="F138" s="49" t="n"/>
      <c r="G138" s="49" t="n"/>
      <c r="H138" s="49" t="n"/>
      <c r="I138" s="49" t="n"/>
      <c r="J138" s="49" t="n"/>
    </row>
    <row r="139">
      <c r="B139" s="49" t="n"/>
      <c r="C139" s="49" t="n"/>
      <c r="D139" s="49" t="n"/>
      <c r="E139" s="49" t="n"/>
      <c r="F139" s="49" t="n"/>
      <c r="G139" s="49" t="n"/>
      <c r="H139" s="49" t="n"/>
      <c r="I139" s="49" t="n"/>
      <c r="J139" s="49" t="n"/>
    </row>
    <row r="140">
      <c r="B140" s="49" t="n"/>
      <c r="C140" s="49" t="n"/>
      <c r="D140" s="49" t="n"/>
      <c r="E140" s="49" t="n"/>
      <c r="F140" s="49" t="n"/>
      <c r="G140" s="49" t="n"/>
      <c r="H140" s="49" t="n"/>
      <c r="I140" s="49" t="n"/>
      <c r="J140" s="49" t="n"/>
    </row>
    <row r="141">
      <c r="B141" s="49" t="n"/>
      <c r="C141" s="49" t="n"/>
      <c r="D141" s="49" t="n"/>
      <c r="E141" s="49" t="n"/>
      <c r="F141" s="49" t="n"/>
      <c r="G141" s="49" t="n"/>
      <c r="H141" s="49" t="n"/>
      <c r="I141" s="49" t="n"/>
      <c r="J141" s="49" t="n"/>
    </row>
    <row r="142">
      <c r="B142" s="49" t="n"/>
      <c r="C142" s="49" t="n"/>
      <c r="D142" s="49" t="n"/>
      <c r="E142" s="49" t="n"/>
      <c r="F142" s="49" t="n"/>
      <c r="G142" s="49" t="n"/>
      <c r="H142" s="49" t="n"/>
      <c r="I142" s="49" t="n"/>
      <c r="J142" s="49" t="n"/>
    </row>
    <row r="143">
      <c r="B143" s="49" t="n"/>
      <c r="C143" s="49" t="n"/>
      <c r="D143" s="49" t="n"/>
      <c r="E143" s="49" t="n"/>
      <c r="F143" s="49" t="n"/>
      <c r="G143" s="49" t="n"/>
      <c r="H143" s="49" t="n"/>
      <c r="I143" s="49" t="n"/>
      <c r="J143" s="49" t="n"/>
    </row>
    <row r="144">
      <c r="B144" s="49" t="n"/>
      <c r="C144" s="49" t="n"/>
      <c r="D144" s="49" t="n"/>
      <c r="E144" s="49" t="n"/>
      <c r="F144" s="49" t="n"/>
      <c r="G144" s="49" t="n"/>
      <c r="H144" s="49" t="n"/>
      <c r="I144" s="49" t="n"/>
      <c r="J144" s="49" t="n"/>
    </row>
    <row r="145">
      <c r="B145" s="49" t="n"/>
      <c r="C145" s="49" t="n"/>
      <c r="D145" s="49" t="n"/>
      <c r="E145" s="49" t="n"/>
      <c r="F145" s="49" t="n"/>
      <c r="G145" s="49" t="n"/>
      <c r="H145" s="49" t="n"/>
      <c r="I145" s="49" t="n"/>
      <c r="J145" s="49" t="n"/>
    </row>
    <row r="146">
      <c r="B146" s="49" t="n"/>
      <c r="C146" s="49" t="n"/>
      <c r="D146" s="49" t="n"/>
      <c r="E146" s="49" t="n"/>
      <c r="F146" s="49" t="n"/>
      <c r="G146" s="49" t="n"/>
      <c r="H146" s="49" t="n"/>
      <c r="I146" s="49" t="n"/>
      <c r="J146" s="49" t="n"/>
    </row>
    <row r="147">
      <c r="B147" s="49" t="n"/>
      <c r="C147" s="49" t="n"/>
      <c r="D147" s="49" t="n"/>
      <c r="E147" s="49" t="n"/>
      <c r="F147" s="49" t="n"/>
      <c r="G147" s="49" t="n"/>
      <c r="H147" s="49" t="n"/>
      <c r="I147" s="49" t="n"/>
      <c r="J147" s="49" t="n"/>
    </row>
    <row r="148">
      <c r="B148" s="49" t="n"/>
      <c r="C148" s="49" t="n"/>
      <c r="D148" s="49" t="n"/>
      <c r="E148" s="49" t="n"/>
      <c r="F148" s="49" t="n"/>
      <c r="G148" s="49" t="n"/>
      <c r="H148" s="49" t="n"/>
      <c r="I148" s="49" t="n"/>
      <c r="J148" s="49" t="n"/>
    </row>
    <row r="149">
      <c r="B149" s="49" t="n"/>
      <c r="C149" s="49" t="n"/>
      <c r="D149" s="49" t="n"/>
      <c r="E149" s="49" t="n"/>
      <c r="F149" s="49" t="n"/>
      <c r="G149" s="49" t="n"/>
      <c r="H149" s="49" t="n"/>
      <c r="I149" s="49" t="n"/>
      <c r="J149" s="49" t="n"/>
    </row>
    <row r="150">
      <c r="B150" s="49" t="n"/>
      <c r="C150" s="49" t="n"/>
      <c r="D150" s="49" t="n"/>
      <c r="E150" s="49" t="n"/>
      <c r="F150" s="49" t="n"/>
      <c r="G150" s="49" t="n"/>
      <c r="H150" s="49" t="n"/>
      <c r="I150" s="49" t="n"/>
      <c r="J150" s="49" t="n"/>
    </row>
    <row r="151">
      <c r="B151" s="49" t="n"/>
      <c r="C151" s="49" t="n"/>
      <c r="D151" s="49" t="n"/>
      <c r="E151" s="49" t="n"/>
      <c r="F151" s="49" t="n"/>
      <c r="G151" s="49" t="n"/>
      <c r="H151" s="49" t="n"/>
      <c r="I151" s="49" t="n"/>
      <c r="J151" s="49" t="n"/>
    </row>
    <row r="152">
      <c r="B152" s="49" t="n"/>
      <c r="C152" s="49" t="n"/>
      <c r="D152" s="49" t="n"/>
      <c r="E152" s="49" t="n"/>
      <c r="F152" s="49" t="n"/>
      <c r="G152" s="49" t="n"/>
      <c r="H152" s="49" t="n"/>
      <c r="I152" s="49" t="n"/>
      <c r="J152" s="49" t="n"/>
    </row>
    <row r="153">
      <c r="B153" s="49" t="n"/>
      <c r="C153" s="49" t="n"/>
      <c r="D153" s="49" t="n"/>
      <c r="E153" s="49" t="n"/>
      <c r="F153" s="49" t="n"/>
      <c r="G153" s="49" t="n"/>
      <c r="H153" s="49" t="n"/>
      <c r="I153" s="49" t="n"/>
      <c r="J153" s="49" t="n"/>
    </row>
    <row r="154">
      <c r="B154" s="49" t="n"/>
      <c r="C154" s="49" t="n"/>
      <c r="D154" s="49" t="n"/>
      <c r="E154" s="49" t="n"/>
      <c r="F154" s="49" t="n"/>
      <c r="G154" s="49" t="n"/>
      <c r="H154" s="49" t="n"/>
      <c r="I154" s="49" t="n"/>
      <c r="J154" s="49" t="n"/>
    </row>
    <row r="155">
      <c r="B155" s="49" t="n"/>
      <c r="C155" s="49" t="n"/>
      <c r="D155" s="49" t="n"/>
      <c r="E155" s="49" t="n"/>
      <c r="F155" s="49" t="n"/>
      <c r="G155" s="49" t="n"/>
      <c r="H155" s="49" t="n"/>
      <c r="I155" s="49" t="n"/>
      <c r="J155" s="49" t="n"/>
    </row>
    <row r="156">
      <c r="B156" s="49" t="n"/>
      <c r="C156" s="49" t="n"/>
      <c r="D156" s="49" t="n"/>
      <c r="E156" s="49" t="n"/>
      <c r="F156" s="49" t="n"/>
      <c r="G156" s="49" t="n"/>
      <c r="H156" s="49" t="n"/>
      <c r="I156" s="49" t="n"/>
      <c r="J156" s="49" t="n"/>
    </row>
    <row r="157">
      <c r="B157" s="49" t="n"/>
      <c r="C157" s="49" t="n"/>
      <c r="D157" s="49" t="n"/>
      <c r="E157" s="49" t="n"/>
      <c r="F157" s="49" t="n"/>
      <c r="G157" s="49" t="n"/>
      <c r="H157" s="49" t="n"/>
      <c r="I157" s="49" t="n"/>
      <c r="J157" s="49" t="n"/>
    </row>
    <row r="158">
      <c r="B158" s="49" t="n"/>
      <c r="C158" s="49" t="n"/>
      <c r="D158" s="49" t="n"/>
      <c r="E158" s="49" t="n"/>
      <c r="F158" s="49" t="n"/>
      <c r="G158" s="49" t="n"/>
      <c r="H158" s="49" t="n"/>
      <c r="I158" s="49" t="n"/>
      <c r="J158" s="49" t="n"/>
    </row>
    <row r="159">
      <c r="B159" s="49" t="n"/>
      <c r="C159" s="49" t="n"/>
      <c r="D159" s="49" t="n"/>
      <c r="E159" s="49" t="n"/>
      <c r="F159" s="49" t="n"/>
      <c r="G159" s="49" t="n"/>
      <c r="H159" s="49" t="n"/>
      <c r="I159" s="49" t="n"/>
      <c r="J159" s="49" t="n"/>
    </row>
    <row r="160">
      <c r="B160" s="49" t="n"/>
      <c r="C160" s="49" t="n"/>
      <c r="D160" s="49" t="n"/>
      <c r="E160" s="49" t="n"/>
      <c r="F160" s="49" t="n"/>
      <c r="G160" s="49" t="n"/>
      <c r="H160" s="49" t="n"/>
      <c r="I160" s="49" t="n"/>
      <c r="J160" s="49" t="n"/>
    </row>
    <row r="161">
      <c r="B161" s="49" t="n"/>
      <c r="C161" s="49" t="n"/>
      <c r="D161" s="49" t="n"/>
      <c r="E161" s="49" t="n"/>
      <c r="F161" s="49" t="n"/>
      <c r="G161" s="49" t="n"/>
      <c r="H161" s="49" t="n"/>
      <c r="I161" s="49" t="n"/>
      <c r="J161" s="49" t="n"/>
    </row>
    <row r="162">
      <c r="B162" s="49" t="n"/>
      <c r="C162" s="49" t="n"/>
      <c r="D162" s="49" t="n"/>
      <c r="E162" s="49" t="n"/>
      <c r="F162" s="49" t="n"/>
      <c r="G162" s="49" t="n"/>
      <c r="H162" s="49" t="n"/>
      <c r="I162" s="49" t="n"/>
      <c r="J162" s="49" t="n"/>
    </row>
    <row r="163">
      <c r="B163" s="49" t="n"/>
      <c r="C163" s="49" t="n"/>
      <c r="D163" s="49" t="n"/>
      <c r="E163" s="49" t="n"/>
      <c r="F163" s="49" t="n"/>
      <c r="G163" s="49" t="n"/>
      <c r="H163" s="49" t="n"/>
      <c r="I163" s="49" t="n"/>
      <c r="J163" s="49" t="n"/>
    </row>
    <row r="164">
      <c r="B164" s="49" t="n"/>
      <c r="C164" s="49" t="n"/>
      <c r="D164" s="49" t="n"/>
      <c r="E164" s="49" t="n"/>
      <c r="F164" s="49" t="n"/>
      <c r="G164" s="49" t="n"/>
      <c r="H164" s="49" t="n"/>
      <c r="I164" s="49" t="n"/>
      <c r="J164" s="49" t="n"/>
    </row>
    <row r="165">
      <c r="B165" s="49" t="n"/>
      <c r="C165" s="49" t="n"/>
      <c r="D165" s="49" t="n"/>
      <c r="E165" s="49" t="n"/>
      <c r="F165" s="49" t="n"/>
      <c r="G165" s="49" t="n"/>
      <c r="H165" s="49" t="n"/>
      <c r="I165" s="49" t="n"/>
      <c r="J165" s="49" t="n"/>
    </row>
    <row r="166">
      <c r="B166" s="49" t="n"/>
      <c r="C166" s="49" t="n"/>
      <c r="D166" s="49" t="n"/>
      <c r="E166" s="49" t="n"/>
      <c r="F166" s="49" t="n"/>
      <c r="G166" s="49" t="n"/>
      <c r="H166" s="49" t="n"/>
      <c r="I166" s="49" t="n"/>
      <c r="J166" s="49" t="n"/>
    </row>
    <row r="167">
      <c r="B167" s="49" t="n"/>
      <c r="C167" s="49" t="n"/>
      <c r="D167" s="49" t="n"/>
      <c r="E167" s="49" t="n"/>
      <c r="F167" s="49" t="n"/>
      <c r="G167" s="49" t="n"/>
      <c r="H167" s="49" t="n"/>
      <c r="I167" s="49" t="n"/>
      <c r="J167" s="49" t="n"/>
    </row>
    <row r="168">
      <c r="B168" s="49" t="n"/>
      <c r="C168" s="49" t="n"/>
      <c r="D168" s="49" t="n"/>
      <c r="E168" s="49" t="n"/>
      <c r="F168" s="49" t="n"/>
      <c r="G168" s="49" t="n"/>
      <c r="H168" s="49" t="n"/>
      <c r="I168" s="49" t="n"/>
      <c r="J168" s="49" t="n"/>
    </row>
    <row r="169">
      <c r="B169" s="49" t="n"/>
      <c r="C169" s="49" t="n"/>
      <c r="D169" s="49" t="n"/>
      <c r="E169" s="49" t="n"/>
      <c r="F169" s="49" t="n"/>
      <c r="G169" s="49" t="n"/>
      <c r="H169" s="49" t="n"/>
      <c r="I169" s="49" t="n"/>
      <c r="J169" s="49" t="n"/>
    </row>
    <row r="170">
      <c r="B170" s="49" t="n"/>
      <c r="C170" s="49" t="n"/>
      <c r="D170" s="49" t="n"/>
      <c r="E170" s="49" t="n"/>
      <c r="F170" s="49" t="n"/>
      <c r="G170" s="49" t="n"/>
      <c r="H170" s="49" t="n"/>
      <c r="I170" s="49" t="n"/>
      <c r="J170" s="49" t="n"/>
    </row>
    <row r="171">
      <c r="B171" s="49" t="n"/>
      <c r="C171" s="49" t="n"/>
      <c r="D171" s="49" t="n"/>
      <c r="E171" s="49" t="n"/>
      <c r="F171" s="49" t="n"/>
      <c r="G171" s="49" t="n"/>
      <c r="H171" s="49" t="n"/>
      <c r="I171" s="49" t="n"/>
      <c r="J171" s="49" t="n"/>
    </row>
    <row r="172">
      <c r="B172" s="49" t="n"/>
      <c r="C172" s="49" t="n"/>
      <c r="D172" s="49" t="n"/>
      <c r="E172" s="49" t="n"/>
      <c r="F172" s="49" t="n"/>
      <c r="G172" s="49" t="n"/>
      <c r="H172" s="49" t="n"/>
      <c r="I172" s="49" t="n"/>
      <c r="J172" s="49" t="n"/>
    </row>
    <row r="173">
      <c r="B173" s="49" t="n"/>
      <c r="C173" s="49" t="n"/>
      <c r="D173" s="49" t="n"/>
      <c r="E173" s="49" t="n"/>
      <c r="F173" s="49" t="n"/>
      <c r="G173" s="49" t="n"/>
      <c r="H173" s="49" t="n"/>
      <c r="I173" s="49" t="n"/>
      <c r="J173" s="49" t="n"/>
    </row>
    <row r="174">
      <c r="B174" s="49" t="n"/>
      <c r="C174" s="49" t="n"/>
      <c r="D174" s="49" t="n"/>
      <c r="E174" s="49" t="n"/>
      <c r="F174" s="49" t="n"/>
      <c r="G174" s="49" t="n"/>
      <c r="H174" s="49" t="n"/>
      <c r="I174" s="49" t="n"/>
      <c r="J174" s="49" t="n"/>
    </row>
    <row r="175">
      <c r="B175" s="49" t="n"/>
      <c r="C175" s="49" t="n"/>
      <c r="D175" s="49" t="n"/>
      <c r="E175" s="49" t="n"/>
      <c r="F175" s="49" t="n"/>
      <c r="G175" s="49" t="n"/>
      <c r="H175" s="49" t="n"/>
      <c r="I175" s="49" t="n"/>
      <c r="J175" s="49" t="n"/>
    </row>
    <row r="176">
      <c r="B176" s="49" t="n"/>
      <c r="C176" s="49" t="n"/>
      <c r="D176" s="49" t="n"/>
      <c r="E176" s="49" t="n"/>
      <c r="F176" s="49" t="n"/>
      <c r="G176" s="49" t="n"/>
      <c r="H176" s="49" t="n"/>
      <c r="I176" s="49" t="n"/>
      <c r="J176" s="49" t="n"/>
    </row>
    <row r="177">
      <c r="B177" s="49" t="n"/>
      <c r="C177" s="49" t="n"/>
      <c r="D177" s="49" t="n"/>
      <c r="E177" s="49" t="n"/>
      <c r="F177" s="49" t="n"/>
      <c r="G177" s="49" t="n"/>
      <c r="H177" s="49" t="n"/>
      <c r="I177" s="49" t="n"/>
      <c r="J177" s="49" t="n"/>
    </row>
    <row r="178">
      <c r="B178" s="49" t="n"/>
      <c r="C178" s="49" t="n"/>
      <c r="D178" s="49" t="n"/>
      <c r="E178" s="49" t="n"/>
      <c r="F178" s="49" t="n"/>
      <c r="G178" s="49" t="n"/>
      <c r="H178" s="49" t="n"/>
      <c r="I178" s="49" t="n"/>
      <c r="J178" s="49" t="n"/>
    </row>
    <row r="179">
      <c r="B179" s="49" t="n"/>
      <c r="C179" s="49" t="n"/>
      <c r="D179" s="49" t="n"/>
      <c r="E179" s="49" t="n"/>
      <c r="F179" s="49" t="n"/>
      <c r="G179" s="49" t="n"/>
      <c r="H179" s="49" t="n"/>
      <c r="I179" s="49" t="n"/>
      <c r="J179" s="49" t="n"/>
    </row>
    <row r="180">
      <c r="B180" s="49" t="n"/>
      <c r="C180" s="49" t="n"/>
      <c r="D180" s="49" t="n"/>
      <c r="E180" s="49" t="n"/>
      <c r="F180" s="49" t="n"/>
      <c r="G180" s="49" t="n"/>
      <c r="H180" s="49" t="n"/>
      <c r="I180" s="49" t="n"/>
      <c r="J180" s="49" t="n"/>
    </row>
    <row r="181">
      <c r="B181" s="49" t="n"/>
      <c r="C181" s="49" t="n"/>
      <c r="D181" s="49" t="n"/>
      <c r="E181" s="49" t="n"/>
      <c r="F181" s="49" t="n"/>
      <c r="G181" s="49" t="n"/>
      <c r="H181" s="49" t="n"/>
      <c r="I181" s="49" t="n"/>
      <c r="J181" s="49" t="n"/>
    </row>
    <row r="182">
      <c r="B182" s="49" t="n"/>
      <c r="C182" s="49" t="n"/>
      <c r="D182" s="49" t="n"/>
      <c r="E182" s="49" t="n"/>
      <c r="F182" s="49" t="n"/>
      <c r="G182" s="49" t="n"/>
      <c r="H182" s="49" t="n"/>
      <c r="I182" s="49" t="n"/>
      <c r="J182" s="49" t="n"/>
    </row>
    <row r="183">
      <c r="B183" s="49" t="n"/>
      <c r="C183" s="49" t="n"/>
      <c r="D183" s="49" t="n"/>
      <c r="E183" s="49" t="n"/>
      <c r="F183" s="49" t="n"/>
      <c r="G183" s="49" t="n"/>
      <c r="H183" s="49" t="n"/>
      <c r="I183" s="49" t="n"/>
      <c r="J183" s="49" t="n"/>
    </row>
    <row r="184">
      <c r="B184" s="49" t="n"/>
      <c r="C184" s="49" t="n"/>
      <c r="D184" s="49" t="n"/>
      <c r="E184" s="49" t="n"/>
      <c r="F184" s="49" t="n"/>
      <c r="G184" s="49" t="n"/>
      <c r="H184" s="49" t="n"/>
      <c r="I184" s="49" t="n"/>
      <c r="J184" s="49" t="n"/>
    </row>
    <row r="185">
      <c r="B185" s="49" t="n"/>
      <c r="C185" s="49" t="n"/>
      <c r="D185" s="49" t="n"/>
      <c r="E185" s="49" t="n"/>
      <c r="F185" s="49" t="n"/>
      <c r="G185" s="49" t="n"/>
      <c r="H185" s="49" t="n"/>
      <c r="I185" s="49" t="n"/>
      <c r="J185" s="49" t="n"/>
    </row>
    <row r="186">
      <c r="B186" s="49" t="n"/>
      <c r="C186" s="49" t="n"/>
      <c r="D186" s="49" t="n"/>
      <c r="E186" s="49" t="n"/>
      <c r="F186" s="49" t="n"/>
      <c r="G186" s="49" t="n"/>
      <c r="H186" s="49" t="n"/>
      <c r="I186" s="49" t="n"/>
      <c r="J186" s="49" t="n"/>
    </row>
    <row r="187">
      <c r="B187" s="49" t="n"/>
      <c r="C187" s="49" t="n"/>
      <c r="D187" s="49" t="n"/>
      <c r="E187" s="49" t="n"/>
      <c r="F187" s="49" t="n"/>
      <c r="G187" s="49" t="n"/>
      <c r="H187" s="49" t="n"/>
      <c r="I187" s="49" t="n"/>
      <c r="J187" s="49" t="n"/>
    </row>
    <row r="188">
      <c r="B188" s="49" t="n"/>
      <c r="C188" s="49" t="n"/>
      <c r="D188" s="49" t="n"/>
      <c r="E188" s="49" t="n"/>
      <c r="F188" s="49" t="n"/>
      <c r="G188" s="49" t="n"/>
      <c r="H188" s="49" t="n"/>
      <c r="I188" s="49" t="n"/>
      <c r="J188" s="49" t="n"/>
    </row>
    <row r="189">
      <c r="B189" s="49" t="n"/>
      <c r="C189" s="49" t="n"/>
      <c r="D189" s="49" t="n"/>
      <c r="E189" s="49" t="n"/>
      <c r="F189" s="49" t="n"/>
      <c r="G189" s="49" t="n"/>
      <c r="H189" s="49" t="n"/>
      <c r="I189" s="49" t="n"/>
      <c r="J189" s="49" t="n"/>
    </row>
    <row r="190">
      <c r="B190" s="49" t="n"/>
      <c r="C190" s="49" t="n"/>
      <c r="D190" s="49" t="n"/>
      <c r="E190" s="49" t="n"/>
      <c r="F190" s="49" t="n"/>
      <c r="G190" s="49" t="n"/>
      <c r="H190" s="49" t="n"/>
      <c r="I190" s="49" t="n"/>
      <c r="J190" s="49" t="n"/>
    </row>
    <row r="191">
      <c r="B191" s="49" t="n"/>
      <c r="C191" s="49" t="n"/>
      <c r="D191" s="49" t="n"/>
      <c r="E191" s="49" t="n"/>
      <c r="F191" s="49" t="n"/>
      <c r="G191" s="49" t="n"/>
      <c r="H191" s="49" t="n"/>
      <c r="I191" s="49" t="n"/>
      <c r="J191" s="49" t="n"/>
    </row>
    <row r="192">
      <c r="B192" s="49" t="n"/>
      <c r="C192" s="49" t="n"/>
      <c r="D192" s="49" t="n"/>
      <c r="E192" s="49" t="n"/>
      <c r="F192" s="49" t="n"/>
      <c r="G192" s="49" t="n"/>
      <c r="H192" s="49" t="n"/>
      <c r="I192" s="49" t="n"/>
      <c r="J192" s="49" t="n"/>
    </row>
    <row r="193">
      <c r="B193" s="49" t="n"/>
      <c r="C193" s="49" t="n"/>
      <c r="D193" s="49" t="n"/>
      <c r="E193" s="49" t="n"/>
      <c r="F193" s="49" t="n"/>
      <c r="G193" s="49" t="n"/>
      <c r="H193" s="49" t="n"/>
      <c r="I193" s="49" t="n"/>
      <c r="J193" s="49" t="n"/>
    </row>
    <row r="194">
      <c r="B194" s="49" t="n"/>
      <c r="C194" s="49" t="n"/>
      <c r="D194" s="49" t="n"/>
      <c r="E194" s="49" t="n"/>
      <c r="F194" s="49" t="n"/>
      <c r="G194" s="49" t="n"/>
      <c r="H194" s="49" t="n"/>
      <c r="I194" s="49" t="n"/>
      <c r="J194" s="49" t="n"/>
    </row>
    <row r="195">
      <c r="B195" s="49" t="n"/>
      <c r="C195" s="49" t="n"/>
      <c r="D195" s="49" t="n"/>
      <c r="E195" s="49" t="n"/>
      <c r="F195" s="49" t="n"/>
      <c r="G195" s="49" t="n"/>
      <c r="H195" s="49" t="n"/>
      <c r="I195" s="49" t="n"/>
      <c r="J195" s="49" t="n"/>
    </row>
    <row r="196">
      <c r="B196" s="49" t="n"/>
      <c r="C196" s="49" t="n"/>
      <c r="D196" s="49" t="n"/>
      <c r="E196" s="49" t="n"/>
      <c r="F196" s="49" t="n"/>
      <c r="G196" s="49" t="n"/>
      <c r="H196" s="49" t="n"/>
      <c r="I196" s="49" t="n"/>
      <c r="J196" s="49" t="n"/>
    </row>
    <row r="197">
      <c r="B197" s="49" t="n"/>
      <c r="C197" s="49" t="n"/>
      <c r="D197" s="49" t="n"/>
      <c r="E197" s="49" t="n"/>
      <c r="F197" s="49" t="n"/>
      <c r="G197" s="49" t="n"/>
      <c r="H197" s="49" t="n"/>
      <c r="I197" s="49" t="n"/>
      <c r="J197" s="49" t="n"/>
    </row>
    <row r="198">
      <c r="B198" s="49" t="n"/>
      <c r="C198" s="49" t="n"/>
      <c r="D198" s="49" t="n"/>
      <c r="E198" s="49" t="n"/>
      <c r="F198" s="49" t="n"/>
      <c r="G198" s="49" t="n"/>
      <c r="H198" s="49" t="n"/>
      <c r="I198" s="49" t="n"/>
      <c r="J198" s="49" t="n"/>
    </row>
    <row r="199">
      <c r="B199" s="49" t="n"/>
      <c r="C199" s="49" t="n"/>
      <c r="D199" s="49" t="n"/>
      <c r="E199" s="49" t="n"/>
      <c r="F199" s="49" t="n"/>
      <c r="G199" s="49" t="n"/>
      <c r="H199" s="49" t="n"/>
      <c r="I199" s="49" t="n"/>
      <c r="J199" s="49" t="n"/>
    </row>
    <row r="200">
      <c r="B200" s="49" t="n"/>
      <c r="C200" s="49" t="n"/>
      <c r="D200" s="49" t="n"/>
      <c r="E200" s="49" t="n"/>
      <c r="F200" s="49" t="n"/>
      <c r="G200" s="49" t="n"/>
      <c r="H200" s="49" t="n"/>
      <c r="I200" s="49" t="n"/>
      <c r="J200" s="49" t="n"/>
    </row>
    <row r="201">
      <c r="B201" s="49" t="n"/>
      <c r="C201" s="49" t="n"/>
      <c r="D201" s="49" t="n"/>
      <c r="E201" s="49" t="n"/>
      <c r="F201" s="49" t="n"/>
      <c r="G201" s="49" t="n"/>
      <c r="H201" s="49" t="n"/>
      <c r="I201" s="49" t="n"/>
      <c r="J201" s="49" t="n"/>
    </row>
    <row r="202">
      <c r="B202" s="49" t="n"/>
      <c r="C202" s="49" t="n"/>
      <c r="D202" s="49" t="n"/>
      <c r="E202" s="49" t="n"/>
      <c r="F202" s="49" t="n"/>
      <c r="G202" s="49" t="n"/>
      <c r="H202" s="49" t="n"/>
      <c r="I202" s="49" t="n"/>
      <c r="J202" s="49" t="n"/>
    </row>
    <row r="203">
      <c r="B203" s="49" t="n"/>
      <c r="C203" s="49" t="n"/>
      <c r="D203" s="49" t="n"/>
      <c r="E203" s="49" t="n"/>
      <c r="F203" s="49" t="n"/>
      <c r="G203" s="49" t="n"/>
      <c r="H203" s="49" t="n"/>
      <c r="I203" s="49" t="n"/>
      <c r="J203" s="49" t="n"/>
    </row>
    <row r="204">
      <c r="B204" s="49" t="n"/>
      <c r="C204" s="49" t="n"/>
      <c r="D204" s="49" t="n"/>
      <c r="E204" s="49" t="n"/>
      <c r="F204" s="49" t="n"/>
      <c r="G204" s="49" t="n"/>
      <c r="H204" s="49" t="n"/>
      <c r="I204" s="49" t="n"/>
      <c r="J204" s="49" t="n"/>
    </row>
    <row r="205">
      <c r="B205" s="49" t="n"/>
      <c r="C205" s="49" t="n"/>
      <c r="D205" s="49" t="n"/>
      <c r="E205" s="49" t="n"/>
      <c r="F205" s="49" t="n"/>
      <c r="G205" s="49" t="n"/>
      <c r="H205" s="49" t="n"/>
      <c r="I205" s="49" t="n"/>
      <c r="J205" s="49" t="n"/>
    </row>
    <row r="206">
      <c r="B206" s="49" t="n"/>
      <c r="C206" s="49" t="n"/>
      <c r="D206" s="49" t="n"/>
      <c r="E206" s="49" t="n"/>
      <c r="F206" s="49" t="n"/>
      <c r="G206" s="49" t="n"/>
      <c r="H206" s="49" t="n"/>
      <c r="I206" s="49" t="n"/>
      <c r="J206" s="49" t="n"/>
    </row>
    <row r="207">
      <c r="B207" s="49" t="n"/>
      <c r="C207" s="49" t="n"/>
      <c r="D207" s="49" t="n"/>
      <c r="E207" s="49" t="n"/>
      <c r="F207" s="49" t="n"/>
      <c r="G207" s="49" t="n"/>
      <c r="H207" s="49" t="n"/>
      <c r="I207" s="49" t="n"/>
      <c r="J207" s="49" t="n"/>
    </row>
    <row r="208">
      <c r="B208" s="49" t="n"/>
      <c r="C208" s="49" t="n"/>
      <c r="D208" s="49" t="n"/>
      <c r="E208" s="49" t="n"/>
      <c r="F208" s="49" t="n"/>
      <c r="G208" s="49" t="n"/>
      <c r="H208" s="49" t="n"/>
      <c r="I208" s="49" t="n"/>
      <c r="J208" s="49" t="n"/>
    </row>
    <row r="209">
      <c r="B209" s="49" t="n"/>
      <c r="C209" s="49" t="n"/>
      <c r="D209" s="49" t="n"/>
      <c r="E209" s="49" t="n"/>
      <c r="F209" s="49" t="n"/>
      <c r="G209" s="49" t="n"/>
      <c r="H209" s="49" t="n"/>
      <c r="I209" s="49" t="n"/>
      <c r="J209" s="49" t="n"/>
    </row>
    <row r="210">
      <c r="B210" s="49" t="n"/>
      <c r="C210" s="49" t="n"/>
      <c r="D210" s="49" t="n"/>
      <c r="E210" s="49" t="n"/>
      <c r="F210" s="49" t="n"/>
      <c r="G210" s="49" t="n"/>
      <c r="H210" s="49" t="n"/>
      <c r="I210" s="49" t="n"/>
      <c r="J210" s="49" t="n"/>
    </row>
    <row r="211">
      <c r="B211" s="49" t="n"/>
      <c r="C211" s="49" t="n"/>
      <c r="D211" s="49" t="n"/>
      <c r="E211" s="49" t="n"/>
      <c r="F211" s="49" t="n"/>
      <c r="G211" s="49" t="n"/>
      <c r="H211" s="49" t="n"/>
      <c r="I211" s="49" t="n"/>
      <c r="J211" s="49" t="n"/>
    </row>
    <row r="212">
      <c r="B212" s="49" t="n"/>
      <c r="C212" s="49" t="n"/>
      <c r="D212" s="49" t="n"/>
      <c r="E212" s="49" t="n"/>
      <c r="F212" s="49" t="n"/>
      <c r="G212" s="49" t="n"/>
      <c r="H212" s="49" t="n"/>
      <c r="I212" s="49" t="n"/>
      <c r="J212" s="49" t="n"/>
    </row>
    <row r="213">
      <c r="B213" s="49" t="n"/>
      <c r="C213" s="49" t="n"/>
      <c r="D213" s="49" t="n"/>
      <c r="E213" s="49" t="n"/>
      <c r="F213" s="49" t="n"/>
      <c r="G213" s="49" t="n"/>
      <c r="H213" s="49" t="n"/>
      <c r="I213" s="49" t="n"/>
      <c r="J213" s="49" t="n"/>
    </row>
    <row r="214">
      <c r="B214" s="49" t="n"/>
      <c r="C214" s="49" t="n"/>
      <c r="D214" s="49" t="n"/>
      <c r="E214" s="49" t="n"/>
      <c r="F214" s="49" t="n"/>
      <c r="G214" s="49" t="n"/>
      <c r="H214" s="49" t="n"/>
      <c r="I214" s="49" t="n"/>
      <c r="J214" s="49" t="n"/>
    </row>
    <row r="215">
      <c r="B215" s="49" t="n"/>
      <c r="C215" s="49" t="n"/>
      <c r="D215" s="49" t="n"/>
      <c r="E215" s="49" t="n"/>
      <c r="F215" s="49" t="n"/>
      <c r="G215" s="49" t="n"/>
      <c r="H215" s="49" t="n"/>
      <c r="I215" s="49" t="n"/>
      <c r="J215" s="49" t="n"/>
    </row>
    <row r="216">
      <c r="B216" s="49" t="n"/>
      <c r="C216" s="49" t="n"/>
      <c r="D216" s="49" t="n"/>
      <c r="E216" s="49" t="n"/>
      <c r="F216" s="49" t="n"/>
      <c r="G216" s="49" t="n"/>
      <c r="H216" s="49" t="n"/>
      <c r="I216" s="49" t="n"/>
      <c r="J216" s="49" t="n"/>
    </row>
    <row r="217">
      <c r="B217" s="49" t="n"/>
      <c r="C217" s="49" t="n"/>
      <c r="D217" s="49" t="n"/>
      <c r="E217" s="49" t="n"/>
      <c r="F217" s="49" t="n"/>
      <c r="G217" s="49" t="n"/>
      <c r="H217" s="49" t="n"/>
      <c r="I217" s="49" t="n"/>
      <c r="J217" s="49" t="n"/>
    </row>
    <row r="218">
      <c r="B218" s="49" t="n"/>
      <c r="C218" s="49" t="n"/>
      <c r="D218" s="49" t="n"/>
      <c r="E218" s="49" t="n"/>
      <c r="F218" s="49" t="n"/>
      <c r="G218" s="49" t="n"/>
      <c r="H218" s="49" t="n"/>
      <c r="I218" s="49" t="n"/>
      <c r="J218" s="49" t="n"/>
    </row>
    <row r="219">
      <c r="B219" s="49" t="n"/>
      <c r="C219" s="49" t="n"/>
      <c r="D219" s="49" t="n"/>
      <c r="E219" s="49" t="n"/>
      <c r="F219" s="49" t="n"/>
      <c r="G219" s="49" t="n"/>
      <c r="H219" s="49" t="n"/>
      <c r="I219" s="49" t="n"/>
      <c r="J219" s="49" t="n"/>
    </row>
    <row r="220">
      <c r="B220" s="49" t="n"/>
      <c r="C220" s="49" t="n"/>
      <c r="D220" s="49" t="n"/>
      <c r="E220" s="49" t="n"/>
      <c r="F220" s="49" t="n"/>
      <c r="G220" s="49" t="n"/>
      <c r="H220" s="49" t="n"/>
      <c r="I220" s="49" t="n"/>
      <c r="J220" s="49" t="n"/>
    </row>
    <row r="221">
      <c r="B221" s="49" t="n"/>
      <c r="C221" s="49" t="n"/>
      <c r="D221" s="49" t="n"/>
      <c r="E221" s="49" t="n"/>
      <c r="F221" s="49" t="n"/>
      <c r="G221" s="49" t="n"/>
      <c r="H221" s="49" t="n"/>
      <c r="I221" s="49" t="n"/>
      <c r="J221" s="49" t="n"/>
    </row>
    <row r="222">
      <c r="B222" s="49" t="n"/>
      <c r="C222" s="49" t="n"/>
      <c r="D222" s="49" t="n"/>
      <c r="E222" s="49" t="n"/>
      <c r="F222" s="49" t="n"/>
      <c r="G222" s="49" t="n"/>
      <c r="H222" s="49" t="n"/>
      <c r="I222" s="49" t="n"/>
      <c r="J222" s="49" t="n"/>
    </row>
    <row r="223">
      <c r="B223" s="49" t="n"/>
      <c r="C223" s="49" t="n"/>
      <c r="D223" s="49" t="n"/>
      <c r="E223" s="49" t="n"/>
      <c r="F223" s="49" t="n"/>
      <c r="G223" s="49" t="n"/>
      <c r="H223" s="49" t="n"/>
      <c r="I223" s="49" t="n"/>
      <c r="J223" s="49" t="n"/>
    </row>
    <row r="224">
      <c r="B224" s="49" t="n"/>
      <c r="C224" s="49" t="n"/>
      <c r="D224" s="49" t="n"/>
      <c r="E224" s="49" t="n"/>
      <c r="F224" s="49" t="n"/>
      <c r="G224" s="49" t="n"/>
      <c r="H224" s="49" t="n"/>
      <c r="I224" s="49" t="n"/>
      <c r="J224" s="49" t="n"/>
    </row>
    <row r="225">
      <c r="B225" s="49" t="n"/>
      <c r="C225" s="49" t="n"/>
      <c r="D225" s="49" t="n"/>
      <c r="E225" s="49" t="n"/>
      <c r="F225" s="49" t="n"/>
      <c r="G225" s="49" t="n"/>
      <c r="H225" s="49" t="n"/>
      <c r="I225" s="49" t="n"/>
      <c r="J225" s="49" t="n"/>
    </row>
    <row r="226">
      <c r="B226" s="49" t="n"/>
      <c r="C226" s="49" t="n"/>
      <c r="D226" s="49" t="n"/>
      <c r="E226" s="49" t="n"/>
      <c r="F226" s="49" t="n"/>
      <c r="G226" s="49" t="n"/>
      <c r="H226" s="49" t="n"/>
      <c r="I226" s="49" t="n"/>
      <c r="J226" s="49" t="n"/>
    </row>
    <row r="227">
      <c r="B227" s="49" t="n"/>
      <c r="C227" s="49" t="n"/>
      <c r="D227" s="49" t="n"/>
      <c r="E227" s="49" t="n"/>
      <c r="F227" s="49" t="n"/>
      <c r="G227" s="49" t="n"/>
      <c r="H227" s="49" t="n"/>
      <c r="I227" s="49" t="n"/>
      <c r="J227" s="49" t="n"/>
    </row>
    <row r="228">
      <c r="B228" s="49" t="n"/>
      <c r="C228" s="49" t="n"/>
      <c r="D228" s="49" t="n"/>
      <c r="E228" s="49" t="n"/>
      <c r="F228" s="49" t="n"/>
      <c r="G228" s="49" t="n"/>
      <c r="H228" s="49" t="n"/>
      <c r="I228" s="49" t="n"/>
      <c r="J228" s="49" t="n"/>
    </row>
    <row r="229">
      <c r="B229" s="49" t="n"/>
      <c r="C229" s="49" t="n"/>
      <c r="D229" s="49" t="n"/>
      <c r="E229" s="49" t="n"/>
      <c r="F229" s="49" t="n"/>
      <c r="G229" s="49" t="n"/>
      <c r="H229" s="49" t="n"/>
      <c r="I229" s="49" t="n"/>
      <c r="J229" s="49" t="n"/>
    </row>
    <row r="230">
      <c r="B230" s="49" t="n"/>
      <c r="C230" s="49" t="n"/>
      <c r="D230" s="49" t="n"/>
      <c r="E230" s="49" t="n"/>
      <c r="F230" s="49" t="n"/>
      <c r="G230" s="49" t="n"/>
      <c r="H230" s="49" t="n"/>
      <c r="I230" s="49" t="n"/>
      <c r="J230" s="49" t="n"/>
    </row>
    <row r="231">
      <c r="B231" s="49" t="n"/>
      <c r="C231" s="49" t="n"/>
      <c r="D231" s="49" t="n"/>
      <c r="E231" s="49" t="n"/>
      <c r="F231" s="49" t="n"/>
      <c r="G231" s="49" t="n"/>
      <c r="H231" s="49" t="n"/>
      <c r="I231" s="49" t="n"/>
      <c r="J231" s="49" t="n"/>
    </row>
    <row r="232">
      <c r="B232" s="49" t="n"/>
      <c r="C232" s="49" t="n"/>
      <c r="D232" s="49" t="n"/>
      <c r="E232" s="49" t="n"/>
      <c r="F232" s="49" t="n"/>
      <c r="G232" s="49" t="n"/>
      <c r="H232" s="49" t="n"/>
      <c r="I232" s="49" t="n"/>
      <c r="J232" s="49" t="n"/>
    </row>
    <row r="233">
      <c r="B233" s="49" t="n"/>
      <c r="C233" s="49" t="n"/>
      <c r="D233" s="49" t="n"/>
      <c r="E233" s="49" t="n"/>
      <c r="F233" s="49" t="n"/>
      <c r="G233" s="49" t="n"/>
      <c r="H233" s="49" t="n"/>
      <c r="I233" s="49" t="n"/>
      <c r="J233" s="49" t="n"/>
    </row>
    <row r="234">
      <c r="B234" s="49" t="n"/>
      <c r="C234" s="49" t="n"/>
      <c r="D234" s="49" t="n"/>
      <c r="E234" s="49" t="n"/>
      <c r="F234" s="49" t="n"/>
      <c r="G234" s="49" t="n"/>
      <c r="H234" s="49" t="n"/>
      <c r="I234" s="49" t="n"/>
      <c r="J234" s="49" t="n"/>
    </row>
    <row r="235">
      <c r="B235" s="49" t="n"/>
      <c r="C235" s="49" t="n"/>
      <c r="D235" s="49" t="n"/>
      <c r="E235" s="49" t="n"/>
      <c r="F235" s="49" t="n"/>
      <c r="G235" s="49" t="n"/>
      <c r="H235" s="49" t="n"/>
      <c r="I235" s="49" t="n"/>
      <c r="J235" s="49" t="n"/>
    </row>
    <row r="236">
      <c r="B236" s="49" t="n"/>
      <c r="C236" s="49" t="n"/>
      <c r="D236" s="49" t="n"/>
      <c r="E236" s="49" t="n"/>
      <c r="F236" s="49" t="n"/>
      <c r="G236" s="49" t="n"/>
      <c r="H236" s="49" t="n"/>
      <c r="I236" s="49" t="n"/>
      <c r="J236" s="49" t="n"/>
    </row>
    <row r="237">
      <c r="B237" s="49" t="n"/>
      <c r="C237" s="49" t="n"/>
      <c r="D237" s="49" t="n"/>
      <c r="E237" s="49" t="n"/>
      <c r="F237" s="49" t="n"/>
      <c r="G237" s="49" t="n"/>
      <c r="H237" s="49" t="n"/>
      <c r="I237" s="49" t="n"/>
      <c r="J237" s="49" t="n"/>
    </row>
    <row r="238">
      <c r="B238" s="49" t="n"/>
      <c r="C238" s="49" t="n"/>
      <c r="D238" s="49" t="n"/>
      <c r="E238" s="49" t="n"/>
      <c r="F238" s="49" t="n"/>
      <c r="G238" s="49" t="n"/>
      <c r="H238" s="49" t="n"/>
      <c r="I238" s="49" t="n"/>
      <c r="J238" s="49" t="n"/>
    </row>
    <row r="239">
      <c r="B239" s="49" t="n"/>
      <c r="C239" s="49" t="n"/>
      <c r="D239" s="49" t="n"/>
      <c r="E239" s="49" t="n"/>
      <c r="F239" s="49" t="n"/>
      <c r="G239" s="49" t="n"/>
      <c r="H239" s="49" t="n"/>
      <c r="I239" s="49" t="n"/>
      <c r="J239" s="49" t="n"/>
    </row>
    <row r="240">
      <c r="B240" s="49" t="n"/>
      <c r="C240" s="49" t="n"/>
      <c r="D240" s="49" t="n"/>
      <c r="E240" s="49" t="n"/>
      <c r="F240" s="49" t="n"/>
      <c r="G240" s="49" t="n"/>
      <c r="H240" s="49" t="n"/>
      <c r="I240" s="49" t="n"/>
      <c r="J240" s="49" t="n"/>
    </row>
    <row r="241">
      <c r="B241" s="49" t="n"/>
      <c r="C241" s="49" t="n"/>
      <c r="D241" s="49" t="n"/>
      <c r="E241" s="49" t="n"/>
      <c r="F241" s="49" t="n"/>
      <c r="G241" s="49" t="n"/>
      <c r="H241" s="49" t="n"/>
      <c r="I241" s="49" t="n"/>
      <c r="J241" s="49" t="n"/>
    </row>
    <row r="242">
      <c r="B242" s="49" t="n"/>
      <c r="C242" s="49" t="n"/>
      <c r="D242" s="49" t="n"/>
      <c r="E242" s="49" t="n"/>
      <c r="F242" s="49" t="n"/>
      <c r="G242" s="49" t="n"/>
      <c r="H242" s="49" t="n"/>
      <c r="I242" s="49" t="n"/>
      <c r="J242" s="49" t="n"/>
    </row>
    <row r="243">
      <c r="B243" s="49" t="n"/>
      <c r="C243" s="49" t="n"/>
      <c r="D243" s="49" t="n"/>
      <c r="E243" s="49" t="n"/>
      <c r="F243" s="49" t="n"/>
      <c r="G243" s="49" t="n"/>
      <c r="H243" s="49" t="n"/>
      <c r="I243" s="49" t="n"/>
      <c r="J243" s="49" t="n"/>
    </row>
    <row r="244">
      <c r="B244" s="49" t="n"/>
      <c r="C244" s="49" t="n"/>
      <c r="D244" s="49" t="n"/>
      <c r="E244" s="49" t="n"/>
      <c r="F244" s="49" t="n"/>
      <c r="G244" s="49" t="n"/>
      <c r="H244" s="49" t="n"/>
      <c r="I244" s="49" t="n"/>
      <c r="J244" s="49" t="n"/>
    </row>
    <row r="245">
      <c r="B245" s="49" t="n"/>
      <c r="C245" s="49" t="n"/>
      <c r="D245" s="49" t="n"/>
      <c r="E245" s="49" t="n"/>
      <c r="F245" s="49" t="n"/>
      <c r="G245" s="49" t="n"/>
      <c r="H245" s="49" t="n"/>
      <c r="I245" s="49" t="n"/>
      <c r="J245" s="49" t="n"/>
    </row>
    <row r="246">
      <c r="B246" s="49" t="n"/>
      <c r="C246" s="49" t="n"/>
      <c r="D246" s="49" t="n"/>
      <c r="E246" s="49" t="n"/>
      <c r="F246" s="49" t="n"/>
      <c r="G246" s="49" t="n"/>
      <c r="H246" s="49" t="n"/>
      <c r="I246" s="49" t="n"/>
      <c r="J246" s="49" t="n"/>
    </row>
    <row r="247">
      <c r="B247" s="49" t="n"/>
      <c r="C247" s="49" t="n"/>
      <c r="D247" s="49" t="n"/>
      <c r="E247" s="49" t="n"/>
      <c r="F247" s="49" t="n"/>
      <c r="G247" s="49" t="n"/>
      <c r="H247" s="49" t="n"/>
      <c r="I247" s="49" t="n"/>
      <c r="J247" s="49" t="n"/>
    </row>
    <row r="248">
      <c r="B248" s="49" t="n"/>
      <c r="C248" s="49" t="n"/>
      <c r="D248" s="49" t="n"/>
      <c r="E248" s="49" t="n"/>
      <c r="F248" s="49" t="n"/>
      <c r="G248" s="49" t="n"/>
      <c r="H248" s="49" t="n"/>
      <c r="I248" s="49" t="n"/>
      <c r="J248" s="49" t="n"/>
    </row>
    <row r="249">
      <c r="B249" s="49" t="n"/>
      <c r="C249" s="49" t="n"/>
      <c r="D249" s="49" t="n"/>
      <c r="E249" s="49" t="n"/>
      <c r="F249" s="49" t="n"/>
      <c r="G249" s="49" t="n"/>
      <c r="H249" s="49" t="n"/>
      <c r="I249" s="49" t="n"/>
      <c r="J249" s="49" t="n"/>
    </row>
    <row r="250">
      <c r="B250" s="49" t="n"/>
      <c r="C250" s="49" t="n"/>
      <c r="D250" s="49" t="n"/>
      <c r="E250" s="49" t="n"/>
      <c r="F250" s="49" t="n"/>
      <c r="G250" s="49" t="n"/>
      <c r="H250" s="49" t="n"/>
      <c r="I250" s="49" t="n"/>
      <c r="J250" s="49" t="n"/>
    </row>
    <row r="251">
      <c r="B251" s="49" t="n"/>
      <c r="C251" s="49" t="n"/>
      <c r="D251" s="49" t="n"/>
      <c r="E251" s="49" t="n"/>
      <c r="F251" s="49" t="n"/>
      <c r="G251" s="49" t="n"/>
      <c r="H251" s="49" t="n"/>
      <c r="I251" s="49" t="n"/>
      <c r="J251" s="49" t="n"/>
    </row>
    <row r="252">
      <c r="B252" s="49" t="n"/>
      <c r="C252" s="49" t="n"/>
      <c r="D252" s="49" t="n"/>
      <c r="E252" s="49" t="n"/>
      <c r="F252" s="49" t="n"/>
      <c r="G252" s="49" t="n"/>
      <c r="H252" s="49" t="n"/>
      <c r="I252" s="49" t="n"/>
      <c r="J252" s="49" t="n"/>
    </row>
    <row r="253">
      <c r="B253" s="49" t="n"/>
      <c r="C253" s="49" t="n"/>
      <c r="D253" s="49" t="n"/>
      <c r="E253" s="49" t="n"/>
      <c r="F253" s="49" t="n"/>
      <c r="G253" s="49" t="n"/>
      <c r="H253" s="49" t="n"/>
      <c r="I253" s="49" t="n"/>
      <c r="J253" s="49" t="n"/>
    </row>
    <row r="254">
      <c r="B254" s="49" t="n"/>
      <c r="C254" s="49" t="n"/>
      <c r="D254" s="49" t="n"/>
      <c r="E254" s="49" t="n"/>
      <c r="F254" s="49" t="n"/>
      <c r="G254" s="49" t="n"/>
      <c r="H254" s="49" t="n"/>
      <c r="I254" s="49" t="n"/>
      <c r="J254" s="49" t="n"/>
    </row>
    <row r="255">
      <c r="B255" s="49" t="n"/>
      <c r="C255" s="49" t="n"/>
      <c r="D255" s="49" t="n"/>
      <c r="E255" s="49" t="n"/>
      <c r="F255" s="49" t="n"/>
      <c r="G255" s="49" t="n"/>
      <c r="H255" s="49" t="n"/>
      <c r="I255" s="49" t="n"/>
      <c r="J255" s="49" t="n"/>
    </row>
    <row r="256">
      <c r="B256" s="49" t="n"/>
      <c r="C256" s="49" t="n"/>
      <c r="D256" s="49" t="n"/>
      <c r="E256" s="49" t="n"/>
      <c r="F256" s="49" t="n"/>
      <c r="G256" s="49" t="n"/>
      <c r="H256" s="49" t="n"/>
      <c r="I256" s="49" t="n"/>
      <c r="J256" s="49" t="n"/>
    </row>
    <row r="257">
      <c r="B257" s="49" t="n"/>
      <c r="C257" s="49" t="n"/>
      <c r="D257" s="49" t="n"/>
      <c r="E257" s="49" t="n"/>
      <c r="F257" s="49" t="n"/>
      <c r="G257" s="49" t="n"/>
      <c r="H257" s="49" t="n"/>
      <c r="I257" s="49" t="n"/>
      <c r="J257" s="49" t="n"/>
    </row>
    <row r="258">
      <c r="B258" s="49" t="n"/>
      <c r="C258" s="49" t="n"/>
      <c r="D258" s="49" t="n"/>
      <c r="E258" s="49" t="n"/>
      <c r="F258" s="49" t="n"/>
      <c r="G258" s="49" t="n"/>
      <c r="H258" s="49" t="n"/>
      <c r="I258" s="49" t="n"/>
      <c r="J258" s="49" t="n"/>
    </row>
    <row r="259">
      <c r="B259" s="49" t="n"/>
      <c r="C259" s="49" t="n"/>
      <c r="D259" s="49" t="n"/>
      <c r="E259" s="49" t="n"/>
      <c r="F259" s="49" t="n"/>
      <c r="G259" s="49" t="n"/>
      <c r="H259" s="49" t="n"/>
      <c r="I259" s="49" t="n"/>
      <c r="J259" s="49" t="n"/>
    </row>
    <row r="260">
      <c r="B260" s="49" t="n"/>
      <c r="C260" s="49" t="n"/>
      <c r="D260" s="49" t="n"/>
      <c r="E260" s="49" t="n"/>
      <c r="F260" s="49" t="n"/>
      <c r="G260" s="49" t="n"/>
      <c r="H260" s="49" t="n"/>
      <c r="I260" s="49" t="n"/>
      <c r="J260" s="49" t="n"/>
    </row>
    <row r="261">
      <c r="B261" s="49" t="n"/>
      <c r="C261" s="49" t="n"/>
      <c r="D261" s="49" t="n"/>
      <c r="E261" s="49" t="n"/>
      <c r="F261" s="49" t="n"/>
      <c r="G261" s="49" t="n"/>
      <c r="H261" s="49" t="n"/>
      <c r="I261" s="49" t="n"/>
      <c r="J261" s="49" t="n"/>
    </row>
    <row r="262">
      <c r="B262" s="49" t="n"/>
      <c r="C262" s="49" t="n"/>
      <c r="D262" s="49" t="n"/>
      <c r="E262" s="49" t="n"/>
      <c r="F262" s="49" t="n"/>
      <c r="G262" s="49" t="n"/>
      <c r="H262" s="49" t="n"/>
      <c r="I262" s="49" t="n"/>
      <c r="J262" s="49" t="n"/>
    </row>
    <row r="263">
      <c r="B263" s="49" t="n"/>
      <c r="C263" s="49" t="n"/>
      <c r="D263" s="49" t="n"/>
      <c r="E263" s="49" t="n"/>
      <c r="F263" s="49" t="n"/>
      <c r="G263" s="49" t="n"/>
      <c r="H263" s="49" t="n"/>
      <c r="I263" s="49" t="n"/>
      <c r="J263" s="49" t="n"/>
    </row>
    <row r="264">
      <c r="B264" s="49" t="n"/>
      <c r="C264" s="49" t="n"/>
      <c r="D264" s="49" t="n"/>
      <c r="E264" s="49" t="n"/>
      <c r="F264" s="49" t="n"/>
      <c r="G264" s="49" t="n"/>
      <c r="H264" s="49" t="n"/>
      <c r="I264" s="49" t="n"/>
      <c r="J264" s="49" t="n"/>
    </row>
    <row r="265">
      <c r="B265" s="49" t="n"/>
      <c r="C265" s="49" t="n"/>
      <c r="D265" s="49" t="n"/>
      <c r="E265" s="49" t="n"/>
      <c r="F265" s="49" t="n"/>
      <c r="G265" s="49" t="n"/>
      <c r="H265" s="49" t="n"/>
      <c r="I265" s="49" t="n"/>
      <c r="J265" s="49" t="n"/>
    </row>
    <row r="266">
      <c r="B266" s="49" t="n"/>
      <c r="C266" s="49" t="n"/>
      <c r="D266" s="49" t="n"/>
      <c r="E266" s="49" t="n"/>
      <c r="F266" s="49" t="n"/>
      <c r="G266" s="49" t="n"/>
      <c r="H266" s="49" t="n"/>
      <c r="I266" s="49" t="n"/>
      <c r="J266" s="49" t="n"/>
    </row>
    <row r="267">
      <c r="B267" s="49" t="n"/>
      <c r="C267" s="49" t="n"/>
      <c r="D267" s="49" t="n"/>
      <c r="E267" s="49" t="n"/>
      <c r="F267" s="49" t="n"/>
      <c r="G267" s="49" t="n"/>
      <c r="H267" s="49" t="n"/>
      <c r="I267" s="49" t="n"/>
      <c r="J267" s="49" t="n"/>
    </row>
    <row r="268">
      <c r="B268" s="49" t="n"/>
      <c r="C268" s="49" t="n"/>
      <c r="D268" s="49" t="n"/>
      <c r="E268" s="49" t="n"/>
      <c r="F268" s="49" t="n"/>
      <c r="G268" s="49" t="n"/>
      <c r="H268" s="49" t="n"/>
      <c r="I268" s="49" t="n"/>
      <c r="J268" s="49" t="n"/>
    </row>
    <row r="269">
      <c r="B269" s="49" t="n"/>
      <c r="C269" s="49" t="n"/>
      <c r="D269" s="49" t="n"/>
      <c r="E269" s="49" t="n"/>
      <c r="F269" s="49" t="n"/>
      <c r="G269" s="49" t="n"/>
      <c r="H269" s="49" t="n"/>
      <c r="I269" s="49" t="n"/>
      <c r="J269" s="49" t="n"/>
    </row>
    <row r="270">
      <c r="B270" s="49" t="n"/>
      <c r="C270" s="49" t="n"/>
      <c r="D270" s="49" t="n"/>
      <c r="E270" s="49" t="n"/>
      <c r="F270" s="49" t="n"/>
      <c r="G270" s="49" t="n"/>
      <c r="H270" s="49" t="n"/>
      <c r="I270" s="49" t="n"/>
      <c r="J270" s="49" t="n"/>
    </row>
    <row r="271">
      <c r="B271" s="49" t="n"/>
      <c r="C271" s="49" t="n"/>
      <c r="D271" s="49" t="n"/>
      <c r="E271" s="49" t="n"/>
      <c r="F271" s="49" t="n"/>
      <c r="G271" s="49" t="n"/>
      <c r="H271" s="49" t="n"/>
      <c r="I271" s="49" t="n"/>
      <c r="J271" s="49" t="n"/>
    </row>
    <row r="272">
      <c r="B272" s="49" t="n"/>
      <c r="C272" s="49" t="n"/>
      <c r="D272" s="49" t="n"/>
      <c r="E272" s="49" t="n"/>
      <c r="F272" s="49" t="n"/>
      <c r="G272" s="49" t="n"/>
      <c r="H272" s="49" t="n"/>
      <c r="I272" s="49" t="n"/>
      <c r="J272" s="49" t="n"/>
    </row>
    <row r="273">
      <c r="B273" s="49" t="n"/>
      <c r="C273" s="49" t="n"/>
      <c r="D273" s="49" t="n"/>
      <c r="E273" s="49" t="n"/>
      <c r="F273" s="49" t="n"/>
      <c r="G273" s="49" t="n"/>
      <c r="H273" s="49" t="n"/>
      <c r="I273" s="49" t="n"/>
      <c r="J273" s="49" t="n"/>
    </row>
    <row r="274">
      <c r="B274" s="49" t="n"/>
      <c r="C274" s="49" t="n"/>
      <c r="D274" s="49" t="n"/>
      <c r="E274" s="49" t="n"/>
      <c r="F274" s="49" t="n"/>
      <c r="G274" s="49" t="n"/>
      <c r="H274" s="49" t="n"/>
      <c r="I274" s="49" t="n"/>
      <c r="J274" s="49" t="n"/>
    </row>
    <row r="275">
      <c r="B275" s="49" t="n"/>
      <c r="C275" s="49" t="n"/>
      <c r="D275" s="49" t="n"/>
      <c r="E275" s="49" t="n"/>
      <c r="F275" s="49" t="n"/>
      <c r="G275" s="49" t="n"/>
      <c r="H275" s="49" t="n"/>
      <c r="I275" s="49" t="n"/>
      <c r="J275" s="49" t="n"/>
    </row>
    <row r="276">
      <c r="B276" s="49" t="n"/>
      <c r="C276" s="49" t="n"/>
      <c r="D276" s="49" t="n"/>
      <c r="E276" s="49" t="n"/>
      <c r="F276" s="49" t="n"/>
      <c r="G276" s="49" t="n"/>
      <c r="H276" s="49" t="n"/>
      <c r="I276" s="49" t="n"/>
      <c r="J276" s="49" t="n"/>
    </row>
    <row r="277">
      <c r="B277" s="49" t="n"/>
      <c r="C277" s="49" t="n"/>
      <c r="D277" s="49" t="n"/>
      <c r="E277" s="49" t="n"/>
      <c r="F277" s="49" t="n"/>
      <c r="G277" s="49" t="n"/>
      <c r="H277" s="49" t="n"/>
      <c r="I277" s="49" t="n"/>
      <c r="J277" s="49" t="n"/>
    </row>
    <row r="278">
      <c r="B278" s="49" t="n"/>
      <c r="C278" s="49" t="n"/>
      <c r="D278" s="49" t="n"/>
      <c r="E278" s="49" t="n"/>
      <c r="F278" s="49" t="n"/>
      <c r="G278" s="49" t="n"/>
      <c r="H278" s="49" t="n"/>
      <c r="I278" s="49" t="n"/>
      <c r="J278" s="49" t="n"/>
    </row>
    <row r="279">
      <c r="B279" s="49" t="n"/>
      <c r="C279" s="49" t="n"/>
      <c r="D279" s="49" t="n"/>
      <c r="E279" s="49" t="n"/>
      <c r="F279" s="49" t="n"/>
      <c r="G279" s="49" t="n"/>
      <c r="H279" s="49" t="n"/>
      <c r="I279" s="49" t="n"/>
      <c r="J279" s="49" t="n"/>
    </row>
    <row r="280">
      <c r="B280" s="49" t="n"/>
      <c r="C280" s="49" t="n"/>
      <c r="D280" s="49" t="n"/>
      <c r="E280" s="49" t="n"/>
      <c r="F280" s="49" t="n"/>
      <c r="G280" s="49" t="n"/>
      <c r="H280" s="49" t="n"/>
      <c r="I280" s="49" t="n"/>
      <c r="J280" s="49" t="n"/>
    </row>
    <row r="281">
      <c r="B281" s="49" t="n"/>
      <c r="C281" s="49" t="n"/>
      <c r="D281" s="49" t="n"/>
      <c r="E281" s="49" t="n"/>
      <c r="F281" s="49" t="n"/>
      <c r="G281" s="49" t="n"/>
      <c r="H281" s="49" t="n"/>
      <c r="I281" s="49" t="n"/>
      <c r="J281" s="49" t="n"/>
    </row>
    <row r="282">
      <c r="B282" s="49" t="n"/>
      <c r="C282" s="49" t="n"/>
      <c r="D282" s="49" t="n"/>
      <c r="E282" s="49" t="n"/>
      <c r="F282" s="49" t="n"/>
      <c r="G282" s="49" t="n"/>
      <c r="H282" s="49" t="n"/>
      <c r="I282" s="49" t="n"/>
      <c r="J282" s="49" t="n"/>
    </row>
    <row r="283">
      <c r="B283" s="49" t="n"/>
      <c r="C283" s="49" t="n"/>
      <c r="D283" s="49" t="n"/>
      <c r="E283" s="49" t="n"/>
      <c r="F283" s="49" t="n"/>
      <c r="G283" s="49" t="n"/>
      <c r="H283" s="49" t="n"/>
      <c r="I283" s="49" t="n"/>
      <c r="J283" s="49" t="n"/>
    </row>
    <row r="284">
      <c r="B284" s="49" t="n"/>
      <c r="C284" s="49" t="n"/>
      <c r="D284" s="49" t="n"/>
      <c r="E284" s="49" t="n"/>
      <c r="F284" s="49" t="n"/>
      <c r="G284" s="49" t="n"/>
      <c r="H284" s="49" t="n"/>
      <c r="I284" s="49" t="n"/>
      <c r="J284" s="49" t="n"/>
    </row>
    <row r="285">
      <c r="B285" s="49" t="n"/>
      <c r="C285" s="49" t="n"/>
      <c r="D285" s="49" t="n"/>
      <c r="E285" s="49" t="n"/>
      <c r="F285" s="49" t="n"/>
      <c r="G285" s="49" t="n"/>
      <c r="H285" s="49" t="n"/>
      <c r="I285" s="49" t="n"/>
      <c r="J285" s="49" t="n"/>
    </row>
    <row r="286">
      <c r="B286" s="49" t="n"/>
      <c r="C286" s="49" t="n"/>
      <c r="D286" s="49" t="n"/>
      <c r="E286" s="49" t="n"/>
      <c r="F286" s="49" t="n"/>
      <c r="G286" s="49" t="n"/>
      <c r="H286" s="49" t="n"/>
      <c r="I286" s="49" t="n"/>
      <c r="J286" s="49" t="n"/>
    </row>
    <row r="287">
      <c r="B287" s="49" t="n"/>
      <c r="C287" s="49" t="n"/>
      <c r="D287" s="49" t="n"/>
      <c r="E287" s="49" t="n"/>
      <c r="F287" s="49" t="n"/>
      <c r="G287" s="49" t="n"/>
      <c r="H287" s="49" t="n"/>
      <c r="I287" s="49" t="n"/>
      <c r="J287" s="49" t="n"/>
    </row>
    <row r="288">
      <c r="B288" s="49" t="n"/>
      <c r="C288" s="49" t="n"/>
      <c r="D288" s="49" t="n"/>
      <c r="E288" s="49" t="n"/>
      <c r="F288" s="49" t="n"/>
      <c r="G288" s="49" t="n"/>
      <c r="H288" s="49" t="n"/>
      <c r="I288" s="49" t="n"/>
      <c r="J288" s="49" t="n"/>
    </row>
    <row r="289">
      <c r="B289" s="49" t="n"/>
      <c r="C289" s="49" t="n"/>
      <c r="D289" s="49" t="n"/>
      <c r="E289" s="49" t="n"/>
      <c r="F289" s="49" t="n"/>
      <c r="G289" s="49" t="n"/>
      <c r="H289" s="49" t="n"/>
      <c r="I289" s="49" t="n"/>
      <c r="J289" s="49" t="n"/>
    </row>
    <row r="290">
      <c r="B290" s="49" t="n"/>
      <c r="C290" s="49" t="n"/>
      <c r="D290" s="49" t="n"/>
      <c r="E290" s="49" t="n"/>
      <c r="F290" s="49" t="n"/>
      <c r="G290" s="49" t="n"/>
      <c r="H290" s="49" t="n"/>
      <c r="I290" s="49" t="n"/>
      <c r="J290" s="49" t="n"/>
    </row>
    <row r="291">
      <c r="B291" s="49" t="n"/>
      <c r="C291" s="49" t="n"/>
      <c r="D291" s="49" t="n"/>
      <c r="E291" s="49" t="n"/>
      <c r="F291" s="49" t="n"/>
      <c r="G291" s="49" t="n"/>
      <c r="H291" s="49" t="n"/>
      <c r="I291" s="49" t="n"/>
      <c r="J291" s="49" t="n"/>
    </row>
    <row r="292">
      <c r="B292" s="49" t="n"/>
      <c r="C292" s="49" t="n"/>
      <c r="D292" s="49" t="n"/>
      <c r="E292" s="49" t="n"/>
      <c r="F292" s="49" t="n"/>
      <c r="G292" s="49" t="n"/>
      <c r="H292" s="49" t="n"/>
      <c r="I292" s="49" t="n"/>
      <c r="J292" s="49" t="n"/>
    </row>
    <row r="293">
      <c r="B293" s="49" t="n"/>
      <c r="C293" s="49" t="n"/>
      <c r="D293" s="49" t="n"/>
      <c r="E293" s="49" t="n"/>
      <c r="F293" s="49" t="n"/>
      <c r="G293" s="49" t="n"/>
      <c r="H293" s="49" t="n"/>
      <c r="I293" s="49" t="n"/>
      <c r="J293" s="49" t="n"/>
    </row>
    <row r="294">
      <c r="B294" s="49" t="n"/>
      <c r="C294" s="49" t="n"/>
      <c r="D294" s="49" t="n"/>
      <c r="E294" s="49" t="n"/>
      <c r="F294" s="49" t="n"/>
      <c r="G294" s="49" t="n"/>
      <c r="H294" s="49" t="n"/>
      <c r="I294" s="49" t="n"/>
      <c r="J294" s="49" t="n"/>
    </row>
    <row r="295">
      <c r="B295" s="49" t="n"/>
      <c r="C295" s="49" t="n"/>
      <c r="D295" s="49" t="n"/>
      <c r="E295" s="49" t="n"/>
      <c r="F295" s="49" t="n"/>
      <c r="G295" s="49" t="n"/>
      <c r="H295" s="49" t="n"/>
      <c r="I295" s="49" t="n"/>
      <c r="J295" s="49" t="n"/>
    </row>
    <row r="296">
      <c r="B296" s="49" t="n"/>
      <c r="C296" s="49" t="n"/>
      <c r="D296" s="49" t="n"/>
      <c r="E296" s="49" t="n"/>
      <c r="F296" s="49" t="n"/>
      <c r="G296" s="49" t="n"/>
      <c r="H296" s="49" t="n"/>
      <c r="I296" s="49" t="n"/>
      <c r="J296" s="49" t="n"/>
    </row>
    <row r="297">
      <c r="B297" s="49" t="n"/>
      <c r="C297" s="49" t="n"/>
      <c r="D297" s="49" t="n"/>
      <c r="E297" s="49" t="n"/>
      <c r="F297" s="49" t="n"/>
      <c r="G297" s="49" t="n"/>
      <c r="H297" s="49" t="n"/>
      <c r="I297" s="49" t="n"/>
      <c r="J297" s="49" t="n"/>
    </row>
    <row r="298">
      <c r="B298" s="49" t="n"/>
      <c r="C298" s="49" t="n"/>
      <c r="D298" s="49" t="n"/>
      <c r="E298" s="49" t="n"/>
      <c r="F298" s="49" t="n"/>
      <c r="G298" s="49" t="n"/>
      <c r="H298" s="49" t="n"/>
      <c r="I298" s="49" t="n"/>
      <c r="J298" s="49" t="n"/>
    </row>
    <row r="299">
      <c r="B299" s="49" t="n"/>
      <c r="C299" s="49" t="n"/>
      <c r="D299" s="49" t="n"/>
      <c r="E299" s="49" t="n"/>
      <c r="F299" s="49" t="n"/>
      <c r="G299" s="49" t="n"/>
      <c r="H299" s="49" t="n"/>
      <c r="I299" s="49" t="n"/>
      <c r="J299" s="49" t="n"/>
    </row>
    <row r="300">
      <c r="B300" s="49" t="n"/>
      <c r="C300" s="49" t="n"/>
      <c r="D300" s="49" t="n"/>
      <c r="E300" s="49" t="n"/>
      <c r="F300" s="49" t="n"/>
      <c r="G300" s="49" t="n"/>
      <c r="H300" s="49" t="n"/>
      <c r="I300" s="49" t="n"/>
      <c r="J300" s="49" t="n"/>
    </row>
    <row r="301">
      <c r="B301" s="49" t="n"/>
      <c r="C301" s="49" t="n"/>
      <c r="D301" s="49" t="n"/>
      <c r="E301" s="49" t="n"/>
      <c r="F301" s="49" t="n"/>
      <c r="G301" s="49" t="n"/>
      <c r="H301" s="49" t="n"/>
      <c r="I301" s="49" t="n"/>
      <c r="J301" s="49" t="n"/>
    </row>
    <row r="302">
      <c r="B302" s="49" t="n"/>
      <c r="C302" s="49" t="n"/>
      <c r="D302" s="49" t="n"/>
      <c r="E302" s="49" t="n"/>
      <c r="F302" s="49" t="n"/>
      <c r="G302" s="49" t="n"/>
      <c r="H302" s="49" t="n"/>
      <c r="I302" s="49" t="n"/>
      <c r="J302" s="49" t="n"/>
    </row>
    <row r="303">
      <c r="B303" s="49" t="n"/>
      <c r="C303" s="49" t="n"/>
      <c r="D303" s="49" t="n"/>
      <c r="E303" s="49" t="n"/>
      <c r="F303" s="49" t="n"/>
      <c r="G303" s="49" t="n"/>
      <c r="H303" s="49" t="n"/>
      <c r="I303" s="49" t="n"/>
      <c r="J303" s="49" t="n"/>
    </row>
    <row r="304">
      <c r="B304" s="49" t="n"/>
      <c r="C304" s="49" t="n"/>
      <c r="D304" s="49" t="n"/>
      <c r="E304" s="49" t="n"/>
      <c r="F304" s="49" t="n"/>
      <c r="G304" s="49" t="n"/>
      <c r="H304" s="49" t="n"/>
      <c r="I304" s="49" t="n"/>
      <c r="J304" s="49" t="n"/>
    </row>
    <row r="305">
      <c r="B305" s="49" t="n"/>
      <c r="C305" s="49" t="n"/>
      <c r="D305" s="49" t="n"/>
      <c r="E305" s="49" t="n"/>
      <c r="F305" s="49" t="n"/>
      <c r="G305" s="49" t="n"/>
      <c r="H305" s="49" t="n"/>
      <c r="I305" s="49" t="n"/>
      <c r="J305" s="49" t="n"/>
    </row>
    <row r="306">
      <c r="B306" s="49" t="n"/>
      <c r="C306" s="49" t="n"/>
      <c r="D306" s="49" t="n"/>
      <c r="E306" s="49" t="n"/>
      <c r="F306" s="49" t="n"/>
      <c r="G306" s="49" t="n"/>
      <c r="H306" s="49" t="n"/>
      <c r="I306" s="49" t="n"/>
      <c r="J306" s="49" t="n"/>
    </row>
    <row r="307">
      <c r="B307" s="49" t="n"/>
      <c r="C307" s="49" t="n"/>
      <c r="D307" s="49" t="n"/>
      <c r="E307" s="49" t="n"/>
      <c r="F307" s="49" t="n"/>
      <c r="G307" s="49" t="n"/>
      <c r="H307" s="49" t="n"/>
      <c r="I307" s="49" t="n"/>
      <c r="J307" s="49" t="n"/>
    </row>
    <row r="308">
      <c r="B308" s="49" t="n"/>
      <c r="C308" s="49" t="n"/>
      <c r="D308" s="49" t="n"/>
      <c r="E308" s="49" t="n"/>
      <c r="F308" s="49" t="n"/>
      <c r="G308" s="49" t="n"/>
      <c r="H308" s="49" t="n"/>
      <c r="I308" s="49" t="n"/>
      <c r="J308" s="49" t="n"/>
    </row>
    <row r="309">
      <c r="B309" s="49" t="n"/>
      <c r="C309" s="49" t="n"/>
      <c r="D309" s="49" t="n"/>
      <c r="E309" s="49" t="n"/>
      <c r="F309" s="49" t="n"/>
      <c r="G309" s="49" t="n"/>
      <c r="H309" s="49" t="n"/>
      <c r="I309" s="49" t="n"/>
      <c r="J309" s="49" t="n"/>
    </row>
    <row r="310">
      <c r="B310" s="49" t="n"/>
      <c r="C310" s="49" t="n"/>
      <c r="D310" s="49" t="n"/>
      <c r="E310" s="49" t="n"/>
      <c r="F310" s="49" t="n"/>
      <c r="G310" s="49" t="n"/>
      <c r="H310" s="49" t="n"/>
      <c r="I310" s="49" t="n"/>
      <c r="J310" s="49" t="n"/>
    </row>
    <row r="311">
      <c r="B311" s="49" t="n"/>
      <c r="C311" s="49" t="n"/>
      <c r="D311" s="49" t="n"/>
      <c r="E311" s="49" t="n"/>
      <c r="F311" s="49" t="n"/>
      <c r="G311" s="49" t="n"/>
      <c r="H311" s="49" t="n"/>
      <c r="I311" s="49" t="n"/>
      <c r="J311" s="49" t="n"/>
    </row>
    <row r="312">
      <c r="B312" s="49" t="n"/>
      <c r="C312" s="49" t="n"/>
      <c r="D312" s="49" t="n"/>
      <c r="E312" s="49" t="n"/>
      <c r="F312" s="49" t="n"/>
      <c r="G312" s="49" t="n"/>
      <c r="H312" s="49" t="n"/>
      <c r="I312" s="49" t="n"/>
      <c r="J312" s="49" t="n"/>
    </row>
    <row r="313">
      <c r="B313" s="49" t="n"/>
      <c r="C313" s="49" t="n"/>
      <c r="D313" s="49" t="n"/>
      <c r="E313" s="49" t="n"/>
      <c r="F313" s="49" t="n"/>
      <c r="G313" s="49" t="n"/>
      <c r="H313" s="49" t="n"/>
      <c r="I313" s="49" t="n"/>
      <c r="J313" s="49" t="n"/>
    </row>
    <row r="314">
      <c r="B314" s="49" t="n"/>
      <c r="C314" s="49" t="n"/>
      <c r="D314" s="49" t="n"/>
      <c r="E314" s="49" t="n"/>
      <c r="F314" s="49" t="n"/>
      <c r="G314" s="49" t="n"/>
      <c r="H314" s="49" t="n"/>
      <c r="I314" s="49" t="n"/>
      <c r="J314" s="49" t="n"/>
    </row>
    <row r="315">
      <c r="B315" s="49" t="n"/>
      <c r="C315" s="49" t="n"/>
      <c r="D315" s="49" t="n"/>
      <c r="E315" s="49" t="n"/>
      <c r="F315" s="49" t="n"/>
      <c r="G315" s="49" t="n"/>
      <c r="H315" s="49" t="n"/>
      <c r="I315" s="49" t="n"/>
      <c r="J315" s="49" t="n"/>
    </row>
    <row r="316">
      <c r="B316" s="49" t="n"/>
      <c r="C316" s="49" t="n"/>
      <c r="D316" s="49" t="n"/>
      <c r="E316" s="49" t="n"/>
      <c r="F316" s="49" t="n"/>
      <c r="G316" s="49" t="n"/>
      <c r="H316" s="49" t="n"/>
      <c r="I316" s="49" t="n"/>
      <c r="J316" s="49" t="n"/>
    </row>
    <row r="317">
      <c r="B317" s="49" t="n"/>
      <c r="C317" s="49" t="n"/>
      <c r="D317" s="49" t="n"/>
      <c r="E317" s="49" t="n"/>
      <c r="F317" s="49" t="n"/>
      <c r="G317" s="49" t="n"/>
      <c r="H317" s="49" t="n"/>
      <c r="I317" s="49" t="n"/>
      <c r="J317" s="49" t="n"/>
    </row>
    <row r="318">
      <c r="B318" s="49" t="n"/>
      <c r="C318" s="49" t="n"/>
      <c r="D318" s="49" t="n"/>
      <c r="E318" s="49" t="n"/>
      <c r="F318" s="49" t="n"/>
      <c r="G318" s="49" t="n"/>
      <c r="H318" s="49" t="n"/>
      <c r="I318" s="49" t="n"/>
      <c r="J318" s="49" t="n"/>
    </row>
    <row r="319">
      <c r="B319" s="49" t="n"/>
      <c r="C319" s="49" t="n"/>
      <c r="D319" s="49" t="n"/>
      <c r="E319" s="49" t="n"/>
      <c r="F319" s="49" t="n"/>
      <c r="G319" s="49" t="n"/>
      <c r="H319" s="49" t="n"/>
      <c r="I319" s="49" t="n"/>
      <c r="J319" s="49" t="n"/>
    </row>
    <row r="320">
      <c r="B320" s="49" t="n"/>
      <c r="C320" s="49" t="n"/>
      <c r="D320" s="49" t="n"/>
      <c r="E320" s="49" t="n"/>
      <c r="F320" s="49" t="n"/>
      <c r="G320" s="49" t="n"/>
      <c r="H320" s="49" t="n"/>
      <c r="I320" s="49" t="n"/>
      <c r="J320" s="49" t="n"/>
    </row>
    <row r="321">
      <c r="B321" s="49" t="n"/>
      <c r="C321" s="49" t="n"/>
      <c r="D321" s="49" t="n"/>
      <c r="E321" s="49" t="n"/>
      <c r="F321" s="49" t="n"/>
      <c r="G321" s="49" t="n"/>
      <c r="H321" s="49" t="n"/>
      <c r="I321" s="49" t="n"/>
      <c r="J321" s="49" t="n"/>
    </row>
    <row r="322">
      <c r="B322" s="49" t="n"/>
      <c r="C322" s="49" t="n"/>
      <c r="D322" s="49" t="n"/>
      <c r="E322" s="49" t="n"/>
      <c r="F322" s="49" t="n"/>
      <c r="G322" s="49" t="n"/>
      <c r="H322" s="49" t="n"/>
      <c r="I322" s="49" t="n"/>
      <c r="J322" s="49" t="n"/>
    </row>
    <row r="323">
      <c r="B323" s="49" t="n"/>
      <c r="C323" s="49" t="n"/>
      <c r="D323" s="49" t="n"/>
      <c r="E323" s="49" t="n"/>
      <c r="F323" s="49" t="n"/>
      <c r="G323" s="49" t="n"/>
      <c r="H323" s="49" t="n"/>
      <c r="I323" s="49" t="n"/>
      <c r="J323" s="49" t="n"/>
    </row>
    <row r="324">
      <c r="B324" s="49" t="n"/>
      <c r="C324" s="49" t="n"/>
      <c r="D324" s="49" t="n"/>
      <c r="E324" s="49" t="n"/>
      <c r="F324" s="49" t="n"/>
      <c r="G324" s="49" t="n"/>
      <c r="H324" s="49" t="n"/>
      <c r="I324" s="49" t="n"/>
      <c r="J324" s="49" t="n"/>
    </row>
    <row r="325">
      <c r="B325" s="49" t="n"/>
      <c r="C325" s="49" t="n"/>
      <c r="D325" s="49" t="n"/>
      <c r="E325" s="49" t="n"/>
      <c r="F325" s="49" t="n"/>
      <c r="G325" s="49" t="n"/>
      <c r="H325" s="49" t="n"/>
      <c r="I325" s="49" t="n"/>
      <c r="J325" s="49" t="n"/>
    </row>
    <row r="326">
      <c r="B326" s="49" t="n"/>
      <c r="C326" s="49" t="n"/>
      <c r="D326" s="49" t="n"/>
      <c r="E326" s="49" t="n"/>
      <c r="F326" s="49" t="n"/>
      <c r="G326" s="49" t="n"/>
      <c r="H326" s="49" t="n"/>
      <c r="I326" s="49" t="n"/>
      <c r="J326" s="49" t="n"/>
    </row>
    <row r="327">
      <c r="B327" s="49" t="n"/>
      <c r="C327" s="49" t="n"/>
      <c r="D327" s="49" t="n"/>
      <c r="E327" s="49" t="n"/>
      <c r="F327" s="49" t="n"/>
      <c r="G327" s="49" t="n"/>
      <c r="H327" s="49" t="n"/>
      <c r="I327" s="49" t="n"/>
      <c r="J327" s="49" t="n"/>
    </row>
    <row r="328">
      <c r="B328" s="49" t="n"/>
      <c r="C328" s="49" t="n"/>
      <c r="D328" s="49" t="n"/>
      <c r="E328" s="49" t="n"/>
      <c r="F328" s="49" t="n"/>
      <c r="G328" s="49" t="n"/>
      <c r="H328" s="49" t="n"/>
      <c r="I328" s="49" t="n"/>
      <c r="J328" s="49" t="n"/>
    </row>
    <row r="329">
      <c r="B329" s="49" t="n"/>
      <c r="C329" s="49" t="n"/>
      <c r="D329" s="49" t="n"/>
      <c r="E329" s="49" t="n"/>
      <c r="F329" s="49" t="n"/>
      <c r="G329" s="49" t="n"/>
      <c r="H329" s="49" t="n"/>
      <c r="I329" s="49" t="n"/>
      <c r="J329" s="49" t="n"/>
    </row>
    <row r="330">
      <c r="B330" s="49" t="n"/>
      <c r="C330" s="49" t="n"/>
      <c r="D330" s="49" t="n"/>
      <c r="E330" s="49" t="n"/>
      <c r="F330" s="49" t="n"/>
      <c r="G330" s="49" t="n"/>
      <c r="H330" s="49" t="n"/>
      <c r="I330" s="49" t="n"/>
      <c r="J330" s="49" t="n"/>
    </row>
    <row r="331">
      <c r="B331" s="49" t="n"/>
      <c r="C331" s="49" t="n"/>
      <c r="D331" s="49" t="n"/>
      <c r="E331" s="49" t="n"/>
      <c r="F331" s="49" t="n"/>
      <c r="G331" s="49" t="n"/>
      <c r="H331" s="49" t="n"/>
      <c r="I331" s="49" t="n"/>
      <c r="J331" s="49" t="n"/>
    </row>
    <row r="332">
      <c r="B332" s="49" t="n"/>
      <c r="C332" s="49" t="n"/>
      <c r="D332" s="49" t="n"/>
      <c r="E332" s="49" t="n"/>
      <c r="F332" s="49" t="n"/>
      <c r="G332" s="49" t="n"/>
      <c r="H332" s="49" t="n"/>
      <c r="I332" s="49" t="n"/>
      <c r="J332" s="49" t="n"/>
    </row>
    <row r="333">
      <c r="B333" s="49" t="n"/>
      <c r="C333" s="49" t="n"/>
      <c r="D333" s="49" t="n"/>
      <c r="E333" s="49" t="n"/>
      <c r="F333" s="49" t="n"/>
      <c r="G333" s="49" t="n"/>
      <c r="H333" s="49" t="n"/>
      <c r="I333" s="49" t="n"/>
      <c r="J333" s="49" t="n"/>
    </row>
    <row r="334">
      <c r="B334" s="49" t="n"/>
      <c r="C334" s="49" t="n"/>
      <c r="D334" s="49" t="n"/>
      <c r="E334" s="49" t="n"/>
      <c r="F334" s="49" t="n"/>
      <c r="G334" s="49" t="n"/>
      <c r="H334" s="49" t="n"/>
      <c r="I334" s="49" t="n"/>
      <c r="J334" s="49" t="n"/>
    </row>
    <row r="335">
      <c r="B335" s="49" t="n"/>
      <c r="C335" s="49" t="n"/>
      <c r="D335" s="49" t="n"/>
      <c r="E335" s="49" t="n"/>
      <c r="F335" s="49" t="n"/>
      <c r="G335" s="49" t="n"/>
      <c r="H335" s="49" t="n"/>
      <c r="I335" s="49" t="n"/>
      <c r="J335" s="49" t="n"/>
    </row>
    <row r="336">
      <c r="B336" s="49" t="n"/>
      <c r="C336" s="49" t="n"/>
      <c r="D336" s="49" t="n"/>
      <c r="E336" s="49" t="n"/>
      <c r="F336" s="49" t="n"/>
      <c r="G336" s="49" t="n"/>
      <c r="H336" s="49" t="n"/>
      <c r="I336" s="49" t="n"/>
      <c r="J336" s="49" t="n"/>
    </row>
    <row r="337">
      <c r="B337" s="49" t="n"/>
      <c r="C337" s="49" t="n"/>
      <c r="D337" s="49" t="n"/>
      <c r="E337" s="49" t="n"/>
      <c r="F337" s="49" t="n"/>
      <c r="G337" s="49" t="n"/>
      <c r="H337" s="49" t="n"/>
      <c r="I337" s="49" t="n"/>
      <c r="J337" s="49" t="n"/>
    </row>
    <row r="338">
      <c r="B338" s="49" t="n"/>
      <c r="C338" s="49" t="n"/>
      <c r="D338" s="49" t="n"/>
      <c r="E338" s="49" t="n"/>
      <c r="F338" s="49" t="n"/>
      <c r="G338" s="49" t="n"/>
      <c r="H338" s="49" t="n"/>
      <c r="I338" s="49" t="n"/>
      <c r="J338" s="49" t="n"/>
    </row>
    <row r="339">
      <c r="B339" s="49" t="n"/>
      <c r="C339" s="49" t="n"/>
      <c r="D339" s="49" t="n"/>
      <c r="E339" s="49" t="n"/>
      <c r="F339" s="49" t="n"/>
      <c r="G339" s="49" t="n"/>
      <c r="H339" s="49" t="n"/>
      <c r="I339" s="49" t="n"/>
      <c r="J339" s="49" t="n"/>
    </row>
    <row r="340">
      <c r="B340" s="49" t="n"/>
      <c r="C340" s="49" t="n"/>
      <c r="D340" s="49" t="n"/>
      <c r="E340" s="49" t="n"/>
      <c r="F340" s="49" t="n"/>
      <c r="G340" s="49" t="n"/>
      <c r="H340" s="49" t="n"/>
      <c r="I340" s="49" t="n"/>
      <c r="J340" s="49" t="n"/>
    </row>
    <row r="341">
      <c r="B341" s="49" t="n"/>
      <c r="C341" s="49" t="n"/>
      <c r="D341" s="49" t="n"/>
      <c r="E341" s="49" t="n"/>
      <c r="F341" s="49" t="n"/>
      <c r="G341" s="49" t="n"/>
      <c r="H341" s="49" t="n"/>
      <c r="I341" s="49" t="n"/>
      <c r="J341" s="49" t="n"/>
    </row>
    <row r="342">
      <c r="B342" s="49" t="n"/>
      <c r="C342" s="49" t="n"/>
      <c r="D342" s="49" t="n"/>
      <c r="E342" s="49" t="n"/>
      <c r="F342" s="49" t="n"/>
      <c r="G342" s="49" t="n"/>
      <c r="H342" s="49" t="n"/>
      <c r="I342" s="49" t="n"/>
      <c r="J342" s="49" t="n"/>
    </row>
    <row r="343">
      <c r="B343" s="49" t="n"/>
      <c r="C343" s="49" t="n"/>
      <c r="D343" s="49" t="n"/>
      <c r="E343" s="49" t="n"/>
      <c r="F343" s="49" t="n"/>
      <c r="G343" s="49" t="n"/>
      <c r="H343" s="49" t="n"/>
      <c r="I343" s="49" t="n"/>
      <c r="J343" s="49" t="n"/>
    </row>
    <row r="344">
      <c r="B344" s="49" t="n"/>
      <c r="C344" s="49" t="n"/>
      <c r="D344" s="49" t="n"/>
      <c r="E344" s="49" t="n"/>
      <c r="F344" s="49" t="n"/>
      <c r="G344" s="49" t="n"/>
      <c r="H344" s="49" t="n"/>
      <c r="I344" s="49" t="n"/>
      <c r="J344" s="49" t="n"/>
    </row>
    <row r="345">
      <c r="B345" s="49" t="n"/>
      <c r="C345" s="49" t="n"/>
      <c r="D345" s="49" t="n"/>
      <c r="E345" s="49" t="n"/>
      <c r="F345" s="49" t="n"/>
      <c r="G345" s="49" t="n"/>
      <c r="H345" s="49" t="n"/>
      <c r="I345" s="49" t="n"/>
      <c r="J345" s="49" t="n"/>
    </row>
    <row r="346">
      <c r="B346" s="49" t="n"/>
      <c r="C346" s="49" t="n"/>
      <c r="D346" s="49" t="n"/>
      <c r="E346" s="49" t="n"/>
      <c r="F346" s="49" t="n"/>
      <c r="G346" s="49" t="n"/>
      <c r="H346" s="49" t="n"/>
      <c r="I346" s="49" t="n"/>
      <c r="J346" s="49" t="n"/>
    </row>
    <row r="347">
      <c r="B347" s="49" t="n"/>
      <c r="C347" s="49" t="n"/>
      <c r="D347" s="49" t="n"/>
      <c r="E347" s="49" t="n"/>
      <c r="F347" s="49" t="n"/>
      <c r="G347" s="49" t="n"/>
      <c r="H347" s="49" t="n"/>
      <c r="I347" s="49" t="n"/>
      <c r="J347" s="49" t="n"/>
    </row>
    <row r="348">
      <c r="B348" s="49" t="n"/>
      <c r="C348" s="49" t="n"/>
      <c r="D348" s="49" t="n"/>
      <c r="E348" s="49" t="n"/>
      <c r="F348" s="49" t="n"/>
      <c r="G348" s="49" t="n"/>
      <c r="H348" s="49" t="n"/>
      <c r="I348" s="49" t="n"/>
      <c r="J348" s="49" t="n"/>
    </row>
    <row r="349">
      <c r="B349" s="49" t="n"/>
      <c r="C349" s="49" t="n"/>
      <c r="D349" s="49" t="n"/>
      <c r="E349" s="49" t="n"/>
      <c r="F349" s="49" t="n"/>
      <c r="G349" s="49" t="n"/>
      <c r="H349" s="49" t="n"/>
      <c r="I349" s="49" t="n"/>
      <c r="J349" s="49" t="n"/>
    </row>
    <row r="350">
      <c r="B350" s="49" t="n"/>
      <c r="C350" s="49" t="n"/>
      <c r="D350" s="49" t="n"/>
      <c r="E350" s="49" t="n"/>
      <c r="F350" s="49" t="n"/>
      <c r="G350" s="49" t="n"/>
      <c r="H350" s="49" t="n"/>
      <c r="I350" s="49" t="n"/>
      <c r="J350" s="49" t="n"/>
    </row>
    <row r="351">
      <c r="B351" s="49" t="n"/>
      <c r="C351" s="49" t="n"/>
      <c r="D351" s="49" t="n"/>
      <c r="E351" s="49" t="n"/>
      <c r="F351" s="49" t="n"/>
      <c r="G351" s="49" t="n"/>
      <c r="H351" s="49" t="n"/>
      <c r="I351" s="49" t="n"/>
      <c r="J351" s="49" t="n"/>
    </row>
    <row r="352">
      <c r="B352" s="49" t="n"/>
      <c r="C352" s="49" t="n"/>
      <c r="D352" s="49" t="n"/>
      <c r="E352" s="49" t="n"/>
      <c r="F352" s="49" t="n"/>
      <c r="G352" s="49" t="n"/>
      <c r="H352" s="49" t="n"/>
      <c r="I352" s="49" t="n"/>
      <c r="J352" s="49" t="n"/>
    </row>
    <row r="353">
      <c r="B353" s="49" t="n"/>
      <c r="C353" s="49" t="n"/>
      <c r="D353" s="49" t="n"/>
      <c r="E353" s="49" t="n"/>
      <c r="F353" s="49" t="n"/>
      <c r="G353" s="49" t="n"/>
      <c r="H353" s="49" t="n"/>
      <c r="I353" s="49" t="n"/>
      <c r="J353" s="49" t="n"/>
    </row>
    <row r="354">
      <c r="B354" s="49" t="n"/>
      <c r="C354" s="49" t="n"/>
      <c r="D354" s="49" t="n"/>
      <c r="E354" s="49" t="n"/>
      <c r="F354" s="49" t="n"/>
      <c r="G354" s="49" t="n"/>
      <c r="H354" s="49" t="n"/>
      <c r="I354" s="49" t="n"/>
      <c r="J354" s="49" t="n"/>
    </row>
    <row r="355">
      <c r="B355" s="49" t="n"/>
      <c r="C355" s="49" t="n"/>
      <c r="D355" s="49" t="n"/>
      <c r="E355" s="49" t="n"/>
      <c r="F355" s="49" t="n"/>
      <c r="G355" s="49" t="n"/>
      <c r="H355" s="49" t="n"/>
      <c r="I355" s="49" t="n"/>
      <c r="J355" s="49" t="n"/>
    </row>
    <row r="356">
      <c r="B356" s="49" t="n"/>
      <c r="C356" s="49" t="n"/>
      <c r="D356" s="49" t="n"/>
      <c r="E356" s="49" t="n"/>
      <c r="F356" s="49" t="n"/>
      <c r="G356" s="49" t="n"/>
      <c r="H356" s="49" t="n"/>
      <c r="I356" s="49" t="n"/>
      <c r="J356" s="49" t="n"/>
    </row>
    <row r="357">
      <c r="B357" s="49" t="n"/>
      <c r="C357" s="49" t="n"/>
      <c r="D357" s="49" t="n"/>
      <c r="E357" s="49" t="n"/>
      <c r="F357" s="49" t="n"/>
      <c r="G357" s="49" t="n"/>
      <c r="H357" s="49" t="n"/>
      <c r="I357" s="49" t="n"/>
      <c r="J357" s="49" t="n"/>
    </row>
    <row r="358">
      <c r="B358" s="49" t="n"/>
      <c r="C358" s="49" t="n"/>
      <c r="D358" s="49" t="n"/>
      <c r="E358" s="49" t="n"/>
      <c r="F358" s="49" t="n"/>
      <c r="G358" s="49" t="n"/>
      <c r="H358" s="49" t="n"/>
      <c r="I358" s="49" t="n"/>
      <c r="J358" s="49" t="n"/>
    </row>
    <row r="359">
      <c r="B359" s="49" t="n"/>
      <c r="C359" s="49" t="n"/>
      <c r="D359" s="49" t="n"/>
      <c r="E359" s="49" t="n"/>
      <c r="F359" s="49" t="n"/>
      <c r="G359" s="49" t="n"/>
      <c r="H359" s="49" t="n"/>
      <c r="I359" s="49" t="n"/>
      <c r="J359" s="49" t="n"/>
    </row>
    <row r="360">
      <c r="B360" s="49" t="n"/>
      <c r="C360" s="49" t="n"/>
      <c r="D360" s="49" t="n"/>
      <c r="E360" s="49" t="n"/>
      <c r="F360" s="49" t="n"/>
      <c r="G360" s="49" t="n"/>
      <c r="H360" s="49" t="n"/>
      <c r="I360" s="49" t="n"/>
      <c r="J360" s="49" t="n"/>
    </row>
    <row r="361">
      <c r="B361" s="49" t="n"/>
      <c r="C361" s="49" t="n"/>
      <c r="D361" s="49" t="n"/>
      <c r="E361" s="49" t="n"/>
      <c r="F361" s="49" t="n"/>
      <c r="G361" s="49" t="n"/>
      <c r="H361" s="49" t="n"/>
      <c r="I361" s="49" t="n"/>
      <c r="J361" s="49" t="n"/>
    </row>
    <row r="362">
      <c r="B362" s="49" t="n"/>
      <c r="C362" s="49" t="n"/>
      <c r="D362" s="49" t="n"/>
      <c r="E362" s="49" t="n"/>
      <c r="F362" s="49" t="n"/>
      <c r="G362" s="49" t="n"/>
      <c r="H362" s="49" t="n"/>
      <c r="I362" s="49" t="n"/>
      <c r="J362" s="49" t="n"/>
    </row>
    <row r="363">
      <c r="B363" s="49" t="n"/>
      <c r="C363" s="49" t="n"/>
      <c r="D363" s="49" t="n"/>
      <c r="E363" s="49" t="n"/>
      <c r="F363" s="49" t="n"/>
      <c r="G363" s="49" t="n"/>
      <c r="H363" s="49" t="n"/>
      <c r="I363" s="49" t="n"/>
      <c r="J363" s="49" t="n"/>
    </row>
    <row r="364">
      <c r="B364" s="49" t="n"/>
      <c r="C364" s="49" t="n"/>
      <c r="D364" s="49" t="n"/>
      <c r="E364" s="49" t="n"/>
      <c r="F364" s="49" t="n"/>
      <c r="G364" s="49" t="n"/>
      <c r="H364" s="49" t="n"/>
      <c r="I364" s="49" t="n"/>
      <c r="J364" s="49" t="n"/>
    </row>
    <row r="365">
      <c r="B365" s="49" t="n"/>
      <c r="C365" s="49" t="n"/>
      <c r="D365" s="49" t="n"/>
      <c r="E365" s="49" t="n"/>
      <c r="F365" s="49" t="n"/>
      <c r="G365" s="49" t="n"/>
      <c r="H365" s="49" t="n"/>
      <c r="I365" s="49" t="n"/>
      <c r="J365" s="49" t="n"/>
    </row>
    <row r="366">
      <c r="B366" s="49" t="n"/>
      <c r="C366" s="49" t="n"/>
      <c r="D366" s="49" t="n"/>
      <c r="E366" s="49" t="n"/>
      <c r="F366" s="49" t="n"/>
      <c r="G366" s="49" t="n"/>
      <c r="H366" s="49" t="n"/>
      <c r="I366" s="49" t="n"/>
      <c r="J366" s="49" t="n"/>
    </row>
    <row r="367">
      <c r="B367" s="49" t="n"/>
      <c r="C367" s="49" t="n"/>
      <c r="D367" s="49" t="n"/>
      <c r="E367" s="49" t="n"/>
      <c r="F367" s="49" t="n"/>
      <c r="G367" s="49" t="n"/>
      <c r="H367" s="49" t="n"/>
      <c r="I367" s="49" t="n"/>
      <c r="J367" s="49" t="n"/>
    </row>
    <row r="368">
      <c r="B368" s="49" t="n"/>
      <c r="C368" s="49" t="n"/>
      <c r="D368" s="49" t="n"/>
      <c r="E368" s="49" t="n"/>
      <c r="F368" s="49" t="n"/>
      <c r="G368" s="49" t="n"/>
      <c r="H368" s="49" t="n"/>
      <c r="I368" s="49" t="n"/>
      <c r="J368" s="49" t="n"/>
    </row>
    <row r="369">
      <c r="B369" s="49" t="n"/>
      <c r="C369" s="49" t="n"/>
      <c r="D369" s="49" t="n"/>
      <c r="E369" s="49" t="n"/>
      <c r="F369" s="49" t="n"/>
      <c r="G369" s="49" t="n"/>
      <c r="H369" s="49" t="n"/>
      <c r="I369" s="49" t="n"/>
      <c r="J369" s="49" t="n"/>
    </row>
    <row r="370">
      <c r="B370" s="49" t="n"/>
      <c r="C370" s="49" t="n"/>
      <c r="D370" s="49" t="n"/>
      <c r="E370" s="49" t="n"/>
      <c r="F370" s="49" t="n"/>
      <c r="G370" s="49" t="n"/>
      <c r="H370" s="49" t="n"/>
      <c r="I370" s="49" t="n"/>
      <c r="J370" s="49" t="n"/>
    </row>
    <row r="371">
      <c r="B371" s="49" t="n"/>
      <c r="C371" s="49" t="n"/>
      <c r="D371" s="49" t="n"/>
      <c r="E371" s="49" t="n"/>
      <c r="F371" s="49" t="n"/>
      <c r="G371" s="49" t="n"/>
      <c r="H371" s="49" t="n"/>
      <c r="I371" s="49" t="n"/>
      <c r="J371" s="49" t="n"/>
    </row>
    <row r="372">
      <c r="B372" s="49" t="n"/>
      <c r="C372" s="49" t="n"/>
      <c r="D372" s="49" t="n"/>
      <c r="E372" s="49" t="n"/>
      <c r="F372" s="49" t="n"/>
      <c r="G372" s="49" t="n"/>
      <c r="H372" s="49" t="n"/>
      <c r="I372" s="49" t="n"/>
      <c r="J372" s="49" t="n"/>
    </row>
    <row r="373">
      <c r="B373" s="49" t="n"/>
      <c r="C373" s="49" t="n"/>
      <c r="D373" s="49" t="n"/>
      <c r="E373" s="49" t="n"/>
      <c r="F373" s="49" t="n"/>
      <c r="G373" s="49" t="n"/>
      <c r="H373" s="49" t="n"/>
      <c r="I373" s="49" t="n"/>
      <c r="J373" s="49" t="n"/>
    </row>
    <row r="374">
      <c r="B374" s="49" t="n"/>
      <c r="C374" s="49" t="n"/>
      <c r="D374" s="49" t="n"/>
      <c r="E374" s="49" t="n"/>
      <c r="F374" s="49" t="n"/>
      <c r="G374" s="49" t="n"/>
      <c r="H374" s="49" t="n"/>
      <c r="I374" s="49" t="n"/>
      <c r="J374" s="49" t="n"/>
    </row>
    <row r="375">
      <c r="B375" s="49" t="n"/>
      <c r="C375" s="49" t="n"/>
      <c r="D375" s="49" t="n"/>
      <c r="E375" s="49" t="n"/>
      <c r="F375" s="49" t="n"/>
      <c r="G375" s="49" t="n"/>
      <c r="H375" s="49" t="n"/>
      <c r="I375" s="49" t="n"/>
      <c r="J375" s="49" t="n"/>
    </row>
    <row r="376">
      <c r="B376" s="49" t="n"/>
      <c r="C376" s="49" t="n"/>
      <c r="D376" s="49" t="n"/>
      <c r="E376" s="49" t="n"/>
      <c r="F376" s="49" t="n"/>
      <c r="G376" s="49" t="n"/>
      <c r="H376" s="49" t="n"/>
      <c r="I376" s="49" t="n"/>
      <c r="J376" s="49" t="n"/>
    </row>
    <row r="377">
      <c r="B377" s="49" t="n"/>
      <c r="C377" s="49" t="n"/>
      <c r="D377" s="49" t="n"/>
      <c r="E377" s="49" t="n"/>
      <c r="F377" s="49" t="n"/>
      <c r="G377" s="49" t="n"/>
      <c r="H377" s="49" t="n"/>
      <c r="I377" s="49" t="n"/>
      <c r="J377" s="49" t="n"/>
    </row>
    <row r="378">
      <c r="B378" s="49" t="n"/>
      <c r="C378" s="49" t="n"/>
      <c r="D378" s="49" t="n"/>
      <c r="E378" s="49" t="n"/>
      <c r="F378" s="49" t="n"/>
      <c r="G378" s="49" t="n"/>
      <c r="H378" s="49" t="n"/>
      <c r="I378" s="49" t="n"/>
      <c r="J378" s="49" t="n"/>
    </row>
    <row r="379">
      <c r="B379" s="49" t="n"/>
      <c r="C379" s="49" t="n"/>
      <c r="D379" s="49" t="n"/>
      <c r="E379" s="49" t="n"/>
      <c r="F379" s="49" t="n"/>
      <c r="G379" s="49" t="n"/>
      <c r="H379" s="49" t="n"/>
      <c r="I379" s="49" t="n"/>
      <c r="J379" s="49" t="n"/>
    </row>
    <row r="380">
      <c r="B380" s="49" t="n"/>
      <c r="C380" s="49" t="n"/>
      <c r="D380" s="49" t="n"/>
      <c r="E380" s="49" t="n"/>
      <c r="F380" s="49" t="n"/>
      <c r="G380" s="49" t="n"/>
      <c r="H380" s="49" t="n"/>
      <c r="I380" s="49" t="n"/>
      <c r="J380" s="49" t="n"/>
    </row>
    <row r="381">
      <c r="B381" s="49" t="n"/>
      <c r="C381" s="49" t="n"/>
      <c r="D381" s="49" t="n"/>
      <c r="E381" s="49" t="n"/>
      <c r="F381" s="49" t="n"/>
      <c r="G381" s="49" t="n"/>
      <c r="H381" s="49" t="n"/>
      <c r="I381" s="49" t="n"/>
      <c r="J381" s="49" t="n"/>
    </row>
    <row r="382">
      <c r="B382" s="49" t="n"/>
      <c r="C382" s="49" t="n"/>
      <c r="D382" s="49" t="n"/>
      <c r="E382" s="49" t="n"/>
      <c r="F382" s="49" t="n"/>
      <c r="G382" s="49" t="n"/>
      <c r="H382" s="49" t="n"/>
      <c r="I382" s="49" t="n"/>
      <c r="J382" s="49" t="n"/>
    </row>
    <row r="383">
      <c r="B383" s="49" t="n"/>
      <c r="C383" s="49" t="n"/>
      <c r="D383" s="49" t="n"/>
      <c r="E383" s="49" t="n"/>
      <c r="F383" s="49" t="n"/>
      <c r="G383" s="49" t="n"/>
      <c r="H383" s="49" t="n"/>
      <c r="I383" s="49" t="n"/>
      <c r="J383" s="49" t="n"/>
    </row>
    <row r="384">
      <c r="B384" s="49" t="n"/>
      <c r="C384" s="49" t="n"/>
      <c r="D384" s="49" t="n"/>
      <c r="E384" s="49" t="n"/>
      <c r="F384" s="49" t="n"/>
      <c r="G384" s="49" t="n"/>
      <c r="H384" s="49" t="n"/>
      <c r="I384" s="49" t="n"/>
      <c r="J384" s="49" t="n"/>
    </row>
    <row r="385">
      <c r="B385" s="49" t="n"/>
      <c r="C385" s="49" t="n"/>
      <c r="D385" s="49" t="n"/>
      <c r="E385" s="49" t="n"/>
      <c r="F385" s="49" t="n"/>
      <c r="G385" s="49" t="n"/>
      <c r="H385" s="49" t="n"/>
      <c r="I385" s="49" t="n"/>
      <c r="J385" s="49" t="n"/>
    </row>
    <row r="386">
      <c r="B386" s="49" t="n"/>
      <c r="C386" s="49" t="n"/>
      <c r="D386" s="49" t="n"/>
      <c r="E386" s="49" t="n"/>
      <c r="F386" s="49" t="n"/>
      <c r="G386" s="49" t="n"/>
      <c r="H386" s="49" t="n"/>
      <c r="I386" s="49" t="n"/>
      <c r="J386" s="49" t="n"/>
    </row>
    <row r="387">
      <c r="B387" s="49" t="n"/>
      <c r="C387" s="49" t="n"/>
      <c r="D387" s="49" t="n"/>
      <c r="E387" s="49" t="n"/>
      <c r="F387" s="49" t="n"/>
      <c r="G387" s="49" t="n"/>
      <c r="H387" s="49" t="n"/>
      <c r="I387" s="49" t="n"/>
      <c r="J387" s="49" t="n"/>
    </row>
    <row r="388">
      <c r="B388" s="49" t="n"/>
      <c r="C388" s="49" t="n"/>
      <c r="D388" s="49" t="n"/>
      <c r="E388" s="49" t="n"/>
      <c r="F388" s="49" t="n"/>
      <c r="G388" s="49" t="n"/>
      <c r="H388" s="49" t="n"/>
      <c r="I388" s="49" t="n"/>
      <c r="J388" s="49" t="n"/>
    </row>
    <row r="389">
      <c r="B389" s="49" t="n"/>
      <c r="C389" s="49" t="n"/>
      <c r="D389" s="49" t="n"/>
      <c r="E389" s="49" t="n"/>
      <c r="F389" s="49" t="n"/>
      <c r="G389" s="49" t="n"/>
      <c r="H389" s="49" t="n"/>
      <c r="I389" s="49" t="n"/>
      <c r="J389" s="49" t="n"/>
    </row>
    <row r="390">
      <c r="B390" s="49" t="n"/>
      <c r="C390" s="49" t="n"/>
      <c r="D390" s="49" t="n"/>
      <c r="E390" s="49" t="n"/>
      <c r="F390" s="49" t="n"/>
      <c r="G390" s="49" t="n"/>
      <c r="H390" s="49" t="n"/>
      <c r="I390" s="49" t="n"/>
      <c r="J390" s="49" t="n"/>
    </row>
    <row r="391">
      <c r="B391" s="49" t="n"/>
      <c r="C391" s="49" t="n"/>
      <c r="D391" s="49" t="n"/>
      <c r="E391" s="49" t="n"/>
      <c r="F391" s="49" t="n"/>
      <c r="G391" s="49" t="n"/>
      <c r="H391" s="49" t="n"/>
      <c r="I391" s="49" t="n"/>
      <c r="J391" s="49" t="n"/>
    </row>
    <row r="392">
      <c r="B392" s="49" t="n"/>
      <c r="C392" s="49" t="n"/>
      <c r="D392" s="49" t="n"/>
      <c r="E392" s="49" t="n"/>
      <c r="F392" s="49" t="n"/>
      <c r="G392" s="49" t="n"/>
      <c r="H392" s="49" t="n"/>
      <c r="I392" s="49" t="n"/>
      <c r="J392" s="49" t="n"/>
    </row>
    <row r="393">
      <c r="B393" s="49" t="n"/>
      <c r="C393" s="49" t="n"/>
      <c r="D393" s="49" t="n"/>
      <c r="E393" s="49" t="n"/>
      <c r="F393" s="49" t="n"/>
      <c r="G393" s="49" t="n"/>
      <c r="H393" s="49" t="n"/>
      <c r="I393" s="49" t="n"/>
      <c r="J393" s="49" t="n"/>
    </row>
    <row r="394">
      <c r="B394" s="49" t="n"/>
      <c r="C394" s="49" t="n"/>
      <c r="D394" s="49" t="n"/>
      <c r="E394" s="49" t="n"/>
      <c r="F394" s="49" t="n"/>
      <c r="G394" s="49" t="n"/>
      <c r="H394" s="49" t="n"/>
      <c r="I394" s="49" t="n"/>
      <c r="J394" s="49" t="n"/>
    </row>
    <row r="395">
      <c r="B395" s="49" t="n"/>
      <c r="C395" s="49" t="n"/>
      <c r="D395" s="49" t="n"/>
      <c r="E395" s="49" t="n"/>
      <c r="F395" s="49" t="n"/>
      <c r="G395" s="49" t="n"/>
      <c r="H395" s="49" t="n"/>
      <c r="I395" s="49" t="n"/>
      <c r="J395" s="49" t="n"/>
    </row>
    <row r="396">
      <c r="B396" s="49" t="n"/>
      <c r="C396" s="49" t="n"/>
      <c r="D396" s="49" t="n"/>
      <c r="E396" s="49" t="n"/>
      <c r="F396" s="49" t="n"/>
      <c r="G396" s="49" t="n"/>
      <c r="H396" s="49" t="n"/>
      <c r="I396" s="49" t="n"/>
      <c r="J396" s="49" t="n"/>
    </row>
    <row r="397">
      <c r="B397" s="49" t="n"/>
      <c r="C397" s="49" t="n"/>
      <c r="D397" s="49" t="n"/>
      <c r="E397" s="49" t="n"/>
      <c r="F397" s="49" t="n"/>
      <c r="G397" s="49" t="n"/>
      <c r="H397" s="49" t="n"/>
      <c r="I397" s="49" t="n"/>
      <c r="J397" s="49" t="n"/>
    </row>
    <row r="398">
      <c r="B398" s="49" t="n"/>
      <c r="C398" s="49" t="n"/>
      <c r="D398" s="49" t="n"/>
      <c r="E398" s="49" t="n"/>
      <c r="F398" s="49" t="n"/>
      <c r="G398" s="49" t="n"/>
      <c r="H398" s="49" t="n"/>
      <c r="I398" s="49" t="n"/>
      <c r="J398" s="49" t="n"/>
    </row>
    <row r="399">
      <c r="B399" s="49" t="n"/>
      <c r="C399" s="49" t="n"/>
      <c r="D399" s="49" t="n"/>
      <c r="E399" s="49" t="n"/>
      <c r="F399" s="49" t="n"/>
      <c r="G399" s="49" t="n"/>
      <c r="H399" s="49" t="n"/>
      <c r="I399" s="49" t="n"/>
      <c r="J399" s="49" t="n"/>
    </row>
    <row r="400">
      <c r="B400" s="49" t="n"/>
      <c r="C400" s="49" t="n"/>
      <c r="D400" s="49" t="n"/>
      <c r="E400" s="49" t="n"/>
      <c r="F400" s="49" t="n"/>
      <c r="G400" s="49" t="n"/>
      <c r="H400" s="49" t="n"/>
      <c r="I400" s="49" t="n"/>
      <c r="J400" s="49" t="n"/>
    </row>
    <row r="401">
      <c r="B401" s="49" t="n"/>
      <c r="C401" s="49" t="n"/>
      <c r="D401" s="49" t="n"/>
      <c r="E401" s="49" t="n"/>
      <c r="F401" s="49" t="n"/>
      <c r="G401" s="49" t="n"/>
      <c r="H401" s="49" t="n"/>
      <c r="I401" s="49" t="n"/>
      <c r="J401" s="49" t="n"/>
    </row>
    <row r="402">
      <c r="B402" s="49" t="n"/>
      <c r="C402" s="49" t="n"/>
      <c r="D402" s="49" t="n"/>
      <c r="E402" s="49" t="n"/>
      <c r="F402" s="49" t="n"/>
      <c r="G402" s="49" t="n"/>
      <c r="H402" s="49" t="n"/>
      <c r="I402" s="49" t="n"/>
      <c r="J402" s="49" t="n"/>
    </row>
    <row r="403">
      <c r="B403" s="49" t="n"/>
      <c r="C403" s="49" t="n"/>
      <c r="D403" s="49" t="n"/>
      <c r="E403" s="49" t="n"/>
      <c r="F403" s="49" t="n"/>
      <c r="G403" s="49" t="n"/>
      <c r="H403" s="49" t="n"/>
      <c r="I403" s="49" t="n"/>
      <c r="J403" s="49" t="n"/>
    </row>
    <row r="404">
      <c r="B404" s="49" t="n"/>
      <c r="C404" s="49" t="n"/>
      <c r="D404" s="49" t="n"/>
      <c r="E404" s="49" t="n"/>
      <c r="F404" s="49" t="n"/>
      <c r="G404" s="49" t="n"/>
      <c r="H404" s="49" t="n"/>
      <c r="I404" s="49" t="n"/>
      <c r="J404" s="49" t="n"/>
    </row>
    <row r="405">
      <c r="B405" s="49" t="n"/>
      <c r="C405" s="49" t="n"/>
      <c r="D405" s="49" t="n"/>
      <c r="E405" s="49" t="n"/>
      <c r="F405" s="49" t="n"/>
      <c r="G405" s="49" t="n"/>
      <c r="H405" s="49" t="n"/>
      <c r="I405" s="49" t="n"/>
      <c r="J405" s="49" t="n"/>
    </row>
    <row r="406">
      <c r="B406" s="49" t="n"/>
      <c r="C406" s="49" t="n"/>
      <c r="D406" s="49" t="n"/>
      <c r="E406" s="49" t="n"/>
      <c r="F406" s="49" t="n"/>
      <c r="G406" s="49" t="n"/>
      <c r="H406" s="49" t="n"/>
      <c r="I406" s="49" t="n"/>
      <c r="J406" s="49" t="n"/>
    </row>
    <row r="407">
      <c r="B407" s="49" t="n"/>
      <c r="C407" s="49" t="n"/>
      <c r="D407" s="49" t="n"/>
      <c r="E407" s="49" t="n"/>
      <c r="F407" s="49" t="n"/>
      <c r="G407" s="49" t="n"/>
      <c r="H407" s="49" t="n"/>
      <c r="I407" s="49" t="n"/>
      <c r="J407" s="49" t="n"/>
    </row>
    <row r="408">
      <c r="B408" s="49" t="n"/>
      <c r="C408" s="49" t="n"/>
      <c r="D408" s="49" t="n"/>
      <c r="E408" s="49" t="n"/>
      <c r="F408" s="49" t="n"/>
      <c r="G408" s="49" t="n"/>
      <c r="H408" s="49" t="n"/>
      <c r="I408" s="49" t="n"/>
      <c r="J408" s="49" t="n"/>
    </row>
    <row r="409">
      <c r="B409" s="49" t="n"/>
      <c r="C409" s="49" t="n"/>
      <c r="D409" s="49" t="n"/>
      <c r="E409" s="49" t="n"/>
      <c r="F409" s="49" t="n"/>
      <c r="G409" s="49" t="n"/>
      <c r="H409" s="49" t="n"/>
      <c r="I409" s="49" t="n"/>
      <c r="J409" s="49" t="n"/>
    </row>
    <row r="410">
      <c r="B410" s="49" t="n"/>
      <c r="C410" s="49" t="n"/>
      <c r="D410" s="49" t="n"/>
      <c r="E410" s="49" t="n"/>
      <c r="F410" s="49" t="n"/>
      <c r="G410" s="49" t="n"/>
      <c r="H410" s="49" t="n"/>
      <c r="I410" s="49" t="n"/>
      <c r="J410" s="49" t="n"/>
    </row>
    <row r="411">
      <c r="B411" s="49" t="n"/>
      <c r="C411" s="49" t="n"/>
      <c r="D411" s="49" t="n"/>
      <c r="E411" s="49" t="n"/>
      <c r="F411" s="49" t="n"/>
      <c r="G411" s="49" t="n"/>
      <c r="H411" s="49" t="n"/>
      <c r="I411" s="49" t="n"/>
      <c r="J411" s="49" t="n"/>
    </row>
    <row r="412">
      <c r="B412" s="49" t="n"/>
      <c r="C412" s="49" t="n"/>
      <c r="D412" s="49" t="n"/>
      <c r="E412" s="49" t="n"/>
      <c r="F412" s="49" t="n"/>
      <c r="G412" s="49" t="n"/>
      <c r="H412" s="49" t="n"/>
      <c r="I412" s="49" t="n"/>
      <c r="J412" s="49" t="n"/>
    </row>
    <row r="413">
      <c r="B413" s="49" t="n"/>
      <c r="C413" s="49" t="n"/>
      <c r="D413" s="49" t="n"/>
      <c r="E413" s="49" t="n"/>
      <c r="F413" s="49" t="n"/>
      <c r="G413" s="49" t="n"/>
      <c r="H413" s="49" t="n"/>
      <c r="I413" s="49" t="n"/>
      <c r="J413" s="49" t="n"/>
    </row>
    <row r="414">
      <c r="B414" s="49" t="n"/>
      <c r="C414" s="49" t="n"/>
      <c r="D414" s="49" t="n"/>
      <c r="E414" s="49" t="n"/>
      <c r="F414" s="49" t="n"/>
      <c r="G414" s="49" t="n"/>
      <c r="H414" s="49" t="n"/>
      <c r="I414" s="49" t="n"/>
      <c r="J414" s="49" t="n"/>
    </row>
    <row r="415">
      <c r="B415" s="49" t="n"/>
      <c r="C415" s="49" t="n"/>
      <c r="D415" s="49" t="n"/>
      <c r="E415" s="49" t="n"/>
      <c r="F415" s="49" t="n"/>
      <c r="G415" s="49" t="n"/>
      <c r="H415" s="49" t="n"/>
      <c r="I415" s="49" t="n"/>
      <c r="J415" s="49" t="n"/>
    </row>
    <row r="416">
      <c r="B416" s="49" t="n"/>
      <c r="C416" s="49" t="n"/>
      <c r="D416" s="49" t="n"/>
      <c r="E416" s="49" t="n"/>
      <c r="F416" s="49" t="n"/>
      <c r="G416" s="49" t="n"/>
      <c r="H416" s="49" t="n"/>
      <c r="I416" s="49" t="n"/>
      <c r="J416" s="49" t="n"/>
    </row>
    <row r="417">
      <c r="B417" s="49" t="n"/>
      <c r="C417" s="49" t="n"/>
      <c r="D417" s="49" t="n"/>
      <c r="E417" s="49" t="n"/>
      <c r="F417" s="49" t="n"/>
      <c r="G417" s="49" t="n"/>
      <c r="H417" s="49" t="n"/>
      <c r="I417" s="49" t="n"/>
      <c r="J417" s="49" t="n"/>
    </row>
    <row r="418">
      <c r="B418" s="49" t="n"/>
      <c r="C418" s="49" t="n"/>
      <c r="D418" s="49" t="n"/>
      <c r="E418" s="49" t="n"/>
      <c r="F418" s="49" t="n"/>
      <c r="G418" s="49" t="n"/>
      <c r="H418" s="49" t="n"/>
      <c r="I418" s="49" t="n"/>
      <c r="J418" s="49" t="n"/>
    </row>
    <row r="419">
      <c r="B419" s="49" t="n"/>
      <c r="C419" s="49" t="n"/>
      <c r="D419" s="49" t="n"/>
      <c r="E419" s="49" t="n"/>
      <c r="F419" s="49" t="n"/>
      <c r="G419" s="49" t="n"/>
      <c r="H419" s="49" t="n"/>
      <c r="I419" s="49" t="n"/>
      <c r="J419" s="49" t="n"/>
    </row>
    <row r="420">
      <c r="B420" s="49" t="n"/>
      <c r="C420" s="49" t="n"/>
      <c r="D420" s="49" t="n"/>
      <c r="E420" s="49" t="n"/>
      <c r="F420" s="49" t="n"/>
      <c r="G420" s="49" t="n"/>
      <c r="H420" s="49" t="n"/>
      <c r="I420" s="49" t="n"/>
      <c r="J420" s="49" t="n"/>
    </row>
    <row r="421">
      <c r="B421" s="49" t="n"/>
      <c r="C421" s="49" t="n"/>
      <c r="D421" s="49" t="n"/>
      <c r="E421" s="49" t="n"/>
      <c r="F421" s="49" t="n"/>
      <c r="G421" s="49" t="n"/>
      <c r="H421" s="49" t="n"/>
      <c r="I421" s="49" t="n"/>
      <c r="J421" s="49" t="n"/>
    </row>
    <row r="422">
      <c r="B422" s="49" t="n"/>
      <c r="C422" s="49" t="n"/>
      <c r="D422" s="49" t="n"/>
      <c r="E422" s="49" t="n"/>
      <c r="F422" s="49" t="n"/>
      <c r="G422" s="49" t="n"/>
      <c r="H422" s="49" t="n"/>
      <c r="I422" s="49" t="n"/>
      <c r="J422" s="49" t="n"/>
    </row>
    <row r="423">
      <c r="B423" s="49" t="n"/>
      <c r="C423" s="49" t="n"/>
      <c r="D423" s="49" t="n"/>
      <c r="E423" s="49" t="n"/>
      <c r="F423" s="49" t="n"/>
      <c r="G423" s="49" t="n"/>
      <c r="H423" s="49" t="n"/>
      <c r="I423" s="49" t="n"/>
      <c r="J423" s="49" t="n"/>
    </row>
    <row r="424">
      <c r="B424" s="49" t="n"/>
      <c r="C424" s="49" t="n"/>
      <c r="D424" s="49" t="n"/>
      <c r="E424" s="49" t="n"/>
      <c r="F424" s="49" t="n"/>
      <c r="G424" s="49" t="n"/>
      <c r="H424" s="49" t="n"/>
      <c r="I424" s="49" t="n"/>
      <c r="J424" s="49" t="n"/>
    </row>
    <row r="425">
      <c r="B425" s="49" t="n"/>
      <c r="C425" s="49" t="n"/>
      <c r="D425" s="49" t="n"/>
      <c r="E425" s="49" t="n"/>
      <c r="F425" s="49" t="n"/>
      <c r="G425" s="49" t="n"/>
      <c r="H425" s="49" t="n"/>
      <c r="I425" s="49" t="n"/>
      <c r="J425" s="49" t="n"/>
    </row>
    <row r="426">
      <c r="B426" s="49" t="n"/>
      <c r="C426" s="49" t="n"/>
      <c r="D426" s="49" t="n"/>
      <c r="E426" s="49" t="n"/>
      <c r="F426" s="49" t="n"/>
      <c r="G426" s="49" t="n"/>
      <c r="H426" s="49" t="n"/>
      <c r="I426" s="49" t="n"/>
      <c r="J426" s="49" t="n"/>
    </row>
    <row r="427">
      <c r="B427" s="49" t="n"/>
      <c r="C427" s="49" t="n"/>
      <c r="D427" s="49" t="n"/>
      <c r="E427" s="49" t="n"/>
      <c r="F427" s="49" t="n"/>
      <c r="G427" s="49" t="n"/>
      <c r="H427" s="49" t="n"/>
      <c r="I427" s="49" t="n"/>
      <c r="J427" s="49" t="n"/>
    </row>
    <row r="428">
      <c r="B428" s="49" t="n"/>
      <c r="C428" s="49" t="n"/>
      <c r="D428" s="49" t="n"/>
      <c r="E428" s="49" t="n"/>
      <c r="F428" s="49" t="n"/>
      <c r="G428" s="49" t="n"/>
      <c r="H428" s="49" t="n"/>
      <c r="I428" s="49" t="n"/>
      <c r="J428" s="49" t="n"/>
    </row>
    <row r="429">
      <c r="B429" s="49" t="n"/>
      <c r="C429" s="49" t="n"/>
      <c r="D429" s="49" t="n"/>
      <c r="E429" s="49" t="n"/>
      <c r="F429" s="49" t="n"/>
      <c r="G429" s="49" t="n"/>
      <c r="H429" s="49" t="n"/>
      <c r="I429" s="49" t="n"/>
      <c r="J429" s="49" t="n"/>
    </row>
    <row r="430">
      <c r="B430" s="49" t="n"/>
      <c r="C430" s="49" t="n"/>
      <c r="D430" s="49" t="n"/>
      <c r="E430" s="49" t="n"/>
      <c r="F430" s="49" t="n"/>
      <c r="G430" s="49" t="n"/>
      <c r="H430" s="49" t="n"/>
      <c r="I430" s="49" t="n"/>
      <c r="J430" s="49" t="n"/>
    </row>
    <row r="431">
      <c r="B431" s="49" t="n"/>
      <c r="C431" s="49" t="n"/>
      <c r="D431" s="49" t="n"/>
      <c r="E431" s="49" t="n"/>
      <c r="F431" s="49" t="n"/>
      <c r="G431" s="49" t="n"/>
      <c r="H431" s="49" t="n"/>
      <c r="I431" s="49" t="n"/>
      <c r="J431" s="49" t="n"/>
    </row>
    <row r="432">
      <c r="B432" s="49" t="n"/>
      <c r="C432" s="49" t="n"/>
      <c r="D432" s="49" t="n"/>
      <c r="E432" s="49" t="n"/>
      <c r="F432" s="49" t="n"/>
      <c r="G432" s="49" t="n"/>
      <c r="H432" s="49" t="n"/>
      <c r="I432" s="49" t="n"/>
      <c r="J432" s="49" t="n"/>
    </row>
    <row r="433">
      <c r="B433" s="49" t="n"/>
      <c r="C433" s="49" t="n"/>
      <c r="D433" s="49" t="n"/>
      <c r="E433" s="49" t="n"/>
      <c r="F433" s="49" t="n"/>
      <c r="G433" s="49" t="n"/>
      <c r="H433" s="49" t="n"/>
      <c r="I433" s="49" t="n"/>
      <c r="J433" s="49" t="n"/>
    </row>
    <row r="434">
      <c r="B434" s="49" t="n"/>
      <c r="C434" s="49" t="n"/>
      <c r="D434" s="49" t="n"/>
      <c r="E434" s="49" t="n"/>
      <c r="F434" s="49" t="n"/>
      <c r="G434" s="49" t="n"/>
      <c r="H434" s="49" t="n"/>
      <c r="I434" s="49" t="n"/>
      <c r="J434" s="49" t="n"/>
    </row>
    <row r="435">
      <c r="B435" s="49" t="n"/>
      <c r="C435" s="49" t="n"/>
      <c r="D435" s="49" t="n"/>
      <c r="E435" s="49" t="n"/>
      <c r="F435" s="49" t="n"/>
      <c r="G435" s="49" t="n"/>
      <c r="H435" s="49" t="n"/>
      <c r="I435" s="49" t="n"/>
      <c r="J435" s="49" t="n"/>
    </row>
    <row r="436">
      <c r="B436" s="49" t="n"/>
      <c r="C436" s="49" t="n"/>
      <c r="D436" s="49" t="n"/>
      <c r="E436" s="49" t="n"/>
      <c r="F436" s="49" t="n"/>
      <c r="G436" s="49" t="n"/>
      <c r="H436" s="49" t="n"/>
      <c r="I436" s="49" t="n"/>
      <c r="J436" s="49" t="n"/>
    </row>
    <row r="437">
      <c r="B437" s="49" t="n"/>
      <c r="C437" s="49" t="n"/>
      <c r="D437" s="49" t="n"/>
      <c r="E437" s="49" t="n"/>
      <c r="F437" s="49" t="n"/>
      <c r="G437" s="49" t="n"/>
      <c r="H437" s="49" t="n"/>
      <c r="I437" s="49" t="n"/>
      <c r="J437" s="49" t="n"/>
    </row>
    <row r="438">
      <c r="B438" s="49" t="n"/>
      <c r="C438" s="49" t="n"/>
      <c r="D438" s="49" t="n"/>
      <c r="E438" s="49" t="n"/>
      <c r="F438" s="49" t="n"/>
      <c r="G438" s="49" t="n"/>
      <c r="H438" s="49" t="n"/>
      <c r="I438" s="49" t="n"/>
      <c r="J438" s="49" t="n"/>
    </row>
    <row r="439">
      <c r="B439" s="49" t="n"/>
      <c r="C439" s="49" t="n"/>
      <c r="D439" s="49" t="n"/>
      <c r="E439" s="49" t="n"/>
      <c r="F439" s="49" t="n"/>
      <c r="G439" s="49" t="n"/>
      <c r="H439" s="49" t="n"/>
      <c r="I439" s="49" t="n"/>
      <c r="J439" s="49" t="n"/>
    </row>
    <row r="440">
      <c r="B440" s="49" t="n"/>
      <c r="C440" s="49" t="n"/>
      <c r="D440" s="49" t="n"/>
      <c r="E440" s="49" t="n"/>
      <c r="F440" s="49" t="n"/>
      <c r="G440" s="49" t="n"/>
      <c r="H440" s="49" t="n"/>
      <c r="I440" s="49" t="n"/>
      <c r="J440" s="49" t="n"/>
    </row>
    <row r="441">
      <c r="B441" s="49" t="n"/>
      <c r="C441" s="49" t="n"/>
      <c r="D441" s="49" t="n"/>
      <c r="E441" s="49" t="n"/>
      <c r="F441" s="49" t="n"/>
      <c r="G441" s="49" t="n"/>
      <c r="H441" s="49" t="n"/>
      <c r="I441" s="49" t="n"/>
      <c r="J441" s="49" t="n"/>
    </row>
    <row r="442">
      <c r="B442" s="49" t="n"/>
      <c r="C442" s="49" t="n"/>
      <c r="D442" s="49" t="n"/>
      <c r="E442" s="49" t="n"/>
      <c r="F442" s="49" t="n"/>
      <c r="G442" s="49" t="n"/>
      <c r="H442" s="49" t="n"/>
      <c r="I442" s="49" t="n"/>
      <c r="J442" s="49" t="n"/>
    </row>
    <row r="443">
      <c r="B443" s="49" t="n"/>
      <c r="C443" s="49" t="n"/>
      <c r="D443" s="49" t="n"/>
      <c r="E443" s="49" t="n"/>
      <c r="F443" s="49" t="n"/>
      <c r="G443" s="49" t="n"/>
      <c r="H443" s="49" t="n"/>
      <c r="I443" s="49" t="n"/>
      <c r="J443" s="49" t="n"/>
    </row>
    <row r="444">
      <c r="B444" s="49" t="n"/>
      <c r="C444" s="49" t="n"/>
      <c r="D444" s="49" t="n"/>
      <c r="E444" s="49" t="n"/>
      <c r="F444" s="49" t="n"/>
      <c r="G444" s="49" t="n"/>
      <c r="H444" s="49" t="n"/>
      <c r="I444" s="49" t="n"/>
      <c r="J444" s="49" t="n"/>
    </row>
    <row r="445">
      <c r="B445" s="49" t="n"/>
      <c r="C445" s="49" t="n"/>
      <c r="D445" s="49" t="n"/>
      <c r="E445" s="49" t="n"/>
      <c r="F445" s="49" t="n"/>
      <c r="G445" s="49" t="n"/>
      <c r="H445" s="49" t="n"/>
      <c r="I445" s="49" t="n"/>
      <c r="J445" s="49" t="n"/>
    </row>
    <row r="446">
      <c r="B446" s="49" t="n"/>
      <c r="C446" s="49" t="n"/>
      <c r="D446" s="49" t="n"/>
      <c r="E446" s="49" t="n"/>
      <c r="F446" s="49" t="n"/>
      <c r="G446" s="49" t="n"/>
      <c r="H446" s="49" t="n"/>
      <c r="I446" s="49" t="n"/>
      <c r="J446" s="49" t="n"/>
    </row>
    <row r="447">
      <c r="B447" s="49" t="n"/>
      <c r="C447" s="49" t="n"/>
      <c r="D447" s="49" t="n"/>
      <c r="E447" s="49" t="n"/>
      <c r="F447" s="49" t="n"/>
      <c r="G447" s="49" t="n"/>
      <c r="H447" s="49" t="n"/>
      <c r="I447" s="49" t="n"/>
      <c r="J447" s="49" t="n"/>
    </row>
    <row r="448">
      <c r="B448" s="49" t="n"/>
      <c r="C448" s="49" t="n"/>
      <c r="D448" s="49" t="n"/>
      <c r="E448" s="49" t="n"/>
      <c r="F448" s="49" t="n"/>
      <c r="G448" s="49" t="n"/>
      <c r="H448" s="49" t="n"/>
      <c r="I448" s="49" t="n"/>
      <c r="J448" s="49" t="n"/>
    </row>
    <row r="449">
      <c r="B449" s="49" t="n"/>
      <c r="C449" s="49" t="n"/>
      <c r="D449" s="49" t="n"/>
      <c r="E449" s="49" t="n"/>
      <c r="F449" s="49" t="n"/>
      <c r="G449" s="49" t="n"/>
      <c r="H449" s="49" t="n"/>
      <c r="I449" s="49" t="n"/>
      <c r="J449" s="49" t="n"/>
    </row>
    <row r="450">
      <c r="B450" s="49" t="n"/>
      <c r="C450" s="49" t="n"/>
      <c r="D450" s="49" t="n"/>
      <c r="E450" s="49" t="n"/>
      <c r="F450" s="49" t="n"/>
      <c r="G450" s="49" t="n"/>
      <c r="H450" s="49" t="n"/>
      <c r="I450" s="49" t="n"/>
      <c r="J450" s="49" t="n"/>
    </row>
    <row r="451">
      <c r="B451" s="49" t="n"/>
      <c r="C451" s="49" t="n"/>
      <c r="D451" s="49" t="n"/>
      <c r="E451" s="49" t="n"/>
      <c r="F451" s="49" t="n"/>
      <c r="G451" s="49" t="n"/>
      <c r="H451" s="49" t="n"/>
      <c r="I451" s="49" t="n"/>
      <c r="J451" s="49" t="n"/>
    </row>
    <row r="452">
      <c r="B452" s="49" t="n"/>
      <c r="C452" s="49" t="n"/>
      <c r="D452" s="49" t="n"/>
      <c r="E452" s="49" t="n"/>
      <c r="F452" s="49" t="n"/>
      <c r="G452" s="49" t="n"/>
      <c r="H452" s="49" t="n"/>
      <c r="I452" s="49" t="n"/>
      <c r="J452" s="49" t="n"/>
    </row>
    <row r="453">
      <c r="B453" s="49" t="n"/>
      <c r="C453" s="49" t="n"/>
      <c r="D453" s="49" t="n"/>
      <c r="E453" s="49" t="n"/>
      <c r="F453" s="49" t="n"/>
      <c r="G453" s="49" t="n"/>
      <c r="H453" s="49" t="n"/>
      <c r="I453" s="49" t="n"/>
      <c r="J453" s="49" t="n"/>
    </row>
    <row r="454">
      <c r="B454" s="49" t="n"/>
      <c r="C454" s="49" t="n"/>
      <c r="D454" s="49" t="n"/>
      <c r="E454" s="49" t="n"/>
      <c r="F454" s="49" t="n"/>
      <c r="G454" s="49" t="n"/>
      <c r="H454" s="49" t="n"/>
      <c r="I454" s="49" t="n"/>
      <c r="J454" s="49" t="n"/>
    </row>
    <row r="455">
      <c r="B455" s="49" t="n"/>
      <c r="C455" s="49" t="n"/>
      <c r="D455" s="49" t="n"/>
      <c r="E455" s="49" t="n"/>
      <c r="F455" s="49" t="n"/>
      <c r="G455" s="49" t="n"/>
      <c r="H455" s="49" t="n"/>
      <c r="I455" s="49" t="n"/>
      <c r="J455" s="49" t="n"/>
    </row>
    <row r="456">
      <c r="B456" s="49" t="n"/>
      <c r="C456" s="49" t="n"/>
      <c r="D456" s="49" t="n"/>
      <c r="E456" s="49" t="n"/>
      <c r="F456" s="49" t="n"/>
      <c r="G456" s="49" t="n"/>
      <c r="H456" s="49" t="n"/>
      <c r="I456" s="49" t="n"/>
      <c r="J456" s="49" t="n"/>
    </row>
    <row r="457">
      <c r="B457" s="49" t="n"/>
      <c r="C457" s="49" t="n"/>
      <c r="D457" s="49" t="n"/>
      <c r="E457" s="49" t="n"/>
      <c r="F457" s="49" t="n"/>
      <c r="G457" s="49" t="n"/>
      <c r="H457" s="49" t="n"/>
      <c r="I457" s="49" t="n"/>
      <c r="J457" s="49" t="n"/>
    </row>
    <row r="458">
      <c r="B458" s="49" t="n"/>
      <c r="C458" s="49" t="n"/>
      <c r="D458" s="49" t="n"/>
      <c r="E458" s="49" t="n"/>
      <c r="F458" s="49" t="n"/>
      <c r="G458" s="49" t="n"/>
      <c r="H458" s="49" t="n"/>
      <c r="I458" s="49" t="n"/>
      <c r="J458" s="49" t="n"/>
    </row>
    <row r="459">
      <c r="B459" s="49" t="n"/>
      <c r="C459" s="49" t="n"/>
      <c r="D459" s="49" t="n"/>
      <c r="E459" s="49" t="n"/>
      <c r="F459" s="49" t="n"/>
      <c r="G459" s="49" t="n"/>
      <c r="H459" s="49" t="n"/>
      <c r="I459" s="49" t="n"/>
      <c r="J459" s="49" t="n"/>
    </row>
    <row r="460">
      <c r="B460" s="49" t="n"/>
      <c r="C460" s="49" t="n"/>
      <c r="D460" s="49" t="n"/>
      <c r="E460" s="49" t="n"/>
      <c r="F460" s="49" t="n"/>
      <c r="G460" s="49" t="n"/>
      <c r="H460" s="49" t="n"/>
      <c r="I460" s="49" t="n"/>
      <c r="J460" s="49" t="n"/>
    </row>
    <row r="461">
      <c r="B461" s="49" t="n"/>
      <c r="C461" s="49" t="n"/>
      <c r="D461" s="49" t="n"/>
      <c r="E461" s="49" t="n"/>
      <c r="F461" s="49" t="n"/>
      <c r="G461" s="49" t="n"/>
      <c r="H461" s="49" t="n"/>
      <c r="I461" s="49" t="n"/>
      <c r="J461" s="49" t="n"/>
    </row>
    <row r="462">
      <c r="B462" s="49" t="n"/>
      <c r="C462" s="49" t="n"/>
      <c r="D462" s="49" t="n"/>
      <c r="E462" s="49" t="n"/>
      <c r="F462" s="49" t="n"/>
      <c r="G462" s="49" t="n"/>
      <c r="H462" s="49" t="n"/>
      <c r="I462" s="49" t="n"/>
      <c r="J462" s="49" t="n"/>
    </row>
    <row r="463">
      <c r="B463" s="49" t="n"/>
      <c r="C463" s="49" t="n"/>
      <c r="D463" s="49" t="n"/>
      <c r="E463" s="49" t="n"/>
      <c r="F463" s="49" t="n"/>
      <c r="G463" s="49" t="n"/>
      <c r="H463" s="49" t="n"/>
      <c r="I463" s="49" t="n"/>
      <c r="J463" s="49" t="n"/>
    </row>
    <row r="464">
      <c r="B464" s="49" t="n"/>
      <c r="C464" s="49" t="n"/>
      <c r="D464" s="49" t="n"/>
      <c r="E464" s="49" t="n"/>
      <c r="F464" s="49" t="n"/>
      <c r="G464" s="49" t="n"/>
      <c r="H464" s="49" t="n"/>
      <c r="I464" s="49" t="n"/>
      <c r="J464" s="49" t="n"/>
    </row>
    <row r="465">
      <c r="B465" s="49" t="n"/>
      <c r="C465" s="49" t="n"/>
      <c r="D465" s="49" t="n"/>
      <c r="E465" s="49" t="n"/>
      <c r="F465" s="49" t="n"/>
      <c r="G465" s="49" t="n"/>
      <c r="H465" s="49" t="n"/>
      <c r="I465" s="49" t="n"/>
      <c r="J465" s="49" t="n"/>
    </row>
    <row r="466">
      <c r="B466" s="49" t="n"/>
      <c r="C466" s="49" t="n"/>
      <c r="D466" s="49" t="n"/>
      <c r="E466" s="49" t="n"/>
      <c r="F466" s="49" t="n"/>
      <c r="G466" s="49" t="n"/>
      <c r="H466" s="49" t="n"/>
      <c r="I466" s="49" t="n"/>
      <c r="J466" s="49" t="n"/>
    </row>
    <row r="467">
      <c r="B467" s="49" t="n"/>
      <c r="C467" s="49" t="n"/>
      <c r="D467" s="49" t="n"/>
      <c r="E467" s="49" t="n"/>
      <c r="F467" s="49" t="n"/>
      <c r="G467" s="49" t="n"/>
      <c r="H467" s="49" t="n"/>
      <c r="I467" s="49" t="n"/>
      <c r="J467" s="49" t="n"/>
    </row>
    <row r="468">
      <c r="B468" s="49" t="n"/>
      <c r="C468" s="49" t="n"/>
      <c r="D468" s="49" t="n"/>
      <c r="E468" s="49" t="n"/>
      <c r="F468" s="49" t="n"/>
      <c r="G468" s="49" t="n"/>
      <c r="H468" s="49" t="n"/>
      <c r="I468" s="49" t="n"/>
      <c r="J468" s="49" t="n"/>
    </row>
    <row r="469">
      <c r="B469" s="49" t="n"/>
      <c r="C469" s="49" t="n"/>
      <c r="D469" s="49" t="n"/>
      <c r="E469" s="49" t="n"/>
      <c r="F469" s="49" t="n"/>
      <c r="G469" s="49" t="n"/>
      <c r="H469" s="49" t="n"/>
      <c r="I469" s="49" t="n"/>
      <c r="J469" s="49" t="n"/>
    </row>
    <row r="470">
      <c r="B470" s="49" t="n"/>
      <c r="C470" s="49" t="n"/>
      <c r="D470" s="49" t="n"/>
      <c r="E470" s="49" t="n"/>
      <c r="F470" s="49" t="n"/>
      <c r="G470" s="49" t="n"/>
      <c r="H470" s="49" t="n"/>
      <c r="I470" s="49" t="n"/>
      <c r="J470" s="49" t="n"/>
    </row>
    <row r="471">
      <c r="B471" s="49" t="n"/>
      <c r="C471" s="49" t="n"/>
      <c r="D471" s="49" t="n"/>
      <c r="E471" s="49" t="n"/>
      <c r="F471" s="49" t="n"/>
      <c r="G471" s="49" t="n"/>
      <c r="H471" s="49" t="n"/>
      <c r="I471" s="49" t="n"/>
      <c r="J471" s="49" t="n"/>
    </row>
    <row r="472">
      <c r="B472" s="49" t="n"/>
      <c r="C472" s="49" t="n"/>
      <c r="D472" s="49" t="n"/>
      <c r="E472" s="49" t="n"/>
      <c r="F472" s="49" t="n"/>
      <c r="G472" s="49" t="n"/>
      <c r="H472" s="49" t="n"/>
      <c r="I472" s="49" t="n"/>
      <c r="J472" s="49" t="n"/>
    </row>
    <row r="473">
      <c r="B473" s="49" t="n"/>
      <c r="C473" s="49" t="n"/>
      <c r="D473" s="49" t="n"/>
      <c r="E473" s="49" t="n"/>
      <c r="F473" s="49" t="n"/>
      <c r="G473" s="49" t="n"/>
      <c r="H473" s="49" t="n"/>
      <c r="I473" s="49" t="n"/>
      <c r="J473" s="49" t="n"/>
    </row>
    <row r="474">
      <c r="B474" s="49" t="n"/>
      <c r="C474" s="49" t="n"/>
      <c r="D474" s="49" t="n"/>
      <c r="E474" s="49" t="n"/>
      <c r="F474" s="49" t="n"/>
      <c r="G474" s="49" t="n"/>
      <c r="H474" s="49" t="n"/>
      <c r="I474" s="49" t="n"/>
      <c r="J474" s="49" t="n"/>
    </row>
    <row r="475">
      <c r="B475" s="49" t="n"/>
      <c r="C475" s="49" t="n"/>
      <c r="D475" s="49" t="n"/>
      <c r="E475" s="49" t="n"/>
      <c r="F475" s="49" t="n"/>
      <c r="G475" s="49" t="n"/>
      <c r="H475" s="49" t="n"/>
      <c r="I475" s="49" t="n"/>
      <c r="J475" s="49" t="n"/>
    </row>
    <row r="476">
      <c r="B476" s="49" t="n"/>
      <c r="C476" s="49" t="n"/>
      <c r="D476" s="49" t="n"/>
      <c r="E476" s="49" t="n"/>
      <c r="F476" s="49" t="n"/>
      <c r="G476" s="49" t="n"/>
      <c r="H476" s="49" t="n"/>
      <c r="I476" s="49" t="n"/>
      <c r="J476" s="49" t="n"/>
    </row>
    <row r="477">
      <c r="B477" s="49" t="n"/>
      <c r="C477" s="49" t="n"/>
      <c r="D477" s="49" t="n"/>
      <c r="E477" s="49" t="n"/>
      <c r="F477" s="49" t="n"/>
      <c r="G477" s="49" t="n"/>
      <c r="H477" s="49" t="n"/>
      <c r="I477" s="49" t="n"/>
      <c r="J477" s="49" t="n"/>
    </row>
    <row r="478">
      <c r="B478" s="49" t="n"/>
      <c r="C478" s="49" t="n"/>
      <c r="D478" s="49" t="n"/>
      <c r="E478" s="49" t="n"/>
      <c r="F478" s="49" t="n"/>
      <c r="G478" s="49" t="n"/>
      <c r="H478" s="49" t="n"/>
      <c r="I478" s="49" t="n"/>
      <c r="J478" s="49" t="n"/>
    </row>
    <row r="479">
      <c r="B479" s="49" t="n"/>
      <c r="C479" s="49" t="n"/>
      <c r="D479" s="49" t="n"/>
      <c r="E479" s="49" t="n"/>
      <c r="F479" s="49" t="n"/>
      <c r="G479" s="49" t="n"/>
      <c r="H479" s="49" t="n"/>
      <c r="I479" s="49" t="n"/>
      <c r="J479" s="49" t="n"/>
    </row>
    <row r="480">
      <c r="B480" s="49" t="n"/>
      <c r="C480" s="49" t="n"/>
      <c r="D480" s="49" t="n"/>
      <c r="E480" s="49" t="n"/>
      <c r="F480" s="49" t="n"/>
      <c r="G480" s="49" t="n"/>
      <c r="H480" s="49" t="n"/>
      <c r="I480" s="49" t="n"/>
      <c r="J480" s="49" t="n"/>
    </row>
    <row r="481">
      <c r="B481" s="49" t="n"/>
      <c r="C481" s="49" t="n"/>
      <c r="D481" s="49" t="n"/>
      <c r="E481" s="49" t="n"/>
      <c r="F481" s="49" t="n"/>
      <c r="G481" s="49" t="n"/>
      <c r="H481" s="49" t="n"/>
      <c r="I481" s="49" t="n"/>
      <c r="J481" s="49" t="n"/>
    </row>
    <row r="482">
      <c r="B482" s="49" t="n"/>
      <c r="C482" s="49" t="n"/>
      <c r="D482" s="49" t="n"/>
      <c r="E482" s="49" t="n"/>
      <c r="F482" s="49" t="n"/>
      <c r="G482" s="49" t="n"/>
      <c r="H482" s="49" t="n"/>
      <c r="I482" s="49" t="n"/>
      <c r="J482" s="49" t="n"/>
    </row>
    <row r="483">
      <c r="B483" s="49" t="n"/>
      <c r="C483" s="49" t="n"/>
      <c r="D483" s="49" t="n"/>
      <c r="E483" s="49" t="n"/>
      <c r="F483" s="49" t="n"/>
      <c r="G483" s="49" t="n"/>
      <c r="H483" s="49" t="n"/>
      <c r="I483" s="49" t="n"/>
      <c r="J483" s="49" t="n"/>
    </row>
    <row r="484">
      <c r="B484" s="49" t="n"/>
      <c r="C484" s="49" t="n"/>
      <c r="D484" s="49" t="n"/>
      <c r="E484" s="49" t="n"/>
      <c r="F484" s="49" t="n"/>
      <c r="G484" s="49" t="n"/>
      <c r="H484" s="49" t="n"/>
      <c r="I484" s="49" t="n"/>
      <c r="J484" s="49" t="n"/>
    </row>
    <row r="485">
      <c r="B485" s="49" t="n"/>
      <c r="C485" s="49" t="n"/>
      <c r="D485" s="49" t="n"/>
      <c r="E485" s="49" t="n"/>
      <c r="F485" s="49" t="n"/>
      <c r="G485" s="49" t="n"/>
      <c r="H485" s="49" t="n"/>
      <c r="I485" s="49" t="n"/>
      <c r="J485" s="49" t="n"/>
    </row>
    <row r="486">
      <c r="B486" s="49" t="n"/>
      <c r="C486" s="49" t="n"/>
      <c r="D486" s="49" t="n"/>
      <c r="E486" s="49" t="n"/>
      <c r="F486" s="49" t="n"/>
      <c r="G486" s="49" t="n"/>
      <c r="H486" s="49" t="n"/>
      <c r="I486" s="49" t="n"/>
      <c r="J486" s="49" t="n"/>
    </row>
    <row r="487">
      <c r="B487" s="49" t="n"/>
      <c r="C487" s="49" t="n"/>
      <c r="D487" s="49" t="n"/>
      <c r="E487" s="49" t="n"/>
      <c r="F487" s="49" t="n"/>
      <c r="G487" s="49" t="n"/>
      <c r="H487" s="49" t="n"/>
      <c r="I487" s="49" t="n"/>
      <c r="J487" s="49" t="n"/>
    </row>
    <row r="488">
      <c r="B488" s="49" t="n"/>
      <c r="C488" s="49" t="n"/>
      <c r="D488" s="49" t="n"/>
      <c r="E488" s="49" t="n"/>
      <c r="F488" s="49" t="n"/>
      <c r="G488" s="49" t="n"/>
      <c r="H488" s="49" t="n"/>
      <c r="I488" s="49" t="n"/>
      <c r="J488" s="49" t="n"/>
    </row>
    <row r="489">
      <c r="B489" s="49" t="n"/>
      <c r="C489" s="49" t="n"/>
      <c r="D489" s="49" t="n"/>
      <c r="E489" s="49" t="n"/>
      <c r="F489" s="49" t="n"/>
      <c r="G489" s="49" t="n"/>
      <c r="H489" s="49" t="n"/>
      <c r="I489" s="49" t="n"/>
      <c r="J489" s="49" t="n"/>
    </row>
    <row r="490">
      <c r="B490" s="49" t="n"/>
      <c r="C490" s="49" t="n"/>
      <c r="D490" s="49" t="n"/>
      <c r="E490" s="49" t="n"/>
      <c r="F490" s="49" t="n"/>
      <c r="G490" s="49" t="n"/>
      <c r="H490" s="49" t="n"/>
      <c r="I490" s="49" t="n"/>
      <c r="J490" s="49" t="n"/>
    </row>
    <row r="491">
      <c r="B491" s="49" t="n"/>
      <c r="C491" s="49" t="n"/>
      <c r="D491" s="49" t="n"/>
      <c r="E491" s="49" t="n"/>
      <c r="F491" s="49" t="n"/>
      <c r="G491" s="49" t="n"/>
      <c r="H491" s="49" t="n"/>
      <c r="I491" s="49" t="n"/>
      <c r="J491" s="49" t="n"/>
    </row>
    <row r="492">
      <c r="B492" s="49" t="n"/>
      <c r="C492" s="49" t="n"/>
      <c r="D492" s="49" t="n"/>
      <c r="E492" s="49" t="n"/>
      <c r="F492" s="49" t="n"/>
      <c r="G492" s="49" t="n"/>
      <c r="H492" s="49" t="n"/>
      <c r="I492" s="49" t="n"/>
      <c r="J492" s="49" t="n"/>
    </row>
    <row r="493">
      <c r="B493" s="49" t="n"/>
      <c r="C493" s="49" t="n"/>
      <c r="D493" s="49" t="n"/>
      <c r="E493" s="49" t="n"/>
      <c r="F493" s="49" t="n"/>
      <c r="G493" s="49" t="n"/>
      <c r="H493" s="49" t="n"/>
      <c r="I493" s="49" t="n"/>
      <c r="J493" s="49" t="n"/>
    </row>
    <row r="494">
      <c r="B494" s="49" t="n"/>
      <c r="C494" s="49" t="n"/>
      <c r="D494" s="49" t="n"/>
      <c r="E494" s="49" t="n"/>
      <c r="F494" s="49" t="n"/>
      <c r="G494" s="49" t="n"/>
      <c r="H494" s="49" t="n"/>
      <c r="I494" s="49" t="n"/>
      <c r="J494" s="49" t="n"/>
    </row>
    <row r="495">
      <c r="B495" s="49" t="n"/>
      <c r="C495" s="49" t="n"/>
      <c r="D495" s="49" t="n"/>
      <c r="E495" s="49" t="n"/>
      <c r="F495" s="49" t="n"/>
      <c r="G495" s="49" t="n"/>
      <c r="H495" s="49" t="n"/>
      <c r="I495" s="49" t="n"/>
      <c r="J495" s="49" t="n"/>
    </row>
    <row r="496">
      <c r="B496" s="49" t="n"/>
      <c r="C496" s="49" t="n"/>
      <c r="D496" s="49" t="n"/>
      <c r="E496" s="49" t="n"/>
      <c r="F496" s="49" t="n"/>
      <c r="G496" s="49" t="n"/>
      <c r="H496" s="49" t="n"/>
      <c r="I496" s="49" t="n"/>
      <c r="J496" s="49" t="n"/>
    </row>
    <row r="497">
      <c r="B497" s="49" t="n"/>
      <c r="C497" s="49" t="n"/>
      <c r="D497" s="49" t="n"/>
      <c r="E497" s="49" t="n"/>
      <c r="F497" s="49" t="n"/>
      <c r="G497" s="49" t="n"/>
      <c r="H497" s="49" t="n"/>
      <c r="I497" s="49" t="n"/>
      <c r="J497" s="49" t="n"/>
    </row>
    <row r="498">
      <c r="B498" s="49" t="n"/>
      <c r="C498" s="49" t="n"/>
      <c r="D498" s="49" t="n"/>
      <c r="E498" s="49" t="n"/>
      <c r="F498" s="49" t="n"/>
      <c r="G498" s="49" t="n"/>
      <c r="H498" s="49" t="n"/>
      <c r="I498" s="49" t="n"/>
      <c r="J498" s="49" t="n"/>
    </row>
    <row r="499">
      <c r="B499" s="49" t="n"/>
      <c r="C499" s="49" t="n"/>
      <c r="D499" s="49" t="n"/>
      <c r="E499" s="49" t="n"/>
      <c r="F499" s="49" t="n"/>
      <c r="G499" s="49" t="n"/>
      <c r="H499" s="49" t="n"/>
      <c r="I499" s="49" t="n"/>
      <c r="J499" s="49" t="n"/>
    </row>
    <row r="500">
      <c r="B500" s="49" t="n"/>
      <c r="C500" s="49" t="n"/>
      <c r="D500" s="49" t="n"/>
      <c r="E500" s="49" t="n"/>
      <c r="F500" s="49" t="n"/>
      <c r="G500" s="49" t="n"/>
      <c r="H500" s="49" t="n"/>
      <c r="I500" s="49" t="n"/>
      <c r="J500" s="49" t="n"/>
    </row>
    <row r="501">
      <c r="B501" s="49" t="n"/>
      <c r="C501" s="49" t="n"/>
      <c r="D501" s="49" t="n"/>
      <c r="E501" s="49" t="n"/>
      <c r="F501" s="49" t="n"/>
      <c r="G501" s="49" t="n"/>
      <c r="H501" s="49" t="n"/>
      <c r="I501" s="49" t="n"/>
      <c r="J501" s="49" t="n"/>
    </row>
    <row r="502">
      <c r="B502" s="49" t="n"/>
      <c r="C502" s="49" t="n"/>
      <c r="D502" s="49" t="n"/>
      <c r="E502" s="49" t="n"/>
      <c r="F502" s="49" t="n"/>
      <c r="G502" s="49" t="n"/>
      <c r="H502" s="49" t="n"/>
      <c r="I502" s="49" t="n"/>
      <c r="J502" s="49" t="n"/>
    </row>
    <row r="503">
      <c r="B503" s="49" t="n"/>
      <c r="C503" s="49" t="n"/>
      <c r="D503" s="49" t="n"/>
      <c r="E503" s="49" t="n"/>
      <c r="F503" s="49" t="n"/>
      <c r="G503" s="49" t="n"/>
      <c r="H503" s="49" t="n"/>
      <c r="I503" s="49" t="n"/>
      <c r="J503" s="49" t="n"/>
    </row>
    <row r="504">
      <c r="B504" s="49" t="n"/>
      <c r="C504" s="49" t="n"/>
      <c r="D504" s="49" t="n"/>
      <c r="E504" s="49" t="n"/>
      <c r="F504" s="49" t="n"/>
      <c r="G504" s="49" t="n"/>
      <c r="H504" s="49" t="n"/>
      <c r="I504" s="49" t="n"/>
      <c r="J504" s="49" t="n"/>
    </row>
    <row r="505">
      <c r="B505" s="49" t="n"/>
      <c r="C505" s="49" t="n"/>
      <c r="D505" s="49" t="n"/>
      <c r="E505" s="49" t="n"/>
      <c r="F505" s="49" t="n"/>
      <c r="G505" s="49" t="n"/>
      <c r="H505" s="49" t="n"/>
      <c r="I505" s="49" t="n"/>
      <c r="J505" s="49" t="n"/>
    </row>
    <row r="506">
      <c r="B506" s="49" t="n"/>
      <c r="C506" s="49" t="n"/>
      <c r="D506" s="49" t="n"/>
      <c r="E506" s="49" t="n"/>
      <c r="F506" s="49" t="n"/>
      <c r="G506" s="49" t="n"/>
      <c r="H506" s="49" t="n"/>
      <c r="I506" s="49" t="n"/>
      <c r="J506" s="49" t="n"/>
    </row>
    <row r="507">
      <c r="B507" s="49" t="n"/>
      <c r="C507" s="49" t="n"/>
      <c r="D507" s="49" t="n"/>
      <c r="E507" s="49" t="n"/>
      <c r="F507" s="49" t="n"/>
      <c r="G507" s="49" t="n"/>
      <c r="H507" s="49" t="n"/>
      <c r="I507" s="49" t="n"/>
      <c r="J507" s="49" t="n"/>
    </row>
    <row r="508">
      <c r="B508" s="49" t="n"/>
      <c r="C508" s="49" t="n"/>
      <c r="D508" s="49" t="n"/>
      <c r="E508" s="49" t="n"/>
      <c r="F508" s="49" t="n"/>
      <c r="G508" s="49" t="n"/>
      <c r="H508" s="49" t="n"/>
      <c r="I508" s="49" t="n"/>
      <c r="J508" s="49" t="n"/>
    </row>
    <row r="509">
      <c r="B509" s="49" t="n"/>
      <c r="C509" s="49" t="n"/>
      <c r="D509" s="49" t="n"/>
      <c r="E509" s="49" t="n"/>
      <c r="F509" s="49" t="n"/>
      <c r="G509" s="49" t="n"/>
      <c r="H509" s="49" t="n"/>
      <c r="I509" s="49" t="n"/>
      <c r="J509" s="49" t="n"/>
    </row>
    <row r="510">
      <c r="B510" s="49" t="n"/>
      <c r="C510" s="49" t="n"/>
      <c r="D510" s="49" t="n"/>
      <c r="E510" s="49" t="n"/>
      <c r="F510" s="49" t="n"/>
      <c r="G510" s="49" t="n"/>
      <c r="H510" s="49" t="n"/>
      <c r="I510" s="49" t="n"/>
      <c r="J510" s="49" t="n"/>
    </row>
    <row r="511">
      <c r="B511" s="49" t="n"/>
      <c r="C511" s="49" t="n"/>
      <c r="D511" s="49" t="n"/>
      <c r="E511" s="49" t="n"/>
      <c r="F511" s="49" t="n"/>
      <c r="G511" s="49" t="n"/>
      <c r="H511" s="49" t="n"/>
      <c r="I511" s="49" t="n"/>
      <c r="J511" s="49" t="n"/>
    </row>
    <row r="512">
      <c r="B512" s="49" t="n"/>
      <c r="C512" s="49" t="n"/>
      <c r="D512" s="49" t="n"/>
      <c r="E512" s="49" t="n"/>
      <c r="F512" s="49" t="n"/>
      <c r="G512" s="49" t="n"/>
      <c r="H512" s="49" t="n"/>
      <c r="I512" s="49" t="n"/>
      <c r="J512" s="49" t="n"/>
    </row>
    <row r="513">
      <c r="B513" s="49" t="n"/>
      <c r="C513" s="49" t="n"/>
      <c r="D513" s="49" t="n"/>
      <c r="E513" s="49" t="n"/>
      <c r="F513" s="49" t="n"/>
      <c r="G513" s="49" t="n"/>
      <c r="H513" s="49" t="n"/>
      <c r="I513" s="49" t="n"/>
      <c r="J513" s="49" t="n"/>
    </row>
    <row r="514">
      <c r="B514" s="49" t="n"/>
      <c r="C514" s="49" t="n"/>
      <c r="D514" s="49" t="n"/>
      <c r="E514" s="49" t="n"/>
      <c r="F514" s="49" t="n"/>
      <c r="G514" s="49" t="n"/>
      <c r="H514" s="49" t="n"/>
      <c r="I514" s="49" t="n"/>
      <c r="J514" s="49" t="n"/>
    </row>
    <row r="515">
      <c r="B515" s="49" t="n"/>
      <c r="C515" s="49" t="n"/>
      <c r="D515" s="49" t="n"/>
      <c r="E515" s="49" t="n"/>
      <c r="F515" s="49" t="n"/>
      <c r="G515" s="49" t="n"/>
      <c r="H515" s="49" t="n"/>
      <c r="I515" s="49" t="n"/>
      <c r="J515" s="49" t="n"/>
    </row>
    <row r="516">
      <c r="B516" s="49" t="n"/>
      <c r="C516" s="49" t="n"/>
      <c r="D516" s="49" t="n"/>
      <c r="E516" s="49" t="n"/>
      <c r="F516" s="49" t="n"/>
      <c r="G516" s="49" t="n"/>
      <c r="H516" s="49" t="n"/>
      <c r="I516" s="49" t="n"/>
      <c r="J516" s="49" t="n"/>
    </row>
    <row r="517">
      <c r="B517" s="49" t="n"/>
      <c r="C517" s="49" t="n"/>
      <c r="D517" s="49" t="n"/>
      <c r="E517" s="49" t="n"/>
      <c r="F517" s="49" t="n"/>
      <c r="G517" s="49" t="n"/>
      <c r="H517" s="49" t="n"/>
      <c r="I517" s="49" t="n"/>
      <c r="J517" s="49" t="n"/>
    </row>
  </sheetData>
  <mergeCells count="8">
    <mergeCell ref="B7:J7"/>
    <mergeCell ref="B3:J3"/>
    <mergeCell ref="B5:J5"/>
    <mergeCell ref="B10:C10"/>
    <mergeCell ref="D8:J8"/>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J17:J517">
    <cfRule type="expression" priority="7"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ecord" error="Choose a value of the list Record (PM-02) (sheet Reference lists)." promptTitle="Record" prompt="Yes. Coverage, field rule or document rule Allowed: COVERAGE, FIELD_RULE, DOCUMENT_RULE (list Record (PM-02))" type="list" errorStyle="stop">
      <formula1>=LIST_PM_02_RECORD</formula1>
    </dataValidation>
    <dataValidation sqref="C17:C517" showDropDown="0" showInputMessage="1" showErrorMessage="0" allowBlank="1" promptTitle="Line code / Risk code" prompt="Yes. Line or product the row applies to; * = every product Allowed: Codes of PM-01 Product catalogue, column Risk code (one or more)"/>
    <dataValidation sqref="D17:D517" showDropDown="0" showInputMessage="1" showErrorMessage="0" allowBlank="1" promptTitle="Code or field key" prompt="Yes. Coverage code, or field key of the rule"/>
    <dataValidation sqref="E17:E517" showDropDown="0" showInputMessage="1" showErrorMessage="0" allowBlank="1" promptTitle="Name or label" prompt="Yes. Name of the coverage or label of the field"/>
    <dataValidation sqref="F17:F517" showDropDown="0" showInputMessage="1" showErrorMessage="0" allowBlank="1" promptTitle="Kind or check" prompt="Yes. Coverage kind, or check of the field rule Allowed: Section, Coverage, Peril, Extension; Presence, List of values, Number range, Format"/>
    <dataValidation sqref="G17:G517" showDropDown="0" showInputMessage="1" showErrorMessage="1" allowBlank="1" errorTitle="Basic" error="Choose a value of the list Yes or no (sheet Reference lists)." promptTitle="Basic" prompt="Conditional: COVERAGE. Y when the coverage is basic Allowed: Y or N" type="list" errorStyle="stop">
      <formula1>=LIST_YES_NO</formula1>
    </dataValidation>
    <dataValidation sqref="H17:H517" showDropDown="0" showInputMessage="1" showErrorMessage="0" allowBlank="1" promptTitle="Parameters" prompt="Conditional: List, range or format rules. List code; minimum and maximum; pattern"/>
    <dataValidation sqref="I17:I517" showDropDown="0" showInputMessage="1" showErrorMessage="1" allowBlank="1" errorTitle="Document type" error="The value is not in the list Document type (sheet Reference lists). Keep it only for a new value you also add to its template." promptTitle="Document type" prompt="Conditional: DOCUMENT_RULE. Document type of a document rule Allowed: List Document type: 61 values, see Reference lists" type="list" errorStyle="warning">
      <formula1>=LIST_LOV_DOCUMENT_TYPE</formula1>
    </dataValidation>
    <dataValidation sqref="J17:J517" showDropDown="0" showInputMessage="1" showErrorMessage="1" allowBlank="1" errorTitle="Mandatory" error="Choose a value of the list Yes or no (sheet Reference lists)." promptTitle="Mandatory" prompt="Yes. Y when the field or document is mandatory Allowed: Y or N" type="list" errorStyle="stop">
      <formula1>=LIST_YES_NO</formula1>
    </dataValidation>
  </dataValidations>
  <hyperlinks>
    <hyperlink ref="A2" location="'Start here'!A1"/>
    <hyperlink ref="J2" location="'Questions and comments'!A1"/>
    <hyperlink ref="B8" location="'PM-09 Lists and parameters'!A1"/>
    <hyperlink ref="D8" location="'PM-01 Product catalogue'!A1"/>
    <hyperlink ref="B14" location="'Reference lists'!A429"/>
    <hyperlink ref="C14" location="'PM-01 Product catalogue'!H16"/>
    <hyperlink ref="I14" location="'Reference lists'!A432"/>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9.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2" customWidth="1" min="3" max="3"/>
    <col width="14" customWidth="1" min="4" max="4"/>
    <col width="36" customWidth="1" min="5" max="5"/>
    <col width="40" customWidth="1" min="6" max="6"/>
    <col width="24" customWidth="1" min="7" max="7"/>
  </cols>
  <sheetData>
    <row r="1" ht="26" customHeight="1">
      <c r="A1" s="25" t="inlineStr">
        <is>
          <t>PM-03 Clause library</t>
        </is>
      </c>
      <c r="G1" s="26" t="inlineStr">
        <is>
          <t>Step 37 of 52</t>
        </is>
      </c>
    </row>
    <row r="2">
      <c r="A2" s="27" t="inlineStr">
        <is>
          <t>← Back to Start here</t>
        </is>
      </c>
      <c r="B2" s="28" t="inlineStr">
        <is>
          <t>Step 37 of 52. Fill in one row per record below the column headers; the guide above each column says what to enter.</t>
        </is>
      </c>
      <c r="G2" s="29" t="inlineStr">
        <is>
          <t>Ask a question →</t>
        </is>
      </c>
    </row>
    <row r="3" outlineLevel="1" ht="15.5" customHeight="1">
      <c r="A3" s="30" t="inlineStr">
        <is>
          <t>Purpose</t>
        </is>
      </c>
      <c r="B3" s="31" t="inlineStr">
        <is>
          <t>Warranties, clauses, exclusions and deductible wordings used in the insurer terms of package versions</t>
        </is>
      </c>
    </row>
    <row r="4" outlineLevel="1" ht="15.5" customHeight="1">
      <c r="A4" s="30" t="inlineStr">
        <is>
          <t>Provided by</t>
        </is>
      </c>
      <c r="B4" s="31" t="inlineStr">
        <is>
          <t>TSU (wordings); MBS (maintenance)</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Client &amp; Policy › Product Maintenance › Coverages &amp; Clauses,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PM-09 Lists of values and parameters →</t>
        </is>
      </c>
      <c r="D8" s="53" t="inlineStr">
        <is>
          <t>PM-01 Product catalogue →</t>
        </is>
      </c>
    </row>
    <row r="9" ht="26" customHeight="1">
      <c r="A9" s="34" t="inlineStr">
        <is>
          <t>Progress</t>
        </is>
      </c>
      <c r="B9" s="35" t="inlineStr">
        <is>
          <t>Rows entered</t>
        </is>
      </c>
      <c r="C9" s="36">
        <f>SUMPRODUCT(((ROW($B$17:$B$517)&gt;17)+($B$17&lt;&gt;"FLEET_REPAIR")&gt;0)*(LEN($B$17:$B$517&amp;$C$17:$C$517&amp;$D$17:$D$517&amp;$E$17:$E$517&amp;$F$17:$F$517&amp;$G$17:$G$517)&gt;0))</f>
        <v/>
      </c>
      <c r="D9" s="35" t="inlineStr">
        <is>
          <t>Mandatory cells missing</t>
        </is>
      </c>
      <c r="E9" s="36">
        <f>SUMPRODUCT(((ROW($B$17:$B$517)&gt;17)+($B$17&lt;&gt;"FLEET_REPAIR")&gt;0)*(LEN($B$17:$B$517&amp;$C$17:$C$517&amp;$D$17:$D$517&amp;$E$17:$E$517&amp;$F$17:$F$517&amp;$G$17:$G$517)&gt;0)*(($B$17:$B$517="")+($C$17:$C$517="")+($E$17:$E$517="")+($F$17:$F$517="")+($G$17:$G$517="")))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3" t="inlineStr">
        <is>
          <t>No</t>
        </is>
      </c>
      <c r="E12" s="42" t="inlineStr">
        <is>
          <t>Yes</t>
        </is>
      </c>
      <c r="F12" s="42" t="inlineStr">
        <is>
          <t>Yes</t>
        </is>
      </c>
      <c r="G12" s="42" t="inlineStr">
        <is>
          <t>Yes</t>
        </is>
      </c>
    </row>
    <row r="13" ht="30" customHeight="1">
      <c r="A13" s="41" t="inlineStr">
        <is>
          <t>Format</t>
        </is>
      </c>
      <c r="B13" s="43" t="inlineStr">
        <is>
          <t>A-Z, 0-9 and _</t>
        </is>
      </c>
      <c r="C13" s="43" t="inlineStr">
        <is>
          <t>Code from the drop-down</t>
        </is>
      </c>
      <c r="D13" s="43" t="inlineStr">
        <is>
          <t>Text</t>
        </is>
      </c>
      <c r="E13" s="43" t="inlineStr">
        <is>
          <t>Text</t>
        </is>
      </c>
      <c r="F13" s="43" t="inlineStr">
        <is>
          <t>Text</t>
        </is>
      </c>
      <c r="G13" s="43" t="inlineStr">
        <is>
          <t>dd-MMM-yyyy; dd-MMM-yyyy</t>
        </is>
      </c>
    </row>
    <row r="14" ht="69" customHeight="1">
      <c r="A14" s="41" t="inlineStr">
        <is>
          <t>Allowed values</t>
        </is>
      </c>
      <c r="B14" s="43" t="inlineStr">
        <is>
          <t>Free entry</t>
        </is>
      </c>
      <c r="C14" s="51" t="inlineStr">
        <is>
          <t>WARRANTY, CLAUSE, EXCLUSION, DEDUCTIBLE_WORDING (list Clause kind)</t>
        </is>
      </c>
      <c r="D14" s="51" t="inlineStr">
        <is>
          <t>Code of an existing line</t>
        </is>
      </c>
      <c r="E14" s="43" t="inlineStr">
        <is>
          <t>Free entry</t>
        </is>
      </c>
      <c r="F14" s="43" t="inlineStr">
        <is>
          <t>Free entry</t>
        </is>
      </c>
      <c r="G14" s="43" t="inlineStr">
        <is>
          <t>Free entry</t>
        </is>
      </c>
    </row>
    <row r="15" ht="43" customHeight="1">
      <c r="A15" s="41" t="inlineStr">
        <is>
          <t>What to enter</t>
        </is>
      </c>
      <c r="B15" s="43" t="inlineStr">
        <is>
          <t>Code of the clause</t>
        </is>
      </c>
      <c r="C15" s="43" t="inlineStr">
        <is>
          <t>Kind of the clause</t>
        </is>
      </c>
      <c r="D15" s="43" t="inlineStr">
        <is>
          <t>Line of the clause; blank = every line</t>
        </is>
      </c>
      <c r="E15" s="43" t="inlineStr">
        <is>
          <t>Title of the clause</t>
        </is>
      </c>
      <c r="F15" s="43" t="inlineStr">
        <is>
          <t>Full text</t>
        </is>
      </c>
      <c r="G15" s="43" t="inlineStr">
        <is>
          <t>First day; last day after a semicolon, blank = open</t>
        </is>
      </c>
    </row>
    <row r="16" ht="30" customHeight="1">
      <c r="A16" s="44" t="inlineStr">
        <is>
          <t>Row</t>
        </is>
      </c>
      <c r="B16" s="45" t="inlineStr">
        <is>
          <t>Clause code *</t>
        </is>
      </c>
      <c r="C16" s="45" t="inlineStr">
        <is>
          <t>Kind *</t>
        </is>
      </c>
      <c r="D16" s="45" t="inlineStr">
        <is>
          <t>Line code</t>
        </is>
      </c>
      <c r="E16" s="45" t="inlineStr">
        <is>
          <t>Title *</t>
        </is>
      </c>
      <c r="F16" s="45" t="inlineStr">
        <is>
          <t>Wording *</t>
        </is>
      </c>
      <c r="G16" s="45" t="inlineStr">
        <is>
          <t>Effective from / to *</t>
        </is>
      </c>
    </row>
    <row r="17" ht="30" customHeight="1">
      <c r="A17" s="46" t="inlineStr">
        <is>
          <t>Example – overwrite or delete</t>
        </is>
      </c>
      <c r="B17" s="47" t="inlineStr">
        <is>
          <t>FLEET_REPAIR</t>
        </is>
      </c>
      <c r="C17" s="47" t="inlineStr">
        <is>
          <t>CLAUSE</t>
        </is>
      </c>
      <c r="D17" s="47" t="inlineStr">
        <is>
          <t>MOTOR</t>
        </is>
      </c>
      <c r="E17" s="47" t="inlineStr">
        <is>
          <t>Accredited repair shops for fleets</t>
        </is>
      </c>
      <c r="F17" s="47" t="inlineStr">
        <is>
          <t>Repairs are made at the accredited shops of the insurer.</t>
        </is>
      </c>
      <c r="G17" s="47" t="inlineStr">
        <is>
          <t>01-Jan-2027</t>
        </is>
      </c>
    </row>
    <row r="18">
      <c r="B18" s="49" t="n"/>
      <c r="C18" s="49" t="n"/>
      <c r="D18" s="49" t="n"/>
      <c r="E18" s="49" t="n"/>
      <c r="F18" s="49" t="n"/>
      <c r="G18" s="49" t="n"/>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row r="219">
      <c r="B219" s="49" t="n"/>
      <c r="C219" s="49" t="n"/>
      <c r="D219" s="49" t="n"/>
      <c r="E219" s="49" t="n"/>
      <c r="F219" s="49" t="n"/>
      <c r="G219" s="49" t="n"/>
    </row>
    <row r="220">
      <c r="B220" s="49" t="n"/>
      <c r="C220" s="49" t="n"/>
      <c r="D220" s="49" t="n"/>
      <c r="E220" s="49" t="n"/>
      <c r="F220" s="49" t="n"/>
      <c r="G220" s="49" t="n"/>
    </row>
    <row r="221">
      <c r="B221" s="49" t="n"/>
      <c r="C221" s="49" t="n"/>
      <c r="D221" s="49" t="n"/>
      <c r="E221" s="49" t="n"/>
      <c r="F221" s="49" t="n"/>
      <c r="G221" s="49" t="n"/>
    </row>
    <row r="222">
      <c r="B222" s="49" t="n"/>
      <c r="C222" s="49" t="n"/>
      <c r="D222" s="49" t="n"/>
      <c r="E222" s="49" t="n"/>
      <c r="F222" s="49" t="n"/>
      <c r="G222" s="49" t="n"/>
    </row>
    <row r="223">
      <c r="B223" s="49" t="n"/>
      <c r="C223" s="49" t="n"/>
      <c r="D223" s="49" t="n"/>
      <c r="E223" s="49" t="n"/>
      <c r="F223" s="49" t="n"/>
      <c r="G223" s="49" t="n"/>
    </row>
    <row r="224">
      <c r="B224" s="49" t="n"/>
      <c r="C224" s="49" t="n"/>
      <c r="D224" s="49" t="n"/>
      <c r="E224" s="49" t="n"/>
      <c r="F224" s="49" t="n"/>
      <c r="G224" s="49" t="n"/>
    </row>
    <row r="225">
      <c r="B225" s="49" t="n"/>
      <c r="C225" s="49" t="n"/>
      <c r="D225" s="49" t="n"/>
      <c r="E225" s="49" t="n"/>
      <c r="F225" s="49" t="n"/>
      <c r="G225" s="49" t="n"/>
    </row>
    <row r="226">
      <c r="B226" s="49" t="n"/>
      <c r="C226" s="49" t="n"/>
      <c r="D226" s="49" t="n"/>
      <c r="E226" s="49" t="n"/>
      <c r="F226" s="49" t="n"/>
      <c r="G226" s="49" t="n"/>
    </row>
    <row r="227">
      <c r="B227" s="49" t="n"/>
      <c r="C227" s="49" t="n"/>
      <c r="D227" s="49" t="n"/>
      <c r="E227" s="49" t="n"/>
      <c r="F227" s="49" t="n"/>
      <c r="G227" s="49" t="n"/>
    </row>
    <row r="228">
      <c r="B228" s="49" t="n"/>
      <c r="C228" s="49" t="n"/>
      <c r="D228" s="49" t="n"/>
      <c r="E228" s="49" t="n"/>
      <c r="F228" s="49" t="n"/>
      <c r="G228" s="49" t="n"/>
    </row>
    <row r="229">
      <c r="B229" s="49" t="n"/>
      <c r="C229" s="49" t="n"/>
      <c r="D229" s="49" t="n"/>
      <c r="E229" s="49" t="n"/>
      <c r="F229" s="49" t="n"/>
      <c r="G229" s="49" t="n"/>
    </row>
    <row r="230">
      <c r="B230" s="49" t="n"/>
      <c r="C230" s="49" t="n"/>
      <c r="D230" s="49" t="n"/>
      <c r="E230" s="49" t="n"/>
      <c r="F230" s="49" t="n"/>
      <c r="G230" s="49" t="n"/>
    </row>
    <row r="231">
      <c r="B231" s="49" t="n"/>
      <c r="C231" s="49" t="n"/>
      <c r="D231" s="49" t="n"/>
      <c r="E231" s="49" t="n"/>
      <c r="F231" s="49" t="n"/>
      <c r="G231" s="49" t="n"/>
    </row>
    <row r="232">
      <c r="B232" s="49" t="n"/>
      <c r="C232" s="49" t="n"/>
      <c r="D232" s="49" t="n"/>
      <c r="E232" s="49" t="n"/>
      <c r="F232" s="49" t="n"/>
      <c r="G232" s="49" t="n"/>
    </row>
    <row r="233">
      <c r="B233" s="49" t="n"/>
      <c r="C233" s="49" t="n"/>
      <c r="D233" s="49" t="n"/>
      <c r="E233" s="49" t="n"/>
      <c r="F233" s="49" t="n"/>
      <c r="G233" s="49" t="n"/>
    </row>
    <row r="234">
      <c r="B234" s="49" t="n"/>
      <c r="C234" s="49" t="n"/>
      <c r="D234" s="49" t="n"/>
      <c r="E234" s="49" t="n"/>
      <c r="F234" s="49" t="n"/>
      <c r="G234" s="49" t="n"/>
    </row>
    <row r="235">
      <c r="B235" s="49" t="n"/>
      <c r="C235" s="49" t="n"/>
      <c r="D235" s="49" t="n"/>
      <c r="E235" s="49" t="n"/>
      <c r="F235" s="49" t="n"/>
      <c r="G235" s="49" t="n"/>
    </row>
    <row r="236">
      <c r="B236" s="49" t="n"/>
      <c r="C236" s="49" t="n"/>
      <c r="D236" s="49" t="n"/>
      <c r="E236" s="49" t="n"/>
      <c r="F236" s="49" t="n"/>
      <c r="G236" s="49" t="n"/>
    </row>
    <row r="237">
      <c r="B237" s="49" t="n"/>
      <c r="C237" s="49" t="n"/>
      <c r="D237" s="49" t="n"/>
      <c r="E237" s="49" t="n"/>
      <c r="F237" s="49" t="n"/>
      <c r="G237" s="49" t="n"/>
    </row>
    <row r="238">
      <c r="B238" s="49" t="n"/>
      <c r="C238" s="49" t="n"/>
      <c r="D238" s="49" t="n"/>
      <c r="E238" s="49" t="n"/>
      <c r="F238" s="49" t="n"/>
      <c r="G238" s="49" t="n"/>
    </row>
    <row r="239">
      <c r="B239" s="49" t="n"/>
      <c r="C239" s="49" t="n"/>
      <c r="D239" s="49" t="n"/>
      <c r="E239" s="49" t="n"/>
      <c r="F239" s="49" t="n"/>
      <c r="G239" s="49" t="n"/>
    </row>
    <row r="240">
      <c r="B240" s="49" t="n"/>
      <c r="C240" s="49" t="n"/>
      <c r="D240" s="49" t="n"/>
      <c r="E240" s="49" t="n"/>
      <c r="F240" s="49" t="n"/>
      <c r="G240" s="49" t="n"/>
    </row>
    <row r="241">
      <c r="B241" s="49" t="n"/>
      <c r="C241" s="49" t="n"/>
      <c r="D241" s="49" t="n"/>
      <c r="E241" s="49" t="n"/>
      <c r="F241" s="49" t="n"/>
      <c r="G241" s="49" t="n"/>
    </row>
    <row r="242">
      <c r="B242" s="49" t="n"/>
      <c r="C242" s="49" t="n"/>
      <c r="D242" s="49" t="n"/>
      <c r="E242" s="49" t="n"/>
      <c r="F242" s="49" t="n"/>
      <c r="G242" s="49" t="n"/>
    </row>
    <row r="243">
      <c r="B243" s="49" t="n"/>
      <c r="C243" s="49" t="n"/>
      <c r="D243" s="49" t="n"/>
      <c r="E243" s="49" t="n"/>
      <c r="F243" s="49" t="n"/>
      <c r="G243" s="49" t="n"/>
    </row>
    <row r="244">
      <c r="B244" s="49" t="n"/>
      <c r="C244" s="49" t="n"/>
      <c r="D244" s="49" t="n"/>
      <c r="E244" s="49" t="n"/>
      <c r="F244" s="49" t="n"/>
      <c r="G244" s="49" t="n"/>
    </row>
    <row r="245">
      <c r="B245" s="49" t="n"/>
      <c r="C245" s="49" t="n"/>
      <c r="D245" s="49" t="n"/>
      <c r="E245" s="49" t="n"/>
      <c r="F245" s="49" t="n"/>
      <c r="G245" s="49" t="n"/>
    </row>
    <row r="246">
      <c r="B246" s="49" t="n"/>
      <c r="C246" s="49" t="n"/>
      <c r="D246" s="49" t="n"/>
      <c r="E246" s="49" t="n"/>
      <c r="F246" s="49" t="n"/>
      <c r="G246" s="49" t="n"/>
    </row>
    <row r="247">
      <c r="B247" s="49" t="n"/>
      <c r="C247" s="49" t="n"/>
      <c r="D247" s="49" t="n"/>
      <c r="E247" s="49" t="n"/>
      <c r="F247" s="49" t="n"/>
      <c r="G247" s="49" t="n"/>
    </row>
    <row r="248">
      <c r="B248" s="49" t="n"/>
      <c r="C248" s="49" t="n"/>
      <c r="D248" s="49" t="n"/>
      <c r="E248" s="49" t="n"/>
      <c r="F248" s="49" t="n"/>
      <c r="G248" s="49" t="n"/>
    </row>
    <row r="249">
      <c r="B249" s="49" t="n"/>
      <c r="C249" s="49" t="n"/>
      <c r="D249" s="49" t="n"/>
      <c r="E249" s="49" t="n"/>
      <c r="F249" s="49" t="n"/>
      <c r="G249" s="49" t="n"/>
    </row>
    <row r="250">
      <c r="B250" s="49" t="n"/>
      <c r="C250" s="49" t="n"/>
      <c r="D250" s="49" t="n"/>
      <c r="E250" s="49" t="n"/>
      <c r="F250" s="49" t="n"/>
      <c r="G250" s="49" t="n"/>
    </row>
    <row r="251">
      <c r="B251" s="49" t="n"/>
      <c r="C251" s="49" t="n"/>
      <c r="D251" s="49" t="n"/>
      <c r="E251" s="49" t="n"/>
      <c r="F251" s="49" t="n"/>
      <c r="G251" s="49" t="n"/>
    </row>
    <row r="252">
      <c r="B252" s="49" t="n"/>
      <c r="C252" s="49" t="n"/>
      <c r="D252" s="49" t="n"/>
      <c r="E252" s="49" t="n"/>
      <c r="F252" s="49" t="n"/>
      <c r="G252" s="49" t="n"/>
    </row>
    <row r="253">
      <c r="B253" s="49" t="n"/>
      <c r="C253" s="49" t="n"/>
      <c r="D253" s="49" t="n"/>
      <c r="E253" s="49" t="n"/>
      <c r="F253" s="49" t="n"/>
      <c r="G253" s="49" t="n"/>
    </row>
    <row r="254">
      <c r="B254" s="49" t="n"/>
      <c r="C254" s="49" t="n"/>
      <c r="D254" s="49" t="n"/>
      <c r="E254" s="49" t="n"/>
      <c r="F254" s="49" t="n"/>
      <c r="G254" s="49" t="n"/>
    </row>
    <row r="255">
      <c r="B255" s="49" t="n"/>
      <c r="C255" s="49" t="n"/>
      <c r="D255" s="49" t="n"/>
      <c r="E255" s="49" t="n"/>
      <c r="F255" s="49" t="n"/>
      <c r="G255" s="49" t="n"/>
    </row>
    <row r="256">
      <c r="B256" s="49" t="n"/>
      <c r="C256" s="49" t="n"/>
      <c r="D256" s="49" t="n"/>
      <c r="E256" s="49" t="n"/>
      <c r="F256" s="49" t="n"/>
      <c r="G256" s="49" t="n"/>
    </row>
    <row r="257">
      <c r="B257" s="49" t="n"/>
      <c r="C257" s="49" t="n"/>
      <c r="D257" s="49" t="n"/>
      <c r="E257" s="49" t="n"/>
      <c r="F257" s="49" t="n"/>
      <c r="G257" s="49" t="n"/>
    </row>
    <row r="258">
      <c r="B258" s="49" t="n"/>
      <c r="C258" s="49" t="n"/>
      <c r="D258" s="49" t="n"/>
      <c r="E258" s="49" t="n"/>
      <c r="F258" s="49" t="n"/>
      <c r="G258" s="49" t="n"/>
    </row>
    <row r="259">
      <c r="B259" s="49" t="n"/>
      <c r="C259" s="49" t="n"/>
      <c r="D259" s="49" t="n"/>
      <c r="E259" s="49" t="n"/>
      <c r="F259" s="49" t="n"/>
      <c r="G259" s="49" t="n"/>
    </row>
    <row r="260">
      <c r="B260" s="49" t="n"/>
      <c r="C260" s="49" t="n"/>
      <c r="D260" s="49" t="n"/>
      <c r="E260" s="49" t="n"/>
      <c r="F260" s="49" t="n"/>
      <c r="G260" s="49" t="n"/>
    </row>
    <row r="261">
      <c r="B261" s="49" t="n"/>
      <c r="C261" s="49" t="n"/>
      <c r="D261" s="49" t="n"/>
      <c r="E261" s="49" t="n"/>
      <c r="F261" s="49" t="n"/>
      <c r="G261" s="49" t="n"/>
    </row>
    <row r="262">
      <c r="B262" s="49" t="n"/>
      <c r="C262" s="49" t="n"/>
      <c r="D262" s="49" t="n"/>
      <c r="E262" s="49" t="n"/>
      <c r="F262" s="49" t="n"/>
      <c r="G262" s="49" t="n"/>
    </row>
    <row r="263">
      <c r="B263" s="49" t="n"/>
      <c r="C263" s="49" t="n"/>
      <c r="D263" s="49" t="n"/>
      <c r="E263" s="49" t="n"/>
      <c r="F263" s="49" t="n"/>
      <c r="G263" s="49" t="n"/>
    </row>
    <row r="264">
      <c r="B264" s="49" t="n"/>
      <c r="C264" s="49" t="n"/>
      <c r="D264" s="49" t="n"/>
      <c r="E264" s="49" t="n"/>
      <c r="F264" s="49" t="n"/>
      <c r="G264" s="49" t="n"/>
    </row>
    <row r="265">
      <c r="B265" s="49" t="n"/>
      <c r="C265" s="49" t="n"/>
      <c r="D265" s="49" t="n"/>
      <c r="E265" s="49" t="n"/>
      <c r="F265" s="49" t="n"/>
      <c r="G265" s="49" t="n"/>
    </row>
    <row r="266">
      <c r="B266" s="49" t="n"/>
      <c r="C266" s="49" t="n"/>
      <c r="D266" s="49" t="n"/>
      <c r="E266" s="49" t="n"/>
      <c r="F266" s="49" t="n"/>
      <c r="G266" s="49" t="n"/>
    </row>
    <row r="267">
      <c r="B267" s="49" t="n"/>
      <c r="C267" s="49" t="n"/>
      <c r="D267" s="49" t="n"/>
      <c r="E267" s="49" t="n"/>
      <c r="F267" s="49" t="n"/>
      <c r="G267" s="49" t="n"/>
    </row>
    <row r="268">
      <c r="B268" s="49" t="n"/>
      <c r="C268" s="49" t="n"/>
      <c r="D268" s="49" t="n"/>
      <c r="E268" s="49" t="n"/>
      <c r="F268" s="49" t="n"/>
      <c r="G268" s="49" t="n"/>
    </row>
    <row r="269">
      <c r="B269" s="49" t="n"/>
      <c r="C269" s="49" t="n"/>
      <c r="D269" s="49" t="n"/>
      <c r="E269" s="49" t="n"/>
      <c r="F269" s="49" t="n"/>
      <c r="G269" s="49" t="n"/>
    </row>
    <row r="270">
      <c r="B270" s="49" t="n"/>
      <c r="C270" s="49" t="n"/>
      <c r="D270" s="49" t="n"/>
      <c r="E270" s="49" t="n"/>
      <c r="F270" s="49" t="n"/>
      <c r="G270" s="49" t="n"/>
    </row>
    <row r="271">
      <c r="B271" s="49" t="n"/>
      <c r="C271" s="49" t="n"/>
      <c r="D271" s="49" t="n"/>
      <c r="E271" s="49" t="n"/>
      <c r="F271" s="49" t="n"/>
      <c r="G271" s="49" t="n"/>
    </row>
    <row r="272">
      <c r="B272" s="49" t="n"/>
      <c r="C272" s="49" t="n"/>
      <c r="D272" s="49" t="n"/>
      <c r="E272" s="49" t="n"/>
      <c r="F272" s="49" t="n"/>
      <c r="G272" s="49" t="n"/>
    </row>
    <row r="273">
      <c r="B273" s="49" t="n"/>
      <c r="C273" s="49" t="n"/>
      <c r="D273" s="49" t="n"/>
      <c r="E273" s="49" t="n"/>
      <c r="F273" s="49" t="n"/>
      <c r="G273" s="49" t="n"/>
    </row>
    <row r="274">
      <c r="B274" s="49" t="n"/>
      <c r="C274" s="49" t="n"/>
      <c r="D274" s="49" t="n"/>
      <c r="E274" s="49" t="n"/>
      <c r="F274" s="49" t="n"/>
      <c r="G274" s="49" t="n"/>
    </row>
    <row r="275">
      <c r="B275" s="49" t="n"/>
      <c r="C275" s="49" t="n"/>
      <c r="D275" s="49" t="n"/>
      <c r="E275" s="49" t="n"/>
      <c r="F275" s="49" t="n"/>
      <c r="G275" s="49" t="n"/>
    </row>
    <row r="276">
      <c r="B276" s="49" t="n"/>
      <c r="C276" s="49" t="n"/>
      <c r="D276" s="49" t="n"/>
      <c r="E276" s="49" t="n"/>
      <c r="F276" s="49" t="n"/>
      <c r="G276" s="49" t="n"/>
    </row>
    <row r="277">
      <c r="B277" s="49" t="n"/>
      <c r="C277" s="49" t="n"/>
      <c r="D277" s="49" t="n"/>
      <c r="E277" s="49" t="n"/>
      <c r="F277" s="49" t="n"/>
      <c r="G277" s="49" t="n"/>
    </row>
    <row r="278">
      <c r="B278" s="49" t="n"/>
      <c r="C278" s="49" t="n"/>
      <c r="D278" s="49" t="n"/>
      <c r="E278" s="49" t="n"/>
      <c r="F278" s="49" t="n"/>
      <c r="G278" s="49" t="n"/>
    </row>
    <row r="279">
      <c r="B279" s="49" t="n"/>
      <c r="C279" s="49" t="n"/>
      <c r="D279" s="49" t="n"/>
      <c r="E279" s="49" t="n"/>
      <c r="F279" s="49" t="n"/>
      <c r="G279" s="49" t="n"/>
    </row>
    <row r="280">
      <c r="B280" s="49" t="n"/>
      <c r="C280" s="49" t="n"/>
      <c r="D280" s="49" t="n"/>
      <c r="E280" s="49" t="n"/>
      <c r="F280" s="49" t="n"/>
      <c r="G280" s="49" t="n"/>
    </row>
    <row r="281">
      <c r="B281" s="49" t="n"/>
      <c r="C281" s="49" t="n"/>
      <c r="D281" s="49" t="n"/>
      <c r="E281" s="49" t="n"/>
      <c r="F281" s="49" t="n"/>
      <c r="G281" s="49" t="n"/>
    </row>
    <row r="282">
      <c r="B282" s="49" t="n"/>
      <c r="C282" s="49" t="n"/>
      <c r="D282" s="49" t="n"/>
      <c r="E282" s="49" t="n"/>
      <c r="F282" s="49" t="n"/>
      <c r="G282" s="49" t="n"/>
    </row>
    <row r="283">
      <c r="B283" s="49" t="n"/>
      <c r="C283" s="49" t="n"/>
      <c r="D283" s="49" t="n"/>
      <c r="E283" s="49" t="n"/>
      <c r="F283" s="49" t="n"/>
      <c r="G283" s="49" t="n"/>
    </row>
    <row r="284">
      <c r="B284" s="49" t="n"/>
      <c r="C284" s="49" t="n"/>
      <c r="D284" s="49" t="n"/>
      <c r="E284" s="49" t="n"/>
      <c r="F284" s="49" t="n"/>
      <c r="G284" s="49" t="n"/>
    </row>
    <row r="285">
      <c r="B285" s="49" t="n"/>
      <c r="C285" s="49" t="n"/>
      <c r="D285" s="49" t="n"/>
      <c r="E285" s="49" t="n"/>
      <c r="F285" s="49" t="n"/>
      <c r="G285" s="49" t="n"/>
    </row>
    <row r="286">
      <c r="B286" s="49" t="n"/>
      <c r="C286" s="49" t="n"/>
      <c r="D286" s="49" t="n"/>
      <c r="E286" s="49" t="n"/>
      <c r="F286" s="49" t="n"/>
      <c r="G286" s="49" t="n"/>
    </row>
    <row r="287">
      <c r="B287" s="49" t="n"/>
      <c r="C287" s="49" t="n"/>
      <c r="D287" s="49" t="n"/>
      <c r="E287" s="49" t="n"/>
      <c r="F287" s="49" t="n"/>
      <c r="G287" s="49" t="n"/>
    </row>
    <row r="288">
      <c r="B288" s="49" t="n"/>
      <c r="C288" s="49" t="n"/>
      <c r="D288" s="49" t="n"/>
      <c r="E288" s="49" t="n"/>
      <c r="F288" s="49" t="n"/>
      <c r="G288" s="49" t="n"/>
    </row>
    <row r="289">
      <c r="B289" s="49" t="n"/>
      <c r="C289" s="49" t="n"/>
      <c r="D289" s="49" t="n"/>
      <c r="E289" s="49" t="n"/>
      <c r="F289" s="49" t="n"/>
      <c r="G289" s="49" t="n"/>
    </row>
    <row r="290">
      <c r="B290" s="49" t="n"/>
      <c r="C290" s="49" t="n"/>
      <c r="D290" s="49" t="n"/>
      <c r="E290" s="49" t="n"/>
      <c r="F290" s="49" t="n"/>
      <c r="G290" s="49" t="n"/>
    </row>
    <row r="291">
      <c r="B291" s="49" t="n"/>
      <c r="C291" s="49" t="n"/>
      <c r="D291" s="49" t="n"/>
      <c r="E291" s="49" t="n"/>
      <c r="F291" s="49" t="n"/>
      <c r="G291" s="49" t="n"/>
    </row>
    <row r="292">
      <c r="B292" s="49" t="n"/>
      <c r="C292" s="49" t="n"/>
      <c r="D292" s="49" t="n"/>
      <c r="E292" s="49" t="n"/>
      <c r="F292" s="49" t="n"/>
      <c r="G292" s="49" t="n"/>
    </row>
    <row r="293">
      <c r="B293" s="49" t="n"/>
      <c r="C293" s="49" t="n"/>
      <c r="D293" s="49" t="n"/>
      <c r="E293" s="49" t="n"/>
      <c r="F293" s="49" t="n"/>
      <c r="G293" s="49" t="n"/>
    </row>
    <row r="294">
      <c r="B294" s="49" t="n"/>
      <c r="C294" s="49" t="n"/>
      <c r="D294" s="49" t="n"/>
      <c r="E294" s="49" t="n"/>
      <c r="F294" s="49" t="n"/>
      <c r="G294" s="49" t="n"/>
    </row>
    <row r="295">
      <c r="B295" s="49" t="n"/>
      <c r="C295" s="49" t="n"/>
      <c r="D295" s="49" t="n"/>
      <c r="E295" s="49" t="n"/>
      <c r="F295" s="49" t="n"/>
      <c r="G295" s="49" t="n"/>
    </row>
    <row r="296">
      <c r="B296" s="49" t="n"/>
      <c r="C296" s="49" t="n"/>
      <c r="D296" s="49" t="n"/>
      <c r="E296" s="49" t="n"/>
      <c r="F296" s="49" t="n"/>
      <c r="G296" s="49" t="n"/>
    </row>
    <row r="297">
      <c r="B297" s="49" t="n"/>
      <c r="C297" s="49" t="n"/>
      <c r="D297" s="49" t="n"/>
      <c r="E297" s="49" t="n"/>
      <c r="F297" s="49" t="n"/>
      <c r="G297" s="49" t="n"/>
    </row>
    <row r="298">
      <c r="B298" s="49" t="n"/>
      <c r="C298" s="49" t="n"/>
      <c r="D298" s="49" t="n"/>
      <c r="E298" s="49" t="n"/>
      <c r="F298" s="49" t="n"/>
      <c r="G298" s="49" t="n"/>
    </row>
    <row r="299">
      <c r="B299" s="49" t="n"/>
      <c r="C299" s="49" t="n"/>
      <c r="D299" s="49" t="n"/>
      <c r="E299" s="49" t="n"/>
      <c r="F299" s="49" t="n"/>
      <c r="G299" s="49" t="n"/>
    </row>
    <row r="300">
      <c r="B300" s="49" t="n"/>
      <c r="C300" s="49" t="n"/>
      <c r="D300" s="49" t="n"/>
      <c r="E300" s="49" t="n"/>
      <c r="F300" s="49" t="n"/>
      <c r="G300" s="49" t="n"/>
    </row>
    <row r="301">
      <c r="B301" s="49" t="n"/>
      <c r="C301" s="49" t="n"/>
      <c r="D301" s="49" t="n"/>
      <c r="E301" s="49" t="n"/>
      <c r="F301" s="49" t="n"/>
      <c r="G301" s="49" t="n"/>
    </row>
    <row r="302">
      <c r="B302" s="49" t="n"/>
      <c r="C302" s="49" t="n"/>
      <c r="D302" s="49" t="n"/>
      <c r="E302" s="49" t="n"/>
      <c r="F302" s="49" t="n"/>
      <c r="G302" s="49" t="n"/>
    </row>
    <row r="303">
      <c r="B303" s="49" t="n"/>
      <c r="C303" s="49" t="n"/>
      <c r="D303" s="49" t="n"/>
      <c r="E303" s="49" t="n"/>
      <c r="F303" s="49" t="n"/>
      <c r="G303" s="49" t="n"/>
    </row>
    <row r="304">
      <c r="B304" s="49" t="n"/>
      <c r="C304" s="49" t="n"/>
      <c r="D304" s="49" t="n"/>
      <c r="E304" s="49" t="n"/>
      <c r="F304" s="49" t="n"/>
      <c r="G304" s="49" t="n"/>
    </row>
    <row r="305">
      <c r="B305" s="49" t="n"/>
      <c r="C305" s="49" t="n"/>
      <c r="D305" s="49" t="n"/>
      <c r="E305" s="49" t="n"/>
      <c r="F305" s="49" t="n"/>
      <c r="G305" s="49" t="n"/>
    </row>
    <row r="306">
      <c r="B306" s="49" t="n"/>
      <c r="C306" s="49" t="n"/>
      <c r="D306" s="49" t="n"/>
      <c r="E306" s="49" t="n"/>
      <c r="F306" s="49" t="n"/>
      <c r="G306" s="49" t="n"/>
    </row>
    <row r="307">
      <c r="B307" s="49" t="n"/>
      <c r="C307" s="49" t="n"/>
      <c r="D307" s="49" t="n"/>
      <c r="E307" s="49" t="n"/>
      <c r="F307" s="49" t="n"/>
      <c r="G307" s="49" t="n"/>
    </row>
    <row r="308">
      <c r="B308" s="49" t="n"/>
      <c r="C308" s="49" t="n"/>
      <c r="D308" s="49" t="n"/>
      <c r="E308" s="49" t="n"/>
      <c r="F308" s="49" t="n"/>
      <c r="G308" s="49" t="n"/>
    </row>
    <row r="309">
      <c r="B309" s="49" t="n"/>
      <c r="C309" s="49" t="n"/>
      <c r="D309" s="49" t="n"/>
      <c r="E309" s="49" t="n"/>
      <c r="F309" s="49" t="n"/>
      <c r="G309" s="49" t="n"/>
    </row>
    <row r="310">
      <c r="B310" s="49" t="n"/>
      <c r="C310" s="49" t="n"/>
      <c r="D310" s="49" t="n"/>
      <c r="E310" s="49" t="n"/>
      <c r="F310" s="49" t="n"/>
      <c r="G310" s="49" t="n"/>
    </row>
    <row r="311">
      <c r="B311" s="49" t="n"/>
      <c r="C311" s="49" t="n"/>
      <c r="D311" s="49" t="n"/>
      <c r="E311" s="49" t="n"/>
      <c r="F311" s="49" t="n"/>
      <c r="G311" s="49" t="n"/>
    </row>
    <row r="312">
      <c r="B312" s="49" t="n"/>
      <c r="C312" s="49" t="n"/>
      <c r="D312" s="49" t="n"/>
      <c r="E312" s="49" t="n"/>
      <c r="F312" s="49" t="n"/>
      <c r="G312" s="49" t="n"/>
    </row>
    <row r="313">
      <c r="B313" s="49" t="n"/>
      <c r="C313" s="49" t="n"/>
      <c r="D313" s="49" t="n"/>
      <c r="E313" s="49" t="n"/>
      <c r="F313" s="49" t="n"/>
      <c r="G313" s="49" t="n"/>
    </row>
    <row r="314">
      <c r="B314" s="49" t="n"/>
      <c r="C314" s="49" t="n"/>
      <c r="D314" s="49" t="n"/>
      <c r="E314" s="49" t="n"/>
      <c r="F314" s="49" t="n"/>
      <c r="G314" s="49" t="n"/>
    </row>
    <row r="315">
      <c r="B315" s="49" t="n"/>
      <c r="C315" s="49" t="n"/>
      <c r="D315" s="49" t="n"/>
      <c r="E315" s="49" t="n"/>
      <c r="F315" s="49" t="n"/>
      <c r="G315" s="49" t="n"/>
    </row>
    <row r="316">
      <c r="B316" s="49" t="n"/>
      <c r="C316" s="49" t="n"/>
      <c r="D316" s="49" t="n"/>
      <c r="E316" s="49" t="n"/>
      <c r="F316" s="49" t="n"/>
      <c r="G316" s="49" t="n"/>
    </row>
    <row r="317">
      <c r="B317" s="49" t="n"/>
      <c r="C317" s="49" t="n"/>
      <c r="D317" s="49" t="n"/>
      <c r="E317" s="49" t="n"/>
      <c r="F317" s="49" t="n"/>
      <c r="G317" s="49" t="n"/>
    </row>
    <row r="318">
      <c r="B318" s="49" t="n"/>
      <c r="C318" s="49" t="n"/>
      <c r="D318" s="49" t="n"/>
      <c r="E318" s="49" t="n"/>
      <c r="F318" s="49" t="n"/>
      <c r="G318" s="49" t="n"/>
    </row>
    <row r="319">
      <c r="B319" s="49" t="n"/>
      <c r="C319" s="49" t="n"/>
      <c r="D319" s="49" t="n"/>
      <c r="E319" s="49" t="n"/>
      <c r="F319" s="49" t="n"/>
      <c r="G319" s="49" t="n"/>
    </row>
    <row r="320">
      <c r="B320" s="49" t="n"/>
      <c r="C320" s="49" t="n"/>
      <c r="D320" s="49" t="n"/>
      <c r="E320" s="49" t="n"/>
      <c r="F320" s="49" t="n"/>
      <c r="G320" s="49" t="n"/>
    </row>
    <row r="321">
      <c r="B321" s="49" t="n"/>
      <c r="C321" s="49" t="n"/>
      <c r="D321" s="49" t="n"/>
      <c r="E321" s="49" t="n"/>
      <c r="F321" s="49" t="n"/>
      <c r="G321" s="49" t="n"/>
    </row>
    <row r="322">
      <c r="B322" s="49" t="n"/>
      <c r="C322" s="49" t="n"/>
      <c r="D322" s="49" t="n"/>
      <c r="E322" s="49" t="n"/>
      <c r="F322" s="49" t="n"/>
      <c r="G322" s="49" t="n"/>
    </row>
    <row r="323">
      <c r="B323" s="49" t="n"/>
      <c r="C323" s="49" t="n"/>
      <c r="D323" s="49" t="n"/>
      <c r="E323" s="49" t="n"/>
      <c r="F323" s="49" t="n"/>
      <c r="G323" s="49" t="n"/>
    </row>
    <row r="324">
      <c r="B324" s="49" t="n"/>
      <c r="C324" s="49" t="n"/>
      <c r="D324" s="49" t="n"/>
      <c r="E324" s="49" t="n"/>
      <c r="F324" s="49" t="n"/>
      <c r="G324" s="49" t="n"/>
    </row>
    <row r="325">
      <c r="B325" s="49" t="n"/>
      <c r="C325" s="49" t="n"/>
      <c r="D325" s="49" t="n"/>
      <c r="E325" s="49" t="n"/>
      <c r="F325" s="49" t="n"/>
      <c r="G325" s="49" t="n"/>
    </row>
    <row r="326">
      <c r="B326" s="49" t="n"/>
      <c r="C326" s="49" t="n"/>
      <c r="D326" s="49" t="n"/>
      <c r="E326" s="49" t="n"/>
      <c r="F326" s="49" t="n"/>
      <c r="G326" s="49" t="n"/>
    </row>
    <row r="327">
      <c r="B327" s="49" t="n"/>
      <c r="C327" s="49" t="n"/>
      <c r="D327" s="49" t="n"/>
      <c r="E327" s="49" t="n"/>
      <c r="F327" s="49" t="n"/>
      <c r="G327" s="49" t="n"/>
    </row>
    <row r="328">
      <c r="B328" s="49" t="n"/>
      <c r="C328" s="49" t="n"/>
      <c r="D328" s="49" t="n"/>
      <c r="E328" s="49" t="n"/>
      <c r="F328" s="49" t="n"/>
      <c r="G328" s="49" t="n"/>
    </row>
    <row r="329">
      <c r="B329" s="49" t="n"/>
      <c r="C329" s="49" t="n"/>
      <c r="D329" s="49" t="n"/>
      <c r="E329" s="49" t="n"/>
      <c r="F329" s="49" t="n"/>
      <c r="G329" s="49" t="n"/>
    </row>
    <row r="330">
      <c r="B330" s="49" t="n"/>
      <c r="C330" s="49" t="n"/>
      <c r="D330" s="49" t="n"/>
      <c r="E330" s="49" t="n"/>
      <c r="F330" s="49" t="n"/>
      <c r="G330" s="49" t="n"/>
    </row>
    <row r="331">
      <c r="B331" s="49" t="n"/>
      <c r="C331" s="49" t="n"/>
      <c r="D331" s="49" t="n"/>
      <c r="E331" s="49" t="n"/>
      <c r="F331" s="49" t="n"/>
      <c r="G331" s="49" t="n"/>
    </row>
    <row r="332">
      <c r="B332" s="49" t="n"/>
      <c r="C332" s="49" t="n"/>
      <c r="D332" s="49" t="n"/>
      <c r="E332" s="49" t="n"/>
      <c r="F332" s="49" t="n"/>
      <c r="G332" s="49" t="n"/>
    </row>
    <row r="333">
      <c r="B333" s="49" t="n"/>
      <c r="C333" s="49" t="n"/>
      <c r="D333" s="49" t="n"/>
      <c r="E333" s="49" t="n"/>
      <c r="F333" s="49" t="n"/>
      <c r="G333" s="49" t="n"/>
    </row>
    <row r="334">
      <c r="B334" s="49" t="n"/>
      <c r="C334" s="49" t="n"/>
      <c r="D334" s="49" t="n"/>
      <c r="E334" s="49" t="n"/>
      <c r="F334" s="49" t="n"/>
      <c r="G334" s="49" t="n"/>
    </row>
    <row r="335">
      <c r="B335" s="49" t="n"/>
      <c r="C335" s="49" t="n"/>
      <c r="D335" s="49" t="n"/>
      <c r="E335" s="49" t="n"/>
      <c r="F335" s="49" t="n"/>
      <c r="G335" s="49" t="n"/>
    </row>
    <row r="336">
      <c r="B336" s="49" t="n"/>
      <c r="C336" s="49" t="n"/>
      <c r="D336" s="49" t="n"/>
      <c r="E336" s="49" t="n"/>
      <c r="F336" s="49" t="n"/>
      <c r="G336" s="49" t="n"/>
    </row>
    <row r="337">
      <c r="B337" s="49" t="n"/>
      <c r="C337" s="49" t="n"/>
      <c r="D337" s="49" t="n"/>
      <c r="E337" s="49" t="n"/>
      <c r="F337" s="49" t="n"/>
      <c r="G337" s="49" t="n"/>
    </row>
    <row r="338">
      <c r="B338" s="49" t="n"/>
      <c r="C338" s="49" t="n"/>
      <c r="D338" s="49" t="n"/>
      <c r="E338" s="49" t="n"/>
      <c r="F338" s="49" t="n"/>
      <c r="G338" s="49" t="n"/>
    </row>
    <row r="339">
      <c r="B339" s="49" t="n"/>
      <c r="C339" s="49" t="n"/>
      <c r="D339" s="49" t="n"/>
      <c r="E339" s="49" t="n"/>
      <c r="F339" s="49" t="n"/>
      <c r="G339" s="49" t="n"/>
    </row>
    <row r="340">
      <c r="B340" s="49" t="n"/>
      <c r="C340" s="49" t="n"/>
      <c r="D340" s="49" t="n"/>
      <c r="E340" s="49" t="n"/>
      <c r="F340" s="49" t="n"/>
      <c r="G340" s="49" t="n"/>
    </row>
    <row r="341">
      <c r="B341" s="49" t="n"/>
      <c r="C341" s="49" t="n"/>
      <c r="D341" s="49" t="n"/>
      <c r="E341" s="49" t="n"/>
      <c r="F341" s="49" t="n"/>
      <c r="G341" s="49" t="n"/>
    </row>
    <row r="342">
      <c r="B342" s="49" t="n"/>
      <c r="C342" s="49" t="n"/>
      <c r="D342" s="49" t="n"/>
      <c r="E342" s="49" t="n"/>
      <c r="F342" s="49" t="n"/>
      <c r="G342" s="49" t="n"/>
    </row>
    <row r="343">
      <c r="B343" s="49" t="n"/>
      <c r="C343" s="49" t="n"/>
      <c r="D343" s="49" t="n"/>
      <c r="E343" s="49" t="n"/>
      <c r="F343" s="49" t="n"/>
      <c r="G343" s="49" t="n"/>
    </row>
    <row r="344">
      <c r="B344" s="49" t="n"/>
      <c r="C344" s="49" t="n"/>
      <c r="D344" s="49" t="n"/>
      <c r="E344" s="49" t="n"/>
      <c r="F344" s="49" t="n"/>
      <c r="G344" s="49" t="n"/>
    </row>
    <row r="345">
      <c r="B345" s="49" t="n"/>
      <c r="C345" s="49" t="n"/>
      <c r="D345" s="49" t="n"/>
      <c r="E345" s="49" t="n"/>
      <c r="F345" s="49" t="n"/>
      <c r="G345" s="49" t="n"/>
    </row>
    <row r="346">
      <c r="B346" s="49" t="n"/>
      <c r="C346" s="49" t="n"/>
      <c r="D346" s="49" t="n"/>
      <c r="E346" s="49" t="n"/>
      <c r="F346" s="49" t="n"/>
      <c r="G346" s="49" t="n"/>
    </row>
    <row r="347">
      <c r="B347" s="49" t="n"/>
      <c r="C347" s="49" t="n"/>
      <c r="D347" s="49" t="n"/>
      <c r="E347" s="49" t="n"/>
      <c r="F347" s="49" t="n"/>
      <c r="G347" s="49" t="n"/>
    </row>
    <row r="348">
      <c r="B348" s="49" t="n"/>
      <c r="C348" s="49" t="n"/>
      <c r="D348" s="49" t="n"/>
      <c r="E348" s="49" t="n"/>
      <c r="F348" s="49" t="n"/>
      <c r="G348" s="49" t="n"/>
    </row>
    <row r="349">
      <c r="B349" s="49" t="n"/>
      <c r="C349" s="49" t="n"/>
      <c r="D349" s="49" t="n"/>
      <c r="E349" s="49" t="n"/>
      <c r="F349" s="49" t="n"/>
      <c r="G349" s="49" t="n"/>
    </row>
    <row r="350">
      <c r="B350" s="49" t="n"/>
      <c r="C350" s="49" t="n"/>
      <c r="D350" s="49" t="n"/>
      <c r="E350" s="49" t="n"/>
      <c r="F350" s="49" t="n"/>
      <c r="G350" s="49" t="n"/>
    </row>
    <row r="351">
      <c r="B351" s="49" t="n"/>
      <c r="C351" s="49" t="n"/>
      <c r="D351" s="49" t="n"/>
      <c r="E351" s="49" t="n"/>
      <c r="F351" s="49" t="n"/>
      <c r="G351" s="49" t="n"/>
    </row>
    <row r="352">
      <c r="B352" s="49" t="n"/>
      <c r="C352" s="49" t="n"/>
      <c r="D352" s="49" t="n"/>
      <c r="E352" s="49" t="n"/>
      <c r="F352" s="49" t="n"/>
      <c r="G352" s="49" t="n"/>
    </row>
    <row r="353">
      <c r="B353" s="49" t="n"/>
      <c r="C353" s="49" t="n"/>
      <c r="D353" s="49" t="n"/>
      <c r="E353" s="49" t="n"/>
      <c r="F353" s="49" t="n"/>
      <c r="G353" s="49" t="n"/>
    </row>
    <row r="354">
      <c r="B354" s="49" t="n"/>
      <c r="C354" s="49" t="n"/>
      <c r="D354" s="49" t="n"/>
      <c r="E354" s="49" t="n"/>
      <c r="F354" s="49" t="n"/>
      <c r="G354" s="49" t="n"/>
    </row>
    <row r="355">
      <c r="B355" s="49" t="n"/>
      <c r="C355" s="49" t="n"/>
      <c r="D355" s="49" t="n"/>
      <c r="E355" s="49" t="n"/>
      <c r="F355" s="49" t="n"/>
      <c r="G355" s="49" t="n"/>
    </row>
    <row r="356">
      <c r="B356" s="49" t="n"/>
      <c r="C356" s="49" t="n"/>
      <c r="D356" s="49" t="n"/>
      <c r="E356" s="49" t="n"/>
      <c r="F356" s="49" t="n"/>
      <c r="G356" s="49" t="n"/>
    </row>
    <row r="357">
      <c r="B357" s="49" t="n"/>
      <c r="C357" s="49" t="n"/>
      <c r="D357" s="49" t="n"/>
      <c r="E357" s="49" t="n"/>
      <c r="F357" s="49" t="n"/>
      <c r="G357" s="49" t="n"/>
    </row>
    <row r="358">
      <c r="B358" s="49" t="n"/>
      <c r="C358" s="49" t="n"/>
      <c r="D358" s="49" t="n"/>
      <c r="E358" s="49" t="n"/>
      <c r="F358" s="49" t="n"/>
      <c r="G358" s="49" t="n"/>
    </row>
    <row r="359">
      <c r="B359" s="49" t="n"/>
      <c r="C359" s="49" t="n"/>
      <c r="D359" s="49" t="n"/>
      <c r="E359" s="49" t="n"/>
      <c r="F359" s="49" t="n"/>
      <c r="G359" s="49" t="n"/>
    </row>
    <row r="360">
      <c r="B360" s="49" t="n"/>
      <c r="C360" s="49" t="n"/>
      <c r="D360" s="49" t="n"/>
      <c r="E360" s="49" t="n"/>
      <c r="F360" s="49" t="n"/>
      <c r="G360" s="49" t="n"/>
    </row>
    <row r="361">
      <c r="B361" s="49" t="n"/>
      <c r="C361" s="49" t="n"/>
      <c r="D361" s="49" t="n"/>
      <c r="E361" s="49" t="n"/>
      <c r="F361" s="49" t="n"/>
      <c r="G361" s="49" t="n"/>
    </row>
    <row r="362">
      <c r="B362" s="49" t="n"/>
      <c r="C362" s="49" t="n"/>
      <c r="D362" s="49" t="n"/>
      <c r="E362" s="49" t="n"/>
      <c r="F362" s="49" t="n"/>
      <c r="G362" s="49" t="n"/>
    </row>
    <row r="363">
      <c r="B363" s="49" t="n"/>
      <c r="C363" s="49" t="n"/>
      <c r="D363" s="49" t="n"/>
      <c r="E363" s="49" t="n"/>
      <c r="F363" s="49" t="n"/>
      <c r="G363" s="49" t="n"/>
    </row>
    <row r="364">
      <c r="B364" s="49" t="n"/>
      <c r="C364" s="49" t="n"/>
      <c r="D364" s="49" t="n"/>
      <c r="E364" s="49" t="n"/>
      <c r="F364" s="49" t="n"/>
      <c r="G364" s="49" t="n"/>
    </row>
    <row r="365">
      <c r="B365" s="49" t="n"/>
      <c r="C365" s="49" t="n"/>
      <c r="D365" s="49" t="n"/>
      <c r="E365" s="49" t="n"/>
      <c r="F365" s="49" t="n"/>
      <c r="G365" s="49" t="n"/>
    </row>
    <row r="366">
      <c r="B366" s="49" t="n"/>
      <c r="C366" s="49" t="n"/>
      <c r="D366" s="49" t="n"/>
      <c r="E366" s="49" t="n"/>
      <c r="F366" s="49" t="n"/>
      <c r="G366" s="49" t="n"/>
    </row>
    <row r="367">
      <c r="B367" s="49" t="n"/>
      <c r="C367" s="49" t="n"/>
      <c r="D367" s="49" t="n"/>
      <c r="E367" s="49" t="n"/>
      <c r="F367" s="49" t="n"/>
      <c r="G367" s="49" t="n"/>
    </row>
    <row r="368">
      <c r="B368" s="49" t="n"/>
      <c r="C368" s="49" t="n"/>
      <c r="D368" s="49" t="n"/>
      <c r="E368" s="49" t="n"/>
      <c r="F368" s="49" t="n"/>
      <c r="G368" s="49" t="n"/>
    </row>
    <row r="369">
      <c r="B369" s="49" t="n"/>
      <c r="C369" s="49" t="n"/>
      <c r="D369" s="49" t="n"/>
      <c r="E369" s="49" t="n"/>
      <c r="F369" s="49" t="n"/>
      <c r="G369" s="49" t="n"/>
    </row>
    <row r="370">
      <c r="B370" s="49" t="n"/>
      <c r="C370" s="49" t="n"/>
      <c r="D370" s="49" t="n"/>
      <c r="E370" s="49" t="n"/>
      <c r="F370" s="49" t="n"/>
      <c r="G370" s="49" t="n"/>
    </row>
    <row r="371">
      <c r="B371" s="49" t="n"/>
      <c r="C371" s="49" t="n"/>
      <c r="D371" s="49" t="n"/>
      <c r="E371" s="49" t="n"/>
      <c r="F371" s="49" t="n"/>
      <c r="G371" s="49" t="n"/>
    </row>
    <row r="372">
      <c r="B372" s="49" t="n"/>
      <c r="C372" s="49" t="n"/>
      <c r="D372" s="49" t="n"/>
      <c r="E372" s="49" t="n"/>
      <c r="F372" s="49" t="n"/>
      <c r="G372" s="49" t="n"/>
    </row>
    <row r="373">
      <c r="B373" s="49" t="n"/>
      <c r="C373" s="49" t="n"/>
      <c r="D373" s="49" t="n"/>
      <c r="E373" s="49" t="n"/>
      <c r="F373" s="49" t="n"/>
      <c r="G373" s="49" t="n"/>
    </row>
    <row r="374">
      <c r="B374" s="49" t="n"/>
      <c r="C374" s="49" t="n"/>
      <c r="D374" s="49" t="n"/>
      <c r="E374" s="49" t="n"/>
      <c r="F374" s="49" t="n"/>
      <c r="G374" s="49" t="n"/>
    </row>
    <row r="375">
      <c r="B375" s="49" t="n"/>
      <c r="C375" s="49" t="n"/>
      <c r="D375" s="49" t="n"/>
      <c r="E375" s="49" t="n"/>
      <c r="F375" s="49" t="n"/>
      <c r="G375" s="49" t="n"/>
    </row>
    <row r="376">
      <c r="B376" s="49" t="n"/>
      <c r="C376" s="49" t="n"/>
      <c r="D376" s="49" t="n"/>
      <c r="E376" s="49" t="n"/>
      <c r="F376" s="49" t="n"/>
      <c r="G376" s="49" t="n"/>
    </row>
    <row r="377">
      <c r="B377" s="49" t="n"/>
      <c r="C377" s="49" t="n"/>
      <c r="D377" s="49" t="n"/>
      <c r="E377" s="49" t="n"/>
      <c r="F377" s="49" t="n"/>
      <c r="G377" s="49" t="n"/>
    </row>
    <row r="378">
      <c r="B378" s="49" t="n"/>
      <c r="C378" s="49" t="n"/>
      <c r="D378" s="49" t="n"/>
      <c r="E378" s="49" t="n"/>
      <c r="F378" s="49" t="n"/>
      <c r="G378" s="49" t="n"/>
    </row>
    <row r="379">
      <c r="B379" s="49" t="n"/>
      <c r="C379" s="49" t="n"/>
      <c r="D379" s="49" t="n"/>
      <c r="E379" s="49" t="n"/>
      <c r="F379" s="49" t="n"/>
      <c r="G379" s="49" t="n"/>
    </row>
    <row r="380">
      <c r="B380" s="49" t="n"/>
      <c r="C380" s="49" t="n"/>
      <c r="D380" s="49" t="n"/>
      <c r="E380" s="49" t="n"/>
      <c r="F380" s="49" t="n"/>
      <c r="G380" s="49" t="n"/>
    </row>
    <row r="381">
      <c r="B381" s="49" t="n"/>
      <c r="C381" s="49" t="n"/>
      <c r="D381" s="49" t="n"/>
      <c r="E381" s="49" t="n"/>
      <c r="F381" s="49" t="n"/>
      <c r="G381" s="49" t="n"/>
    </row>
    <row r="382">
      <c r="B382" s="49" t="n"/>
      <c r="C382" s="49" t="n"/>
      <c r="D382" s="49" t="n"/>
      <c r="E382" s="49" t="n"/>
      <c r="F382" s="49" t="n"/>
      <c r="G382" s="49" t="n"/>
    </row>
    <row r="383">
      <c r="B383" s="49" t="n"/>
      <c r="C383" s="49" t="n"/>
      <c r="D383" s="49" t="n"/>
      <c r="E383" s="49" t="n"/>
      <c r="F383" s="49" t="n"/>
      <c r="G383" s="49" t="n"/>
    </row>
    <row r="384">
      <c r="B384" s="49" t="n"/>
      <c r="C384" s="49" t="n"/>
      <c r="D384" s="49" t="n"/>
      <c r="E384" s="49" t="n"/>
      <c r="F384" s="49" t="n"/>
      <c r="G384" s="49" t="n"/>
    </row>
    <row r="385">
      <c r="B385" s="49" t="n"/>
      <c r="C385" s="49" t="n"/>
      <c r="D385" s="49" t="n"/>
      <c r="E385" s="49" t="n"/>
      <c r="F385" s="49" t="n"/>
      <c r="G385" s="49" t="n"/>
    </row>
    <row r="386">
      <c r="B386" s="49" t="n"/>
      <c r="C386" s="49" t="n"/>
      <c r="D386" s="49" t="n"/>
      <c r="E386" s="49" t="n"/>
      <c r="F386" s="49" t="n"/>
      <c r="G386" s="49" t="n"/>
    </row>
    <row r="387">
      <c r="B387" s="49" t="n"/>
      <c r="C387" s="49" t="n"/>
      <c r="D387" s="49" t="n"/>
      <c r="E387" s="49" t="n"/>
      <c r="F387" s="49" t="n"/>
      <c r="G387" s="49" t="n"/>
    </row>
    <row r="388">
      <c r="B388" s="49" t="n"/>
      <c r="C388" s="49" t="n"/>
      <c r="D388" s="49" t="n"/>
      <c r="E388" s="49" t="n"/>
      <c r="F388" s="49" t="n"/>
      <c r="G388" s="49" t="n"/>
    </row>
    <row r="389">
      <c r="B389" s="49" t="n"/>
      <c r="C389" s="49" t="n"/>
      <c r="D389" s="49" t="n"/>
      <c r="E389" s="49" t="n"/>
      <c r="F389" s="49" t="n"/>
      <c r="G389" s="49" t="n"/>
    </row>
    <row r="390">
      <c r="B390" s="49" t="n"/>
      <c r="C390" s="49" t="n"/>
      <c r="D390" s="49" t="n"/>
      <c r="E390" s="49" t="n"/>
      <c r="F390" s="49" t="n"/>
      <c r="G390" s="49" t="n"/>
    </row>
    <row r="391">
      <c r="B391" s="49" t="n"/>
      <c r="C391" s="49" t="n"/>
      <c r="D391" s="49" t="n"/>
      <c r="E391" s="49" t="n"/>
      <c r="F391" s="49" t="n"/>
      <c r="G391" s="49" t="n"/>
    </row>
    <row r="392">
      <c r="B392" s="49" t="n"/>
      <c r="C392" s="49" t="n"/>
      <c r="D392" s="49" t="n"/>
      <c r="E392" s="49" t="n"/>
      <c r="F392" s="49" t="n"/>
      <c r="G392" s="49" t="n"/>
    </row>
    <row r="393">
      <c r="B393" s="49" t="n"/>
      <c r="C393" s="49" t="n"/>
      <c r="D393" s="49" t="n"/>
      <c r="E393" s="49" t="n"/>
      <c r="F393" s="49" t="n"/>
      <c r="G393" s="49" t="n"/>
    </row>
    <row r="394">
      <c r="B394" s="49" t="n"/>
      <c r="C394" s="49" t="n"/>
      <c r="D394" s="49" t="n"/>
      <c r="E394" s="49" t="n"/>
      <c r="F394" s="49" t="n"/>
      <c r="G394" s="49" t="n"/>
    </row>
    <row r="395">
      <c r="B395" s="49" t="n"/>
      <c r="C395" s="49" t="n"/>
      <c r="D395" s="49" t="n"/>
      <c r="E395" s="49" t="n"/>
      <c r="F395" s="49" t="n"/>
      <c r="G395" s="49" t="n"/>
    </row>
    <row r="396">
      <c r="B396" s="49" t="n"/>
      <c r="C396" s="49" t="n"/>
      <c r="D396" s="49" t="n"/>
      <c r="E396" s="49" t="n"/>
      <c r="F396" s="49" t="n"/>
      <c r="G396" s="49" t="n"/>
    </row>
    <row r="397">
      <c r="B397" s="49" t="n"/>
      <c r="C397" s="49" t="n"/>
      <c r="D397" s="49" t="n"/>
      <c r="E397" s="49" t="n"/>
      <c r="F397" s="49" t="n"/>
      <c r="G397" s="49" t="n"/>
    </row>
    <row r="398">
      <c r="B398" s="49" t="n"/>
      <c r="C398" s="49" t="n"/>
      <c r="D398" s="49" t="n"/>
      <c r="E398" s="49" t="n"/>
      <c r="F398" s="49" t="n"/>
      <c r="G398" s="49" t="n"/>
    </row>
    <row r="399">
      <c r="B399" s="49" t="n"/>
      <c r="C399" s="49" t="n"/>
      <c r="D399" s="49" t="n"/>
      <c r="E399" s="49" t="n"/>
      <c r="F399" s="49" t="n"/>
      <c r="G399" s="49" t="n"/>
    </row>
    <row r="400">
      <c r="B400" s="49" t="n"/>
      <c r="C400" s="49" t="n"/>
      <c r="D400" s="49" t="n"/>
      <c r="E400" s="49" t="n"/>
      <c r="F400" s="49" t="n"/>
      <c r="G400" s="49" t="n"/>
    </row>
    <row r="401">
      <c r="B401" s="49" t="n"/>
      <c r="C401" s="49" t="n"/>
      <c r="D401" s="49" t="n"/>
      <c r="E401" s="49" t="n"/>
      <c r="F401" s="49" t="n"/>
      <c r="G401" s="49" t="n"/>
    </row>
    <row r="402">
      <c r="B402" s="49" t="n"/>
      <c r="C402" s="49" t="n"/>
      <c r="D402" s="49" t="n"/>
      <c r="E402" s="49" t="n"/>
      <c r="F402" s="49" t="n"/>
      <c r="G402" s="49" t="n"/>
    </row>
    <row r="403">
      <c r="B403" s="49" t="n"/>
      <c r="C403" s="49" t="n"/>
      <c r="D403" s="49" t="n"/>
      <c r="E403" s="49" t="n"/>
      <c r="F403" s="49" t="n"/>
      <c r="G403" s="49" t="n"/>
    </row>
    <row r="404">
      <c r="B404" s="49" t="n"/>
      <c r="C404" s="49" t="n"/>
      <c r="D404" s="49" t="n"/>
      <c r="E404" s="49" t="n"/>
      <c r="F404" s="49" t="n"/>
      <c r="G404" s="49" t="n"/>
    </row>
    <row r="405">
      <c r="B405" s="49" t="n"/>
      <c r="C405" s="49" t="n"/>
      <c r="D405" s="49" t="n"/>
      <c r="E405" s="49" t="n"/>
      <c r="F405" s="49" t="n"/>
      <c r="G405" s="49" t="n"/>
    </row>
    <row r="406">
      <c r="B406" s="49" t="n"/>
      <c r="C406" s="49" t="n"/>
      <c r="D406" s="49" t="n"/>
      <c r="E406" s="49" t="n"/>
      <c r="F406" s="49" t="n"/>
      <c r="G406" s="49" t="n"/>
    </row>
    <row r="407">
      <c r="B407" s="49" t="n"/>
      <c r="C407" s="49" t="n"/>
      <c r="D407" s="49" t="n"/>
      <c r="E407" s="49" t="n"/>
      <c r="F407" s="49" t="n"/>
      <c r="G407" s="49" t="n"/>
    </row>
    <row r="408">
      <c r="B408" s="49" t="n"/>
      <c r="C408" s="49" t="n"/>
      <c r="D408" s="49" t="n"/>
      <c r="E408" s="49" t="n"/>
      <c r="F408" s="49" t="n"/>
      <c r="G408" s="49" t="n"/>
    </row>
    <row r="409">
      <c r="B409" s="49" t="n"/>
      <c r="C409" s="49" t="n"/>
      <c r="D409" s="49" t="n"/>
      <c r="E409" s="49" t="n"/>
      <c r="F409" s="49" t="n"/>
      <c r="G409" s="49" t="n"/>
    </row>
    <row r="410">
      <c r="B410" s="49" t="n"/>
      <c r="C410" s="49" t="n"/>
      <c r="D410" s="49" t="n"/>
      <c r="E410" s="49" t="n"/>
      <c r="F410" s="49" t="n"/>
      <c r="G410" s="49" t="n"/>
    </row>
    <row r="411">
      <c r="B411" s="49" t="n"/>
      <c r="C411" s="49" t="n"/>
      <c r="D411" s="49" t="n"/>
      <c r="E411" s="49" t="n"/>
      <c r="F411" s="49" t="n"/>
      <c r="G411" s="49" t="n"/>
    </row>
    <row r="412">
      <c r="B412" s="49" t="n"/>
      <c r="C412" s="49" t="n"/>
      <c r="D412" s="49" t="n"/>
      <c r="E412" s="49" t="n"/>
      <c r="F412" s="49" t="n"/>
      <c r="G412" s="49" t="n"/>
    </row>
    <row r="413">
      <c r="B413" s="49" t="n"/>
      <c r="C413" s="49" t="n"/>
      <c r="D413" s="49" t="n"/>
      <c r="E413" s="49" t="n"/>
      <c r="F413" s="49" t="n"/>
      <c r="G413" s="49" t="n"/>
    </row>
    <row r="414">
      <c r="B414" s="49" t="n"/>
      <c r="C414" s="49" t="n"/>
      <c r="D414" s="49" t="n"/>
      <c r="E414" s="49" t="n"/>
      <c r="F414" s="49" t="n"/>
      <c r="G414" s="49" t="n"/>
    </row>
    <row r="415">
      <c r="B415" s="49" t="n"/>
      <c r="C415" s="49" t="n"/>
      <c r="D415" s="49" t="n"/>
      <c r="E415" s="49" t="n"/>
      <c r="F415" s="49" t="n"/>
      <c r="G415" s="49" t="n"/>
    </row>
    <row r="416">
      <c r="B416" s="49" t="n"/>
      <c r="C416" s="49" t="n"/>
      <c r="D416" s="49" t="n"/>
      <c r="E416" s="49" t="n"/>
      <c r="F416" s="49" t="n"/>
      <c r="G416" s="49" t="n"/>
    </row>
    <row r="417">
      <c r="B417" s="49" t="n"/>
      <c r="C417" s="49" t="n"/>
      <c r="D417" s="49" t="n"/>
      <c r="E417" s="49" t="n"/>
      <c r="F417" s="49" t="n"/>
      <c r="G417" s="49" t="n"/>
    </row>
    <row r="418">
      <c r="B418" s="49" t="n"/>
      <c r="C418" s="49" t="n"/>
      <c r="D418" s="49" t="n"/>
      <c r="E418" s="49" t="n"/>
      <c r="F418" s="49" t="n"/>
      <c r="G418" s="49" t="n"/>
    </row>
    <row r="419">
      <c r="B419" s="49" t="n"/>
      <c r="C419" s="49" t="n"/>
      <c r="D419" s="49" t="n"/>
      <c r="E419" s="49" t="n"/>
      <c r="F419" s="49" t="n"/>
      <c r="G419" s="49" t="n"/>
    </row>
    <row r="420">
      <c r="B420" s="49" t="n"/>
      <c r="C420" s="49" t="n"/>
      <c r="D420" s="49" t="n"/>
      <c r="E420" s="49" t="n"/>
      <c r="F420" s="49" t="n"/>
      <c r="G420" s="49" t="n"/>
    </row>
    <row r="421">
      <c r="B421" s="49" t="n"/>
      <c r="C421" s="49" t="n"/>
      <c r="D421" s="49" t="n"/>
      <c r="E421" s="49" t="n"/>
      <c r="F421" s="49" t="n"/>
      <c r="G421" s="49" t="n"/>
    </row>
    <row r="422">
      <c r="B422" s="49" t="n"/>
      <c r="C422" s="49" t="n"/>
      <c r="D422" s="49" t="n"/>
      <c r="E422" s="49" t="n"/>
      <c r="F422" s="49" t="n"/>
      <c r="G422" s="49" t="n"/>
    </row>
    <row r="423">
      <c r="B423" s="49" t="n"/>
      <c r="C423" s="49" t="n"/>
      <c r="D423" s="49" t="n"/>
      <c r="E423" s="49" t="n"/>
      <c r="F423" s="49" t="n"/>
      <c r="G423" s="49" t="n"/>
    </row>
    <row r="424">
      <c r="B424" s="49" t="n"/>
      <c r="C424" s="49" t="n"/>
      <c r="D424" s="49" t="n"/>
      <c r="E424" s="49" t="n"/>
      <c r="F424" s="49" t="n"/>
      <c r="G424" s="49" t="n"/>
    </row>
    <row r="425">
      <c r="B425" s="49" t="n"/>
      <c r="C425" s="49" t="n"/>
      <c r="D425" s="49" t="n"/>
      <c r="E425" s="49" t="n"/>
      <c r="F425" s="49" t="n"/>
      <c r="G425" s="49" t="n"/>
    </row>
    <row r="426">
      <c r="B426" s="49" t="n"/>
      <c r="C426" s="49" t="n"/>
      <c r="D426" s="49" t="n"/>
      <c r="E426" s="49" t="n"/>
      <c r="F426" s="49" t="n"/>
      <c r="G426" s="49" t="n"/>
    </row>
    <row r="427">
      <c r="B427" s="49" t="n"/>
      <c r="C427" s="49" t="n"/>
      <c r="D427" s="49" t="n"/>
      <c r="E427" s="49" t="n"/>
      <c r="F427" s="49" t="n"/>
      <c r="G427" s="49" t="n"/>
    </row>
    <row r="428">
      <c r="B428" s="49" t="n"/>
      <c r="C428" s="49" t="n"/>
      <c r="D428" s="49" t="n"/>
      <c r="E428" s="49" t="n"/>
      <c r="F428" s="49" t="n"/>
      <c r="G428" s="49" t="n"/>
    </row>
    <row r="429">
      <c r="B429" s="49" t="n"/>
      <c r="C429" s="49" t="n"/>
      <c r="D429" s="49" t="n"/>
      <c r="E429" s="49" t="n"/>
      <c r="F429" s="49" t="n"/>
      <c r="G429" s="49" t="n"/>
    </row>
    <row r="430">
      <c r="B430" s="49" t="n"/>
      <c r="C430" s="49" t="n"/>
      <c r="D430" s="49" t="n"/>
      <c r="E430" s="49" t="n"/>
      <c r="F430" s="49" t="n"/>
      <c r="G430" s="49" t="n"/>
    </row>
    <row r="431">
      <c r="B431" s="49" t="n"/>
      <c r="C431" s="49" t="n"/>
      <c r="D431" s="49" t="n"/>
      <c r="E431" s="49" t="n"/>
      <c r="F431" s="49" t="n"/>
      <c r="G431" s="49" t="n"/>
    </row>
    <row r="432">
      <c r="B432" s="49" t="n"/>
      <c r="C432" s="49" t="n"/>
      <c r="D432" s="49" t="n"/>
      <c r="E432" s="49" t="n"/>
      <c r="F432" s="49" t="n"/>
      <c r="G432" s="49" t="n"/>
    </row>
    <row r="433">
      <c r="B433" s="49" t="n"/>
      <c r="C433" s="49" t="n"/>
      <c r="D433" s="49" t="n"/>
      <c r="E433" s="49" t="n"/>
      <c r="F433" s="49" t="n"/>
      <c r="G433" s="49" t="n"/>
    </row>
    <row r="434">
      <c r="B434" s="49" t="n"/>
      <c r="C434" s="49" t="n"/>
      <c r="D434" s="49" t="n"/>
      <c r="E434" s="49" t="n"/>
      <c r="F434" s="49" t="n"/>
      <c r="G434" s="49" t="n"/>
    </row>
    <row r="435">
      <c r="B435" s="49" t="n"/>
      <c r="C435" s="49" t="n"/>
      <c r="D435" s="49" t="n"/>
      <c r="E435" s="49" t="n"/>
      <c r="F435" s="49" t="n"/>
      <c r="G435" s="49" t="n"/>
    </row>
    <row r="436">
      <c r="B436" s="49" t="n"/>
      <c r="C436" s="49" t="n"/>
      <c r="D436" s="49" t="n"/>
      <c r="E436" s="49" t="n"/>
      <c r="F436" s="49" t="n"/>
      <c r="G436" s="49" t="n"/>
    </row>
    <row r="437">
      <c r="B437" s="49" t="n"/>
      <c r="C437" s="49" t="n"/>
      <c r="D437" s="49" t="n"/>
      <c r="E437" s="49" t="n"/>
      <c r="F437" s="49" t="n"/>
      <c r="G437" s="49" t="n"/>
    </row>
    <row r="438">
      <c r="B438" s="49" t="n"/>
      <c r="C438" s="49" t="n"/>
      <c r="D438" s="49" t="n"/>
      <c r="E438" s="49" t="n"/>
      <c r="F438" s="49" t="n"/>
      <c r="G438" s="49" t="n"/>
    </row>
    <row r="439">
      <c r="B439" s="49" t="n"/>
      <c r="C439" s="49" t="n"/>
      <c r="D439" s="49" t="n"/>
      <c r="E439" s="49" t="n"/>
      <c r="F439" s="49" t="n"/>
      <c r="G439" s="49" t="n"/>
    </row>
    <row r="440">
      <c r="B440" s="49" t="n"/>
      <c r="C440" s="49" t="n"/>
      <c r="D440" s="49" t="n"/>
      <c r="E440" s="49" t="n"/>
      <c r="F440" s="49" t="n"/>
      <c r="G440" s="49" t="n"/>
    </row>
    <row r="441">
      <c r="B441" s="49" t="n"/>
      <c r="C441" s="49" t="n"/>
      <c r="D441" s="49" t="n"/>
      <c r="E441" s="49" t="n"/>
      <c r="F441" s="49" t="n"/>
      <c r="G441" s="49" t="n"/>
    </row>
    <row r="442">
      <c r="B442" s="49" t="n"/>
      <c r="C442" s="49" t="n"/>
      <c r="D442" s="49" t="n"/>
      <c r="E442" s="49" t="n"/>
      <c r="F442" s="49" t="n"/>
      <c r="G442" s="49" t="n"/>
    </row>
    <row r="443">
      <c r="B443" s="49" t="n"/>
      <c r="C443" s="49" t="n"/>
      <c r="D443" s="49" t="n"/>
      <c r="E443" s="49" t="n"/>
      <c r="F443" s="49" t="n"/>
      <c r="G443" s="49" t="n"/>
    </row>
    <row r="444">
      <c r="B444" s="49" t="n"/>
      <c r="C444" s="49" t="n"/>
      <c r="D444" s="49" t="n"/>
      <c r="E444" s="49" t="n"/>
      <c r="F444" s="49" t="n"/>
      <c r="G444" s="49" t="n"/>
    </row>
    <row r="445">
      <c r="B445" s="49" t="n"/>
      <c r="C445" s="49" t="n"/>
      <c r="D445" s="49" t="n"/>
      <c r="E445" s="49" t="n"/>
      <c r="F445" s="49" t="n"/>
      <c r="G445" s="49" t="n"/>
    </row>
    <row r="446">
      <c r="B446" s="49" t="n"/>
      <c r="C446" s="49" t="n"/>
      <c r="D446" s="49" t="n"/>
      <c r="E446" s="49" t="n"/>
      <c r="F446" s="49" t="n"/>
      <c r="G446" s="49" t="n"/>
    </row>
    <row r="447">
      <c r="B447" s="49" t="n"/>
      <c r="C447" s="49" t="n"/>
      <c r="D447" s="49" t="n"/>
      <c r="E447" s="49" t="n"/>
      <c r="F447" s="49" t="n"/>
      <c r="G447" s="49" t="n"/>
    </row>
    <row r="448">
      <c r="B448" s="49" t="n"/>
      <c r="C448" s="49" t="n"/>
      <c r="D448" s="49" t="n"/>
      <c r="E448" s="49" t="n"/>
      <c r="F448" s="49" t="n"/>
      <c r="G448" s="49" t="n"/>
    </row>
    <row r="449">
      <c r="B449" s="49" t="n"/>
      <c r="C449" s="49" t="n"/>
      <c r="D449" s="49" t="n"/>
      <c r="E449" s="49" t="n"/>
      <c r="F449" s="49" t="n"/>
      <c r="G449" s="49" t="n"/>
    </row>
    <row r="450">
      <c r="B450" s="49" t="n"/>
      <c r="C450" s="49" t="n"/>
      <c r="D450" s="49" t="n"/>
      <c r="E450" s="49" t="n"/>
      <c r="F450" s="49" t="n"/>
      <c r="G450" s="49" t="n"/>
    </row>
    <row r="451">
      <c r="B451" s="49" t="n"/>
      <c r="C451" s="49" t="n"/>
      <c r="D451" s="49" t="n"/>
      <c r="E451" s="49" t="n"/>
      <c r="F451" s="49" t="n"/>
      <c r="G451" s="49" t="n"/>
    </row>
    <row r="452">
      <c r="B452" s="49" t="n"/>
      <c r="C452" s="49" t="n"/>
      <c r="D452" s="49" t="n"/>
      <c r="E452" s="49" t="n"/>
      <c r="F452" s="49" t="n"/>
      <c r="G452" s="49" t="n"/>
    </row>
    <row r="453">
      <c r="B453" s="49" t="n"/>
      <c r="C453" s="49" t="n"/>
      <c r="D453" s="49" t="n"/>
      <c r="E453" s="49" t="n"/>
      <c r="F453" s="49" t="n"/>
      <c r="G453" s="49" t="n"/>
    </row>
    <row r="454">
      <c r="B454" s="49" t="n"/>
      <c r="C454" s="49" t="n"/>
      <c r="D454" s="49" t="n"/>
      <c r="E454" s="49" t="n"/>
      <c r="F454" s="49" t="n"/>
      <c r="G454" s="49" t="n"/>
    </row>
    <row r="455">
      <c r="B455" s="49" t="n"/>
      <c r="C455" s="49" t="n"/>
      <c r="D455" s="49" t="n"/>
      <c r="E455" s="49" t="n"/>
      <c r="F455" s="49" t="n"/>
      <c r="G455" s="49" t="n"/>
    </row>
    <row r="456">
      <c r="B456" s="49" t="n"/>
      <c r="C456" s="49" t="n"/>
      <c r="D456" s="49" t="n"/>
      <c r="E456" s="49" t="n"/>
      <c r="F456" s="49" t="n"/>
      <c r="G456" s="49" t="n"/>
    </row>
    <row r="457">
      <c r="B457" s="49" t="n"/>
      <c r="C457" s="49" t="n"/>
      <c r="D457" s="49" t="n"/>
      <c r="E457" s="49" t="n"/>
      <c r="F457" s="49" t="n"/>
      <c r="G457" s="49" t="n"/>
    </row>
    <row r="458">
      <c r="B458" s="49" t="n"/>
      <c r="C458" s="49" t="n"/>
      <c r="D458" s="49" t="n"/>
      <c r="E458" s="49" t="n"/>
      <c r="F458" s="49" t="n"/>
      <c r="G458" s="49" t="n"/>
    </row>
    <row r="459">
      <c r="B459" s="49" t="n"/>
      <c r="C459" s="49" t="n"/>
      <c r="D459" s="49" t="n"/>
      <c r="E459" s="49" t="n"/>
      <c r="F459" s="49" t="n"/>
      <c r="G459" s="49" t="n"/>
    </row>
    <row r="460">
      <c r="B460" s="49" t="n"/>
      <c r="C460" s="49" t="n"/>
      <c r="D460" s="49" t="n"/>
      <c r="E460" s="49" t="n"/>
      <c r="F460" s="49" t="n"/>
      <c r="G460" s="49" t="n"/>
    </row>
    <row r="461">
      <c r="B461" s="49" t="n"/>
      <c r="C461" s="49" t="n"/>
      <c r="D461" s="49" t="n"/>
      <c r="E461" s="49" t="n"/>
      <c r="F461" s="49" t="n"/>
      <c r="G461" s="49" t="n"/>
    </row>
    <row r="462">
      <c r="B462" s="49" t="n"/>
      <c r="C462" s="49" t="n"/>
      <c r="D462" s="49" t="n"/>
      <c r="E462" s="49" t="n"/>
      <c r="F462" s="49" t="n"/>
      <c r="G462" s="49" t="n"/>
    </row>
    <row r="463">
      <c r="B463" s="49" t="n"/>
      <c r="C463" s="49" t="n"/>
      <c r="D463" s="49" t="n"/>
      <c r="E463" s="49" t="n"/>
      <c r="F463" s="49" t="n"/>
      <c r="G463" s="49" t="n"/>
    </row>
    <row r="464">
      <c r="B464" s="49" t="n"/>
      <c r="C464" s="49" t="n"/>
      <c r="D464" s="49" t="n"/>
      <c r="E464" s="49" t="n"/>
      <c r="F464" s="49" t="n"/>
      <c r="G464" s="49" t="n"/>
    </row>
    <row r="465">
      <c r="B465" s="49" t="n"/>
      <c r="C465" s="49" t="n"/>
      <c r="D465" s="49" t="n"/>
      <c r="E465" s="49" t="n"/>
      <c r="F465" s="49" t="n"/>
      <c r="G465" s="49" t="n"/>
    </row>
    <row r="466">
      <c r="B466" s="49" t="n"/>
      <c r="C466" s="49" t="n"/>
      <c r="D466" s="49" t="n"/>
      <c r="E466" s="49" t="n"/>
      <c r="F466" s="49" t="n"/>
      <c r="G466" s="49" t="n"/>
    </row>
    <row r="467">
      <c r="B467" s="49" t="n"/>
      <c r="C467" s="49" t="n"/>
      <c r="D467" s="49" t="n"/>
      <c r="E467" s="49" t="n"/>
      <c r="F467" s="49" t="n"/>
      <c r="G467" s="49" t="n"/>
    </row>
    <row r="468">
      <c r="B468" s="49" t="n"/>
      <c r="C468" s="49" t="n"/>
      <c r="D468" s="49" t="n"/>
      <c r="E468" s="49" t="n"/>
      <c r="F468" s="49" t="n"/>
      <c r="G468" s="49" t="n"/>
    </row>
    <row r="469">
      <c r="B469" s="49" t="n"/>
      <c r="C469" s="49" t="n"/>
      <c r="D469" s="49" t="n"/>
      <c r="E469" s="49" t="n"/>
      <c r="F469" s="49" t="n"/>
      <c r="G469" s="49" t="n"/>
    </row>
    <row r="470">
      <c r="B470" s="49" t="n"/>
      <c r="C470" s="49" t="n"/>
      <c r="D470" s="49" t="n"/>
      <c r="E470" s="49" t="n"/>
      <c r="F470" s="49" t="n"/>
      <c r="G470" s="49" t="n"/>
    </row>
    <row r="471">
      <c r="B471" s="49" t="n"/>
      <c r="C471" s="49" t="n"/>
      <c r="D471" s="49" t="n"/>
      <c r="E471" s="49" t="n"/>
      <c r="F471" s="49" t="n"/>
      <c r="G471" s="49" t="n"/>
    </row>
    <row r="472">
      <c r="B472" s="49" t="n"/>
      <c r="C472" s="49" t="n"/>
      <c r="D472" s="49" t="n"/>
      <c r="E472" s="49" t="n"/>
      <c r="F472" s="49" t="n"/>
      <c r="G472" s="49" t="n"/>
    </row>
    <row r="473">
      <c r="B473" s="49" t="n"/>
      <c r="C473" s="49" t="n"/>
      <c r="D473" s="49" t="n"/>
      <c r="E473" s="49" t="n"/>
      <c r="F473" s="49" t="n"/>
      <c r="G473" s="49" t="n"/>
    </row>
    <row r="474">
      <c r="B474" s="49" t="n"/>
      <c r="C474" s="49" t="n"/>
      <c r="D474" s="49" t="n"/>
      <c r="E474" s="49" t="n"/>
      <c r="F474" s="49" t="n"/>
      <c r="G474" s="49" t="n"/>
    </row>
    <row r="475">
      <c r="B475" s="49" t="n"/>
      <c r="C475" s="49" t="n"/>
      <c r="D475" s="49" t="n"/>
      <c r="E475" s="49" t="n"/>
      <c r="F475" s="49" t="n"/>
      <c r="G475" s="49" t="n"/>
    </row>
    <row r="476">
      <c r="B476" s="49" t="n"/>
      <c r="C476" s="49" t="n"/>
      <c r="D476" s="49" t="n"/>
      <c r="E476" s="49" t="n"/>
      <c r="F476" s="49" t="n"/>
      <c r="G476" s="49" t="n"/>
    </row>
    <row r="477">
      <c r="B477" s="49" t="n"/>
      <c r="C477" s="49" t="n"/>
      <c r="D477" s="49" t="n"/>
      <c r="E477" s="49" t="n"/>
      <c r="F477" s="49" t="n"/>
      <c r="G477" s="49" t="n"/>
    </row>
    <row r="478">
      <c r="B478" s="49" t="n"/>
      <c r="C478" s="49" t="n"/>
      <c r="D478" s="49" t="n"/>
      <c r="E478" s="49" t="n"/>
      <c r="F478" s="49" t="n"/>
      <c r="G478" s="49" t="n"/>
    </row>
    <row r="479">
      <c r="B479" s="49" t="n"/>
      <c r="C479" s="49" t="n"/>
      <c r="D479" s="49" t="n"/>
      <c r="E479" s="49" t="n"/>
      <c r="F479" s="49" t="n"/>
      <c r="G479" s="49" t="n"/>
    </row>
    <row r="480">
      <c r="B480" s="49" t="n"/>
      <c r="C480" s="49" t="n"/>
      <c r="D480" s="49" t="n"/>
      <c r="E480" s="49" t="n"/>
      <c r="F480" s="49" t="n"/>
      <c r="G480" s="49" t="n"/>
    </row>
    <row r="481">
      <c r="B481" s="49" t="n"/>
      <c r="C481" s="49" t="n"/>
      <c r="D481" s="49" t="n"/>
      <c r="E481" s="49" t="n"/>
      <c r="F481" s="49" t="n"/>
      <c r="G481" s="49" t="n"/>
    </row>
    <row r="482">
      <c r="B482" s="49" t="n"/>
      <c r="C482" s="49" t="n"/>
      <c r="D482" s="49" t="n"/>
      <c r="E482" s="49" t="n"/>
      <c r="F482" s="49" t="n"/>
      <c r="G482" s="49" t="n"/>
    </row>
    <row r="483">
      <c r="B483" s="49" t="n"/>
      <c r="C483" s="49" t="n"/>
      <c r="D483" s="49" t="n"/>
      <c r="E483" s="49" t="n"/>
      <c r="F483" s="49" t="n"/>
      <c r="G483" s="49" t="n"/>
    </row>
    <row r="484">
      <c r="B484" s="49" t="n"/>
      <c r="C484" s="49" t="n"/>
      <c r="D484" s="49" t="n"/>
      <c r="E484" s="49" t="n"/>
      <c r="F484" s="49" t="n"/>
      <c r="G484" s="49" t="n"/>
    </row>
    <row r="485">
      <c r="B485" s="49" t="n"/>
      <c r="C485" s="49" t="n"/>
      <c r="D485" s="49" t="n"/>
      <c r="E485" s="49" t="n"/>
      <c r="F485" s="49" t="n"/>
      <c r="G485" s="49" t="n"/>
    </row>
    <row r="486">
      <c r="B486" s="49" t="n"/>
      <c r="C486" s="49" t="n"/>
      <c r="D486" s="49" t="n"/>
      <c r="E486" s="49" t="n"/>
      <c r="F486" s="49" t="n"/>
      <c r="G486" s="49" t="n"/>
    </row>
    <row r="487">
      <c r="B487" s="49" t="n"/>
      <c r="C487" s="49" t="n"/>
      <c r="D487" s="49" t="n"/>
      <c r="E487" s="49" t="n"/>
      <c r="F487" s="49" t="n"/>
      <c r="G487" s="49" t="n"/>
    </row>
    <row r="488">
      <c r="B488" s="49" t="n"/>
      <c r="C488" s="49" t="n"/>
      <c r="D488" s="49" t="n"/>
      <c r="E488" s="49" t="n"/>
      <c r="F488" s="49" t="n"/>
      <c r="G488" s="49" t="n"/>
    </row>
    <row r="489">
      <c r="B489" s="49" t="n"/>
      <c r="C489" s="49" t="n"/>
      <c r="D489" s="49" t="n"/>
      <c r="E489" s="49" t="n"/>
      <c r="F489" s="49" t="n"/>
      <c r="G489" s="49" t="n"/>
    </row>
    <row r="490">
      <c r="B490" s="49" t="n"/>
      <c r="C490" s="49" t="n"/>
      <c r="D490" s="49" t="n"/>
      <c r="E490" s="49" t="n"/>
      <c r="F490" s="49" t="n"/>
      <c r="G490" s="49" t="n"/>
    </row>
    <row r="491">
      <c r="B491" s="49" t="n"/>
      <c r="C491" s="49" t="n"/>
      <c r="D491" s="49" t="n"/>
      <c r="E491" s="49" t="n"/>
      <c r="F491" s="49" t="n"/>
      <c r="G491" s="49" t="n"/>
    </row>
    <row r="492">
      <c r="B492" s="49" t="n"/>
      <c r="C492" s="49" t="n"/>
      <c r="D492" s="49" t="n"/>
      <c r="E492" s="49" t="n"/>
      <c r="F492" s="49" t="n"/>
      <c r="G492" s="49" t="n"/>
    </row>
    <row r="493">
      <c r="B493" s="49" t="n"/>
      <c r="C493" s="49" t="n"/>
      <c r="D493" s="49" t="n"/>
      <c r="E493" s="49" t="n"/>
      <c r="F493" s="49" t="n"/>
      <c r="G493" s="49" t="n"/>
    </row>
    <row r="494">
      <c r="B494" s="49" t="n"/>
      <c r="C494" s="49" t="n"/>
      <c r="D494" s="49" t="n"/>
      <c r="E494" s="49" t="n"/>
      <c r="F494" s="49" t="n"/>
      <c r="G494" s="49" t="n"/>
    </row>
    <row r="495">
      <c r="B495" s="49" t="n"/>
      <c r="C495" s="49" t="n"/>
      <c r="D495" s="49" t="n"/>
      <c r="E495" s="49" t="n"/>
      <c r="F495" s="49" t="n"/>
      <c r="G495" s="49" t="n"/>
    </row>
    <row r="496">
      <c r="B496" s="49" t="n"/>
      <c r="C496" s="49" t="n"/>
      <c r="D496" s="49" t="n"/>
      <c r="E496" s="49" t="n"/>
      <c r="F496" s="49" t="n"/>
      <c r="G496" s="49" t="n"/>
    </row>
    <row r="497">
      <c r="B497" s="49" t="n"/>
      <c r="C497" s="49" t="n"/>
      <c r="D497" s="49" t="n"/>
      <c r="E497" s="49" t="n"/>
      <c r="F497" s="49" t="n"/>
      <c r="G497" s="49" t="n"/>
    </row>
    <row r="498">
      <c r="B498" s="49" t="n"/>
      <c r="C498" s="49" t="n"/>
      <c r="D498" s="49" t="n"/>
      <c r="E498" s="49" t="n"/>
      <c r="F498" s="49" t="n"/>
      <c r="G498" s="49" t="n"/>
    </row>
    <row r="499">
      <c r="B499" s="49" t="n"/>
      <c r="C499" s="49" t="n"/>
      <c r="D499" s="49" t="n"/>
      <c r="E499" s="49" t="n"/>
      <c r="F499" s="49" t="n"/>
      <c r="G499" s="49" t="n"/>
    </row>
    <row r="500">
      <c r="B500" s="49" t="n"/>
      <c r="C500" s="49" t="n"/>
      <c r="D500" s="49" t="n"/>
      <c r="E500" s="49" t="n"/>
      <c r="F500" s="49" t="n"/>
      <c r="G500" s="49" t="n"/>
    </row>
    <row r="501">
      <c r="B501" s="49" t="n"/>
      <c r="C501" s="49" t="n"/>
      <c r="D501" s="49" t="n"/>
      <c r="E501" s="49" t="n"/>
      <c r="F501" s="49" t="n"/>
      <c r="G501" s="49" t="n"/>
    </row>
    <row r="502">
      <c r="B502" s="49" t="n"/>
      <c r="C502" s="49" t="n"/>
      <c r="D502" s="49" t="n"/>
      <c r="E502" s="49" t="n"/>
      <c r="F502" s="49" t="n"/>
      <c r="G502" s="49" t="n"/>
    </row>
    <row r="503">
      <c r="B503" s="49" t="n"/>
      <c r="C503" s="49" t="n"/>
      <c r="D503" s="49" t="n"/>
      <c r="E503" s="49" t="n"/>
      <c r="F503" s="49" t="n"/>
      <c r="G503" s="49" t="n"/>
    </row>
    <row r="504">
      <c r="B504" s="49" t="n"/>
      <c r="C504" s="49" t="n"/>
      <c r="D504" s="49" t="n"/>
      <c r="E504" s="49" t="n"/>
      <c r="F504" s="49" t="n"/>
      <c r="G504" s="49" t="n"/>
    </row>
    <row r="505">
      <c r="B505" s="49" t="n"/>
      <c r="C505" s="49" t="n"/>
      <c r="D505" s="49" t="n"/>
      <c r="E505" s="49" t="n"/>
      <c r="F505" s="49" t="n"/>
      <c r="G505" s="49" t="n"/>
    </row>
    <row r="506">
      <c r="B506" s="49" t="n"/>
      <c r="C506" s="49" t="n"/>
      <c r="D506" s="49" t="n"/>
      <c r="E506" s="49" t="n"/>
      <c r="F506" s="49" t="n"/>
      <c r="G506" s="49" t="n"/>
    </row>
    <row r="507">
      <c r="B507" s="49" t="n"/>
      <c r="C507" s="49" t="n"/>
      <c r="D507" s="49" t="n"/>
      <c r="E507" s="49" t="n"/>
      <c r="F507" s="49" t="n"/>
      <c r="G507" s="49" t="n"/>
    </row>
    <row r="508">
      <c r="B508" s="49" t="n"/>
      <c r="C508" s="49" t="n"/>
      <c r="D508" s="49" t="n"/>
      <c r="E508" s="49" t="n"/>
      <c r="F508" s="49" t="n"/>
      <c r="G508" s="49" t="n"/>
    </row>
    <row r="509">
      <c r="B509" s="49" t="n"/>
      <c r="C509" s="49" t="n"/>
      <c r="D509" s="49" t="n"/>
      <c r="E509" s="49" t="n"/>
      <c r="F509" s="49" t="n"/>
      <c r="G509" s="49" t="n"/>
    </row>
    <row r="510">
      <c r="B510" s="49" t="n"/>
      <c r="C510" s="49" t="n"/>
      <c r="D510" s="49" t="n"/>
      <c r="E510" s="49" t="n"/>
      <c r="F510" s="49" t="n"/>
      <c r="G510" s="49" t="n"/>
    </row>
    <row r="511">
      <c r="B511" s="49" t="n"/>
      <c r="C511" s="49" t="n"/>
      <c r="D511" s="49" t="n"/>
      <c r="E511" s="49" t="n"/>
      <c r="F511" s="49" t="n"/>
      <c r="G511" s="49" t="n"/>
    </row>
    <row r="512">
      <c r="B512" s="49" t="n"/>
      <c r="C512" s="49" t="n"/>
      <c r="D512" s="49" t="n"/>
      <c r="E512" s="49" t="n"/>
      <c r="F512" s="49" t="n"/>
      <c r="G512" s="49" t="n"/>
    </row>
    <row r="513">
      <c r="B513" s="49" t="n"/>
      <c r="C513" s="49" t="n"/>
      <c r="D513" s="49" t="n"/>
      <c r="E513" s="49" t="n"/>
      <c r="F513" s="49" t="n"/>
      <c r="G513" s="49" t="n"/>
    </row>
    <row r="514">
      <c r="B514" s="49" t="n"/>
      <c r="C514" s="49" t="n"/>
      <c r="D514" s="49" t="n"/>
      <c r="E514" s="49" t="n"/>
      <c r="F514" s="49" t="n"/>
      <c r="G514" s="49" t="n"/>
    </row>
    <row r="515">
      <c r="B515" s="49" t="n"/>
      <c r="C515" s="49" t="n"/>
      <c r="D515" s="49" t="n"/>
      <c r="E515" s="49" t="n"/>
      <c r="F515" s="49" t="n"/>
      <c r="G515" s="49" t="n"/>
    </row>
    <row r="516">
      <c r="B516" s="49" t="n"/>
      <c r="C516" s="49" t="n"/>
      <c r="D516" s="49" t="n"/>
      <c r="E516" s="49" t="n"/>
      <c r="F516" s="49" t="n"/>
      <c r="G516" s="49" t="n"/>
    </row>
    <row r="517">
      <c r="B517" s="49" t="n"/>
      <c r="C517" s="49" t="n"/>
      <c r="D517" s="49" t="n"/>
      <c r="E517" s="49" t="n"/>
      <c r="F517" s="49" t="n"/>
      <c r="G517" s="49"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E17:E517">
    <cfRule type="expression" priority="4" dxfId="6">
      <formula>AND(LEN($B17&amp;$C17&amp;$D17&amp;$E17&amp;$F17&amp;$G17)&gt;0,E17="")</formula>
    </cfRule>
  </conditionalFormatting>
  <conditionalFormatting sqref="F17:F517">
    <cfRule type="expression" priority="5" dxfId="6">
      <formula>AND(LEN($B17&amp;$C17&amp;$D17&amp;$E17&amp;$F17&amp;$G17)&gt;0,F17="")</formula>
    </cfRule>
  </conditionalFormatting>
  <conditionalFormatting sqref="G17:G517">
    <cfRule type="expression" priority="6" dxfId="6">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lause code" prompt="Yes. Code of the clause"/>
    <dataValidation sqref="C17:C517" showDropDown="0" showInputMessage="1" showErrorMessage="1" allowBlank="1" errorTitle="Kind" error="The value is not in the list Clause kind (sheet Reference lists). Keep it only for a new value you also add to its template." promptTitle="Kind" prompt="Yes. Kind of the clause Allowed: WARRANTY, CLAUSE, EXCLUSION, DEDUCTIBLE_WORDING (list Clause kind)" type="list" errorStyle="warning">
      <formula1>=LIST_LOV_CLAUSE_KIND</formula1>
    </dataValidation>
    <dataValidation sqref="D17:D517" showDropDown="0" showInputMessage="1" showErrorMessage="1" allowBlank="1" errorTitle="Line code" error="The code is not in PM-01, column Line code. Enter it there first, or keep it if it is a code BIBS already holds." promptTitle="Line code" prompt="No. Line of the clause; blank = every line Allowed: Code of an existing line" type="list" errorStyle="warning">
      <formula1>=CODES_PM_01_LINE_CODE</formula1>
    </dataValidation>
    <dataValidation sqref="E17:E517" showDropDown="0" showInputMessage="1" showErrorMessage="0" allowBlank="1" promptTitle="Title" prompt="Yes. Title of the clause"/>
    <dataValidation sqref="F17:F517" showDropDown="0" showInputMessage="1" showErrorMessage="0" allowBlank="1" promptTitle="Wording" prompt="Yes. Full text"/>
    <dataValidation sqref="G17:G517" showDropDown="0" showInputMessage="1" showErrorMessage="0" allowBlank="1" promptTitle="Effective from / to" prompt="Yes. First day; last day after a semicolon, blank = open"/>
  </dataValidations>
  <hyperlinks>
    <hyperlink ref="A2" location="'Start here'!A1"/>
    <hyperlink ref="G2" location="'Questions and comments'!A1"/>
    <hyperlink ref="B8" location="'PM-09 Lists and parameters'!A1"/>
    <hyperlink ref="D8" location="'PM-01 Product catalogue'!A1"/>
    <hyperlink ref="C14" location="'Reference lists'!A493"/>
    <hyperlink ref="D14" location="'PM-01 Product catalogue'!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0.xml><?xml version="1.0" encoding="utf-8"?>
<worksheet xmlns="http://schemas.openxmlformats.org/spreadsheetml/2006/main">
  <sheetPr>
    <tabColor rgb="00004EA8"/>
    <outlinePr summaryBelow="0" summaryRight="1"/>
    <pageSetUpPr fitToPage="1"/>
  </sheetPr>
  <dimension ref="A1:N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6" customWidth="1" min="3" max="3"/>
    <col width="12" customWidth="1" min="4" max="4"/>
    <col width="17" customWidth="1" min="5" max="5"/>
    <col width="33" customWidth="1" min="6" max="6"/>
    <col width="12" customWidth="1" min="7" max="7"/>
    <col width="14" customWidth="1" min="8" max="8"/>
    <col width="16" customWidth="1" min="9" max="9"/>
    <col width="17" customWidth="1" min="10" max="10"/>
    <col width="17" customWidth="1" min="11" max="11"/>
    <col width="26" customWidth="1" min="12" max="12"/>
    <col width="13" customWidth="1" min="13" max="13"/>
    <col width="17" customWidth="1" min="14" max="14"/>
  </cols>
  <sheetData>
    <row r="1" ht="26" customHeight="1">
      <c r="A1" s="25" t="inlineStr">
        <is>
          <t>C02 Client addresses and contacts</t>
        </is>
      </c>
      <c r="N1" s="26" t="inlineStr">
        <is>
          <t>Step 38 of 52</t>
        </is>
      </c>
    </row>
    <row r="2">
      <c r="A2" s="27" t="inlineStr">
        <is>
          <t>← Back to Start here</t>
        </is>
      </c>
      <c r="B2" s="28" t="inlineStr">
        <is>
          <t>Step 38 of 52. Fill in one row per record below the column headers; the guide above each column says what to enter.</t>
        </is>
      </c>
      <c r="N2" s="29" t="inlineStr">
        <is>
          <t>Ask a question →</t>
        </is>
      </c>
    </row>
    <row r="3" outlineLevel="1" ht="15.5" customHeight="1">
      <c r="A3" s="30" t="inlineStr">
        <is>
          <t>Purpose</t>
        </is>
      </c>
      <c r="B3" s="31" t="inlineStr">
        <is>
          <t>One row per record of Client master (individual and corporate) as extracted from QPS, EBIX, CMS. Key legacy_client_no, record_type, seq_no. Sent as the file C02_template.csv (CSV, header row as below) with its control file (row count, row count).</t>
        </is>
      </c>
    </row>
    <row r="4" outlineLevel="1" ht="15.5" customHeight="1">
      <c r="A4" s="30" t="inlineStr">
        <is>
          <t>Provided by</t>
        </is>
      </c>
      <c r="B4" s="31" t="inlineStr">
        <is>
          <t>Marketing data steward (to name); approved by Product Owner, MBS; Heads, Retail and Corporate Marketing; extracted by BDOI IT</t>
        </is>
      </c>
    </row>
    <row r="5" outlineLevel="1" ht="15.5" customHeight="1">
      <c r="A5" s="30" t="inlineStr">
        <is>
          <t>Due</t>
        </is>
      </c>
      <c r="B5" s="32" t="inlineStr">
        <is>
          <t>M3 (29 Jan 2027); deltas daily from T-14 days</t>
        </is>
      </c>
    </row>
    <row r="6" outlineLevel="1" ht="15.5" customHeight="1">
      <c r="A6" s="30" t="inlineStr">
        <is>
          <t>How it is loaded</t>
        </is>
      </c>
      <c r="B6" s="31" t="inlineStr">
        <is>
          <t>Migration Console: the file C02_template.csv (the header row as below) and its control file are received on Data Migration › Data Migration › Extracts and loaded by a batch of object C01; lands in: Client master, registered as migrated clients</t>
        </is>
      </c>
    </row>
    <row r="7" outlineLevel="1" ht="15.5" customHeight="1">
      <c r="A7" s="30" t="inlineStr">
        <is>
          <t>Source</t>
        </is>
      </c>
      <c r="B7" s="31" t="inlineStr">
        <is>
          <t>QPS, EBIX, CMS</t>
        </is>
      </c>
    </row>
    <row r="8" outlineLevel="1" ht="15" customHeight="1">
      <c r="A8" s="30" t="inlineStr">
        <is>
          <t>Depends on</t>
        </is>
      </c>
      <c r="B8" s="53" t="inlineStr">
        <is>
          <t>C01 Client master →</t>
        </is>
      </c>
    </row>
    <row r="9" ht="26" customHeight="1">
      <c r="A9" s="34" t="inlineStr">
        <is>
          <t>Progress</t>
        </is>
      </c>
      <c r="B9" s="35" t="inlineStr">
        <is>
          <t>Rows entered</t>
        </is>
      </c>
      <c r="C9" s="36">
        <f>SUMPRODUCT(((ROW($B$18:$B$218)&gt;18)+($B$18&lt;&gt;"Q-0012345")&gt;0)*(LEN($B$18:$B$218&amp;$C$18:$C$218&amp;$D$18:$D$218&amp;$E$18:$E$218&amp;$F$18:$F$218&amp;$G$18:$G$218&amp;$H$18:$H$218&amp;$I$18:$I$218&amp;$J$18:$J$218&amp;$K$18:$K$218&amp;$L$18:$L$218&amp;$M$18:$M$218&amp;$N$18:$N$218)&gt;0))</f>
        <v/>
      </c>
      <c r="D9" s="35" t="inlineStr">
        <is>
          <t>Mandatory cells missing</t>
        </is>
      </c>
      <c r="E9" s="36">
        <f>SUMPRODUCT(((ROW($B$18:$B$218)&gt;18)+($B$18&lt;&gt;"Q-0012345")&gt;0)*(LEN($B$18:$B$218&amp;$C$18:$C$218&amp;$D$18:$D$218&amp;$E$18:$E$218&amp;$F$18:$F$218&amp;$G$18:$G$218&amp;$H$18:$H$218&amp;$I$18:$I$218&amp;$J$18:$J$218&amp;$K$18:$K$218&amp;$L$18:$L$218&amp;$M$18:$M$218&amp;$N$18:$N$218)&gt;0)*(($B$18:$B$218="")+($C$18:$C$218="")+($D$18:$D$218="")+($N$18:$N$218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row>
    <row r="12" ht="43" customHeight="1">
      <c r="A12" s="41" t="inlineStr">
        <is>
          <t>Check when loaded</t>
        </is>
      </c>
      <c r="B12" s="43" t="inlineStr">
        <is>
          <t>Exists in C01 of the same source</t>
        </is>
      </c>
      <c r="C12" s="43" t="inlineStr">
        <is>
          <t>In the list</t>
        </is>
      </c>
      <c r="D12" s="43" t="inlineStr">
        <is>
          <t>Unique per client and record type</t>
        </is>
      </c>
      <c r="E12" s="43" t="inlineStr">
        <is>
          <t>Mandatory for ADDRESS</t>
        </is>
      </c>
      <c r="F12" s="43" t="inlineStr">
        <is>
          <t>Mandatory for ADDRESS</t>
        </is>
      </c>
      <c r="G12" s="43" t="inlineStr">
        <is>
          <t>-</t>
        </is>
      </c>
      <c r="H12" s="43" t="inlineStr">
        <is>
          <t>-</t>
        </is>
      </c>
      <c r="I12" s="43" t="inlineStr">
        <is>
          <t>4 digits</t>
        </is>
      </c>
      <c r="J12" s="43" t="inlineStr">
        <is>
          <t>Mandatory for CONTACT</t>
        </is>
      </c>
      <c r="K12" s="43" t="inlineStr">
        <is>
          <t>-</t>
        </is>
      </c>
      <c r="L12" s="43" t="inlineStr">
        <is>
          <t>Valid e-mail</t>
        </is>
      </c>
      <c r="M12" s="43" t="inlineStr">
        <is>
          <t>PH mobile format</t>
        </is>
      </c>
      <c r="N12" s="43" t="inlineStr">
        <is>
          <t>One primary ADDRESS per client</t>
        </is>
      </c>
    </row>
    <row r="13" ht="30" customHeight="1">
      <c r="A13" s="41" t="inlineStr">
        <is>
          <t>Mandatory</t>
        </is>
      </c>
      <c r="B13" s="42" t="inlineStr">
        <is>
          <t>Yes</t>
        </is>
      </c>
      <c r="C13" s="42" t="inlineStr">
        <is>
          <t>Yes</t>
        </is>
      </c>
      <c r="D13" s="42" t="inlineStr">
        <is>
          <t>Yes</t>
        </is>
      </c>
      <c r="E13" s="43" t="inlineStr">
        <is>
          <t>Conditional: Mandatory for ADDRESS</t>
        </is>
      </c>
      <c r="F13" s="43" t="inlineStr">
        <is>
          <t>Conditional: Mandatory for ADDRESS</t>
        </is>
      </c>
      <c r="G13" s="43" t="inlineStr">
        <is>
          <t>No</t>
        </is>
      </c>
      <c r="H13" s="43" t="inlineStr">
        <is>
          <t>No</t>
        </is>
      </c>
      <c r="I13" s="43" t="inlineStr">
        <is>
          <t>No</t>
        </is>
      </c>
      <c r="J13" s="43" t="inlineStr">
        <is>
          <t>Conditional: Mandatory for CONTACT</t>
        </is>
      </c>
      <c r="K13" s="43" t="inlineStr">
        <is>
          <t>No</t>
        </is>
      </c>
      <c r="L13" s="43" t="inlineStr">
        <is>
          <t>No</t>
        </is>
      </c>
      <c r="M13" s="43" t="inlineStr">
        <is>
          <t>No</t>
        </is>
      </c>
      <c r="N13" s="42" t="inlineStr">
        <is>
          <t>Yes</t>
        </is>
      </c>
    </row>
    <row r="14" ht="30" customHeight="1">
      <c r="A14" s="41" t="inlineStr">
        <is>
          <t>Format</t>
        </is>
      </c>
      <c r="B14" s="43" t="inlineStr">
        <is>
          <t>Code, up to 30; As stored in legacy</t>
        </is>
      </c>
      <c r="C14" s="43" t="inlineStr">
        <is>
          <t>Code, up to 10; Upper case</t>
        </is>
      </c>
      <c r="D14" s="43" t="inlineStr">
        <is>
          <t>Integer, up to 3; Digits</t>
        </is>
      </c>
      <c r="E14" s="43" t="inlineStr">
        <is>
          <t>Code, up to 12; Upper case</t>
        </is>
      </c>
      <c r="F14" s="43" t="inlineStr">
        <is>
          <t>Text, up to 300; Free text</t>
        </is>
      </c>
      <c r="G14" s="43" t="inlineStr">
        <is>
          <t>Text, up to 80; Free text</t>
        </is>
      </c>
      <c r="H14" s="43" t="inlineStr">
        <is>
          <t>Text, up to 80; Free text</t>
        </is>
      </c>
      <c r="I14" s="43" t="inlineStr">
        <is>
          <t>Text, up to 10; 4 digits</t>
        </is>
      </c>
      <c r="J14" s="43" t="inlineStr">
        <is>
          <t>Text, up to 200; Free text</t>
        </is>
      </c>
      <c r="K14" s="43" t="inlineStr">
        <is>
          <t>Text, up to 60; Free text</t>
        </is>
      </c>
      <c r="L14" s="43" t="inlineStr">
        <is>
          <t>Text, up to 120; name@domain</t>
        </is>
      </c>
      <c r="M14" s="43" t="inlineStr">
        <is>
          <t>Text, up to 30; 09xxxxxxxxx</t>
        </is>
      </c>
      <c r="N14" s="43" t="inlineStr">
        <is>
          <t>Flag, up to 1; Y or N</t>
        </is>
      </c>
    </row>
    <row r="15" ht="43" customHeight="1">
      <c r="A15" s="41" t="inlineStr">
        <is>
          <t>Allowed values</t>
        </is>
      </c>
      <c r="B15" s="43" t="inlineStr">
        <is>
          <t>legacy_client_no of C01</t>
        </is>
      </c>
      <c r="C15" s="51" t="inlineStr">
        <is>
          <t>ADDRESS, CONTACT (list C02 record_type)</t>
        </is>
      </c>
      <c r="D15" s="43" t="inlineStr">
        <is>
          <t>A whole number</t>
        </is>
      </c>
      <c r="E15" s="51" t="inlineStr">
        <is>
          <t>HOME, BUSINESS, MAILING, BILLING (list C02 address_type)</t>
        </is>
      </c>
      <c r="F15" s="43" t="inlineStr">
        <is>
          <t>Free entry, up to 300 characters</t>
        </is>
      </c>
      <c r="G15" s="43" t="inlineStr">
        <is>
          <t>Free entry, up to 80 characters</t>
        </is>
      </c>
      <c r="H15" s="43" t="inlineStr">
        <is>
          <t>Free entry, up to 80 characters</t>
        </is>
      </c>
      <c r="I15" s="43" t="inlineStr">
        <is>
          <t>Free entry, up to 10 characters</t>
        </is>
      </c>
      <c r="J15" s="43" t="inlineStr">
        <is>
          <t>Free entry, up to 200 characters</t>
        </is>
      </c>
      <c r="K15" s="43" t="inlineStr">
        <is>
          <t>Free entry, up to 60 characters</t>
        </is>
      </c>
      <c r="L15" s="43" t="inlineStr">
        <is>
          <t>Free entry, up to 120 characters</t>
        </is>
      </c>
      <c r="M15" s="43" t="inlineStr">
        <is>
          <t>Free entry, up to 30 characters</t>
        </is>
      </c>
      <c r="N15" s="43" t="inlineStr">
        <is>
          <t>Y or N</t>
        </is>
      </c>
    </row>
    <row r="16" ht="56" customHeight="1">
      <c r="A16" s="41" t="inlineStr">
        <is>
          <t>What to enter</t>
        </is>
      </c>
      <c r="B16" s="43" t="inlineStr">
        <is>
          <t>Client number in the source system</t>
        </is>
      </c>
      <c r="C16" s="43" t="inlineStr">
        <is>
          <t>Address or contact person</t>
        </is>
      </c>
      <c r="D16" s="43" t="inlineStr">
        <is>
          <t>Sequence within the client and record type</t>
        </is>
      </c>
      <c r="E16" s="43" t="inlineStr">
        <is>
          <t>Kind of address</t>
        </is>
      </c>
      <c r="F16" s="43" t="inlineStr">
        <is>
          <t>Street address</t>
        </is>
      </c>
      <c r="G16" s="43" t="inlineStr">
        <is>
          <t>City / municipality</t>
        </is>
      </c>
      <c r="H16" s="43" t="inlineStr">
        <is>
          <t>Province</t>
        </is>
      </c>
      <c r="I16" s="43" t="inlineStr">
        <is>
          <t>Postal code</t>
        </is>
      </c>
      <c r="J16" s="43" t="inlineStr">
        <is>
          <t>Contact person (corporate clients)</t>
        </is>
      </c>
      <c r="K16" s="43" t="inlineStr">
        <is>
          <t>Role of the contact</t>
        </is>
      </c>
      <c r="L16" s="43" t="inlineStr">
        <is>
          <t>E-mail</t>
        </is>
      </c>
      <c r="M16" s="43" t="inlineStr">
        <is>
          <t>Mobile number</t>
        </is>
      </c>
      <c r="N16" s="43" t="inlineStr">
        <is>
          <t>Primary address or contact</t>
        </is>
      </c>
    </row>
    <row r="17" ht="30" customHeight="1">
      <c r="A17" s="44" t="inlineStr">
        <is>
          <t>Row</t>
        </is>
      </c>
      <c r="B17" s="45" t="inlineStr">
        <is>
          <t>legacy_client_no *</t>
        </is>
      </c>
      <c r="C17" s="45" t="inlineStr">
        <is>
          <t>record_type *</t>
        </is>
      </c>
      <c r="D17" s="45" t="inlineStr">
        <is>
          <t>seq_no *</t>
        </is>
      </c>
      <c r="E17" s="45" t="inlineStr">
        <is>
          <t>address_type</t>
        </is>
      </c>
      <c r="F17" s="45" t="inlineStr">
        <is>
          <t>address_line</t>
        </is>
      </c>
      <c r="G17" s="45" t="inlineStr">
        <is>
          <t>city</t>
        </is>
      </c>
      <c r="H17" s="45" t="inlineStr">
        <is>
          <t>province</t>
        </is>
      </c>
      <c r="I17" s="45" t="inlineStr">
        <is>
          <t>postal_code</t>
        </is>
      </c>
      <c r="J17" s="45" t="inlineStr">
        <is>
          <t>contact_name</t>
        </is>
      </c>
      <c r="K17" s="45" t="inlineStr">
        <is>
          <t>contact_role</t>
        </is>
      </c>
      <c r="L17" s="45" t="inlineStr">
        <is>
          <t>email</t>
        </is>
      </c>
      <c r="M17" s="45" t="inlineStr">
        <is>
          <t>mobile</t>
        </is>
      </c>
      <c r="N17" s="45" t="inlineStr">
        <is>
          <t>primary_flag *</t>
        </is>
      </c>
    </row>
    <row r="18" ht="18" customHeight="1">
      <c r="A18" s="46" t="inlineStr">
        <is>
          <t>Example – overwrite or delete</t>
        </is>
      </c>
      <c r="B18" s="47" t="inlineStr">
        <is>
          <t>Q-0012345</t>
        </is>
      </c>
      <c r="C18" s="47" t="inlineStr">
        <is>
          <t>ADDRESS</t>
        </is>
      </c>
      <c r="D18" s="52" t="n">
        <v>1</v>
      </c>
      <c r="E18" s="47" t="inlineStr">
        <is>
          <t>MAILING</t>
        </is>
      </c>
      <c r="F18" s="47" t="inlineStr">
        <is>
          <t>12 Rizal St., Brgy. San Antonio</t>
        </is>
      </c>
      <c r="G18" s="47" t="inlineStr">
        <is>
          <t>Pasig</t>
        </is>
      </c>
      <c r="H18" s="47" t="inlineStr">
        <is>
          <t>Metro Manila</t>
        </is>
      </c>
      <c r="I18" s="47" t="inlineStr">
        <is>
          <t>1600</t>
        </is>
      </c>
      <c r="J18" s="47" t="inlineStr">
        <is>
          <t>Jose Santos</t>
        </is>
      </c>
      <c r="K18" s="47" t="inlineStr">
        <is>
          <t>HR Manager</t>
        </is>
      </c>
      <c r="L18" s="47" t="inlineStr">
        <is>
          <t>jose.santos@acme.example</t>
        </is>
      </c>
      <c r="M18" s="47" t="inlineStr">
        <is>
          <t>09181234567</t>
        </is>
      </c>
      <c r="N18" s="47" t="inlineStr">
        <is>
          <t>Y</t>
        </is>
      </c>
    </row>
    <row r="19">
      <c r="B19" s="49" t="n"/>
      <c r="C19" s="49" t="n"/>
      <c r="E19" s="49" t="n"/>
      <c r="F19" s="49" t="n"/>
      <c r="G19" s="49" t="n"/>
      <c r="H19" s="49" t="n"/>
      <c r="I19" s="49" t="n"/>
      <c r="J19" s="49" t="n"/>
      <c r="K19" s="49" t="n"/>
      <c r="L19" s="49" t="n"/>
      <c r="M19" s="49" t="n"/>
      <c r="N19" s="49" t="n"/>
    </row>
    <row r="20">
      <c r="B20" s="49" t="n"/>
      <c r="C20" s="49" t="n"/>
      <c r="E20" s="49" t="n"/>
      <c r="F20" s="49" t="n"/>
      <c r="G20" s="49" t="n"/>
      <c r="H20" s="49" t="n"/>
      <c r="I20" s="49" t="n"/>
      <c r="J20" s="49" t="n"/>
      <c r="K20" s="49" t="n"/>
      <c r="L20" s="49" t="n"/>
      <c r="M20" s="49" t="n"/>
      <c r="N20" s="49" t="n"/>
    </row>
    <row r="21">
      <c r="B21" s="49" t="n"/>
      <c r="C21" s="49" t="n"/>
      <c r="E21" s="49" t="n"/>
      <c r="F21" s="49" t="n"/>
      <c r="G21" s="49" t="n"/>
      <c r="H21" s="49" t="n"/>
      <c r="I21" s="49" t="n"/>
      <c r="J21" s="49" t="n"/>
      <c r="K21" s="49" t="n"/>
      <c r="L21" s="49" t="n"/>
      <c r="M21" s="49" t="n"/>
      <c r="N21" s="49" t="n"/>
    </row>
    <row r="22">
      <c r="B22" s="49" t="n"/>
      <c r="C22" s="49" t="n"/>
      <c r="E22" s="49" t="n"/>
      <c r="F22" s="49" t="n"/>
      <c r="G22" s="49" t="n"/>
      <c r="H22" s="49" t="n"/>
      <c r="I22" s="49" t="n"/>
      <c r="J22" s="49" t="n"/>
      <c r="K22" s="49" t="n"/>
      <c r="L22" s="49" t="n"/>
      <c r="M22" s="49" t="n"/>
      <c r="N22" s="49" t="n"/>
    </row>
    <row r="23">
      <c r="B23" s="49" t="n"/>
      <c r="C23" s="49" t="n"/>
      <c r="E23" s="49" t="n"/>
      <c r="F23" s="49" t="n"/>
      <c r="G23" s="49" t="n"/>
      <c r="H23" s="49" t="n"/>
      <c r="I23" s="49" t="n"/>
      <c r="J23" s="49" t="n"/>
      <c r="K23" s="49" t="n"/>
      <c r="L23" s="49" t="n"/>
      <c r="M23" s="49" t="n"/>
      <c r="N23" s="49" t="n"/>
    </row>
    <row r="24">
      <c r="B24" s="49" t="n"/>
      <c r="C24" s="49" t="n"/>
      <c r="E24" s="49" t="n"/>
      <c r="F24" s="49" t="n"/>
      <c r="G24" s="49" t="n"/>
      <c r="H24" s="49" t="n"/>
      <c r="I24" s="49" t="n"/>
      <c r="J24" s="49" t="n"/>
      <c r="K24" s="49" t="n"/>
      <c r="L24" s="49" t="n"/>
      <c r="M24" s="49" t="n"/>
      <c r="N24" s="49" t="n"/>
    </row>
    <row r="25">
      <c r="B25" s="49" t="n"/>
      <c r="C25" s="49" t="n"/>
      <c r="E25" s="49" t="n"/>
      <c r="F25" s="49" t="n"/>
      <c r="G25" s="49" t="n"/>
      <c r="H25" s="49" t="n"/>
      <c r="I25" s="49" t="n"/>
      <c r="J25" s="49" t="n"/>
      <c r="K25" s="49" t="n"/>
      <c r="L25" s="49" t="n"/>
      <c r="M25" s="49" t="n"/>
      <c r="N25" s="49" t="n"/>
    </row>
    <row r="26">
      <c r="B26" s="49" t="n"/>
      <c r="C26" s="49" t="n"/>
      <c r="E26" s="49" t="n"/>
      <c r="F26" s="49" t="n"/>
      <c r="G26" s="49" t="n"/>
      <c r="H26" s="49" t="n"/>
      <c r="I26" s="49" t="n"/>
      <c r="J26" s="49" t="n"/>
      <c r="K26" s="49" t="n"/>
      <c r="L26" s="49" t="n"/>
      <c r="M26" s="49" t="n"/>
      <c r="N26" s="49" t="n"/>
    </row>
    <row r="27">
      <c r="B27" s="49" t="n"/>
      <c r="C27" s="49" t="n"/>
      <c r="E27" s="49" t="n"/>
      <c r="F27" s="49" t="n"/>
      <c r="G27" s="49" t="n"/>
      <c r="H27" s="49" t="n"/>
      <c r="I27" s="49" t="n"/>
      <c r="J27" s="49" t="n"/>
      <c r="K27" s="49" t="n"/>
      <c r="L27" s="49" t="n"/>
      <c r="M27" s="49" t="n"/>
      <c r="N27" s="49" t="n"/>
    </row>
    <row r="28">
      <c r="B28" s="49" t="n"/>
      <c r="C28" s="49" t="n"/>
      <c r="E28" s="49" t="n"/>
      <c r="F28" s="49" t="n"/>
      <c r="G28" s="49" t="n"/>
      <c r="H28" s="49" t="n"/>
      <c r="I28" s="49" t="n"/>
      <c r="J28" s="49" t="n"/>
      <c r="K28" s="49" t="n"/>
      <c r="L28" s="49" t="n"/>
      <c r="M28" s="49" t="n"/>
      <c r="N28" s="49" t="n"/>
    </row>
    <row r="29">
      <c r="B29" s="49" t="n"/>
      <c r="C29" s="49" t="n"/>
      <c r="E29" s="49" t="n"/>
      <c r="F29" s="49" t="n"/>
      <c r="G29" s="49" t="n"/>
      <c r="H29" s="49" t="n"/>
      <c r="I29" s="49" t="n"/>
      <c r="J29" s="49" t="n"/>
      <c r="K29" s="49" t="n"/>
      <c r="L29" s="49" t="n"/>
      <c r="M29" s="49" t="n"/>
      <c r="N29" s="49" t="n"/>
    </row>
    <row r="30">
      <c r="B30" s="49" t="n"/>
      <c r="C30" s="49" t="n"/>
      <c r="E30" s="49" t="n"/>
      <c r="F30" s="49" t="n"/>
      <c r="G30" s="49" t="n"/>
      <c r="H30" s="49" t="n"/>
      <c r="I30" s="49" t="n"/>
      <c r="J30" s="49" t="n"/>
      <c r="K30" s="49" t="n"/>
      <c r="L30" s="49" t="n"/>
      <c r="M30" s="49" t="n"/>
      <c r="N30" s="49" t="n"/>
    </row>
    <row r="31">
      <c r="B31" s="49" t="n"/>
      <c r="C31" s="49" t="n"/>
      <c r="E31" s="49" t="n"/>
      <c r="F31" s="49" t="n"/>
      <c r="G31" s="49" t="n"/>
      <c r="H31" s="49" t="n"/>
      <c r="I31" s="49" t="n"/>
      <c r="J31" s="49" t="n"/>
      <c r="K31" s="49" t="n"/>
      <c r="L31" s="49" t="n"/>
      <c r="M31" s="49" t="n"/>
      <c r="N31" s="49" t="n"/>
    </row>
    <row r="32">
      <c r="B32" s="49" t="n"/>
      <c r="C32" s="49" t="n"/>
      <c r="E32" s="49" t="n"/>
      <c r="F32" s="49" t="n"/>
      <c r="G32" s="49" t="n"/>
      <c r="H32" s="49" t="n"/>
      <c r="I32" s="49" t="n"/>
      <c r="J32" s="49" t="n"/>
      <c r="K32" s="49" t="n"/>
      <c r="L32" s="49" t="n"/>
      <c r="M32" s="49" t="n"/>
      <c r="N32" s="49" t="n"/>
    </row>
    <row r="33">
      <c r="B33" s="49" t="n"/>
      <c r="C33" s="49" t="n"/>
      <c r="E33" s="49" t="n"/>
      <c r="F33" s="49" t="n"/>
      <c r="G33" s="49" t="n"/>
      <c r="H33" s="49" t="n"/>
      <c r="I33" s="49" t="n"/>
      <c r="J33" s="49" t="n"/>
      <c r="K33" s="49" t="n"/>
      <c r="L33" s="49" t="n"/>
      <c r="M33" s="49" t="n"/>
      <c r="N33" s="49" t="n"/>
    </row>
    <row r="34">
      <c r="B34" s="49" t="n"/>
      <c r="C34" s="49" t="n"/>
      <c r="E34" s="49" t="n"/>
      <c r="F34" s="49" t="n"/>
      <c r="G34" s="49" t="n"/>
      <c r="H34" s="49" t="n"/>
      <c r="I34" s="49" t="n"/>
      <c r="J34" s="49" t="n"/>
      <c r="K34" s="49" t="n"/>
      <c r="L34" s="49" t="n"/>
      <c r="M34" s="49" t="n"/>
      <c r="N34" s="49" t="n"/>
    </row>
    <row r="35">
      <c r="B35" s="49" t="n"/>
      <c r="C35" s="49" t="n"/>
      <c r="E35" s="49" t="n"/>
      <c r="F35" s="49" t="n"/>
      <c r="G35" s="49" t="n"/>
      <c r="H35" s="49" t="n"/>
      <c r="I35" s="49" t="n"/>
      <c r="J35" s="49" t="n"/>
      <c r="K35" s="49" t="n"/>
      <c r="L35" s="49" t="n"/>
      <c r="M35" s="49" t="n"/>
      <c r="N35" s="49" t="n"/>
    </row>
    <row r="36">
      <c r="B36" s="49" t="n"/>
      <c r="C36" s="49" t="n"/>
      <c r="E36" s="49" t="n"/>
      <c r="F36" s="49" t="n"/>
      <c r="G36" s="49" t="n"/>
      <c r="H36" s="49" t="n"/>
      <c r="I36" s="49" t="n"/>
      <c r="J36" s="49" t="n"/>
      <c r="K36" s="49" t="n"/>
      <c r="L36" s="49" t="n"/>
      <c r="M36" s="49" t="n"/>
      <c r="N36" s="49" t="n"/>
    </row>
    <row r="37">
      <c r="B37" s="49" t="n"/>
      <c r="C37" s="49" t="n"/>
      <c r="E37" s="49" t="n"/>
      <c r="F37" s="49" t="n"/>
      <c r="G37" s="49" t="n"/>
      <c r="H37" s="49" t="n"/>
      <c r="I37" s="49" t="n"/>
      <c r="J37" s="49" t="n"/>
      <c r="K37" s="49" t="n"/>
      <c r="L37" s="49" t="n"/>
      <c r="M37" s="49" t="n"/>
      <c r="N37" s="49" t="n"/>
    </row>
    <row r="38">
      <c r="B38" s="49" t="n"/>
      <c r="C38" s="49" t="n"/>
      <c r="E38" s="49" t="n"/>
      <c r="F38" s="49" t="n"/>
      <c r="G38" s="49" t="n"/>
      <c r="H38" s="49" t="n"/>
      <c r="I38" s="49" t="n"/>
      <c r="J38" s="49" t="n"/>
      <c r="K38" s="49" t="n"/>
      <c r="L38" s="49" t="n"/>
      <c r="M38" s="49" t="n"/>
      <c r="N38" s="49" t="n"/>
    </row>
    <row r="39">
      <c r="B39" s="49" t="n"/>
      <c r="C39" s="49" t="n"/>
      <c r="E39" s="49" t="n"/>
      <c r="F39" s="49" t="n"/>
      <c r="G39" s="49" t="n"/>
      <c r="H39" s="49" t="n"/>
      <c r="I39" s="49" t="n"/>
      <c r="J39" s="49" t="n"/>
      <c r="K39" s="49" t="n"/>
      <c r="L39" s="49" t="n"/>
      <c r="M39" s="49" t="n"/>
      <c r="N39" s="49" t="n"/>
    </row>
    <row r="40">
      <c r="B40" s="49" t="n"/>
      <c r="C40" s="49" t="n"/>
      <c r="E40" s="49" t="n"/>
      <c r="F40" s="49" t="n"/>
      <c r="G40" s="49" t="n"/>
      <c r="H40" s="49" t="n"/>
      <c r="I40" s="49" t="n"/>
      <c r="J40" s="49" t="n"/>
      <c r="K40" s="49" t="n"/>
      <c r="L40" s="49" t="n"/>
      <c r="M40" s="49" t="n"/>
      <c r="N40" s="49" t="n"/>
    </row>
    <row r="41">
      <c r="B41" s="49" t="n"/>
      <c r="C41" s="49" t="n"/>
      <c r="E41" s="49" t="n"/>
      <c r="F41" s="49" t="n"/>
      <c r="G41" s="49" t="n"/>
      <c r="H41" s="49" t="n"/>
      <c r="I41" s="49" t="n"/>
      <c r="J41" s="49" t="n"/>
      <c r="K41" s="49" t="n"/>
      <c r="L41" s="49" t="n"/>
      <c r="M41" s="49" t="n"/>
      <c r="N41" s="49" t="n"/>
    </row>
    <row r="42">
      <c r="B42" s="49" t="n"/>
      <c r="C42" s="49" t="n"/>
      <c r="E42" s="49" t="n"/>
      <c r="F42" s="49" t="n"/>
      <c r="G42" s="49" t="n"/>
      <c r="H42" s="49" t="n"/>
      <c r="I42" s="49" t="n"/>
      <c r="J42" s="49" t="n"/>
      <c r="K42" s="49" t="n"/>
      <c r="L42" s="49" t="n"/>
      <c r="M42" s="49" t="n"/>
      <c r="N42" s="49" t="n"/>
    </row>
    <row r="43">
      <c r="B43" s="49" t="n"/>
      <c r="C43" s="49" t="n"/>
      <c r="E43" s="49" t="n"/>
      <c r="F43" s="49" t="n"/>
      <c r="G43" s="49" t="n"/>
      <c r="H43" s="49" t="n"/>
      <c r="I43" s="49" t="n"/>
      <c r="J43" s="49" t="n"/>
      <c r="K43" s="49" t="n"/>
      <c r="L43" s="49" t="n"/>
      <c r="M43" s="49" t="n"/>
      <c r="N43" s="49" t="n"/>
    </row>
    <row r="44">
      <c r="B44" s="49" t="n"/>
      <c r="C44" s="49" t="n"/>
      <c r="E44" s="49" t="n"/>
      <c r="F44" s="49" t="n"/>
      <c r="G44" s="49" t="n"/>
      <c r="H44" s="49" t="n"/>
      <c r="I44" s="49" t="n"/>
      <c r="J44" s="49" t="n"/>
      <c r="K44" s="49" t="n"/>
      <c r="L44" s="49" t="n"/>
      <c r="M44" s="49" t="n"/>
      <c r="N44" s="49" t="n"/>
    </row>
    <row r="45">
      <c r="B45" s="49" t="n"/>
      <c r="C45" s="49" t="n"/>
      <c r="E45" s="49" t="n"/>
      <c r="F45" s="49" t="n"/>
      <c r="G45" s="49" t="n"/>
      <c r="H45" s="49" t="n"/>
      <c r="I45" s="49" t="n"/>
      <c r="J45" s="49" t="n"/>
      <c r="K45" s="49" t="n"/>
      <c r="L45" s="49" t="n"/>
      <c r="M45" s="49" t="n"/>
      <c r="N45" s="49" t="n"/>
    </row>
    <row r="46">
      <c r="B46" s="49" t="n"/>
      <c r="C46" s="49" t="n"/>
      <c r="E46" s="49" t="n"/>
      <c r="F46" s="49" t="n"/>
      <c r="G46" s="49" t="n"/>
      <c r="H46" s="49" t="n"/>
      <c r="I46" s="49" t="n"/>
      <c r="J46" s="49" t="n"/>
      <c r="K46" s="49" t="n"/>
      <c r="L46" s="49" t="n"/>
      <c r="M46" s="49" t="n"/>
      <c r="N46" s="49" t="n"/>
    </row>
    <row r="47">
      <c r="B47" s="49" t="n"/>
      <c r="C47" s="49" t="n"/>
      <c r="E47" s="49" t="n"/>
      <c r="F47" s="49" t="n"/>
      <c r="G47" s="49" t="n"/>
      <c r="H47" s="49" t="n"/>
      <c r="I47" s="49" t="n"/>
      <c r="J47" s="49" t="n"/>
      <c r="K47" s="49" t="n"/>
      <c r="L47" s="49" t="n"/>
      <c r="M47" s="49" t="n"/>
      <c r="N47" s="49" t="n"/>
    </row>
    <row r="48">
      <c r="B48" s="49" t="n"/>
      <c r="C48" s="49" t="n"/>
      <c r="E48" s="49" t="n"/>
      <c r="F48" s="49" t="n"/>
      <c r="G48" s="49" t="n"/>
      <c r="H48" s="49" t="n"/>
      <c r="I48" s="49" t="n"/>
      <c r="J48" s="49" t="n"/>
      <c r="K48" s="49" t="n"/>
      <c r="L48" s="49" t="n"/>
      <c r="M48" s="49" t="n"/>
      <c r="N48" s="49" t="n"/>
    </row>
    <row r="49">
      <c r="B49" s="49" t="n"/>
      <c r="C49" s="49" t="n"/>
      <c r="E49" s="49" t="n"/>
      <c r="F49" s="49" t="n"/>
      <c r="G49" s="49" t="n"/>
      <c r="H49" s="49" t="n"/>
      <c r="I49" s="49" t="n"/>
      <c r="J49" s="49" t="n"/>
      <c r="K49" s="49" t="n"/>
      <c r="L49" s="49" t="n"/>
      <c r="M49" s="49" t="n"/>
      <c r="N49" s="49" t="n"/>
    </row>
    <row r="50">
      <c r="B50" s="49" t="n"/>
      <c r="C50" s="49" t="n"/>
      <c r="E50" s="49" t="n"/>
      <c r="F50" s="49" t="n"/>
      <c r="G50" s="49" t="n"/>
      <c r="H50" s="49" t="n"/>
      <c r="I50" s="49" t="n"/>
      <c r="J50" s="49" t="n"/>
      <c r="K50" s="49" t="n"/>
      <c r="L50" s="49" t="n"/>
      <c r="M50" s="49" t="n"/>
      <c r="N50" s="49" t="n"/>
    </row>
    <row r="51">
      <c r="B51" s="49" t="n"/>
      <c r="C51" s="49" t="n"/>
      <c r="E51" s="49" t="n"/>
      <c r="F51" s="49" t="n"/>
      <c r="G51" s="49" t="n"/>
      <c r="H51" s="49" t="n"/>
      <c r="I51" s="49" t="n"/>
      <c r="J51" s="49" t="n"/>
      <c r="K51" s="49" t="n"/>
      <c r="L51" s="49" t="n"/>
      <c r="M51" s="49" t="n"/>
      <c r="N51" s="49" t="n"/>
    </row>
    <row r="52">
      <c r="B52" s="49" t="n"/>
      <c r="C52" s="49" t="n"/>
      <c r="E52" s="49" t="n"/>
      <c r="F52" s="49" t="n"/>
      <c r="G52" s="49" t="n"/>
      <c r="H52" s="49" t="n"/>
      <c r="I52" s="49" t="n"/>
      <c r="J52" s="49" t="n"/>
      <c r="K52" s="49" t="n"/>
      <c r="L52" s="49" t="n"/>
      <c r="M52" s="49" t="n"/>
      <c r="N52" s="49" t="n"/>
    </row>
    <row r="53">
      <c r="B53" s="49" t="n"/>
      <c r="C53" s="49" t="n"/>
      <c r="E53" s="49" t="n"/>
      <c r="F53" s="49" t="n"/>
      <c r="G53" s="49" t="n"/>
      <c r="H53" s="49" t="n"/>
      <c r="I53" s="49" t="n"/>
      <c r="J53" s="49" t="n"/>
      <c r="K53" s="49" t="n"/>
      <c r="L53" s="49" t="n"/>
      <c r="M53" s="49" t="n"/>
      <c r="N53" s="49" t="n"/>
    </row>
    <row r="54">
      <c r="B54" s="49" t="n"/>
      <c r="C54" s="49" t="n"/>
      <c r="E54" s="49" t="n"/>
      <c r="F54" s="49" t="n"/>
      <c r="G54" s="49" t="n"/>
      <c r="H54" s="49" t="n"/>
      <c r="I54" s="49" t="n"/>
      <c r="J54" s="49" t="n"/>
      <c r="K54" s="49" t="n"/>
      <c r="L54" s="49" t="n"/>
      <c r="M54" s="49" t="n"/>
      <c r="N54" s="49" t="n"/>
    </row>
    <row r="55">
      <c r="B55" s="49" t="n"/>
      <c r="C55" s="49" t="n"/>
      <c r="E55" s="49" t="n"/>
      <c r="F55" s="49" t="n"/>
      <c r="G55" s="49" t="n"/>
      <c r="H55" s="49" t="n"/>
      <c r="I55" s="49" t="n"/>
      <c r="J55" s="49" t="n"/>
      <c r="K55" s="49" t="n"/>
      <c r="L55" s="49" t="n"/>
      <c r="M55" s="49" t="n"/>
      <c r="N55" s="49" t="n"/>
    </row>
    <row r="56">
      <c r="B56" s="49" t="n"/>
      <c r="C56" s="49" t="n"/>
      <c r="E56" s="49" t="n"/>
      <c r="F56" s="49" t="n"/>
      <c r="G56" s="49" t="n"/>
      <c r="H56" s="49" t="n"/>
      <c r="I56" s="49" t="n"/>
      <c r="J56" s="49" t="n"/>
      <c r="K56" s="49" t="n"/>
      <c r="L56" s="49" t="n"/>
      <c r="M56" s="49" t="n"/>
      <c r="N56" s="49" t="n"/>
    </row>
    <row r="57">
      <c r="B57" s="49" t="n"/>
      <c r="C57" s="49" t="n"/>
      <c r="E57" s="49" t="n"/>
      <c r="F57" s="49" t="n"/>
      <c r="G57" s="49" t="n"/>
      <c r="H57" s="49" t="n"/>
      <c r="I57" s="49" t="n"/>
      <c r="J57" s="49" t="n"/>
      <c r="K57" s="49" t="n"/>
      <c r="L57" s="49" t="n"/>
      <c r="M57" s="49" t="n"/>
      <c r="N57" s="49" t="n"/>
    </row>
    <row r="58">
      <c r="B58" s="49" t="n"/>
      <c r="C58" s="49" t="n"/>
      <c r="E58" s="49" t="n"/>
      <c r="F58" s="49" t="n"/>
      <c r="G58" s="49" t="n"/>
      <c r="H58" s="49" t="n"/>
      <c r="I58" s="49" t="n"/>
      <c r="J58" s="49" t="n"/>
      <c r="K58" s="49" t="n"/>
      <c r="L58" s="49" t="n"/>
      <c r="M58" s="49" t="n"/>
      <c r="N58" s="49" t="n"/>
    </row>
    <row r="59">
      <c r="B59" s="49" t="n"/>
      <c r="C59" s="49" t="n"/>
      <c r="E59" s="49" t="n"/>
      <c r="F59" s="49" t="n"/>
      <c r="G59" s="49" t="n"/>
      <c r="H59" s="49" t="n"/>
      <c r="I59" s="49" t="n"/>
      <c r="J59" s="49" t="n"/>
      <c r="K59" s="49" t="n"/>
      <c r="L59" s="49" t="n"/>
      <c r="M59" s="49" t="n"/>
      <c r="N59" s="49" t="n"/>
    </row>
    <row r="60">
      <c r="B60" s="49" t="n"/>
      <c r="C60" s="49" t="n"/>
      <c r="E60" s="49" t="n"/>
      <c r="F60" s="49" t="n"/>
      <c r="G60" s="49" t="n"/>
      <c r="H60" s="49" t="n"/>
      <c r="I60" s="49" t="n"/>
      <c r="J60" s="49" t="n"/>
      <c r="K60" s="49" t="n"/>
      <c r="L60" s="49" t="n"/>
      <c r="M60" s="49" t="n"/>
      <c r="N60" s="49" t="n"/>
    </row>
    <row r="61">
      <c r="B61" s="49" t="n"/>
      <c r="C61" s="49" t="n"/>
      <c r="E61" s="49" t="n"/>
      <c r="F61" s="49" t="n"/>
      <c r="G61" s="49" t="n"/>
      <c r="H61" s="49" t="n"/>
      <c r="I61" s="49" t="n"/>
      <c r="J61" s="49" t="n"/>
      <c r="K61" s="49" t="n"/>
      <c r="L61" s="49" t="n"/>
      <c r="M61" s="49" t="n"/>
      <c r="N61" s="49" t="n"/>
    </row>
    <row r="62">
      <c r="B62" s="49" t="n"/>
      <c r="C62" s="49" t="n"/>
      <c r="E62" s="49" t="n"/>
      <c r="F62" s="49" t="n"/>
      <c r="G62" s="49" t="n"/>
      <c r="H62" s="49" t="n"/>
      <c r="I62" s="49" t="n"/>
      <c r="J62" s="49" t="n"/>
      <c r="K62" s="49" t="n"/>
      <c r="L62" s="49" t="n"/>
      <c r="M62" s="49" t="n"/>
      <c r="N62" s="49" t="n"/>
    </row>
    <row r="63">
      <c r="B63" s="49" t="n"/>
      <c r="C63" s="49" t="n"/>
      <c r="E63" s="49" t="n"/>
      <c r="F63" s="49" t="n"/>
      <c r="G63" s="49" t="n"/>
      <c r="H63" s="49" t="n"/>
      <c r="I63" s="49" t="n"/>
      <c r="J63" s="49" t="n"/>
      <c r="K63" s="49" t="n"/>
      <c r="L63" s="49" t="n"/>
      <c r="M63" s="49" t="n"/>
      <c r="N63" s="49" t="n"/>
    </row>
    <row r="64">
      <c r="B64" s="49" t="n"/>
      <c r="C64" s="49" t="n"/>
      <c r="E64" s="49" t="n"/>
      <c r="F64" s="49" t="n"/>
      <c r="G64" s="49" t="n"/>
      <c r="H64" s="49" t="n"/>
      <c r="I64" s="49" t="n"/>
      <c r="J64" s="49" t="n"/>
      <c r="K64" s="49" t="n"/>
      <c r="L64" s="49" t="n"/>
      <c r="M64" s="49" t="n"/>
      <c r="N64" s="49" t="n"/>
    </row>
    <row r="65">
      <c r="B65" s="49" t="n"/>
      <c r="C65" s="49" t="n"/>
      <c r="E65" s="49" t="n"/>
      <c r="F65" s="49" t="n"/>
      <c r="G65" s="49" t="n"/>
      <c r="H65" s="49" t="n"/>
      <c r="I65" s="49" t="n"/>
      <c r="J65" s="49" t="n"/>
      <c r="K65" s="49" t="n"/>
      <c r="L65" s="49" t="n"/>
      <c r="M65" s="49" t="n"/>
      <c r="N65" s="49" t="n"/>
    </row>
    <row r="66">
      <c r="B66" s="49" t="n"/>
      <c r="C66" s="49" t="n"/>
      <c r="E66" s="49" t="n"/>
      <c r="F66" s="49" t="n"/>
      <c r="G66" s="49" t="n"/>
      <c r="H66" s="49" t="n"/>
      <c r="I66" s="49" t="n"/>
      <c r="J66" s="49" t="n"/>
      <c r="K66" s="49" t="n"/>
      <c r="L66" s="49" t="n"/>
      <c r="M66" s="49" t="n"/>
      <c r="N66" s="49" t="n"/>
    </row>
    <row r="67">
      <c r="B67" s="49" t="n"/>
      <c r="C67" s="49" t="n"/>
      <c r="E67" s="49" t="n"/>
      <c r="F67" s="49" t="n"/>
      <c r="G67" s="49" t="n"/>
      <c r="H67" s="49" t="n"/>
      <c r="I67" s="49" t="n"/>
      <c r="J67" s="49" t="n"/>
      <c r="K67" s="49" t="n"/>
      <c r="L67" s="49" t="n"/>
      <c r="M67" s="49" t="n"/>
      <c r="N67" s="49" t="n"/>
    </row>
    <row r="68">
      <c r="B68" s="49" t="n"/>
      <c r="C68" s="49" t="n"/>
      <c r="E68" s="49" t="n"/>
      <c r="F68" s="49" t="n"/>
      <c r="G68" s="49" t="n"/>
      <c r="H68" s="49" t="n"/>
      <c r="I68" s="49" t="n"/>
      <c r="J68" s="49" t="n"/>
      <c r="K68" s="49" t="n"/>
      <c r="L68" s="49" t="n"/>
      <c r="M68" s="49" t="n"/>
      <c r="N68" s="49" t="n"/>
    </row>
    <row r="69">
      <c r="B69" s="49" t="n"/>
      <c r="C69" s="49" t="n"/>
      <c r="E69" s="49" t="n"/>
      <c r="F69" s="49" t="n"/>
      <c r="G69" s="49" t="n"/>
      <c r="H69" s="49" t="n"/>
      <c r="I69" s="49" t="n"/>
      <c r="J69" s="49" t="n"/>
      <c r="K69" s="49" t="n"/>
      <c r="L69" s="49" t="n"/>
      <c r="M69" s="49" t="n"/>
      <c r="N69" s="49" t="n"/>
    </row>
    <row r="70">
      <c r="B70" s="49" t="n"/>
      <c r="C70" s="49" t="n"/>
      <c r="E70" s="49" t="n"/>
      <c r="F70" s="49" t="n"/>
      <c r="G70" s="49" t="n"/>
      <c r="H70" s="49" t="n"/>
      <c r="I70" s="49" t="n"/>
      <c r="J70" s="49" t="n"/>
      <c r="K70" s="49" t="n"/>
      <c r="L70" s="49" t="n"/>
      <c r="M70" s="49" t="n"/>
      <c r="N70" s="49" t="n"/>
    </row>
    <row r="71">
      <c r="B71" s="49" t="n"/>
      <c r="C71" s="49" t="n"/>
      <c r="E71" s="49" t="n"/>
      <c r="F71" s="49" t="n"/>
      <c r="G71" s="49" t="n"/>
      <c r="H71" s="49" t="n"/>
      <c r="I71" s="49" t="n"/>
      <c r="J71" s="49" t="n"/>
      <c r="K71" s="49" t="n"/>
      <c r="L71" s="49" t="n"/>
      <c r="M71" s="49" t="n"/>
      <c r="N71" s="49" t="n"/>
    </row>
    <row r="72">
      <c r="B72" s="49" t="n"/>
      <c r="C72" s="49" t="n"/>
      <c r="E72" s="49" t="n"/>
      <c r="F72" s="49" t="n"/>
      <c r="G72" s="49" t="n"/>
      <c r="H72" s="49" t="n"/>
      <c r="I72" s="49" t="n"/>
      <c r="J72" s="49" t="n"/>
      <c r="K72" s="49" t="n"/>
      <c r="L72" s="49" t="n"/>
      <c r="M72" s="49" t="n"/>
      <c r="N72" s="49" t="n"/>
    </row>
    <row r="73">
      <c r="B73" s="49" t="n"/>
      <c r="C73" s="49" t="n"/>
      <c r="E73" s="49" t="n"/>
      <c r="F73" s="49" t="n"/>
      <c r="G73" s="49" t="n"/>
      <c r="H73" s="49" t="n"/>
      <c r="I73" s="49" t="n"/>
      <c r="J73" s="49" t="n"/>
      <c r="K73" s="49" t="n"/>
      <c r="L73" s="49" t="n"/>
      <c r="M73" s="49" t="n"/>
      <c r="N73" s="49" t="n"/>
    </row>
    <row r="74">
      <c r="B74" s="49" t="n"/>
      <c r="C74" s="49" t="n"/>
      <c r="E74" s="49" t="n"/>
      <c r="F74" s="49" t="n"/>
      <c r="G74" s="49" t="n"/>
      <c r="H74" s="49" t="n"/>
      <c r="I74" s="49" t="n"/>
      <c r="J74" s="49" t="n"/>
      <c r="K74" s="49" t="n"/>
      <c r="L74" s="49" t="n"/>
      <c r="M74" s="49" t="n"/>
      <c r="N74" s="49" t="n"/>
    </row>
    <row r="75">
      <c r="B75" s="49" t="n"/>
      <c r="C75" s="49" t="n"/>
      <c r="E75" s="49" t="n"/>
      <c r="F75" s="49" t="n"/>
      <c r="G75" s="49" t="n"/>
      <c r="H75" s="49" t="n"/>
      <c r="I75" s="49" t="n"/>
      <c r="J75" s="49" t="n"/>
      <c r="K75" s="49" t="n"/>
      <c r="L75" s="49" t="n"/>
      <c r="M75" s="49" t="n"/>
      <c r="N75" s="49" t="n"/>
    </row>
    <row r="76">
      <c r="B76" s="49" t="n"/>
      <c r="C76" s="49" t="n"/>
      <c r="E76" s="49" t="n"/>
      <c r="F76" s="49" t="n"/>
      <c r="G76" s="49" t="n"/>
      <c r="H76" s="49" t="n"/>
      <c r="I76" s="49" t="n"/>
      <c r="J76" s="49" t="n"/>
      <c r="K76" s="49" t="n"/>
      <c r="L76" s="49" t="n"/>
      <c r="M76" s="49" t="n"/>
      <c r="N76" s="49" t="n"/>
    </row>
    <row r="77">
      <c r="B77" s="49" t="n"/>
      <c r="C77" s="49" t="n"/>
      <c r="E77" s="49" t="n"/>
      <c r="F77" s="49" t="n"/>
      <c r="G77" s="49" t="n"/>
      <c r="H77" s="49" t="n"/>
      <c r="I77" s="49" t="n"/>
      <c r="J77" s="49" t="n"/>
      <c r="K77" s="49" t="n"/>
      <c r="L77" s="49" t="n"/>
      <c r="M77" s="49" t="n"/>
      <c r="N77" s="49" t="n"/>
    </row>
    <row r="78">
      <c r="B78" s="49" t="n"/>
      <c r="C78" s="49" t="n"/>
      <c r="E78" s="49" t="n"/>
      <c r="F78" s="49" t="n"/>
      <c r="G78" s="49" t="n"/>
      <c r="H78" s="49" t="n"/>
      <c r="I78" s="49" t="n"/>
      <c r="J78" s="49" t="n"/>
      <c r="K78" s="49" t="n"/>
      <c r="L78" s="49" t="n"/>
      <c r="M78" s="49" t="n"/>
      <c r="N78" s="49" t="n"/>
    </row>
    <row r="79">
      <c r="B79" s="49" t="n"/>
      <c r="C79" s="49" t="n"/>
      <c r="E79" s="49" t="n"/>
      <c r="F79" s="49" t="n"/>
      <c r="G79" s="49" t="n"/>
      <c r="H79" s="49" t="n"/>
      <c r="I79" s="49" t="n"/>
      <c r="J79" s="49" t="n"/>
      <c r="K79" s="49" t="n"/>
      <c r="L79" s="49" t="n"/>
      <c r="M79" s="49" t="n"/>
      <c r="N79" s="49" t="n"/>
    </row>
    <row r="80">
      <c r="B80" s="49" t="n"/>
      <c r="C80" s="49" t="n"/>
      <c r="E80" s="49" t="n"/>
      <c r="F80" s="49" t="n"/>
      <c r="G80" s="49" t="n"/>
      <c r="H80" s="49" t="n"/>
      <c r="I80" s="49" t="n"/>
      <c r="J80" s="49" t="n"/>
      <c r="K80" s="49" t="n"/>
      <c r="L80" s="49" t="n"/>
      <c r="M80" s="49" t="n"/>
      <c r="N80" s="49" t="n"/>
    </row>
    <row r="81">
      <c r="B81" s="49" t="n"/>
      <c r="C81" s="49" t="n"/>
      <c r="E81" s="49" t="n"/>
      <c r="F81" s="49" t="n"/>
      <c r="G81" s="49" t="n"/>
      <c r="H81" s="49" t="n"/>
      <c r="I81" s="49" t="n"/>
      <c r="J81" s="49" t="n"/>
      <c r="K81" s="49" t="n"/>
      <c r="L81" s="49" t="n"/>
      <c r="M81" s="49" t="n"/>
      <c r="N81" s="49" t="n"/>
    </row>
    <row r="82">
      <c r="B82" s="49" t="n"/>
      <c r="C82" s="49" t="n"/>
      <c r="E82" s="49" t="n"/>
      <c r="F82" s="49" t="n"/>
      <c r="G82" s="49" t="n"/>
      <c r="H82" s="49" t="n"/>
      <c r="I82" s="49" t="n"/>
      <c r="J82" s="49" t="n"/>
      <c r="K82" s="49" t="n"/>
      <c r="L82" s="49" t="n"/>
      <c r="M82" s="49" t="n"/>
      <c r="N82" s="49" t="n"/>
    </row>
    <row r="83">
      <c r="B83" s="49" t="n"/>
      <c r="C83" s="49" t="n"/>
      <c r="E83" s="49" t="n"/>
      <c r="F83" s="49" t="n"/>
      <c r="G83" s="49" t="n"/>
      <c r="H83" s="49" t="n"/>
      <c r="I83" s="49" t="n"/>
      <c r="J83" s="49" t="n"/>
      <c r="K83" s="49" t="n"/>
      <c r="L83" s="49" t="n"/>
      <c r="M83" s="49" t="n"/>
      <c r="N83" s="49" t="n"/>
    </row>
    <row r="84">
      <c r="B84" s="49" t="n"/>
      <c r="C84" s="49" t="n"/>
      <c r="E84" s="49" t="n"/>
      <c r="F84" s="49" t="n"/>
      <c r="G84" s="49" t="n"/>
      <c r="H84" s="49" t="n"/>
      <c r="I84" s="49" t="n"/>
      <c r="J84" s="49" t="n"/>
      <c r="K84" s="49" t="n"/>
      <c r="L84" s="49" t="n"/>
      <c r="M84" s="49" t="n"/>
      <c r="N84" s="49" t="n"/>
    </row>
    <row r="85">
      <c r="B85" s="49" t="n"/>
      <c r="C85" s="49" t="n"/>
      <c r="E85" s="49" t="n"/>
      <c r="F85" s="49" t="n"/>
      <c r="G85" s="49" t="n"/>
      <c r="H85" s="49" t="n"/>
      <c r="I85" s="49" t="n"/>
      <c r="J85" s="49" t="n"/>
      <c r="K85" s="49" t="n"/>
      <c r="L85" s="49" t="n"/>
      <c r="M85" s="49" t="n"/>
      <c r="N85" s="49" t="n"/>
    </row>
    <row r="86">
      <c r="B86" s="49" t="n"/>
      <c r="C86" s="49" t="n"/>
      <c r="E86" s="49" t="n"/>
      <c r="F86" s="49" t="n"/>
      <c r="G86" s="49" t="n"/>
      <c r="H86" s="49" t="n"/>
      <c r="I86" s="49" t="n"/>
      <c r="J86" s="49" t="n"/>
      <c r="K86" s="49" t="n"/>
      <c r="L86" s="49" t="n"/>
      <c r="M86" s="49" t="n"/>
      <c r="N86" s="49" t="n"/>
    </row>
    <row r="87">
      <c r="B87" s="49" t="n"/>
      <c r="C87" s="49" t="n"/>
      <c r="E87" s="49" t="n"/>
      <c r="F87" s="49" t="n"/>
      <c r="G87" s="49" t="n"/>
      <c r="H87" s="49" t="n"/>
      <c r="I87" s="49" t="n"/>
      <c r="J87" s="49" t="n"/>
      <c r="K87" s="49" t="n"/>
      <c r="L87" s="49" t="n"/>
      <c r="M87" s="49" t="n"/>
      <c r="N87" s="49" t="n"/>
    </row>
    <row r="88">
      <c r="B88" s="49" t="n"/>
      <c r="C88" s="49" t="n"/>
      <c r="E88" s="49" t="n"/>
      <c r="F88" s="49" t="n"/>
      <c r="G88" s="49" t="n"/>
      <c r="H88" s="49" t="n"/>
      <c r="I88" s="49" t="n"/>
      <c r="J88" s="49" t="n"/>
      <c r="K88" s="49" t="n"/>
      <c r="L88" s="49" t="n"/>
      <c r="M88" s="49" t="n"/>
      <c r="N88" s="49" t="n"/>
    </row>
    <row r="89">
      <c r="B89" s="49" t="n"/>
      <c r="C89" s="49" t="n"/>
      <c r="E89" s="49" t="n"/>
      <c r="F89" s="49" t="n"/>
      <c r="G89" s="49" t="n"/>
      <c r="H89" s="49" t="n"/>
      <c r="I89" s="49" t="n"/>
      <c r="J89" s="49" t="n"/>
      <c r="K89" s="49" t="n"/>
      <c r="L89" s="49" t="n"/>
      <c r="M89" s="49" t="n"/>
      <c r="N89" s="49" t="n"/>
    </row>
    <row r="90">
      <c r="B90" s="49" t="n"/>
      <c r="C90" s="49" t="n"/>
      <c r="E90" s="49" t="n"/>
      <c r="F90" s="49" t="n"/>
      <c r="G90" s="49" t="n"/>
      <c r="H90" s="49" t="n"/>
      <c r="I90" s="49" t="n"/>
      <c r="J90" s="49" t="n"/>
      <c r="K90" s="49" t="n"/>
      <c r="L90" s="49" t="n"/>
      <c r="M90" s="49" t="n"/>
      <c r="N90" s="49" t="n"/>
    </row>
    <row r="91">
      <c r="B91" s="49" t="n"/>
      <c r="C91" s="49" t="n"/>
      <c r="E91" s="49" t="n"/>
      <c r="F91" s="49" t="n"/>
      <c r="G91" s="49" t="n"/>
      <c r="H91" s="49" t="n"/>
      <c r="I91" s="49" t="n"/>
      <c r="J91" s="49" t="n"/>
      <c r="K91" s="49" t="n"/>
      <c r="L91" s="49" t="n"/>
      <c r="M91" s="49" t="n"/>
      <c r="N91" s="49" t="n"/>
    </row>
    <row r="92">
      <c r="B92" s="49" t="n"/>
      <c r="C92" s="49" t="n"/>
      <c r="E92" s="49" t="n"/>
      <c r="F92" s="49" t="n"/>
      <c r="G92" s="49" t="n"/>
      <c r="H92" s="49" t="n"/>
      <c r="I92" s="49" t="n"/>
      <c r="J92" s="49" t="n"/>
      <c r="K92" s="49" t="n"/>
      <c r="L92" s="49" t="n"/>
      <c r="M92" s="49" t="n"/>
      <c r="N92" s="49" t="n"/>
    </row>
    <row r="93">
      <c r="B93" s="49" t="n"/>
      <c r="C93" s="49" t="n"/>
      <c r="E93" s="49" t="n"/>
      <c r="F93" s="49" t="n"/>
      <c r="G93" s="49" t="n"/>
      <c r="H93" s="49" t="n"/>
      <c r="I93" s="49" t="n"/>
      <c r="J93" s="49" t="n"/>
      <c r="K93" s="49" t="n"/>
      <c r="L93" s="49" t="n"/>
      <c r="M93" s="49" t="n"/>
      <c r="N93" s="49" t="n"/>
    </row>
    <row r="94">
      <c r="B94" s="49" t="n"/>
      <c r="C94" s="49" t="n"/>
      <c r="E94" s="49" t="n"/>
      <c r="F94" s="49" t="n"/>
      <c r="G94" s="49" t="n"/>
      <c r="H94" s="49" t="n"/>
      <c r="I94" s="49" t="n"/>
      <c r="J94" s="49" t="n"/>
      <c r="K94" s="49" t="n"/>
      <c r="L94" s="49" t="n"/>
      <c r="M94" s="49" t="n"/>
      <c r="N94" s="49" t="n"/>
    </row>
    <row r="95">
      <c r="B95" s="49" t="n"/>
      <c r="C95" s="49" t="n"/>
      <c r="E95" s="49" t="n"/>
      <c r="F95" s="49" t="n"/>
      <c r="G95" s="49" t="n"/>
      <c r="H95" s="49" t="n"/>
      <c r="I95" s="49" t="n"/>
      <c r="J95" s="49" t="n"/>
      <c r="K95" s="49" t="n"/>
      <c r="L95" s="49" t="n"/>
      <c r="M95" s="49" t="n"/>
      <c r="N95" s="49" t="n"/>
    </row>
    <row r="96">
      <c r="B96" s="49" t="n"/>
      <c r="C96" s="49" t="n"/>
      <c r="E96" s="49" t="n"/>
      <c r="F96" s="49" t="n"/>
      <c r="G96" s="49" t="n"/>
      <c r="H96" s="49" t="n"/>
      <c r="I96" s="49" t="n"/>
      <c r="J96" s="49" t="n"/>
      <c r="K96" s="49" t="n"/>
      <c r="L96" s="49" t="n"/>
      <c r="M96" s="49" t="n"/>
      <c r="N96" s="49" t="n"/>
    </row>
    <row r="97">
      <c r="B97" s="49" t="n"/>
      <c r="C97" s="49" t="n"/>
      <c r="E97" s="49" t="n"/>
      <c r="F97" s="49" t="n"/>
      <c r="G97" s="49" t="n"/>
      <c r="H97" s="49" t="n"/>
      <c r="I97" s="49" t="n"/>
      <c r="J97" s="49" t="n"/>
      <c r="K97" s="49" t="n"/>
      <c r="L97" s="49" t="n"/>
      <c r="M97" s="49" t="n"/>
      <c r="N97" s="49" t="n"/>
    </row>
    <row r="98">
      <c r="B98" s="49" t="n"/>
      <c r="C98" s="49" t="n"/>
      <c r="E98" s="49" t="n"/>
      <c r="F98" s="49" t="n"/>
      <c r="G98" s="49" t="n"/>
      <c r="H98" s="49" t="n"/>
      <c r="I98" s="49" t="n"/>
      <c r="J98" s="49" t="n"/>
      <c r="K98" s="49" t="n"/>
      <c r="L98" s="49" t="n"/>
      <c r="M98" s="49" t="n"/>
      <c r="N98" s="49" t="n"/>
    </row>
    <row r="99">
      <c r="B99" s="49" t="n"/>
      <c r="C99" s="49" t="n"/>
      <c r="E99" s="49" t="n"/>
      <c r="F99" s="49" t="n"/>
      <c r="G99" s="49" t="n"/>
      <c r="H99" s="49" t="n"/>
      <c r="I99" s="49" t="n"/>
      <c r="J99" s="49" t="n"/>
      <c r="K99" s="49" t="n"/>
      <c r="L99" s="49" t="n"/>
      <c r="M99" s="49" t="n"/>
      <c r="N99" s="49" t="n"/>
    </row>
    <row r="100">
      <c r="B100" s="49" t="n"/>
      <c r="C100" s="49" t="n"/>
      <c r="E100" s="49" t="n"/>
      <c r="F100" s="49" t="n"/>
      <c r="G100" s="49" t="n"/>
      <c r="H100" s="49" t="n"/>
      <c r="I100" s="49" t="n"/>
      <c r="J100" s="49" t="n"/>
      <c r="K100" s="49" t="n"/>
      <c r="L100" s="49" t="n"/>
      <c r="M100" s="49" t="n"/>
      <c r="N100" s="49" t="n"/>
    </row>
    <row r="101">
      <c r="B101" s="49" t="n"/>
      <c r="C101" s="49" t="n"/>
      <c r="E101" s="49" t="n"/>
      <c r="F101" s="49" t="n"/>
      <c r="G101" s="49" t="n"/>
      <c r="H101" s="49" t="n"/>
      <c r="I101" s="49" t="n"/>
      <c r="J101" s="49" t="n"/>
      <c r="K101" s="49" t="n"/>
      <c r="L101" s="49" t="n"/>
      <c r="M101" s="49" t="n"/>
      <c r="N101" s="49" t="n"/>
    </row>
    <row r="102">
      <c r="B102" s="49" t="n"/>
      <c r="C102" s="49" t="n"/>
      <c r="E102" s="49" t="n"/>
      <c r="F102" s="49" t="n"/>
      <c r="G102" s="49" t="n"/>
      <c r="H102" s="49" t="n"/>
      <c r="I102" s="49" t="n"/>
      <c r="J102" s="49" t="n"/>
      <c r="K102" s="49" t="n"/>
      <c r="L102" s="49" t="n"/>
      <c r="M102" s="49" t="n"/>
      <c r="N102" s="49" t="n"/>
    </row>
    <row r="103">
      <c r="B103" s="49" t="n"/>
      <c r="C103" s="49" t="n"/>
      <c r="E103" s="49" t="n"/>
      <c r="F103" s="49" t="n"/>
      <c r="G103" s="49" t="n"/>
      <c r="H103" s="49" t="n"/>
      <c r="I103" s="49" t="n"/>
      <c r="J103" s="49" t="n"/>
      <c r="K103" s="49" t="n"/>
      <c r="L103" s="49" t="n"/>
      <c r="M103" s="49" t="n"/>
      <c r="N103" s="49" t="n"/>
    </row>
    <row r="104">
      <c r="B104" s="49" t="n"/>
      <c r="C104" s="49" t="n"/>
      <c r="E104" s="49" t="n"/>
      <c r="F104" s="49" t="n"/>
      <c r="G104" s="49" t="n"/>
      <c r="H104" s="49" t="n"/>
      <c r="I104" s="49" t="n"/>
      <c r="J104" s="49" t="n"/>
      <c r="K104" s="49" t="n"/>
      <c r="L104" s="49" t="n"/>
      <c r="M104" s="49" t="n"/>
      <c r="N104" s="49" t="n"/>
    </row>
    <row r="105">
      <c r="B105" s="49" t="n"/>
      <c r="C105" s="49" t="n"/>
      <c r="E105" s="49" t="n"/>
      <c r="F105" s="49" t="n"/>
      <c r="G105" s="49" t="n"/>
      <c r="H105" s="49" t="n"/>
      <c r="I105" s="49" t="n"/>
      <c r="J105" s="49" t="n"/>
      <c r="K105" s="49" t="n"/>
      <c r="L105" s="49" t="n"/>
      <c r="M105" s="49" t="n"/>
      <c r="N105" s="49" t="n"/>
    </row>
    <row r="106">
      <c r="B106" s="49" t="n"/>
      <c r="C106" s="49" t="n"/>
      <c r="E106" s="49" t="n"/>
      <c r="F106" s="49" t="n"/>
      <c r="G106" s="49" t="n"/>
      <c r="H106" s="49" t="n"/>
      <c r="I106" s="49" t="n"/>
      <c r="J106" s="49" t="n"/>
      <c r="K106" s="49" t="n"/>
      <c r="L106" s="49" t="n"/>
      <c r="M106" s="49" t="n"/>
      <c r="N106" s="49" t="n"/>
    </row>
    <row r="107">
      <c r="B107" s="49" t="n"/>
      <c r="C107" s="49" t="n"/>
      <c r="E107" s="49" t="n"/>
      <c r="F107" s="49" t="n"/>
      <c r="G107" s="49" t="n"/>
      <c r="H107" s="49" t="n"/>
      <c r="I107" s="49" t="n"/>
      <c r="J107" s="49" t="n"/>
      <c r="K107" s="49" t="n"/>
      <c r="L107" s="49" t="n"/>
      <c r="M107" s="49" t="n"/>
      <c r="N107" s="49" t="n"/>
    </row>
    <row r="108">
      <c r="B108" s="49" t="n"/>
      <c r="C108" s="49" t="n"/>
      <c r="E108" s="49" t="n"/>
      <c r="F108" s="49" t="n"/>
      <c r="G108" s="49" t="n"/>
      <c r="H108" s="49" t="n"/>
      <c r="I108" s="49" t="n"/>
      <c r="J108" s="49" t="n"/>
      <c r="K108" s="49" t="n"/>
      <c r="L108" s="49" t="n"/>
      <c r="M108" s="49" t="n"/>
      <c r="N108" s="49" t="n"/>
    </row>
    <row r="109">
      <c r="B109" s="49" t="n"/>
      <c r="C109" s="49" t="n"/>
      <c r="E109" s="49" t="n"/>
      <c r="F109" s="49" t="n"/>
      <c r="G109" s="49" t="n"/>
      <c r="H109" s="49" t="n"/>
      <c r="I109" s="49" t="n"/>
      <c r="J109" s="49" t="n"/>
      <c r="K109" s="49" t="n"/>
      <c r="L109" s="49" t="n"/>
      <c r="M109" s="49" t="n"/>
      <c r="N109" s="49" t="n"/>
    </row>
    <row r="110">
      <c r="B110" s="49" t="n"/>
      <c r="C110" s="49" t="n"/>
      <c r="E110" s="49" t="n"/>
      <c r="F110" s="49" t="n"/>
      <c r="G110" s="49" t="n"/>
      <c r="H110" s="49" t="n"/>
      <c r="I110" s="49" t="n"/>
      <c r="J110" s="49" t="n"/>
      <c r="K110" s="49" t="n"/>
      <c r="L110" s="49" t="n"/>
      <c r="M110" s="49" t="n"/>
      <c r="N110" s="49" t="n"/>
    </row>
    <row r="111">
      <c r="B111" s="49" t="n"/>
      <c r="C111" s="49" t="n"/>
      <c r="E111" s="49" t="n"/>
      <c r="F111" s="49" t="n"/>
      <c r="G111" s="49" t="n"/>
      <c r="H111" s="49" t="n"/>
      <c r="I111" s="49" t="n"/>
      <c r="J111" s="49" t="n"/>
      <c r="K111" s="49" t="n"/>
      <c r="L111" s="49" t="n"/>
      <c r="M111" s="49" t="n"/>
      <c r="N111" s="49" t="n"/>
    </row>
    <row r="112">
      <c r="B112" s="49" t="n"/>
      <c r="C112" s="49" t="n"/>
      <c r="E112" s="49" t="n"/>
      <c r="F112" s="49" t="n"/>
      <c r="G112" s="49" t="n"/>
      <c r="H112" s="49" t="n"/>
      <c r="I112" s="49" t="n"/>
      <c r="J112" s="49" t="n"/>
      <c r="K112" s="49" t="n"/>
      <c r="L112" s="49" t="n"/>
      <c r="M112" s="49" t="n"/>
      <c r="N112" s="49" t="n"/>
    </row>
    <row r="113">
      <c r="B113" s="49" t="n"/>
      <c r="C113" s="49" t="n"/>
      <c r="E113" s="49" t="n"/>
      <c r="F113" s="49" t="n"/>
      <c r="G113" s="49" t="n"/>
      <c r="H113" s="49" t="n"/>
      <c r="I113" s="49" t="n"/>
      <c r="J113" s="49" t="n"/>
      <c r="K113" s="49" t="n"/>
      <c r="L113" s="49" t="n"/>
      <c r="M113" s="49" t="n"/>
      <c r="N113" s="49" t="n"/>
    </row>
    <row r="114">
      <c r="B114" s="49" t="n"/>
      <c r="C114" s="49" t="n"/>
      <c r="E114" s="49" t="n"/>
      <c r="F114" s="49" t="n"/>
      <c r="G114" s="49" t="n"/>
      <c r="H114" s="49" t="n"/>
      <c r="I114" s="49" t="n"/>
      <c r="J114" s="49" t="n"/>
      <c r="K114" s="49" t="n"/>
      <c r="L114" s="49" t="n"/>
      <c r="M114" s="49" t="n"/>
      <c r="N114" s="49" t="n"/>
    </row>
    <row r="115">
      <c r="B115" s="49" t="n"/>
      <c r="C115" s="49" t="n"/>
      <c r="E115" s="49" t="n"/>
      <c r="F115" s="49" t="n"/>
      <c r="G115" s="49" t="n"/>
      <c r="H115" s="49" t="n"/>
      <c r="I115" s="49" t="n"/>
      <c r="J115" s="49" t="n"/>
      <c r="K115" s="49" t="n"/>
      <c r="L115" s="49" t="n"/>
      <c r="M115" s="49" t="n"/>
      <c r="N115" s="49" t="n"/>
    </row>
    <row r="116">
      <c r="B116" s="49" t="n"/>
      <c r="C116" s="49" t="n"/>
      <c r="E116" s="49" t="n"/>
      <c r="F116" s="49" t="n"/>
      <c r="G116" s="49" t="n"/>
      <c r="H116" s="49" t="n"/>
      <c r="I116" s="49" t="n"/>
      <c r="J116" s="49" t="n"/>
      <c r="K116" s="49" t="n"/>
      <c r="L116" s="49" t="n"/>
      <c r="M116" s="49" t="n"/>
      <c r="N116" s="49" t="n"/>
    </row>
    <row r="117">
      <c r="B117" s="49" t="n"/>
      <c r="C117" s="49" t="n"/>
      <c r="E117" s="49" t="n"/>
      <c r="F117" s="49" t="n"/>
      <c r="G117" s="49" t="n"/>
      <c r="H117" s="49" t="n"/>
      <c r="I117" s="49" t="n"/>
      <c r="J117" s="49" t="n"/>
      <c r="K117" s="49" t="n"/>
      <c r="L117" s="49" t="n"/>
      <c r="M117" s="49" t="n"/>
      <c r="N117" s="49" t="n"/>
    </row>
    <row r="118">
      <c r="B118" s="49" t="n"/>
      <c r="C118" s="49" t="n"/>
      <c r="E118" s="49" t="n"/>
      <c r="F118" s="49" t="n"/>
      <c r="G118" s="49" t="n"/>
      <c r="H118" s="49" t="n"/>
      <c r="I118" s="49" t="n"/>
      <c r="J118" s="49" t="n"/>
      <c r="K118" s="49" t="n"/>
      <c r="L118" s="49" t="n"/>
      <c r="M118" s="49" t="n"/>
      <c r="N118" s="49" t="n"/>
    </row>
    <row r="119">
      <c r="B119" s="49" t="n"/>
      <c r="C119" s="49" t="n"/>
      <c r="E119" s="49" t="n"/>
      <c r="F119" s="49" t="n"/>
      <c r="G119" s="49" t="n"/>
      <c r="H119" s="49" t="n"/>
      <c r="I119" s="49" t="n"/>
      <c r="J119" s="49" t="n"/>
      <c r="K119" s="49" t="n"/>
      <c r="L119" s="49" t="n"/>
      <c r="M119" s="49" t="n"/>
      <c r="N119" s="49" t="n"/>
    </row>
    <row r="120">
      <c r="B120" s="49" t="n"/>
      <c r="C120" s="49" t="n"/>
      <c r="E120" s="49" t="n"/>
      <c r="F120" s="49" t="n"/>
      <c r="G120" s="49" t="n"/>
      <c r="H120" s="49" t="n"/>
      <c r="I120" s="49" t="n"/>
      <c r="J120" s="49" t="n"/>
      <c r="K120" s="49" t="n"/>
      <c r="L120" s="49" t="n"/>
      <c r="M120" s="49" t="n"/>
      <c r="N120" s="49" t="n"/>
    </row>
    <row r="121">
      <c r="B121" s="49" t="n"/>
      <c r="C121" s="49" t="n"/>
      <c r="E121" s="49" t="n"/>
      <c r="F121" s="49" t="n"/>
      <c r="G121" s="49" t="n"/>
      <c r="H121" s="49" t="n"/>
      <c r="I121" s="49" t="n"/>
      <c r="J121" s="49" t="n"/>
      <c r="K121" s="49" t="n"/>
      <c r="L121" s="49" t="n"/>
      <c r="M121" s="49" t="n"/>
      <c r="N121" s="49" t="n"/>
    </row>
    <row r="122">
      <c r="B122" s="49" t="n"/>
      <c r="C122" s="49" t="n"/>
      <c r="E122" s="49" t="n"/>
      <c r="F122" s="49" t="n"/>
      <c r="G122" s="49" t="n"/>
      <c r="H122" s="49" t="n"/>
      <c r="I122" s="49" t="n"/>
      <c r="J122" s="49" t="n"/>
      <c r="K122" s="49" t="n"/>
      <c r="L122" s="49" t="n"/>
      <c r="M122" s="49" t="n"/>
      <c r="N122" s="49" t="n"/>
    </row>
    <row r="123">
      <c r="B123" s="49" t="n"/>
      <c r="C123" s="49" t="n"/>
      <c r="E123" s="49" t="n"/>
      <c r="F123" s="49" t="n"/>
      <c r="G123" s="49" t="n"/>
      <c r="H123" s="49" t="n"/>
      <c r="I123" s="49" t="n"/>
      <c r="J123" s="49" t="n"/>
      <c r="K123" s="49" t="n"/>
      <c r="L123" s="49" t="n"/>
      <c r="M123" s="49" t="n"/>
      <c r="N123" s="49" t="n"/>
    </row>
    <row r="124">
      <c r="B124" s="49" t="n"/>
      <c r="C124" s="49" t="n"/>
      <c r="E124" s="49" t="n"/>
      <c r="F124" s="49" t="n"/>
      <c r="G124" s="49" t="n"/>
      <c r="H124" s="49" t="n"/>
      <c r="I124" s="49" t="n"/>
      <c r="J124" s="49" t="n"/>
      <c r="K124" s="49" t="n"/>
      <c r="L124" s="49" t="n"/>
      <c r="M124" s="49" t="n"/>
      <c r="N124" s="49" t="n"/>
    </row>
    <row r="125">
      <c r="B125" s="49" t="n"/>
      <c r="C125" s="49" t="n"/>
      <c r="E125" s="49" t="n"/>
      <c r="F125" s="49" t="n"/>
      <c r="G125" s="49" t="n"/>
      <c r="H125" s="49" t="n"/>
      <c r="I125" s="49" t="n"/>
      <c r="J125" s="49" t="n"/>
      <c r="K125" s="49" t="n"/>
      <c r="L125" s="49" t="n"/>
      <c r="M125" s="49" t="n"/>
      <c r="N125" s="49" t="n"/>
    </row>
    <row r="126">
      <c r="B126" s="49" t="n"/>
      <c r="C126" s="49" t="n"/>
      <c r="E126" s="49" t="n"/>
      <c r="F126" s="49" t="n"/>
      <c r="G126" s="49" t="n"/>
      <c r="H126" s="49" t="n"/>
      <c r="I126" s="49" t="n"/>
      <c r="J126" s="49" t="n"/>
      <c r="K126" s="49" t="n"/>
      <c r="L126" s="49" t="n"/>
      <c r="M126" s="49" t="n"/>
      <c r="N126" s="49" t="n"/>
    </row>
    <row r="127">
      <c r="B127" s="49" t="n"/>
      <c r="C127" s="49" t="n"/>
      <c r="E127" s="49" t="n"/>
      <c r="F127" s="49" t="n"/>
      <c r="G127" s="49" t="n"/>
      <c r="H127" s="49" t="n"/>
      <c r="I127" s="49" t="n"/>
      <c r="J127" s="49" t="n"/>
      <c r="K127" s="49" t="n"/>
      <c r="L127" s="49" t="n"/>
      <c r="M127" s="49" t="n"/>
      <c r="N127" s="49" t="n"/>
    </row>
    <row r="128">
      <c r="B128" s="49" t="n"/>
      <c r="C128" s="49" t="n"/>
      <c r="E128" s="49" t="n"/>
      <c r="F128" s="49" t="n"/>
      <c r="G128" s="49" t="n"/>
      <c r="H128" s="49" t="n"/>
      <c r="I128" s="49" t="n"/>
      <c r="J128" s="49" t="n"/>
      <c r="K128" s="49" t="n"/>
      <c r="L128" s="49" t="n"/>
      <c r="M128" s="49" t="n"/>
      <c r="N128" s="49" t="n"/>
    </row>
    <row r="129">
      <c r="B129" s="49" t="n"/>
      <c r="C129" s="49" t="n"/>
      <c r="E129" s="49" t="n"/>
      <c r="F129" s="49" t="n"/>
      <c r="G129" s="49" t="n"/>
      <c r="H129" s="49" t="n"/>
      <c r="I129" s="49" t="n"/>
      <c r="J129" s="49" t="n"/>
      <c r="K129" s="49" t="n"/>
      <c r="L129" s="49" t="n"/>
      <c r="M129" s="49" t="n"/>
      <c r="N129" s="49" t="n"/>
    </row>
    <row r="130">
      <c r="B130" s="49" t="n"/>
      <c r="C130" s="49" t="n"/>
      <c r="E130" s="49" t="n"/>
      <c r="F130" s="49" t="n"/>
      <c r="G130" s="49" t="n"/>
      <c r="H130" s="49" t="n"/>
      <c r="I130" s="49" t="n"/>
      <c r="J130" s="49" t="n"/>
      <c r="K130" s="49" t="n"/>
      <c r="L130" s="49" t="n"/>
      <c r="M130" s="49" t="n"/>
      <c r="N130" s="49" t="n"/>
    </row>
    <row r="131">
      <c r="B131" s="49" t="n"/>
      <c r="C131" s="49" t="n"/>
      <c r="E131" s="49" t="n"/>
      <c r="F131" s="49" t="n"/>
      <c r="G131" s="49" t="n"/>
      <c r="H131" s="49" t="n"/>
      <c r="I131" s="49" t="n"/>
      <c r="J131" s="49" t="n"/>
      <c r="K131" s="49" t="n"/>
      <c r="L131" s="49" t="n"/>
      <c r="M131" s="49" t="n"/>
      <c r="N131" s="49" t="n"/>
    </row>
    <row r="132">
      <c r="B132" s="49" t="n"/>
      <c r="C132" s="49" t="n"/>
      <c r="E132" s="49" t="n"/>
      <c r="F132" s="49" t="n"/>
      <c r="G132" s="49" t="n"/>
      <c r="H132" s="49" t="n"/>
      <c r="I132" s="49" t="n"/>
      <c r="J132" s="49" t="n"/>
      <c r="K132" s="49" t="n"/>
      <c r="L132" s="49" t="n"/>
      <c r="M132" s="49" t="n"/>
      <c r="N132" s="49" t="n"/>
    </row>
    <row r="133">
      <c r="B133" s="49" t="n"/>
      <c r="C133" s="49" t="n"/>
      <c r="E133" s="49" t="n"/>
      <c r="F133" s="49" t="n"/>
      <c r="G133" s="49" t="n"/>
      <c r="H133" s="49" t="n"/>
      <c r="I133" s="49" t="n"/>
      <c r="J133" s="49" t="n"/>
      <c r="K133" s="49" t="n"/>
      <c r="L133" s="49" t="n"/>
      <c r="M133" s="49" t="n"/>
      <c r="N133" s="49" t="n"/>
    </row>
    <row r="134">
      <c r="B134" s="49" t="n"/>
      <c r="C134" s="49" t="n"/>
      <c r="E134" s="49" t="n"/>
      <c r="F134" s="49" t="n"/>
      <c r="G134" s="49" t="n"/>
      <c r="H134" s="49" t="n"/>
      <c r="I134" s="49" t="n"/>
      <c r="J134" s="49" t="n"/>
      <c r="K134" s="49" t="n"/>
      <c r="L134" s="49" t="n"/>
      <c r="M134" s="49" t="n"/>
      <c r="N134" s="49" t="n"/>
    </row>
    <row r="135">
      <c r="B135" s="49" t="n"/>
      <c r="C135" s="49" t="n"/>
      <c r="E135" s="49" t="n"/>
      <c r="F135" s="49" t="n"/>
      <c r="G135" s="49" t="n"/>
      <c r="H135" s="49" t="n"/>
      <c r="I135" s="49" t="n"/>
      <c r="J135" s="49" t="n"/>
      <c r="K135" s="49" t="n"/>
      <c r="L135" s="49" t="n"/>
      <c r="M135" s="49" t="n"/>
      <c r="N135" s="49" t="n"/>
    </row>
    <row r="136">
      <c r="B136" s="49" t="n"/>
      <c r="C136" s="49" t="n"/>
      <c r="E136" s="49" t="n"/>
      <c r="F136" s="49" t="n"/>
      <c r="G136" s="49" t="n"/>
      <c r="H136" s="49" t="n"/>
      <c r="I136" s="49" t="n"/>
      <c r="J136" s="49" t="n"/>
      <c r="K136" s="49" t="n"/>
      <c r="L136" s="49" t="n"/>
      <c r="M136" s="49" t="n"/>
      <c r="N136" s="49" t="n"/>
    </row>
    <row r="137">
      <c r="B137" s="49" t="n"/>
      <c r="C137" s="49" t="n"/>
      <c r="E137" s="49" t="n"/>
      <c r="F137" s="49" t="n"/>
      <c r="G137" s="49" t="n"/>
      <c r="H137" s="49" t="n"/>
      <c r="I137" s="49" t="n"/>
      <c r="J137" s="49" t="n"/>
      <c r="K137" s="49" t="n"/>
      <c r="L137" s="49" t="n"/>
      <c r="M137" s="49" t="n"/>
      <c r="N137" s="49" t="n"/>
    </row>
    <row r="138">
      <c r="B138" s="49" t="n"/>
      <c r="C138" s="49" t="n"/>
      <c r="E138" s="49" t="n"/>
      <c r="F138" s="49" t="n"/>
      <c r="G138" s="49" t="n"/>
      <c r="H138" s="49" t="n"/>
      <c r="I138" s="49" t="n"/>
      <c r="J138" s="49" t="n"/>
      <c r="K138" s="49" t="n"/>
      <c r="L138" s="49" t="n"/>
      <c r="M138" s="49" t="n"/>
      <c r="N138" s="49" t="n"/>
    </row>
    <row r="139">
      <c r="B139" s="49" t="n"/>
      <c r="C139" s="49" t="n"/>
      <c r="E139" s="49" t="n"/>
      <c r="F139" s="49" t="n"/>
      <c r="G139" s="49" t="n"/>
      <c r="H139" s="49" t="n"/>
      <c r="I139" s="49" t="n"/>
      <c r="J139" s="49" t="n"/>
      <c r="K139" s="49" t="n"/>
      <c r="L139" s="49" t="n"/>
      <c r="M139" s="49" t="n"/>
      <c r="N139" s="49" t="n"/>
    </row>
    <row r="140">
      <c r="B140" s="49" t="n"/>
      <c r="C140" s="49" t="n"/>
      <c r="E140" s="49" t="n"/>
      <c r="F140" s="49" t="n"/>
      <c r="G140" s="49" t="n"/>
      <c r="H140" s="49" t="n"/>
      <c r="I140" s="49" t="n"/>
      <c r="J140" s="49" t="n"/>
      <c r="K140" s="49" t="n"/>
      <c r="L140" s="49" t="n"/>
      <c r="M140" s="49" t="n"/>
      <c r="N140" s="49" t="n"/>
    </row>
    <row r="141">
      <c r="B141" s="49" t="n"/>
      <c r="C141" s="49" t="n"/>
      <c r="E141" s="49" t="n"/>
      <c r="F141" s="49" t="n"/>
      <c r="G141" s="49" t="n"/>
      <c r="H141" s="49" t="n"/>
      <c r="I141" s="49" t="n"/>
      <c r="J141" s="49" t="n"/>
      <c r="K141" s="49" t="n"/>
      <c r="L141" s="49" t="n"/>
      <c r="M141" s="49" t="n"/>
      <c r="N141" s="49" t="n"/>
    </row>
    <row r="142">
      <c r="B142" s="49" t="n"/>
      <c r="C142" s="49" t="n"/>
      <c r="E142" s="49" t="n"/>
      <c r="F142" s="49" t="n"/>
      <c r="G142" s="49" t="n"/>
      <c r="H142" s="49" t="n"/>
      <c r="I142" s="49" t="n"/>
      <c r="J142" s="49" t="n"/>
      <c r="K142" s="49" t="n"/>
      <c r="L142" s="49" t="n"/>
      <c r="M142" s="49" t="n"/>
      <c r="N142" s="49" t="n"/>
    </row>
    <row r="143">
      <c r="B143" s="49" t="n"/>
      <c r="C143" s="49" t="n"/>
      <c r="E143" s="49" t="n"/>
      <c r="F143" s="49" t="n"/>
      <c r="G143" s="49" t="n"/>
      <c r="H143" s="49" t="n"/>
      <c r="I143" s="49" t="n"/>
      <c r="J143" s="49" t="n"/>
      <c r="K143" s="49" t="n"/>
      <c r="L143" s="49" t="n"/>
      <c r="M143" s="49" t="n"/>
      <c r="N143" s="49" t="n"/>
    </row>
    <row r="144">
      <c r="B144" s="49" t="n"/>
      <c r="C144" s="49" t="n"/>
      <c r="E144" s="49" t="n"/>
      <c r="F144" s="49" t="n"/>
      <c r="G144" s="49" t="n"/>
      <c r="H144" s="49" t="n"/>
      <c r="I144" s="49" t="n"/>
      <c r="J144" s="49" t="n"/>
      <c r="K144" s="49" t="n"/>
      <c r="L144" s="49" t="n"/>
      <c r="M144" s="49" t="n"/>
      <c r="N144" s="49" t="n"/>
    </row>
    <row r="145">
      <c r="B145" s="49" t="n"/>
      <c r="C145" s="49" t="n"/>
      <c r="E145" s="49" t="n"/>
      <c r="F145" s="49" t="n"/>
      <c r="G145" s="49" t="n"/>
      <c r="H145" s="49" t="n"/>
      <c r="I145" s="49" t="n"/>
      <c r="J145" s="49" t="n"/>
      <c r="K145" s="49" t="n"/>
      <c r="L145" s="49" t="n"/>
      <c r="M145" s="49" t="n"/>
      <c r="N145" s="49" t="n"/>
    </row>
    <row r="146">
      <c r="B146" s="49" t="n"/>
      <c r="C146" s="49" t="n"/>
      <c r="E146" s="49" t="n"/>
      <c r="F146" s="49" t="n"/>
      <c r="G146" s="49" t="n"/>
      <c r="H146" s="49" t="n"/>
      <c r="I146" s="49" t="n"/>
      <c r="J146" s="49" t="n"/>
      <c r="K146" s="49" t="n"/>
      <c r="L146" s="49" t="n"/>
      <c r="M146" s="49" t="n"/>
      <c r="N146" s="49" t="n"/>
    </row>
    <row r="147">
      <c r="B147" s="49" t="n"/>
      <c r="C147" s="49" t="n"/>
      <c r="E147" s="49" t="n"/>
      <c r="F147" s="49" t="n"/>
      <c r="G147" s="49" t="n"/>
      <c r="H147" s="49" t="n"/>
      <c r="I147" s="49" t="n"/>
      <c r="J147" s="49" t="n"/>
      <c r="K147" s="49" t="n"/>
      <c r="L147" s="49" t="n"/>
      <c r="M147" s="49" t="n"/>
      <c r="N147" s="49" t="n"/>
    </row>
    <row r="148">
      <c r="B148" s="49" t="n"/>
      <c r="C148" s="49" t="n"/>
      <c r="E148" s="49" t="n"/>
      <c r="F148" s="49" t="n"/>
      <c r="G148" s="49" t="n"/>
      <c r="H148" s="49" t="n"/>
      <c r="I148" s="49" t="n"/>
      <c r="J148" s="49" t="n"/>
      <c r="K148" s="49" t="n"/>
      <c r="L148" s="49" t="n"/>
      <c r="M148" s="49" t="n"/>
      <c r="N148" s="49" t="n"/>
    </row>
    <row r="149">
      <c r="B149" s="49" t="n"/>
      <c r="C149" s="49" t="n"/>
      <c r="E149" s="49" t="n"/>
      <c r="F149" s="49" t="n"/>
      <c r="G149" s="49" t="n"/>
      <c r="H149" s="49" t="n"/>
      <c r="I149" s="49" t="n"/>
      <c r="J149" s="49" t="n"/>
      <c r="K149" s="49" t="n"/>
      <c r="L149" s="49" t="n"/>
      <c r="M149" s="49" t="n"/>
      <c r="N149" s="49" t="n"/>
    </row>
    <row r="150">
      <c r="B150" s="49" t="n"/>
      <c r="C150" s="49" t="n"/>
      <c r="E150" s="49" t="n"/>
      <c r="F150" s="49" t="n"/>
      <c r="G150" s="49" t="n"/>
      <c r="H150" s="49" t="n"/>
      <c r="I150" s="49" t="n"/>
      <c r="J150" s="49" t="n"/>
      <c r="K150" s="49" t="n"/>
      <c r="L150" s="49" t="n"/>
      <c r="M150" s="49" t="n"/>
      <c r="N150" s="49" t="n"/>
    </row>
    <row r="151">
      <c r="B151" s="49" t="n"/>
      <c r="C151" s="49" t="n"/>
      <c r="E151" s="49" t="n"/>
      <c r="F151" s="49" t="n"/>
      <c r="G151" s="49" t="n"/>
      <c r="H151" s="49" t="n"/>
      <c r="I151" s="49" t="n"/>
      <c r="J151" s="49" t="n"/>
      <c r="K151" s="49" t="n"/>
      <c r="L151" s="49" t="n"/>
      <c r="M151" s="49" t="n"/>
      <c r="N151" s="49" t="n"/>
    </row>
    <row r="152">
      <c r="B152" s="49" t="n"/>
      <c r="C152" s="49" t="n"/>
      <c r="E152" s="49" t="n"/>
      <c r="F152" s="49" t="n"/>
      <c r="G152" s="49" t="n"/>
      <c r="H152" s="49" t="n"/>
      <c r="I152" s="49" t="n"/>
      <c r="J152" s="49" t="n"/>
      <c r="K152" s="49" t="n"/>
      <c r="L152" s="49" t="n"/>
      <c r="M152" s="49" t="n"/>
      <c r="N152" s="49" t="n"/>
    </row>
    <row r="153">
      <c r="B153" s="49" t="n"/>
      <c r="C153" s="49" t="n"/>
      <c r="E153" s="49" t="n"/>
      <c r="F153" s="49" t="n"/>
      <c r="G153" s="49" t="n"/>
      <c r="H153" s="49" t="n"/>
      <c r="I153" s="49" t="n"/>
      <c r="J153" s="49" t="n"/>
      <c r="K153" s="49" t="n"/>
      <c r="L153" s="49" t="n"/>
      <c r="M153" s="49" t="n"/>
      <c r="N153" s="49" t="n"/>
    </row>
    <row r="154">
      <c r="B154" s="49" t="n"/>
      <c r="C154" s="49" t="n"/>
      <c r="E154" s="49" t="n"/>
      <c r="F154" s="49" t="n"/>
      <c r="G154" s="49" t="n"/>
      <c r="H154" s="49" t="n"/>
      <c r="I154" s="49" t="n"/>
      <c r="J154" s="49" t="n"/>
      <c r="K154" s="49" t="n"/>
      <c r="L154" s="49" t="n"/>
      <c r="M154" s="49" t="n"/>
      <c r="N154" s="49" t="n"/>
    </row>
    <row r="155">
      <c r="B155" s="49" t="n"/>
      <c r="C155" s="49" t="n"/>
      <c r="E155" s="49" t="n"/>
      <c r="F155" s="49" t="n"/>
      <c r="G155" s="49" t="n"/>
      <c r="H155" s="49" t="n"/>
      <c r="I155" s="49" t="n"/>
      <c r="J155" s="49" t="n"/>
      <c r="K155" s="49" t="n"/>
      <c r="L155" s="49" t="n"/>
      <c r="M155" s="49" t="n"/>
      <c r="N155" s="49" t="n"/>
    </row>
    <row r="156">
      <c r="B156" s="49" t="n"/>
      <c r="C156" s="49" t="n"/>
      <c r="E156" s="49" t="n"/>
      <c r="F156" s="49" t="n"/>
      <c r="G156" s="49" t="n"/>
      <c r="H156" s="49" t="n"/>
      <c r="I156" s="49" t="n"/>
      <c r="J156" s="49" t="n"/>
      <c r="K156" s="49" t="n"/>
      <c r="L156" s="49" t="n"/>
      <c r="M156" s="49" t="n"/>
      <c r="N156" s="49" t="n"/>
    </row>
    <row r="157">
      <c r="B157" s="49" t="n"/>
      <c r="C157" s="49" t="n"/>
      <c r="E157" s="49" t="n"/>
      <c r="F157" s="49" t="n"/>
      <c r="G157" s="49" t="n"/>
      <c r="H157" s="49" t="n"/>
      <c r="I157" s="49" t="n"/>
      <c r="J157" s="49" t="n"/>
      <c r="K157" s="49" t="n"/>
      <c r="L157" s="49" t="n"/>
      <c r="M157" s="49" t="n"/>
      <c r="N157" s="49" t="n"/>
    </row>
    <row r="158">
      <c r="B158" s="49" t="n"/>
      <c r="C158" s="49" t="n"/>
      <c r="E158" s="49" t="n"/>
      <c r="F158" s="49" t="n"/>
      <c r="G158" s="49" t="n"/>
      <c r="H158" s="49" t="n"/>
      <c r="I158" s="49" t="n"/>
      <c r="J158" s="49" t="n"/>
      <c r="K158" s="49" t="n"/>
      <c r="L158" s="49" t="n"/>
      <c r="M158" s="49" t="n"/>
      <c r="N158" s="49" t="n"/>
    </row>
    <row r="159">
      <c r="B159" s="49" t="n"/>
      <c r="C159" s="49" t="n"/>
      <c r="E159" s="49" t="n"/>
      <c r="F159" s="49" t="n"/>
      <c r="G159" s="49" t="n"/>
      <c r="H159" s="49" t="n"/>
      <c r="I159" s="49" t="n"/>
      <c r="J159" s="49" t="n"/>
      <c r="K159" s="49" t="n"/>
      <c r="L159" s="49" t="n"/>
      <c r="M159" s="49" t="n"/>
      <c r="N159" s="49" t="n"/>
    </row>
    <row r="160">
      <c r="B160" s="49" t="n"/>
      <c r="C160" s="49" t="n"/>
      <c r="E160" s="49" t="n"/>
      <c r="F160" s="49" t="n"/>
      <c r="G160" s="49" t="n"/>
      <c r="H160" s="49" t="n"/>
      <c r="I160" s="49" t="n"/>
      <c r="J160" s="49" t="n"/>
      <c r="K160" s="49" t="n"/>
      <c r="L160" s="49" t="n"/>
      <c r="M160" s="49" t="n"/>
      <c r="N160" s="49" t="n"/>
    </row>
    <row r="161">
      <c r="B161" s="49" t="n"/>
      <c r="C161" s="49" t="n"/>
      <c r="E161" s="49" t="n"/>
      <c r="F161" s="49" t="n"/>
      <c r="G161" s="49" t="n"/>
      <c r="H161" s="49" t="n"/>
      <c r="I161" s="49" t="n"/>
      <c r="J161" s="49" t="n"/>
      <c r="K161" s="49" t="n"/>
      <c r="L161" s="49" t="n"/>
      <c r="M161" s="49" t="n"/>
      <c r="N161" s="49" t="n"/>
    </row>
    <row r="162">
      <c r="B162" s="49" t="n"/>
      <c r="C162" s="49" t="n"/>
      <c r="E162" s="49" t="n"/>
      <c r="F162" s="49" t="n"/>
      <c r="G162" s="49" t="n"/>
      <c r="H162" s="49" t="n"/>
      <c r="I162" s="49" t="n"/>
      <c r="J162" s="49" t="n"/>
      <c r="K162" s="49" t="n"/>
      <c r="L162" s="49" t="n"/>
      <c r="M162" s="49" t="n"/>
      <c r="N162" s="49" t="n"/>
    </row>
    <row r="163">
      <c r="B163" s="49" t="n"/>
      <c r="C163" s="49" t="n"/>
      <c r="E163" s="49" t="n"/>
      <c r="F163" s="49" t="n"/>
      <c r="G163" s="49" t="n"/>
      <c r="H163" s="49" t="n"/>
      <c r="I163" s="49" t="n"/>
      <c r="J163" s="49" t="n"/>
      <c r="K163" s="49" t="n"/>
      <c r="L163" s="49" t="n"/>
      <c r="M163" s="49" t="n"/>
      <c r="N163" s="49" t="n"/>
    </row>
    <row r="164">
      <c r="B164" s="49" t="n"/>
      <c r="C164" s="49" t="n"/>
      <c r="E164" s="49" t="n"/>
      <c r="F164" s="49" t="n"/>
      <c r="G164" s="49" t="n"/>
      <c r="H164" s="49" t="n"/>
      <c r="I164" s="49" t="n"/>
      <c r="J164" s="49" t="n"/>
      <c r="K164" s="49" t="n"/>
      <c r="L164" s="49" t="n"/>
      <c r="M164" s="49" t="n"/>
      <c r="N164" s="49" t="n"/>
    </row>
    <row r="165">
      <c r="B165" s="49" t="n"/>
      <c r="C165" s="49" t="n"/>
      <c r="E165" s="49" t="n"/>
      <c r="F165" s="49" t="n"/>
      <c r="G165" s="49" t="n"/>
      <c r="H165" s="49" t="n"/>
      <c r="I165" s="49" t="n"/>
      <c r="J165" s="49" t="n"/>
      <c r="K165" s="49" t="n"/>
      <c r="L165" s="49" t="n"/>
      <c r="M165" s="49" t="n"/>
      <c r="N165" s="49" t="n"/>
    </row>
    <row r="166">
      <c r="B166" s="49" t="n"/>
      <c r="C166" s="49" t="n"/>
      <c r="E166" s="49" t="n"/>
      <c r="F166" s="49" t="n"/>
      <c r="G166" s="49" t="n"/>
      <c r="H166" s="49" t="n"/>
      <c r="I166" s="49" t="n"/>
      <c r="J166" s="49" t="n"/>
      <c r="K166" s="49" t="n"/>
      <c r="L166" s="49" t="n"/>
      <c r="M166" s="49" t="n"/>
      <c r="N166" s="49" t="n"/>
    </row>
    <row r="167">
      <c r="B167" s="49" t="n"/>
      <c r="C167" s="49" t="n"/>
      <c r="E167" s="49" t="n"/>
      <c r="F167" s="49" t="n"/>
      <c r="G167" s="49" t="n"/>
      <c r="H167" s="49" t="n"/>
      <c r="I167" s="49" t="n"/>
      <c r="J167" s="49" t="n"/>
      <c r="K167" s="49" t="n"/>
      <c r="L167" s="49" t="n"/>
      <c r="M167" s="49" t="n"/>
      <c r="N167" s="49" t="n"/>
    </row>
    <row r="168">
      <c r="B168" s="49" t="n"/>
      <c r="C168" s="49" t="n"/>
      <c r="E168" s="49" t="n"/>
      <c r="F168" s="49" t="n"/>
      <c r="G168" s="49" t="n"/>
      <c r="H168" s="49" t="n"/>
      <c r="I168" s="49" t="n"/>
      <c r="J168" s="49" t="n"/>
      <c r="K168" s="49" t="n"/>
      <c r="L168" s="49" t="n"/>
      <c r="M168" s="49" t="n"/>
      <c r="N168" s="49" t="n"/>
    </row>
    <row r="169">
      <c r="B169" s="49" t="n"/>
      <c r="C169" s="49" t="n"/>
      <c r="E169" s="49" t="n"/>
      <c r="F169" s="49" t="n"/>
      <c r="G169" s="49" t="n"/>
      <c r="H169" s="49" t="n"/>
      <c r="I169" s="49" t="n"/>
      <c r="J169" s="49" t="n"/>
      <c r="K169" s="49" t="n"/>
      <c r="L169" s="49" t="n"/>
      <c r="M169" s="49" t="n"/>
      <c r="N169" s="49" t="n"/>
    </row>
    <row r="170">
      <c r="B170" s="49" t="n"/>
      <c r="C170" s="49" t="n"/>
      <c r="E170" s="49" t="n"/>
      <c r="F170" s="49" t="n"/>
      <c r="G170" s="49" t="n"/>
      <c r="H170" s="49" t="n"/>
      <c r="I170" s="49" t="n"/>
      <c r="J170" s="49" t="n"/>
      <c r="K170" s="49" t="n"/>
      <c r="L170" s="49" t="n"/>
      <c r="M170" s="49" t="n"/>
      <c r="N170" s="49" t="n"/>
    </row>
    <row r="171">
      <c r="B171" s="49" t="n"/>
      <c r="C171" s="49" t="n"/>
      <c r="E171" s="49" t="n"/>
      <c r="F171" s="49" t="n"/>
      <c r="G171" s="49" t="n"/>
      <c r="H171" s="49" t="n"/>
      <c r="I171" s="49" t="n"/>
      <c r="J171" s="49" t="n"/>
      <c r="K171" s="49" t="n"/>
      <c r="L171" s="49" t="n"/>
      <c r="M171" s="49" t="n"/>
      <c r="N171" s="49" t="n"/>
    </row>
    <row r="172">
      <c r="B172" s="49" t="n"/>
      <c r="C172" s="49" t="n"/>
      <c r="E172" s="49" t="n"/>
      <c r="F172" s="49" t="n"/>
      <c r="G172" s="49" t="n"/>
      <c r="H172" s="49" t="n"/>
      <c r="I172" s="49" t="n"/>
      <c r="J172" s="49" t="n"/>
      <c r="K172" s="49" t="n"/>
      <c r="L172" s="49" t="n"/>
      <c r="M172" s="49" t="n"/>
      <c r="N172" s="49" t="n"/>
    </row>
    <row r="173">
      <c r="B173" s="49" t="n"/>
      <c r="C173" s="49" t="n"/>
      <c r="E173" s="49" t="n"/>
      <c r="F173" s="49" t="n"/>
      <c r="G173" s="49" t="n"/>
      <c r="H173" s="49" t="n"/>
      <c r="I173" s="49" t="n"/>
      <c r="J173" s="49" t="n"/>
      <c r="K173" s="49" t="n"/>
      <c r="L173" s="49" t="n"/>
      <c r="M173" s="49" t="n"/>
      <c r="N173" s="49" t="n"/>
    </row>
    <row r="174">
      <c r="B174" s="49" t="n"/>
      <c r="C174" s="49" t="n"/>
      <c r="E174" s="49" t="n"/>
      <c r="F174" s="49" t="n"/>
      <c r="G174" s="49" t="n"/>
      <c r="H174" s="49" t="n"/>
      <c r="I174" s="49" t="n"/>
      <c r="J174" s="49" t="n"/>
      <c r="K174" s="49" t="n"/>
      <c r="L174" s="49" t="n"/>
      <c r="M174" s="49" t="n"/>
      <c r="N174" s="49" t="n"/>
    </row>
    <row r="175">
      <c r="B175" s="49" t="n"/>
      <c r="C175" s="49" t="n"/>
      <c r="E175" s="49" t="n"/>
      <c r="F175" s="49" t="n"/>
      <c r="G175" s="49" t="n"/>
      <c r="H175" s="49" t="n"/>
      <c r="I175" s="49" t="n"/>
      <c r="J175" s="49" t="n"/>
      <c r="K175" s="49" t="n"/>
      <c r="L175" s="49" t="n"/>
      <c r="M175" s="49" t="n"/>
      <c r="N175" s="49" t="n"/>
    </row>
    <row r="176">
      <c r="B176" s="49" t="n"/>
      <c r="C176" s="49" t="n"/>
      <c r="E176" s="49" t="n"/>
      <c r="F176" s="49" t="n"/>
      <c r="G176" s="49" t="n"/>
      <c r="H176" s="49" t="n"/>
      <c r="I176" s="49" t="n"/>
      <c r="J176" s="49" t="n"/>
      <c r="K176" s="49" t="n"/>
      <c r="L176" s="49" t="n"/>
      <c r="M176" s="49" t="n"/>
      <c r="N176" s="49" t="n"/>
    </row>
    <row r="177">
      <c r="B177" s="49" t="n"/>
      <c r="C177" s="49" t="n"/>
      <c r="E177" s="49" t="n"/>
      <c r="F177" s="49" t="n"/>
      <c r="G177" s="49" t="n"/>
      <c r="H177" s="49" t="n"/>
      <c r="I177" s="49" t="n"/>
      <c r="J177" s="49" t="n"/>
      <c r="K177" s="49" t="n"/>
      <c r="L177" s="49" t="n"/>
      <c r="M177" s="49" t="n"/>
      <c r="N177" s="49" t="n"/>
    </row>
    <row r="178">
      <c r="B178" s="49" t="n"/>
      <c r="C178" s="49" t="n"/>
      <c r="E178" s="49" t="n"/>
      <c r="F178" s="49" t="n"/>
      <c r="G178" s="49" t="n"/>
      <c r="H178" s="49" t="n"/>
      <c r="I178" s="49" t="n"/>
      <c r="J178" s="49" t="n"/>
      <c r="K178" s="49" t="n"/>
      <c r="L178" s="49" t="n"/>
      <c r="M178" s="49" t="n"/>
      <c r="N178" s="49" t="n"/>
    </row>
    <row r="179">
      <c r="B179" s="49" t="n"/>
      <c r="C179" s="49" t="n"/>
      <c r="E179" s="49" t="n"/>
      <c r="F179" s="49" t="n"/>
      <c r="G179" s="49" t="n"/>
      <c r="H179" s="49" t="n"/>
      <c r="I179" s="49" t="n"/>
      <c r="J179" s="49" t="n"/>
      <c r="K179" s="49" t="n"/>
      <c r="L179" s="49" t="n"/>
      <c r="M179" s="49" t="n"/>
      <c r="N179" s="49" t="n"/>
    </row>
    <row r="180">
      <c r="B180" s="49" t="n"/>
      <c r="C180" s="49" t="n"/>
      <c r="E180" s="49" t="n"/>
      <c r="F180" s="49" t="n"/>
      <c r="G180" s="49" t="n"/>
      <c r="H180" s="49" t="n"/>
      <c r="I180" s="49" t="n"/>
      <c r="J180" s="49" t="n"/>
      <c r="K180" s="49" t="n"/>
      <c r="L180" s="49" t="n"/>
      <c r="M180" s="49" t="n"/>
      <c r="N180" s="49" t="n"/>
    </row>
    <row r="181">
      <c r="B181" s="49" t="n"/>
      <c r="C181" s="49" t="n"/>
      <c r="E181" s="49" t="n"/>
      <c r="F181" s="49" t="n"/>
      <c r="G181" s="49" t="n"/>
      <c r="H181" s="49" t="n"/>
      <c r="I181" s="49" t="n"/>
      <c r="J181" s="49" t="n"/>
      <c r="K181" s="49" t="n"/>
      <c r="L181" s="49" t="n"/>
      <c r="M181" s="49" t="n"/>
      <c r="N181" s="49" t="n"/>
    </row>
    <row r="182">
      <c r="B182" s="49" t="n"/>
      <c r="C182" s="49" t="n"/>
      <c r="E182" s="49" t="n"/>
      <c r="F182" s="49" t="n"/>
      <c r="G182" s="49" t="n"/>
      <c r="H182" s="49" t="n"/>
      <c r="I182" s="49" t="n"/>
      <c r="J182" s="49" t="n"/>
      <c r="K182" s="49" t="n"/>
      <c r="L182" s="49" t="n"/>
      <c r="M182" s="49" t="n"/>
      <c r="N182" s="49" t="n"/>
    </row>
    <row r="183">
      <c r="B183" s="49" t="n"/>
      <c r="C183" s="49" t="n"/>
      <c r="E183" s="49" t="n"/>
      <c r="F183" s="49" t="n"/>
      <c r="G183" s="49" t="n"/>
      <c r="H183" s="49" t="n"/>
      <c r="I183" s="49" t="n"/>
      <c r="J183" s="49" t="n"/>
      <c r="K183" s="49" t="n"/>
      <c r="L183" s="49" t="n"/>
      <c r="M183" s="49" t="n"/>
      <c r="N183" s="49" t="n"/>
    </row>
    <row r="184">
      <c r="B184" s="49" t="n"/>
      <c r="C184" s="49" t="n"/>
      <c r="E184" s="49" t="n"/>
      <c r="F184" s="49" t="n"/>
      <c r="G184" s="49" t="n"/>
      <c r="H184" s="49" t="n"/>
      <c r="I184" s="49" t="n"/>
      <c r="J184" s="49" t="n"/>
      <c r="K184" s="49" t="n"/>
      <c r="L184" s="49" t="n"/>
      <c r="M184" s="49" t="n"/>
      <c r="N184" s="49" t="n"/>
    </row>
    <row r="185">
      <c r="B185" s="49" t="n"/>
      <c r="C185" s="49" t="n"/>
      <c r="E185" s="49" t="n"/>
      <c r="F185" s="49" t="n"/>
      <c r="G185" s="49" t="n"/>
      <c r="H185" s="49" t="n"/>
      <c r="I185" s="49" t="n"/>
      <c r="J185" s="49" t="n"/>
      <c r="K185" s="49" t="n"/>
      <c r="L185" s="49" t="n"/>
      <c r="M185" s="49" t="n"/>
      <c r="N185" s="49" t="n"/>
    </row>
    <row r="186">
      <c r="B186" s="49" t="n"/>
      <c r="C186" s="49" t="n"/>
      <c r="E186" s="49" t="n"/>
      <c r="F186" s="49" t="n"/>
      <c r="G186" s="49" t="n"/>
      <c r="H186" s="49" t="n"/>
      <c r="I186" s="49" t="n"/>
      <c r="J186" s="49" t="n"/>
      <c r="K186" s="49" t="n"/>
      <c r="L186" s="49" t="n"/>
      <c r="M186" s="49" t="n"/>
      <c r="N186" s="49" t="n"/>
    </row>
    <row r="187">
      <c r="B187" s="49" t="n"/>
      <c r="C187" s="49" t="n"/>
      <c r="E187" s="49" t="n"/>
      <c r="F187" s="49" t="n"/>
      <c r="G187" s="49" t="n"/>
      <c r="H187" s="49" t="n"/>
      <c r="I187" s="49" t="n"/>
      <c r="J187" s="49" t="n"/>
      <c r="K187" s="49" t="n"/>
      <c r="L187" s="49" t="n"/>
      <c r="M187" s="49" t="n"/>
      <c r="N187" s="49" t="n"/>
    </row>
    <row r="188">
      <c r="B188" s="49" t="n"/>
      <c r="C188" s="49" t="n"/>
      <c r="E188" s="49" t="n"/>
      <c r="F188" s="49" t="n"/>
      <c r="G188" s="49" t="n"/>
      <c r="H188" s="49" t="n"/>
      <c r="I188" s="49" t="n"/>
      <c r="J188" s="49" t="n"/>
      <c r="K188" s="49" t="n"/>
      <c r="L188" s="49" t="n"/>
      <c r="M188" s="49" t="n"/>
      <c r="N188" s="49" t="n"/>
    </row>
    <row r="189">
      <c r="B189" s="49" t="n"/>
      <c r="C189" s="49" t="n"/>
      <c r="E189" s="49" t="n"/>
      <c r="F189" s="49" t="n"/>
      <c r="G189" s="49" t="n"/>
      <c r="H189" s="49" t="n"/>
      <c r="I189" s="49" t="n"/>
      <c r="J189" s="49" t="n"/>
      <c r="K189" s="49" t="n"/>
      <c r="L189" s="49" t="n"/>
      <c r="M189" s="49" t="n"/>
      <c r="N189" s="49" t="n"/>
    </row>
    <row r="190">
      <c r="B190" s="49" t="n"/>
      <c r="C190" s="49" t="n"/>
      <c r="E190" s="49" t="n"/>
      <c r="F190" s="49" t="n"/>
      <c r="G190" s="49" t="n"/>
      <c r="H190" s="49" t="n"/>
      <c r="I190" s="49" t="n"/>
      <c r="J190" s="49" t="n"/>
      <c r="K190" s="49" t="n"/>
      <c r="L190" s="49" t="n"/>
      <c r="M190" s="49" t="n"/>
      <c r="N190" s="49" t="n"/>
    </row>
    <row r="191">
      <c r="B191" s="49" t="n"/>
      <c r="C191" s="49" t="n"/>
      <c r="E191" s="49" t="n"/>
      <c r="F191" s="49" t="n"/>
      <c r="G191" s="49" t="n"/>
      <c r="H191" s="49" t="n"/>
      <c r="I191" s="49" t="n"/>
      <c r="J191" s="49" t="n"/>
      <c r="K191" s="49" t="n"/>
      <c r="L191" s="49" t="n"/>
      <c r="M191" s="49" t="n"/>
      <c r="N191" s="49" t="n"/>
    </row>
    <row r="192">
      <c r="B192" s="49" t="n"/>
      <c r="C192" s="49" t="n"/>
      <c r="E192" s="49" t="n"/>
      <c r="F192" s="49" t="n"/>
      <c r="G192" s="49" t="n"/>
      <c r="H192" s="49" t="n"/>
      <c r="I192" s="49" t="n"/>
      <c r="J192" s="49" t="n"/>
      <c r="K192" s="49" t="n"/>
      <c r="L192" s="49" t="n"/>
      <c r="M192" s="49" t="n"/>
      <c r="N192" s="49" t="n"/>
    </row>
    <row r="193">
      <c r="B193" s="49" t="n"/>
      <c r="C193" s="49" t="n"/>
      <c r="E193" s="49" t="n"/>
      <c r="F193" s="49" t="n"/>
      <c r="G193" s="49" t="n"/>
      <c r="H193" s="49" t="n"/>
      <c r="I193" s="49" t="n"/>
      <c r="J193" s="49" t="n"/>
      <c r="K193" s="49" t="n"/>
      <c r="L193" s="49" t="n"/>
      <c r="M193" s="49" t="n"/>
      <c r="N193" s="49" t="n"/>
    </row>
    <row r="194">
      <c r="B194" s="49" t="n"/>
      <c r="C194" s="49" t="n"/>
      <c r="E194" s="49" t="n"/>
      <c r="F194" s="49" t="n"/>
      <c r="G194" s="49" t="n"/>
      <c r="H194" s="49" t="n"/>
      <c r="I194" s="49" t="n"/>
      <c r="J194" s="49" t="n"/>
      <c r="K194" s="49" t="n"/>
      <c r="L194" s="49" t="n"/>
      <c r="M194" s="49" t="n"/>
      <c r="N194" s="49" t="n"/>
    </row>
    <row r="195">
      <c r="B195" s="49" t="n"/>
      <c r="C195" s="49" t="n"/>
      <c r="E195" s="49" t="n"/>
      <c r="F195" s="49" t="n"/>
      <c r="G195" s="49" t="n"/>
      <c r="H195" s="49" t="n"/>
      <c r="I195" s="49" t="n"/>
      <c r="J195" s="49" t="n"/>
      <c r="K195" s="49" t="n"/>
      <c r="L195" s="49" t="n"/>
      <c r="M195" s="49" t="n"/>
      <c r="N195" s="49" t="n"/>
    </row>
    <row r="196">
      <c r="B196" s="49" t="n"/>
      <c r="C196" s="49" t="n"/>
      <c r="E196" s="49" t="n"/>
      <c r="F196" s="49" t="n"/>
      <c r="G196" s="49" t="n"/>
      <c r="H196" s="49" t="n"/>
      <c r="I196" s="49" t="n"/>
      <c r="J196" s="49" t="n"/>
      <c r="K196" s="49" t="n"/>
      <c r="L196" s="49" t="n"/>
      <c r="M196" s="49" t="n"/>
      <c r="N196" s="49" t="n"/>
    </row>
    <row r="197">
      <c r="B197" s="49" t="n"/>
      <c r="C197" s="49" t="n"/>
      <c r="E197" s="49" t="n"/>
      <c r="F197" s="49" t="n"/>
      <c r="G197" s="49" t="n"/>
      <c r="H197" s="49" t="n"/>
      <c r="I197" s="49" t="n"/>
      <c r="J197" s="49" t="n"/>
      <c r="K197" s="49" t="n"/>
      <c r="L197" s="49" t="n"/>
      <c r="M197" s="49" t="n"/>
      <c r="N197" s="49" t="n"/>
    </row>
    <row r="198">
      <c r="B198" s="49" t="n"/>
      <c r="C198" s="49" t="n"/>
      <c r="E198" s="49" t="n"/>
      <c r="F198" s="49" t="n"/>
      <c r="G198" s="49" t="n"/>
      <c r="H198" s="49" t="n"/>
      <c r="I198" s="49" t="n"/>
      <c r="J198" s="49" t="n"/>
      <c r="K198" s="49" t="n"/>
      <c r="L198" s="49" t="n"/>
      <c r="M198" s="49" t="n"/>
      <c r="N198" s="49" t="n"/>
    </row>
    <row r="199">
      <c r="B199" s="49" t="n"/>
      <c r="C199" s="49" t="n"/>
      <c r="E199" s="49" t="n"/>
      <c r="F199" s="49" t="n"/>
      <c r="G199" s="49" t="n"/>
      <c r="H199" s="49" t="n"/>
      <c r="I199" s="49" t="n"/>
      <c r="J199" s="49" t="n"/>
      <c r="K199" s="49" t="n"/>
      <c r="L199" s="49" t="n"/>
      <c r="M199" s="49" t="n"/>
      <c r="N199" s="49" t="n"/>
    </row>
    <row r="200">
      <c r="B200" s="49" t="n"/>
      <c r="C200" s="49" t="n"/>
      <c r="E200" s="49" t="n"/>
      <c r="F200" s="49" t="n"/>
      <c r="G200" s="49" t="n"/>
      <c r="H200" s="49" t="n"/>
      <c r="I200" s="49" t="n"/>
      <c r="J200" s="49" t="n"/>
      <c r="K200" s="49" t="n"/>
      <c r="L200" s="49" t="n"/>
      <c r="M200" s="49" t="n"/>
      <c r="N200" s="49" t="n"/>
    </row>
    <row r="201">
      <c r="B201" s="49" t="n"/>
      <c r="C201" s="49" t="n"/>
      <c r="E201" s="49" t="n"/>
      <c r="F201" s="49" t="n"/>
      <c r="G201" s="49" t="n"/>
      <c r="H201" s="49" t="n"/>
      <c r="I201" s="49" t="n"/>
      <c r="J201" s="49" t="n"/>
      <c r="K201" s="49" t="n"/>
      <c r="L201" s="49" t="n"/>
      <c r="M201" s="49" t="n"/>
      <c r="N201" s="49" t="n"/>
    </row>
    <row r="202">
      <c r="B202" s="49" t="n"/>
      <c r="C202" s="49" t="n"/>
      <c r="E202" s="49" t="n"/>
      <c r="F202" s="49" t="n"/>
      <c r="G202" s="49" t="n"/>
      <c r="H202" s="49" t="n"/>
      <c r="I202" s="49" t="n"/>
      <c r="J202" s="49" t="n"/>
      <c r="K202" s="49" t="n"/>
      <c r="L202" s="49" t="n"/>
      <c r="M202" s="49" t="n"/>
      <c r="N202" s="49" t="n"/>
    </row>
    <row r="203">
      <c r="B203" s="49" t="n"/>
      <c r="C203" s="49" t="n"/>
      <c r="E203" s="49" t="n"/>
      <c r="F203" s="49" t="n"/>
      <c r="G203" s="49" t="n"/>
      <c r="H203" s="49" t="n"/>
      <c r="I203" s="49" t="n"/>
      <c r="J203" s="49" t="n"/>
      <c r="K203" s="49" t="n"/>
      <c r="L203" s="49" t="n"/>
      <c r="M203" s="49" t="n"/>
      <c r="N203" s="49" t="n"/>
    </row>
    <row r="204">
      <c r="B204" s="49" t="n"/>
      <c r="C204" s="49" t="n"/>
      <c r="E204" s="49" t="n"/>
      <c r="F204" s="49" t="n"/>
      <c r="G204" s="49" t="n"/>
      <c r="H204" s="49" t="n"/>
      <c r="I204" s="49" t="n"/>
      <c r="J204" s="49" t="n"/>
      <c r="K204" s="49" t="n"/>
      <c r="L204" s="49" t="n"/>
      <c r="M204" s="49" t="n"/>
      <c r="N204" s="49" t="n"/>
    </row>
    <row r="205">
      <c r="B205" s="49" t="n"/>
      <c r="C205" s="49" t="n"/>
      <c r="E205" s="49" t="n"/>
      <c r="F205" s="49" t="n"/>
      <c r="G205" s="49" t="n"/>
      <c r="H205" s="49" t="n"/>
      <c r="I205" s="49" t="n"/>
      <c r="J205" s="49" t="n"/>
      <c r="K205" s="49" t="n"/>
      <c r="L205" s="49" t="n"/>
      <c r="M205" s="49" t="n"/>
      <c r="N205" s="49" t="n"/>
    </row>
    <row r="206">
      <c r="B206" s="49" t="n"/>
      <c r="C206" s="49" t="n"/>
      <c r="E206" s="49" t="n"/>
      <c r="F206" s="49" t="n"/>
      <c r="G206" s="49" t="n"/>
      <c r="H206" s="49" t="n"/>
      <c r="I206" s="49" t="n"/>
      <c r="J206" s="49" t="n"/>
      <c r="K206" s="49" t="n"/>
      <c r="L206" s="49" t="n"/>
      <c r="M206" s="49" t="n"/>
      <c r="N206" s="49" t="n"/>
    </row>
    <row r="207">
      <c r="B207" s="49" t="n"/>
      <c r="C207" s="49" t="n"/>
      <c r="E207" s="49" t="n"/>
      <c r="F207" s="49" t="n"/>
      <c r="G207" s="49" t="n"/>
      <c r="H207" s="49" t="n"/>
      <c r="I207" s="49" t="n"/>
      <c r="J207" s="49" t="n"/>
      <c r="K207" s="49" t="n"/>
      <c r="L207" s="49" t="n"/>
      <c r="M207" s="49" t="n"/>
      <c r="N207" s="49" t="n"/>
    </row>
    <row r="208">
      <c r="B208" s="49" t="n"/>
      <c r="C208" s="49" t="n"/>
      <c r="E208" s="49" t="n"/>
      <c r="F208" s="49" t="n"/>
      <c r="G208" s="49" t="n"/>
      <c r="H208" s="49" t="n"/>
      <c r="I208" s="49" t="n"/>
      <c r="J208" s="49" t="n"/>
      <c r="K208" s="49" t="n"/>
      <c r="L208" s="49" t="n"/>
      <c r="M208" s="49" t="n"/>
      <c r="N208" s="49" t="n"/>
    </row>
    <row r="209">
      <c r="B209" s="49" t="n"/>
      <c r="C209" s="49" t="n"/>
      <c r="E209" s="49" t="n"/>
      <c r="F209" s="49" t="n"/>
      <c r="G209" s="49" t="n"/>
      <c r="H209" s="49" t="n"/>
      <c r="I209" s="49" t="n"/>
      <c r="J209" s="49" t="n"/>
      <c r="K209" s="49" t="n"/>
      <c r="L209" s="49" t="n"/>
      <c r="M209" s="49" t="n"/>
      <c r="N209" s="49" t="n"/>
    </row>
    <row r="210">
      <c r="B210" s="49" t="n"/>
      <c r="C210" s="49" t="n"/>
      <c r="E210" s="49" t="n"/>
      <c r="F210" s="49" t="n"/>
      <c r="G210" s="49" t="n"/>
      <c r="H210" s="49" t="n"/>
      <c r="I210" s="49" t="n"/>
      <c r="J210" s="49" t="n"/>
      <c r="K210" s="49" t="n"/>
      <c r="L210" s="49" t="n"/>
      <c r="M210" s="49" t="n"/>
      <c r="N210" s="49" t="n"/>
    </row>
    <row r="211">
      <c r="B211" s="49" t="n"/>
      <c r="C211" s="49" t="n"/>
      <c r="E211" s="49" t="n"/>
      <c r="F211" s="49" t="n"/>
      <c r="G211" s="49" t="n"/>
      <c r="H211" s="49" t="n"/>
      <c r="I211" s="49" t="n"/>
      <c r="J211" s="49" t="n"/>
      <c r="K211" s="49" t="n"/>
      <c r="L211" s="49" t="n"/>
      <c r="M211" s="49" t="n"/>
      <c r="N211" s="49" t="n"/>
    </row>
    <row r="212">
      <c r="B212" s="49" t="n"/>
      <c r="C212" s="49" t="n"/>
      <c r="E212" s="49" t="n"/>
      <c r="F212" s="49" t="n"/>
      <c r="G212" s="49" t="n"/>
      <c r="H212" s="49" t="n"/>
      <c r="I212" s="49" t="n"/>
      <c r="J212" s="49" t="n"/>
      <c r="K212" s="49" t="n"/>
      <c r="L212" s="49" t="n"/>
      <c r="M212" s="49" t="n"/>
      <c r="N212" s="49" t="n"/>
    </row>
    <row r="213">
      <c r="B213" s="49" t="n"/>
      <c r="C213" s="49" t="n"/>
      <c r="E213" s="49" t="n"/>
      <c r="F213" s="49" t="n"/>
      <c r="G213" s="49" t="n"/>
      <c r="H213" s="49" t="n"/>
      <c r="I213" s="49" t="n"/>
      <c r="J213" s="49" t="n"/>
      <c r="K213" s="49" t="n"/>
      <c r="L213" s="49" t="n"/>
      <c r="M213" s="49" t="n"/>
      <c r="N213" s="49" t="n"/>
    </row>
    <row r="214">
      <c r="B214" s="49" t="n"/>
      <c r="C214" s="49" t="n"/>
      <c r="E214" s="49" t="n"/>
      <c r="F214" s="49" t="n"/>
      <c r="G214" s="49" t="n"/>
      <c r="H214" s="49" t="n"/>
      <c r="I214" s="49" t="n"/>
      <c r="J214" s="49" t="n"/>
      <c r="K214" s="49" t="n"/>
      <c r="L214" s="49" t="n"/>
      <c r="M214" s="49" t="n"/>
      <c r="N214" s="49" t="n"/>
    </row>
    <row r="215">
      <c r="B215" s="49" t="n"/>
      <c r="C215" s="49" t="n"/>
      <c r="E215" s="49" t="n"/>
      <c r="F215" s="49" t="n"/>
      <c r="G215" s="49" t="n"/>
      <c r="H215" s="49" t="n"/>
      <c r="I215" s="49" t="n"/>
      <c r="J215" s="49" t="n"/>
      <c r="K215" s="49" t="n"/>
      <c r="L215" s="49" t="n"/>
      <c r="M215" s="49" t="n"/>
      <c r="N215" s="49" t="n"/>
    </row>
    <row r="216">
      <c r="B216" s="49" t="n"/>
      <c r="C216" s="49" t="n"/>
      <c r="E216" s="49" t="n"/>
      <c r="F216" s="49" t="n"/>
      <c r="G216" s="49" t="n"/>
      <c r="H216" s="49" t="n"/>
      <c r="I216" s="49" t="n"/>
      <c r="J216" s="49" t="n"/>
      <c r="K216" s="49" t="n"/>
      <c r="L216" s="49" t="n"/>
      <c r="M216" s="49" t="n"/>
      <c r="N216" s="49" t="n"/>
    </row>
    <row r="217">
      <c r="B217" s="49" t="n"/>
      <c r="C217" s="49" t="n"/>
      <c r="E217" s="49" t="n"/>
      <c r="F217" s="49" t="n"/>
      <c r="G217" s="49" t="n"/>
      <c r="H217" s="49" t="n"/>
      <c r="I217" s="49" t="n"/>
      <c r="J217" s="49" t="n"/>
      <c r="K217" s="49" t="n"/>
      <c r="L217" s="49" t="n"/>
      <c r="M217" s="49" t="n"/>
      <c r="N217" s="49" t="n"/>
    </row>
    <row r="218">
      <c r="B218" s="49" t="n"/>
      <c r="C218" s="49" t="n"/>
      <c r="E218" s="49" t="n"/>
      <c r="F218" s="49" t="n"/>
      <c r="G218" s="49" t="n"/>
      <c r="H218" s="49" t="n"/>
      <c r="I218" s="49" t="n"/>
      <c r="J218" s="49" t="n"/>
      <c r="K218" s="49" t="n"/>
      <c r="L218" s="49" t="n"/>
      <c r="M218" s="49" t="n"/>
      <c r="N218" s="49" t="n"/>
    </row>
  </sheetData>
  <mergeCells count="7">
    <mergeCell ref="B5:N5"/>
    <mergeCell ref="B8:N8"/>
    <mergeCell ref="B4:N4"/>
    <mergeCell ref="B10:C10"/>
    <mergeCell ref="B7:N7"/>
    <mergeCell ref="B6:N6"/>
    <mergeCell ref="B3:N3"/>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AND(LEN($B18&amp;$C18&amp;$D18&amp;$E18&amp;$F18&amp;$G18&amp;$H18&amp;$I18&amp;$J18&amp;$K18&amp;$L18&amp;$M18&amp;$N18)&gt;0,B18="")</formula>
    </cfRule>
  </conditionalFormatting>
  <conditionalFormatting sqref="C18:C218">
    <cfRule type="expression" priority="3" dxfId="6">
      <formula>AND(LEN($B18&amp;$C18&amp;$D18&amp;$E18&amp;$F18&amp;$G18&amp;$H18&amp;$I18&amp;$J18&amp;$K18&amp;$L18&amp;$M18&amp;$N18)&gt;0,C18="")</formula>
    </cfRule>
  </conditionalFormatting>
  <conditionalFormatting sqref="D18:D218">
    <cfRule type="expression" priority="4" dxfId="6">
      <formula>AND(LEN($B18&amp;$C18&amp;$D18&amp;$E18&amp;$F18&amp;$G18&amp;$H18&amp;$I18&amp;$J18&amp;$K18&amp;$L18&amp;$M18&amp;$N18)&gt;0,D18="")</formula>
    </cfRule>
  </conditionalFormatting>
  <conditionalFormatting sqref="N18:N218">
    <cfRule type="expression" priority="5" dxfId="6">
      <formula>AND(LEN($B18&amp;$C18&amp;$D18&amp;$E18&amp;$F18&amp;$G18&amp;$H18&amp;$I18&amp;$J18&amp;$K18&amp;$L18&amp;$M18&amp;$N18)&gt;0,N18="")</formula>
    </cfRule>
  </conditionalFormatting>
  <dataValidations count="14">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client_no" error="At most 30 characters." promptTitle="legacy_client_no" prompt="Yes. Client number in the source system Allowed: legacy_client_no of C01" type="textLength" operator="lessThanOrEqual">
      <formula1>30</formula1>
    </dataValidation>
    <dataValidation sqref="C18:C218" showDropDown="0" showInputMessage="1" showErrorMessage="1" allowBlank="1" errorTitle="record_type" error="Choose a value of the list C02 record_type (sheet Reference lists)." promptTitle="record_type" prompt="Yes. Address or contact person Allowed: ADDRESS, CONTACT (list C02 record_type)" type="list" errorStyle="stop">
      <formula1>=LIST_C02_RECORD_TYPE</formula1>
    </dataValidation>
    <dataValidation sqref="D18:D218" showDropDown="0" showInputMessage="1" showErrorMessage="1" allowBlank="1" errorTitle="seq_no" error="Enter a whole number." promptTitle="seq_no" prompt="Yes. Sequence within the client and record type Allowed: A whole number" type="whole" operator="greaterThanOrEqual">
      <formula1>-1E+15</formula1>
    </dataValidation>
    <dataValidation sqref="E18:E218" showDropDown="0" showInputMessage="1" showErrorMessage="1" allowBlank="1" errorTitle="address_type" error="Choose a value of the list C02 address_type (sheet Reference lists)." promptTitle="address_type" prompt="Conditional: Mandatory for ADDRESS. Kind of address Allowed: HOME, BUSINESS, MAILING, BILLING (list C02 address_type)" type="list" errorStyle="stop">
      <formula1>=LIST_C02_ADDRESS_TYPE</formula1>
    </dataValidation>
    <dataValidation sqref="F18:F218" showDropDown="0" showInputMessage="1" showErrorMessage="1" allowBlank="1" errorTitle="address_line" error="At most 300 characters." promptTitle="address_line" prompt="Conditional: Mandatory for ADDRESS. Street address Allowed: Free entry, up to 300 characters" type="textLength" operator="lessThanOrEqual">
      <formula1>300</formula1>
    </dataValidation>
    <dataValidation sqref="G18:G218" showDropDown="0" showInputMessage="1" showErrorMessage="1" allowBlank="1" errorTitle="city" error="At most 80 characters." promptTitle="city" prompt="No. City / municipality Allowed: Free entry, up to 80 characters" type="textLength" operator="lessThanOrEqual">
      <formula1>80</formula1>
    </dataValidation>
    <dataValidation sqref="H18:H218" showDropDown="0" showInputMessage="1" showErrorMessage="1" allowBlank="1" errorTitle="province" error="At most 80 characters." promptTitle="province" prompt="No. Province Allowed: Free entry, up to 80 characters" type="textLength" operator="lessThanOrEqual">
      <formula1>80</formula1>
    </dataValidation>
    <dataValidation sqref="I18:I218" showDropDown="0" showInputMessage="1" showErrorMessage="1" allowBlank="1" errorTitle="postal_code" error="At most 10 characters." promptTitle="postal_code" prompt="No. Postal code Allowed: Free entry, up to 10 characters" type="textLength" operator="lessThanOrEqual">
      <formula1>10</formula1>
    </dataValidation>
    <dataValidation sqref="J18:J218" showDropDown="0" showInputMessage="1" showErrorMessage="1" allowBlank="1" errorTitle="contact_name" error="At most 200 characters." promptTitle="contact_name" prompt="Conditional: Mandatory for CONTACT. Contact person (corporate clients) Allowed: Free entry, up to 200 characters" type="textLength" operator="lessThanOrEqual">
      <formula1>200</formula1>
    </dataValidation>
    <dataValidation sqref="K18:K218" showDropDown="0" showInputMessage="1" showErrorMessage="1" allowBlank="1" errorTitle="contact_role" error="At most 60 characters." promptTitle="contact_role" prompt="No. Role of the contact Allowed: Free entry, up to 60 characters" type="textLength" operator="lessThanOrEqual">
      <formula1>60</formula1>
    </dataValidation>
    <dataValidation sqref="L18:L218" showDropDown="0" showInputMessage="1" showErrorMessage="1" allowBlank="1" errorTitle="email" error="At most 120 characters." promptTitle="email" prompt="No. E-mail Allowed: Free entry, up to 120 characters" type="textLength" operator="lessThanOrEqual">
      <formula1>120</formula1>
    </dataValidation>
    <dataValidation sqref="M18:M218" showDropDown="0" showInputMessage="1" showErrorMessage="1" allowBlank="1" errorTitle="mobile" error="At most 30 characters." promptTitle="mobile" prompt="No. Mobile number Allowed: Free entry, up to 30 characters" type="textLength" operator="lessThanOrEqual">
      <formula1>30</formula1>
    </dataValidation>
    <dataValidation sqref="N18:N218" showDropDown="0" showInputMessage="1" showErrorMessage="1" allowBlank="1" errorTitle="primary_flag" error="Choose a value of the list Yes or no (sheet Reference lists)." promptTitle="primary_flag" prompt="Yes. Primary address or contact Allowed: Y or N" type="list" errorStyle="stop">
      <formula1>=LIST_YES_NO</formula1>
    </dataValidation>
  </dataValidations>
  <hyperlinks>
    <hyperlink ref="A2" location="'Start here'!A1"/>
    <hyperlink ref="N2" location="'Questions and comments'!A1"/>
    <hyperlink ref="B8" location="'C01 Client master'!A1"/>
    <hyperlink ref="C15" location="'Reference lists'!A573"/>
    <hyperlink ref="E15" location="'Reference lists'!A575"/>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1.xml><?xml version="1.0" encoding="utf-8"?>
<worksheet xmlns="http://schemas.openxmlformats.org/spreadsheetml/2006/main">
  <sheetPr>
    <tabColor rgb="00004EA8"/>
    <outlinePr summaryBelow="0" summaryRight="1"/>
    <pageSetUpPr fitToPage="1"/>
  </sheetPr>
  <dimension ref="A1:G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2" customWidth="1" min="3" max="3"/>
    <col width="15" customWidth="1" min="4" max="4"/>
    <col width="15.90909090909091" customWidth="1" min="5" max="5"/>
    <col width="15" customWidth="1" min="6" max="6"/>
    <col width="16" customWidth="1" min="7" max="7"/>
  </cols>
  <sheetData>
    <row r="1" ht="26" customHeight="1">
      <c r="A1" s="25" t="inlineStr">
        <is>
          <t>C03 Client payout accounts</t>
        </is>
      </c>
      <c r="G1" s="26" t="inlineStr">
        <is>
          <t>Step 39 of 52</t>
        </is>
      </c>
    </row>
    <row r="2">
      <c r="A2" s="27" t="inlineStr">
        <is>
          <t>← Back to Start here</t>
        </is>
      </c>
      <c r="B2" s="28" t="inlineStr">
        <is>
          <t>Step 39 of 52. Fill in one row per record below the column headers; the guide above each column says what to enter.</t>
        </is>
      </c>
      <c r="G2" s="29" t="inlineStr">
        <is>
          <t>Ask a question →</t>
        </is>
      </c>
    </row>
    <row r="3" outlineLevel="1" ht="28" customHeight="1">
      <c r="A3" s="30" t="inlineStr">
        <is>
          <t>Purpose</t>
        </is>
      </c>
      <c r="B3" s="31" t="inlineStr">
        <is>
          <t>One row per record of Client payout accounts (for refunds) as extracted from EBIX. Key legacy_client_no, account_no. Sent as the file C03_template.csv (CSV, header row as below) with its control file (row count, row count).</t>
        </is>
      </c>
    </row>
    <row r="4" outlineLevel="1" ht="28" customHeight="1">
      <c r="A4" s="30" t="inlineStr">
        <is>
          <t>Provided by</t>
        </is>
      </c>
      <c r="B4" s="31" t="inlineStr">
        <is>
          <t>Disbursement data steward (to name); approved by Product Owner, Comptrollership - Disbursement; extracted by BDOI IT</t>
        </is>
      </c>
    </row>
    <row r="5" outlineLevel="1" ht="15.5" customHeight="1">
      <c r="A5" s="30" t="inlineStr">
        <is>
          <t>Due</t>
        </is>
      </c>
      <c r="B5" s="32" t="inlineStr">
        <is>
          <t>M3 (29 Jan 2027)</t>
        </is>
      </c>
    </row>
    <row r="6" outlineLevel="1" ht="28" customHeight="1">
      <c r="A6" s="30" t="inlineStr">
        <is>
          <t>How it is loaded</t>
        </is>
      </c>
      <c r="B6" s="31" t="inlineStr">
        <is>
          <t>Migration Console: the file C03_template.csv (the header row as below) and its control file are received on Data Migration › Data Migration › Extracts and loaded by a batch of object C03; lands in: Client payout accounts</t>
        </is>
      </c>
    </row>
    <row r="7" outlineLevel="1" ht="15.5" customHeight="1">
      <c r="A7" s="30" t="inlineStr">
        <is>
          <t>Source</t>
        </is>
      </c>
      <c r="B7" s="31" t="inlineStr">
        <is>
          <t>EBIX</t>
        </is>
      </c>
    </row>
    <row r="8" outlineLevel="1" ht="15" customHeight="1">
      <c r="A8" s="30" t="inlineStr">
        <is>
          <t>Depends on</t>
        </is>
      </c>
      <c r="B8" s="53" t="inlineStr">
        <is>
          <t>C01 Client master →</t>
        </is>
      </c>
    </row>
    <row r="9" ht="26" customHeight="1">
      <c r="A9" s="34" t="inlineStr">
        <is>
          <t>Progress</t>
        </is>
      </c>
      <c r="B9" s="35" t="inlineStr">
        <is>
          <t>Rows entered</t>
        </is>
      </c>
      <c r="C9" s="36">
        <f>SUMPRODUCT(((ROW($B$18:$B$218)&gt;18)+($B$18&lt;&gt;"E-0098765")&gt;0)*(LEN($B$18:$B$218&amp;$C$18:$C$218&amp;$D$18:$D$218&amp;$E$18:$E$218&amp;$F$18:$F$218&amp;$G$18:$G$218)&gt;0))</f>
        <v/>
      </c>
      <c r="D9" s="35" t="inlineStr">
        <is>
          <t>Mandatory cells missing</t>
        </is>
      </c>
      <c r="E9" s="36">
        <f>SUMPRODUCT(((ROW($B$18:$B$218)&gt;18)+($B$18&lt;&gt;"E-0098765")&gt;0)*(LEN($B$18:$B$218&amp;$C$18:$C$218&amp;$D$18:$D$218&amp;$E$18:$E$218&amp;$F$18:$F$218&amp;$G$18:$G$218)&gt;0)*(($B$18:$B$218="")+($C$18:$C$218="")+($D$18:$D$218="")+($G$18:$G$218="")))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30" customHeight="1">
      <c r="A12" s="41" t="inlineStr">
        <is>
          <t>Check when loaded</t>
        </is>
      </c>
      <c r="B12" s="43" t="inlineStr">
        <is>
          <t>Client loaded</t>
        </is>
      </c>
      <c r="C12" s="43" t="inlineStr">
        <is>
          <t>In the list</t>
        </is>
      </c>
      <c r="D12" s="43" t="inlineStr">
        <is>
          <t>Not blank</t>
        </is>
      </c>
      <c r="E12" s="43" t="inlineStr">
        <is>
          <t>Mandatory for CTA; mapped</t>
        </is>
      </c>
      <c r="F12" s="43" t="inlineStr">
        <is>
          <t>Mandatory for CTA</t>
        </is>
      </c>
      <c r="G12" s="43" t="inlineStr">
        <is>
          <t>Y or N</t>
        </is>
      </c>
    </row>
    <row r="13" ht="43" customHeight="1">
      <c r="A13" s="41" t="inlineStr">
        <is>
          <t>Mandatory</t>
        </is>
      </c>
      <c r="B13" s="42" t="inlineStr">
        <is>
          <t>Yes</t>
        </is>
      </c>
      <c r="C13" s="42" t="inlineStr">
        <is>
          <t>Yes</t>
        </is>
      </c>
      <c r="D13" s="42" t="inlineStr">
        <is>
          <t>Yes</t>
        </is>
      </c>
      <c r="E13" s="43" t="inlineStr">
        <is>
          <t>Conditional: Mandatory for CTA; mapped</t>
        </is>
      </c>
      <c r="F13" s="43" t="inlineStr">
        <is>
          <t>Conditional: Mandatory for CTA</t>
        </is>
      </c>
      <c r="G13" s="42" t="inlineStr">
        <is>
          <t>Yes</t>
        </is>
      </c>
    </row>
    <row r="14" ht="30" customHeight="1">
      <c r="A14" s="41" t="inlineStr">
        <is>
          <t>Format</t>
        </is>
      </c>
      <c r="B14" s="43" t="inlineStr">
        <is>
          <t>Code, up to 30; As stored in legacy</t>
        </is>
      </c>
      <c r="C14" s="43" t="inlineStr">
        <is>
          <t>Code, up to 10; Upper case</t>
        </is>
      </c>
      <c r="D14" s="43" t="inlineStr">
        <is>
          <t>Text, up to 250; Free text</t>
        </is>
      </c>
      <c r="E14" s="43" t="inlineStr">
        <is>
          <t>Code, up to 30; As stored in legacy</t>
        </is>
      </c>
      <c r="F14" s="43" t="inlineStr">
        <is>
          <t>Text, up to 40; Digits</t>
        </is>
      </c>
      <c r="G14" s="43" t="inlineStr">
        <is>
          <t>Flag, up to 1; Y or N</t>
        </is>
      </c>
    </row>
    <row r="15" ht="108" customHeight="1">
      <c r="A15" s="41" t="inlineStr">
        <is>
          <t>Allowed values</t>
        </is>
      </c>
      <c r="B15" s="43" t="inlineStr">
        <is>
          <t>legacy_client_no of C01</t>
        </is>
      </c>
      <c r="C15" s="51" t="inlineStr">
        <is>
          <t>CTA, CHECK (list C03 mode)</t>
        </is>
      </c>
      <c r="D15" s="43" t="inlineStr">
        <is>
          <t>Free entry, up to 250 characters</t>
        </is>
      </c>
      <c r="E15" s="43" t="inlineStr">
        <is>
          <t>The legacy code; mapped by the code map BANK (Code Maps screen of the Data Migration Console; maps prepared in the Migration Workbook of BRD-13)</t>
        </is>
      </c>
      <c r="F15" s="43" t="inlineStr">
        <is>
          <t>Free entry, up to 40 characters</t>
        </is>
      </c>
      <c r="G15" s="43" t="inlineStr">
        <is>
          <t>Y or N</t>
        </is>
      </c>
    </row>
    <row r="16" ht="30" customHeight="1">
      <c r="A16" s="41" t="inlineStr">
        <is>
          <t>What to enter</t>
        </is>
      </c>
      <c r="B16" s="43" t="inlineStr">
        <is>
          <t>Client number in the source system</t>
        </is>
      </c>
      <c r="C16" s="43" t="inlineStr">
        <is>
          <t>Payout mode</t>
        </is>
      </c>
      <c r="D16" s="43" t="inlineStr">
        <is>
          <t>Name on the account or check</t>
        </is>
      </c>
      <c r="E16" s="43" t="inlineStr">
        <is>
          <t>Bank of the account</t>
        </is>
      </c>
      <c r="F16" s="43" t="inlineStr">
        <is>
          <t>Account number</t>
        </is>
      </c>
      <c r="G16" s="43" t="inlineStr">
        <is>
          <t>Account in use</t>
        </is>
      </c>
    </row>
    <row r="17" ht="30" customHeight="1">
      <c r="A17" s="44" t="inlineStr">
        <is>
          <t>Row</t>
        </is>
      </c>
      <c r="B17" s="45" t="inlineStr">
        <is>
          <t>legacy_client_no *</t>
        </is>
      </c>
      <c r="C17" s="45" t="inlineStr">
        <is>
          <t>mode *</t>
        </is>
      </c>
      <c r="D17" s="45" t="inlineStr">
        <is>
          <t>payee_name *</t>
        </is>
      </c>
      <c r="E17" s="45" t="inlineStr">
        <is>
          <t>bank_code</t>
        </is>
      </c>
      <c r="F17" s="45" t="inlineStr">
        <is>
          <t>account_no</t>
        </is>
      </c>
      <c r="G17" s="45" t="inlineStr">
        <is>
          <t>active_flag *</t>
        </is>
      </c>
    </row>
    <row r="18" ht="18" customHeight="1">
      <c r="A18" s="46" t="inlineStr">
        <is>
          <t>Example – overwrite or delete</t>
        </is>
      </c>
      <c r="B18" s="47" t="inlineStr">
        <is>
          <t>E-0098765</t>
        </is>
      </c>
      <c r="C18" s="47" t="inlineStr">
        <is>
          <t>CTA</t>
        </is>
      </c>
      <c r="D18" s="47" t="inlineStr">
        <is>
          <t>Ana C. Reyes</t>
        </is>
      </c>
      <c r="E18" s="47" t="inlineStr">
        <is>
          <t>BDO</t>
        </is>
      </c>
      <c r="F18" s="47" t="inlineStr">
        <is>
          <t>001234567890</t>
        </is>
      </c>
      <c r="G18" s="47" t="inlineStr">
        <is>
          <t>Y</t>
        </is>
      </c>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8:B218">
    <cfRule type="expression" priority="2" dxfId="6">
      <formula>AND(LEN($B18&amp;$C18&amp;$D18&amp;$E18&amp;$F18&amp;$G18)&gt;0,B18="")</formula>
    </cfRule>
  </conditionalFormatting>
  <conditionalFormatting sqref="C18:C218">
    <cfRule type="expression" priority="3" dxfId="6">
      <formula>AND(LEN($B18&amp;$C18&amp;$D18&amp;$E18&amp;$F18&amp;$G18)&gt;0,C18="")</formula>
    </cfRule>
  </conditionalFormatting>
  <conditionalFormatting sqref="D18:D218">
    <cfRule type="expression" priority="4" dxfId="6">
      <formula>AND(LEN($B18&amp;$C18&amp;$D18&amp;$E18&amp;$F18&amp;$G18)&gt;0,D18="")</formula>
    </cfRule>
  </conditionalFormatting>
  <conditionalFormatting sqref="G18:G218">
    <cfRule type="expression" priority="5" dxfId="6">
      <formula>AND(LEN($B18&amp;$C18&amp;$D18&amp;$E18&amp;$F18&amp;$G18)&gt;0,G18="")</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client_no" error="At most 30 characters." promptTitle="legacy_client_no" prompt="Yes. Client number in the source system Allowed: legacy_client_no of C01" type="textLength" operator="lessThanOrEqual">
      <formula1>30</formula1>
    </dataValidation>
    <dataValidation sqref="C18:C218" showDropDown="0" showInputMessage="1" showErrorMessage="1" allowBlank="1" errorTitle="mode" error="Choose a value of the list C03 mode (sheet Reference lists)." promptTitle="mode" prompt="Yes. Payout mode Allowed: CTA, CHECK (list C03 mode)" type="list" errorStyle="stop">
      <formula1>=LIST_C03_MODE</formula1>
    </dataValidation>
    <dataValidation sqref="D18:D218" showDropDown="0" showInputMessage="1" showErrorMessage="1" allowBlank="1" errorTitle="payee_name" error="At most 250 characters." promptTitle="payee_name" prompt="Yes. Name on the account or check Allowed: Free entry, up to 250 characters" type="textLength" operator="lessThanOrEqual">
      <formula1>250</formula1>
    </dataValidation>
    <dataValidation sqref="E18:E218" showDropDown="0" showInputMessage="1" showErrorMessage="1" allowBlank="1" errorTitle="bank_code" error="At most 30 characters." promptTitle="bank_code" prompt="Conditional: Mandatory for CTA; mapped. Bank of the account Allowed: The legacy code; mapped by the code map BANK (Code Maps screen of the Data Migration Console; maps prepared in the Migration Workbook of BRD-13)" type="textLength" operator="lessThanOrEqual">
      <formula1>30</formula1>
    </dataValidation>
    <dataValidation sqref="F18:F218" showDropDown="0" showInputMessage="1" showErrorMessage="1" allowBlank="1" errorTitle="account_no" error="At most 40 characters." promptTitle="account_no" prompt="Conditional: Mandatory for CTA. Account number Allowed: Free entry, up to 40 characters" type="textLength" operator="lessThanOrEqual">
      <formula1>40</formula1>
    </dataValidation>
    <dataValidation sqref="G18:G218" showDropDown="0" showInputMessage="1" showErrorMessage="1" allowBlank="1" errorTitle="active_flag" error="Choose a value of the list Yes or no (sheet Reference lists)." promptTitle="active_flag" prompt="Yes. Account in use Allowed: Y or N" type="list" errorStyle="stop">
      <formula1>=LIST_YES_NO</formula1>
    </dataValidation>
  </dataValidations>
  <hyperlinks>
    <hyperlink ref="A2" location="'Start here'!A1"/>
    <hyperlink ref="G2" location="'Questions and comments'!A1"/>
    <hyperlink ref="B8" location="'C01 Client master'!A1"/>
    <hyperlink ref="C15" location="'Reference lists'!A579"/>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2.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23" customWidth="1" min="3" max="3"/>
    <col width="22" customWidth="1" min="4" max="4"/>
    <col width="22" customWidth="1" min="5" max="5"/>
    <col width="16" customWidth="1" min="6" max="6"/>
    <col width="12" customWidth="1" min="7" max="7"/>
  </cols>
  <sheetData>
    <row r="1" ht="26" customHeight="1">
      <c r="A1" s="25" t="inlineStr">
        <is>
          <t>D0-12 Check books</t>
        </is>
      </c>
      <c r="G1" s="26" t="inlineStr">
        <is>
          <t>Step 40 of 52</t>
        </is>
      </c>
    </row>
    <row r="2">
      <c r="A2" s="27" t="inlineStr">
        <is>
          <t>← Back to Start here</t>
        </is>
      </c>
      <c r="B2" s="28" t="inlineStr">
        <is>
          <t>Step 40 of 52. Fill in one row per record below the column headers; the guide above each column says what to enter.</t>
        </is>
      </c>
      <c r="G2" s="29" t="inlineStr">
        <is>
          <t>Ask a question →</t>
        </is>
      </c>
    </row>
    <row r="3" outlineLevel="1" ht="15.5" customHeight="1">
      <c r="A3" s="30" t="inlineStr">
        <is>
          <t>Purpose</t>
        </is>
      </c>
      <c r="B3" s="31" t="inlineStr">
        <is>
          <t>The check books in stock per bank account at go-live</t>
        </is>
      </c>
    </row>
    <row r="4" outlineLevel="1" ht="15.5" customHeight="1">
      <c r="A4" s="30" t="inlineStr">
        <is>
          <t>Provided by</t>
        </is>
      </c>
      <c r="B4" s="31" t="inlineStr">
        <is>
          <t>Treasury; Product Owner, Comptrollership - Disbursement</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Upload on the configuration screen Finance › Disbursement › Bank Accounts and Checks,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D0-11 Company bank accounts →</t>
        </is>
      </c>
    </row>
    <row r="9" ht="26" customHeight="1">
      <c r="A9" s="34" t="inlineStr">
        <is>
          <t>Progress</t>
        </is>
      </c>
      <c r="B9" s="35" t="inlineStr">
        <is>
          <t>Rows entered</t>
        </is>
      </c>
      <c r="C9" s="36">
        <f>SUMPRODUCT(((ROW($B$17:$B$517)&gt;17)+($B$17&lt;&gt;"BNK-CA-001")&gt;0)*(LEN($B$17:$B$517&amp;$C$17:$C$517&amp;$D$17:$D$517&amp;$E$17:$E$517&amp;$F$17:$F$517)&gt;0))</f>
        <v/>
      </c>
      <c r="D9" s="35" t="inlineStr">
        <is>
          <t>Mandatory cells missing</t>
        </is>
      </c>
      <c r="E9" s="36">
        <f>SUMPRODUCT(((ROW($B$17:$B$517)&gt;17)+($B$17&lt;&gt;"BNK-CA-001")&gt;0)*(LEN($B$17:$B$517&amp;$C$17:$C$517&amp;$D$17:$D$517&amp;$E$17:$E$517&amp;$F$17:$F$517)&gt;0)*(($B$17:$B$517="")+($C$17:$C$517="")+($D$17:$D$517="")+($E$17:$E$517="")+($F$17:$F$517="")))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2" t="inlineStr">
        <is>
          <t>Yes</t>
        </is>
      </c>
      <c r="F12" s="42" t="inlineStr">
        <is>
          <t>Yes</t>
        </is>
      </c>
    </row>
    <row r="13" ht="30" customHeight="1">
      <c r="A13" s="41" t="inlineStr">
        <is>
          <t>Format</t>
        </is>
      </c>
      <c r="B13" s="43" t="inlineStr">
        <is>
          <t>Text</t>
        </is>
      </c>
      <c r="C13" s="43" t="inlineStr">
        <is>
          <t>Digits</t>
        </is>
      </c>
      <c r="D13" s="43" t="inlineStr">
        <is>
          <t>Digits</t>
        </is>
      </c>
      <c r="E13" s="43" t="inlineStr">
        <is>
          <t>Digits</t>
        </is>
      </c>
      <c r="F13" s="43" t="inlineStr">
        <is>
          <t>Date dd-MMM-yyyy, e.g. 15-Jan-2026</t>
        </is>
      </c>
    </row>
    <row r="14" ht="30" customHeight="1">
      <c r="A14" s="41" t="inlineStr">
        <is>
          <t>Allowed values</t>
        </is>
      </c>
      <c r="B14" s="51" t="inlineStr">
        <is>
          <t>Code of an existing bank account</t>
        </is>
      </c>
      <c r="C14" s="43" t="inlineStr">
        <is>
          <t>Free entry</t>
        </is>
      </c>
      <c r="D14" s="43" t="inlineStr">
        <is>
          <t>Free entry</t>
        </is>
      </c>
      <c r="E14" s="43" t="inlineStr">
        <is>
          <t>Free entry</t>
        </is>
      </c>
      <c r="F14" s="43" t="inlineStr">
        <is>
          <t>A date, for example 15-Jan-2028</t>
        </is>
      </c>
    </row>
    <row r="15" ht="30" customHeight="1">
      <c r="A15" s="41" t="inlineStr">
        <is>
          <t>What to enter</t>
        </is>
      </c>
      <c r="B15" s="43" t="inlineStr">
        <is>
          <t>Bank account of the book</t>
        </is>
      </c>
      <c r="C15" s="43" t="inlineStr">
        <is>
          <t>First check number of the book</t>
        </is>
      </c>
      <c r="D15" s="43" t="inlineStr">
        <is>
          <t>Last check number of the book</t>
        </is>
      </c>
      <c r="E15" s="43" t="inlineStr">
        <is>
          <t>Next check number to issue</t>
        </is>
      </c>
      <c r="F15" s="43" t="inlineStr">
        <is>
          <t>Date the book was received</t>
        </is>
      </c>
    </row>
    <row r="16" ht="30" customHeight="1">
      <c r="A16" s="44" t="inlineStr">
        <is>
          <t>Row</t>
        </is>
      </c>
      <c r="B16" s="45" t="inlineStr">
        <is>
          <t>Bank account code *</t>
        </is>
      </c>
      <c r="C16" s="45" t="inlineStr">
        <is>
          <t>First check number *</t>
        </is>
      </c>
      <c r="D16" s="45" t="inlineStr">
        <is>
          <t>Last check number *</t>
        </is>
      </c>
      <c r="E16" s="45" t="inlineStr">
        <is>
          <t>Next check number *</t>
        </is>
      </c>
      <c r="F16" s="45" t="inlineStr">
        <is>
          <t>Received on *</t>
        </is>
      </c>
    </row>
    <row r="17" ht="18" customHeight="1">
      <c r="A17" s="46" t="inlineStr">
        <is>
          <t>Example – overwrite or delete</t>
        </is>
      </c>
      <c r="B17" s="47" t="inlineStr">
        <is>
          <t>BNK-CA-001</t>
        </is>
      </c>
      <c r="C17" s="47" t="inlineStr">
        <is>
          <t>0001001</t>
        </is>
      </c>
      <c r="D17" s="47" t="inlineStr">
        <is>
          <t>0001100</t>
        </is>
      </c>
      <c r="E17" s="47" t="inlineStr">
        <is>
          <t>0001001</t>
        </is>
      </c>
      <c r="F17" s="48" t="n">
        <v>46722</v>
      </c>
    </row>
    <row r="18">
      <c r="B18" s="49" t="n"/>
      <c r="C18" s="49" t="n"/>
      <c r="D18" s="49" t="n"/>
      <c r="E18" s="49" t="n"/>
      <c r="F18" s="50" t="n"/>
    </row>
    <row r="19">
      <c r="B19" s="49" t="n"/>
      <c r="C19" s="49" t="n"/>
      <c r="D19" s="49" t="n"/>
      <c r="E19" s="49" t="n"/>
      <c r="F19" s="50" t="n"/>
    </row>
    <row r="20">
      <c r="B20" s="49" t="n"/>
      <c r="C20" s="49" t="n"/>
      <c r="D20" s="49" t="n"/>
      <c r="E20" s="49" t="n"/>
      <c r="F20" s="50" t="n"/>
    </row>
    <row r="21">
      <c r="B21" s="49" t="n"/>
      <c r="C21" s="49" t="n"/>
      <c r="D21" s="49" t="n"/>
      <c r="E21" s="49" t="n"/>
      <c r="F21" s="50" t="n"/>
    </row>
    <row r="22">
      <c r="B22" s="49" t="n"/>
      <c r="C22" s="49" t="n"/>
      <c r="D22" s="49" t="n"/>
      <c r="E22" s="49" t="n"/>
      <c r="F22" s="50" t="n"/>
    </row>
    <row r="23">
      <c r="B23" s="49" t="n"/>
      <c r="C23" s="49" t="n"/>
      <c r="D23" s="49" t="n"/>
      <c r="E23" s="49" t="n"/>
      <c r="F23" s="50" t="n"/>
    </row>
    <row r="24">
      <c r="B24" s="49" t="n"/>
      <c r="C24" s="49" t="n"/>
      <c r="D24" s="49" t="n"/>
      <c r="E24" s="49" t="n"/>
      <c r="F24" s="50" t="n"/>
    </row>
    <row r="25">
      <c r="B25" s="49" t="n"/>
      <c r="C25" s="49" t="n"/>
      <c r="D25" s="49" t="n"/>
      <c r="E25" s="49" t="n"/>
      <c r="F25" s="50" t="n"/>
    </row>
    <row r="26">
      <c r="B26" s="49" t="n"/>
      <c r="C26" s="49" t="n"/>
      <c r="D26" s="49" t="n"/>
      <c r="E26" s="49" t="n"/>
      <c r="F26" s="50" t="n"/>
    </row>
    <row r="27">
      <c r="B27" s="49" t="n"/>
      <c r="C27" s="49" t="n"/>
      <c r="D27" s="49" t="n"/>
      <c r="E27" s="49" t="n"/>
      <c r="F27" s="50" t="n"/>
    </row>
    <row r="28">
      <c r="B28" s="49" t="n"/>
      <c r="C28" s="49" t="n"/>
      <c r="D28" s="49" t="n"/>
      <c r="E28" s="49" t="n"/>
      <c r="F28" s="50" t="n"/>
    </row>
    <row r="29">
      <c r="B29" s="49" t="n"/>
      <c r="C29" s="49" t="n"/>
      <c r="D29" s="49" t="n"/>
      <c r="E29" s="49" t="n"/>
      <c r="F29" s="50" t="n"/>
    </row>
    <row r="30">
      <c r="B30" s="49" t="n"/>
      <c r="C30" s="49" t="n"/>
      <c r="D30" s="49" t="n"/>
      <c r="E30" s="49" t="n"/>
      <c r="F30" s="50" t="n"/>
    </row>
    <row r="31">
      <c r="B31" s="49" t="n"/>
      <c r="C31" s="49" t="n"/>
      <c r="D31" s="49" t="n"/>
      <c r="E31" s="49" t="n"/>
      <c r="F31" s="50" t="n"/>
    </row>
    <row r="32">
      <c r="B32" s="49" t="n"/>
      <c r="C32" s="49" t="n"/>
      <c r="D32" s="49" t="n"/>
      <c r="E32" s="49" t="n"/>
      <c r="F32" s="50" t="n"/>
    </row>
    <row r="33">
      <c r="B33" s="49" t="n"/>
      <c r="C33" s="49" t="n"/>
      <c r="D33" s="49" t="n"/>
      <c r="E33" s="49" t="n"/>
      <c r="F33" s="50" t="n"/>
    </row>
    <row r="34">
      <c r="B34" s="49" t="n"/>
      <c r="C34" s="49" t="n"/>
      <c r="D34" s="49" t="n"/>
      <c r="E34" s="49" t="n"/>
      <c r="F34" s="50" t="n"/>
    </row>
    <row r="35">
      <c r="B35" s="49" t="n"/>
      <c r="C35" s="49" t="n"/>
      <c r="D35" s="49" t="n"/>
      <c r="E35" s="49" t="n"/>
      <c r="F35" s="50" t="n"/>
    </row>
    <row r="36">
      <c r="B36" s="49" t="n"/>
      <c r="C36" s="49" t="n"/>
      <c r="D36" s="49" t="n"/>
      <c r="E36" s="49" t="n"/>
      <c r="F36" s="50" t="n"/>
    </row>
    <row r="37">
      <c r="B37" s="49" t="n"/>
      <c r="C37" s="49" t="n"/>
      <c r="D37" s="49" t="n"/>
      <c r="E37" s="49" t="n"/>
      <c r="F37" s="50" t="n"/>
    </row>
    <row r="38">
      <c r="B38" s="49" t="n"/>
      <c r="C38" s="49" t="n"/>
      <c r="D38" s="49" t="n"/>
      <c r="E38" s="49" t="n"/>
      <c r="F38" s="50" t="n"/>
    </row>
    <row r="39">
      <c r="B39" s="49" t="n"/>
      <c r="C39" s="49" t="n"/>
      <c r="D39" s="49" t="n"/>
      <c r="E39" s="49" t="n"/>
      <c r="F39" s="50" t="n"/>
    </row>
    <row r="40">
      <c r="B40" s="49" t="n"/>
      <c r="C40" s="49" t="n"/>
      <c r="D40" s="49" t="n"/>
      <c r="E40" s="49" t="n"/>
      <c r="F40" s="50" t="n"/>
    </row>
    <row r="41">
      <c r="B41" s="49" t="n"/>
      <c r="C41" s="49" t="n"/>
      <c r="D41" s="49" t="n"/>
      <c r="E41" s="49" t="n"/>
      <c r="F41" s="50" t="n"/>
    </row>
    <row r="42">
      <c r="B42" s="49" t="n"/>
      <c r="C42" s="49" t="n"/>
      <c r="D42" s="49" t="n"/>
      <c r="E42" s="49" t="n"/>
      <c r="F42" s="50" t="n"/>
    </row>
    <row r="43">
      <c r="B43" s="49" t="n"/>
      <c r="C43" s="49" t="n"/>
      <c r="D43" s="49" t="n"/>
      <c r="E43" s="49" t="n"/>
      <c r="F43" s="50" t="n"/>
    </row>
    <row r="44">
      <c r="B44" s="49" t="n"/>
      <c r="C44" s="49" t="n"/>
      <c r="D44" s="49" t="n"/>
      <c r="E44" s="49" t="n"/>
      <c r="F44" s="50" t="n"/>
    </row>
    <row r="45">
      <c r="B45" s="49" t="n"/>
      <c r="C45" s="49" t="n"/>
      <c r="D45" s="49" t="n"/>
      <c r="E45" s="49" t="n"/>
      <c r="F45" s="50" t="n"/>
    </row>
    <row r="46">
      <c r="B46" s="49" t="n"/>
      <c r="C46" s="49" t="n"/>
      <c r="D46" s="49" t="n"/>
      <c r="E46" s="49" t="n"/>
      <c r="F46" s="50" t="n"/>
    </row>
    <row r="47">
      <c r="B47" s="49" t="n"/>
      <c r="C47" s="49" t="n"/>
      <c r="D47" s="49" t="n"/>
      <c r="E47" s="49" t="n"/>
      <c r="F47" s="50" t="n"/>
    </row>
    <row r="48">
      <c r="B48" s="49" t="n"/>
      <c r="C48" s="49" t="n"/>
      <c r="D48" s="49" t="n"/>
      <c r="E48" s="49" t="n"/>
      <c r="F48" s="50" t="n"/>
    </row>
    <row r="49">
      <c r="B49" s="49" t="n"/>
      <c r="C49" s="49" t="n"/>
      <c r="D49" s="49" t="n"/>
      <c r="E49" s="49" t="n"/>
      <c r="F49" s="50" t="n"/>
    </row>
    <row r="50">
      <c r="B50" s="49" t="n"/>
      <c r="C50" s="49" t="n"/>
      <c r="D50" s="49" t="n"/>
      <c r="E50" s="49" t="n"/>
      <c r="F50" s="50" t="n"/>
    </row>
    <row r="51">
      <c r="B51" s="49" t="n"/>
      <c r="C51" s="49" t="n"/>
      <c r="D51" s="49" t="n"/>
      <c r="E51" s="49" t="n"/>
      <c r="F51" s="50" t="n"/>
    </row>
    <row r="52">
      <c r="B52" s="49" t="n"/>
      <c r="C52" s="49" t="n"/>
      <c r="D52" s="49" t="n"/>
      <c r="E52" s="49" t="n"/>
      <c r="F52" s="50" t="n"/>
    </row>
    <row r="53">
      <c r="B53" s="49" t="n"/>
      <c r="C53" s="49" t="n"/>
      <c r="D53" s="49" t="n"/>
      <c r="E53" s="49" t="n"/>
      <c r="F53" s="50" t="n"/>
    </row>
    <row r="54">
      <c r="B54" s="49" t="n"/>
      <c r="C54" s="49" t="n"/>
      <c r="D54" s="49" t="n"/>
      <c r="E54" s="49" t="n"/>
      <c r="F54" s="50" t="n"/>
    </row>
    <row r="55">
      <c r="B55" s="49" t="n"/>
      <c r="C55" s="49" t="n"/>
      <c r="D55" s="49" t="n"/>
      <c r="E55" s="49" t="n"/>
      <c r="F55" s="50" t="n"/>
    </row>
    <row r="56">
      <c r="B56" s="49" t="n"/>
      <c r="C56" s="49" t="n"/>
      <c r="D56" s="49" t="n"/>
      <c r="E56" s="49" t="n"/>
      <c r="F56" s="50" t="n"/>
    </row>
    <row r="57">
      <c r="B57" s="49" t="n"/>
      <c r="C57" s="49" t="n"/>
      <c r="D57" s="49" t="n"/>
      <c r="E57" s="49" t="n"/>
      <c r="F57" s="50" t="n"/>
    </row>
    <row r="58">
      <c r="B58" s="49" t="n"/>
      <c r="C58" s="49" t="n"/>
      <c r="D58" s="49" t="n"/>
      <c r="E58" s="49" t="n"/>
      <c r="F58" s="50" t="n"/>
    </row>
    <row r="59">
      <c r="B59" s="49" t="n"/>
      <c r="C59" s="49" t="n"/>
      <c r="D59" s="49" t="n"/>
      <c r="E59" s="49" t="n"/>
      <c r="F59" s="50" t="n"/>
    </row>
    <row r="60">
      <c r="B60" s="49" t="n"/>
      <c r="C60" s="49" t="n"/>
      <c r="D60" s="49" t="n"/>
      <c r="E60" s="49" t="n"/>
      <c r="F60" s="50" t="n"/>
    </row>
    <row r="61">
      <c r="B61" s="49" t="n"/>
      <c r="C61" s="49" t="n"/>
      <c r="D61" s="49" t="n"/>
      <c r="E61" s="49" t="n"/>
      <c r="F61" s="50" t="n"/>
    </row>
    <row r="62">
      <c r="B62" s="49" t="n"/>
      <c r="C62" s="49" t="n"/>
      <c r="D62" s="49" t="n"/>
      <c r="E62" s="49" t="n"/>
      <c r="F62" s="50" t="n"/>
    </row>
    <row r="63">
      <c r="B63" s="49" t="n"/>
      <c r="C63" s="49" t="n"/>
      <c r="D63" s="49" t="n"/>
      <c r="E63" s="49" t="n"/>
      <c r="F63" s="50" t="n"/>
    </row>
    <row r="64">
      <c r="B64" s="49" t="n"/>
      <c r="C64" s="49" t="n"/>
      <c r="D64" s="49" t="n"/>
      <c r="E64" s="49" t="n"/>
      <c r="F64" s="50" t="n"/>
    </row>
    <row r="65">
      <c r="B65" s="49" t="n"/>
      <c r="C65" s="49" t="n"/>
      <c r="D65" s="49" t="n"/>
      <c r="E65" s="49" t="n"/>
      <c r="F65" s="50" t="n"/>
    </row>
    <row r="66">
      <c r="B66" s="49" t="n"/>
      <c r="C66" s="49" t="n"/>
      <c r="D66" s="49" t="n"/>
      <c r="E66" s="49" t="n"/>
      <c r="F66" s="50" t="n"/>
    </row>
    <row r="67">
      <c r="B67" s="49" t="n"/>
      <c r="C67" s="49" t="n"/>
      <c r="D67" s="49" t="n"/>
      <c r="E67" s="49" t="n"/>
      <c r="F67" s="50" t="n"/>
    </row>
    <row r="68">
      <c r="B68" s="49" t="n"/>
      <c r="C68" s="49" t="n"/>
      <c r="D68" s="49" t="n"/>
      <c r="E68" s="49" t="n"/>
      <c r="F68" s="50" t="n"/>
    </row>
    <row r="69">
      <c r="B69" s="49" t="n"/>
      <c r="C69" s="49" t="n"/>
      <c r="D69" s="49" t="n"/>
      <c r="E69" s="49" t="n"/>
      <c r="F69" s="50" t="n"/>
    </row>
    <row r="70">
      <c r="B70" s="49" t="n"/>
      <c r="C70" s="49" t="n"/>
      <c r="D70" s="49" t="n"/>
      <c r="E70" s="49" t="n"/>
      <c r="F70" s="50" t="n"/>
    </row>
    <row r="71">
      <c r="B71" s="49" t="n"/>
      <c r="C71" s="49" t="n"/>
      <c r="D71" s="49" t="n"/>
      <c r="E71" s="49" t="n"/>
      <c r="F71" s="50" t="n"/>
    </row>
    <row r="72">
      <c r="B72" s="49" t="n"/>
      <c r="C72" s="49" t="n"/>
      <c r="D72" s="49" t="n"/>
      <c r="E72" s="49" t="n"/>
      <c r="F72" s="50" t="n"/>
    </row>
    <row r="73">
      <c r="B73" s="49" t="n"/>
      <c r="C73" s="49" t="n"/>
      <c r="D73" s="49" t="n"/>
      <c r="E73" s="49" t="n"/>
      <c r="F73" s="50" t="n"/>
    </row>
    <row r="74">
      <c r="B74" s="49" t="n"/>
      <c r="C74" s="49" t="n"/>
      <c r="D74" s="49" t="n"/>
      <c r="E74" s="49" t="n"/>
      <c r="F74" s="50" t="n"/>
    </row>
    <row r="75">
      <c r="B75" s="49" t="n"/>
      <c r="C75" s="49" t="n"/>
      <c r="D75" s="49" t="n"/>
      <c r="E75" s="49" t="n"/>
      <c r="F75" s="50" t="n"/>
    </row>
    <row r="76">
      <c r="B76" s="49" t="n"/>
      <c r="C76" s="49" t="n"/>
      <c r="D76" s="49" t="n"/>
      <c r="E76" s="49" t="n"/>
      <c r="F76" s="50" t="n"/>
    </row>
    <row r="77">
      <c r="B77" s="49" t="n"/>
      <c r="C77" s="49" t="n"/>
      <c r="D77" s="49" t="n"/>
      <c r="E77" s="49" t="n"/>
      <c r="F77" s="50" t="n"/>
    </row>
    <row r="78">
      <c r="B78" s="49" t="n"/>
      <c r="C78" s="49" t="n"/>
      <c r="D78" s="49" t="n"/>
      <c r="E78" s="49" t="n"/>
      <c r="F78" s="50" t="n"/>
    </row>
    <row r="79">
      <c r="B79" s="49" t="n"/>
      <c r="C79" s="49" t="n"/>
      <c r="D79" s="49" t="n"/>
      <c r="E79" s="49" t="n"/>
      <c r="F79" s="50" t="n"/>
    </row>
    <row r="80">
      <c r="B80" s="49" t="n"/>
      <c r="C80" s="49" t="n"/>
      <c r="D80" s="49" t="n"/>
      <c r="E80" s="49" t="n"/>
      <c r="F80" s="50" t="n"/>
    </row>
    <row r="81">
      <c r="B81" s="49" t="n"/>
      <c r="C81" s="49" t="n"/>
      <c r="D81" s="49" t="n"/>
      <c r="E81" s="49" t="n"/>
      <c r="F81" s="50" t="n"/>
    </row>
    <row r="82">
      <c r="B82" s="49" t="n"/>
      <c r="C82" s="49" t="n"/>
      <c r="D82" s="49" t="n"/>
      <c r="E82" s="49" t="n"/>
      <c r="F82" s="50" t="n"/>
    </row>
    <row r="83">
      <c r="B83" s="49" t="n"/>
      <c r="C83" s="49" t="n"/>
      <c r="D83" s="49" t="n"/>
      <c r="E83" s="49" t="n"/>
      <c r="F83" s="50" t="n"/>
    </row>
    <row r="84">
      <c r="B84" s="49" t="n"/>
      <c r="C84" s="49" t="n"/>
      <c r="D84" s="49" t="n"/>
      <c r="E84" s="49" t="n"/>
      <c r="F84" s="50" t="n"/>
    </row>
    <row r="85">
      <c r="B85" s="49" t="n"/>
      <c r="C85" s="49" t="n"/>
      <c r="D85" s="49" t="n"/>
      <c r="E85" s="49" t="n"/>
      <c r="F85" s="50" t="n"/>
    </row>
    <row r="86">
      <c r="B86" s="49" t="n"/>
      <c r="C86" s="49" t="n"/>
      <c r="D86" s="49" t="n"/>
      <c r="E86" s="49" t="n"/>
      <c r="F86" s="50" t="n"/>
    </row>
    <row r="87">
      <c r="B87" s="49" t="n"/>
      <c r="C87" s="49" t="n"/>
      <c r="D87" s="49" t="n"/>
      <c r="E87" s="49" t="n"/>
      <c r="F87" s="50" t="n"/>
    </row>
    <row r="88">
      <c r="B88" s="49" t="n"/>
      <c r="C88" s="49" t="n"/>
      <c r="D88" s="49" t="n"/>
      <c r="E88" s="49" t="n"/>
      <c r="F88" s="50" t="n"/>
    </row>
    <row r="89">
      <c r="B89" s="49" t="n"/>
      <c r="C89" s="49" t="n"/>
      <c r="D89" s="49" t="n"/>
      <c r="E89" s="49" t="n"/>
      <c r="F89" s="50" t="n"/>
    </row>
    <row r="90">
      <c r="B90" s="49" t="n"/>
      <c r="C90" s="49" t="n"/>
      <c r="D90" s="49" t="n"/>
      <c r="E90" s="49" t="n"/>
      <c r="F90" s="50" t="n"/>
    </row>
    <row r="91">
      <c r="B91" s="49" t="n"/>
      <c r="C91" s="49" t="n"/>
      <c r="D91" s="49" t="n"/>
      <c r="E91" s="49" t="n"/>
      <c r="F91" s="50" t="n"/>
    </row>
    <row r="92">
      <c r="B92" s="49" t="n"/>
      <c r="C92" s="49" t="n"/>
      <c r="D92" s="49" t="n"/>
      <c r="E92" s="49" t="n"/>
      <c r="F92" s="50" t="n"/>
    </row>
    <row r="93">
      <c r="B93" s="49" t="n"/>
      <c r="C93" s="49" t="n"/>
      <c r="D93" s="49" t="n"/>
      <c r="E93" s="49" t="n"/>
      <c r="F93" s="50" t="n"/>
    </row>
    <row r="94">
      <c r="B94" s="49" t="n"/>
      <c r="C94" s="49" t="n"/>
      <c r="D94" s="49" t="n"/>
      <c r="E94" s="49" t="n"/>
      <c r="F94" s="50" t="n"/>
    </row>
    <row r="95">
      <c r="B95" s="49" t="n"/>
      <c r="C95" s="49" t="n"/>
      <c r="D95" s="49" t="n"/>
      <c r="E95" s="49" t="n"/>
      <c r="F95" s="50" t="n"/>
    </row>
    <row r="96">
      <c r="B96" s="49" t="n"/>
      <c r="C96" s="49" t="n"/>
      <c r="D96" s="49" t="n"/>
      <c r="E96" s="49" t="n"/>
      <c r="F96" s="50" t="n"/>
    </row>
    <row r="97">
      <c r="B97" s="49" t="n"/>
      <c r="C97" s="49" t="n"/>
      <c r="D97" s="49" t="n"/>
      <c r="E97" s="49" t="n"/>
      <c r="F97" s="50" t="n"/>
    </row>
    <row r="98">
      <c r="B98" s="49" t="n"/>
      <c r="C98" s="49" t="n"/>
      <c r="D98" s="49" t="n"/>
      <c r="E98" s="49" t="n"/>
      <c r="F98" s="50" t="n"/>
    </row>
    <row r="99">
      <c r="B99" s="49" t="n"/>
      <c r="C99" s="49" t="n"/>
      <c r="D99" s="49" t="n"/>
      <c r="E99" s="49" t="n"/>
      <c r="F99" s="50" t="n"/>
    </row>
    <row r="100">
      <c r="B100" s="49" t="n"/>
      <c r="C100" s="49" t="n"/>
      <c r="D100" s="49" t="n"/>
      <c r="E100" s="49" t="n"/>
      <c r="F100" s="50" t="n"/>
    </row>
    <row r="101">
      <c r="B101" s="49" t="n"/>
      <c r="C101" s="49" t="n"/>
      <c r="D101" s="49" t="n"/>
      <c r="E101" s="49" t="n"/>
      <c r="F101" s="50" t="n"/>
    </row>
    <row r="102">
      <c r="B102" s="49" t="n"/>
      <c r="C102" s="49" t="n"/>
      <c r="D102" s="49" t="n"/>
      <c r="E102" s="49" t="n"/>
      <c r="F102" s="50" t="n"/>
    </row>
    <row r="103">
      <c r="B103" s="49" t="n"/>
      <c r="C103" s="49" t="n"/>
      <c r="D103" s="49" t="n"/>
      <c r="E103" s="49" t="n"/>
      <c r="F103" s="50" t="n"/>
    </row>
    <row r="104">
      <c r="B104" s="49" t="n"/>
      <c r="C104" s="49" t="n"/>
      <c r="D104" s="49" t="n"/>
      <c r="E104" s="49" t="n"/>
      <c r="F104" s="50" t="n"/>
    </row>
    <row r="105">
      <c r="B105" s="49" t="n"/>
      <c r="C105" s="49" t="n"/>
      <c r="D105" s="49" t="n"/>
      <c r="E105" s="49" t="n"/>
      <c r="F105" s="50" t="n"/>
    </row>
    <row r="106">
      <c r="B106" s="49" t="n"/>
      <c r="C106" s="49" t="n"/>
      <c r="D106" s="49" t="n"/>
      <c r="E106" s="49" t="n"/>
      <c r="F106" s="50" t="n"/>
    </row>
    <row r="107">
      <c r="B107" s="49" t="n"/>
      <c r="C107" s="49" t="n"/>
      <c r="D107" s="49" t="n"/>
      <c r="E107" s="49" t="n"/>
      <c r="F107" s="50" t="n"/>
    </row>
    <row r="108">
      <c r="B108" s="49" t="n"/>
      <c r="C108" s="49" t="n"/>
      <c r="D108" s="49" t="n"/>
      <c r="E108" s="49" t="n"/>
      <c r="F108" s="50" t="n"/>
    </row>
    <row r="109">
      <c r="B109" s="49" t="n"/>
      <c r="C109" s="49" t="n"/>
      <c r="D109" s="49" t="n"/>
      <c r="E109" s="49" t="n"/>
      <c r="F109" s="50" t="n"/>
    </row>
    <row r="110">
      <c r="B110" s="49" t="n"/>
      <c r="C110" s="49" t="n"/>
      <c r="D110" s="49" t="n"/>
      <c r="E110" s="49" t="n"/>
      <c r="F110" s="50" t="n"/>
    </row>
    <row r="111">
      <c r="B111" s="49" t="n"/>
      <c r="C111" s="49" t="n"/>
      <c r="D111" s="49" t="n"/>
      <c r="E111" s="49" t="n"/>
      <c r="F111" s="50" t="n"/>
    </row>
    <row r="112">
      <c r="B112" s="49" t="n"/>
      <c r="C112" s="49" t="n"/>
      <c r="D112" s="49" t="n"/>
      <c r="E112" s="49" t="n"/>
      <c r="F112" s="50" t="n"/>
    </row>
    <row r="113">
      <c r="B113" s="49" t="n"/>
      <c r="C113" s="49" t="n"/>
      <c r="D113" s="49" t="n"/>
      <c r="E113" s="49" t="n"/>
      <c r="F113" s="50" t="n"/>
    </row>
    <row r="114">
      <c r="B114" s="49" t="n"/>
      <c r="C114" s="49" t="n"/>
      <c r="D114" s="49" t="n"/>
      <c r="E114" s="49" t="n"/>
      <c r="F114" s="50" t="n"/>
    </row>
    <row r="115">
      <c r="B115" s="49" t="n"/>
      <c r="C115" s="49" t="n"/>
      <c r="D115" s="49" t="n"/>
      <c r="E115" s="49" t="n"/>
      <c r="F115" s="50" t="n"/>
    </row>
    <row r="116">
      <c r="B116" s="49" t="n"/>
      <c r="C116" s="49" t="n"/>
      <c r="D116" s="49" t="n"/>
      <c r="E116" s="49" t="n"/>
      <c r="F116" s="50" t="n"/>
    </row>
    <row r="117">
      <c r="B117" s="49" t="n"/>
      <c r="C117" s="49" t="n"/>
      <c r="D117" s="49" t="n"/>
      <c r="E117" s="49" t="n"/>
      <c r="F117" s="50" t="n"/>
    </row>
    <row r="118">
      <c r="B118" s="49" t="n"/>
      <c r="C118" s="49" t="n"/>
      <c r="D118" s="49" t="n"/>
      <c r="E118" s="49" t="n"/>
      <c r="F118" s="50" t="n"/>
    </row>
    <row r="119">
      <c r="B119" s="49" t="n"/>
      <c r="C119" s="49" t="n"/>
      <c r="D119" s="49" t="n"/>
      <c r="E119" s="49" t="n"/>
      <c r="F119" s="50" t="n"/>
    </row>
    <row r="120">
      <c r="B120" s="49" t="n"/>
      <c r="C120" s="49" t="n"/>
      <c r="D120" s="49" t="n"/>
      <c r="E120" s="49" t="n"/>
      <c r="F120" s="50" t="n"/>
    </row>
    <row r="121">
      <c r="B121" s="49" t="n"/>
      <c r="C121" s="49" t="n"/>
      <c r="D121" s="49" t="n"/>
      <c r="E121" s="49" t="n"/>
      <c r="F121" s="50" t="n"/>
    </row>
    <row r="122">
      <c r="B122" s="49" t="n"/>
      <c r="C122" s="49" t="n"/>
      <c r="D122" s="49" t="n"/>
      <c r="E122" s="49" t="n"/>
      <c r="F122" s="50" t="n"/>
    </row>
    <row r="123">
      <c r="B123" s="49" t="n"/>
      <c r="C123" s="49" t="n"/>
      <c r="D123" s="49" t="n"/>
      <c r="E123" s="49" t="n"/>
      <c r="F123" s="50" t="n"/>
    </row>
    <row r="124">
      <c r="B124" s="49" t="n"/>
      <c r="C124" s="49" t="n"/>
      <c r="D124" s="49" t="n"/>
      <c r="E124" s="49" t="n"/>
      <c r="F124" s="50" t="n"/>
    </row>
    <row r="125">
      <c r="B125" s="49" t="n"/>
      <c r="C125" s="49" t="n"/>
      <c r="D125" s="49" t="n"/>
      <c r="E125" s="49" t="n"/>
      <c r="F125" s="50" t="n"/>
    </row>
    <row r="126">
      <c r="B126" s="49" t="n"/>
      <c r="C126" s="49" t="n"/>
      <c r="D126" s="49" t="n"/>
      <c r="E126" s="49" t="n"/>
      <c r="F126" s="50" t="n"/>
    </row>
    <row r="127">
      <c r="B127" s="49" t="n"/>
      <c r="C127" s="49" t="n"/>
      <c r="D127" s="49" t="n"/>
      <c r="E127" s="49" t="n"/>
      <c r="F127" s="50" t="n"/>
    </row>
    <row r="128">
      <c r="B128" s="49" t="n"/>
      <c r="C128" s="49" t="n"/>
      <c r="D128" s="49" t="n"/>
      <c r="E128" s="49" t="n"/>
      <c r="F128" s="50" t="n"/>
    </row>
    <row r="129">
      <c r="B129" s="49" t="n"/>
      <c r="C129" s="49" t="n"/>
      <c r="D129" s="49" t="n"/>
      <c r="E129" s="49" t="n"/>
      <c r="F129" s="50" t="n"/>
    </row>
    <row r="130">
      <c r="B130" s="49" t="n"/>
      <c r="C130" s="49" t="n"/>
      <c r="D130" s="49" t="n"/>
      <c r="E130" s="49" t="n"/>
      <c r="F130" s="50" t="n"/>
    </row>
    <row r="131">
      <c r="B131" s="49" t="n"/>
      <c r="C131" s="49" t="n"/>
      <c r="D131" s="49" t="n"/>
      <c r="E131" s="49" t="n"/>
      <c r="F131" s="50" t="n"/>
    </row>
    <row r="132">
      <c r="B132" s="49" t="n"/>
      <c r="C132" s="49" t="n"/>
      <c r="D132" s="49" t="n"/>
      <c r="E132" s="49" t="n"/>
      <c r="F132" s="50" t="n"/>
    </row>
    <row r="133">
      <c r="B133" s="49" t="n"/>
      <c r="C133" s="49" t="n"/>
      <c r="D133" s="49" t="n"/>
      <c r="E133" s="49" t="n"/>
      <c r="F133" s="50" t="n"/>
    </row>
    <row r="134">
      <c r="B134" s="49" t="n"/>
      <c r="C134" s="49" t="n"/>
      <c r="D134" s="49" t="n"/>
      <c r="E134" s="49" t="n"/>
      <c r="F134" s="50" t="n"/>
    </row>
    <row r="135">
      <c r="B135" s="49" t="n"/>
      <c r="C135" s="49" t="n"/>
      <c r="D135" s="49" t="n"/>
      <c r="E135" s="49" t="n"/>
      <c r="F135" s="50" t="n"/>
    </row>
    <row r="136">
      <c r="B136" s="49" t="n"/>
      <c r="C136" s="49" t="n"/>
      <c r="D136" s="49" t="n"/>
      <c r="E136" s="49" t="n"/>
      <c r="F136" s="50" t="n"/>
    </row>
    <row r="137">
      <c r="B137" s="49" t="n"/>
      <c r="C137" s="49" t="n"/>
      <c r="D137" s="49" t="n"/>
      <c r="E137" s="49" t="n"/>
      <c r="F137" s="50" t="n"/>
    </row>
    <row r="138">
      <c r="B138" s="49" t="n"/>
      <c r="C138" s="49" t="n"/>
      <c r="D138" s="49" t="n"/>
      <c r="E138" s="49" t="n"/>
      <c r="F138" s="50" t="n"/>
    </row>
    <row r="139">
      <c r="B139" s="49" t="n"/>
      <c r="C139" s="49" t="n"/>
      <c r="D139" s="49" t="n"/>
      <c r="E139" s="49" t="n"/>
      <c r="F139" s="50" t="n"/>
    </row>
    <row r="140">
      <c r="B140" s="49" t="n"/>
      <c r="C140" s="49" t="n"/>
      <c r="D140" s="49" t="n"/>
      <c r="E140" s="49" t="n"/>
      <c r="F140" s="50" t="n"/>
    </row>
    <row r="141">
      <c r="B141" s="49" t="n"/>
      <c r="C141" s="49" t="n"/>
      <c r="D141" s="49" t="n"/>
      <c r="E141" s="49" t="n"/>
      <c r="F141" s="50" t="n"/>
    </row>
    <row r="142">
      <c r="B142" s="49" t="n"/>
      <c r="C142" s="49" t="n"/>
      <c r="D142" s="49" t="n"/>
      <c r="E142" s="49" t="n"/>
      <c r="F142" s="50" t="n"/>
    </row>
    <row r="143">
      <c r="B143" s="49" t="n"/>
      <c r="C143" s="49" t="n"/>
      <c r="D143" s="49" t="n"/>
      <c r="E143" s="49" t="n"/>
      <c r="F143" s="50" t="n"/>
    </row>
    <row r="144">
      <c r="B144" s="49" t="n"/>
      <c r="C144" s="49" t="n"/>
      <c r="D144" s="49" t="n"/>
      <c r="E144" s="49" t="n"/>
      <c r="F144" s="50" t="n"/>
    </row>
    <row r="145">
      <c r="B145" s="49" t="n"/>
      <c r="C145" s="49" t="n"/>
      <c r="D145" s="49" t="n"/>
      <c r="E145" s="49" t="n"/>
      <c r="F145" s="50" t="n"/>
    </row>
    <row r="146">
      <c r="B146" s="49" t="n"/>
      <c r="C146" s="49" t="n"/>
      <c r="D146" s="49" t="n"/>
      <c r="E146" s="49" t="n"/>
      <c r="F146" s="50" t="n"/>
    </row>
    <row r="147">
      <c r="B147" s="49" t="n"/>
      <c r="C147" s="49" t="n"/>
      <c r="D147" s="49" t="n"/>
      <c r="E147" s="49" t="n"/>
      <c r="F147" s="50" t="n"/>
    </row>
    <row r="148">
      <c r="B148" s="49" t="n"/>
      <c r="C148" s="49" t="n"/>
      <c r="D148" s="49" t="n"/>
      <c r="E148" s="49" t="n"/>
      <c r="F148" s="50" t="n"/>
    </row>
    <row r="149">
      <c r="B149" s="49" t="n"/>
      <c r="C149" s="49" t="n"/>
      <c r="D149" s="49" t="n"/>
      <c r="E149" s="49" t="n"/>
      <c r="F149" s="50" t="n"/>
    </row>
    <row r="150">
      <c r="B150" s="49" t="n"/>
      <c r="C150" s="49" t="n"/>
      <c r="D150" s="49" t="n"/>
      <c r="E150" s="49" t="n"/>
      <c r="F150" s="50" t="n"/>
    </row>
    <row r="151">
      <c r="B151" s="49" t="n"/>
      <c r="C151" s="49" t="n"/>
      <c r="D151" s="49" t="n"/>
      <c r="E151" s="49" t="n"/>
      <c r="F151" s="50" t="n"/>
    </row>
    <row r="152">
      <c r="B152" s="49" t="n"/>
      <c r="C152" s="49" t="n"/>
      <c r="D152" s="49" t="n"/>
      <c r="E152" s="49" t="n"/>
      <c r="F152" s="50" t="n"/>
    </row>
    <row r="153">
      <c r="B153" s="49" t="n"/>
      <c r="C153" s="49" t="n"/>
      <c r="D153" s="49" t="n"/>
      <c r="E153" s="49" t="n"/>
      <c r="F153" s="50" t="n"/>
    </row>
    <row r="154">
      <c r="B154" s="49" t="n"/>
      <c r="C154" s="49" t="n"/>
      <c r="D154" s="49" t="n"/>
      <c r="E154" s="49" t="n"/>
      <c r="F154" s="50" t="n"/>
    </row>
    <row r="155">
      <c r="B155" s="49" t="n"/>
      <c r="C155" s="49" t="n"/>
      <c r="D155" s="49" t="n"/>
      <c r="E155" s="49" t="n"/>
      <c r="F155" s="50" t="n"/>
    </row>
    <row r="156">
      <c r="B156" s="49" t="n"/>
      <c r="C156" s="49" t="n"/>
      <c r="D156" s="49" t="n"/>
      <c r="E156" s="49" t="n"/>
      <c r="F156" s="50" t="n"/>
    </row>
    <row r="157">
      <c r="B157" s="49" t="n"/>
      <c r="C157" s="49" t="n"/>
      <c r="D157" s="49" t="n"/>
      <c r="E157" s="49" t="n"/>
      <c r="F157" s="50" t="n"/>
    </row>
    <row r="158">
      <c r="B158" s="49" t="n"/>
      <c r="C158" s="49" t="n"/>
      <c r="D158" s="49" t="n"/>
      <c r="E158" s="49" t="n"/>
      <c r="F158" s="50" t="n"/>
    </row>
    <row r="159">
      <c r="B159" s="49" t="n"/>
      <c r="C159" s="49" t="n"/>
      <c r="D159" s="49" t="n"/>
      <c r="E159" s="49" t="n"/>
      <c r="F159" s="50" t="n"/>
    </row>
    <row r="160">
      <c r="B160" s="49" t="n"/>
      <c r="C160" s="49" t="n"/>
      <c r="D160" s="49" t="n"/>
      <c r="E160" s="49" t="n"/>
      <c r="F160" s="50" t="n"/>
    </row>
    <row r="161">
      <c r="B161" s="49" t="n"/>
      <c r="C161" s="49" t="n"/>
      <c r="D161" s="49" t="n"/>
      <c r="E161" s="49" t="n"/>
      <c r="F161" s="50" t="n"/>
    </row>
    <row r="162">
      <c r="B162" s="49" t="n"/>
      <c r="C162" s="49" t="n"/>
      <c r="D162" s="49" t="n"/>
      <c r="E162" s="49" t="n"/>
      <c r="F162" s="50" t="n"/>
    </row>
    <row r="163">
      <c r="B163" s="49" t="n"/>
      <c r="C163" s="49" t="n"/>
      <c r="D163" s="49" t="n"/>
      <c r="E163" s="49" t="n"/>
      <c r="F163" s="50" t="n"/>
    </row>
    <row r="164">
      <c r="B164" s="49" t="n"/>
      <c r="C164" s="49" t="n"/>
      <c r="D164" s="49" t="n"/>
      <c r="E164" s="49" t="n"/>
      <c r="F164" s="50" t="n"/>
    </row>
    <row r="165">
      <c r="B165" s="49" t="n"/>
      <c r="C165" s="49" t="n"/>
      <c r="D165" s="49" t="n"/>
      <c r="E165" s="49" t="n"/>
      <c r="F165" s="50" t="n"/>
    </row>
    <row r="166">
      <c r="B166" s="49" t="n"/>
      <c r="C166" s="49" t="n"/>
      <c r="D166" s="49" t="n"/>
      <c r="E166" s="49" t="n"/>
      <c r="F166" s="50" t="n"/>
    </row>
    <row r="167">
      <c r="B167" s="49" t="n"/>
      <c r="C167" s="49" t="n"/>
      <c r="D167" s="49" t="n"/>
      <c r="E167" s="49" t="n"/>
      <c r="F167" s="50" t="n"/>
    </row>
    <row r="168">
      <c r="B168" s="49" t="n"/>
      <c r="C168" s="49" t="n"/>
      <c r="D168" s="49" t="n"/>
      <c r="E168" s="49" t="n"/>
      <c r="F168" s="50" t="n"/>
    </row>
    <row r="169">
      <c r="B169" s="49" t="n"/>
      <c r="C169" s="49" t="n"/>
      <c r="D169" s="49" t="n"/>
      <c r="E169" s="49" t="n"/>
      <c r="F169" s="50" t="n"/>
    </row>
    <row r="170">
      <c r="B170" s="49" t="n"/>
      <c r="C170" s="49" t="n"/>
      <c r="D170" s="49" t="n"/>
      <c r="E170" s="49" t="n"/>
      <c r="F170" s="50" t="n"/>
    </row>
    <row r="171">
      <c r="B171" s="49" t="n"/>
      <c r="C171" s="49" t="n"/>
      <c r="D171" s="49" t="n"/>
      <c r="E171" s="49" t="n"/>
      <c r="F171" s="50" t="n"/>
    </row>
    <row r="172">
      <c r="B172" s="49" t="n"/>
      <c r="C172" s="49" t="n"/>
      <c r="D172" s="49" t="n"/>
      <c r="E172" s="49" t="n"/>
      <c r="F172" s="50" t="n"/>
    </row>
    <row r="173">
      <c r="B173" s="49" t="n"/>
      <c r="C173" s="49" t="n"/>
      <c r="D173" s="49" t="n"/>
      <c r="E173" s="49" t="n"/>
      <c r="F173" s="50" t="n"/>
    </row>
    <row r="174">
      <c r="B174" s="49" t="n"/>
      <c r="C174" s="49" t="n"/>
      <c r="D174" s="49" t="n"/>
      <c r="E174" s="49" t="n"/>
      <c r="F174" s="50" t="n"/>
    </row>
    <row r="175">
      <c r="B175" s="49" t="n"/>
      <c r="C175" s="49" t="n"/>
      <c r="D175" s="49" t="n"/>
      <c r="E175" s="49" t="n"/>
      <c r="F175" s="50" t="n"/>
    </row>
    <row r="176">
      <c r="B176" s="49" t="n"/>
      <c r="C176" s="49" t="n"/>
      <c r="D176" s="49" t="n"/>
      <c r="E176" s="49" t="n"/>
      <c r="F176" s="50" t="n"/>
    </row>
    <row r="177">
      <c r="B177" s="49" t="n"/>
      <c r="C177" s="49" t="n"/>
      <c r="D177" s="49" t="n"/>
      <c r="E177" s="49" t="n"/>
      <c r="F177" s="50" t="n"/>
    </row>
    <row r="178">
      <c r="B178" s="49" t="n"/>
      <c r="C178" s="49" t="n"/>
      <c r="D178" s="49" t="n"/>
      <c r="E178" s="49" t="n"/>
      <c r="F178" s="50" t="n"/>
    </row>
    <row r="179">
      <c r="B179" s="49" t="n"/>
      <c r="C179" s="49" t="n"/>
      <c r="D179" s="49" t="n"/>
      <c r="E179" s="49" t="n"/>
      <c r="F179" s="50" t="n"/>
    </row>
    <row r="180">
      <c r="B180" s="49" t="n"/>
      <c r="C180" s="49" t="n"/>
      <c r="D180" s="49" t="n"/>
      <c r="E180" s="49" t="n"/>
      <c r="F180" s="50" t="n"/>
    </row>
    <row r="181">
      <c r="B181" s="49" t="n"/>
      <c r="C181" s="49" t="n"/>
      <c r="D181" s="49" t="n"/>
      <c r="E181" s="49" t="n"/>
      <c r="F181" s="50" t="n"/>
    </row>
    <row r="182">
      <c r="B182" s="49" t="n"/>
      <c r="C182" s="49" t="n"/>
      <c r="D182" s="49" t="n"/>
      <c r="E182" s="49" t="n"/>
      <c r="F182" s="50" t="n"/>
    </row>
    <row r="183">
      <c r="B183" s="49" t="n"/>
      <c r="C183" s="49" t="n"/>
      <c r="D183" s="49" t="n"/>
      <c r="E183" s="49" t="n"/>
      <c r="F183" s="50" t="n"/>
    </row>
    <row r="184">
      <c r="B184" s="49" t="n"/>
      <c r="C184" s="49" t="n"/>
      <c r="D184" s="49" t="n"/>
      <c r="E184" s="49" t="n"/>
      <c r="F184" s="50" t="n"/>
    </row>
    <row r="185">
      <c r="B185" s="49" t="n"/>
      <c r="C185" s="49" t="n"/>
      <c r="D185" s="49" t="n"/>
      <c r="E185" s="49" t="n"/>
      <c r="F185" s="50" t="n"/>
    </row>
    <row r="186">
      <c r="B186" s="49" t="n"/>
      <c r="C186" s="49" t="n"/>
      <c r="D186" s="49" t="n"/>
      <c r="E186" s="49" t="n"/>
      <c r="F186" s="50" t="n"/>
    </row>
    <row r="187">
      <c r="B187" s="49" t="n"/>
      <c r="C187" s="49" t="n"/>
      <c r="D187" s="49" t="n"/>
      <c r="E187" s="49" t="n"/>
      <c r="F187" s="50" t="n"/>
    </row>
    <row r="188">
      <c r="B188" s="49" t="n"/>
      <c r="C188" s="49" t="n"/>
      <c r="D188" s="49" t="n"/>
      <c r="E188" s="49" t="n"/>
      <c r="F188" s="50" t="n"/>
    </row>
    <row r="189">
      <c r="B189" s="49" t="n"/>
      <c r="C189" s="49" t="n"/>
      <c r="D189" s="49" t="n"/>
      <c r="E189" s="49" t="n"/>
      <c r="F189" s="50" t="n"/>
    </row>
    <row r="190">
      <c r="B190" s="49" t="n"/>
      <c r="C190" s="49" t="n"/>
      <c r="D190" s="49" t="n"/>
      <c r="E190" s="49" t="n"/>
      <c r="F190" s="50" t="n"/>
    </row>
    <row r="191">
      <c r="B191" s="49" t="n"/>
      <c r="C191" s="49" t="n"/>
      <c r="D191" s="49" t="n"/>
      <c r="E191" s="49" t="n"/>
      <c r="F191" s="50" t="n"/>
    </row>
    <row r="192">
      <c r="B192" s="49" t="n"/>
      <c r="C192" s="49" t="n"/>
      <c r="D192" s="49" t="n"/>
      <c r="E192" s="49" t="n"/>
      <c r="F192" s="50" t="n"/>
    </row>
    <row r="193">
      <c r="B193" s="49" t="n"/>
      <c r="C193" s="49" t="n"/>
      <c r="D193" s="49" t="n"/>
      <c r="E193" s="49" t="n"/>
      <c r="F193" s="50" t="n"/>
    </row>
    <row r="194">
      <c r="B194" s="49" t="n"/>
      <c r="C194" s="49" t="n"/>
      <c r="D194" s="49" t="n"/>
      <c r="E194" s="49" t="n"/>
      <c r="F194" s="50" t="n"/>
    </row>
    <row r="195">
      <c r="B195" s="49" t="n"/>
      <c r="C195" s="49" t="n"/>
      <c r="D195" s="49" t="n"/>
      <c r="E195" s="49" t="n"/>
      <c r="F195" s="50" t="n"/>
    </row>
    <row r="196">
      <c r="B196" s="49" t="n"/>
      <c r="C196" s="49" t="n"/>
      <c r="D196" s="49" t="n"/>
      <c r="E196" s="49" t="n"/>
      <c r="F196" s="50" t="n"/>
    </row>
    <row r="197">
      <c r="B197" s="49" t="n"/>
      <c r="C197" s="49" t="n"/>
      <c r="D197" s="49" t="n"/>
      <c r="E197" s="49" t="n"/>
      <c r="F197" s="50" t="n"/>
    </row>
    <row r="198">
      <c r="B198" s="49" t="n"/>
      <c r="C198" s="49" t="n"/>
      <c r="D198" s="49" t="n"/>
      <c r="E198" s="49" t="n"/>
      <c r="F198" s="50" t="n"/>
    </row>
    <row r="199">
      <c r="B199" s="49" t="n"/>
      <c r="C199" s="49" t="n"/>
      <c r="D199" s="49" t="n"/>
      <c r="E199" s="49" t="n"/>
      <c r="F199" s="50" t="n"/>
    </row>
    <row r="200">
      <c r="B200" s="49" t="n"/>
      <c r="C200" s="49" t="n"/>
      <c r="D200" s="49" t="n"/>
      <c r="E200" s="49" t="n"/>
      <c r="F200" s="50" t="n"/>
    </row>
    <row r="201">
      <c r="B201" s="49" t="n"/>
      <c r="C201" s="49" t="n"/>
      <c r="D201" s="49" t="n"/>
      <c r="E201" s="49" t="n"/>
      <c r="F201" s="50" t="n"/>
    </row>
    <row r="202">
      <c r="B202" s="49" t="n"/>
      <c r="C202" s="49" t="n"/>
      <c r="D202" s="49" t="n"/>
      <c r="E202" s="49" t="n"/>
      <c r="F202" s="50" t="n"/>
    </row>
    <row r="203">
      <c r="B203" s="49" t="n"/>
      <c r="C203" s="49" t="n"/>
      <c r="D203" s="49" t="n"/>
      <c r="E203" s="49" t="n"/>
      <c r="F203" s="50" t="n"/>
    </row>
    <row r="204">
      <c r="B204" s="49" t="n"/>
      <c r="C204" s="49" t="n"/>
      <c r="D204" s="49" t="n"/>
      <c r="E204" s="49" t="n"/>
      <c r="F204" s="50" t="n"/>
    </row>
    <row r="205">
      <c r="B205" s="49" t="n"/>
      <c r="C205" s="49" t="n"/>
      <c r="D205" s="49" t="n"/>
      <c r="E205" s="49" t="n"/>
      <c r="F205" s="50" t="n"/>
    </row>
    <row r="206">
      <c r="B206" s="49" t="n"/>
      <c r="C206" s="49" t="n"/>
      <c r="D206" s="49" t="n"/>
      <c r="E206" s="49" t="n"/>
      <c r="F206" s="50" t="n"/>
    </row>
    <row r="207">
      <c r="B207" s="49" t="n"/>
      <c r="C207" s="49" t="n"/>
      <c r="D207" s="49" t="n"/>
      <c r="E207" s="49" t="n"/>
      <c r="F207" s="50" t="n"/>
    </row>
    <row r="208">
      <c r="B208" s="49" t="n"/>
      <c r="C208" s="49" t="n"/>
      <c r="D208" s="49" t="n"/>
      <c r="E208" s="49" t="n"/>
      <c r="F208" s="50" t="n"/>
    </row>
    <row r="209">
      <c r="B209" s="49" t="n"/>
      <c r="C209" s="49" t="n"/>
      <c r="D209" s="49" t="n"/>
      <c r="E209" s="49" t="n"/>
      <c r="F209" s="50" t="n"/>
    </row>
    <row r="210">
      <c r="B210" s="49" t="n"/>
      <c r="C210" s="49" t="n"/>
      <c r="D210" s="49" t="n"/>
      <c r="E210" s="49" t="n"/>
      <c r="F210" s="50" t="n"/>
    </row>
    <row r="211">
      <c r="B211" s="49" t="n"/>
      <c r="C211" s="49" t="n"/>
      <c r="D211" s="49" t="n"/>
      <c r="E211" s="49" t="n"/>
      <c r="F211" s="50" t="n"/>
    </row>
    <row r="212">
      <c r="B212" s="49" t="n"/>
      <c r="C212" s="49" t="n"/>
      <c r="D212" s="49" t="n"/>
      <c r="E212" s="49" t="n"/>
      <c r="F212" s="50" t="n"/>
    </row>
    <row r="213">
      <c r="B213" s="49" t="n"/>
      <c r="C213" s="49" t="n"/>
      <c r="D213" s="49" t="n"/>
      <c r="E213" s="49" t="n"/>
      <c r="F213" s="50" t="n"/>
    </row>
    <row r="214">
      <c r="B214" s="49" t="n"/>
      <c r="C214" s="49" t="n"/>
      <c r="D214" s="49" t="n"/>
      <c r="E214" s="49" t="n"/>
      <c r="F214" s="50" t="n"/>
    </row>
    <row r="215">
      <c r="B215" s="49" t="n"/>
      <c r="C215" s="49" t="n"/>
      <c r="D215" s="49" t="n"/>
      <c r="E215" s="49" t="n"/>
      <c r="F215" s="50" t="n"/>
    </row>
    <row r="216">
      <c r="B216" s="49" t="n"/>
      <c r="C216" s="49" t="n"/>
      <c r="D216" s="49" t="n"/>
      <c r="E216" s="49" t="n"/>
      <c r="F216" s="50" t="n"/>
    </row>
    <row r="217">
      <c r="B217" s="49" t="n"/>
      <c r="C217" s="49" t="n"/>
      <c r="D217" s="49" t="n"/>
      <c r="E217" s="49" t="n"/>
      <c r="F217" s="50" t="n"/>
    </row>
    <row r="218">
      <c r="B218" s="49" t="n"/>
      <c r="C218" s="49" t="n"/>
      <c r="D218" s="49" t="n"/>
      <c r="E218" s="49" t="n"/>
      <c r="F218" s="50" t="n"/>
    </row>
    <row r="219">
      <c r="B219" s="49" t="n"/>
      <c r="C219" s="49" t="n"/>
      <c r="D219" s="49" t="n"/>
      <c r="E219" s="49" t="n"/>
      <c r="F219" s="50" t="n"/>
    </row>
    <row r="220">
      <c r="B220" s="49" t="n"/>
      <c r="C220" s="49" t="n"/>
      <c r="D220" s="49" t="n"/>
      <c r="E220" s="49" t="n"/>
      <c r="F220" s="50" t="n"/>
    </row>
    <row r="221">
      <c r="B221" s="49" t="n"/>
      <c r="C221" s="49" t="n"/>
      <c r="D221" s="49" t="n"/>
      <c r="E221" s="49" t="n"/>
      <c r="F221" s="50" t="n"/>
    </row>
    <row r="222">
      <c r="B222" s="49" t="n"/>
      <c r="C222" s="49" t="n"/>
      <c r="D222" s="49" t="n"/>
      <c r="E222" s="49" t="n"/>
      <c r="F222" s="50" t="n"/>
    </row>
    <row r="223">
      <c r="B223" s="49" t="n"/>
      <c r="C223" s="49" t="n"/>
      <c r="D223" s="49" t="n"/>
      <c r="E223" s="49" t="n"/>
      <c r="F223" s="50" t="n"/>
    </row>
    <row r="224">
      <c r="B224" s="49" t="n"/>
      <c r="C224" s="49" t="n"/>
      <c r="D224" s="49" t="n"/>
      <c r="E224" s="49" t="n"/>
      <c r="F224" s="50" t="n"/>
    </row>
    <row r="225">
      <c r="B225" s="49" t="n"/>
      <c r="C225" s="49" t="n"/>
      <c r="D225" s="49" t="n"/>
      <c r="E225" s="49" t="n"/>
      <c r="F225" s="50" t="n"/>
    </row>
    <row r="226">
      <c r="B226" s="49" t="n"/>
      <c r="C226" s="49" t="n"/>
      <c r="D226" s="49" t="n"/>
      <c r="E226" s="49" t="n"/>
      <c r="F226" s="50" t="n"/>
    </row>
    <row r="227">
      <c r="B227" s="49" t="n"/>
      <c r="C227" s="49" t="n"/>
      <c r="D227" s="49" t="n"/>
      <c r="E227" s="49" t="n"/>
      <c r="F227" s="50" t="n"/>
    </row>
    <row r="228">
      <c r="B228" s="49" t="n"/>
      <c r="C228" s="49" t="n"/>
      <c r="D228" s="49" t="n"/>
      <c r="E228" s="49" t="n"/>
      <c r="F228" s="50" t="n"/>
    </row>
    <row r="229">
      <c r="B229" s="49" t="n"/>
      <c r="C229" s="49" t="n"/>
      <c r="D229" s="49" t="n"/>
      <c r="E229" s="49" t="n"/>
      <c r="F229" s="50" t="n"/>
    </row>
    <row r="230">
      <c r="B230" s="49" t="n"/>
      <c r="C230" s="49" t="n"/>
      <c r="D230" s="49" t="n"/>
      <c r="E230" s="49" t="n"/>
      <c r="F230" s="50" t="n"/>
    </row>
    <row r="231">
      <c r="B231" s="49" t="n"/>
      <c r="C231" s="49" t="n"/>
      <c r="D231" s="49" t="n"/>
      <c r="E231" s="49" t="n"/>
      <c r="F231" s="50" t="n"/>
    </row>
    <row r="232">
      <c r="B232" s="49" t="n"/>
      <c r="C232" s="49" t="n"/>
      <c r="D232" s="49" t="n"/>
      <c r="E232" s="49" t="n"/>
      <c r="F232" s="50" t="n"/>
    </row>
    <row r="233">
      <c r="B233" s="49" t="n"/>
      <c r="C233" s="49" t="n"/>
      <c r="D233" s="49" t="n"/>
      <c r="E233" s="49" t="n"/>
      <c r="F233" s="50" t="n"/>
    </row>
    <row r="234">
      <c r="B234" s="49" t="n"/>
      <c r="C234" s="49" t="n"/>
      <c r="D234" s="49" t="n"/>
      <c r="E234" s="49" t="n"/>
      <c r="F234" s="50" t="n"/>
    </row>
    <row r="235">
      <c r="B235" s="49" t="n"/>
      <c r="C235" s="49" t="n"/>
      <c r="D235" s="49" t="n"/>
      <c r="E235" s="49" t="n"/>
      <c r="F235" s="50" t="n"/>
    </row>
    <row r="236">
      <c r="B236" s="49" t="n"/>
      <c r="C236" s="49" t="n"/>
      <c r="D236" s="49" t="n"/>
      <c r="E236" s="49" t="n"/>
      <c r="F236" s="50" t="n"/>
    </row>
    <row r="237">
      <c r="B237" s="49" t="n"/>
      <c r="C237" s="49" t="n"/>
      <c r="D237" s="49" t="n"/>
      <c r="E237" s="49" t="n"/>
      <c r="F237" s="50" t="n"/>
    </row>
    <row r="238">
      <c r="B238" s="49" t="n"/>
      <c r="C238" s="49" t="n"/>
      <c r="D238" s="49" t="n"/>
      <c r="E238" s="49" t="n"/>
      <c r="F238" s="50" t="n"/>
    </row>
    <row r="239">
      <c r="B239" s="49" t="n"/>
      <c r="C239" s="49" t="n"/>
      <c r="D239" s="49" t="n"/>
      <c r="E239" s="49" t="n"/>
      <c r="F239" s="50" t="n"/>
    </row>
    <row r="240">
      <c r="B240" s="49" t="n"/>
      <c r="C240" s="49" t="n"/>
      <c r="D240" s="49" t="n"/>
      <c r="E240" s="49" t="n"/>
      <c r="F240" s="50" t="n"/>
    </row>
    <row r="241">
      <c r="B241" s="49" t="n"/>
      <c r="C241" s="49" t="n"/>
      <c r="D241" s="49" t="n"/>
      <c r="E241" s="49" t="n"/>
      <c r="F241" s="50" t="n"/>
    </row>
    <row r="242">
      <c r="B242" s="49" t="n"/>
      <c r="C242" s="49" t="n"/>
      <c r="D242" s="49" t="n"/>
      <c r="E242" s="49" t="n"/>
      <c r="F242" s="50" t="n"/>
    </row>
    <row r="243">
      <c r="B243" s="49" t="n"/>
      <c r="C243" s="49" t="n"/>
      <c r="D243" s="49" t="n"/>
      <c r="E243" s="49" t="n"/>
      <c r="F243" s="50" t="n"/>
    </row>
    <row r="244">
      <c r="B244" s="49" t="n"/>
      <c r="C244" s="49" t="n"/>
      <c r="D244" s="49" t="n"/>
      <c r="E244" s="49" t="n"/>
      <c r="F244" s="50" t="n"/>
    </row>
    <row r="245">
      <c r="B245" s="49" t="n"/>
      <c r="C245" s="49" t="n"/>
      <c r="D245" s="49" t="n"/>
      <c r="E245" s="49" t="n"/>
      <c r="F245" s="50" t="n"/>
    </row>
    <row r="246">
      <c r="B246" s="49" t="n"/>
      <c r="C246" s="49" t="n"/>
      <c r="D246" s="49" t="n"/>
      <c r="E246" s="49" t="n"/>
      <c r="F246" s="50" t="n"/>
    </row>
    <row r="247">
      <c r="B247" s="49" t="n"/>
      <c r="C247" s="49" t="n"/>
      <c r="D247" s="49" t="n"/>
      <c r="E247" s="49" t="n"/>
      <c r="F247" s="50" t="n"/>
    </row>
    <row r="248">
      <c r="B248" s="49" t="n"/>
      <c r="C248" s="49" t="n"/>
      <c r="D248" s="49" t="n"/>
      <c r="E248" s="49" t="n"/>
      <c r="F248" s="50" t="n"/>
    </row>
    <row r="249">
      <c r="B249" s="49" t="n"/>
      <c r="C249" s="49" t="n"/>
      <c r="D249" s="49" t="n"/>
      <c r="E249" s="49" t="n"/>
      <c r="F249" s="50" t="n"/>
    </row>
    <row r="250">
      <c r="B250" s="49" t="n"/>
      <c r="C250" s="49" t="n"/>
      <c r="D250" s="49" t="n"/>
      <c r="E250" s="49" t="n"/>
      <c r="F250" s="50" t="n"/>
    </row>
    <row r="251">
      <c r="B251" s="49" t="n"/>
      <c r="C251" s="49" t="n"/>
      <c r="D251" s="49" t="n"/>
      <c r="E251" s="49" t="n"/>
      <c r="F251" s="50" t="n"/>
    </row>
    <row r="252">
      <c r="B252" s="49" t="n"/>
      <c r="C252" s="49" t="n"/>
      <c r="D252" s="49" t="n"/>
      <c r="E252" s="49" t="n"/>
      <c r="F252" s="50" t="n"/>
    </row>
    <row r="253">
      <c r="B253" s="49" t="n"/>
      <c r="C253" s="49" t="n"/>
      <c r="D253" s="49" t="n"/>
      <c r="E253" s="49" t="n"/>
      <c r="F253" s="50" t="n"/>
    </row>
    <row r="254">
      <c r="B254" s="49" t="n"/>
      <c r="C254" s="49" t="n"/>
      <c r="D254" s="49" t="n"/>
      <c r="E254" s="49" t="n"/>
      <c r="F254" s="50" t="n"/>
    </row>
    <row r="255">
      <c r="B255" s="49" t="n"/>
      <c r="C255" s="49" t="n"/>
      <c r="D255" s="49" t="n"/>
      <c r="E255" s="49" t="n"/>
      <c r="F255" s="50" t="n"/>
    </row>
    <row r="256">
      <c r="B256" s="49" t="n"/>
      <c r="C256" s="49" t="n"/>
      <c r="D256" s="49" t="n"/>
      <c r="E256" s="49" t="n"/>
      <c r="F256" s="50" t="n"/>
    </row>
    <row r="257">
      <c r="B257" s="49" t="n"/>
      <c r="C257" s="49" t="n"/>
      <c r="D257" s="49" t="n"/>
      <c r="E257" s="49" t="n"/>
      <c r="F257" s="50" t="n"/>
    </row>
    <row r="258">
      <c r="B258" s="49" t="n"/>
      <c r="C258" s="49" t="n"/>
      <c r="D258" s="49" t="n"/>
      <c r="E258" s="49" t="n"/>
      <c r="F258" s="50" t="n"/>
    </row>
    <row r="259">
      <c r="B259" s="49" t="n"/>
      <c r="C259" s="49" t="n"/>
      <c r="D259" s="49" t="n"/>
      <c r="E259" s="49" t="n"/>
      <c r="F259" s="50" t="n"/>
    </row>
    <row r="260">
      <c r="B260" s="49" t="n"/>
      <c r="C260" s="49" t="n"/>
      <c r="D260" s="49" t="n"/>
      <c r="E260" s="49" t="n"/>
      <c r="F260" s="50" t="n"/>
    </row>
    <row r="261">
      <c r="B261" s="49" t="n"/>
      <c r="C261" s="49" t="n"/>
      <c r="D261" s="49" t="n"/>
      <c r="E261" s="49" t="n"/>
      <c r="F261" s="50" t="n"/>
    </row>
    <row r="262">
      <c r="B262" s="49" t="n"/>
      <c r="C262" s="49" t="n"/>
      <c r="D262" s="49" t="n"/>
      <c r="E262" s="49" t="n"/>
      <c r="F262" s="50" t="n"/>
    </row>
    <row r="263">
      <c r="B263" s="49" t="n"/>
      <c r="C263" s="49" t="n"/>
      <c r="D263" s="49" t="n"/>
      <c r="E263" s="49" t="n"/>
      <c r="F263" s="50" t="n"/>
    </row>
    <row r="264">
      <c r="B264" s="49" t="n"/>
      <c r="C264" s="49" t="n"/>
      <c r="D264" s="49" t="n"/>
      <c r="E264" s="49" t="n"/>
      <c r="F264" s="50" t="n"/>
    </row>
    <row r="265">
      <c r="B265" s="49" t="n"/>
      <c r="C265" s="49" t="n"/>
      <c r="D265" s="49" t="n"/>
      <c r="E265" s="49" t="n"/>
      <c r="F265" s="50" t="n"/>
    </row>
    <row r="266">
      <c r="B266" s="49" t="n"/>
      <c r="C266" s="49" t="n"/>
      <c r="D266" s="49" t="n"/>
      <c r="E266" s="49" t="n"/>
      <c r="F266" s="50" t="n"/>
    </row>
    <row r="267">
      <c r="B267" s="49" t="n"/>
      <c r="C267" s="49" t="n"/>
      <c r="D267" s="49" t="n"/>
      <c r="E267" s="49" t="n"/>
      <c r="F267" s="50" t="n"/>
    </row>
    <row r="268">
      <c r="B268" s="49" t="n"/>
      <c r="C268" s="49" t="n"/>
      <c r="D268" s="49" t="n"/>
      <c r="E268" s="49" t="n"/>
      <c r="F268" s="50" t="n"/>
    </row>
    <row r="269">
      <c r="B269" s="49" t="n"/>
      <c r="C269" s="49" t="n"/>
      <c r="D269" s="49" t="n"/>
      <c r="E269" s="49" t="n"/>
      <c r="F269" s="50" t="n"/>
    </row>
    <row r="270">
      <c r="B270" s="49" t="n"/>
      <c r="C270" s="49" t="n"/>
      <c r="D270" s="49" t="n"/>
      <c r="E270" s="49" t="n"/>
      <c r="F270" s="50" t="n"/>
    </row>
    <row r="271">
      <c r="B271" s="49" t="n"/>
      <c r="C271" s="49" t="n"/>
      <c r="D271" s="49" t="n"/>
      <c r="E271" s="49" t="n"/>
      <c r="F271" s="50" t="n"/>
    </row>
    <row r="272">
      <c r="B272" s="49" t="n"/>
      <c r="C272" s="49" t="n"/>
      <c r="D272" s="49" t="n"/>
      <c r="E272" s="49" t="n"/>
      <c r="F272" s="50" t="n"/>
    </row>
    <row r="273">
      <c r="B273" s="49" t="n"/>
      <c r="C273" s="49" t="n"/>
      <c r="D273" s="49" t="n"/>
      <c r="E273" s="49" t="n"/>
      <c r="F273" s="50" t="n"/>
    </row>
    <row r="274">
      <c r="B274" s="49" t="n"/>
      <c r="C274" s="49" t="n"/>
      <c r="D274" s="49" t="n"/>
      <c r="E274" s="49" t="n"/>
      <c r="F274" s="50" t="n"/>
    </row>
    <row r="275">
      <c r="B275" s="49" t="n"/>
      <c r="C275" s="49" t="n"/>
      <c r="D275" s="49" t="n"/>
      <c r="E275" s="49" t="n"/>
      <c r="F275" s="50" t="n"/>
    </row>
    <row r="276">
      <c r="B276" s="49" t="n"/>
      <c r="C276" s="49" t="n"/>
      <c r="D276" s="49" t="n"/>
      <c r="E276" s="49" t="n"/>
      <c r="F276" s="50" t="n"/>
    </row>
    <row r="277">
      <c r="B277" s="49" t="n"/>
      <c r="C277" s="49" t="n"/>
      <c r="D277" s="49" t="n"/>
      <c r="E277" s="49" t="n"/>
      <c r="F277" s="50" t="n"/>
    </row>
    <row r="278">
      <c r="B278" s="49" t="n"/>
      <c r="C278" s="49" t="n"/>
      <c r="D278" s="49" t="n"/>
      <c r="E278" s="49" t="n"/>
      <c r="F278" s="50" t="n"/>
    </row>
    <row r="279">
      <c r="B279" s="49" t="n"/>
      <c r="C279" s="49" t="n"/>
      <c r="D279" s="49" t="n"/>
      <c r="E279" s="49" t="n"/>
      <c r="F279" s="50" t="n"/>
    </row>
    <row r="280">
      <c r="B280" s="49" t="n"/>
      <c r="C280" s="49" t="n"/>
      <c r="D280" s="49" t="n"/>
      <c r="E280" s="49" t="n"/>
      <c r="F280" s="50" t="n"/>
    </row>
    <row r="281">
      <c r="B281" s="49" t="n"/>
      <c r="C281" s="49" t="n"/>
      <c r="D281" s="49" t="n"/>
      <c r="E281" s="49" t="n"/>
      <c r="F281" s="50" t="n"/>
    </row>
    <row r="282">
      <c r="B282" s="49" t="n"/>
      <c r="C282" s="49" t="n"/>
      <c r="D282" s="49" t="n"/>
      <c r="E282" s="49" t="n"/>
      <c r="F282" s="50" t="n"/>
    </row>
    <row r="283">
      <c r="B283" s="49" t="n"/>
      <c r="C283" s="49" t="n"/>
      <c r="D283" s="49" t="n"/>
      <c r="E283" s="49" t="n"/>
      <c r="F283" s="50" t="n"/>
    </row>
    <row r="284">
      <c r="B284" s="49" t="n"/>
      <c r="C284" s="49" t="n"/>
      <c r="D284" s="49" t="n"/>
      <c r="E284" s="49" t="n"/>
      <c r="F284" s="50" t="n"/>
    </row>
    <row r="285">
      <c r="B285" s="49" t="n"/>
      <c r="C285" s="49" t="n"/>
      <c r="D285" s="49" t="n"/>
      <c r="E285" s="49" t="n"/>
      <c r="F285" s="50" t="n"/>
    </row>
    <row r="286">
      <c r="B286" s="49" t="n"/>
      <c r="C286" s="49" t="n"/>
      <c r="D286" s="49" t="n"/>
      <c r="E286" s="49" t="n"/>
      <c r="F286" s="50" t="n"/>
    </row>
    <row r="287">
      <c r="B287" s="49" t="n"/>
      <c r="C287" s="49" t="n"/>
      <c r="D287" s="49" t="n"/>
      <c r="E287" s="49" t="n"/>
      <c r="F287" s="50" t="n"/>
    </row>
    <row r="288">
      <c r="B288" s="49" t="n"/>
      <c r="C288" s="49" t="n"/>
      <c r="D288" s="49" t="n"/>
      <c r="E288" s="49" t="n"/>
      <c r="F288" s="50" t="n"/>
    </row>
    <row r="289">
      <c r="B289" s="49" t="n"/>
      <c r="C289" s="49" t="n"/>
      <c r="D289" s="49" t="n"/>
      <c r="E289" s="49" t="n"/>
      <c r="F289" s="50" t="n"/>
    </row>
    <row r="290">
      <c r="B290" s="49" t="n"/>
      <c r="C290" s="49" t="n"/>
      <c r="D290" s="49" t="n"/>
      <c r="E290" s="49" t="n"/>
      <c r="F290" s="50" t="n"/>
    </row>
    <row r="291">
      <c r="B291" s="49" t="n"/>
      <c r="C291" s="49" t="n"/>
      <c r="D291" s="49" t="n"/>
      <c r="E291" s="49" t="n"/>
      <c r="F291" s="50" t="n"/>
    </row>
    <row r="292">
      <c r="B292" s="49" t="n"/>
      <c r="C292" s="49" t="n"/>
      <c r="D292" s="49" t="n"/>
      <c r="E292" s="49" t="n"/>
      <c r="F292" s="50" t="n"/>
    </row>
    <row r="293">
      <c r="B293" s="49" t="n"/>
      <c r="C293" s="49" t="n"/>
      <c r="D293" s="49" t="n"/>
      <c r="E293" s="49" t="n"/>
      <c r="F293" s="50" t="n"/>
    </row>
    <row r="294">
      <c r="B294" s="49" t="n"/>
      <c r="C294" s="49" t="n"/>
      <c r="D294" s="49" t="n"/>
      <c r="E294" s="49" t="n"/>
      <c r="F294" s="50" t="n"/>
    </row>
    <row r="295">
      <c r="B295" s="49" t="n"/>
      <c r="C295" s="49" t="n"/>
      <c r="D295" s="49" t="n"/>
      <c r="E295" s="49" t="n"/>
      <c r="F295" s="50" t="n"/>
    </row>
    <row r="296">
      <c r="B296" s="49" t="n"/>
      <c r="C296" s="49" t="n"/>
      <c r="D296" s="49" t="n"/>
      <c r="E296" s="49" t="n"/>
      <c r="F296" s="50" t="n"/>
    </row>
    <row r="297">
      <c r="B297" s="49" t="n"/>
      <c r="C297" s="49" t="n"/>
      <c r="D297" s="49" t="n"/>
      <c r="E297" s="49" t="n"/>
      <c r="F297" s="50" t="n"/>
    </row>
    <row r="298">
      <c r="B298" s="49" t="n"/>
      <c r="C298" s="49" t="n"/>
      <c r="D298" s="49" t="n"/>
      <c r="E298" s="49" t="n"/>
      <c r="F298" s="50" t="n"/>
    </row>
    <row r="299">
      <c r="B299" s="49" t="n"/>
      <c r="C299" s="49" t="n"/>
      <c r="D299" s="49" t="n"/>
      <c r="E299" s="49" t="n"/>
      <c r="F299" s="50" t="n"/>
    </row>
    <row r="300">
      <c r="B300" s="49" t="n"/>
      <c r="C300" s="49" t="n"/>
      <c r="D300" s="49" t="n"/>
      <c r="E300" s="49" t="n"/>
      <c r="F300" s="50" t="n"/>
    </row>
    <row r="301">
      <c r="B301" s="49" t="n"/>
      <c r="C301" s="49" t="n"/>
      <c r="D301" s="49" t="n"/>
      <c r="E301" s="49" t="n"/>
      <c r="F301" s="50" t="n"/>
    </row>
    <row r="302">
      <c r="B302" s="49" t="n"/>
      <c r="C302" s="49" t="n"/>
      <c r="D302" s="49" t="n"/>
      <c r="E302" s="49" t="n"/>
      <c r="F302" s="50" t="n"/>
    </row>
    <row r="303">
      <c r="B303" s="49" t="n"/>
      <c r="C303" s="49" t="n"/>
      <c r="D303" s="49" t="n"/>
      <c r="E303" s="49" t="n"/>
      <c r="F303" s="50" t="n"/>
    </row>
    <row r="304">
      <c r="B304" s="49" t="n"/>
      <c r="C304" s="49" t="n"/>
      <c r="D304" s="49" t="n"/>
      <c r="E304" s="49" t="n"/>
      <c r="F304" s="50" t="n"/>
    </row>
    <row r="305">
      <c r="B305" s="49" t="n"/>
      <c r="C305" s="49" t="n"/>
      <c r="D305" s="49" t="n"/>
      <c r="E305" s="49" t="n"/>
      <c r="F305" s="50" t="n"/>
    </row>
    <row r="306">
      <c r="B306" s="49" t="n"/>
      <c r="C306" s="49" t="n"/>
      <c r="D306" s="49" t="n"/>
      <c r="E306" s="49" t="n"/>
      <c r="F306" s="50" t="n"/>
    </row>
    <row r="307">
      <c r="B307" s="49" t="n"/>
      <c r="C307" s="49" t="n"/>
      <c r="D307" s="49" t="n"/>
      <c r="E307" s="49" t="n"/>
      <c r="F307" s="50" t="n"/>
    </row>
    <row r="308">
      <c r="B308" s="49" t="n"/>
      <c r="C308" s="49" t="n"/>
      <c r="D308" s="49" t="n"/>
      <c r="E308" s="49" t="n"/>
      <c r="F308" s="50" t="n"/>
    </row>
    <row r="309">
      <c r="B309" s="49" t="n"/>
      <c r="C309" s="49" t="n"/>
      <c r="D309" s="49" t="n"/>
      <c r="E309" s="49" t="n"/>
      <c r="F309" s="50" t="n"/>
    </row>
    <row r="310">
      <c r="B310" s="49" t="n"/>
      <c r="C310" s="49" t="n"/>
      <c r="D310" s="49" t="n"/>
      <c r="E310" s="49" t="n"/>
      <c r="F310" s="50" t="n"/>
    </row>
    <row r="311">
      <c r="B311" s="49" t="n"/>
      <c r="C311" s="49" t="n"/>
      <c r="D311" s="49" t="n"/>
      <c r="E311" s="49" t="n"/>
      <c r="F311" s="50" t="n"/>
    </row>
    <row r="312">
      <c r="B312" s="49" t="n"/>
      <c r="C312" s="49" t="n"/>
      <c r="D312" s="49" t="n"/>
      <c r="E312" s="49" t="n"/>
      <c r="F312" s="50" t="n"/>
    </row>
    <row r="313">
      <c r="B313" s="49" t="n"/>
      <c r="C313" s="49" t="n"/>
      <c r="D313" s="49" t="n"/>
      <c r="E313" s="49" t="n"/>
      <c r="F313" s="50" t="n"/>
    </row>
    <row r="314">
      <c r="B314" s="49" t="n"/>
      <c r="C314" s="49" t="n"/>
      <c r="D314" s="49" t="n"/>
      <c r="E314" s="49" t="n"/>
      <c r="F314" s="50" t="n"/>
    </row>
    <row r="315">
      <c r="B315" s="49" t="n"/>
      <c r="C315" s="49" t="n"/>
      <c r="D315" s="49" t="n"/>
      <c r="E315" s="49" t="n"/>
      <c r="F315" s="50" t="n"/>
    </row>
    <row r="316">
      <c r="B316" s="49" t="n"/>
      <c r="C316" s="49" t="n"/>
      <c r="D316" s="49" t="n"/>
      <c r="E316" s="49" t="n"/>
      <c r="F316" s="50" t="n"/>
    </row>
    <row r="317">
      <c r="B317" s="49" t="n"/>
      <c r="C317" s="49" t="n"/>
      <c r="D317" s="49" t="n"/>
      <c r="E317" s="49" t="n"/>
      <c r="F317" s="50" t="n"/>
    </row>
    <row r="318">
      <c r="B318" s="49" t="n"/>
      <c r="C318" s="49" t="n"/>
      <c r="D318" s="49" t="n"/>
      <c r="E318" s="49" t="n"/>
      <c r="F318" s="50" t="n"/>
    </row>
    <row r="319">
      <c r="B319" s="49" t="n"/>
      <c r="C319" s="49" t="n"/>
      <c r="D319" s="49" t="n"/>
      <c r="E319" s="49" t="n"/>
      <c r="F319" s="50" t="n"/>
    </row>
    <row r="320">
      <c r="B320" s="49" t="n"/>
      <c r="C320" s="49" t="n"/>
      <c r="D320" s="49" t="n"/>
      <c r="E320" s="49" t="n"/>
      <c r="F320" s="50" t="n"/>
    </row>
    <row r="321">
      <c r="B321" s="49" t="n"/>
      <c r="C321" s="49" t="n"/>
      <c r="D321" s="49" t="n"/>
      <c r="E321" s="49" t="n"/>
      <c r="F321" s="50" t="n"/>
    </row>
    <row r="322">
      <c r="B322" s="49" t="n"/>
      <c r="C322" s="49" t="n"/>
      <c r="D322" s="49" t="n"/>
      <c r="E322" s="49" t="n"/>
      <c r="F322" s="50" t="n"/>
    </row>
    <row r="323">
      <c r="B323" s="49" t="n"/>
      <c r="C323" s="49" t="n"/>
      <c r="D323" s="49" t="n"/>
      <c r="E323" s="49" t="n"/>
      <c r="F323" s="50" t="n"/>
    </row>
    <row r="324">
      <c r="B324" s="49" t="n"/>
      <c r="C324" s="49" t="n"/>
      <c r="D324" s="49" t="n"/>
      <c r="E324" s="49" t="n"/>
      <c r="F324" s="50" t="n"/>
    </row>
    <row r="325">
      <c r="B325" s="49" t="n"/>
      <c r="C325" s="49" t="n"/>
      <c r="D325" s="49" t="n"/>
      <c r="E325" s="49" t="n"/>
      <c r="F325" s="50" t="n"/>
    </row>
    <row r="326">
      <c r="B326" s="49" t="n"/>
      <c r="C326" s="49" t="n"/>
      <c r="D326" s="49" t="n"/>
      <c r="E326" s="49" t="n"/>
      <c r="F326" s="50" t="n"/>
    </row>
    <row r="327">
      <c r="B327" s="49" t="n"/>
      <c r="C327" s="49" t="n"/>
      <c r="D327" s="49" t="n"/>
      <c r="E327" s="49" t="n"/>
      <c r="F327" s="50" t="n"/>
    </row>
    <row r="328">
      <c r="B328" s="49" t="n"/>
      <c r="C328" s="49" t="n"/>
      <c r="D328" s="49" t="n"/>
      <c r="E328" s="49" t="n"/>
      <c r="F328" s="50" t="n"/>
    </row>
    <row r="329">
      <c r="B329" s="49" t="n"/>
      <c r="C329" s="49" t="n"/>
      <c r="D329" s="49" t="n"/>
      <c r="E329" s="49" t="n"/>
      <c r="F329" s="50" t="n"/>
    </row>
    <row r="330">
      <c r="B330" s="49" t="n"/>
      <c r="C330" s="49" t="n"/>
      <c r="D330" s="49" t="n"/>
      <c r="E330" s="49" t="n"/>
      <c r="F330" s="50" t="n"/>
    </row>
    <row r="331">
      <c r="B331" s="49" t="n"/>
      <c r="C331" s="49" t="n"/>
      <c r="D331" s="49" t="n"/>
      <c r="E331" s="49" t="n"/>
      <c r="F331" s="50" t="n"/>
    </row>
    <row r="332">
      <c r="B332" s="49" t="n"/>
      <c r="C332" s="49" t="n"/>
      <c r="D332" s="49" t="n"/>
      <c r="E332" s="49" t="n"/>
      <c r="F332" s="50" t="n"/>
    </row>
    <row r="333">
      <c r="B333" s="49" t="n"/>
      <c r="C333" s="49" t="n"/>
      <c r="D333" s="49" t="n"/>
      <c r="E333" s="49" t="n"/>
      <c r="F333" s="50" t="n"/>
    </row>
    <row r="334">
      <c r="B334" s="49" t="n"/>
      <c r="C334" s="49" t="n"/>
      <c r="D334" s="49" t="n"/>
      <c r="E334" s="49" t="n"/>
      <c r="F334" s="50" t="n"/>
    </row>
    <row r="335">
      <c r="B335" s="49" t="n"/>
      <c r="C335" s="49" t="n"/>
      <c r="D335" s="49" t="n"/>
      <c r="E335" s="49" t="n"/>
      <c r="F335" s="50" t="n"/>
    </row>
    <row r="336">
      <c r="B336" s="49" t="n"/>
      <c r="C336" s="49" t="n"/>
      <c r="D336" s="49" t="n"/>
      <c r="E336" s="49" t="n"/>
      <c r="F336" s="50" t="n"/>
    </row>
    <row r="337">
      <c r="B337" s="49" t="n"/>
      <c r="C337" s="49" t="n"/>
      <c r="D337" s="49" t="n"/>
      <c r="E337" s="49" t="n"/>
      <c r="F337" s="50" t="n"/>
    </row>
    <row r="338">
      <c r="B338" s="49" t="n"/>
      <c r="C338" s="49" t="n"/>
      <c r="D338" s="49" t="n"/>
      <c r="E338" s="49" t="n"/>
      <c r="F338" s="50" t="n"/>
    </row>
    <row r="339">
      <c r="B339" s="49" t="n"/>
      <c r="C339" s="49" t="n"/>
      <c r="D339" s="49" t="n"/>
      <c r="E339" s="49" t="n"/>
      <c r="F339" s="50" t="n"/>
    </row>
    <row r="340">
      <c r="B340" s="49" t="n"/>
      <c r="C340" s="49" t="n"/>
      <c r="D340" s="49" t="n"/>
      <c r="E340" s="49" t="n"/>
      <c r="F340" s="50" t="n"/>
    </row>
    <row r="341">
      <c r="B341" s="49" t="n"/>
      <c r="C341" s="49" t="n"/>
      <c r="D341" s="49" t="n"/>
      <c r="E341" s="49" t="n"/>
      <c r="F341" s="50" t="n"/>
    </row>
    <row r="342">
      <c r="B342" s="49" t="n"/>
      <c r="C342" s="49" t="n"/>
      <c r="D342" s="49" t="n"/>
      <c r="E342" s="49" t="n"/>
      <c r="F342" s="50" t="n"/>
    </row>
    <row r="343">
      <c r="B343" s="49" t="n"/>
      <c r="C343" s="49" t="n"/>
      <c r="D343" s="49" t="n"/>
      <c r="E343" s="49" t="n"/>
      <c r="F343" s="50" t="n"/>
    </row>
    <row r="344">
      <c r="B344" s="49" t="n"/>
      <c r="C344" s="49" t="n"/>
      <c r="D344" s="49" t="n"/>
      <c r="E344" s="49" t="n"/>
      <c r="F344" s="50" t="n"/>
    </row>
    <row r="345">
      <c r="B345" s="49" t="n"/>
      <c r="C345" s="49" t="n"/>
      <c r="D345" s="49" t="n"/>
      <c r="E345" s="49" t="n"/>
      <c r="F345" s="50" t="n"/>
    </row>
    <row r="346">
      <c r="B346" s="49" t="n"/>
      <c r="C346" s="49" t="n"/>
      <c r="D346" s="49" t="n"/>
      <c r="E346" s="49" t="n"/>
      <c r="F346" s="50" t="n"/>
    </row>
    <row r="347">
      <c r="B347" s="49" t="n"/>
      <c r="C347" s="49" t="n"/>
      <c r="D347" s="49" t="n"/>
      <c r="E347" s="49" t="n"/>
      <c r="F347" s="50" t="n"/>
    </row>
    <row r="348">
      <c r="B348" s="49" t="n"/>
      <c r="C348" s="49" t="n"/>
      <c r="D348" s="49" t="n"/>
      <c r="E348" s="49" t="n"/>
      <c r="F348" s="50" t="n"/>
    </row>
    <row r="349">
      <c r="B349" s="49" t="n"/>
      <c r="C349" s="49" t="n"/>
      <c r="D349" s="49" t="n"/>
      <c r="E349" s="49" t="n"/>
      <c r="F349" s="50" t="n"/>
    </row>
    <row r="350">
      <c r="B350" s="49" t="n"/>
      <c r="C350" s="49" t="n"/>
      <c r="D350" s="49" t="n"/>
      <c r="E350" s="49" t="n"/>
      <c r="F350" s="50" t="n"/>
    </row>
    <row r="351">
      <c r="B351" s="49" t="n"/>
      <c r="C351" s="49" t="n"/>
      <c r="D351" s="49" t="n"/>
      <c r="E351" s="49" t="n"/>
      <c r="F351" s="50" t="n"/>
    </row>
    <row r="352">
      <c r="B352" s="49" t="n"/>
      <c r="C352" s="49" t="n"/>
      <c r="D352" s="49" t="n"/>
      <c r="E352" s="49" t="n"/>
      <c r="F352" s="50" t="n"/>
    </row>
    <row r="353">
      <c r="B353" s="49" t="n"/>
      <c r="C353" s="49" t="n"/>
      <c r="D353" s="49" t="n"/>
      <c r="E353" s="49" t="n"/>
      <c r="F353" s="50" t="n"/>
    </row>
    <row r="354">
      <c r="B354" s="49" t="n"/>
      <c r="C354" s="49" t="n"/>
      <c r="D354" s="49" t="n"/>
      <c r="E354" s="49" t="n"/>
      <c r="F354" s="50" t="n"/>
    </row>
    <row r="355">
      <c r="B355" s="49" t="n"/>
      <c r="C355" s="49" t="n"/>
      <c r="D355" s="49" t="n"/>
      <c r="E355" s="49" t="n"/>
      <c r="F355" s="50" t="n"/>
    </row>
    <row r="356">
      <c r="B356" s="49" t="n"/>
      <c r="C356" s="49" t="n"/>
      <c r="D356" s="49" t="n"/>
      <c r="E356" s="49" t="n"/>
      <c r="F356" s="50" t="n"/>
    </row>
    <row r="357">
      <c r="B357" s="49" t="n"/>
      <c r="C357" s="49" t="n"/>
      <c r="D357" s="49" t="n"/>
      <c r="E357" s="49" t="n"/>
      <c r="F357" s="50" t="n"/>
    </row>
    <row r="358">
      <c r="B358" s="49" t="n"/>
      <c r="C358" s="49" t="n"/>
      <c r="D358" s="49" t="n"/>
      <c r="E358" s="49" t="n"/>
      <c r="F358" s="50" t="n"/>
    </row>
    <row r="359">
      <c r="B359" s="49" t="n"/>
      <c r="C359" s="49" t="n"/>
      <c r="D359" s="49" t="n"/>
      <c r="E359" s="49" t="n"/>
      <c r="F359" s="50" t="n"/>
    </row>
    <row r="360">
      <c r="B360" s="49" t="n"/>
      <c r="C360" s="49" t="n"/>
      <c r="D360" s="49" t="n"/>
      <c r="E360" s="49" t="n"/>
      <c r="F360" s="50" t="n"/>
    </row>
    <row r="361">
      <c r="B361" s="49" t="n"/>
      <c r="C361" s="49" t="n"/>
      <c r="D361" s="49" t="n"/>
      <c r="E361" s="49" t="n"/>
      <c r="F361" s="50" t="n"/>
    </row>
    <row r="362">
      <c r="B362" s="49" t="n"/>
      <c r="C362" s="49" t="n"/>
      <c r="D362" s="49" t="n"/>
      <c r="E362" s="49" t="n"/>
      <c r="F362" s="50" t="n"/>
    </row>
    <row r="363">
      <c r="B363" s="49" t="n"/>
      <c r="C363" s="49" t="n"/>
      <c r="D363" s="49" t="n"/>
      <c r="E363" s="49" t="n"/>
      <c r="F363" s="50" t="n"/>
    </row>
    <row r="364">
      <c r="B364" s="49" t="n"/>
      <c r="C364" s="49" t="n"/>
      <c r="D364" s="49" t="n"/>
      <c r="E364" s="49" t="n"/>
      <c r="F364" s="50" t="n"/>
    </row>
    <row r="365">
      <c r="B365" s="49" t="n"/>
      <c r="C365" s="49" t="n"/>
      <c r="D365" s="49" t="n"/>
      <c r="E365" s="49" t="n"/>
      <c r="F365" s="50" t="n"/>
    </row>
    <row r="366">
      <c r="B366" s="49" t="n"/>
      <c r="C366" s="49" t="n"/>
      <c r="D366" s="49" t="n"/>
      <c r="E366" s="49" t="n"/>
      <c r="F366" s="50" t="n"/>
    </row>
    <row r="367">
      <c r="B367" s="49" t="n"/>
      <c r="C367" s="49" t="n"/>
      <c r="D367" s="49" t="n"/>
      <c r="E367" s="49" t="n"/>
      <c r="F367" s="50" t="n"/>
    </row>
    <row r="368">
      <c r="B368" s="49" t="n"/>
      <c r="C368" s="49" t="n"/>
      <c r="D368" s="49" t="n"/>
      <c r="E368" s="49" t="n"/>
      <c r="F368" s="50" t="n"/>
    </row>
    <row r="369">
      <c r="B369" s="49" t="n"/>
      <c r="C369" s="49" t="n"/>
      <c r="D369" s="49" t="n"/>
      <c r="E369" s="49" t="n"/>
      <c r="F369" s="50" t="n"/>
    </row>
    <row r="370">
      <c r="B370" s="49" t="n"/>
      <c r="C370" s="49" t="n"/>
      <c r="D370" s="49" t="n"/>
      <c r="E370" s="49" t="n"/>
      <c r="F370" s="50" t="n"/>
    </row>
    <row r="371">
      <c r="B371" s="49" t="n"/>
      <c r="C371" s="49" t="n"/>
      <c r="D371" s="49" t="n"/>
      <c r="E371" s="49" t="n"/>
      <c r="F371" s="50" t="n"/>
    </row>
    <row r="372">
      <c r="B372" s="49" t="n"/>
      <c r="C372" s="49" t="n"/>
      <c r="D372" s="49" t="n"/>
      <c r="E372" s="49" t="n"/>
      <c r="F372" s="50" t="n"/>
    </row>
    <row r="373">
      <c r="B373" s="49" t="n"/>
      <c r="C373" s="49" t="n"/>
      <c r="D373" s="49" t="n"/>
      <c r="E373" s="49" t="n"/>
      <c r="F373" s="50" t="n"/>
    </row>
    <row r="374">
      <c r="B374" s="49" t="n"/>
      <c r="C374" s="49" t="n"/>
      <c r="D374" s="49" t="n"/>
      <c r="E374" s="49" t="n"/>
      <c r="F374" s="50" t="n"/>
    </row>
    <row r="375">
      <c r="B375" s="49" t="n"/>
      <c r="C375" s="49" t="n"/>
      <c r="D375" s="49" t="n"/>
      <c r="E375" s="49" t="n"/>
      <c r="F375" s="50" t="n"/>
    </row>
    <row r="376">
      <c r="B376" s="49" t="n"/>
      <c r="C376" s="49" t="n"/>
      <c r="D376" s="49" t="n"/>
      <c r="E376" s="49" t="n"/>
      <c r="F376" s="50" t="n"/>
    </row>
    <row r="377">
      <c r="B377" s="49" t="n"/>
      <c r="C377" s="49" t="n"/>
      <c r="D377" s="49" t="n"/>
      <c r="E377" s="49" t="n"/>
      <c r="F377" s="50" t="n"/>
    </row>
    <row r="378">
      <c r="B378" s="49" t="n"/>
      <c r="C378" s="49" t="n"/>
      <c r="D378" s="49" t="n"/>
      <c r="E378" s="49" t="n"/>
      <c r="F378" s="50" t="n"/>
    </row>
    <row r="379">
      <c r="B379" s="49" t="n"/>
      <c r="C379" s="49" t="n"/>
      <c r="D379" s="49" t="n"/>
      <c r="E379" s="49" t="n"/>
      <c r="F379" s="50" t="n"/>
    </row>
    <row r="380">
      <c r="B380" s="49" t="n"/>
      <c r="C380" s="49" t="n"/>
      <c r="D380" s="49" t="n"/>
      <c r="E380" s="49" t="n"/>
      <c r="F380" s="50" t="n"/>
    </row>
    <row r="381">
      <c r="B381" s="49" t="n"/>
      <c r="C381" s="49" t="n"/>
      <c r="D381" s="49" t="n"/>
      <c r="E381" s="49" t="n"/>
      <c r="F381" s="50" t="n"/>
    </row>
    <row r="382">
      <c r="B382" s="49" t="n"/>
      <c r="C382" s="49" t="n"/>
      <c r="D382" s="49" t="n"/>
      <c r="E382" s="49" t="n"/>
      <c r="F382" s="50" t="n"/>
    </row>
    <row r="383">
      <c r="B383" s="49" t="n"/>
      <c r="C383" s="49" t="n"/>
      <c r="D383" s="49" t="n"/>
      <c r="E383" s="49" t="n"/>
      <c r="F383" s="50" t="n"/>
    </row>
    <row r="384">
      <c r="B384" s="49" t="n"/>
      <c r="C384" s="49" t="n"/>
      <c r="D384" s="49" t="n"/>
      <c r="E384" s="49" t="n"/>
      <c r="F384" s="50" t="n"/>
    </row>
    <row r="385">
      <c r="B385" s="49" t="n"/>
      <c r="C385" s="49" t="n"/>
      <c r="D385" s="49" t="n"/>
      <c r="E385" s="49" t="n"/>
      <c r="F385" s="50" t="n"/>
    </row>
    <row r="386">
      <c r="B386" s="49" t="n"/>
      <c r="C386" s="49" t="n"/>
      <c r="D386" s="49" t="n"/>
      <c r="E386" s="49" t="n"/>
      <c r="F386" s="50" t="n"/>
    </row>
    <row r="387">
      <c r="B387" s="49" t="n"/>
      <c r="C387" s="49" t="n"/>
      <c r="D387" s="49" t="n"/>
      <c r="E387" s="49" t="n"/>
      <c r="F387" s="50" t="n"/>
    </row>
    <row r="388">
      <c r="B388" s="49" t="n"/>
      <c r="C388" s="49" t="n"/>
      <c r="D388" s="49" t="n"/>
      <c r="E388" s="49" t="n"/>
      <c r="F388" s="50" t="n"/>
    </row>
    <row r="389">
      <c r="B389" s="49" t="n"/>
      <c r="C389" s="49" t="n"/>
      <c r="D389" s="49" t="n"/>
      <c r="E389" s="49" t="n"/>
      <c r="F389" s="50" t="n"/>
    </row>
    <row r="390">
      <c r="B390" s="49" t="n"/>
      <c r="C390" s="49" t="n"/>
      <c r="D390" s="49" t="n"/>
      <c r="E390" s="49" t="n"/>
      <c r="F390" s="50" t="n"/>
    </row>
    <row r="391">
      <c r="B391" s="49" t="n"/>
      <c r="C391" s="49" t="n"/>
      <c r="D391" s="49" t="n"/>
      <c r="E391" s="49" t="n"/>
      <c r="F391" s="50" t="n"/>
    </row>
    <row r="392">
      <c r="B392" s="49" t="n"/>
      <c r="C392" s="49" t="n"/>
      <c r="D392" s="49" t="n"/>
      <c r="E392" s="49" t="n"/>
      <c r="F392" s="50" t="n"/>
    </row>
    <row r="393">
      <c r="B393" s="49" t="n"/>
      <c r="C393" s="49" t="n"/>
      <c r="D393" s="49" t="n"/>
      <c r="E393" s="49" t="n"/>
      <c r="F393" s="50" t="n"/>
    </row>
    <row r="394">
      <c r="B394" s="49" t="n"/>
      <c r="C394" s="49" t="n"/>
      <c r="D394" s="49" t="n"/>
      <c r="E394" s="49" t="n"/>
      <c r="F394" s="50" t="n"/>
    </row>
    <row r="395">
      <c r="B395" s="49" t="n"/>
      <c r="C395" s="49" t="n"/>
      <c r="D395" s="49" t="n"/>
      <c r="E395" s="49" t="n"/>
      <c r="F395" s="50" t="n"/>
    </row>
    <row r="396">
      <c r="B396" s="49" t="n"/>
      <c r="C396" s="49" t="n"/>
      <c r="D396" s="49" t="n"/>
      <c r="E396" s="49" t="n"/>
      <c r="F396" s="50" t="n"/>
    </row>
    <row r="397">
      <c r="B397" s="49" t="n"/>
      <c r="C397" s="49" t="n"/>
      <c r="D397" s="49" t="n"/>
      <c r="E397" s="49" t="n"/>
      <c r="F397" s="50" t="n"/>
    </row>
    <row r="398">
      <c r="B398" s="49" t="n"/>
      <c r="C398" s="49" t="n"/>
      <c r="D398" s="49" t="n"/>
      <c r="E398" s="49" t="n"/>
      <c r="F398" s="50" t="n"/>
    </row>
    <row r="399">
      <c r="B399" s="49" t="n"/>
      <c r="C399" s="49" t="n"/>
      <c r="D399" s="49" t="n"/>
      <c r="E399" s="49" t="n"/>
      <c r="F399" s="50" t="n"/>
    </row>
    <row r="400">
      <c r="B400" s="49" t="n"/>
      <c r="C400" s="49" t="n"/>
      <c r="D400" s="49" t="n"/>
      <c r="E400" s="49" t="n"/>
      <c r="F400" s="50" t="n"/>
    </row>
    <row r="401">
      <c r="B401" s="49" t="n"/>
      <c r="C401" s="49" t="n"/>
      <c r="D401" s="49" t="n"/>
      <c r="E401" s="49" t="n"/>
      <c r="F401" s="50" t="n"/>
    </row>
    <row r="402">
      <c r="B402" s="49" t="n"/>
      <c r="C402" s="49" t="n"/>
      <c r="D402" s="49" t="n"/>
      <c r="E402" s="49" t="n"/>
      <c r="F402" s="50" t="n"/>
    </row>
    <row r="403">
      <c r="B403" s="49" t="n"/>
      <c r="C403" s="49" t="n"/>
      <c r="D403" s="49" t="n"/>
      <c r="E403" s="49" t="n"/>
      <c r="F403" s="50" t="n"/>
    </row>
    <row r="404">
      <c r="B404" s="49" t="n"/>
      <c r="C404" s="49" t="n"/>
      <c r="D404" s="49" t="n"/>
      <c r="E404" s="49" t="n"/>
      <c r="F404" s="50" t="n"/>
    </row>
    <row r="405">
      <c r="B405" s="49" t="n"/>
      <c r="C405" s="49" t="n"/>
      <c r="D405" s="49" t="n"/>
      <c r="E405" s="49" t="n"/>
      <c r="F405" s="50" t="n"/>
    </row>
    <row r="406">
      <c r="B406" s="49" t="n"/>
      <c r="C406" s="49" t="n"/>
      <c r="D406" s="49" t="n"/>
      <c r="E406" s="49" t="n"/>
      <c r="F406" s="50" t="n"/>
    </row>
    <row r="407">
      <c r="B407" s="49" t="n"/>
      <c r="C407" s="49" t="n"/>
      <c r="D407" s="49" t="n"/>
      <c r="E407" s="49" t="n"/>
      <c r="F407" s="50" t="n"/>
    </row>
    <row r="408">
      <c r="B408" s="49" t="n"/>
      <c r="C408" s="49" t="n"/>
      <c r="D408" s="49" t="n"/>
      <c r="E408" s="49" t="n"/>
      <c r="F408" s="50" t="n"/>
    </row>
    <row r="409">
      <c r="B409" s="49" t="n"/>
      <c r="C409" s="49" t="n"/>
      <c r="D409" s="49" t="n"/>
      <c r="E409" s="49" t="n"/>
      <c r="F409" s="50" t="n"/>
    </row>
    <row r="410">
      <c r="B410" s="49" t="n"/>
      <c r="C410" s="49" t="n"/>
      <c r="D410" s="49" t="n"/>
      <c r="E410" s="49" t="n"/>
      <c r="F410" s="50" t="n"/>
    </row>
    <row r="411">
      <c r="B411" s="49" t="n"/>
      <c r="C411" s="49" t="n"/>
      <c r="D411" s="49" t="n"/>
      <c r="E411" s="49" t="n"/>
      <c r="F411" s="50" t="n"/>
    </row>
    <row r="412">
      <c r="B412" s="49" t="n"/>
      <c r="C412" s="49" t="n"/>
      <c r="D412" s="49" t="n"/>
      <c r="E412" s="49" t="n"/>
      <c r="F412" s="50" t="n"/>
    </row>
    <row r="413">
      <c r="B413" s="49" t="n"/>
      <c r="C413" s="49" t="n"/>
      <c r="D413" s="49" t="n"/>
      <c r="E413" s="49" t="n"/>
      <c r="F413" s="50" t="n"/>
    </row>
    <row r="414">
      <c r="B414" s="49" t="n"/>
      <c r="C414" s="49" t="n"/>
      <c r="D414" s="49" t="n"/>
      <c r="E414" s="49" t="n"/>
      <c r="F414" s="50" t="n"/>
    </row>
    <row r="415">
      <c r="B415" s="49" t="n"/>
      <c r="C415" s="49" t="n"/>
      <c r="D415" s="49" t="n"/>
      <c r="E415" s="49" t="n"/>
      <c r="F415" s="50" t="n"/>
    </row>
    <row r="416">
      <c r="B416" s="49" t="n"/>
      <c r="C416" s="49" t="n"/>
      <c r="D416" s="49" t="n"/>
      <c r="E416" s="49" t="n"/>
      <c r="F416" s="50" t="n"/>
    </row>
    <row r="417">
      <c r="B417" s="49" t="n"/>
      <c r="C417" s="49" t="n"/>
      <c r="D417" s="49" t="n"/>
      <c r="E417" s="49" t="n"/>
      <c r="F417" s="50" t="n"/>
    </row>
    <row r="418">
      <c r="B418" s="49" t="n"/>
      <c r="C418" s="49" t="n"/>
      <c r="D418" s="49" t="n"/>
      <c r="E418" s="49" t="n"/>
      <c r="F418" s="50" t="n"/>
    </row>
    <row r="419">
      <c r="B419" s="49" t="n"/>
      <c r="C419" s="49" t="n"/>
      <c r="D419" s="49" t="n"/>
      <c r="E419" s="49" t="n"/>
      <c r="F419" s="50" t="n"/>
    </row>
    <row r="420">
      <c r="B420" s="49" t="n"/>
      <c r="C420" s="49" t="n"/>
      <c r="D420" s="49" t="n"/>
      <c r="E420" s="49" t="n"/>
      <c r="F420" s="50" t="n"/>
    </row>
    <row r="421">
      <c r="B421" s="49" t="n"/>
      <c r="C421" s="49" t="n"/>
      <c r="D421" s="49" t="n"/>
      <c r="E421" s="49" t="n"/>
      <c r="F421" s="50" t="n"/>
    </row>
    <row r="422">
      <c r="B422" s="49" t="n"/>
      <c r="C422" s="49" t="n"/>
      <c r="D422" s="49" t="n"/>
      <c r="E422" s="49" t="n"/>
      <c r="F422" s="50" t="n"/>
    </row>
    <row r="423">
      <c r="B423" s="49" t="n"/>
      <c r="C423" s="49" t="n"/>
      <c r="D423" s="49" t="n"/>
      <c r="E423" s="49" t="n"/>
      <c r="F423" s="50" t="n"/>
    </row>
    <row r="424">
      <c r="B424" s="49" t="n"/>
      <c r="C424" s="49" t="n"/>
      <c r="D424" s="49" t="n"/>
      <c r="E424" s="49" t="n"/>
      <c r="F424" s="50" t="n"/>
    </row>
    <row r="425">
      <c r="B425" s="49" t="n"/>
      <c r="C425" s="49" t="n"/>
      <c r="D425" s="49" t="n"/>
      <c r="E425" s="49" t="n"/>
      <c r="F425" s="50" t="n"/>
    </row>
    <row r="426">
      <c r="B426" s="49" t="n"/>
      <c r="C426" s="49" t="n"/>
      <c r="D426" s="49" t="n"/>
      <c r="E426" s="49" t="n"/>
      <c r="F426" s="50" t="n"/>
    </row>
    <row r="427">
      <c r="B427" s="49" t="n"/>
      <c r="C427" s="49" t="n"/>
      <c r="D427" s="49" t="n"/>
      <c r="E427" s="49" t="n"/>
      <c r="F427" s="50" t="n"/>
    </row>
    <row r="428">
      <c r="B428" s="49" t="n"/>
      <c r="C428" s="49" t="n"/>
      <c r="D428" s="49" t="n"/>
      <c r="E428" s="49" t="n"/>
      <c r="F428" s="50" t="n"/>
    </row>
    <row r="429">
      <c r="B429" s="49" t="n"/>
      <c r="C429" s="49" t="n"/>
      <c r="D429" s="49" t="n"/>
      <c r="E429" s="49" t="n"/>
      <c r="F429" s="50" t="n"/>
    </row>
    <row r="430">
      <c r="B430" s="49" t="n"/>
      <c r="C430" s="49" t="n"/>
      <c r="D430" s="49" t="n"/>
      <c r="E430" s="49" t="n"/>
      <c r="F430" s="50" t="n"/>
    </row>
    <row r="431">
      <c r="B431" s="49" t="n"/>
      <c r="C431" s="49" t="n"/>
      <c r="D431" s="49" t="n"/>
      <c r="E431" s="49" t="n"/>
      <c r="F431" s="50" t="n"/>
    </row>
    <row r="432">
      <c r="B432" s="49" t="n"/>
      <c r="C432" s="49" t="n"/>
      <c r="D432" s="49" t="n"/>
      <c r="E432" s="49" t="n"/>
      <c r="F432" s="50" t="n"/>
    </row>
    <row r="433">
      <c r="B433" s="49" t="n"/>
      <c r="C433" s="49" t="n"/>
      <c r="D433" s="49" t="n"/>
      <c r="E433" s="49" t="n"/>
      <c r="F433" s="50" t="n"/>
    </row>
    <row r="434">
      <c r="B434" s="49" t="n"/>
      <c r="C434" s="49" t="n"/>
      <c r="D434" s="49" t="n"/>
      <c r="E434" s="49" t="n"/>
      <c r="F434" s="50" t="n"/>
    </row>
    <row r="435">
      <c r="B435" s="49" t="n"/>
      <c r="C435" s="49" t="n"/>
      <c r="D435" s="49" t="n"/>
      <c r="E435" s="49" t="n"/>
      <c r="F435" s="50" t="n"/>
    </row>
    <row r="436">
      <c r="B436" s="49" t="n"/>
      <c r="C436" s="49" t="n"/>
      <c r="D436" s="49" t="n"/>
      <c r="E436" s="49" t="n"/>
      <c r="F436" s="50" t="n"/>
    </row>
    <row r="437">
      <c r="B437" s="49" t="n"/>
      <c r="C437" s="49" t="n"/>
      <c r="D437" s="49" t="n"/>
      <c r="E437" s="49" t="n"/>
      <c r="F437" s="50" t="n"/>
    </row>
    <row r="438">
      <c r="B438" s="49" t="n"/>
      <c r="C438" s="49" t="n"/>
      <c r="D438" s="49" t="n"/>
      <c r="E438" s="49" t="n"/>
      <c r="F438" s="50" t="n"/>
    </row>
    <row r="439">
      <c r="B439" s="49" t="n"/>
      <c r="C439" s="49" t="n"/>
      <c r="D439" s="49" t="n"/>
      <c r="E439" s="49" t="n"/>
      <c r="F439" s="50" t="n"/>
    </row>
    <row r="440">
      <c r="B440" s="49" t="n"/>
      <c r="C440" s="49" t="n"/>
      <c r="D440" s="49" t="n"/>
      <c r="E440" s="49" t="n"/>
      <c r="F440" s="50" t="n"/>
    </row>
    <row r="441">
      <c r="B441" s="49" t="n"/>
      <c r="C441" s="49" t="n"/>
      <c r="D441" s="49" t="n"/>
      <c r="E441" s="49" t="n"/>
      <c r="F441" s="50" t="n"/>
    </row>
    <row r="442">
      <c r="B442" s="49" t="n"/>
      <c r="C442" s="49" t="n"/>
      <c r="D442" s="49" t="n"/>
      <c r="E442" s="49" t="n"/>
      <c r="F442" s="50" t="n"/>
    </row>
    <row r="443">
      <c r="B443" s="49" t="n"/>
      <c r="C443" s="49" t="n"/>
      <c r="D443" s="49" t="n"/>
      <c r="E443" s="49" t="n"/>
      <c r="F443" s="50" t="n"/>
    </row>
    <row r="444">
      <c r="B444" s="49" t="n"/>
      <c r="C444" s="49" t="n"/>
      <c r="D444" s="49" t="n"/>
      <c r="E444" s="49" t="n"/>
      <c r="F444" s="50" t="n"/>
    </row>
    <row r="445">
      <c r="B445" s="49" t="n"/>
      <c r="C445" s="49" t="n"/>
      <c r="D445" s="49" t="n"/>
      <c r="E445" s="49" t="n"/>
      <c r="F445" s="50" t="n"/>
    </row>
    <row r="446">
      <c r="B446" s="49" t="n"/>
      <c r="C446" s="49" t="n"/>
      <c r="D446" s="49" t="n"/>
      <c r="E446" s="49" t="n"/>
      <c r="F446" s="50" t="n"/>
    </row>
    <row r="447">
      <c r="B447" s="49" t="n"/>
      <c r="C447" s="49" t="n"/>
      <c r="D447" s="49" t="n"/>
      <c r="E447" s="49" t="n"/>
      <c r="F447" s="50" t="n"/>
    </row>
    <row r="448">
      <c r="B448" s="49" t="n"/>
      <c r="C448" s="49" t="n"/>
      <c r="D448" s="49" t="n"/>
      <c r="E448" s="49" t="n"/>
      <c r="F448" s="50" t="n"/>
    </row>
    <row r="449">
      <c r="B449" s="49" t="n"/>
      <c r="C449" s="49" t="n"/>
      <c r="D449" s="49" t="n"/>
      <c r="E449" s="49" t="n"/>
      <c r="F449" s="50" t="n"/>
    </row>
    <row r="450">
      <c r="B450" s="49" t="n"/>
      <c r="C450" s="49" t="n"/>
      <c r="D450" s="49" t="n"/>
      <c r="E450" s="49" t="n"/>
      <c r="F450" s="50" t="n"/>
    </row>
    <row r="451">
      <c r="B451" s="49" t="n"/>
      <c r="C451" s="49" t="n"/>
      <c r="D451" s="49" t="n"/>
      <c r="E451" s="49" t="n"/>
      <c r="F451" s="50" t="n"/>
    </row>
    <row r="452">
      <c r="B452" s="49" t="n"/>
      <c r="C452" s="49" t="n"/>
      <c r="D452" s="49" t="n"/>
      <c r="E452" s="49" t="n"/>
      <c r="F452" s="50" t="n"/>
    </row>
    <row r="453">
      <c r="B453" s="49" t="n"/>
      <c r="C453" s="49" t="n"/>
      <c r="D453" s="49" t="n"/>
      <c r="E453" s="49" t="n"/>
      <c r="F453" s="50" t="n"/>
    </row>
    <row r="454">
      <c r="B454" s="49" t="n"/>
      <c r="C454" s="49" t="n"/>
      <c r="D454" s="49" t="n"/>
      <c r="E454" s="49" t="n"/>
      <c r="F454" s="50" t="n"/>
    </row>
    <row r="455">
      <c r="B455" s="49" t="n"/>
      <c r="C455" s="49" t="n"/>
      <c r="D455" s="49" t="n"/>
      <c r="E455" s="49" t="n"/>
      <c r="F455" s="50" t="n"/>
    </row>
    <row r="456">
      <c r="B456" s="49" t="n"/>
      <c r="C456" s="49" t="n"/>
      <c r="D456" s="49" t="n"/>
      <c r="E456" s="49" t="n"/>
      <c r="F456" s="50" t="n"/>
    </row>
    <row r="457">
      <c r="B457" s="49" t="n"/>
      <c r="C457" s="49" t="n"/>
      <c r="D457" s="49" t="n"/>
      <c r="E457" s="49" t="n"/>
      <c r="F457" s="50" t="n"/>
    </row>
    <row r="458">
      <c r="B458" s="49" t="n"/>
      <c r="C458" s="49" t="n"/>
      <c r="D458" s="49" t="n"/>
      <c r="E458" s="49" t="n"/>
      <c r="F458" s="50" t="n"/>
    </row>
    <row r="459">
      <c r="B459" s="49" t="n"/>
      <c r="C459" s="49" t="n"/>
      <c r="D459" s="49" t="n"/>
      <c r="E459" s="49" t="n"/>
      <c r="F459" s="50" t="n"/>
    </row>
    <row r="460">
      <c r="B460" s="49" t="n"/>
      <c r="C460" s="49" t="n"/>
      <c r="D460" s="49" t="n"/>
      <c r="E460" s="49" t="n"/>
      <c r="F460" s="50" t="n"/>
    </row>
    <row r="461">
      <c r="B461" s="49" t="n"/>
      <c r="C461" s="49" t="n"/>
      <c r="D461" s="49" t="n"/>
      <c r="E461" s="49" t="n"/>
      <c r="F461" s="50" t="n"/>
    </row>
    <row r="462">
      <c r="B462" s="49" t="n"/>
      <c r="C462" s="49" t="n"/>
      <c r="D462" s="49" t="n"/>
      <c r="E462" s="49" t="n"/>
      <c r="F462" s="50" t="n"/>
    </row>
    <row r="463">
      <c r="B463" s="49" t="n"/>
      <c r="C463" s="49" t="n"/>
      <c r="D463" s="49" t="n"/>
      <c r="E463" s="49" t="n"/>
      <c r="F463" s="50" t="n"/>
    </row>
    <row r="464">
      <c r="B464" s="49" t="n"/>
      <c r="C464" s="49" t="n"/>
      <c r="D464" s="49" t="n"/>
      <c r="E464" s="49" t="n"/>
      <c r="F464" s="50" t="n"/>
    </row>
    <row r="465">
      <c r="B465" s="49" t="n"/>
      <c r="C465" s="49" t="n"/>
      <c r="D465" s="49" t="n"/>
      <c r="E465" s="49" t="n"/>
      <c r="F465" s="50" t="n"/>
    </row>
    <row r="466">
      <c r="B466" s="49" t="n"/>
      <c r="C466" s="49" t="n"/>
      <c r="D466" s="49" t="n"/>
      <c r="E466" s="49" t="n"/>
      <c r="F466" s="50" t="n"/>
    </row>
    <row r="467">
      <c r="B467" s="49" t="n"/>
      <c r="C467" s="49" t="n"/>
      <c r="D467" s="49" t="n"/>
      <c r="E467" s="49" t="n"/>
      <c r="F467" s="50" t="n"/>
    </row>
    <row r="468">
      <c r="B468" s="49" t="n"/>
      <c r="C468" s="49" t="n"/>
      <c r="D468" s="49" t="n"/>
      <c r="E468" s="49" t="n"/>
      <c r="F468" s="50" t="n"/>
    </row>
    <row r="469">
      <c r="B469" s="49" t="n"/>
      <c r="C469" s="49" t="n"/>
      <c r="D469" s="49" t="n"/>
      <c r="E469" s="49" t="n"/>
      <c r="F469" s="50" t="n"/>
    </row>
    <row r="470">
      <c r="B470" s="49" t="n"/>
      <c r="C470" s="49" t="n"/>
      <c r="D470" s="49" t="n"/>
      <c r="E470" s="49" t="n"/>
      <c r="F470" s="50" t="n"/>
    </row>
    <row r="471">
      <c r="B471" s="49" t="n"/>
      <c r="C471" s="49" t="n"/>
      <c r="D471" s="49" t="n"/>
      <c r="E471" s="49" t="n"/>
      <c r="F471" s="50" t="n"/>
    </row>
    <row r="472">
      <c r="B472" s="49" t="n"/>
      <c r="C472" s="49" t="n"/>
      <c r="D472" s="49" t="n"/>
      <c r="E472" s="49" t="n"/>
      <c r="F472" s="50" t="n"/>
    </row>
    <row r="473">
      <c r="B473" s="49" t="n"/>
      <c r="C473" s="49" t="n"/>
      <c r="D473" s="49" t="n"/>
      <c r="E473" s="49" t="n"/>
      <c r="F473" s="50" t="n"/>
    </row>
    <row r="474">
      <c r="B474" s="49" t="n"/>
      <c r="C474" s="49" t="n"/>
      <c r="D474" s="49" t="n"/>
      <c r="E474" s="49" t="n"/>
      <c r="F474" s="50" t="n"/>
    </row>
    <row r="475">
      <c r="B475" s="49" t="n"/>
      <c r="C475" s="49" t="n"/>
      <c r="D475" s="49" t="n"/>
      <c r="E475" s="49" t="n"/>
      <c r="F475" s="50" t="n"/>
    </row>
    <row r="476">
      <c r="B476" s="49" t="n"/>
      <c r="C476" s="49" t="n"/>
      <c r="D476" s="49" t="n"/>
      <c r="E476" s="49" t="n"/>
      <c r="F476" s="50" t="n"/>
    </row>
    <row r="477">
      <c r="B477" s="49" t="n"/>
      <c r="C477" s="49" t="n"/>
      <c r="D477" s="49" t="n"/>
      <c r="E477" s="49" t="n"/>
      <c r="F477" s="50" t="n"/>
    </row>
    <row r="478">
      <c r="B478" s="49" t="n"/>
      <c r="C478" s="49" t="n"/>
      <c r="D478" s="49" t="n"/>
      <c r="E478" s="49" t="n"/>
      <c r="F478" s="50" t="n"/>
    </row>
    <row r="479">
      <c r="B479" s="49" t="n"/>
      <c r="C479" s="49" t="n"/>
      <c r="D479" s="49" t="n"/>
      <c r="E479" s="49" t="n"/>
      <c r="F479" s="50" t="n"/>
    </row>
    <row r="480">
      <c r="B480" s="49" t="n"/>
      <c r="C480" s="49" t="n"/>
      <c r="D480" s="49" t="n"/>
      <c r="E480" s="49" t="n"/>
      <c r="F480" s="50" t="n"/>
    </row>
    <row r="481">
      <c r="B481" s="49" t="n"/>
      <c r="C481" s="49" t="n"/>
      <c r="D481" s="49" t="n"/>
      <c r="E481" s="49" t="n"/>
      <c r="F481" s="50" t="n"/>
    </row>
    <row r="482">
      <c r="B482" s="49" t="n"/>
      <c r="C482" s="49" t="n"/>
      <c r="D482" s="49" t="n"/>
      <c r="E482" s="49" t="n"/>
      <c r="F482" s="50" t="n"/>
    </row>
    <row r="483">
      <c r="B483" s="49" t="n"/>
      <c r="C483" s="49" t="n"/>
      <c r="D483" s="49" t="n"/>
      <c r="E483" s="49" t="n"/>
      <c r="F483" s="50" t="n"/>
    </row>
    <row r="484">
      <c r="B484" s="49" t="n"/>
      <c r="C484" s="49" t="n"/>
      <c r="D484" s="49" t="n"/>
      <c r="E484" s="49" t="n"/>
      <c r="F484" s="50" t="n"/>
    </row>
    <row r="485">
      <c r="B485" s="49" t="n"/>
      <c r="C485" s="49" t="n"/>
      <c r="D485" s="49" t="n"/>
      <c r="E485" s="49" t="n"/>
      <c r="F485" s="50" t="n"/>
    </row>
    <row r="486">
      <c r="B486" s="49" t="n"/>
      <c r="C486" s="49" t="n"/>
      <c r="D486" s="49" t="n"/>
      <c r="E486" s="49" t="n"/>
      <c r="F486" s="50" t="n"/>
    </row>
    <row r="487">
      <c r="B487" s="49" t="n"/>
      <c r="C487" s="49" t="n"/>
      <c r="D487" s="49" t="n"/>
      <c r="E487" s="49" t="n"/>
      <c r="F487" s="50" t="n"/>
    </row>
    <row r="488">
      <c r="B488" s="49" t="n"/>
      <c r="C488" s="49" t="n"/>
      <c r="D488" s="49" t="n"/>
      <c r="E488" s="49" t="n"/>
      <c r="F488" s="50" t="n"/>
    </row>
    <row r="489">
      <c r="B489" s="49" t="n"/>
      <c r="C489" s="49" t="n"/>
      <c r="D489" s="49" t="n"/>
      <c r="E489" s="49" t="n"/>
      <c r="F489" s="50" t="n"/>
    </row>
    <row r="490">
      <c r="B490" s="49" t="n"/>
      <c r="C490" s="49" t="n"/>
      <c r="D490" s="49" t="n"/>
      <c r="E490" s="49" t="n"/>
      <c r="F490" s="50" t="n"/>
    </row>
    <row r="491">
      <c r="B491" s="49" t="n"/>
      <c r="C491" s="49" t="n"/>
      <c r="D491" s="49" t="n"/>
      <c r="E491" s="49" t="n"/>
      <c r="F491" s="50" t="n"/>
    </row>
    <row r="492">
      <c r="B492" s="49" t="n"/>
      <c r="C492" s="49" t="n"/>
      <c r="D492" s="49" t="n"/>
      <c r="E492" s="49" t="n"/>
      <c r="F492" s="50" t="n"/>
    </row>
    <row r="493">
      <c r="B493" s="49" t="n"/>
      <c r="C493" s="49" t="n"/>
      <c r="D493" s="49" t="n"/>
      <c r="E493" s="49" t="n"/>
      <c r="F493" s="50" t="n"/>
    </row>
    <row r="494">
      <c r="B494" s="49" t="n"/>
      <c r="C494" s="49" t="n"/>
      <c r="D494" s="49" t="n"/>
      <c r="E494" s="49" t="n"/>
      <c r="F494" s="50" t="n"/>
    </row>
    <row r="495">
      <c r="B495" s="49" t="n"/>
      <c r="C495" s="49" t="n"/>
      <c r="D495" s="49" t="n"/>
      <c r="E495" s="49" t="n"/>
      <c r="F495" s="50" t="n"/>
    </row>
    <row r="496">
      <c r="B496" s="49" t="n"/>
      <c r="C496" s="49" t="n"/>
      <c r="D496" s="49" t="n"/>
      <c r="E496" s="49" t="n"/>
      <c r="F496" s="50" t="n"/>
    </row>
    <row r="497">
      <c r="B497" s="49" t="n"/>
      <c r="C497" s="49" t="n"/>
      <c r="D497" s="49" t="n"/>
      <c r="E497" s="49" t="n"/>
      <c r="F497" s="50" t="n"/>
    </row>
    <row r="498">
      <c r="B498" s="49" t="n"/>
      <c r="C498" s="49" t="n"/>
      <c r="D498" s="49" t="n"/>
      <c r="E498" s="49" t="n"/>
      <c r="F498" s="50" t="n"/>
    </row>
    <row r="499">
      <c r="B499" s="49" t="n"/>
      <c r="C499" s="49" t="n"/>
      <c r="D499" s="49" t="n"/>
      <c r="E499" s="49" t="n"/>
      <c r="F499" s="50" t="n"/>
    </row>
    <row r="500">
      <c r="B500" s="49" t="n"/>
      <c r="C500" s="49" t="n"/>
      <c r="D500" s="49" t="n"/>
      <c r="E500" s="49" t="n"/>
      <c r="F500" s="50" t="n"/>
    </row>
    <row r="501">
      <c r="B501" s="49" t="n"/>
      <c r="C501" s="49" t="n"/>
      <c r="D501" s="49" t="n"/>
      <c r="E501" s="49" t="n"/>
      <c r="F501" s="50" t="n"/>
    </row>
    <row r="502">
      <c r="B502" s="49" t="n"/>
      <c r="C502" s="49" t="n"/>
      <c r="D502" s="49" t="n"/>
      <c r="E502" s="49" t="n"/>
      <c r="F502" s="50" t="n"/>
    </row>
    <row r="503">
      <c r="B503" s="49" t="n"/>
      <c r="C503" s="49" t="n"/>
      <c r="D503" s="49" t="n"/>
      <c r="E503" s="49" t="n"/>
      <c r="F503" s="50" t="n"/>
    </row>
    <row r="504">
      <c r="B504" s="49" t="n"/>
      <c r="C504" s="49" t="n"/>
      <c r="D504" s="49" t="n"/>
      <c r="E504" s="49" t="n"/>
      <c r="F504" s="50" t="n"/>
    </row>
    <row r="505">
      <c r="B505" s="49" t="n"/>
      <c r="C505" s="49" t="n"/>
      <c r="D505" s="49" t="n"/>
      <c r="E505" s="49" t="n"/>
      <c r="F505" s="50" t="n"/>
    </row>
    <row r="506">
      <c r="B506" s="49" t="n"/>
      <c r="C506" s="49" t="n"/>
      <c r="D506" s="49" t="n"/>
      <c r="E506" s="49" t="n"/>
      <c r="F506" s="50" t="n"/>
    </row>
    <row r="507">
      <c r="B507" s="49" t="n"/>
      <c r="C507" s="49" t="n"/>
      <c r="D507" s="49" t="n"/>
      <c r="E507" s="49" t="n"/>
      <c r="F507" s="50" t="n"/>
    </row>
    <row r="508">
      <c r="B508" s="49" t="n"/>
      <c r="C508" s="49" t="n"/>
      <c r="D508" s="49" t="n"/>
      <c r="E508" s="49" t="n"/>
      <c r="F508" s="50" t="n"/>
    </row>
    <row r="509">
      <c r="B509" s="49" t="n"/>
      <c r="C509" s="49" t="n"/>
      <c r="D509" s="49" t="n"/>
      <c r="E509" s="49" t="n"/>
      <c r="F509" s="50" t="n"/>
    </row>
    <row r="510">
      <c r="B510" s="49" t="n"/>
      <c r="C510" s="49" t="n"/>
      <c r="D510" s="49" t="n"/>
      <c r="E510" s="49" t="n"/>
      <c r="F510" s="50" t="n"/>
    </row>
    <row r="511">
      <c r="B511" s="49" t="n"/>
      <c r="C511" s="49" t="n"/>
      <c r="D511" s="49" t="n"/>
      <c r="E511" s="49" t="n"/>
      <c r="F511" s="50" t="n"/>
    </row>
    <row r="512">
      <c r="B512" s="49" t="n"/>
      <c r="C512" s="49" t="n"/>
      <c r="D512" s="49" t="n"/>
      <c r="E512" s="49" t="n"/>
      <c r="F512" s="50" t="n"/>
    </row>
    <row r="513">
      <c r="B513" s="49" t="n"/>
      <c r="C513" s="49" t="n"/>
      <c r="D513" s="49" t="n"/>
      <c r="E513" s="49" t="n"/>
      <c r="F513" s="50" t="n"/>
    </row>
    <row r="514">
      <c r="B514" s="49" t="n"/>
      <c r="C514" s="49" t="n"/>
      <c r="D514" s="49" t="n"/>
      <c r="E514" s="49" t="n"/>
      <c r="F514" s="50" t="n"/>
    </row>
    <row r="515">
      <c r="B515" s="49" t="n"/>
      <c r="C515" s="49" t="n"/>
      <c r="D515" s="49" t="n"/>
      <c r="E515" s="49" t="n"/>
      <c r="F515" s="50" t="n"/>
    </row>
    <row r="516">
      <c r="B516" s="49" t="n"/>
      <c r="C516" s="49" t="n"/>
      <c r="D516" s="49" t="n"/>
      <c r="E516" s="49" t="n"/>
      <c r="F516" s="50" t="n"/>
    </row>
    <row r="517">
      <c r="B517" s="49" t="n"/>
      <c r="C517" s="49" t="n"/>
      <c r="D517" s="49" t="n"/>
      <c r="E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E17:E517">
    <cfRule type="expression" priority="5" dxfId="6">
      <formula>AND(LEN($B17&amp;$C17&amp;$D17&amp;$E17&amp;$F17)&gt;0,E17="")</formula>
    </cfRule>
  </conditionalFormatting>
  <conditionalFormatting sqref="F17:F517">
    <cfRule type="expression" priority="6"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The code is not in D0-11, column Bank account code. Enter it there first, or keep it if it is a code BIBS already holds." promptTitle="Bank account code" prompt="Yes. Bank account of the book Allowed: Code of an existing bank account" type="list" errorStyle="warning">
      <formula1>=CODES_D0_11_BANK_ACCOUNT_CODE</formula1>
    </dataValidation>
    <dataValidation sqref="C17:C517" showDropDown="0" showInputMessage="1" showErrorMessage="0" allowBlank="1" promptTitle="First check number" prompt="Yes. First check number of the book"/>
    <dataValidation sqref="D17:D517" showDropDown="0" showInputMessage="1" showErrorMessage="0" allowBlank="1" promptTitle="Last check number" prompt="Yes. Last check number of the book"/>
    <dataValidation sqref="E17:E517" showDropDown="0" showInputMessage="1" showErrorMessage="0" allowBlank="1" promptTitle="Next check number" prompt="Yes. Next check number to issue"/>
    <dataValidation sqref="F17:F517" showDropDown="0" showInputMessage="1" showErrorMessage="1" allowBlank="1" errorTitle="Received on" error="Enter a date, for example 15-Jan-2028." promptTitle="Received on" prompt="Yes. Date the book was received Allowed: A date, for example 15-Jan-2028" type="date" operator="greaterThan">
      <formula1>DATE(1900,1,1)</formula1>
    </dataValidation>
  </dataValidations>
  <hyperlinks>
    <hyperlink ref="A2" location="'Start here'!A1"/>
    <hyperlink ref="G2" location="'Questions and comments'!A1"/>
    <hyperlink ref="B8" location="'D0-11 Bank accounts'!A1"/>
    <hyperlink ref="B14" location="'D0-11 Bank accounts'!B1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3.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4" customWidth="1" min="3" max="3"/>
    <col width="24" customWidth="1" min="4" max="4"/>
    <col width="14" customWidth="1" min="5" max="5"/>
    <col width="15" customWidth="1" min="6" max="6"/>
    <col width="31" customWidth="1" min="7" max="7"/>
    <col width="13" customWidth="1" min="8" max="8"/>
    <col width="23.63636363636363" customWidth="1" min="9" max="9"/>
  </cols>
  <sheetData>
    <row r="1" ht="26" customHeight="1">
      <c r="A1" s="25" t="inlineStr">
        <is>
          <t>D0-13 Petty cash funds</t>
        </is>
      </c>
      <c r="I1" s="26" t="inlineStr">
        <is>
          <t>Step 41 of 52</t>
        </is>
      </c>
    </row>
    <row r="2">
      <c r="A2" s="27" t="inlineStr">
        <is>
          <t>← Back to Start here</t>
        </is>
      </c>
      <c r="B2" s="28" t="inlineStr">
        <is>
          <t>Step 41 of 52. Fill in one row per record below the column headers; the guide above each column says what to enter.</t>
        </is>
      </c>
      <c r="I2" s="29" t="inlineStr">
        <is>
          <t>Ask a question →</t>
        </is>
      </c>
    </row>
    <row r="3" outlineLevel="1" ht="15.5" customHeight="1">
      <c r="A3" s="30" t="inlineStr">
        <is>
          <t>Purpose</t>
        </is>
      </c>
      <c r="B3" s="31" t="inlineStr">
        <is>
          <t>The petty cash funds of the branches</t>
        </is>
      </c>
    </row>
    <row r="4" outlineLevel="1" ht="15.5" customHeight="1">
      <c r="A4" s="30" t="inlineStr">
        <is>
          <t>Provided by</t>
        </is>
      </c>
      <c r="B4" s="31" t="inlineStr">
        <is>
          <t>Head, Comptrollership</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Upload on the configuration screen Finance › Payables &amp; Cash › Petty Cash,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D0-02 Branches →</t>
        </is>
      </c>
      <c r="D8" s="53" t="inlineStr">
        <is>
          <t>D0-05 Employees →</t>
        </is>
      </c>
      <c r="E8" s="53" t="inlineStr">
        <is>
          <t>D0-06 Chart of accounts →</t>
        </is>
      </c>
      <c r="G8" s="53" t="inlineStr">
        <is>
          <t>D0-11 Company bank accounts →</t>
        </is>
      </c>
    </row>
    <row r="9" ht="26" customHeight="1">
      <c r="A9" s="34" t="inlineStr">
        <is>
          <t>Progress</t>
        </is>
      </c>
      <c r="B9" s="35" t="inlineStr">
        <is>
          <t>Rows entered</t>
        </is>
      </c>
      <c r="C9" s="36">
        <f>SUMPRODUCT(((ROW($B$17:$B$517)&gt;17)+($B$17&lt;&gt;"HO")&gt;0)*(LEN($B$17:$B$517&amp;$C$17:$C$517&amp;$D$17:$D$517&amp;$E$17:$E$517&amp;$F$17:$F$517&amp;$G$17:$G$517&amp;$H$17:$H$517&amp;$I$17:$I$517)&gt;0))</f>
        <v/>
      </c>
      <c r="D9" s="35" t="inlineStr">
        <is>
          <t>Mandatory cells missing</t>
        </is>
      </c>
      <c r="E9" s="36">
        <f>SUMPRODUCT(((ROW($B$17:$B$517)&gt;17)+($B$17&lt;&gt;"HO")&gt;0)*(LEN($B$17:$B$517&amp;$C$17:$C$517&amp;$D$17:$D$517&amp;$E$17:$E$517&amp;$F$17:$F$517&amp;$G$17:$G$517&amp;$H$17:$H$517&amp;$I$17:$I$517)&gt;0)*(($B$17:$B$517="")+($C$17:$C$517="")+($D$17:$D$517="")+($E$17:$E$517="")+($F$17:$F$517="")+($G$17:$G$517="")+($H$17:$H$517="")+($I$17:$I$517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17" customHeight="1">
      <c r="A12" s="41" t="inlineStr">
        <is>
          <t>Mandatory</t>
        </is>
      </c>
      <c r="B12" s="42" t="inlineStr">
        <is>
          <t>Yes</t>
        </is>
      </c>
      <c r="C12" s="42" t="inlineStr">
        <is>
          <t>Yes</t>
        </is>
      </c>
      <c r="D12" s="42" t="inlineStr">
        <is>
          <t>Yes</t>
        </is>
      </c>
      <c r="E12" s="42" t="inlineStr">
        <is>
          <t>Yes</t>
        </is>
      </c>
      <c r="F12" s="42" t="inlineStr">
        <is>
          <t>Yes</t>
        </is>
      </c>
      <c r="G12" s="42" t="inlineStr">
        <is>
          <t>Yes</t>
        </is>
      </c>
      <c r="H12" s="42" t="inlineStr">
        <is>
          <t>Yes</t>
        </is>
      </c>
      <c r="I12" s="42" t="inlineStr">
        <is>
          <t>Yes</t>
        </is>
      </c>
    </row>
    <row r="13" ht="30" customHeight="1">
      <c r="A13" s="41" t="inlineStr">
        <is>
          <t>Format</t>
        </is>
      </c>
      <c r="B13" s="43" t="inlineStr">
        <is>
          <t>Text</t>
        </is>
      </c>
      <c r="C13" s="43" t="inlineStr">
        <is>
          <t>Text</t>
        </is>
      </c>
      <c r="D13" s="43" t="inlineStr">
        <is>
          <t>Text</t>
        </is>
      </c>
      <c r="E13" s="43" t="inlineStr">
        <is>
          <t>Text</t>
        </is>
      </c>
      <c r="F13" s="43" t="inlineStr">
        <is>
          <t>Text</t>
        </is>
      </c>
      <c r="G13" s="43" t="inlineStr">
        <is>
          <t>Text</t>
        </is>
      </c>
      <c r="H13" s="43" t="inlineStr">
        <is>
          <t>Text</t>
        </is>
      </c>
      <c r="I13" s="43" t="inlineStr">
        <is>
          <t>Number without thousands separators, e.g. 1500000.50</t>
        </is>
      </c>
    </row>
    <row r="14" ht="56" customHeight="1">
      <c r="A14" s="41" t="inlineStr">
        <is>
          <t>Allowed values</t>
        </is>
      </c>
      <c r="B14" s="51" t="inlineStr">
        <is>
          <t>Code of an existing branch</t>
        </is>
      </c>
      <c r="C14" s="43" t="inlineStr">
        <is>
          <t>Free entry</t>
        </is>
      </c>
      <c r="D14" s="43" t="inlineStr">
        <is>
          <t>Free entry</t>
        </is>
      </c>
      <c r="E14" s="51" t="inlineStr">
        <is>
          <t>Code of an existing employee</t>
        </is>
      </c>
      <c r="F14" s="51" t="inlineStr">
        <is>
          <t>Code of an existing account of the chart of accounts</t>
        </is>
      </c>
      <c r="G14" s="51" t="inlineStr">
        <is>
          <t>Code of an existing bank account</t>
        </is>
      </c>
      <c r="H14" s="43" t="inlineStr">
        <is>
          <t>Free entry</t>
        </is>
      </c>
      <c r="I14" s="43" t="inlineStr">
        <is>
          <t>A number</t>
        </is>
      </c>
    </row>
    <row r="15" ht="43" customHeight="1">
      <c r="A15" s="41" t="inlineStr">
        <is>
          <t>What to enter</t>
        </is>
      </c>
      <c r="B15" s="43" t="inlineStr">
        <is>
          <t>Branch of the fund</t>
        </is>
      </c>
      <c r="C15" s="43" t="inlineStr">
        <is>
          <t>Code of the fund</t>
        </is>
      </c>
      <c r="D15" s="43" t="inlineStr">
        <is>
          <t>Name of the fund</t>
        </is>
      </c>
      <c r="E15" s="43" t="inlineStr">
        <is>
          <t>Employee number of the custodian</t>
        </is>
      </c>
      <c r="F15" s="43" t="inlineStr">
        <is>
          <t>Account of the fund</t>
        </is>
      </c>
      <c r="G15" s="43" t="inlineStr">
        <is>
          <t>Bank account that replenishes the fund</t>
        </is>
      </c>
      <c r="H15" s="43" t="inlineStr">
        <is>
          <t>Currency of the fund</t>
        </is>
      </c>
      <c r="I15" s="43" t="inlineStr">
        <is>
          <t>Amount of the fund</t>
        </is>
      </c>
    </row>
    <row r="16" ht="30" customHeight="1">
      <c r="A16" s="44" t="inlineStr">
        <is>
          <t>Row</t>
        </is>
      </c>
      <c r="B16" s="45" t="inlineStr">
        <is>
          <t>Branch code *</t>
        </is>
      </c>
      <c r="C16" s="45" t="inlineStr">
        <is>
          <t>Fund code *</t>
        </is>
      </c>
      <c r="D16" s="45" t="inlineStr">
        <is>
          <t>Name *</t>
        </is>
      </c>
      <c r="E16" s="45" t="inlineStr">
        <is>
          <t>Custodian *</t>
        </is>
      </c>
      <c r="F16" s="45" t="inlineStr">
        <is>
          <t>GL account *</t>
        </is>
      </c>
      <c r="G16" s="45" t="inlineStr">
        <is>
          <t>Replenishment bank account *</t>
        </is>
      </c>
      <c r="H16" s="45" t="inlineStr">
        <is>
          <t>Currency *</t>
        </is>
      </c>
      <c r="I16" s="45" t="inlineStr">
        <is>
          <t>Imprest amount *</t>
        </is>
      </c>
    </row>
    <row r="17" ht="18" customHeight="1">
      <c r="A17" s="46" t="inlineStr">
        <is>
          <t>Example – overwrite or delete</t>
        </is>
      </c>
      <c r="B17" s="47" t="inlineStr">
        <is>
          <t>HO</t>
        </is>
      </c>
      <c r="C17" s="47" t="inlineStr">
        <is>
          <t>PCF-HO</t>
        </is>
      </c>
      <c r="D17" s="47" t="inlineStr">
        <is>
          <t>Head Office petty cash</t>
        </is>
      </c>
      <c r="E17" s="47" t="inlineStr">
        <is>
          <t>1203344</t>
        </is>
      </c>
      <c r="F17" s="47" t="inlineStr">
        <is>
          <t>1101.01</t>
        </is>
      </c>
      <c r="G17" s="47" t="inlineStr">
        <is>
          <t>BNK-CA-001</t>
        </is>
      </c>
      <c r="H17" s="47" t="inlineStr">
        <is>
          <t>PHP</t>
        </is>
      </c>
      <c r="I17" s="52" t="n">
        <v>20000</v>
      </c>
    </row>
    <row r="18">
      <c r="B18" s="49" t="n"/>
      <c r="C18" s="49" t="n"/>
      <c r="D18" s="49" t="n"/>
      <c r="E18" s="49" t="n"/>
      <c r="F18" s="49" t="n"/>
      <c r="G18" s="49" t="n"/>
      <c r="H18" s="49" t="n"/>
    </row>
    <row r="19">
      <c r="B19" s="49" t="n"/>
      <c r="C19" s="49" t="n"/>
      <c r="D19" s="49" t="n"/>
      <c r="E19" s="49" t="n"/>
      <c r="F19" s="49" t="n"/>
      <c r="G19" s="49" t="n"/>
      <c r="H19" s="49" t="n"/>
    </row>
    <row r="20">
      <c r="B20" s="49" t="n"/>
      <c r="C20" s="49" t="n"/>
      <c r="D20" s="49" t="n"/>
      <c r="E20" s="49" t="n"/>
      <c r="F20" s="49" t="n"/>
      <c r="G20" s="49" t="n"/>
      <c r="H20" s="49" t="n"/>
    </row>
    <row r="21">
      <c r="B21" s="49" t="n"/>
      <c r="C21" s="49" t="n"/>
      <c r="D21" s="49" t="n"/>
      <c r="E21" s="49" t="n"/>
      <c r="F21" s="49" t="n"/>
      <c r="G21" s="49" t="n"/>
      <c r="H21" s="49" t="n"/>
    </row>
    <row r="22">
      <c r="B22" s="49" t="n"/>
      <c r="C22" s="49" t="n"/>
      <c r="D22" s="49" t="n"/>
      <c r="E22" s="49" t="n"/>
      <c r="F22" s="49" t="n"/>
      <c r="G22" s="49" t="n"/>
      <c r="H22" s="49" t="n"/>
    </row>
    <row r="23">
      <c r="B23" s="49" t="n"/>
      <c r="C23" s="49" t="n"/>
      <c r="D23" s="49" t="n"/>
      <c r="E23" s="49" t="n"/>
      <c r="F23" s="49" t="n"/>
      <c r="G23" s="49" t="n"/>
      <c r="H23" s="49" t="n"/>
    </row>
    <row r="24">
      <c r="B24" s="49" t="n"/>
      <c r="C24" s="49" t="n"/>
      <c r="D24" s="49" t="n"/>
      <c r="E24" s="49" t="n"/>
      <c r="F24" s="49" t="n"/>
      <c r="G24" s="49" t="n"/>
      <c r="H24" s="49" t="n"/>
    </row>
    <row r="25">
      <c r="B25" s="49" t="n"/>
      <c r="C25" s="49" t="n"/>
      <c r="D25" s="49" t="n"/>
      <c r="E25" s="49" t="n"/>
      <c r="F25" s="49" t="n"/>
      <c r="G25" s="49" t="n"/>
      <c r="H25" s="49" t="n"/>
    </row>
    <row r="26">
      <c r="B26" s="49" t="n"/>
      <c r="C26" s="49" t="n"/>
      <c r="D26" s="49" t="n"/>
      <c r="E26" s="49" t="n"/>
      <c r="F26" s="49" t="n"/>
      <c r="G26" s="49" t="n"/>
      <c r="H26" s="49" t="n"/>
    </row>
    <row r="27">
      <c r="B27" s="49" t="n"/>
      <c r="C27" s="49" t="n"/>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sheetData>
  <mergeCells count="9">
    <mergeCell ref="B7:I7"/>
    <mergeCell ref="B6:I6"/>
    <mergeCell ref="B10:C10"/>
    <mergeCell ref="G8:I8"/>
    <mergeCell ref="B3:I3"/>
    <mergeCell ref="B5:I5"/>
    <mergeCell ref="B8:C8"/>
    <mergeCell ref="E8:F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conditionalFormatting sqref="C17:C517">
    <cfRule type="expression" priority="3" dxfId="6">
      <formula>AND(LEN($B17&amp;$C17&amp;$D17&amp;$E17&amp;$F17&amp;$G17&amp;$H17&amp;$I17)&gt;0,C17="")</formula>
    </cfRule>
  </conditionalFormatting>
  <conditionalFormatting sqref="D17:D517">
    <cfRule type="expression" priority="4" dxfId="6">
      <formula>AND(LEN($B17&amp;$C17&amp;$D17&amp;$E17&amp;$F17&amp;$G17&amp;$H17&amp;$I17)&gt;0,D17="")</formula>
    </cfRule>
  </conditionalFormatting>
  <conditionalFormatting sqref="E17:E517">
    <cfRule type="expression" priority="5" dxfId="6">
      <formula>AND(LEN($B17&amp;$C17&amp;$D17&amp;$E17&amp;$F17&amp;$G17&amp;$H17&amp;$I17)&gt;0,E17="")</formula>
    </cfRule>
  </conditionalFormatting>
  <conditionalFormatting sqref="F17:F517">
    <cfRule type="expression" priority="6" dxfId="6">
      <formula>AND(LEN($B17&amp;$C17&amp;$D17&amp;$E17&amp;$F17&amp;$G17&amp;$H17&amp;$I17)&gt;0,F17="")</formula>
    </cfRule>
  </conditionalFormatting>
  <conditionalFormatting sqref="G17:G517">
    <cfRule type="expression" priority="7" dxfId="6">
      <formula>AND(LEN($B17&amp;$C17&amp;$D17&amp;$E17&amp;$F17&amp;$G17&amp;$H17&amp;$I17)&gt;0,G17="")</formula>
    </cfRule>
  </conditionalFormatting>
  <conditionalFormatting sqref="H17:H517">
    <cfRule type="expression" priority="8" dxfId="6">
      <formula>AND(LEN($B17&amp;$C17&amp;$D17&amp;$E17&amp;$F17&amp;$G17&amp;$H17&amp;$I17)&gt;0,H17="")</formula>
    </cfRule>
  </conditionalFormatting>
  <conditionalFormatting sqref="I17:I517">
    <cfRule type="expression" priority="9" dxfId="6">
      <formula>AND(LEN($B17&amp;$C17&amp;$D17&amp;$E17&amp;$F17&amp;$G17&amp;$H17&amp;$I17)&gt;0,I17="")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The code is not in D0-02, column Branch code. Enter it there first, or keep it if it is a code BIBS already holds." promptTitle="Branch code" prompt="Yes. Branch of the fund Allowed: Code of an existing branch" type="list" errorStyle="warning">
      <formula1>=CODES_D0_02_BRANCH_CODE</formula1>
    </dataValidation>
    <dataValidation sqref="C17:C517" showDropDown="0" showInputMessage="1" showErrorMessage="0" allowBlank="1" promptTitle="Fund code" prompt="Yes. Code of the fund"/>
    <dataValidation sqref="D17:D517" showDropDown="0" showInputMessage="1" showErrorMessage="0" allowBlank="1" promptTitle="Name" prompt="Yes. Name of the fund"/>
    <dataValidation sqref="E17:E517" showDropDown="0" showInputMessage="1" showErrorMessage="1" allowBlank="1" errorTitle="Custodian" error="The code is not in D0-05, column Employee number. Enter it there first, or keep it if it is a code BIBS already holds." promptTitle="Custodian" prompt="Yes. Employee number of the custodian Allowed: Code of an existing employee" type="list" errorStyle="warning">
      <formula1>=CODES_D0_05_EMPLOYEE_NUMBER</formula1>
    </dataValidation>
    <dataValidation sqref="F17:F517" showDropDown="0" showInputMessage="1" showErrorMessage="1" allowBlank="1" errorTitle="GL account" error="The code is not in D0-06, column Account Code. Enter it there first, or keep it if it is a code BIBS already holds." promptTitle="GL account" prompt="Yes. Account of the fund Allowed: Code of an existing account of the chart of accounts" type="list" errorStyle="warning">
      <formula1>=CODES_D0_06_ACCOUNT_CODE</formula1>
    </dataValidation>
    <dataValidation sqref="G17:G517" showDropDown="0" showInputMessage="1" showErrorMessage="1" allowBlank="1" errorTitle="Replenishment bank account" error="The code is not in D0-11, column Bank account code. Enter it there first, or keep it if it is a code BIBS already holds." promptTitle="Replenishment bank account" prompt="Yes. Bank account that replenishes the fund Allowed: Code of an existing bank account" type="list" errorStyle="warning">
      <formula1>=CODES_D0_11_BANK_ACCOUNT_CODE</formula1>
    </dataValidation>
    <dataValidation sqref="H17:H517" showDropDown="0" showInputMessage="1" showErrorMessage="0" allowBlank="1" promptTitle="Currency" prompt="Yes. Currency of the fund"/>
    <dataValidation sqref="I17:I517" showDropDown="0" showInputMessage="1" showErrorMessage="1" allowBlank="1" errorTitle="Imprest amount" error="Enter a number." promptTitle="Imprest amount" prompt="Yes. Amount of the fund Allowed: A number" type="decimal" operator="greaterThanOrEqual">
      <formula1>-1E+15</formula1>
    </dataValidation>
  </dataValidations>
  <hyperlinks>
    <hyperlink ref="A2" location="'Start here'!A1"/>
    <hyperlink ref="I2" location="'Questions and comments'!A1"/>
    <hyperlink ref="B8" location="'D0-02 Branches'!A1"/>
    <hyperlink ref="D8" location="'D0-05 Employees'!A1"/>
    <hyperlink ref="E8" location="'D0-06 Chart of accounts'!A1"/>
    <hyperlink ref="G8" location="'D0-11 Bank accounts'!A1"/>
    <hyperlink ref="B14" location="'D0-02 Branches'!B17"/>
    <hyperlink ref="E14" location="'D0-05 Employees'!B16"/>
    <hyperlink ref="F14" location="'D0-06 Chart of accounts'!C16"/>
    <hyperlink ref="G14" location="'D0-11 Bank accounts'!B1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4.xml><?xml version="1.0" encoding="utf-8"?>
<worksheet xmlns="http://schemas.openxmlformats.org/spreadsheetml/2006/main">
  <sheetPr>
    <tabColor rgb="00004EA8"/>
    <outlinePr summaryBelow="0" summaryRight="1"/>
    <pageSetUpPr fitToPage="1"/>
  </sheetPr>
  <dimension ref="A1:K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20" customWidth="1" min="3" max="3"/>
    <col width="16" customWidth="1" min="4" max="4"/>
    <col width="23" customWidth="1" min="5" max="5"/>
    <col width="21" customWidth="1" min="6" max="6"/>
    <col width="17" customWidth="1" min="7" max="7"/>
    <col width="18" customWidth="1" min="8" max="8"/>
    <col width="18" customWidth="1" min="9" max="9"/>
    <col width="19" customWidth="1" min="10" max="10"/>
    <col width="16" customWidth="1" min="11" max="11"/>
  </cols>
  <sheetData>
    <row r="1" ht="26" customHeight="1">
      <c r="A1" s="25" t="inlineStr">
        <is>
          <t>D0-14 Bank statement layouts</t>
        </is>
      </c>
      <c r="K1" s="26" t="inlineStr">
        <is>
          <t>Step 42 of 52</t>
        </is>
      </c>
    </row>
    <row r="2">
      <c r="A2" s="27" t="inlineStr">
        <is>
          <t>← Back to Start here</t>
        </is>
      </c>
      <c r="B2" s="28" t="inlineStr">
        <is>
          <t>Step 42 of 52. Fill in one row per record below the column headers; the guide above each column says what to enter.</t>
        </is>
      </c>
      <c r="K2" s="29" t="inlineStr">
        <is>
          <t>Ask a question →</t>
        </is>
      </c>
    </row>
    <row r="3" outlineLevel="1" ht="15.5" customHeight="1">
      <c r="A3" s="30" t="inlineStr">
        <is>
          <t>Purpose</t>
        </is>
      </c>
      <c r="B3" s="31" t="inlineStr">
        <is>
          <t>The columns of the statement file of each bank account</t>
        </is>
      </c>
    </row>
    <row r="4" outlineLevel="1" ht="15.5" customHeight="1">
      <c r="A4" s="30" t="inlineStr">
        <is>
          <t>Provided by</t>
        </is>
      </c>
      <c r="B4" s="31" t="inlineStr">
        <is>
          <t>Head, Comptrollership; Treasury</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Setup &amp; Administration › Setup › Bank Statement Layouts,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D0-11 Company bank accounts →</t>
        </is>
      </c>
    </row>
    <row r="9" ht="26" customHeight="1">
      <c r="A9" s="34" t="inlineStr">
        <is>
          <t>Progress</t>
        </is>
      </c>
      <c r="B9" s="35" t="inlineStr">
        <is>
          <t>Rows entered</t>
        </is>
      </c>
      <c r="C9" s="36">
        <f>SUMPRODUCT(((ROW($B$17:$B$517)&gt;17)+($B$17&lt;&gt;"BNK-CA-001")&gt;0)*(LEN($B$17:$B$517&amp;$C$17:$C$517&amp;$D$17:$D$517&amp;$E$17:$E$517&amp;$F$17:$F$517&amp;$G$17:$G$517&amp;$H$17:$H$517&amp;$I$17:$I$517&amp;$J$17:$J$517&amp;$K$17:$K$517)&gt;0))</f>
        <v/>
      </c>
      <c r="D9" s="35" t="inlineStr">
        <is>
          <t>Mandatory cells missing</t>
        </is>
      </c>
      <c r="E9" s="36">
        <f>SUMPRODUCT(((ROW($B$17:$B$517)&gt;17)+($B$17&lt;&gt;"BNK-CA-001")&gt;0)*(LEN($B$17:$B$517&amp;$C$17:$C$517&amp;$D$17:$D$517&amp;$E$17:$E$517&amp;$F$17:$F$517&amp;$G$17:$G$517&amp;$H$17:$H$517&amp;$I$17:$I$517&amp;$J$17:$J$517&amp;$K$17:$K$517)&gt;0)*(($B$17:$B$517="")+($C$17:$C$517="")+($D$17:$D$517="")+($E$17:$E$517="")+($K$17:$K$517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row>
    <row r="12" ht="17" customHeight="1">
      <c r="A12" s="41" t="inlineStr">
        <is>
          <t>Mandatory</t>
        </is>
      </c>
      <c r="B12" s="42" t="inlineStr">
        <is>
          <t>Yes</t>
        </is>
      </c>
      <c r="C12" s="42" t="inlineStr">
        <is>
          <t>Yes</t>
        </is>
      </c>
      <c r="D12" s="42" t="inlineStr">
        <is>
          <t>Yes</t>
        </is>
      </c>
      <c r="E12" s="42" t="inlineStr">
        <is>
          <t>Yes</t>
        </is>
      </c>
      <c r="F12" s="43" t="inlineStr">
        <is>
          <t>No</t>
        </is>
      </c>
      <c r="G12" s="43" t="inlineStr">
        <is>
          <t>No</t>
        </is>
      </c>
      <c r="H12" s="43" t="inlineStr">
        <is>
          <t>No</t>
        </is>
      </c>
      <c r="I12" s="43" t="inlineStr">
        <is>
          <t>No</t>
        </is>
      </c>
      <c r="J12" s="43" t="inlineStr">
        <is>
          <t>No</t>
        </is>
      </c>
      <c r="K12" s="42" t="inlineStr">
        <is>
          <t>Yes</t>
        </is>
      </c>
    </row>
    <row r="13" ht="30" customHeight="1">
      <c r="A13" s="41" t="inlineStr">
        <is>
          <t>Format</t>
        </is>
      </c>
      <c r="B13" s="43" t="inlineStr">
        <is>
          <t>Text</t>
        </is>
      </c>
      <c r="C13" s="43" t="inlineStr">
        <is>
          <t>Text</t>
        </is>
      </c>
      <c r="D13" s="43" t="inlineStr">
        <is>
          <t>Column header or number</t>
        </is>
      </c>
      <c r="E13" s="43" t="inlineStr">
        <is>
          <t>Column header or number</t>
        </is>
      </c>
      <c r="F13" s="43" t="inlineStr">
        <is>
          <t>Column header or number</t>
        </is>
      </c>
      <c r="G13" s="43" t="inlineStr">
        <is>
          <t>Column header or number</t>
        </is>
      </c>
      <c r="H13" s="43" t="inlineStr">
        <is>
          <t>Column header or number</t>
        </is>
      </c>
      <c r="I13" s="43" t="inlineStr">
        <is>
          <t>Column header or number</t>
        </is>
      </c>
      <c r="J13" s="43" t="inlineStr">
        <is>
          <t>Column header or number</t>
        </is>
      </c>
      <c r="K13" s="43" t="inlineStr">
        <is>
          <t>For example dd/MM/yyyy</t>
        </is>
      </c>
    </row>
    <row r="14" ht="30" customHeight="1">
      <c r="A14" s="41" t="inlineStr">
        <is>
          <t>Allowed values</t>
        </is>
      </c>
      <c r="B14" s="51" t="inlineStr">
        <is>
          <t>Code of an existing bank account</t>
        </is>
      </c>
      <c r="C14" s="43" t="inlineStr">
        <is>
          <t>Free entry</t>
        </is>
      </c>
      <c r="D14" s="43" t="inlineStr">
        <is>
          <t>Free entry</t>
        </is>
      </c>
      <c r="E14" s="43" t="inlineStr">
        <is>
          <t>Free entry</t>
        </is>
      </c>
      <c r="F14" s="43" t="inlineStr">
        <is>
          <t>Free entry</t>
        </is>
      </c>
      <c r="G14" s="43" t="inlineStr">
        <is>
          <t>Free entry</t>
        </is>
      </c>
      <c r="H14" s="43" t="inlineStr">
        <is>
          <t>Free entry</t>
        </is>
      </c>
      <c r="I14" s="43" t="inlineStr">
        <is>
          <t>Free entry</t>
        </is>
      </c>
      <c r="J14" s="43" t="inlineStr">
        <is>
          <t>Free entry</t>
        </is>
      </c>
      <c r="K14" s="43" t="inlineStr">
        <is>
          <t>Free entry</t>
        </is>
      </c>
    </row>
    <row r="15" ht="43" customHeight="1">
      <c r="A15" s="41" t="inlineStr">
        <is>
          <t>What to enter</t>
        </is>
      </c>
      <c r="B15" s="43" t="inlineStr">
        <is>
          <t>Bank account of the statements</t>
        </is>
      </c>
      <c r="C15" s="43" t="inlineStr">
        <is>
          <t>Name of the layout</t>
        </is>
      </c>
      <c r="D15" s="43" t="inlineStr">
        <is>
          <t>Column of the posting date</t>
        </is>
      </c>
      <c r="E15" s="43" t="inlineStr">
        <is>
          <t>Column of the description</t>
        </is>
      </c>
      <c r="F15" s="43" t="inlineStr">
        <is>
          <t>Column of the reference</t>
        </is>
      </c>
      <c r="G15" s="43" t="inlineStr">
        <is>
          <t>Column of the debits</t>
        </is>
      </c>
      <c r="H15" s="43" t="inlineStr">
        <is>
          <t>Column of the credits</t>
        </is>
      </c>
      <c r="I15" s="43" t="inlineStr">
        <is>
          <t>Column of a signed amount, instead of debit and credit</t>
        </is>
      </c>
      <c r="J15" s="43" t="inlineStr">
        <is>
          <t>Column of the balance</t>
        </is>
      </c>
      <c r="K15" s="43" t="inlineStr">
        <is>
          <t>How the bank writes dates</t>
        </is>
      </c>
    </row>
    <row r="16" ht="30" customHeight="1">
      <c r="A16" s="44" t="inlineStr">
        <is>
          <t>Row</t>
        </is>
      </c>
      <c r="B16" s="45" t="inlineStr">
        <is>
          <t>Bank account code *</t>
        </is>
      </c>
      <c r="C16" s="45" t="inlineStr">
        <is>
          <t>Layout name *</t>
        </is>
      </c>
      <c r="D16" s="45" t="inlineStr">
        <is>
          <t>Date column *</t>
        </is>
      </c>
      <c r="E16" s="45" t="inlineStr">
        <is>
          <t>Description column *</t>
        </is>
      </c>
      <c r="F16" s="45" t="inlineStr">
        <is>
          <t>Reference column</t>
        </is>
      </c>
      <c r="G16" s="45" t="inlineStr">
        <is>
          <t>Debit column</t>
        </is>
      </c>
      <c r="H16" s="45" t="inlineStr">
        <is>
          <t>Credit column</t>
        </is>
      </c>
      <c r="I16" s="45" t="inlineStr">
        <is>
          <t>Amount column</t>
        </is>
      </c>
      <c r="J16" s="45" t="inlineStr">
        <is>
          <t>Balance column</t>
        </is>
      </c>
      <c r="K16" s="45" t="inlineStr">
        <is>
          <t>Date format *</t>
        </is>
      </c>
    </row>
    <row r="17" ht="18" customHeight="1">
      <c r="A17" s="46" t="inlineStr">
        <is>
          <t>Example – overwrite or delete</t>
        </is>
      </c>
      <c r="B17" s="47" t="inlineStr">
        <is>
          <t>BNK-CA-001</t>
        </is>
      </c>
      <c r="C17" s="47" t="inlineStr">
        <is>
          <t>Bank CSV statement</t>
        </is>
      </c>
      <c r="D17" s="47" t="inlineStr">
        <is>
          <t>Posting Date</t>
        </is>
      </c>
      <c r="E17" s="47" t="inlineStr">
        <is>
          <t>Description</t>
        </is>
      </c>
      <c r="F17" s="47" t="inlineStr">
        <is>
          <t>Reference No.</t>
        </is>
      </c>
      <c r="G17" s="47" t="inlineStr">
        <is>
          <t>Debit</t>
        </is>
      </c>
      <c r="H17" s="47" t="inlineStr">
        <is>
          <t>Credit</t>
        </is>
      </c>
      <c r="I17" s="47" t="n"/>
      <c r="J17" s="47" t="inlineStr">
        <is>
          <t>Balance</t>
        </is>
      </c>
      <c r="K17" s="47" t="inlineStr">
        <is>
          <t>MM/dd/yyyy</t>
        </is>
      </c>
    </row>
    <row r="18">
      <c r="B18" s="49" t="n"/>
      <c r="C18" s="49" t="n"/>
      <c r="D18" s="49" t="n"/>
      <c r="E18" s="49" t="n"/>
      <c r="F18" s="49" t="n"/>
      <c r="G18" s="49" t="n"/>
      <c r="H18" s="49" t="n"/>
      <c r="I18" s="49" t="n"/>
      <c r="J18" s="49" t="n"/>
      <c r="K18" s="49" t="n"/>
    </row>
    <row r="19">
      <c r="B19" s="49" t="n"/>
      <c r="C19" s="49" t="n"/>
      <c r="D19" s="49" t="n"/>
      <c r="E19" s="49" t="n"/>
      <c r="F19" s="49" t="n"/>
      <c r="G19" s="49" t="n"/>
      <c r="H19" s="49" t="n"/>
      <c r="I19" s="49" t="n"/>
      <c r="J19" s="49" t="n"/>
      <c r="K19" s="49" t="n"/>
    </row>
    <row r="20">
      <c r="B20" s="49" t="n"/>
      <c r="C20" s="49" t="n"/>
      <c r="D20" s="49" t="n"/>
      <c r="E20" s="49" t="n"/>
      <c r="F20" s="49" t="n"/>
      <c r="G20" s="49" t="n"/>
      <c r="H20" s="49" t="n"/>
      <c r="I20" s="49" t="n"/>
      <c r="J20" s="49" t="n"/>
      <c r="K20" s="49" t="n"/>
    </row>
    <row r="21">
      <c r="B21" s="49" t="n"/>
      <c r="C21" s="49" t="n"/>
      <c r="D21" s="49" t="n"/>
      <c r="E21" s="49" t="n"/>
      <c r="F21" s="49" t="n"/>
      <c r="G21" s="49" t="n"/>
      <c r="H21" s="49" t="n"/>
      <c r="I21" s="49" t="n"/>
      <c r="J21" s="49" t="n"/>
      <c r="K21" s="49" t="n"/>
    </row>
    <row r="22">
      <c r="B22" s="49" t="n"/>
      <c r="C22" s="49" t="n"/>
      <c r="D22" s="49" t="n"/>
      <c r="E22" s="49" t="n"/>
      <c r="F22" s="49" t="n"/>
      <c r="G22" s="49" t="n"/>
      <c r="H22" s="49" t="n"/>
      <c r="I22" s="49" t="n"/>
      <c r="J22" s="49" t="n"/>
      <c r="K22" s="49" t="n"/>
    </row>
    <row r="23">
      <c r="B23" s="49" t="n"/>
      <c r="C23" s="49" t="n"/>
      <c r="D23" s="49" t="n"/>
      <c r="E23" s="49" t="n"/>
      <c r="F23" s="49" t="n"/>
      <c r="G23" s="49" t="n"/>
      <c r="H23" s="49" t="n"/>
      <c r="I23" s="49" t="n"/>
      <c r="J23" s="49" t="n"/>
      <c r="K23" s="49" t="n"/>
    </row>
    <row r="24">
      <c r="B24" s="49" t="n"/>
      <c r="C24" s="49" t="n"/>
      <c r="D24" s="49" t="n"/>
      <c r="E24" s="49" t="n"/>
      <c r="F24" s="49" t="n"/>
      <c r="G24" s="49" t="n"/>
      <c r="H24" s="49" t="n"/>
      <c r="I24" s="49" t="n"/>
      <c r="J24" s="49" t="n"/>
      <c r="K24" s="49" t="n"/>
    </row>
    <row r="25">
      <c r="B25" s="49" t="n"/>
      <c r="C25" s="49" t="n"/>
      <c r="D25" s="49" t="n"/>
      <c r="E25" s="49" t="n"/>
      <c r="F25" s="49" t="n"/>
      <c r="G25" s="49" t="n"/>
      <c r="H25" s="49" t="n"/>
      <c r="I25" s="49" t="n"/>
      <c r="J25" s="49" t="n"/>
      <c r="K25" s="49" t="n"/>
    </row>
    <row r="26">
      <c r="B26" s="49" t="n"/>
      <c r="C26" s="49" t="n"/>
      <c r="D26" s="49" t="n"/>
      <c r="E26" s="49" t="n"/>
      <c r="F26" s="49" t="n"/>
      <c r="G26" s="49" t="n"/>
      <c r="H26" s="49" t="n"/>
      <c r="I26" s="49" t="n"/>
      <c r="J26" s="49" t="n"/>
      <c r="K26" s="49" t="n"/>
    </row>
    <row r="27">
      <c r="B27" s="49" t="n"/>
      <c r="C27" s="49" t="n"/>
      <c r="D27" s="49" t="n"/>
      <c r="E27" s="49" t="n"/>
      <c r="F27" s="49" t="n"/>
      <c r="G27" s="49" t="n"/>
      <c r="H27" s="49" t="n"/>
      <c r="I27" s="49" t="n"/>
      <c r="J27" s="49" t="n"/>
      <c r="K27" s="49" t="n"/>
    </row>
    <row r="28">
      <c r="B28" s="49" t="n"/>
      <c r="C28" s="49" t="n"/>
      <c r="D28" s="49" t="n"/>
      <c r="E28" s="49" t="n"/>
      <c r="F28" s="49" t="n"/>
      <c r="G28" s="49" t="n"/>
      <c r="H28" s="49" t="n"/>
      <c r="I28" s="49" t="n"/>
      <c r="J28" s="49" t="n"/>
      <c r="K28" s="49" t="n"/>
    </row>
    <row r="29">
      <c r="B29" s="49" t="n"/>
      <c r="C29" s="49" t="n"/>
      <c r="D29" s="49" t="n"/>
      <c r="E29" s="49" t="n"/>
      <c r="F29" s="49" t="n"/>
      <c r="G29" s="49" t="n"/>
      <c r="H29" s="49" t="n"/>
      <c r="I29" s="49" t="n"/>
      <c r="J29" s="49" t="n"/>
      <c r="K29" s="49" t="n"/>
    </row>
    <row r="30">
      <c r="B30" s="49" t="n"/>
      <c r="C30" s="49" t="n"/>
      <c r="D30" s="49" t="n"/>
      <c r="E30" s="49" t="n"/>
      <c r="F30" s="49" t="n"/>
      <c r="G30" s="49" t="n"/>
      <c r="H30" s="49" t="n"/>
      <c r="I30" s="49" t="n"/>
      <c r="J30" s="49" t="n"/>
      <c r="K30" s="49" t="n"/>
    </row>
    <row r="31">
      <c r="B31" s="49" t="n"/>
      <c r="C31" s="49" t="n"/>
      <c r="D31" s="49" t="n"/>
      <c r="E31" s="49" t="n"/>
      <c r="F31" s="49" t="n"/>
      <c r="G31" s="49" t="n"/>
      <c r="H31" s="49" t="n"/>
      <c r="I31" s="49" t="n"/>
      <c r="J31" s="49" t="n"/>
      <c r="K31" s="49" t="n"/>
    </row>
    <row r="32">
      <c r="B32" s="49" t="n"/>
      <c r="C32" s="49" t="n"/>
      <c r="D32" s="49" t="n"/>
      <c r="E32" s="49" t="n"/>
      <c r="F32" s="49" t="n"/>
      <c r="G32" s="49" t="n"/>
      <c r="H32" s="49" t="n"/>
      <c r="I32" s="49" t="n"/>
      <c r="J32" s="49" t="n"/>
      <c r="K32" s="49" t="n"/>
    </row>
    <row r="33">
      <c r="B33" s="49" t="n"/>
      <c r="C33" s="49" t="n"/>
      <c r="D33" s="49" t="n"/>
      <c r="E33" s="49" t="n"/>
      <c r="F33" s="49" t="n"/>
      <c r="G33" s="49" t="n"/>
      <c r="H33" s="49" t="n"/>
      <c r="I33" s="49" t="n"/>
      <c r="J33" s="49" t="n"/>
      <c r="K33" s="49" t="n"/>
    </row>
    <row r="34">
      <c r="B34" s="49" t="n"/>
      <c r="C34" s="49" t="n"/>
      <c r="D34" s="49" t="n"/>
      <c r="E34" s="49" t="n"/>
      <c r="F34" s="49" t="n"/>
      <c r="G34" s="49" t="n"/>
      <c r="H34" s="49" t="n"/>
      <c r="I34" s="49" t="n"/>
      <c r="J34" s="49" t="n"/>
      <c r="K34" s="49" t="n"/>
    </row>
    <row r="35">
      <c r="B35" s="49" t="n"/>
      <c r="C35" s="49" t="n"/>
      <c r="D35" s="49" t="n"/>
      <c r="E35" s="49" t="n"/>
      <c r="F35" s="49" t="n"/>
      <c r="G35" s="49" t="n"/>
      <c r="H35" s="49" t="n"/>
      <c r="I35" s="49" t="n"/>
      <c r="J35" s="49" t="n"/>
      <c r="K35" s="49" t="n"/>
    </row>
    <row r="36">
      <c r="B36" s="49" t="n"/>
      <c r="C36" s="49" t="n"/>
      <c r="D36" s="49" t="n"/>
      <c r="E36" s="49" t="n"/>
      <c r="F36" s="49" t="n"/>
      <c r="G36" s="49" t="n"/>
      <c r="H36" s="49" t="n"/>
      <c r="I36" s="49" t="n"/>
      <c r="J36" s="49" t="n"/>
      <c r="K36" s="49" t="n"/>
    </row>
    <row r="37">
      <c r="B37" s="49" t="n"/>
      <c r="C37" s="49" t="n"/>
      <c r="D37" s="49" t="n"/>
      <c r="E37" s="49" t="n"/>
      <c r="F37" s="49" t="n"/>
      <c r="G37" s="49" t="n"/>
      <c r="H37" s="49" t="n"/>
      <c r="I37" s="49" t="n"/>
      <c r="J37" s="49" t="n"/>
      <c r="K37" s="49" t="n"/>
    </row>
    <row r="38">
      <c r="B38" s="49" t="n"/>
      <c r="C38" s="49" t="n"/>
      <c r="D38" s="49" t="n"/>
      <c r="E38" s="49" t="n"/>
      <c r="F38" s="49" t="n"/>
      <c r="G38" s="49" t="n"/>
      <c r="H38" s="49" t="n"/>
      <c r="I38" s="49" t="n"/>
      <c r="J38" s="49" t="n"/>
      <c r="K38" s="49" t="n"/>
    </row>
    <row r="39">
      <c r="B39" s="49" t="n"/>
      <c r="C39" s="49" t="n"/>
      <c r="D39" s="49" t="n"/>
      <c r="E39" s="49" t="n"/>
      <c r="F39" s="49" t="n"/>
      <c r="G39" s="49" t="n"/>
      <c r="H39" s="49" t="n"/>
      <c r="I39" s="49" t="n"/>
      <c r="J39" s="49" t="n"/>
      <c r="K39" s="49" t="n"/>
    </row>
    <row r="40">
      <c r="B40" s="49" t="n"/>
      <c r="C40" s="49" t="n"/>
      <c r="D40" s="49" t="n"/>
      <c r="E40" s="49" t="n"/>
      <c r="F40" s="49" t="n"/>
      <c r="G40" s="49" t="n"/>
      <c r="H40" s="49" t="n"/>
      <c r="I40" s="49" t="n"/>
      <c r="J40" s="49" t="n"/>
      <c r="K40" s="49" t="n"/>
    </row>
    <row r="41">
      <c r="B41" s="49" t="n"/>
      <c r="C41" s="49" t="n"/>
      <c r="D41" s="49" t="n"/>
      <c r="E41" s="49" t="n"/>
      <c r="F41" s="49" t="n"/>
      <c r="G41" s="49" t="n"/>
      <c r="H41" s="49" t="n"/>
      <c r="I41" s="49" t="n"/>
      <c r="J41" s="49" t="n"/>
      <c r="K41" s="49" t="n"/>
    </row>
    <row r="42">
      <c r="B42" s="49" t="n"/>
      <c r="C42" s="49" t="n"/>
      <c r="D42" s="49" t="n"/>
      <c r="E42" s="49" t="n"/>
      <c r="F42" s="49" t="n"/>
      <c r="G42" s="49" t="n"/>
      <c r="H42" s="49" t="n"/>
      <c r="I42" s="49" t="n"/>
      <c r="J42" s="49" t="n"/>
      <c r="K42" s="49" t="n"/>
    </row>
    <row r="43">
      <c r="B43" s="49" t="n"/>
      <c r="C43" s="49" t="n"/>
      <c r="D43" s="49" t="n"/>
      <c r="E43" s="49" t="n"/>
      <c r="F43" s="49" t="n"/>
      <c r="G43" s="49" t="n"/>
      <c r="H43" s="49" t="n"/>
      <c r="I43" s="49" t="n"/>
      <c r="J43" s="49" t="n"/>
      <c r="K43" s="49" t="n"/>
    </row>
    <row r="44">
      <c r="B44" s="49" t="n"/>
      <c r="C44" s="49" t="n"/>
      <c r="D44" s="49" t="n"/>
      <c r="E44" s="49" t="n"/>
      <c r="F44" s="49" t="n"/>
      <c r="G44" s="49" t="n"/>
      <c r="H44" s="49" t="n"/>
      <c r="I44" s="49" t="n"/>
      <c r="J44" s="49" t="n"/>
      <c r="K44" s="49" t="n"/>
    </row>
    <row r="45">
      <c r="B45" s="49" t="n"/>
      <c r="C45" s="49" t="n"/>
      <c r="D45" s="49" t="n"/>
      <c r="E45" s="49" t="n"/>
      <c r="F45" s="49" t="n"/>
      <c r="G45" s="49" t="n"/>
      <c r="H45" s="49" t="n"/>
      <c r="I45" s="49" t="n"/>
      <c r="J45" s="49" t="n"/>
      <c r="K45" s="49" t="n"/>
    </row>
    <row r="46">
      <c r="B46" s="49" t="n"/>
      <c r="C46" s="49" t="n"/>
      <c r="D46" s="49" t="n"/>
      <c r="E46" s="49" t="n"/>
      <c r="F46" s="49" t="n"/>
      <c r="G46" s="49" t="n"/>
      <c r="H46" s="49" t="n"/>
      <c r="I46" s="49" t="n"/>
      <c r="J46" s="49" t="n"/>
      <c r="K46" s="49" t="n"/>
    </row>
    <row r="47">
      <c r="B47" s="49" t="n"/>
      <c r="C47" s="49" t="n"/>
      <c r="D47" s="49" t="n"/>
      <c r="E47" s="49" t="n"/>
      <c r="F47" s="49" t="n"/>
      <c r="G47" s="49" t="n"/>
      <c r="H47" s="49" t="n"/>
      <c r="I47" s="49" t="n"/>
      <c r="J47" s="49" t="n"/>
      <c r="K47" s="49" t="n"/>
    </row>
    <row r="48">
      <c r="B48" s="49" t="n"/>
      <c r="C48" s="49" t="n"/>
      <c r="D48" s="49" t="n"/>
      <c r="E48" s="49" t="n"/>
      <c r="F48" s="49" t="n"/>
      <c r="G48" s="49" t="n"/>
      <c r="H48" s="49" t="n"/>
      <c r="I48" s="49" t="n"/>
      <c r="J48" s="49" t="n"/>
      <c r="K48" s="49" t="n"/>
    </row>
    <row r="49">
      <c r="B49" s="49" t="n"/>
      <c r="C49" s="49" t="n"/>
      <c r="D49" s="49" t="n"/>
      <c r="E49" s="49" t="n"/>
      <c r="F49" s="49" t="n"/>
      <c r="G49" s="49" t="n"/>
      <c r="H49" s="49" t="n"/>
      <c r="I49" s="49" t="n"/>
      <c r="J49" s="49" t="n"/>
      <c r="K49" s="49" t="n"/>
    </row>
    <row r="50">
      <c r="B50" s="49" t="n"/>
      <c r="C50" s="49" t="n"/>
      <c r="D50" s="49" t="n"/>
      <c r="E50" s="49" t="n"/>
      <c r="F50" s="49" t="n"/>
      <c r="G50" s="49" t="n"/>
      <c r="H50" s="49" t="n"/>
      <c r="I50" s="49" t="n"/>
      <c r="J50" s="49" t="n"/>
      <c r="K50" s="49" t="n"/>
    </row>
    <row r="51">
      <c r="B51" s="49" t="n"/>
      <c r="C51" s="49" t="n"/>
      <c r="D51" s="49" t="n"/>
      <c r="E51" s="49" t="n"/>
      <c r="F51" s="49" t="n"/>
      <c r="G51" s="49" t="n"/>
      <c r="H51" s="49" t="n"/>
      <c r="I51" s="49" t="n"/>
      <c r="J51" s="49" t="n"/>
      <c r="K51" s="49" t="n"/>
    </row>
    <row r="52">
      <c r="B52" s="49" t="n"/>
      <c r="C52" s="49" t="n"/>
      <c r="D52" s="49" t="n"/>
      <c r="E52" s="49" t="n"/>
      <c r="F52" s="49" t="n"/>
      <c r="G52" s="49" t="n"/>
      <c r="H52" s="49" t="n"/>
      <c r="I52" s="49" t="n"/>
      <c r="J52" s="49" t="n"/>
      <c r="K52" s="49" t="n"/>
    </row>
    <row r="53">
      <c r="B53" s="49" t="n"/>
      <c r="C53" s="49" t="n"/>
      <c r="D53" s="49" t="n"/>
      <c r="E53" s="49" t="n"/>
      <c r="F53" s="49" t="n"/>
      <c r="G53" s="49" t="n"/>
      <c r="H53" s="49" t="n"/>
      <c r="I53" s="49" t="n"/>
      <c r="J53" s="49" t="n"/>
      <c r="K53" s="49" t="n"/>
    </row>
    <row r="54">
      <c r="B54" s="49" t="n"/>
      <c r="C54" s="49" t="n"/>
      <c r="D54" s="49" t="n"/>
      <c r="E54" s="49" t="n"/>
      <c r="F54" s="49" t="n"/>
      <c r="G54" s="49" t="n"/>
      <c r="H54" s="49" t="n"/>
      <c r="I54" s="49" t="n"/>
      <c r="J54" s="49" t="n"/>
      <c r="K54" s="49" t="n"/>
    </row>
    <row r="55">
      <c r="B55" s="49" t="n"/>
      <c r="C55" s="49" t="n"/>
      <c r="D55" s="49" t="n"/>
      <c r="E55" s="49" t="n"/>
      <c r="F55" s="49" t="n"/>
      <c r="G55" s="49" t="n"/>
      <c r="H55" s="49" t="n"/>
      <c r="I55" s="49" t="n"/>
      <c r="J55" s="49" t="n"/>
      <c r="K55" s="49" t="n"/>
    </row>
    <row r="56">
      <c r="B56" s="49" t="n"/>
      <c r="C56" s="49" t="n"/>
      <c r="D56" s="49" t="n"/>
      <c r="E56" s="49" t="n"/>
      <c r="F56" s="49" t="n"/>
      <c r="G56" s="49" t="n"/>
      <c r="H56" s="49" t="n"/>
      <c r="I56" s="49" t="n"/>
      <c r="J56" s="49" t="n"/>
      <c r="K56" s="49" t="n"/>
    </row>
    <row r="57">
      <c r="B57" s="49" t="n"/>
      <c r="C57" s="49" t="n"/>
      <c r="D57" s="49" t="n"/>
      <c r="E57" s="49" t="n"/>
      <c r="F57" s="49" t="n"/>
      <c r="G57" s="49" t="n"/>
      <c r="H57" s="49" t="n"/>
      <c r="I57" s="49" t="n"/>
      <c r="J57" s="49" t="n"/>
      <c r="K57" s="49" t="n"/>
    </row>
    <row r="58">
      <c r="B58" s="49" t="n"/>
      <c r="C58" s="49" t="n"/>
      <c r="D58" s="49" t="n"/>
      <c r="E58" s="49" t="n"/>
      <c r="F58" s="49" t="n"/>
      <c r="G58" s="49" t="n"/>
      <c r="H58" s="49" t="n"/>
      <c r="I58" s="49" t="n"/>
      <c r="J58" s="49" t="n"/>
      <c r="K58" s="49" t="n"/>
    </row>
    <row r="59">
      <c r="B59" s="49" t="n"/>
      <c r="C59" s="49" t="n"/>
      <c r="D59" s="49" t="n"/>
      <c r="E59" s="49" t="n"/>
      <c r="F59" s="49" t="n"/>
      <c r="G59" s="49" t="n"/>
      <c r="H59" s="49" t="n"/>
      <c r="I59" s="49" t="n"/>
      <c r="J59" s="49" t="n"/>
      <c r="K59" s="49" t="n"/>
    </row>
    <row r="60">
      <c r="B60" s="49" t="n"/>
      <c r="C60" s="49" t="n"/>
      <c r="D60" s="49" t="n"/>
      <c r="E60" s="49" t="n"/>
      <c r="F60" s="49" t="n"/>
      <c r="G60" s="49" t="n"/>
      <c r="H60" s="49" t="n"/>
      <c r="I60" s="49" t="n"/>
      <c r="J60" s="49" t="n"/>
      <c r="K60" s="49" t="n"/>
    </row>
    <row r="61">
      <c r="B61" s="49" t="n"/>
      <c r="C61" s="49" t="n"/>
      <c r="D61" s="49" t="n"/>
      <c r="E61" s="49" t="n"/>
      <c r="F61" s="49" t="n"/>
      <c r="G61" s="49" t="n"/>
      <c r="H61" s="49" t="n"/>
      <c r="I61" s="49" t="n"/>
      <c r="J61" s="49" t="n"/>
      <c r="K61" s="49" t="n"/>
    </row>
    <row r="62">
      <c r="B62" s="49" t="n"/>
      <c r="C62" s="49" t="n"/>
      <c r="D62" s="49" t="n"/>
      <c r="E62" s="49" t="n"/>
      <c r="F62" s="49" t="n"/>
      <c r="G62" s="49" t="n"/>
      <c r="H62" s="49" t="n"/>
      <c r="I62" s="49" t="n"/>
      <c r="J62" s="49" t="n"/>
      <c r="K62" s="49" t="n"/>
    </row>
    <row r="63">
      <c r="B63" s="49" t="n"/>
      <c r="C63" s="49" t="n"/>
      <c r="D63" s="49" t="n"/>
      <c r="E63" s="49" t="n"/>
      <c r="F63" s="49" t="n"/>
      <c r="G63" s="49" t="n"/>
      <c r="H63" s="49" t="n"/>
      <c r="I63" s="49" t="n"/>
      <c r="J63" s="49" t="n"/>
      <c r="K63" s="49" t="n"/>
    </row>
    <row r="64">
      <c r="B64" s="49" t="n"/>
      <c r="C64" s="49" t="n"/>
      <c r="D64" s="49" t="n"/>
      <c r="E64" s="49" t="n"/>
      <c r="F64" s="49" t="n"/>
      <c r="G64" s="49" t="n"/>
      <c r="H64" s="49" t="n"/>
      <c r="I64" s="49" t="n"/>
      <c r="J64" s="49" t="n"/>
      <c r="K64" s="49" t="n"/>
    </row>
    <row r="65">
      <c r="B65" s="49" t="n"/>
      <c r="C65" s="49" t="n"/>
      <c r="D65" s="49" t="n"/>
      <c r="E65" s="49" t="n"/>
      <c r="F65" s="49" t="n"/>
      <c r="G65" s="49" t="n"/>
      <c r="H65" s="49" t="n"/>
      <c r="I65" s="49" t="n"/>
      <c r="J65" s="49" t="n"/>
      <c r="K65" s="49" t="n"/>
    </row>
    <row r="66">
      <c r="B66" s="49" t="n"/>
      <c r="C66" s="49" t="n"/>
      <c r="D66" s="49" t="n"/>
      <c r="E66" s="49" t="n"/>
      <c r="F66" s="49" t="n"/>
      <c r="G66" s="49" t="n"/>
      <c r="H66" s="49" t="n"/>
      <c r="I66" s="49" t="n"/>
      <c r="J66" s="49" t="n"/>
      <c r="K66" s="49" t="n"/>
    </row>
    <row r="67">
      <c r="B67" s="49" t="n"/>
      <c r="C67" s="49" t="n"/>
      <c r="D67" s="49" t="n"/>
      <c r="E67" s="49" t="n"/>
      <c r="F67" s="49" t="n"/>
      <c r="G67" s="49" t="n"/>
      <c r="H67" s="49" t="n"/>
      <c r="I67" s="49" t="n"/>
      <c r="J67" s="49" t="n"/>
      <c r="K67" s="49" t="n"/>
    </row>
    <row r="68">
      <c r="B68" s="49" t="n"/>
      <c r="C68" s="49" t="n"/>
      <c r="D68" s="49" t="n"/>
      <c r="E68" s="49" t="n"/>
      <c r="F68" s="49" t="n"/>
      <c r="G68" s="49" t="n"/>
      <c r="H68" s="49" t="n"/>
      <c r="I68" s="49" t="n"/>
      <c r="J68" s="49" t="n"/>
      <c r="K68" s="49" t="n"/>
    </row>
    <row r="69">
      <c r="B69" s="49" t="n"/>
      <c r="C69" s="49" t="n"/>
      <c r="D69" s="49" t="n"/>
      <c r="E69" s="49" t="n"/>
      <c r="F69" s="49" t="n"/>
      <c r="G69" s="49" t="n"/>
      <c r="H69" s="49" t="n"/>
      <c r="I69" s="49" t="n"/>
      <c r="J69" s="49" t="n"/>
      <c r="K69" s="49" t="n"/>
    </row>
    <row r="70">
      <c r="B70" s="49" t="n"/>
      <c r="C70" s="49" t="n"/>
      <c r="D70" s="49" t="n"/>
      <c r="E70" s="49" t="n"/>
      <c r="F70" s="49" t="n"/>
      <c r="G70" s="49" t="n"/>
      <c r="H70" s="49" t="n"/>
      <c r="I70" s="49" t="n"/>
      <c r="J70" s="49" t="n"/>
      <c r="K70" s="49" t="n"/>
    </row>
    <row r="71">
      <c r="B71" s="49" t="n"/>
      <c r="C71" s="49" t="n"/>
      <c r="D71" s="49" t="n"/>
      <c r="E71" s="49" t="n"/>
      <c r="F71" s="49" t="n"/>
      <c r="G71" s="49" t="n"/>
      <c r="H71" s="49" t="n"/>
      <c r="I71" s="49" t="n"/>
      <c r="J71" s="49" t="n"/>
      <c r="K71" s="49" t="n"/>
    </row>
    <row r="72">
      <c r="B72" s="49" t="n"/>
      <c r="C72" s="49" t="n"/>
      <c r="D72" s="49" t="n"/>
      <c r="E72" s="49" t="n"/>
      <c r="F72" s="49" t="n"/>
      <c r="G72" s="49" t="n"/>
      <c r="H72" s="49" t="n"/>
      <c r="I72" s="49" t="n"/>
      <c r="J72" s="49" t="n"/>
      <c r="K72" s="49" t="n"/>
    </row>
    <row r="73">
      <c r="B73" s="49" t="n"/>
      <c r="C73" s="49" t="n"/>
      <c r="D73" s="49" t="n"/>
      <c r="E73" s="49" t="n"/>
      <c r="F73" s="49" t="n"/>
      <c r="G73" s="49" t="n"/>
      <c r="H73" s="49" t="n"/>
      <c r="I73" s="49" t="n"/>
      <c r="J73" s="49" t="n"/>
      <c r="K73" s="49" t="n"/>
    </row>
    <row r="74">
      <c r="B74" s="49" t="n"/>
      <c r="C74" s="49" t="n"/>
      <c r="D74" s="49" t="n"/>
      <c r="E74" s="49" t="n"/>
      <c r="F74" s="49" t="n"/>
      <c r="G74" s="49" t="n"/>
      <c r="H74" s="49" t="n"/>
      <c r="I74" s="49" t="n"/>
      <c r="J74" s="49" t="n"/>
      <c r="K74" s="49" t="n"/>
    </row>
    <row r="75">
      <c r="B75" s="49" t="n"/>
      <c r="C75" s="49" t="n"/>
      <c r="D75" s="49" t="n"/>
      <c r="E75" s="49" t="n"/>
      <c r="F75" s="49" t="n"/>
      <c r="G75" s="49" t="n"/>
      <c r="H75" s="49" t="n"/>
      <c r="I75" s="49" t="n"/>
      <c r="J75" s="49" t="n"/>
      <c r="K75" s="49" t="n"/>
    </row>
    <row r="76">
      <c r="B76" s="49" t="n"/>
      <c r="C76" s="49" t="n"/>
      <c r="D76" s="49" t="n"/>
      <c r="E76" s="49" t="n"/>
      <c r="F76" s="49" t="n"/>
      <c r="G76" s="49" t="n"/>
      <c r="H76" s="49" t="n"/>
      <c r="I76" s="49" t="n"/>
      <c r="J76" s="49" t="n"/>
      <c r="K76" s="49" t="n"/>
    </row>
    <row r="77">
      <c r="B77" s="49" t="n"/>
      <c r="C77" s="49" t="n"/>
      <c r="D77" s="49" t="n"/>
      <c r="E77" s="49" t="n"/>
      <c r="F77" s="49" t="n"/>
      <c r="G77" s="49" t="n"/>
      <c r="H77" s="49" t="n"/>
      <c r="I77" s="49" t="n"/>
      <c r="J77" s="49" t="n"/>
      <c r="K77" s="49" t="n"/>
    </row>
    <row r="78">
      <c r="B78" s="49" t="n"/>
      <c r="C78" s="49" t="n"/>
      <c r="D78" s="49" t="n"/>
      <c r="E78" s="49" t="n"/>
      <c r="F78" s="49" t="n"/>
      <c r="G78" s="49" t="n"/>
      <c r="H78" s="49" t="n"/>
      <c r="I78" s="49" t="n"/>
      <c r="J78" s="49" t="n"/>
      <c r="K78" s="49" t="n"/>
    </row>
    <row r="79">
      <c r="B79" s="49" t="n"/>
      <c r="C79" s="49" t="n"/>
      <c r="D79" s="49" t="n"/>
      <c r="E79" s="49" t="n"/>
      <c r="F79" s="49" t="n"/>
      <c r="G79" s="49" t="n"/>
      <c r="H79" s="49" t="n"/>
      <c r="I79" s="49" t="n"/>
      <c r="J79" s="49" t="n"/>
      <c r="K79" s="49" t="n"/>
    </row>
    <row r="80">
      <c r="B80" s="49" t="n"/>
      <c r="C80" s="49" t="n"/>
      <c r="D80" s="49" t="n"/>
      <c r="E80" s="49" t="n"/>
      <c r="F80" s="49" t="n"/>
      <c r="G80" s="49" t="n"/>
      <c r="H80" s="49" t="n"/>
      <c r="I80" s="49" t="n"/>
      <c r="J80" s="49" t="n"/>
      <c r="K80" s="49" t="n"/>
    </row>
    <row r="81">
      <c r="B81" s="49" t="n"/>
      <c r="C81" s="49" t="n"/>
      <c r="D81" s="49" t="n"/>
      <c r="E81" s="49" t="n"/>
      <c r="F81" s="49" t="n"/>
      <c r="G81" s="49" t="n"/>
      <c r="H81" s="49" t="n"/>
      <c r="I81" s="49" t="n"/>
      <c r="J81" s="49" t="n"/>
      <c r="K81" s="49" t="n"/>
    </row>
    <row r="82">
      <c r="B82" s="49" t="n"/>
      <c r="C82" s="49" t="n"/>
      <c r="D82" s="49" t="n"/>
      <c r="E82" s="49" t="n"/>
      <c r="F82" s="49" t="n"/>
      <c r="G82" s="49" t="n"/>
      <c r="H82" s="49" t="n"/>
      <c r="I82" s="49" t="n"/>
      <c r="J82" s="49" t="n"/>
      <c r="K82" s="49" t="n"/>
    </row>
    <row r="83">
      <c r="B83" s="49" t="n"/>
      <c r="C83" s="49" t="n"/>
      <c r="D83" s="49" t="n"/>
      <c r="E83" s="49" t="n"/>
      <c r="F83" s="49" t="n"/>
      <c r="G83" s="49" t="n"/>
      <c r="H83" s="49" t="n"/>
      <c r="I83" s="49" t="n"/>
      <c r="J83" s="49" t="n"/>
      <c r="K83" s="49" t="n"/>
    </row>
    <row r="84">
      <c r="B84" s="49" t="n"/>
      <c r="C84" s="49" t="n"/>
      <c r="D84" s="49" t="n"/>
      <c r="E84" s="49" t="n"/>
      <c r="F84" s="49" t="n"/>
      <c r="G84" s="49" t="n"/>
      <c r="H84" s="49" t="n"/>
      <c r="I84" s="49" t="n"/>
      <c r="J84" s="49" t="n"/>
      <c r="K84" s="49" t="n"/>
    </row>
    <row r="85">
      <c r="B85" s="49" t="n"/>
      <c r="C85" s="49" t="n"/>
      <c r="D85" s="49" t="n"/>
      <c r="E85" s="49" t="n"/>
      <c r="F85" s="49" t="n"/>
      <c r="G85" s="49" t="n"/>
      <c r="H85" s="49" t="n"/>
      <c r="I85" s="49" t="n"/>
      <c r="J85" s="49" t="n"/>
      <c r="K85" s="49" t="n"/>
    </row>
    <row r="86">
      <c r="B86" s="49" t="n"/>
      <c r="C86" s="49" t="n"/>
      <c r="D86" s="49" t="n"/>
      <c r="E86" s="49" t="n"/>
      <c r="F86" s="49" t="n"/>
      <c r="G86" s="49" t="n"/>
      <c r="H86" s="49" t="n"/>
      <c r="I86" s="49" t="n"/>
      <c r="J86" s="49" t="n"/>
      <c r="K86" s="49" t="n"/>
    </row>
    <row r="87">
      <c r="B87" s="49" t="n"/>
      <c r="C87" s="49" t="n"/>
      <c r="D87" s="49" t="n"/>
      <c r="E87" s="49" t="n"/>
      <c r="F87" s="49" t="n"/>
      <c r="G87" s="49" t="n"/>
      <c r="H87" s="49" t="n"/>
      <c r="I87" s="49" t="n"/>
      <c r="J87" s="49" t="n"/>
      <c r="K87" s="49" t="n"/>
    </row>
    <row r="88">
      <c r="B88" s="49" t="n"/>
      <c r="C88" s="49" t="n"/>
      <c r="D88" s="49" t="n"/>
      <c r="E88" s="49" t="n"/>
      <c r="F88" s="49" t="n"/>
      <c r="G88" s="49" t="n"/>
      <c r="H88" s="49" t="n"/>
      <c r="I88" s="49" t="n"/>
      <c r="J88" s="49" t="n"/>
      <c r="K88" s="49" t="n"/>
    </row>
    <row r="89">
      <c r="B89" s="49" t="n"/>
      <c r="C89" s="49" t="n"/>
      <c r="D89" s="49" t="n"/>
      <c r="E89" s="49" t="n"/>
      <c r="F89" s="49" t="n"/>
      <c r="G89" s="49" t="n"/>
      <c r="H89" s="49" t="n"/>
      <c r="I89" s="49" t="n"/>
      <c r="J89" s="49" t="n"/>
      <c r="K89" s="49" t="n"/>
    </row>
    <row r="90">
      <c r="B90" s="49" t="n"/>
      <c r="C90" s="49" t="n"/>
      <c r="D90" s="49" t="n"/>
      <c r="E90" s="49" t="n"/>
      <c r="F90" s="49" t="n"/>
      <c r="G90" s="49" t="n"/>
      <c r="H90" s="49" t="n"/>
      <c r="I90" s="49" t="n"/>
      <c r="J90" s="49" t="n"/>
      <c r="K90" s="49" t="n"/>
    </row>
    <row r="91">
      <c r="B91" s="49" t="n"/>
      <c r="C91" s="49" t="n"/>
      <c r="D91" s="49" t="n"/>
      <c r="E91" s="49" t="n"/>
      <c r="F91" s="49" t="n"/>
      <c r="G91" s="49" t="n"/>
      <c r="H91" s="49" t="n"/>
      <c r="I91" s="49" t="n"/>
      <c r="J91" s="49" t="n"/>
      <c r="K91" s="49" t="n"/>
    </row>
    <row r="92">
      <c r="B92" s="49" t="n"/>
      <c r="C92" s="49" t="n"/>
      <c r="D92" s="49" t="n"/>
      <c r="E92" s="49" t="n"/>
      <c r="F92" s="49" t="n"/>
      <c r="G92" s="49" t="n"/>
      <c r="H92" s="49" t="n"/>
      <c r="I92" s="49" t="n"/>
      <c r="J92" s="49" t="n"/>
      <c r="K92" s="49" t="n"/>
    </row>
    <row r="93">
      <c r="B93" s="49" t="n"/>
      <c r="C93" s="49" t="n"/>
      <c r="D93" s="49" t="n"/>
      <c r="E93" s="49" t="n"/>
      <c r="F93" s="49" t="n"/>
      <c r="G93" s="49" t="n"/>
      <c r="H93" s="49" t="n"/>
      <c r="I93" s="49" t="n"/>
      <c r="J93" s="49" t="n"/>
      <c r="K93" s="49" t="n"/>
    </row>
    <row r="94">
      <c r="B94" s="49" t="n"/>
      <c r="C94" s="49" t="n"/>
      <c r="D94" s="49" t="n"/>
      <c r="E94" s="49" t="n"/>
      <c r="F94" s="49" t="n"/>
      <c r="G94" s="49" t="n"/>
      <c r="H94" s="49" t="n"/>
      <c r="I94" s="49" t="n"/>
      <c r="J94" s="49" t="n"/>
      <c r="K94" s="49" t="n"/>
    </row>
    <row r="95">
      <c r="B95" s="49" t="n"/>
      <c r="C95" s="49" t="n"/>
      <c r="D95" s="49" t="n"/>
      <c r="E95" s="49" t="n"/>
      <c r="F95" s="49" t="n"/>
      <c r="G95" s="49" t="n"/>
      <c r="H95" s="49" t="n"/>
      <c r="I95" s="49" t="n"/>
      <c r="J95" s="49" t="n"/>
      <c r="K95" s="49" t="n"/>
    </row>
    <row r="96">
      <c r="B96" s="49" t="n"/>
      <c r="C96" s="49" t="n"/>
      <c r="D96" s="49" t="n"/>
      <c r="E96" s="49" t="n"/>
      <c r="F96" s="49" t="n"/>
      <c r="G96" s="49" t="n"/>
      <c r="H96" s="49" t="n"/>
      <c r="I96" s="49" t="n"/>
      <c r="J96" s="49" t="n"/>
      <c r="K96" s="49" t="n"/>
    </row>
    <row r="97">
      <c r="B97" s="49" t="n"/>
      <c r="C97" s="49" t="n"/>
      <c r="D97" s="49" t="n"/>
      <c r="E97" s="49" t="n"/>
      <c r="F97" s="49" t="n"/>
      <c r="G97" s="49" t="n"/>
      <c r="H97" s="49" t="n"/>
      <c r="I97" s="49" t="n"/>
      <c r="J97" s="49" t="n"/>
      <c r="K97" s="49" t="n"/>
    </row>
    <row r="98">
      <c r="B98" s="49" t="n"/>
      <c r="C98" s="49" t="n"/>
      <c r="D98" s="49" t="n"/>
      <c r="E98" s="49" t="n"/>
      <c r="F98" s="49" t="n"/>
      <c r="G98" s="49" t="n"/>
      <c r="H98" s="49" t="n"/>
      <c r="I98" s="49" t="n"/>
      <c r="J98" s="49" t="n"/>
      <c r="K98" s="49" t="n"/>
    </row>
    <row r="99">
      <c r="B99" s="49" t="n"/>
      <c r="C99" s="49" t="n"/>
      <c r="D99" s="49" t="n"/>
      <c r="E99" s="49" t="n"/>
      <c r="F99" s="49" t="n"/>
      <c r="G99" s="49" t="n"/>
      <c r="H99" s="49" t="n"/>
      <c r="I99" s="49" t="n"/>
      <c r="J99" s="49" t="n"/>
      <c r="K99" s="49" t="n"/>
    </row>
    <row r="100">
      <c r="B100" s="49" t="n"/>
      <c r="C100" s="49" t="n"/>
      <c r="D100" s="49" t="n"/>
      <c r="E100" s="49" t="n"/>
      <c r="F100" s="49" t="n"/>
      <c r="G100" s="49" t="n"/>
      <c r="H100" s="49" t="n"/>
      <c r="I100" s="49" t="n"/>
      <c r="J100" s="49" t="n"/>
      <c r="K100" s="49" t="n"/>
    </row>
    <row r="101">
      <c r="B101" s="49" t="n"/>
      <c r="C101" s="49" t="n"/>
      <c r="D101" s="49" t="n"/>
      <c r="E101" s="49" t="n"/>
      <c r="F101" s="49" t="n"/>
      <c r="G101" s="49" t="n"/>
      <c r="H101" s="49" t="n"/>
      <c r="I101" s="49" t="n"/>
      <c r="J101" s="49" t="n"/>
      <c r="K101" s="49" t="n"/>
    </row>
    <row r="102">
      <c r="B102" s="49" t="n"/>
      <c r="C102" s="49" t="n"/>
      <c r="D102" s="49" t="n"/>
      <c r="E102" s="49" t="n"/>
      <c r="F102" s="49" t="n"/>
      <c r="G102" s="49" t="n"/>
      <c r="H102" s="49" t="n"/>
      <c r="I102" s="49" t="n"/>
      <c r="J102" s="49" t="n"/>
      <c r="K102" s="49" t="n"/>
    </row>
    <row r="103">
      <c r="B103" s="49" t="n"/>
      <c r="C103" s="49" t="n"/>
      <c r="D103" s="49" t="n"/>
      <c r="E103" s="49" t="n"/>
      <c r="F103" s="49" t="n"/>
      <c r="G103" s="49" t="n"/>
      <c r="H103" s="49" t="n"/>
      <c r="I103" s="49" t="n"/>
      <c r="J103" s="49" t="n"/>
      <c r="K103" s="49" t="n"/>
    </row>
    <row r="104">
      <c r="B104" s="49" t="n"/>
      <c r="C104" s="49" t="n"/>
      <c r="D104" s="49" t="n"/>
      <c r="E104" s="49" t="n"/>
      <c r="F104" s="49" t="n"/>
      <c r="G104" s="49" t="n"/>
      <c r="H104" s="49" t="n"/>
      <c r="I104" s="49" t="n"/>
      <c r="J104" s="49" t="n"/>
      <c r="K104" s="49" t="n"/>
    </row>
    <row r="105">
      <c r="B105" s="49" t="n"/>
      <c r="C105" s="49" t="n"/>
      <c r="D105" s="49" t="n"/>
      <c r="E105" s="49" t="n"/>
      <c r="F105" s="49" t="n"/>
      <c r="G105" s="49" t="n"/>
      <c r="H105" s="49" t="n"/>
      <c r="I105" s="49" t="n"/>
      <c r="J105" s="49" t="n"/>
      <c r="K105" s="49" t="n"/>
    </row>
    <row r="106">
      <c r="B106" s="49" t="n"/>
      <c r="C106" s="49" t="n"/>
      <c r="D106" s="49" t="n"/>
      <c r="E106" s="49" t="n"/>
      <c r="F106" s="49" t="n"/>
      <c r="G106" s="49" t="n"/>
      <c r="H106" s="49" t="n"/>
      <c r="I106" s="49" t="n"/>
      <c r="J106" s="49" t="n"/>
      <c r="K106" s="49" t="n"/>
    </row>
    <row r="107">
      <c r="B107" s="49" t="n"/>
      <c r="C107" s="49" t="n"/>
      <c r="D107" s="49" t="n"/>
      <c r="E107" s="49" t="n"/>
      <c r="F107" s="49" t="n"/>
      <c r="G107" s="49" t="n"/>
      <c r="H107" s="49" t="n"/>
      <c r="I107" s="49" t="n"/>
      <c r="J107" s="49" t="n"/>
      <c r="K107" s="49" t="n"/>
    </row>
    <row r="108">
      <c r="B108" s="49" t="n"/>
      <c r="C108" s="49" t="n"/>
      <c r="D108" s="49" t="n"/>
      <c r="E108" s="49" t="n"/>
      <c r="F108" s="49" t="n"/>
      <c r="G108" s="49" t="n"/>
      <c r="H108" s="49" t="n"/>
      <c r="I108" s="49" t="n"/>
      <c r="J108" s="49" t="n"/>
      <c r="K108" s="49" t="n"/>
    </row>
    <row r="109">
      <c r="B109" s="49" t="n"/>
      <c r="C109" s="49" t="n"/>
      <c r="D109" s="49" t="n"/>
      <c r="E109" s="49" t="n"/>
      <c r="F109" s="49" t="n"/>
      <c r="G109" s="49" t="n"/>
      <c r="H109" s="49" t="n"/>
      <c r="I109" s="49" t="n"/>
      <c r="J109" s="49" t="n"/>
      <c r="K109" s="49" t="n"/>
    </row>
    <row r="110">
      <c r="B110" s="49" t="n"/>
      <c r="C110" s="49" t="n"/>
      <c r="D110" s="49" t="n"/>
      <c r="E110" s="49" t="n"/>
      <c r="F110" s="49" t="n"/>
      <c r="G110" s="49" t="n"/>
      <c r="H110" s="49" t="n"/>
      <c r="I110" s="49" t="n"/>
      <c r="J110" s="49" t="n"/>
      <c r="K110" s="49" t="n"/>
    </row>
    <row r="111">
      <c r="B111" s="49" t="n"/>
      <c r="C111" s="49" t="n"/>
      <c r="D111" s="49" t="n"/>
      <c r="E111" s="49" t="n"/>
      <c r="F111" s="49" t="n"/>
      <c r="G111" s="49" t="n"/>
      <c r="H111" s="49" t="n"/>
      <c r="I111" s="49" t="n"/>
      <c r="J111" s="49" t="n"/>
      <c r="K111" s="49" t="n"/>
    </row>
    <row r="112">
      <c r="B112" s="49" t="n"/>
      <c r="C112" s="49" t="n"/>
      <c r="D112" s="49" t="n"/>
      <c r="E112" s="49" t="n"/>
      <c r="F112" s="49" t="n"/>
      <c r="G112" s="49" t="n"/>
      <c r="H112" s="49" t="n"/>
      <c r="I112" s="49" t="n"/>
      <c r="J112" s="49" t="n"/>
      <c r="K112" s="49" t="n"/>
    </row>
    <row r="113">
      <c r="B113" s="49" t="n"/>
      <c r="C113" s="49" t="n"/>
      <c r="D113" s="49" t="n"/>
      <c r="E113" s="49" t="n"/>
      <c r="F113" s="49" t="n"/>
      <c r="G113" s="49" t="n"/>
      <c r="H113" s="49" t="n"/>
      <c r="I113" s="49" t="n"/>
      <c r="J113" s="49" t="n"/>
      <c r="K113" s="49" t="n"/>
    </row>
    <row r="114">
      <c r="B114" s="49" t="n"/>
      <c r="C114" s="49" t="n"/>
      <c r="D114" s="49" t="n"/>
      <c r="E114" s="49" t="n"/>
      <c r="F114" s="49" t="n"/>
      <c r="G114" s="49" t="n"/>
      <c r="H114" s="49" t="n"/>
      <c r="I114" s="49" t="n"/>
      <c r="J114" s="49" t="n"/>
      <c r="K114" s="49" t="n"/>
    </row>
    <row r="115">
      <c r="B115" s="49" t="n"/>
      <c r="C115" s="49" t="n"/>
      <c r="D115" s="49" t="n"/>
      <c r="E115" s="49" t="n"/>
      <c r="F115" s="49" t="n"/>
      <c r="G115" s="49" t="n"/>
      <c r="H115" s="49" t="n"/>
      <c r="I115" s="49" t="n"/>
      <c r="J115" s="49" t="n"/>
      <c r="K115" s="49" t="n"/>
    </row>
    <row r="116">
      <c r="B116" s="49" t="n"/>
      <c r="C116" s="49" t="n"/>
      <c r="D116" s="49" t="n"/>
      <c r="E116" s="49" t="n"/>
      <c r="F116" s="49" t="n"/>
      <c r="G116" s="49" t="n"/>
      <c r="H116" s="49" t="n"/>
      <c r="I116" s="49" t="n"/>
      <c r="J116" s="49" t="n"/>
      <c r="K116" s="49" t="n"/>
    </row>
    <row r="117">
      <c r="B117" s="49" t="n"/>
      <c r="C117" s="49" t="n"/>
      <c r="D117" s="49" t="n"/>
      <c r="E117" s="49" t="n"/>
      <c r="F117" s="49" t="n"/>
      <c r="G117" s="49" t="n"/>
      <c r="H117" s="49" t="n"/>
      <c r="I117" s="49" t="n"/>
      <c r="J117" s="49" t="n"/>
      <c r="K117" s="49" t="n"/>
    </row>
    <row r="118">
      <c r="B118" s="49" t="n"/>
      <c r="C118" s="49" t="n"/>
      <c r="D118" s="49" t="n"/>
      <c r="E118" s="49" t="n"/>
      <c r="F118" s="49" t="n"/>
      <c r="G118" s="49" t="n"/>
      <c r="H118" s="49" t="n"/>
      <c r="I118" s="49" t="n"/>
      <c r="J118" s="49" t="n"/>
      <c r="K118" s="49" t="n"/>
    </row>
    <row r="119">
      <c r="B119" s="49" t="n"/>
      <c r="C119" s="49" t="n"/>
      <c r="D119" s="49" t="n"/>
      <c r="E119" s="49" t="n"/>
      <c r="F119" s="49" t="n"/>
      <c r="G119" s="49" t="n"/>
      <c r="H119" s="49" t="n"/>
      <c r="I119" s="49" t="n"/>
      <c r="J119" s="49" t="n"/>
      <c r="K119" s="49" t="n"/>
    </row>
    <row r="120">
      <c r="B120" s="49" t="n"/>
      <c r="C120" s="49" t="n"/>
      <c r="D120" s="49" t="n"/>
      <c r="E120" s="49" t="n"/>
      <c r="F120" s="49" t="n"/>
      <c r="G120" s="49" t="n"/>
      <c r="H120" s="49" t="n"/>
      <c r="I120" s="49" t="n"/>
      <c r="J120" s="49" t="n"/>
      <c r="K120" s="49" t="n"/>
    </row>
    <row r="121">
      <c r="B121" s="49" t="n"/>
      <c r="C121" s="49" t="n"/>
      <c r="D121" s="49" t="n"/>
      <c r="E121" s="49" t="n"/>
      <c r="F121" s="49" t="n"/>
      <c r="G121" s="49" t="n"/>
      <c r="H121" s="49" t="n"/>
      <c r="I121" s="49" t="n"/>
      <c r="J121" s="49" t="n"/>
      <c r="K121" s="49" t="n"/>
    </row>
    <row r="122">
      <c r="B122" s="49" t="n"/>
      <c r="C122" s="49" t="n"/>
      <c r="D122" s="49" t="n"/>
      <c r="E122" s="49" t="n"/>
      <c r="F122" s="49" t="n"/>
      <c r="G122" s="49" t="n"/>
      <c r="H122" s="49" t="n"/>
      <c r="I122" s="49" t="n"/>
      <c r="J122" s="49" t="n"/>
      <c r="K122" s="49" t="n"/>
    </row>
    <row r="123">
      <c r="B123" s="49" t="n"/>
      <c r="C123" s="49" t="n"/>
      <c r="D123" s="49" t="n"/>
      <c r="E123" s="49" t="n"/>
      <c r="F123" s="49" t="n"/>
      <c r="G123" s="49" t="n"/>
      <c r="H123" s="49" t="n"/>
      <c r="I123" s="49" t="n"/>
      <c r="J123" s="49" t="n"/>
      <c r="K123" s="49" t="n"/>
    </row>
    <row r="124">
      <c r="B124" s="49" t="n"/>
      <c r="C124" s="49" t="n"/>
      <c r="D124" s="49" t="n"/>
      <c r="E124" s="49" t="n"/>
      <c r="F124" s="49" t="n"/>
      <c r="G124" s="49" t="n"/>
      <c r="H124" s="49" t="n"/>
      <c r="I124" s="49" t="n"/>
      <c r="J124" s="49" t="n"/>
      <c r="K124" s="49" t="n"/>
    </row>
    <row r="125">
      <c r="B125" s="49" t="n"/>
      <c r="C125" s="49" t="n"/>
      <c r="D125" s="49" t="n"/>
      <c r="E125" s="49" t="n"/>
      <c r="F125" s="49" t="n"/>
      <c r="G125" s="49" t="n"/>
      <c r="H125" s="49" t="n"/>
      <c r="I125" s="49" t="n"/>
      <c r="J125" s="49" t="n"/>
      <c r="K125" s="49" t="n"/>
    </row>
    <row r="126">
      <c r="B126" s="49" t="n"/>
      <c r="C126" s="49" t="n"/>
      <c r="D126" s="49" t="n"/>
      <c r="E126" s="49" t="n"/>
      <c r="F126" s="49" t="n"/>
      <c r="G126" s="49" t="n"/>
      <c r="H126" s="49" t="n"/>
      <c r="I126" s="49" t="n"/>
      <c r="J126" s="49" t="n"/>
      <c r="K126" s="49" t="n"/>
    </row>
    <row r="127">
      <c r="B127" s="49" t="n"/>
      <c r="C127" s="49" t="n"/>
      <c r="D127" s="49" t="n"/>
      <c r="E127" s="49" t="n"/>
      <c r="F127" s="49" t="n"/>
      <c r="G127" s="49" t="n"/>
      <c r="H127" s="49" t="n"/>
      <c r="I127" s="49" t="n"/>
      <c r="J127" s="49" t="n"/>
      <c r="K127" s="49" t="n"/>
    </row>
    <row r="128">
      <c r="B128" s="49" t="n"/>
      <c r="C128" s="49" t="n"/>
      <c r="D128" s="49" t="n"/>
      <c r="E128" s="49" t="n"/>
      <c r="F128" s="49" t="n"/>
      <c r="G128" s="49" t="n"/>
      <c r="H128" s="49" t="n"/>
      <c r="I128" s="49" t="n"/>
      <c r="J128" s="49" t="n"/>
      <c r="K128" s="49" t="n"/>
    </row>
    <row r="129">
      <c r="B129" s="49" t="n"/>
      <c r="C129" s="49" t="n"/>
      <c r="D129" s="49" t="n"/>
      <c r="E129" s="49" t="n"/>
      <c r="F129" s="49" t="n"/>
      <c r="G129" s="49" t="n"/>
      <c r="H129" s="49" t="n"/>
      <c r="I129" s="49" t="n"/>
      <c r="J129" s="49" t="n"/>
      <c r="K129" s="49" t="n"/>
    </row>
    <row r="130">
      <c r="B130" s="49" t="n"/>
      <c r="C130" s="49" t="n"/>
      <c r="D130" s="49" t="n"/>
      <c r="E130" s="49" t="n"/>
      <c r="F130" s="49" t="n"/>
      <c r="G130" s="49" t="n"/>
      <c r="H130" s="49" t="n"/>
      <c r="I130" s="49" t="n"/>
      <c r="J130" s="49" t="n"/>
      <c r="K130" s="49" t="n"/>
    </row>
    <row r="131">
      <c r="B131" s="49" t="n"/>
      <c r="C131" s="49" t="n"/>
      <c r="D131" s="49" t="n"/>
      <c r="E131" s="49" t="n"/>
      <c r="F131" s="49" t="n"/>
      <c r="G131" s="49" t="n"/>
      <c r="H131" s="49" t="n"/>
      <c r="I131" s="49" t="n"/>
      <c r="J131" s="49" t="n"/>
      <c r="K131" s="49" t="n"/>
    </row>
    <row r="132">
      <c r="B132" s="49" t="n"/>
      <c r="C132" s="49" t="n"/>
      <c r="D132" s="49" t="n"/>
      <c r="E132" s="49" t="n"/>
      <c r="F132" s="49" t="n"/>
      <c r="G132" s="49" t="n"/>
      <c r="H132" s="49" t="n"/>
      <c r="I132" s="49" t="n"/>
      <c r="J132" s="49" t="n"/>
      <c r="K132" s="49" t="n"/>
    </row>
    <row r="133">
      <c r="B133" s="49" t="n"/>
      <c r="C133" s="49" t="n"/>
      <c r="D133" s="49" t="n"/>
      <c r="E133" s="49" t="n"/>
      <c r="F133" s="49" t="n"/>
      <c r="G133" s="49" t="n"/>
      <c r="H133" s="49" t="n"/>
      <c r="I133" s="49" t="n"/>
      <c r="J133" s="49" t="n"/>
      <c r="K133" s="49" t="n"/>
    </row>
    <row r="134">
      <c r="B134" s="49" t="n"/>
      <c r="C134" s="49" t="n"/>
      <c r="D134" s="49" t="n"/>
      <c r="E134" s="49" t="n"/>
      <c r="F134" s="49" t="n"/>
      <c r="G134" s="49" t="n"/>
      <c r="H134" s="49" t="n"/>
      <c r="I134" s="49" t="n"/>
      <c r="J134" s="49" t="n"/>
      <c r="K134" s="49" t="n"/>
    </row>
    <row r="135">
      <c r="B135" s="49" t="n"/>
      <c r="C135" s="49" t="n"/>
      <c r="D135" s="49" t="n"/>
      <c r="E135" s="49" t="n"/>
      <c r="F135" s="49" t="n"/>
      <c r="G135" s="49" t="n"/>
      <c r="H135" s="49" t="n"/>
      <c r="I135" s="49" t="n"/>
      <c r="J135" s="49" t="n"/>
      <c r="K135" s="49" t="n"/>
    </row>
    <row r="136">
      <c r="B136" s="49" t="n"/>
      <c r="C136" s="49" t="n"/>
      <c r="D136" s="49" t="n"/>
      <c r="E136" s="49" t="n"/>
      <c r="F136" s="49" t="n"/>
      <c r="G136" s="49" t="n"/>
      <c r="H136" s="49" t="n"/>
      <c r="I136" s="49" t="n"/>
      <c r="J136" s="49" t="n"/>
      <c r="K136" s="49" t="n"/>
    </row>
    <row r="137">
      <c r="B137" s="49" t="n"/>
      <c r="C137" s="49" t="n"/>
      <c r="D137" s="49" t="n"/>
      <c r="E137" s="49" t="n"/>
      <c r="F137" s="49" t="n"/>
      <c r="G137" s="49" t="n"/>
      <c r="H137" s="49" t="n"/>
      <c r="I137" s="49" t="n"/>
      <c r="J137" s="49" t="n"/>
      <c r="K137" s="49" t="n"/>
    </row>
    <row r="138">
      <c r="B138" s="49" t="n"/>
      <c r="C138" s="49" t="n"/>
      <c r="D138" s="49" t="n"/>
      <c r="E138" s="49" t="n"/>
      <c r="F138" s="49" t="n"/>
      <c r="G138" s="49" t="n"/>
      <c r="H138" s="49" t="n"/>
      <c r="I138" s="49" t="n"/>
      <c r="J138" s="49" t="n"/>
      <c r="K138" s="49" t="n"/>
    </row>
    <row r="139">
      <c r="B139" s="49" t="n"/>
      <c r="C139" s="49" t="n"/>
      <c r="D139" s="49" t="n"/>
      <c r="E139" s="49" t="n"/>
      <c r="F139" s="49" t="n"/>
      <c r="G139" s="49" t="n"/>
      <c r="H139" s="49" t="n"/>
      <c r="I139" s="49" t="n"/>
      <c r="J139" s="49" t="n"/>
      <c r="K139" s="49" t="n"/>
    </row>
    <row r="140">
      <c r="B140" s="49" t="n"/>
      <c r="C140" s="49" t="n"/>
      <c r="D140" s="49" t="n"/>
      <c r="E140" s="49" t="n"/>
      <c r="F140" s="49" t="n"/>
      <c r="G140" s="49" t="n"/>
      <c r="H140" s="49" t="n"/>
      <c r="I140" s="49" t="n"/>
      <c r="J140" s="49" t="n"/>
      <c r="K140" s="49" t="n"/>
    </row>
    <row r="141">
      <c r="B141" s="49" t="n"/>
      <c r="C141" s="49" t="n"/>
      <c r="D141" s="49" t="n"/>
      <c r="E141" s="49" t="n"/>
      <c r="F141" s="49" t="n"/>
      <c r="G141" s="49" t="n"/>
      <c r="H141" s="49" t="n"/>
      <c r="I141" s="49" t="n"/>
      <c r="J141" s="49" t="n"/>
      <c r="K141" s="49" t="n"/>
    </row>
    <row r="142">
      <c r="B142" s="49" t="n"/>
      <c r="C142" s="49" t="n"/>
      <c r="D142" s="49" t="n"/>
      <c r="E142" s="49" t="n"/>
      <c r="F142" s="49" t="n"/>
      <c r="G142" s="49" t="n"/>
      <c r="H142" s="49" t="n"/>
      <c r="I142" s="49" t="n"/>
      <c r="J142" s="49" t="n"/>
      <c r="K142" s="49" t="n"/>
    </row>
    <row r="143">
      <c r="B143" s="49" t="n"/>
      <c r="C143" s="49" t="n"/>
      <c r="D143" s="49" t="n"/>
      <c r="E143" s="49" t="n"/>
      <c r="F143" s="49" t="n"/>
      <c r="G143" s="49" t="n"/>
      <c r="H143" s="49" t="n"/>
      <c r="I143" s="49" t="n"/>
      <c r="J143" s="49" t="n"/>
      <c r="K143" s="49" t="n"/>
    </row>
    <row r="144">
      <c r="B144" s="49" t="n"/>
      <c r="C144" s="49" t="n"/>
      <c r="D144" s="49" t="n"/>
      <c r="E144" s="49" t="n"/>
      <c r="F144" s="49" t="n"/>
      <c r="G144" s="49" t="n"/>
      <c r="H144" s="49" t="n"/>
      <c r="I144" s="49" t="n"/>
      <c r="J144" s="49" t="n"/>
      <c r="K144" s="49" t="n"/>
    </row>
    <row r="145">
      <c r="B145" s="49" t="n"/>
      <c r="C145" s="49" t="n"/>
      <c r="D145" s="49" t="n"/>
      <c r="E145" s="49" t="n"/>
      <c r="F145" s="49" t="n"/>
      <c r="G145" s="49" t="n"/>
      <c r="H145" s="49" t="n"/>
      <c r="I145" s="49" t="n"/>
      <c r="J145" s="49" t="n"/>
      <c r="K145" s="49" t="n"/>
    </row>
    <row r="146">
      <c r="B146" s="49" t="n"/>
      <c r="C146" s="49" t="n"/>
      <c r="D146" s="49" t="n"/>
      <c r="E146" s="49" t="n"/>
      <c r="F146" s="49" t="n"/>
      <c r="G146" s="49" t="n"/>
      <c r="H146" s="49" t="n"/>
      <c r="I146" s="49" t="n"/>
      <c r="J146" s="49" t="n"/>
      <c r="K146" s="49" t="n"/>
    </row>
    <row r="147">
      <c r="B147" s="49" t="n"/>
      <c r="C147" s="49" t="n"/>
      <c r="D147" s="49" t="n"/>
      <c r="E147" s="49" t="n"/>
      <c r="F147" s="49" t="n"/>
      <c r="G147" s="49" t="n"/>
      <c r="H147" s="49" t="n"/>
      <c r="I147" s="49" t="n"/>
      <c r="J147" s="49" t="n"/>
      <c r="K147" s="49" t="n"/>
    </row>
    <row r="148">
      <c r="B148" s="49" t="n"/>
      <c r="C148" s="49" t="n"/>
      <c r="D148" s="49" t="n"/>
      <c r="E148" s="49" t="n"/>
      <c r="F148" s="49" t="n"/>
      <c r="G148" s="49" t="n"/>
      <c r="H148" s="49" t="n"/>
      <c r="I148" s="49" t="n"/>
      <c r="J148" s="49" t="n"/>
      <c r="K148" s="49" t="n"/>
    </row>
    <row r="149">
      <c r="B149" s="49" t="n"/>
      <c r="C149" s="49" t="n"/>
      <c r="D149" s="49" t="n"/>
      <c r="E149" s="49" t="n"/>
      <c r="F149" s="49" t="n"/>
      <c r="G149" s="49" t="n"/>
      <c r="H149" s="49" t="n"/>
      <c r="I149" s="49" t="n"/>
      <c r="J149" s="49" t="n"/>
      <c r="K149" s="49" t="n"/>
    </row>
    <row r="150">
      <c r="B150" s="49" t="n"/>
      <c r="C150" s="49" t="n"/>
      <c r="D150" s="49" t="n"/>
      <c r="E150" s="49" t="n"/>
      <c r="F150" s="49" t="n"/>
      <c r="G150" s="49" t="n"/>
      <c r="H150" s="49" t="n"/>
      <c r="I150" s="49" t="n"/>
      <c r="J150" s="49" t="n"/>
      <c r="K150" s="49" t="n"/>
    </row>
    <row r="151">
      <c r="B151" s="49" t="n"/>
      <c r="C151" s="49" t="n"/>
      <c r="D151" s="49" t="n"/>
      <c r="E151" s="49" t="n"/>
      <c r="F151" s="49" t="n"/>
      <c r="G151" s="49" t="n"/>
      <c r="H151" s="49" t="n"/>
      <c r="I151" s="49" t="n"/>
      <c r="J151" s="49" t="n"/>
      <c r="K151" s="49" t="n"/>
    </row>
    <row r="152">
      <c r="B152" s="49" t="n"/>
      <c r="C152" s="49" t="n"/>
      <c r="D152" s="49" t="n"/>
      <c r="E152" s="49" t="n"/>
      <c r="F152" s="49" t="n"/>
      <c r="G152" s="49" t="n"/>
      <c r="H152" s="49" t="n"/>
      <c r="I152" s="49" t="n"/>
      <c r="J152" s="49" t="n"/>
      <c r="K152" s="49" t="n"/>
    </row>
    <row r="153">
      <c r="B153" s="49" t="n"/>
      <c r="C153" s="49" t="n"/>
      <c r="D153" s="49" t="n"/>
      <c r="E153" s="49" t="n"/>
      <c r="F153" s="49" t="n"/>
      <c r="G153" s="49" t="n"/>
      <c r="H153" s="49" t="n"/>
      <c r="I153" s="49" t="n"/>
      <c r="J153" s="49" t="n"/>
      <c r="K153" s="49" t="n"/>
    </row>
    <row r="154">
      <c r="B154" s="49" t="n"/>
      <c r="C154" s="49" t="n"/>
      <c r="D154" s="49" t="n"/>
      <c r="E154" s="49" t="n"/>
      <c r="F154" s="49" t="n"/>
      <c r="G154" s="49" t="n"/>
      <c r="H154" s="49" t="n"/>
      <c r="I154" s="49" t="n"/>
      <c r="J154" s="49" t="n"/>
      <c r="K154" s="49" t="n"/>
    </row>
    <row r="155">
      <c r="B155" s="49" t="n"/>
      <c r="C155" s="49" t="n"/>
      <c r="D155" s="49" t="n"/>
      <c r="E155" s="49" t="n"/>
      <c r="F155" s="49" t="n"/>
      <c r="G155" s="49" t="n"/>
      <c r="H155" s="49" t="n"/>
      <c r="I155" s="49" t="n"/>
      <c r="J155" s="49" t="n"/>
      <c r="K155" s="49" t="n"/>
    </row>
    <row r="156">
      <c r="B156" s="49" t="n"/>
      <c r="C156" s="49" t="n"/>
      <c r="D156" s="49" t="n"/>
      <c r="E156" s="49" t="n"/>
      <c r="F156" s="49" t="n"/>
      <c r="G156" s="49" t="n"/>
      <c r="H156" s="49" t="n"/>
      <c r="I156" s="49" t="n"/>
      <c r="J156" s="49" t="n"/>
      <c r="K156" s="49" t="n"/>
    </row>
    <row r="157">
      <c r="B157" s="49" t="n"/>
      <c r="C157" s="49" t="n"/>
      <c r="D157" s="49" t="n"/>
      <c r="E157" s="49" t="n"/>
      <c r="F157" s="49" t="n"/>
      <c r="G157" s="49" t="n"/>
      <c r="H157" s="49" t="n"/>
      <c r="I157" s="49" t="n"/>
      <c r="J157" s="49" t="n"/>
      <c r="K157" s="49" t="n"/>
    </row>
    <row r="158">
      <c r="B158" s="49" t="n"/>
      <c r="C158" s="49" t="n"/>
      <c r="D158" s="49" t="n"/>
      <c r="E158" s="49" t="n"/>
      <c r="F158" s="49" t="n"/>
      <c r="G158" s="49" t="n"/>
      <c r="H158" s="49" t="n"/>
      <c r="I158" s="49" t="n"/>
      <c r="J158" s="49" t="n"/>
      <c r="K158" s="49" t="n"/>
    </row>
    <row r="159">
      <c r="B159" s="49" t="n"/>
      <c r="C159" s="49" t="n"/>
      <c r="D159" s="49" t="n"/>
      <c r="E159" s="49" t="n"/>
      <c r="F159" s="49" t="n"/>
      <c r="G159" s="49" t="n"/>
      <c r="H159" s="49" t="n"/>
      <c r="I159" s="49" t="n"/>
      <c r="J159" s="49" t="n"/>
      <c r="K159" s="49" t="n"/>
    </row>
    <row r="160">
      <c r="B160" s="49" t="n"/>
      <c r="C160" s="49" t="n"/>
      <c r="D160" s="49" t="n"/>
      <c r="E160" s="49" t="n"/>
      <c r="F160" s="49" t="n"/>
      <c r="G160" s="49" t="n"/>
      <c r="H160" s="49" t="n"/>
      <c r="I160" s="49" t="n"/>
      <c r="J160" s="49" t="n"/>
      <c r="K160" s="49" t="n"/>
    </row>
    <row r="161">
      <c r="B161" s="49" t="n"/>
      <c r="C161" s="49" t="n"/>
      <c r="D161" s="49" t="n"/>
      <c r="E161" s="49" t="n"/>
      <c r="F161" s="49" t="n"/>
      <c r="G161" s="49" t="n"/>
      <c r="H161" s="49" t="n"/>
      <c r="I161" s="49" t="n"/>
      <c r="J161" s="49" t="n"/>
      <c r="K161" s="49" t="n"/>
    </row>
    <row r="162">
      <c r="B162" s="49" t="n"/>
      <c r="C162" s="49" t="n"/>
      <c r="D162" s="49" t="n"/>
      <c r="E162" s="49" t="n"/>
      <c r="F162" s="49" t="n"/>
      <c r="G162" s="49" t="n"/>
      <c r="H162" s="49" t="n"/>
      <c r="I162" s="49" t="n"/>
      <c r="J162" s="49" t="n"/>
      <c r="K162" s="49" t="n"/>
    </row>
    <row r="163">
      <c r="B163" s="49" t="n"/>
      <c r="C163" s="49" t="n"/>
      <c r="D163" s="49" t="n"/>
      <c r="E163" s="49" t="n"/>
      <c r="F163" s="49" t="n"/>
      <c r="G163" s="49" t="n"/>
      <c r="H163" s="49" t="n"/>
      <c r="I163" s="49" t="n"/>
      <c r="J163" s="49" t="n"/>
      <c r="K163" s="49" t="n"/>
    </row>
    <row r="164">
      <c r="B164" s="49" t="n"/>
      <c r="C164" s="49" t="n"/>
      <c r="D164" s="49" t="n"/>
      <c r="E164" s="49" t="n"/>
      <c r="F164" s="49" t="n"/>
      <c r="G164" s="49" t="n"/>
      <c r="H164" s="49" t="n"/>
      <c r="I164" s="49" t="n"/>
      <c r="J164" s="49" t="n"/>
      <c r="K164" s="49" t="n"/>
    </row>
    <row r="165">
      <c r="B165" s="49" t="n"/>
      <c r="C165" s="49" t="n"/>
      <c r="D165" s="49" t="n"/>
      <c r="E165" s="49" t="n"/>
      <c r="F165" s="49" t="n"/>
      <c r="G165" s="49" t="n"/>
      <c r="H165" s="49" t="n"/>
      <c r="I165" s="49" t="n"/>
      <c r="J165" s="49" t="n"/>
      <c r="K165" s="49" t="n"/>
    </row>
    <row r="166">
      <c r="B166" s="49" t="n"/>
      <c r="C166" s="49" t="n"/>
      <c r="D166" s="49" t="n"/>
      <c r="E166" s="49" t="n"/>
      <c r="F166" s="49" t="n"/>
      <c r="G166" s="49" t="n"/>
      <c r="H166" s="49" t="n"/>
      <c r="I166" s="49" t="n"/>
      <c r="J166" s="49" t="n"/>
      <c r="K166" s="49" t="n"/>
    </row>
    <row r="167">
      <c r="B167" s="49" t="n"/>
      <c r="C167" s="49" t="n"/>
      <c r="D167" s="49" t="n"/>
      <c r="E167" s="49" t="n"/>
      <c r="F167" s="49" t="n"/>
      <c r="G167" s="49" t="n"/>
      <c r="H167" s="49" t="n"/>
      <c r="I167" s="49" t="n"/>
      <c r="J167" s="49" t="n"/>
      <c r="K167" s="49" t="n"/>
    </row>
    <row r="168">
      <c r="B168" s="49" t="n"/>
      <c r="C168" s="49" t="n"/>
      <c r="D168" s="49" t="n"/>
      <c r="E168" s="49" t="n"/>
      <c r="F168" s="49" t="n"/>
      <c r="G168" s="49" t="n"/>
      <c r="H168" s="49" t="n"/>
      <c r="I168" s="49" t="n"/>
      <c r="J168" s="49" t="n"/>
      <c r="K168" s="49" t="n"/>
    </row>
    <row r="169">
      <c r="B169" s="49" t="n"/>
      <c r="C169" s="49" t="n"/>
      <c r="D169" s="49" t="n"/>
      <c r="E169" s="49" t="n"/>
      <c r="F169" s="49" t="n"/>
      <c r="G169" s="49" t="n"/>
      <c r="H169" s="49" t="n"/>
      <c r="I169" s="49" t="n"/>
      <c r="J169" s="49" t="n"/>
      <c r="K169" s="49" t="n"/>
    </row>
    <row r="170">
      <c r="B170" s="49" t="n"/>
      <c r="C170" s="49" t="n"/>
      <c r="D170" s="49" t="n"/>
      <c r="E170" s="49" t="n"/>
      <c r="F170" s="49" t="n"/>
      <c r="G170" s="49" t="n"/>
      <c r="H170" s="49" t="n"/>
      <c r="I170" s="49" t="n"/>
      <c r="J170" s="49" t="n"/>
      <c r="K170" s="49" t="n"/>
    </row>
    <row r="171">
      <c r="B171" s="49" t="n"/>
      <c r="C171" s="49" t="n"/>
      <c r="D171" s="49" t="n"/>
      <c r="E171" s="49" t="n"/>
      <c r="F171" s="49" t="n"/>
      <c r="G171" s="49" t="n"/>
      <c r="H171" s="49" t="n"/>
      <c r="I171" s="49" t="n"/>
      <c r="J171" s="49" t="n"/>
      <c r="K171" s="49" t="n"/>
    </row>
    <row r="172">
      <c r="B172" s="49" t="n"/>
      <c r="C172" s="49" t="n"/>
      <c r="D172" s="49" t="n"/>
      <c r="E172" s="49" t="n"/>
      <c r="F172" s="49" t="n"/>
      <c r="G172" s="49" t="n"/>
      <c r="H172" s="49" t="n"/>
      <c r="I172" s="49" t="n"/>
      <c r="J172" s="49" t="n"/>
      <c r="K172" s="49" t="n"/>
    </row>
    <row r="173">
      <c r="B173" s="49" t="n"/>
      <c r="C173" s="49" t="n"/>
      <c r="D173" s="49" t="n"/>
      <c r="E173" s="49" t="n"/>
      <c r="F173" s="49" t="n"/>
      <c r="G173" s="49" t="n"/>
      <c r="H173" s="49" t="n"/>
      <c r="I173" s="49" t="n"/>
      <c r="J173" s="49" t="n"/>
      <c r="K173" s="49" t="n"/>
    </row>
    <row r="174">
      <c r="B174" s="49" t="n"/>
      <c r="C174" s="49" t="n"/>
      <c r="D174" s="49" t="n"/>
      <c r="E174" s="49" t="n"/>
      <c r="F174" s="49" t="n"/>
      <c r="G174" s="49" t="n"/>
      <c r="H174" s="49" t="n"/>
      <c r="I174" s="49" t="n"/>
      <c r="J174" s="49" t="n"/>
      <c r="K174" s="49" t="n"/>
    </row>
    <row r="175">
      <c r="B175" s="49" t="n"/>
      <c r="C175" s="49" t="n"/>
      <c r="D175" s="49" t="n"/>
      <c r="E175" s="49" t="n"/>
      <c r="F175" s="49" t="n"/>
      <c r="G175" s="49" t="n"/>
      <c r="H175" s="49" t="n"/>
      <c r="I175" s="49" t="n"/>
      <c r="J175" s="49" t="n"/>
      <c r="K175" s="49" t="n"/>
    </row>
    <row r="176">
      <c r="B176" s="49" t="n"/>
      <c r="C176" s="49" t="n"/>
      <c r="D176" s="49" t="n"/>
      <c r="E176" s="49" t="n"/>
      <c r="F176" s="49" t="n"/>
      <c r="G176" s="49" t="n"/>
      <c r="H176" s="49" t="n"/>
      <c r="I176" s="49" t="n"/>
      <c r="J176" s="49" t="n"/>
      <c r="K176" s="49" t="n"/>
    </row>
    <row r="177">
      <c r="B177" s="49" t="n"/>
      <c r="C177" s="49" t="n"/>
      <c r="D177" s="49" t="n"/>
      <c r="E177" s="49" t="n"/>
      <c r="F177" s="49" t="n"/>
      <c r="G177" s="49" t="n"/>
      <c r="H177" s="49" t="n"/>
      <c r="I177" s="49" t="n"/>
      <c r="J177" s="49" t="n"/>
      <c r="K177" s="49" t="n"/>
    </row>
    <row r="178">
      <c r="B178" s="49" t="n"/>
      <c r="C178" s="49" t="n"/>
      <c r="D178" s="49" t="n"/>
      <c r="E178" s="49" t="n"/>
      <c r="F178" s="49" t="n"/>
      <c r="G178" s="49" t="n"/>
      <c r="H178" s="49" t="n"/>
      <c r="I178" s="49" t="n"/>
      <c r="J178" s="49" t="n"/>
      <c r="K178" s="49" t="n"/>
    </row>
    <row r="179">
      <c r="B179" s="49" t="n"/>
      <c r="C179" s="49" t="n"/>
      <c r="D179" s="49" t="n"/>
      <c r="E179" s="49" t="n"/>
      <c r="F179" s="49" t="n"/>
      <c r="G179" s="49" t="n"/>
      <c r="H179" s="49" t="n"/>
      <c r="I179" s="49" t="n"/>
      <c r="J179" s="49" t="n"/>
      <c r="K179" s="49" t="n"/>
    </row>
    <row r="180">
      <c r="B180" s="49" t="n"/>
      <c r="C180" s="49" t="n"/>
      <c r="D180" s="49" t="n"/>
      <c r="E180" s="49" t="n"/>
      <c r="F180" s="49" t="n"/>
      <c r="G180" s="49" t="n"/>
      <c r="H180" s="49" t="n"/>
      <c r="I180" s="49" t="n"/>
      <c r="J180" s="49" t="n"/>
      <c r="K180" s="49" t="n"/>
    </row>
    <row r="181">
      <c r="B181" s="49" t="n"/>
      <c r="C181" s="49" t="n"/>
      <c r="D181" s="49" t="n"/>
      <c r="E181" s="49" t="n"/>
      <c r="F181" s="49" t="n"/>
      <c r="G181" s="49" t="n"/>
      <c r="H181" s="49" t="n"/>
      <c r="I181" s="49" t="n"/>
      <c r="J181" s="49" t="n"/>
      <c r="K181" s="49" t="n"/>
    </row>
    <row r="182">
      <c r="B182" s="49" t="n"/>
      <c r="C182" s="49" t="n"/>
      <c r="D182" s="49" t="n"/>
      <c r="E182" s="49" t="n"/>
      <c r="F182" s="49" t="n"/>
      <c r="G182" s="49" t="n"/>
      <c r="H182" s="49" t="n"/>
      <c r="I182" s="49" t="n"/>
      <c r="J182" s="49" t="n"/>
      <c r="K182" s="49" t="n"/>
    </row>
    <row r="183">
      <c r="B183" s="49" t="n"/>
      <c r="C183" s="49" t="n"/>
      <c r="D183" s="49" t="n"/>
      <c r="E183" s="49" t="n"/>
      <c r="F183" s="49" t="n"/>
      <c r="G183" s="49" t="n"/>
      <c r="H183" s="49" t="n"/>
      <c r="I183" s="49" t="n"/>
      <c r="J183" s="49" t="n"/>
      <c r="K183" s="49" t="n"/>
    </row>
    <row r="184">
      <c r="B184" s="49" t="n"/>
      <c r="C184" s="49" t="n"/>
      <c r="D184" s="49" t="n"/>
      <c r="E184" s="49" t="n"/>
      <c r="F184" s="49" t="n"/>
      <c r="G184" s="49" t="n"/>
      <c r="H184" s="49" t="n"/>
      <c r="I184" s="49" t="n"/>
      <c r="J184" s="49" t="n"/>
      <c r="K184" s="49" t="n"/>
    </row>
    <row r="185">
      <c r="B185" s="49" t="n"/>
      <c r="C185" s="49" t="n"/>
      <c r="D185" s="49" t="n"/>
      <c r="E185" s="49" t="n"/>
      <c r="F185" s="49" t="n"/>
      <c r="G185" s="49" t="n"/>
      <c r="H185" s="49" t="n"/>
      <c r="I185" s="49" t="n"/>
      <c r="J185" s="49" t="n"/>
      <c r="K185" s="49" t="n"/>
    </row>
    <row r="186">
      <c r="B186" s="49" t="n"/>
      <c r="C186" s="49" t="n"/>
      <c r="D186" s="49" t="n"/>
      <c r="E186" s="49" t="n"/>
      <c r="F186" s="49" t="n"/>
      <c r="G186" s="49" t="n"/>
      <c r="H186" s="49" t="n"/>
      <c r="I186" s="49" t="n"/>
      <c r="J186" s="49" t="n"/>
      <c r="K186" s="49" t="n"/>
    </row>
    <row r="187">
      <c r="B187" s="49" t="n"/>
      <c r="C187" s="49" t="n"/>
      <c r="D187" s="49" t="n"/>
      <c r="E187" s="49" t="n"/>
      <c r="F187" s="49" t="n"/>
      <c r="G187" s="49" t="n"/>
      <c r="H187" s="49" t="n"/>
      <c r="I187" s="49" t="n"/>
      <c r="J187" s="49" t="n"/>
      <c r="K187" s="49" t="n"/>
    </row>
    <row r="188">
      <c r="B188" s="49" t="n"/>
      <c r="C188" s="49" t="n"/>
      <c r="D188" s="49" t="n"/>
      <c r="E188" s="49" t="n"/>
      <c r="F188" s="49" t="n"/>
      <c r="G188" s="49" t="n"/>
      <c r="H188" s="49" t="n"/>
      <c r="I188" s="49" t="n"/>
      <c r="J188" s="49" t="n"/>
      <c r="K188" s="49" t="n"/>
    </row>
    <row r="189">
      <c r="B189" s="49" t="n"/>
      <c r="C189" s="49" t="n"/>
      <c r="D189" s="49" t="n"/>
      <c r="E189" s="49" t="n"/>
      <c r="F189" s="49" t="n"/>
      <c r="G189" s="49" t="n"/>
      <c r="H189" s="49" t="n"/>
      <c r="I189" s="49" t="n"/>
      <c r="J189" s="49" t="n"/>
      <c r="K189" s="49" t="n"/>
    </row>
    <row r="190">
      <c r="B190" s="49" t="n"/>
      <c r="C190" s="49" t="n"/>
      <c r="D190" s="49" t="n"/>
      <c r="E190" s="49" t="n"/>
      <c r="F190" s="49" t="n"/>
      <c r="G190" s="49" t="n"/>
      <c r="H190" s="49" t="n"/>
      <c r="I190" s="49" t="n"/>
      <c r="J190" s="49" t="n"/>
      <c r="K190" s="49" t="n"/>
    </row>
    <row r="191">
      <c r="B191" s="49" t="n"/>
      <c r="C191" s="49" t="n"/>
      <c r="D191" s="49" t="n"/>
      <c r="E191" s="49" t="n"/>
      <c r="F191" s="49" t="n"/>
      <c r="G191" s="49" t="n"/>
      <c r="H191" s="49" t="n"/>
      <c r="I191" s="49" t="n"/>
      <c r="J191" s="49" t="n"/>
      <c r="K191" s="49" t="n"/>
    </row>
    <row r="192">
      <c r="B192" s="49" t="n"/>
      <c r="C192" s="49" t="n"/>
      <c r="D192" s="49" t="n"/>
      <c r="E192" s="49" t="n"/>
      <c r="F192" s="49" t="n"/>
      <c r="G192" s="49" t="n"/>
      <c r="H192" s="49" t="n"/>
      <c r="I192" s="49" t="n"/>
      <c r="J192" s="49" t="n"/>
      <c r="K192" s="49" t="n"/>
    </row>
    <row r="193">
      <c r="B193" s="49" t="n"/>
      <c r="C193" s="49" t="n"/>
      <c r="D193" s="49" t="n"/>
      <c r="E193" s="49" t="n"/>
      <c r="F193" s="49" t="n"/>
      <c r="G193" s="49" t="n"/>
      <c r="H193" s="49" t="n"/>
      <c r="I193" s="49" t="n"/>
      <c r="J193" s="49" t="n"/>
      <c r="K193" s="49" t="n"/>
    </row>
    <row r="194">
      <c r="B194" s="49" t="n"/>
      <c r="C194" s="49" t="n"/>
      <c r="D194" s="49" t="n"/>
      <c r="E194" s="49" t="n"/>
      <c r="F194" s="49" t="n"/>
      <c r="G194" s="49" t="n"/>
      <c r="H194" s="49" t="n"/>
      <c r="I194" s="49" t="n"/>
      <c r="J194" s="49" t="n"/>
      <c r="K194" s="49" t="n"/>
    </row>
    <row r="195">
      <c r="B195" s="49" t="n"/>
      <c r="C195" s="49" t="n"/>
      <c r="D195" s="49" t="n"/>
      <c r="E195" s="49" t="n"/>
      <c r="F195" s="49" t="n"/>
      <c r="G195" s="49" t="n"/>
      <c r="H195" s="49" t="n"/>
      <c r="I195" s="49" t="n"/>
      <c r="J195" s="49" t="n"/>
      <c r="K195" s="49" t="n"/>
    </row>
    <row r="196">
      <c r="B196" s="49" t="n"/>
      <c r="C196" s="49" t="n"/>
      <c r="D196" s="49" t="n"/>
      <c r="E196" s="49" t="n"/>
      <c r="F196" s="49" t="n"/>
      <c r="G196" s="49" t="n"/>
      <c r="H196" s="49" t="n"/>
      <c r="I196" s="49" t="n"/>
      <c r="J196" s="49" t="n"/>
      <c r="K196" s="49" t="n"/>
    </row>
    <row r="197">
      <c r="B197" s="49" t="n"/>
      <c r="C197" s="49" t="n"/>
      <c r="D197" s="49" t="n"/>
      <c r="E197" s="49" t="n"/>
      <c r="F197" s="49" t="n"/>
      <c r="G197" s="49" t="n"/>
      <c r="H197" s="49" t="n"/>
      <c r="I197" s="49" t="n"/>
      <c r="J197" s="49" t="n"/>
      <c r="K197" s="49" t="n"/>
    </row>
    <row r="198">
      <c r="B198" s="49" t="n"/>
      <c r="C198" s="49" t="n"/>
      <c r="D198" s="49" t="n"/>
      <c r="E198" s="49" t="n"/>
      <c r="F198" s="49" t="n"/>
      <c r="G198" s="49" t="n"/>
      <c r="H198" s="49" t="n"/>
      <c r="I198" s="49" t="n"/>
      <c r="J198" s="49" t="n"/>
      <c r="K198" s="49" t="n"/>
    </row>
    <row r="199">
      <c r="B199" s="49" t="n"/>
      <c r="C199" s="49" t="n"/>
      <c r="D199" s="49" t="n"/>
      <c r="E199" s="49" t="n"/>
      <c r="F199" s="49" t="n"/>
      <c r="G199" s="49" t="n"/>
      <c r="H199" s="49" t="n"/>
      <c r="I199" s="49" t="n"/>
      <c r="J199" s="49" t="n"/>
      <c r="K199" s="49" t="n"/>
    </row>
    <row r="200">
      <c r="B200" s="49" t="n"/>
      <c r="C200" s="49" t="n"/>
      <c r="D200" s="49" t="n"/>
      <c r="E200" s="49" t="n"/>
      <c r="F200" s="49" t="n"/>
      <c r="G200" s="49" t="n"/>
      <c r="H200" s="49" t="n"/>
      <c r="I200" s="49" t="n"/>
      <c r="J200" s="49" t="n"/>
      <c r="K200" s="49" t="n"/>
    </row>
    <row r="201">
      <c r="B201" s="49" t="n"/>
      <c r="C201" s="49" t="n"/>
      <c r="D201" s="49" t="n"/>
      <c r="E201" s="49" t="n"/>
      <c r="F201" s="49" t="n"/>
      <c r="G201" s="49" t="n"/>
      <c r="H201" s="49" t="n"/>
      <c r="I201" s="49" t="n"/>
      <c r="J201" s="49" t="n"/>
      <c r="K201" s="49" t="n"/>
    </row>
    <row r="202">
      <c r="B202" s="49" t="n"/>
      <c r="C202" s="49" t="n"/>
      <c r="D202" s="49" t="n"/>
      <c r="E202" s="49" t="n"/>
      <c r="F202" s="49" t="n"/>
      <c r="G202" s="49" t="n"/>
      <c r="H202" s="49" t="n"/>
      <c r="I202" s="49" t="n"/>
      <c r="J202" s="49" t="n"/>
      <c r="K202" s="49" t="n"/>
    </row>
    <row r="203">
      <c r="B203" s="49" t="n"/>
      <c r="C203" s="49" t="n"/>
      <c r="D203" s="49" t="n"/>
      <c r="E203" s="49" t="n"/>
      <c r="F203" s="49" t="n"/>
      <c r="G203" s="49" t="n"/>
      <c r="H203" s="49" t="n"/>
      <c r="I203" s="49" t="n"/>
      <c r="J203" s="49" t="n"/>
      <c r="K203" s="49" t="n"/>
    </row>
    <row r="204">
      <c r="B204" s="49" t="n"/>
      <c r="C204" s="49" t="n"/>
      <c r="D204" s="49" t="n"/>
      <c r="E204" s="49" t="n"/>
      <c r="F204" s="49" t="n"/>
      <c r="G204" s="49" t="n"/>
      <c r="H204" s="49" t="n"/>
      <c r="I204" s="49" t="n"/>
      <c r="J204" s="49" t="n"/>
      <c r="K204" s="49" t="n"/>
    </row>
    <row r="205">
      <c r="B205" s="49" t="n"/>
      <c r="C205" s="49" t="n"/>
      <c r="D205" s="49" t="n"/>
      <c r="E205" s="49" t="n"/>
      <c r="F205" s="49" t="n"/>
      <c r="G205" s="49" t="n"/>
      <c r="H205" s="49" t="n"/>
      <c r="I205" s="49" t="n"/>
      <c r="J205" s="49" t="n"/>
      <c r="K205" s="49" t="n"/>
    </row>
    <row r="206">
      <c r="B206" s="49" t="n"/>
      <c r="C206" s="49" t="n"/>
      <c r="D206" s="49" t="n"/>
      <c r="E206" s="49" t="n"/>
      <c r="F206" s="49" t="n"/>
      <c r="G206" s="49" t="n"/>
      <c r="H206" s="49" t="n"/>
      <c r="I206" s="49" t="n"/>
      <c r="J206" s="49" t="n"/>
      <c r="K206" s="49" t="n"/>
    </row>
    <row r="207">
      <c r="B207" s="49" t="n"/>
      <c r="C207" s="49" t="n"/>
      <c r="D207" s="49" t="n"/>
      <c r="E207" s="49" t="n"/>
      <c r="F207" s="49" t="n"/>
      <c r="G207" s="49" t="n"/>
      <c r="H207" s="49" t="n"/>
      <c r="I207" s="49" t="n"/>
      <c r="J207" s="49" t="n"/>
      <c r="K207" s="49" t="n"/>
    </row>
    <row r="208">
      <c r="B208" s="49" t="n"/>
      <c r="C208" s="49" t="n"/>
      <c r="D208" s="49" t="n"/>
      <c r="E208" s="49" t="n"/>
      <c r="F208" s="49" t="n"/>
      <c r="G208" s="49" t="n"/>
      <c r="H208" s="49" t="n"/>
      <c r="I208" s="49" t="n"/>
      <c r="J208" s="49" t="n"/>
      <c r="K208" s="49" t="n"/>
    </row>
    <row r="209">
      <c r="B209" s="49" t="n"/>
      <c r="C209" s="49" t="n"/>
      <c r="D209" s="49" t="n"/>
      <c r="E209" s="49" t="n"/>
      <c r="F209" s="49" t="n"/>
      <c r="G209" s="49" t="n"/>
      <c r="H209" s="49" t="n"/>
      <c r="I209" s="49" t="n"/>
      <c r="J209" s="49" t="n"/>
      <c r="K209" s="49" t="n"/>
    </row>
    <row r="210">
      <c r="B210" s="49" t="n"/>
      <c r="C210" s="49" t="n"/>
      <c r="D210" s="49" t="n"/>
      <c r="E210" s="49" t="n"/>
      <c r="F210" s="49" t="n"/>
      <c r="G210" s="49" t="n"/>
      <c r="H210" s="49" t="n"/>
      <c r="I210" s="49" t="n"/>
      <c r="J210" s="49" t="n"/>
      <c r="K210" s="49" t="n"/>
    </row>
    <row r="211">
      <c r="B211" s="49" t="n"/>
      <c r="C211" s="49" t="n"/>
      <c r="D211" s="49" t="n"/>
      <c r="E211" s="49" t="n"/>
      <c r="F211" s="49" t="n"/>
      <c r="G211" s="49" t="n"/>
      <c r="H211" s="49" t="n"/>
      <c r="I211" s="49" t="n"/>
      <c r="J211" s="49" t="n"/>
      <c r="K211" s="49" t="n"/>
    </row>
    <row r="212">
      <c r="B212" s="49" t="n"/>
      <c r="C212" s="49" t="n"/>
      <c r="D212" s="49" t="n"/>
      <c r="E212" s="49" t="n"/>
      <c r="F212" s="49" t="n"/>
      <c r="G212" s="49" t="n"/>
      <c r="H212" s="49" t="n"/>
      <c r="I212" s="49" t="n"/>
      <c r="J212" s="49" t="n"/>
      <c r="K212" s="49" t="n"/>
    </row>
    <row r="213">
      <c r="B213" s="49" t="n"/>
      <c r="C213" s="49" t="n"/>
      <c r="D213" s="49" t="n"/>
      <c r="E213" s="49" t="n"/>
      <c r="F213" s="49" t="n"/>
      <c r="G213" s="49" t="n"/>
      <c r="H213" s="49" t="n"/>
      <c r="I213" s="49" t="n"/>
      <c r="J213" s="49" t="n"/>
      <c r="K213" s="49" t="n"/>
    </row>
    <row r="214">
      <c r="B214" s="49" t="n"/>
      <c r="C214" s="49" t="n"/>
      <c r="D214" s="49" t="n"/>
      <c r="E214" s="49" t="n"/>
      <c r="F214" s="49" t="n"/>
      <c r="G214" s="49" t="n"/>
      <c r="H214" s="49" t="n"/>
      <c r="I214" s="49" t="n"/>
      <c r="J214" s="49" t="n"/>
      <c r="K214" s="49" t="n"/>
    </row>
    <row r="215">
      <c r="B215" s="49" t="n"/>
      <c r="C215" s="49" t="n"/>
      <c r="D215" s="49" t="n"/>
      <c r="E215" s="49" t="n"/>
      <c r="F215" s="49" t="n"/>
      <c r="G215" s="49" t="n"/>
      <c r="H215" s="49" t="n"/>
      <c r="I215" s="49" t="n"/>
      <c r="J215" s="49" t="n"/>
      <c r="K215" s="49" t="n"/>
    </row>
    <row r="216">
      <c r="B216" s="49" t="n"/>
      <c r="C216" s="49" t="n"/>
      <c r="D216" s="49" t="n"/>
      <c r="E216" s="49" t="n"/>
      <c r="F216" s="49" t="n"/>
      <c r="G216" s="49" t="n"/>
      <c r="H216" s="49" t="n"/>
      <c r="I216" s="49" t="n"/>
      <c r="J216" s="49" t="n"/>
      <c r="K216" s="49" t="n"/>
    </row>
    <row r="217">
      <c r="B217" s="49" t="n"/>
      <c r="C217" s="49" t="n"/>
      <c r="D217" s="49" t="n"/>
      <c r="E217" s="49" t="n"/>
      <c r="F217" s="49" t="n"/>
      <c r="G217" s="49" t="n"/>
      <c r="H217" s="49" t="n"/>
      <c r="I217" s="49" t="n"/>
      <c r="J217" s="49" t="n"/>
      <c r="K217" s="49" t="n"/>
    </row>
    <row r="218">
      <c r="B218" s="49" t="n"/>
      <c r="C218" s="49" t="n"/>
      <c r="D218" s="49" t="n"/>
      <c r="E218" s="49" t="n"/>
      <c r="F218" s="49" t="n"/>
      <c r="G218" s="49" t="n"/>
      <c r="H218" s="49" t="n"/>
      <c r="I218" s="49" t="n"/>
      <c r="J218" s="49" t="n"/>
      <c r="K218" s="49" t="n"/>
    </row>
    <row r="219">
      <c r="B219" s="49" t="n"/>
      <c r="C219" s="49" t="n"/>
      <c r="D219" s="49" t="n"/>
      <c r="E219" s="49" t="n"/>
      <c r="F219" s="49" t="n"/>
      <c r="G219" s="49" t="n"/>
      <c r="H219" s="49" t="n"/>
      <c r="I219" s="49" t="n"/>
      <c r="J219" s="49" t="n"/>
      <c r="K219" s="49" t="n"/>
    </row>
    <row r="220">
      <c r="B220" s="49" t="n"/>
      <c r="C220" s="49" t="n"/>
      <c r="D220" s="49" t="n"/>
      <c r="E220" s="49" t="n"/>
      <c r="F220" s="49" t="n"/>
      <c r="G220" s="49" t="n"/>
      <c r="H220" s="49" t="n"/>
      <c r="I220" s="49" t="n"/>
      <c r="J220" s="49" t="n"/>
      <c r="K220" s="49" t="n"/>
    </row>
    <row r="221">
      <c r="B221" s="49" t="n"/>
      <c r="C221" s="49" t="n"/>
      <c r="D221" s="49" t="n"/>
      <c r="E221" s="49" t="n"/>
      <c r="F221" s="49" t="n"/>
      <c r="G221" s="49" t="n"/>
      <c r="H221" s="49" t="n"/>
      <c r="I221" s="49" t="n"/>
      <c r="J221" s="49" t="n"/>
      <c r="K221" s="49" t="n"/>
    </row>
    <row r="222">
      <c r="B222" s="49" t="n"/>
      <c r="C222" s="49" t="n"/>
      <c r="D222" s="49" t="n"/>
      <c r="E222" s="49" t="n"/>
      <c r="F222" s="49" t="n"/>
      <c r="G222" s="49" t="n"/>
      <c r="H222" s="49" t="n"/>
      <c r="I222" s="49" t="n"/>
      <c r="J222" s="49" t="n"/>
      <c r="K222" s="49" t="n"/>
    </row>
    <row r="223">
      <c r="B223" s="49" t="n"/>
      <c r="C223" s="49" t="n"/>
      <c r="D223" s="49" t="n"/>
      <c r="E223" s="49" t="n"/>
      <c r="F223" s="49" t="n"/>
      <c r="G223" s="49" t="n"/>
      <c r="H223" s="49" t="n"/>
      <c r="I223" s="49" t="n"/>
      <c r="J223" s="49" t="n"/>
      <c r="K223" s="49" t="n"/>
    </row>
    <row r="224">
      <c r="B224" s="49" t="n"/>
      <c r="C224" s="49" t="n"/>
      <c r="D224" s="49" t="n"/>
      <c r="E224" s="49" t="n"/>
      <c r="F224" s="49" t="n"/>
      <c r="G224" s="49" t="n"/>
      <c r="H224" s="49" t="n"/>
      <c r="I224" s="49" t="n"/>
      <c r="J224" s="49" t="n"/>
      <c r="K224" s="49" t="n"/>
    </row>
    <row r="225">
      <c r="B225" s="49" t="n"/>
      <c r="C225" s="49" t="n"/>
      <c r="D225" s="49" t="n"/>
      <c r="E225" s="49" t="n"/>
      <c r="F225" s="49" t="n"/>
      <c r="G225" s="49" t="n"/>
      <c r="H225" s="49" t="n"/>
      <c r="I225" s="49" t="n"/>
      <c r="J225" s="49" t="n"/>
      <c r="K225" s="49" t="n"/>
    </row>
    <row r="226">
      <c r="B226" s="49" t="n"/>
      <c r="C226" s="49" t="n"/>
      <c r="D226" s="49" t="n"/>
      <c r="E226" s="49" t="n"/>
      <c r="F226" s="49" t="n"/>
      <c r="G226" s="49" t="n"/>
      <c r="H226" s="49" t="n"/>
      <c r="I226" s="49" t="n"/>
      <c r="J226" s="49" t="n"/>
      <c r="K226" s="49" t="n"/>
    </row>
    <row r="227">
      <c r="B227" s="49" t="n"/>
      <c r="C227" s="49" t="n"/>
      <c r="D227" s="49" t="n"/>
      <c r="E227" s="49" t="n"/>
      <c r="F227" s="49" t="n"/>
      <c r="G227" s="49" t="n"/>
      <c r="H227" s="49" t="n"/>
      <c r="I227" s="49" t="n"/>
      <c r="J227" s="49" t="n"/>
      <c r="K227" s="49" t="n"/>
    </row>
    <row r="228">
      <c r="B228" s="49" t="n"/>
      <c r="C228" s="49" t="n"/>
      <c r="D228" s="49" t="n"/>
      <c r="E228" s="49" t="n"/>
      <c r="F228" s="49" t="n"/>
      <c r="G228" s="49" t="n"/>
      <c r="H228" s="49" t="n"/>
      <c r="I228" s="49" t="n"/>
      <c r="J228" s="49" t="n"/>
      <c r="K228" s="49" t="n"/>
    </row>
    <row r="229">
      <c r="B229" s="49" t="n"/>
      <c r="C229" s="49" t="n"/>
      <c r="D229" s="49" t="n"/>
      <c r="E229" s="49" t="n"/>
      <c r="F229" s="49" t="n"/>
      <c r="G229" s="49" t="n"/>
      <c r="H229" s="49" t="n"/>
      <c r="I229" s="49" t="n"/>
      <c r="J229" s="49" t="n"/>
      <c r="K229" s="49" t="n"/>
    </row>
    <row r="230">
      <c r="B230" s="49" t="n"/>
      <c r="C230" s="49" t="n"/>
      <c r="D230" s="49" t="n"/>
      <c r="E230" s="49" t="n"/>
      <c r="F230" s="49" t="n"/>
      <c r="G230" s="49" t="n"/>
      <c r="H230" s="49" t="n"/>
      <c r="I230" s="49" t="n"/>
      <c r="J230" s="49" t="n"/>
      <c r="K230" s="49" t="n"/>
    </row>
    <row r="231">
      <c r="B231" s="49" t="n"/>
      <c r="C231" s="49" t="n"/>
      <c r="D231" s="49" t="n"/>
      <c r="E231" s="49" t="n"/>
      <c r="F231" s="49" t="n"/>
      <c r="G231" s="49" t="n"/>
      <c r="H231" s="49" t="n"/>
      <c r="I231" s="49" t="n"/>
      <c r="J231" s="49" t="n"/>
      <c r="K231" s="49" t="n"/>
    </row>
    <row r="232">
      <c r="B232" s="49" t="n"/>
      <c r="C232" s="49" t="n"/>
      <c r="D232" s="49" t="n"/>
      <c r="E232" s="49" t="n"/>
      <c r="F232" s="49" t="n"/>
      <c r="G232" s="49" t="n"/>
      <c r="H232" s="49" t="n"/>
      <c r="I232" s="49" t="n"/>
      <c r="J232" s="49" t="n"/>
      <c r="K232" s="49" t="n"/>
    </row>
    <row r="233">
      <c r="B233" s="49" t="n"/>
      <c r="C233" s="49" t="n"/>
      <c r="D233" s="49" t="n"/>
      <c r="E233" s="49" t="n"/>
      <c r="F233" s="49" t="n"/>
      <c r="G233" s="49" t="n"/>
      <c r="H233" s="49" t="n"/>
      <c r="I233" s="49" t="n"/>
      <c r="J233" s="49" t="n"/>
      <c r="K233" s="49" t="n"/>
    </row>
    <row r="234">
      <c r="B234" s="49" t="n"/>
      <c r="C234" s="49" t="n"/>
      <c r="D234" s="49" t="n"/>
      <c r="E234" s="49" t="n"/>
      <c r="F234" s="49" t="n"/>
      <c r="G234" s="49" t="n"/>
      <c r="H234" s="49" t="n"/>
      <c r="I234" s="49" t="n"/>
      <c r="J234" s="49" t="n"/>
      <c r="K234" s="49" t="n"/>
    </row>
    <row r="235">
      <c r="B235" s="49" t="n"/>
      <c r="C235" s="49" t="n"/>
      <c r="D235" s="49" t="n"/>
      <c r="E235" s="49" t="n"/>
      <c r="F235" s="49" t="n"/>
      <c r="G235" s="49" t="n"/>
      <c r="H235" s="49" t="n"/>
      <c r="I235" s="49" t="n"/>
      <c r="J235" s="49" t="n"/>
      <c r="K235" s="49" t="n"/>
    </row>
    <row r="236">
      <c r="B236" s="49" t="n"/>
      <c r="C236" s="49" t="n"/>
      <c r="D236" s="49" t="n"/>
      <c r="E236" s="49" t="n"/>
      <c r="F236" s="49" t="n"/>
      <c r="G236" s="49" t="n"/>
      <c r="H236" s="49" t="n"/>
      <c r="I236" s="49" t="n"/>
      <c r="J236" s="49" t="n"/>
      <c r="K236" s="49" t="n"/>
    </row>
    <row r="237">
      <c r="B237" s="49" t="n"/>
      <c r="C237" s="49" t="n"/>
      <c r="D237" s="49" t="n"/>
      <c r="E237" s="49" t="n"/>
      <c r="F237" s="49" t="n"/>
      <c r="G237" s="49" t="n"/>
      <c r="H237" s="49" t="n"/>
      <c r="I237" s="49" t="n"/>
      <c r="J237" s="49" t="n"/>
      <c r="K237" s="49" t="n"/>
    </row>
    <row r="238">
      <c r="B238" s="49" t="n"/>
      <c r="C238" s="49" t="n"/>
      <c r="D238" s="49" t="n"/>
      <c r="E238" s="49" t="n"/>
      <c r="F238" s="49" t="n"/>
      <c r="G238" s="49" t="n"/>
      <c r="H238" s="49" t="n"/>
      <c r="I238" s="49" t="n"/>
      <c r="J238" s="49" t="n"/>
      <c r="K238" s="49" t="n"/>
    </row>
    <row r="239">
      <c r="B239" s="49" t="n"/>
      <c r="C239" s="49" t="n"/>
      <c r="D239" s="49" t="n"/>
      <c r="E239" s="49" t="n"/>
      <c r="F239" s="49" t="n"/>
      <c r="G239" s="49" t="n"/>
      <c r="H239" s="49" t="n"/>
      <c r="I239" s="49" t="n"/>
      <c r="J239" s="49" t="n"/>
      <c r="K239" s="49" t="n"/>
    </row>
    <row r="240">
      <c r="B240" s="49" t="n"/>
      <c r="C240" s="49" t="n"/>
      <c r="D240" s="49" t="n"/>
      <c r="E240" s="49" t="n"/>
      <c r="F240" s="49" t="n"/>
      <c r="G240" s="49" t="n"/>
      <c r="H240" s="49" t="n"/>
      <c r="I240" s="49" t="n"/>
      <c r="J240" s="49" t="n"/>
      <c r="K240" s="49" t="n"/>
    </row>
    <row r="241">
      <c r="B241" s="49" t="n"/>
      <c r="C241" s="49" t="n"/>
      <c r="D241" s="49" t="n"/>
      <c r="E241" s="49" t="n"/>
      <c r="F241" s="49" t="n"/>
      <c r="G241" s="49" t="n"/>
      <c r="H241" s="49" t="n"/>
      <c r="I241" s="49" t="n"/>
      <c r="J241" s="49" t="n"/>
      <c r="K241" s="49" t="n"/>
    </row>
    <row r="242">
      <c r="B242" s="49" t="n"/>
      <c r="C242" s="49" t="n"/>
      <c r="D242" s="49" t="n"/>
      <c r="E242" s="49" t="n"/>
      <c r="F242" s="49" t="n"/>
      <c r="G242" s="49" t="n"/>
      <c r="H242" s="49" t="n"/>
      <c r="I242" s="49" t="n"/>
      <c r="J242" s="49" t="n"/>
      <c r="K242" s="49" t="n"/>
    </row>
    <row r="243">
      <c r="B243" s="49" t="n"/>
      <c r="C243" s="49" t="n"/>
      <c r="D243" s="49" t="n"/>
      <c r="E243" s="49" t="n"/>
      <c r="F243" s="49" t="n"/>
      <c r="G243" s="49" t="n"/>
      <c r="H243" s="49" t="n"/>
      <c r="I243" s="49" t="n"/>
      <c r="J243" s="49" t="n"/>
      <c r="K243" s="49" t="n"/>
    </row>
    <row r="244">
      <c r="B244" s="49" t="n"/>
      <c r="C244" s="49" t="n"/>
      <c r="D244" s="49" t="n"/>
      <c r="E244" s="49" t="n"/>
      <c r="F244" s="49" t="n"/>
      <c r="G244" s="49" t="n"/>
      <c r="H244" s="49" t="n"/>
      <c r="I244" s="49" t="n"/>
      <c r="J244" s="49" t="n"/>
      <c r="K244" s="49" t="n"/>
    </row>
    <row r="245">
      <c r="B245" s="49" t="n"/>
      <c r="C245" s="49" t="n"/>
      <c r="D245" s="49" t="n"/>
      <c r="E245" s="49" t="n"/>
      <c r="F245" s="49" t="n"/>
      <c r="G245" s="49" t="n"/>
      <c r="H245" s="49" t="n"/>
      <c r="I245" s="49" t="n"/>
      <c r="J245" s="49" t="n"/>
      <c r="K245" s="49" t="n"/>
    </row>
    <row r="246">
      <c r="B246" s="49" t="n"/>
      <c r="C246" s="49" t="n"/>
      <c r="D246" s="49" t="n"/>
      <c r="E246" s="49" t="n"/>
      <c r="F246" s="49" t="n"/>
      <c r="G246" s="49" t="n"/>
      <c r="H246" s="49" t="n"/>
      <c r="I246" s="49" t="n"/>
      <c r="J246" s="49" t="n"/>
      <c r="K246" s="49" t="n"/>
    </row>
    <row r="247">
      <c r="B247" s="49" t="n"/>
      <c r="C247" s="49" t="n"/>
      <c r="D247" s="49" t="n"/>
      <c r="E247" s="49" t="n"/>
      <c r="F247" s="49" t="n"/>
      <c r="G247" s="49" t="n"/>
      <c r="H247" s="49" t="n"/>
      <c r="I247" s="49" t="n"/>
      <c r="J247" s="49" t="n"/>
      <c r="K247" s="49" t="n"/>
    </row>
    <row r="248">
      <c r="B248" s="49" t="n"/>
      <c r="C248" s="49" t="n"/>
      <c r="D248" s="49" t="n"/>
      <c r="E248" s="49" t="n"/>
      <c r="F248" s="49" t="n"/>
      <c r="G248" s="49" t="n"/>
      <c r="H248" s="49" t="n"/>
      <c r="I248" s="49" t="n"/>
      <c r="J248" s="49" t="n"/>
      <c r="K248" s="49" t="n"/>
    </row>
    <row r="249">
      <c r="B249" s="49" t="n"/>
      <c r="C249" s="49" t="n"/>
      <c r="D249" s="49" t="n"/>
      <c r="E249" s="49" t="n"/>
      <c r="F249" s="49" t="n"/>
      <c r="G249" s="49" t="n"/>
      <c r="H249" s="49" t="n"/>
      <c r="I249" s="49" t="n"/>
      <c r="J249" s="49" t="n"/>
      <c r="K249" s="49" t="n"/>
    </row>
    <row r="250">
      <c r="B250" s="49" t="n"/>
      <c r="C250" s="49" t="n"/>
      <c r="D250" s="49" t="n"/>
      <c r="E250" s="49" t="n"/>
      <c r="F250" s="49" t="n"/>
      <c r="G250" s="49" t="n"/>
      <c r="H250" s="49" t="n"/>
      <c r="I250" s="49" t="n"/>
      <c r="J250" s="49" t="n"/>
      <c r="K250" s="49" t="n"/>
    </row>
    <row r="251">
      <c r="B251" s="49" t="n"/>
      <c r="C251" s="49" t="n"/>
      <c r="D251" s="49" t="n"/>
      <c r="E251" s="49" t="n"/>
      <c r="F251" s="49" t="n"/>
      <c r="G251" s="49" t="n"/>
      <c r="H251" s="49" t="n"/>
      <c r="I251" s="49" t="n"/>
      <c r="J251" s="49" t="n"/>
      <c r="K251" s="49" t="n"/>
    </row>
    <row r="252">
      <c r="B252" s="49" t="n"/>
      <c r="C252" s="49" t="n"/>
      <c r="D252" s="49" t="n"/>
      <c r="E252" s="49" t="n"/>
      <c r="F252" s="49" t="n"/>
      <c r="G252" s="49" t="n"/>
      <c r="H252" s="49" t="n"/>
      <c r="I252" s="49" t="n"/>
      <c r="J252" s="49" t="n"/>
      <c r="K252" s="49" t="n"/>
    </row>
    <row r="253">
      <c r="B253" s="49" t="n"/>
      <c r="C253" s="49" t="n"/>
      <c r="D253" s="49" t="n"/>
      <c r="E253" s="49" t="n"/>
      <c r="F253" s="49" t="n"/>
      <c r="G253" s="49" t="n"/>
      <c r="H253" s="49" t="n"/>
      <c r="I253" s="49" t="n"/>
      <c r="J253" s="49" t="n"/>
      <c r="K253" s="49" t="n"/>
    </row>
    <row r="254">
      <c r="B254" s="49" t="n"/>
      <c r="C254" s="49" t="n"/>
      <c r="D254" s="49" t="n"/>
      <c r="E254" s="49" t="n"/>
      <c r="F254" s="49" t="n"/>
      <c r="G254" s="49" t="n"/>
      <c r="H254" s="49" t="n"/>
      <c r="I254" s="49" t="n"/>
      <c r="J254" s="49" t="n"/>
      <c r="K254" s="49" t="n"/>
    </row>
    <row r="255">
      <c r="B255" s="49" t="n"/>
      <c r="C255" s="49" t="n"/>
      <c r="D255" s="49" t="n"/>
      <c r="E255" s="49" t="n"/>
      <c r="F255" s="49" t="n"/>
      <c r="G255" s="49" t="n"/>
      <c r="H255" s="49" t="n"/>
      <c r="I255" s="49" t="n"/>
      <c r="J255" s="49" t="n"/>
      <c r="K255" s="49" t="n"/>
    </row>
    <row r="256">
      <c r="B256" s="49" t="n"/>
      <c r="C256" s="49" t="n"/>
      <c r="D256" s="49" t="n"/>
      <c r="E256" s="49" t="n"/>
      <c r="F256" s="49" t="n"/>
      <c r="G256" s="49" t="n"/>
      <c r="H256" s="49" t="n"/>
      <c r="I256" s="49" t="n"/>
      <c r="J256" s="49" t="n"/>
      <c r="K256" s="49" t="n"/>
    </row>
    <row r="257">
      <c r="B257" s="49" t="n"/>
      <c r="C257" s="49" t="n"/>
      <c r="D257" s="49" t="n"/>
      <c r="E257" s="49" t="n"/>
      <c r="F257" s="49" t="n"/>
      <c r="G257" s="49" t="n"/>
      <c r="H257" s="49" t="n"/>
      <c r="I257" s="49" t="n"/>
      <c r="J257" s="49" t="n"/>
      <c r="K257" s="49" t="n"/>
    </row>
    <row r="258">
      <c r="B258" s="49" t="n"/>
      <c r="C258" s="49" t="n"/>
      <c r="D258" s="49" t="n"/>
      <c r="E258" s="49" t="n"/>
      <c r="F258" s="49" t="n"/>
      <c r="G258" s="49" t="n"/>
      <c r="H258" s="49" t="n"/>
      <c r="I258" s="49" t="n"/>
      <c r="J258" s="49" t="n"/>
      <c r="K258" s="49" t="n"/>
    </row>
    <row r="259">
      <c r="B259" s="49" t="n"/>
      <c r="C259" s="49" t="n"/>
      <c r="D259" s="49" t="n"/>
      <c r="E259" s="49" t="n"/>
      <c r="F259" s="49" t="n"/>
      <c r="G259" s="49" t="n"/>
      <c r="H259" s="49" t="n"/>
      <c r="I259" s="49" t="n"/>
      <c r="J259" s="49" t="n"/>
      <c r="K259" s="49" t="n"/>
    </row>
    <row r="260">
      <c r="B260" s="49" t="n"/>
      <c r="C260" s="49" t="n"/>
      <c r="D260" s="49" t="n"/>
      <c r="E260" s="49" t="n"/>
      <c r="F260" s="49" t="n"/>
      <c r="G260" s="49" t="n"/>
      <c r="H260" s="49" t="n"/>
      <c r="I260" s="49" t="n"/>
      <c r="J260" s="49" t="n"/>
      <c r="K260" s="49" t="n"/>
    </row>
    <row r="261">
      <c r="B261" s="49" t="n"/>
      <c r="C261" s="49" t="n"/>
      <c r="D261" s="49" t="n"/>
      <c r="E261" s="49" t="n"/>
      <c r="F261" s="49" t="n"/>
      <c r="G261" s="49" t="n"/>
      <c r="H261" s="49" t="n"/>
      <c r="I261" s="49" t="n"/>
      <c r="J261" s="49" t="n"/>
      <c r="K261" s="49" t="n"/>
    </row>
    <row r="262">
      <c r="B262" s="49" t="n"/>
      <c r="C262" s="49" t="n"/>
      <c r="D262" s="49" t="n"/>
      <c r="E262" s="49" t="n"/>
      <c r="F262" s="49" t="n"/>
      <c r="G262" s="49" t="n"/>
      <c r="H262" s="49" t="n"/>
      <c r="I262" s="49" t="n"/>
      <c r="J262" s="49" t="n"/>
      <c r="K262" s="49" t="n"/>
    </row>
    <row r="263">
      <c r="B263" s="49" t="n"/>
      <c r="C263" s="49" t="n"/>
      <c r="D263" s="49" t="n"/>
      <c r="E263" s="49" t="n"/>
      <c r="F263" s="49" t="n"/>
      <c r="G263" s="49" t="n"/>
      <c r="H263" s="49" t="n"/>
      <c r="I263" s="49" t="n"/>
      <c r="J263" s="49" t="n"/>
      <c r="K263" s="49" t="n"/>
    </row>
    <row r="264">
      <c r="B264" s="49" t="n"/>
      <c r="C264" s="49" t="n"/>
      <c r="D264" s="49" t="n"/>
      <c r="E264" s="49" t="n"/>
      <c r="F264" s="49" t="n"/>
      <c r="G264" s="49" t="n"/>
      <c r="H264" s="49" t="n"/>
      <c r="I264" s="49" t="n"/>
      <c r="J264" s="49" t="n"/>
      <c r="K264" s="49" t="n"/>
    </row>
    <row r="265">
      <c r="B265" s="49" t="n"/>
      <c r="C265" s="49" t="n"/>
      <c r="D265" s="49" t="n"/>
      <c r="E265" s="49" t="n"/>
      <c r="F265" s="49" t="n"/>
      <c r="G265" s="49" t="n"/>
      <c r="H265" s="49" t="n"/>
      <c r="I265" s="49" t="n"/>
      <c r="J265" s="49" t="n"/>
      <c r="K265" s="49" t="n"/>
    </row>
    <row r="266">
      <c r="B266" s="49" t="n"/>
      <c r="C266" s="49" t="n"/>
      <c r="D266" s="49" t="n"/>
      <c r="E266" s="49" t="n"/>
      <c r="F266" s="49" t="n"/>
      <c r="G266" s="49" t="n"/>
      <c r="H266" s="49" t="n"/>
      <c r="I266" s="49" t="n"/>
      <c r="J266" s="49" t="n"/>
      <c r="K266" s="49" t="n"/>
    </row>
    <row r="267">
      <c r="B267" s="49" t="n"/>
      <c r="C267" s="49" t="n"/>
      <c r="D267" s="49" t="n"/>
      <c r="E267" s="49" t="n"/>
      <c r="F267" s="49" t="n"/>
      <c r="G267" s="49" t="n"/>
      <c r="H267" s="49" t="n"/>
      <c r="I267" s="49" t="n"/>
      <c r="J267" s="49" t="n"/>
      <c r="K267" s="49" t="n"/>
    </row>
    <row r="268">
      <c r="B268" s="49" t="n"/>
      <c r="C268" s="49" t="n"/>
      <c r="D268" s="49" t="n"/>
      <c r="E268" s="49" t="n"/>
      <c r="F268" s="49" t="n"/>
      <c r="G268" s="49" t="n"/>
      <c r="H268" s="49" t="n"/>
      <c r="I268" s="49" t="n"/>
      <c r="J268" s="49" t="n"/>
      <c r="K268" s="49" t="n"/>
    </row>
    <row r="269">
      <c r="B269" s="49" t="n"/>
      <c r="C269" s="49" t="n"/>
      <c r="D269" s="49" t="n"/>
      <c r="E269" s="49" t="n"/>
      <c r="F269" s="49" t="n"/>
      <c r="G269" s="49" t="n"/>
      <c r="H269" s="49" t="n"/>
      <c r="I269" s="49" t="n"/>
      <c r="J269" s="49" t="n"/>
      <c r="K269" s="49" t="n"/>
    </row>
    <row r="270">
      <c r="B270" s="49" t="n"/>
      <c r="C270" s="49" t="n"/>
      <c r="D270" s="49" t="n"/>
      <c r="E270" s="49" t="n"/>
      <c r="F270" s="49" t="n"/>
      <c r="G270" s="49" t="n"/>
      <c r="H270" s="49" t="n"/>
      <c r="I270" s="49" t="n"/>
      <c r="J270" s="49" t="n"/>
      <c r="K270" s="49" t="n"/>
    </row>
    <row r="271">
      <c r="B271" s="49" t="n"/>
      <c r="C271" s="49" t="n"/>
      <c r="D271" s="49" t="n"/>
      <c r="E271" s="49" t="n"/>
      <c r="F271" s="49" t="n"/>
      <c r="G271" s="49" t="n"/>
      <c r="H271" s="49" t="n"/>
      <c r="I271" s="49" t="n"/>
      <c r="J271" s="49" t="n"/>
      <c r="K271" s="49" t="n"/>
    </row>
    <row r="272">
      <c r="B272" s="49" t="n"/>
      <c r="C272" s="49" t="n"/>
      <c r="D272" s="49" t="n"/>
      <c r="E272" s="49" t="n"/>
      <c r="F272" s="49" t="n"/>
      <c r="G272" s="49" t="n"/>
      <c r="H272" s="49" t="n"/>
      <c r="I272" s="49" t="n"/>
      <c r="J272" s="49" t="n"/>
      <c r="K272" s="49" t="n"/>
    </row>
    <row r="273">
      <c r="B273" s="49" t="n"/>
      <c r="C273" s="49" t="n"/>
      <c r="D273" s="49" t="n"/>
      <c r="E273" s="49" t="n"/>
      <c r="F273" s="49" t="n"/>
      <c r="G273" s="49" t="n"/>
      <c r="H273" s="49" t="n"/>
      <c r="I273" s="49" t="n"/>
      <c r="J273" s="49" t="n"/>
      <c r="K273" s="49" t="n"/>
    </row>
    <row r="274">
      <c r="B274" s="49" t="n"/>
      <c r="C274" s="49" t="n"/>
      <c r="D274" s="49" t="n"/>
      <c r="E274" s="49" t="n"/>
      <c r="F274" s="49" t="n"/>
      <c r="G274" s="49" t="n"/>
      <c r="H274" s="49" t="n"/>
      <c r="I274" s="49" t="n"/>
      <c r="J274" s="49" t="n"/>
      <c r="K274" s="49" t="n"/>
    </row>
    <row r="275">
      <c r="B275" s="49" t="n"/>
      <c r="C275" s="49" t="n"/>
      <c r="D275" s="49" t="n"/>
      <c r="E275" s="49" t="n"/>
      <c r="F275" s="49" t="n"/>
      <c r="G275" s="49" t="n"/>
      <c r="H275" s="49" t="n"/>
      <c r="I275" s="49" t="n"/>
      <c r="J275" s="49" t="n"/>
      <c r="K275" s="49" t="n"/>
    </row>
    <row r="276">
      <c r="B276" s="49" t="n"/>
      <c r="C276" s="49" t="n"/>
      <c r="D276" s="49" t="n"/>
      <c r="E276" s="49" t="n"/>
      <c r="F276" s="49" t="n"/>
      <c r="G276" s="49" t="n"/>
      <c r="H276" s="49" t="n"/>
      <c r="I276" s="49" t="n"/>
      <c r="J276" s="49" t="n"/>
      <c r="K276" s="49" t="n"/>
    </row>
    <row r="277">
      <c r="B277" s="49" t="n"/>
      <c r="C277" s="49" t="n"/>
      <c r="D277" s="49" t="n"/>
      <c r="E277" s="49" t="n"/>
      <c r="F277" s="49" t="n"/>
      <c r="G277" s="49" t="n"/>
      <c r="H277" s="49" t="n"/>
      <c r="I277" s="49" t="n"/>
      <c r="J277" s="49" t="n"/>
      <c r="K277" s="49" t="n"/>
    </row>
    <row r="278">
      <c r="B278" s="49" t="n"/>
      <c r="C278" s="49" t="n"/>
      <c r="D278" s="49" t="n"/>
      <c r="E278" s="49" t="n"/>
      <c r="F278" s="49" t="n"/>
      <c r="G278" s="49" t="n"/>
      <c r="H278" s="49" t="n"/>
      <c r="I278" s="49" t="n"/>
      <c r="J278" s="49" t="n"/>
      <c r="K278" s="49" t="n"/>
    </row>
    <row r="279">
      <c r="B279" s="49" t="n"/>
      <c r="C279" s="49" t="n"/>
      <c r="D279" s="49" t="n"/>
      <c r="E279" s="49" t="n"/>
      <c r="F279" s="49" t="n"/>
      <c r="G279" s="49" t="n"/>
      <c r="H279" s="49" t="n"/>
      <c r="I279" s="49" t="n"/>
      <c r="J279" s="49" t="n"/>
      <c r="K279" s="49" t="n"/>
    </row>
    <row r="280">
      <c r="B280" s="49" t="n"/>
      <c r="C280" s="49" t="n"/>
      <c r="D280" s="49" t="n"/>
      <c r="E280" s="49" t="n"/>
      <c r="F280" s="49" t="n"/>
      <c r="G280" s="49" t="n"/>
      <c r="H280" s="49" t="n"/>
      <c r="I280" s="49" t="n"/>
      <c r="J280" s="49" t="n"/>
      <c r="K280" s="49" t="n"/>
    </row>
    <row r="281">
      <c r="B281" s="49" t="n"/>
      <c r="C281" s="49" t="n"/>
      <c r="D281" s="49" t="n"/>
      <c r="E281" s="49" t="n"/>
      <c r="F281" s="49" t="n"/>
      <c r="G281" s="49" t="n"/>
      <c r="H281" s="49" t="n"/>
      <c r="I281" s="49" t="n"/>
      <c r="J281" s="49" t="n"/>
      <c r="K281" s="49" t="n"/>
    </row>
    <row r="282">
      <c r="B282" s="49" t="n"/>
      <c r="C282" s="49" t="n"/>
      <c r="D282" s="49" t="n"/>
      <c r="E282" s="49" t="n"/>
      <c r="F282" s="49" t="n"/>
      <c r="G282" s="49" t="n"/>
      <c r="H282" s="49" t="n"/>
      <c r="I282" s="49" t="n"/>
      <c r="J282" s="49" t="n"/>
      <c r="K282" s="49" t="n"/>
    </row>
    <row r="283">
      <c r="B283" s="49" t="n"/>
      <c r="C283" s="49" t="n"/>
      <c r="D283" s="49" t="n"/>
      <c r="E283" s="49" t="n"/>
      <c r="F283" s="49" t="n"/>
      <c r="G283" s="49" t="n"/>
      <c r="H283" s="49" t="n"/>
      <c r="I283" s="49" t="n"/>
      <c r="J283" s="49" t="n"/>
      <c r="K283" s="49" t="n"/>
    </row>
    <row r="284">
      <c r="B284" s="49" t="n"/>
      <c r="C284" s="49" t="n"/>
      <c r="D284" s="49" t="n"/>
      <c r="E284" s="49" t="n"/>
      <c r="F284" s="49" t="n"/>
      <c r="G284" s="49" t="n"/>
      <c r="H284" s="49" t="n"/>
      <c r="I284" s="49" t="n"/>
      <c r="J284" s="49" t="n"/>
      <c r="K284" s="49" t="n"/>
    </row>
    <row r="285">
      <c r="B285" s="49" t="n"/>
      <c r="C285" s="49" t="n"/>
      <c r="D285" s="49" t="n"/>
      <c r="E285" s="49" t="n"/>
      <c r="F285" s="49" t="n"/>
      <c r="G285" s="49" t="n"/>
      <c r="H285" s="49" t="n"/>
      <c r="I285" s="49" t="n"/>
      <c r="J285" s="49" t="n"/>
      <c r="K285" s="49" t="n"/>
    </row>
    <row r="286">
      <c r="B286" s="49" t="n"/>
      <c r="C286" s="49" t="n"/>
      <c r="D286" s="49" t="n"/>
      <c r="E286" s="49" t="n"/>
      <c r="F286" s="49" t="n"/>
      <c r="G286" s="49" t="n"/>
      <c r="H286" s="49" t="n"/>
      <c r="I286" s="49" t="n"/>
      <c r="J286" s="49" t="n"/>
      <c r="K286" s="49" t="n"/>
    </row>
    <row r="287">
      <c r="B287" s="49" t="n"/>
      <c r="C287" s="49" t="n"/>
      <c r="D287" s="49" t="n"/>
      <c r="E287" s="49" t="n"/>
      <c r="F287" s="49" t="n"/>
      <c r="G287" s="49" t="n"/>
      <c r="H287" s="49" t="n"/>
      <c r="I287" s="49" t="n"/>
      <c r="J287" s="49" t="n"/>
      <c r="K287" s="49" t="n"/>
    </row>
    <row r="288">
      <c r="B288" s="49" t="n"/>
      <c r="C288" s="49" t="n"/>
      <c r="D288" s="49" t="n"/>
      <c r="E288" s="49" t="n"/>
      <c r="F288" s="49" t="n"/>
      <c r="G288" s="49" t="n"/>
      <c r="H288" s="49" t="n"/>
      <c r="I288" s="49" t="n"/>
      <c r="J288" s="49" t="n"/>
      <c r="K288" s="49" t="n"/>
    </row>
    <row r="289">
      <c r="B289" s="49" t="n"/>
      <c r="C289" s="49" t="n"/>
      <c r="D289" s="49" t="n"/>
      <c r="E289" s="49" t="n"/>
      <c r="F289" s="49" t="n"/>
      <c r="G289" s="49" t="n"/>
      <c r="H289" s="49" t="n"/>
      <c r="I289" s="49" t="n"/>
      <c r="J289" s="49" t="n"/>
      <c r="K289" s="49" t="n"/>
    </row>
    <row r="290">
      <c r="B290" s="49" t="n"/>
      <c r="C290" s="49" t="n"/>
      <c r="D290" s="49" t="n"/>
      <c r="E290" s="49" t="n"/>
      <c r="F290" s="49" t="n"/>
      <c r="G290" s="49" t="n"/>
      <c r="H290" s="49" t="n"/>
      <c r="I290" s="49" t="n"/>
      <c r="J290" s="49" t="n"/>
      <c r="K290" s="49" t="n"/>
    </row>
    <row r="291">
      <c r="B291" s="49" t="n"/>
      <c r="C291" s="49" t="n"/>
      <c r="D291" s="49" t="n"/>
      <c r="E291" s="49" t="n"/>
      <c r="F291" s="49" t="n"/>
      <c r="G291" s="49" t="n"/>
      <c r="H291" s="49" t="n"/>
      <c r="I291" s="49" t="n"/>
      <c r="J291" s="49" t="n"/>
      <c r="K291" s="49" t="n"/>
    </row>
    <row r="292">
      <c r="B292" s="49" t="n"/>
      <c r="C292" s="49" t="n"/>
      <c r="D292" s="49" t="n"/>
      <c r="E292" s="49" t="n"/>
      <c r="F292" s="49" t="n"/>
      <c r="G292" s="49" t="n"/>
      <c r="H292" s="49" t="n"/>
      <c r="I292" s="49" t="n"/>
      <c r="J292" s="49" t="n"/>
      <c r="K292" s="49" t="n"/>
    </row>
    <row r="293">
      <c r="B293" s="49" t="n"/>
      <c r="C293" s="49" t="n"/>
      <c r="D293" s="49" t="n"/>
      <c r="E293" s="49" t="n"/>
      <c r="F293" s="49" t="n"/>
      <c r="G293" s="49" t="n"/>
      <c r="H293" s="49" t="n"/>
      <c r="I293" s="49" t="n"/>
      <c r="J293" s="49" t="n"/>
      <c r="K293" s="49" t="n"/>
    </row>
    <row r="294">
      <c r="B294" s="49" t="n"/>
      <c r="C294" s="49" t="n"/>
      <c r="D294" s="49" t="n"/>
      <c r="E294" s="49" t="n"/>
      <c r="F294" s="49" t="n"/>
      <c r="G294" s="49" t="n"/>
      <c r="H294" s="49" t="n"/>
      <c r="I294" s="49" t="n"/>
      <c r="J294" s="49" t="n"/>
      <c r="K294" s="49" t="n"/>
    </row>
    <row r="295">
      <c r="B295" s="49" t="n"/>
      <c r="C295" s="49" t="n"/>
      <c r="D295" s="49" t="n"/>
      <c r="E295" s="49" t="n"/>
      <c r="F295" s="49" t="n"/>
      <c r="G295" s="49" t="n"/>
      <c r="H295" s="49" t="n"/>
      <c r="I295" s="49" t="n"/>
      <c r="J295" s="49" t="n"/>
      <c r="K295" s="49" t="n"/>
    </row>
    <row r="296">
      <c r="B296" s="49" t="n"/>
      <c r="C296" s="49" t="n"/>
      <c r="D296" s="49" t="n"/>
      <c r="E296" s="49" t="n"/>
      <c r="F296" s="49" t="n"/>
      <c r="G296" s="49" t="n"/>
      <c r="H296" s="49" t="n"/>
      <c r="I296" s="49" t="n"/>
      <c r="J296" s="49" t="n"/>
      <c r="K296" s="49" t="n"/>
    </row>
    <row r="297">
      <c r="B297" s="49" t="n"/>
      <c r="C297" s="49" t="n"/>
      <c r="D297" s="49" t="n"/>
      <c r="E297" s="49" t="n"/>
      <c r="F297" s="49" t="n"/>
      <c r="G297" s="49" t="n"/>
      <c r="H297" s="49" t="n"/>
      <c r="I297" s="49" t="n"/>
      <c r="J297" s="49" t="n"/>
      <c r="K297" s="49" t="n"/>
    </row>
    <row r="298">
      <c r="B298" s="49" t="n"/>
      <c r="C298" s="49" t="n"/>
      <c r="D298" s="49" t="n"/>
      <c r="E298" s="49" t="n"/>
      <c r="F298" s="49" t="n"/>
      <c r="G298" s="49" t="n"/>
      <c r="H298" s="49" t="n"/>
      <c r="I298" s="49" t="n"/>
      <c r="J298" s="49" t="n"/>
      <c r="K298" s="49" t="n"/>
    </row>
    <row r="299">
      <c r="B299" s="49" t="n"/>
      <c r="C299" s="49" t="n"/>
      <c r="D299" s="49" t="n"/>
      <c r="E299" s="49" t="n"/>
      <c r="F299" s="49" t="n"/>
      <c r="G299" s="49" t="n"/>
      <c r="H299" s="49" t="n"/>
      <c r="I299" s="49" t="n"/>
      <c r="J299" s="49" t="n"/>
      <c r="K299" s="49" t="n"/>
    </row>
    <row r="300">
      <c r="B300" s="49" t="n"/>
      <c r="C300" s="49" t="n"/>
      <c r="D300" s="49" t="n"/>
      <c r="E300" s="49" t="n"/>
      <c r="F300" s="49" t="n"/>
      <c r="G300" s="49" t="n"/>
      <c r="H300" s="49" t="n"/>
      <c r="I300" s="49" t="n"/>
      <c r="J300" s="49" t="n"/>
      <c r="K300" s="49" t="n"/>
    </row>
    <row r="301">
      <c r="B301" s="49" t="n"/>
      <c r="C301" s="49" t="n"/>
      <c r="D301" s="49" t="n"/>
      <c r="E301" s="49" t="n"/>
      <c r="F301" s="49" t="n"/>
      <c r="G301" s="49" t="n"/>
      <c r="H301" s="49" t="n"/>
      <c r="I301" s="49" t="n"/>
      <c r="J301" s="49" t="n"/>
      <c r="K301" s="49" t="n"/>
    </row>
    <row r="302">
      <c r="B302" s="49" t="n"/>
      <c r="C302" s="49" t="n"/>
      <c r="D302" s="49" t="n"/>
      <c r="E302" s="49" t="n"/>
      <c r="F302" s="49" t="n"/>
      <c r="G302" s="49" t="n"/>
      <c r="H302" s="49" t="n"/>
      <c r="I302" s="49" t="n"/>
      <c r="J302" s="49" t="n"/>
      <c r="K302" s="49" t="n"/>
    </row>
    <row r="303">
      <c r="B303" s="49" t="n"/>
      <c r="C303" s="49" t="n"/>
      <c r="D303" s="49" t="n"/>
      <c r="E303" s="49" t="n"/>
      <c r="F303" s="49" t="n"/>
      <c r="G303" s="49" t="n"/>
      <c r="H303" s="49" t="n"/>
      <c r="I303" s="49" t="n"/>
      <c r="J303" s="49" t="n"/>
      <c r="K303" s="49" t="n"/>
    </row>
    <row r="304">
      <c r="B304" s="49" t="n"/>
      <c r="C304" s="49" t="n"/>
      <c r="D304" s="49" t="n"/>
      <c r="E304" s="49" t="n"/>
      <c r="F304" s="49" t="n"/>
      <c r="G304" s="49" t="n"/>
      <c r="H304" s="49" t="n"/>
      <c r="I304" s="49" t="n"/>
      <c r="J304" s="49" t="n"/>
      <c r="K304" s="49" t="n"/>
    </row>
    <row r="305">
      <c r="B305" s="49" t="n"/>
      <c r="C305" s="49" t="n"/>
      <c r="D305" s="49" t="n"/>
      <c r="E305" s="49" t="n"/>
      <c r="F305" s="49" t="n"/>
      <c r="G305" s="49" t="n"/>
      <c r="H305" s="49" t="n"/>
      <c r="I305" s="49" t="n"/>
      <c r="J305" s="49" t="n"/>
      <c r="K305" s="49" t="n"/>
    </row>
    <row r="306">
      <c r="B306" s="49" t="n"/>
      <c r="C306" s="49" t="n"/>
      <c r="D306" s="49" t="n"/>
      <c r="E306" s="49" t="n"/>
      <c r="F306" s="49" t="n"/>
      <c r="G306" s="49" t="n"/>
      <c r="H306" s="49" t="n"/>
      <c r="I306" s="49" t="n"/>
      <c r="J306" s="49" t="n"/>
      <c r="K306" s="49" t="n"/>
    </row>
    <row r="307">
      <c r="B307" s="49" t="n"/>
      <c r="C307" s="49" t="n"/>
      <c r="D307" s="49" t="n"/>
      <c r="E307" s="49" t="n"/>
      <c r="F307" s="49" t="n"/>
      <c r="G307" s="49" t="n"/>
      <c r="H307" s="49" t="n"/>
      <c r="I307" s="49" t="n"/>
      <c r="J307" s="49" t="n"/>
      <c r="K307" s="49" t="n"/>
    </row>
    <row r="308">
      <c r="B308" s="49" t="n"/>
      <c r="C308" s="49" t="n"/>
      <c r="D308" s="49" t="n"/>
      <c r="E308" s="49" t="n"/>
      <c r="F308" s="49" t="n"/>
      <c r="G308" s="49" t="n"/>
      <c r="H308" s="49" t="n"/>
      <c r="I308" s="49" t="n"/>
      <c r="J308" s="49" t="n"/>
      <c r="K308" s="49" t="n"/>
    </row>
    <row r="309">
      <c r="B309" s="49" t="n"/>
      <c r="C309" s="49" t="n"/>
      <c r="D309" s="49" t="n"/>
      <c r="E309" s="49" t="n"/>
      <c r="F309" s="49" t="n"/>
      <c r="G309" s="49" t="n"/>
      <c r="H309" s="49" t="n"/>
      <c r="I309" s="49" t="n"/>
      <c r="J309" s="49" t="n"/>
      <c r="K309" s="49" t="n"/>
    </row>
    <row r="310">
      <c r="B310" s="49" t="n"/>
      <c r="C310" s="49" t="n"/>
      <c r="D310" s="49" t="n"/>
      <c r="E310" s="49" t="n"/>
      <c r="F310" s="49" t="n"/>
      <c r="G310" s="49" t="n"/>
      <c r="H310" s="49" t="n"/>
      <c r="I310" s="49" t="n"/>
      <c r="J310" s="49" t="n"/>
      <c r="K310" s="49" t="n"/>
    </row>
    <row r="311">
      <c r="B311" s="49" t="n"/>
      <c r="C311" s="49" t="n"/>
      <c r="D311" s="49" t="n"/>
      <c r="E311" s="49" t="n"/>
      <c r="F311" s="49" t="n"/>
      <c r="G311" s="49" t="n"/>
      <c r="H311" s="49" t="n"/>
      <c r="I311" s="49" t="n"/>
      <c r="J311" s="49" t="n"/>
      <c r="K311" s="49" t="n"/>
    </row>
    <row r="312">
      <c r="B312" s="49" t="n"/>
      <c r="C312" s="49" t="n"/>
      <c r="D312" s="49" t="n"/>
      <c r="E312" s="49" t="n"/>
      <c r="F312" s="49" t="n"/>
      <c r="G312" s="49" t="n"/>
      <c r="H312" s="49" t="n"/>
      <c r="I312" s="49" t="n"/>
      <c r="J312" s="49" t="n"/>
      <c r="K312" s="49" t="n"/>
    </row>
    <row r="313">
      <c r="B313" s="49" t="n"/>
      <c r="C313" s="49" t="n"/>
      <c r="D313" s="49" t="n"/>
      <c r="E313" s="49" t="n"/>
      <c r="F313" s="49" t="n"/>
      <c r="G313" s="49" t="n"/>
      <c r="H313" s="49" t="n"/>
      <c r="I313" s="49" t="n"/>
      <c r="J313" s="49" t="n"/>
      <c r="K313" s="49" t="n"/>
    </row>
    <row r="314">
      <c r="B314" s="49" t="n"/>
      <c r="C314" s="49" t="n"/>
      <c r="D314" s="49" t="n"/>
      <c r="E314" s="49" t="n"/>
      <c r="F314" s="49" t="n"/>
      <c r="G314" s="49" t="n"/>
      <c r="H314" s="49" t="n"/>
      <c r="I314" s="49" t="n"/>
      <c r="J314" s="49" t="n"/>
      <c r="K314" s="49" t="n"/>
    </row>
    <row r="315">
      <c r="B315" s="49" t="n"/>
      <c r="C315" s="49" t="n"/>
      <c r="D315" s="49" t="n"/>
      <c r="E315" s="49" t="n"/>
      <c r="F315" s="49" t="n"/>
      <c r="G315" s="49" t="n"/>
      <c r="H315" s="49" t="n"/>
      <c r="I315" s="49" t="n"/>
      <c r="J315" s="49" t="n"/>
      <c r="K315" s="49" t="n"/>
    </row>
    <row r="316">
      <c r="B316" s="49" t="n"/>
      <c r="C316" s="49" t="n"/>
      <c r="D316" s="49" t="n"/>
      <c r="E316" s="49" t="n"/>
      <c r="F316" s="49" t="n"/>
      <c r="G316" s="49" t="n"/>
      <c r="H316" s="49" t="n"/>
      <c r="I316" s="49" t="n"/>
      <c r="J316" s="49" t="n"/>
      <c r="K316" s="49" t="n"/>
    </row>
    <row r="317">
      <c r="B317" s="49" t="n"/>
      <c r="C317" s="49" t="n"/>
      <c r="D317" s="49" t="n"/>
      <c r="E317" s="49" t="n"/>
      <c r="F317" s="49" t="n"/>
      <c r="G317" s="49" t="n"/>
      <c r="H317" s="49" t="n"/>
      <c r="I317" s="49" t="n"/>
      <c r="J317" s="49" t="n"/>
      <c r="K317" s="49" t="n"/>
    </row>
    <row r="318">
      <c r="B318" s="49" t="n"/>
      <c r="C318" s="49" t="n"/>
      <c r="D318" s="49" t="n"/>
      <c r="E318" s="49" t="n"/>
      <c r="F318" s="49" t="n"/>
      <c r="G318" s="49" t="n"/>
      <c r="H318" s="49" t="n"/>
      <c r="I318" s="49" t="n"/>
      <c r="J318" s="49" t="n"/>
      <c r="K318" s="49" t="n"/>
    </row>
    <row r="319">
      <c r="B319" s="49" t="n"/>
      <c r="C319" s="49" t="n"/>
      <c r="D319" s="49" t="n"/>
      <c r="E319" s="49" t="n"/>
      <c r="F319" s="49" t="n"/>
      <c r="G319" s="49" t="n"/>
      <c r="H319" s="49" t="n"/>
      <c r="I319" s="49" t="n"/>
      <c r="J319" s="49" t="n"/>
      <c r="K319" s="49" t="n"/>
    </row>
    <row r="320">
      <c r="B320" s="49" t="n"/>
      <c r="C320" s="49" t="n"/>
      <c r="D320" s="49" t="n"/>
      <c r="E320" s="49" t="n"/>
      <c r="F320" s="49" t="n"/>
      <c r="G320" s="49" t="n"/>
      <c r="H320" s="49" t="n"/>
      <c r="I320" s="49" t="n"/>
      <c r="J320" s="49" t="n"/>
      <c r="K320" s="49" t="n"/>
    </row>
    <row r="321">
      <c r="B321" s="49" t="n"/>
      <c r="C321" s="49" t="n"/>
      <c r="D321" s="49" t="n"/>
      <c r="E321" s="49" t="n"/>
      <c r="F321" s="49" t="n"/>
      <c r="G321" s="49" t="n"/>
      <c r="H321" s="49" t="n"/>
      <c r="I321" s="49" t="n"/>
      <c r="J321" s="49" t="n"/>
      <c r="K321" s="49" t="n"/>
    </row>
    <row r="322">
      <c r="B322" s="49" t="n"/>
      <c r="C322" s="49" t="n"/>
      <c r="D322" s="49" t="n"/>
      <c r="E322" s="49" t="n"/>
      <c r="F322" s="49" t="n"/>
      <c r="G322" s="49" t="n"/>
      <c r="H322" s="49" t="n"/>
      <c r="I322" s="49" t="n"/>
      <c r="J322" s="49" t="n"/>
      <c r="K322" s="49" t="n"/>
    </row>
    <row r="323">
      <c r="B323" s="49" t="n"/>
      <c r="C323" s="49" t="n"/>
      <c r="D323" s="49" t="n"/>
      <c r="E323" s="49" t="n"/>
      <c r="F323" s="49" t="n"/>
      <c r="G323" s="49" t="n"/>
      <c r="H323" s="49" t="n"/>
      <c r="I323" s="49" t="n"/>
      <c r="J323" s="49" t="n"/>
      <c r="K323" s="49" t="n"/>
    </row>
    <row r="324">
      <c r="B324" s="49" t="n"/>
      <c r="C324" s="49" t="n"/>
      <c r="D324" s="49" t="n"/>
      <c r="E324" s="49" t="n"/>
      <c r="F324" s="49" t="n"/>
      <c r="G324" s="49" t="n"/>
      <c r="H324" s="49" t="n"/>
      <c r="I324" s="49" t="n"/>
      <c r="J324" s="49" t="n"/>
      <c r="K324" s="49" t="n"/>
    </row>
    <row r="325">
      <c r="B325" s="49" t="n"/>
      <c r="C325" s="49" t="n"/>
      <c r="D325" s="49" t="n"/>
      <c r="E325" s="49" t="n"/>
      <c r="F325" s="49" t="n"/>
      <c r="G325" s="49" t="n"/>
      <c r="H325" s="49" t="n"/>
      <c r="I325" s="49" t="n"/>
      <c r="J325" s="49" t="n"/>
      <c r="K325" s="49" t="n"/>
    </row>
    <row r="326">
      <c r="B326" s="49" t="n"/>
      <c r="C326" s="49" t="n"/>
      <c r="D326" s="49" t="n"/>
      <c r="E326" s="49" t="n"/>
      <c r="F326" s="49" t="n"/>
      <c r="G326" s="49" t="n"/>
      <c r="H326" s="49" t="n"/>
      <c r="I326" s="49" t="n"/>
      <c r="J326" s="49" t="n"/>
      <c r="K326" s="49" t="n"/>
    </row>
    <row r="327">
      <c r="B327" s="49" t="n"/>
      <c r="C327" s="49" t="n"/>
      <c r="D327" s="49" t="n"/>
      <c r="E327" s="49" t="n"/>
      <c r="F327" s="49" t="n"/>
      <c r="G327" s="49" t="n"/>
      <c r="H327" s="49" t="n"/>
      <c r="I327" s="49" t="n"/>
      <c r="J327" s="49" t="n"/>
      <c r="K327" s="49" t="n"/>
    </row>
    <row r="328">
      <c r="B328" s="49" t="n"/>
      <c r="C328" s="49" t="n"/>
      <c r="D328" s="49" t="n"/>
      <c r="E328" s="49" t="n"/>
      <c r="F328" s="49" t="n"/>
      <c r="G328" s="49" t="n"/>
      <c r="H328" s="49" t="n"/>
      <c r="I328" s="49" t="n"/>
      <c r="J328" s="49" t="n"/>
      <c r="K328" s="49" t="n"/>
    </row>
    <row r="329">
      <c r="B329" s="49" t="n"/>
      <c r="C329" s="49" t="n"/>
      <c r="D329" s="49" t="n"/>
      <c r="E329" s="49" t="n"/>
      <c r="F329" s="49" t="n"/>
      <c r="G329" s="49" t="n"/>
      <c r="H329" s="49" t="n"/>
      <c r="I329" s="49" t="n"/>
      <c r="J329" s="49" t="n"/>
      <c r="K329" s="49" t="n"/>
    </row>
    <row r="330">
      <c r="B330" s="49" t="n"/>
      <c r="C330" s="49" t="n"/>
      <c r="D330" s="49" t="n"/>
      <c r="E330" s="49" t="n"/>
      <c r="F330" s="49" t="n"/>
      <c r="G330" s="49" t="n"/>
      <c r="H330" s="49" t="n"/>
      <c r="I330" s="49" t="n"/>
      <c r="J330" s="49" t="n"/>
      <c r="K330" s="49" t="n"/>
    </row>
    <row r="331">
      <c r="B331" s="49" t="n"/>
      <c r="C331" s="49" t="n"/>
      <c r="D331" s="49" t="n"/>
      <c r="E331" s="49" t="n"/>
      <c r="F331" s="49" t="n"/>
      <c r="G331" s="49" t="n"/>
      <c r="H331" s="49" t="n"/>
      <c r="I331" s="49" t="n"/>
      <c r="J331" s="49" t="n"/>
      <c r="K331" s="49" t="n"/>
    </row>
    <row r="332">
      <c r="B332" s="49" t="n"/>
      <c r="C332" s="49" t="n"/>
      <c r="D332" s="49" t="n"/>
      <c r="E332" s="49" t="n"/>
      <c r="F332" s="49" t="n"/>
      <c r="G332" s="49" t="n"/>
      <c r="H332" s="49" t="n"/>
      <c r="I332" s="49" t="n"/>
      <c r="J332" s="49" t="n"/>
      <c r="K332" s="49" t="n"/>
    </row>
    <row r="333">
      <c r="B333" s="49" t="n"/>
      <c r="C333" s="49" t="n"/>
      <c r="D333" s="49" t="n"/>
      <c r="E333" s="49" t="n"/>
      <c r="F333" s="49" t="n"/>
      <c r="G333" s="49" t="n"/>
      <c r="H333" s="49" t="n"/>
      <c r="I333" s="49" t="n"/>
      <c r="J333" s="49" t="n"/>
      <c r="K333" s="49" t="n"/>
    </row>
    <row r="334">
      <c r="B334" s="49" t="n"/>
      <c r="C334" s="49" t="n"/>
      <c r="D334" s="49" t="n"/>
      <c r="E334" s="49" t="n"/>
      <c r="F334" s="49" t="n"/>
      <c r="G334" s="49" t="n"/>
      <c r="H334" s="49" t="n"/>
      <c r="I334" s="49" t="n"/>
      <c r="J334" s="49" t="n"/>
      <c r="K334" s="49" t="n"/>
    </row>
    <row r="335">
      <c r="B335" s="49" t="n"/>
      <c r="C335" s="49" t="n"/>
      <c r="D335" s="49" t="n"/>
      <c r="E335" s="49" t="n"/>
      <c r="F335" s="49" t="n"/>
      <c r="G335" s="49" t="n"/>
      <c r="H335" s="49" t="n"/>
      <c r="I335" s="49" t="n"/>
      <c r="J335" s="49" t="n"/>
      <c r="K335" s="49" t="n"/>
    </row>
    <row r="336">
      <c r="B336" s="49" t="n"/>
      <c r="C336" s="49" t="n"/>
      <c r="D336" s="49" t="n"/>
      <c r="E336" s="49" t="n"/>
      <c r="F336" s="49" t="n"/>
      <c r="G336" s="49" t="n"/>
      <c r="H336" s="49" t="n"/>
      <c r="I336" s="49" t="n"/>
      <c r="J336" s="49" t="n"/>
      <c r="K336" s="49" t="n"/>
    </row>
    <row r="337">
      <c r="B337" s="49" t="n"/>
      <c r="C337" s="49" t="n"/>
      <c r="D337" s="49" t="n"/>
      <c r="E337" s="49" t="n"/>
      <c r="F337" s="49" t="n"/>
      <c r="G337" s="49" t="n"/>
      <c r="H337" s="49" t="n"/>
      <c r="I337" s="49" t="n"/>
      <c r="J337" s="49" t="n"/>
      <c r="K337" s="49" t="n"/>
    </row>
    <row r="338">
      <c r="B338" s="49" t="n"/>
      <c r="C338" s="49" t="n"/>
      <c r="D338" s="49" t="n"/>
      <c r="E338" s="49" t="n"/>
      <c r="F338" s="49" t="n"/>
      <c r="G338" s="49" t="n"/>
      <c r="H338" s="49" t="n"/>
      <c r="I338" s="49" t="n"/>
      <c r="J338" s="49" t="n"/>
      <c r="K338" s="49" t="n"/>
    </row>
    <row r="339">
      <c r="B339" s="49" t="n"/>
      <c r="C339" s="49" t="n"/>
      <c r="D339" s="49" t="n"/>
      <c r="E339" s="49" t="n"/>
      <c r="F339" s="49" t="n"/>
      <c r="G339" s="49" t="n"/>
      <c r="H339" s="49" t="n"/>
      <c r="I339" s="49" t="n"/>
      <c r="J339" s="49" t="n"/>
      <c r="K339" s="49" t="n"/>
    </row>
    <row r="340">
      <c r="B340" s="49" t="n"/>
      <c r="C340" s="49" t="n"/>
      <c r="D340" s="49" t="n"/>
      <c r="E340" s="49" t="n"/>
      <c r="F340" s="49" t="n"/>
      <c r="G340" s="49" t="n"/>
      <c r="H340" s="49" t="n"/>
      <c r="I340" s="49" t="n"/>
      <c r="J340" s="49" t="n"/>
      <c r="K340" s="49" t="n"/>
    </row>
    <row r="341">
      <c r="B341" s="49" t="n"/>
      <c r="C341" s="49" t="n"/>
      <c r="D341" s="49" t="n"/>
      <c r="E341" s="49" t="n"/>
      <c r="F341" s="49" t="n"/>
      <c r="G341" s="49" t="n"/>
      <c r="H341" s="49" t="n"/>
      <c r="I341" s="49" t="n"/>
      <c r="J341" s="49" t="n"/>
      <c r="K341" s="49" t="n"/>
    </row>
    <row r="342">
      <c r="B342" s="49" t="n"/>
      <c r="C342" s="49" t="n"/>
      <c r="D342" s="49" t="n"/>
      <c r="E342" s="49" t="n"/>
      <c r="F342" s="49" t="n"/>
      <c r="G342" s="49" t="n"/>
      <c r="H342" s="49" t="n"/>
      <c r="I342" s="49" t="n"/>
      <c r="J342" s="49" t="n"/>
      <c r="K342" s="49" t="n"/>
    </row>
    <row r="343">
      <c r="B343" s="49" t="n"/>
      <c r="C343" s="49" t="n"/>
      <c r="D343" s="49" t="n"/>
      <c r="E343" s="49" t="n"/>
      <c r="F343" s="49" t="n"/>
      <c r="G343" s="49" t="n"/>
      <c r="H343" s="49" t="n"/>
      <c r="I343" s="49" t="n"/>
      <c r="J343" s="49" t="n"/>
      <c r="K343" s="49" t="n"/>
    </row>
    <row r="344">
      <c r="B344" s="49" t="n"/>
      <c r="C344" s="49" t="n"/>
      <c r="D344" s="49" t="n"/>
      <c r="E344" s="49" t="n"/>
      <c r="F344" s="49" t="n"/>
      <c r="G344" s="49" t="n"/>
      <c r="H344" s="49" t="n"/>
      <c r="I344" s="49" t="n"/>
      <c r="J344" s="49" t="n"/>
      <c r="K344" s="49" t="n"/>
    </row>
    <row r="345">
      <c r="B345" s="49" t="n"/>
      <c r="C345" s="49" t="n"/>
      <c r="D345" s="49" t="n"/>
      <c r="E345" s="49" t="n"/>
      <c r="F345" s="49" t="n"/>
      <c r="G345" s="49" t="n"/>
      <c r="H345" s="49" t="n"/>
      <c r="I345" s="49" t="n"/>
      <c r="J345" s="49" t="n"/>
      <c r="K345" s="49" t="n"/>
    </row>
    <row r="346">
      <c r="B346" s="49" t="n"/>
      <c r="C346" s="49" t="n"/>
      <c r="D346" s="49" t="n"/>
      <c r="E346" s="49" t="n"/>
      <c r="F346" s="49" t="n"/>
      <c r="G346" s="49" t="n"/>
      <c r="H346" s="49" t="n"/>
      <c r="I346" s="49" t="n"/>
      <c r="J346" s="49" t="n"/>
      <c r="K346" s="49" t="n"/>
    </row>
    <row r="347">
      <c r="B347" s="49" t="n"/>
      <c r="C347" s="49" t="n"/>
      <c r="D347" s="49" t="n"/>
      <c r="E347" s="49" t="n"/>
      <c r="F347" s="49" t="n"/>
      <c r="G347" s="49" t="n"/>
      <c r="H347" s="49" t="n"/>
      <c r="I347" s="49" t="n"/>
      <c r="J347" s="49" t="n"/>
      <c r="K347" s="49" t="n"/>
    </row>
    <row r="348">
      <c r="B348" s="49" t="n"/>
      <c r="C348" s="49" t="n"/>
      <c r="D348" s="49" t="n"/>
      <c r="E348" s="49" t="n"/>
      <c r="F348" s="49" t="n"/>
      <c r="G348" s="49" t="n"/>
      <c r="H348" s="49" t="n"/>
      <c r="I348" s="49" t="n"/>
      <c r="J348" s="49" t="n"/>
      <c r="K348" s="49" t="n"/>
    </row>
    <row r="349">
      <c r="B349" s="49" t="n"/>
      <c r="C349" s="49" t="n"/>
      <c r="D349" s="49" t="n"/>
      <c r="E349" s="49" t="n"/>
      <c r="F349" s="49" t="n"/>
      <c r="G349" s="49" t="n"/>
      <c r="H349" s="49" t="n"/>
      <c r="I349" s="49" t="n"/>
      <c r="J349" s="49" t="n"/>
      <c r="K349" s="49" t="n"/>
    </row>
    <row r="350">
      <c r="B350" s="49" t="n"/>
      <c r="C350" s="49" t="n"/>
      <c r="D350" s="49" t="n"/>
      <c r="E350" s="49" t="n"/>
      <c r="F350" s="49" t="n"/>
      <c r="G350" s="49" t="n"/>
      <c r="H350" s="49" t="n"/>
      <c r="I350" s="49" t="n"/>
      <c r="J350" s="49" t="n"/>
      <c r="K350" s="49" t="n"/>
    </row>
    <row r="351">
      <c r="B351" s="49" t="n"/>
      <c r="C351" s="49" t="n"/>
      <c r="D351" s="49" t="n"/>
      <c r="E351" s="49" t="n"/>
      <c r="F351" s="49" t="n"/>
      <c r="G351" s="49" t="n"/>
      <c r="H351" s="49" t="n"/>
      <c r="I351" s="49" t="n"/>
      <c r="J351" s="49" t="n"/>
      <c r="K351" s="49" t="n"/>
    </row>
    <row r="352">
      <c r="B352" s="49" t="n"/>
      <c r="C352" s="49" t="n"/>
      <c r="D352" s="49" t="n"/>
      <c r="E352" s="49" t="n"/>
      <c r="F352" s="49" t="n"/>
      <c r="G352" s="49" t="n"/>
      <c r="H352" s="49" t="n"/>
      <c r="I352" s="49" t="n"/>
      <c r="J352" s="49" t="n"/>
      <c r="K352" s="49" t="n"/>
    </row>
    <row r="353">
      <c r="B353" s="49" t="n"/>
      <c r="C353" s="49" t="n"/>
      <c r="D353" s="49" t="n"/>
      <c r="E353" s="49" t="n"/>
      <c r="F353" s="49" t="n"/>
      <c r="G353" s="49" t="n"/>
      <c r="H353" s="49" t="n"/>
      <c r="I353" s="49" t="n"/>
      <c r="J353" s="49" t="n"/>
      <c r="K353" s="49" t="n"/>
    </row>
    <row r="354">
      <c r="B354" s="49" t="n"/>
      <c r="C354" s="49" t="n"/>
      <c r="D354" s="49" t="n"/>
      <c r="E354" s="49" t="n"/>
      <c r="F354" s="49" t="n"/>
      <c r="G354" s="49" t="n"/>
      <c r="H354" s="49" t="n"/>
      <c r="I354" s="49" t="n"/>
      <c r="J354" s="49" t="n"/>
      <c r="K354" s="49" t="n"/>
    </row>
    <row r="355">
      <c r="B355" s="49" t="n"/>
      <c r="C355" s="49" t="n"/>
      <c r="D355" s="49" t="n"/>
      <c r="E355" s="49" t="n"/>
      <c r="F355" s="49" t="n"/>
      <c r="G355" s="49" t="n"/>
      <c r="H355" s="49" t="n"/>
      <c r="I355" s="49" t="n"/>
      <c r="J355" s="49" t="n"/>
      <c r="K355" s="49" t="n"/>
    </row>
    <row r="356">
      <c r="B356" s="49" t="n"/>
      <c r="C356" s="49" t="n"/>
      <c r="D356" s="49" t="n"/>
      <c r="E356" s="49" t="n"/>
      <c r="F356" s="49" t="n"/>
      <c r="G356" s="49" t="n"/>
      <c r="H356" s="49" t="n"/>
      <c r="I356" s="49" t="n"/>
      <c r="J356" s="49" t="n"/>
      <c r="K356" s="49" t="n"/>
    </row>
    <row r="357">
      <c r="B357" s="49" t="n"/>
      <c r="C357" s="49" t="n"/>
      <c r="D357" s="49" t="n"/>
      <c r="E357" s="49" t="n"/>
      <c r="F357" s="49" t="n"/>
      <c r="G357" s="49" t="n"/>
      <c r="H357" s="49" t="n"/>
      <c r="I357" s="49" t="n"/>
      <c r="J357" s="49" t="n"/>
      <c r="K357" s="49" t="n"/>
    </row>
    <row r="358">
      <c r="B358" s="49" t="n"/>
      <c r="C358" s="49" t="n"/>
      <c r="D358" s="49" t="n"/>
      <c r="E358" s="49" t="n"/>
      <c r="F358" s="49" t="n"/>
      <c r="G358" s="49" t="n"/>
      <c r="H358" s="49" t="n"/>
      <c r="I358" s="49" t="n"/>
      <c r="J358" s="49" t="n"/>
      <c r="K358" s="49" t="n"/>
    </row>
    <row r="359">
      <c r="B359" s="49" t="n"/>
      <c r="C359" s="49" t="n"/>
      <c r="D359" s="49" t="n"/>
      <c r="E359" s="49" t="n"/>
      <c r="F359" s="49" t="n"/>
      <c r="G359" s="49" t="n"/>
      <c r="H359" s="49" t="n"/>
      <c r="I359" s="49" t="n"/>
      <c r="J359" s="49" t="n"/>
      <c r="K359" s="49" t="n"/>
    </row>
    <row r="360">
      <c r="B360" s="49" t="n"/>
      <c r="C360" s="49" t="n"/>
      <c r="D360" s="49" t="n"/>
      <c r="E360" s="49" t="n"/>
      <c r="F360" s="49" t="n"/>
      <c r="G360" s="49" t="n"/>
      <c r="H360" s="49" t="n"/>
      <c r="I360" s="49" t="n"/>
      <c r="J360" s="49" t="n"/>
      <c r="K360" s="49" t="n"/>
    </row>
    <row r="361">
      <c r="B361" s="49" t="n"/>
      <c r="C361" s="49" t="n"/>
      <c r="D361" s="49" t="n"/>
      <c r="E361" s="49" t="n"/>
      <c r="F361" s="49" t="n"/>
      <c r="G361" s="49" t="n"/>
      <c r="H361" s="49" t="n"/>
      <c r="I361" s="49" t="n"/>
      <c r="J361" s="49" t="n"/>
      <c r="K361" s="49" t="n"/>
    </row>
    <row r="362">
      <c r="B362" s="49" t="n"/>
      <c r="C362" s="49" t="n"/>
      <c r="D362" s="49" t="n"/>
      <c r="E362" s="49" t="n"/>
      <c r="F362" s="49" t="n"/>
      <c r="G362" s="49" t="n"/>
      <c r="H362" s="49" t="n"/>
      <c r="I362" s="49" t="n"/>
      <c r="J362" s="49" t="n"/>
      <c r="K362" s="49" t="n"/>
    </row>
    <row r="363">
      <c r="B363" s="49" t="n"/>
      <c r="C363" s="49" t="n"/>
      <c r="D363" s="49" t="n"/>
      <c r="E363" s="49" t="n"/>
      <c r="F363" s="49" t="n"/>
      <c r="G363" s="49" t="n"/>
      <c r="H363" s="49" t="n"/>
      <c r="I363" s="49" t="n"/>
      <c r="J363" s="49" t="n"/>
      <c r="K363" s="49" t="n"/>
    </row>
    <row r="364">
      <c r="B364" s="49" t="n"/>
      <c r="C364" s="49" t="n"/>
      <c r="D364" s="49" t="n"/>
      <c r="E364" s="49" t="n"/>
      <c r="F364" s="49" t="n"/>
      <c r="G364" s="49" t="n"/>
      <c r="H364" s="49" t="n"/>
      <c r="I364" s="49" t="n"/>
      <c r="J364" s="49" t="n"/>
      <c r="K364" s="49" t="n"/>
    </row>
    <row r="365">
      <c r="B365" s="49" t="n"/>
      <c r="C365" s="49" t="n"/>
      <c r="D365" s="49" t="n"/>
      <c r="E365" s="49" t="n"/>
      <c r="F365" s="49" t="n"/>
      <c r="G365" s="49" t="n"/>
      <c r="H365" s="49" t="n"/>
      <c r="I365" s="49" t="n"/>
      <c r="J365" s="49" t="n"/>
      <c r="K365" s="49" t="n"/>
    </row>
    <row r="366">
      <c r="B366" s="49" t="n"/>
      <c r="C366" s="49" t="n"/>
      <c r="D366" s="49" t="n"/>
      <c r="E366" s="49" t="n"/>
      <c r="F366" s="49" t="n"/>
      <c r="G366" s="49" t="n"/>
      <c r="H366" s="49" t="n"/>
      <c r="I366" s="49" t="n"/>
      <c r="J366" s="49" t="n"/>
      <c r="K366" s="49" t="n"/>
    </row>
    <row r="367">
      <c r="B367" s="49" t="n"/>
      <c r="C367" s="49" t="n"/>
      <c r="D367" s="49" t="n"/>
      <c r="E367" s="49" t="n"/>
      <c r="F367" s="49" t="n"/>
      <c r="G367" s="49" t="n"/>
      <c r="H367" s="49" t="n"/>
      <c r="I367" s="49" t="n"/>
      <c r="J367" s="49" t="n"/>
      <c r="K367" s="49" t="n"/>
    </row>
    <row r="368">
      <c r="B368" s="49" t="n"/>
      <c r="C368" s="49" t="n"/>
      <c r="D368" s="49" t="n"/>
      <c r="E368" s="49" t="n"/>
      <c r="F368" s="49" t="n"/>
      <c r="G368" s="49" t="n"/>
      <c r="H368" s="49" t="n"/>
      <c r="I368" s="49" t="n"/>
      <c r="J368" s="49" t="n"/>
      <c r="K368" s="49" t="n"/>
    </row>
    <row r="369">
      <c r="B369" s="49" t="n"/>
      <c r="C369" s="49" t="n"/>
      <c r="D369" s="49" t="n"/>
      <c r="E369" s="49" t="n"/>
      <c r="F369" s="49" t="n"/>
      <c r="G369" s="49" t="n"/>
      <c r="H369" s="49" t="n"/>
      <c r="I369" s="49" t="n"/>
      <c r="J369" s="49" t="n"/>
      <c r="K369" s="49" t="n"/>
    </row>
    <row r="370">
      <c r="B370" s="49" t="n"/>
      <c r="C370" s="49" t="n"/>
      <c r="D370" s="49" t="n"/>
      <c r="E370" s="49" t="n"/>
      <c r="F370" s="49" t="n"/>
      <c r="G370" s="49" t="n"/>
      <c r="H370" s="49" t="n"/>
      <c r="I370" s="49" t="n"/>
      <c r="J370" s="49" t="n"/>
      <c r="K370" s="49" t="n"/>
    </row>
    <row r="371">
      <c r="B371" s="49" t="n"/>
      <c r="C371" s="49" t="n"/>
      <c r="D371" s="49" t="n"/>
      <c r="E371" s="49" t="n"/>
      <c r="F371" s="49" t="n"/>
      <c r="G371" s="49" t="n"/>
      <c r="H371" s="49" t="n"/>
      <c r="I371" s="49" t="n"/>
      <c r="J371" s="49" t="n"/>
      <c r="K371" s="49" t="n"/>
    </row>
    <row r="372">
      <c r="B372" s="49" t="n"/>
      <c r="C372" s="49" t="n"/>
      <c r="D372" s="49" t="n"/>
      <c r="E372" s="49" t="n"/>
      <c r="F372" s="49" t="n"/>
      <c r="G372" s="49" t="n"/>
      <c r="H372" s="49" t="n"/>
      <c r="I372" s="49" t="n"/>
      <c r="J372" s="49" t="n"/>
      <c r="K372" s="49" t="n"/>
    </row>
    <row r="373">
      <c r="B373" s="49" t="n"/>
      <c r="C373" s="49" t="n"/>
      <c r="D373" s="49" t="n"/>
      <c r="E373" s="49" t="n"/>
      <c r="F373" s="49" t="n"/>
      <c r="G373" s="49" t="n"/>
      <c r="H373" s="49" t="n"/>
      <c r="I373" s="49" t="n"/>
      <c r="J373" s="49" t="n"/>
      <c r="K373" s="49" t="n"/>
    </row>
    <row r="374">
      <c r="B374" s="49" t="n"/>
      <c r="C374" s="49" t="n"/>
      <c r="D374" s="49" t="n"/>
      <c r="E374" s="49" t="n"/>
      <c r="F374" s="49" t="n"/>
      <c r="G374" s="49" t="n"/>
      <c r="H374" s="49" t="n"/>
      <c r="I374" s="49" t="n"/>
      <c r="J374" s="49" t="n"/>
      <c r="K374" s="49" t="n"/>
    </row>
    <row r="375">
      <c r="B375" s="49" t="n"/>
      <c r="C375" s="49" t="n"/>
      <c r="D375" s="49" t="n"/>
      <c r="E375" s="49" t="n"/>
      <c r="F375" s="49" t="n"/>
      <c r="G375" s="49" t="n"/>
      <c r="H375" s="49" t="n"/>
      <c r="I375" s="49" t="n"/>
      <c r="J375" s="49" t="n"/>
      <c r="K375" s="49" t="n"/>
    </row>
    <row r="376">
      <c r="B376" s="49" t="n"/>
      <c r="C376" s="49" t="n"/>
      <c r="D376" s="49" t="n"/>
      <c r="E376" s="49" t="n"/>
      <c r="F376" s="49" t="n"/>
      <c r="G376" s="49" t="n"/>
      <c r="H376" s="49" t="n"/>
      <c r="I376" s="49" t="n"/>
      <c r="J376" s="49" t="n"/>
      <c r="K376" s="49" t="n"/>
    </row>
    <row r="377">
      <c r="B377" s="49" t="n"/>
      <c r="C377" s="49" t="n"/>
      <c r="D377" s="49" t="n"/>
      <c r="E377" s="49" t="n"/>
      <c r="F377" s="49" t="n"/>
      <c r="G377" s="49" t="n"/>
      <c r="H377" s="49" t="n"/>
      <c r="I377" s="49" t="n"/>
      <c r="J377" s="49" t="n"/>
      <c r="K377" s="49" t="n"/>
    </row>
    <row r="378">
      <c r="B378" s="49" t="n"/>
      <c r="C378" s="49" t="n"/>
      <c r="D378" s="49" t="n"/>
      <c r="E378" s="49" t="n"/>
      <c r="F378" s="49" t="n"/>
      <c r="G378" s="49" t="n"/>
      <c r="H378" s="49" t="n"/>
      <c r="I378" s="49" t="n"/>
      <c r="J378" s="49" t="n"/>
      <c r="K378" s="49" t="n"/>
    </row>
    <row r="379">
      <c r="B379" s="49" t="n"/>
      <c r="C379" s="49" t="n"/>
      <c r="D379" s="49" t="n"/>
      <c r="E379" s="49" t="n"/>
      <c r="F379" s="49" t="n"/>
      <c r="G379" s="49" t="n"/>
      <c r="H379" s="49" t="n"/>
      <c r="I379" s="49" t="n"/>
      <c r="J379" s="49" t="n"/>
      <c r="K379" s="49" t="n"/>
    </row>
    <row r="380">
      <c r="B380" s="49" t="n"/>
      <c r="C380" s="49" t="n"/>
      <c r="D380" s="49" t="n"/>
      <c r="E380" s="49" t="n"/>
      <c r="F380" s="49" t="n"/>
      <c r="G380" s="49" t="n"/>
      <c r="H380" s="49" t="n"/>
      <c r="I380" s="49" t="n"/>
      <c r="J380" s="49" t="n"/>
      <c r="K380" s="49" t="n"/>
    </row>
    <row r="381">
      <c r="B381" s="49" t="n"/>
      <c r="C381" s="49" t="n"/>
      <c r="D381" s="49" t="n"/>
      <c r="E381" s="49" t="n"/>
      <c r="F381" s="49" t="n"/>
      <c r="G381" s="49" t="n"/>
      <c r="H381" s="49" t="n"/>
      <c r="I381" s="49" t="n"/>
      <c r="J381" s="49" t="n"/>
      <c r="K381" s="49" t="n"/>
    </row>
    <row r="382">
      <c r="B382" s="49" t="n"/>
      <c r="C382" s="49" t="n"/>
      <c r="D382" s="49" t="n"/>
      <c r="E382" s="49" t="n"/>
      <c r="F382" s="49" t="n"/>
      <c r="G382" s="49" t="n"/>
      <c r="H382" s="49" t="n"/>
      <c r="I382" s="49" t="n"/>
      <c r="J382" s="49" t="n"/>
      <c r="K382" s="49" t="n"/>
    </row>
    <row r="383">
      <c r="B383" s="49" t="n"/>
      <c r="C383" s="49" t="n"/>
      <c r="D383" s="49" t="n"/>
      <c r="E383" s="49" t="n"/>
      <c r="F383" s="49" t="n"/>
      <c r="G383" s="49" t="n"/>
      <c r="H383" s="49" t="n"/>
      <c r="I383" s="49" t="n"/>
      <c r="J383" s="49" t="n"/>
      <c r="K383" s="49" t="n"/>
    </row>
    <row r="384">
      <c r="B384" s="49" t="n"/>
      <c r="C384" s="49" t="n"/>
      <c r="D384" s="49" t="n"/>
      <c r="E384" s="49" t="n"/>
      <c r="F384" s="49" t="n"/>
      <c r="G384" s="49" t="n"/>
      <c r="H384" s="49" t="n"/>
      <c r="I384" s="49" t="n"/>
      <c r="J384" s="49" t="n"/>
      <c r="K384" s="49" t="n"/>
    </row>
    <row r="385">
      <c r="B385" s="49" t="n"/>
      <c r="C385" s="49" t="n"/>
      <c r="D385" s="49" t="n"/>
      <c r="E385" s="49" t="n"/>
      <c r="F385" s="49" t="n"/>
      <c r="G385" s="49" t="n"/>
      <c r="H385" s="49" t="n"/>
      <c r="I385" s="49" t="n"/>
      <c r="J385" s="49" t="n"/>
      <c r="K385" s="49" t="n"/>
    </row>
    <row r="386">
      <c r="B386" s="49" t="n"/>
      <c r="C386" s="49" t="n"/>
      <c r="D386" s="49" t="n"/>
      <c r="E386" s="49" t="n"/>
      <c r="F386" s="49" t="n"/>
      <c r="G386" s="49" t="n"/>
      <c r="H386" s="49" t="n"/>
      <c r="I386" s="49" t="n"/>
      <c r="J386" s="49" t="n"/>
      <c r="K386" s="49" t="n"/>
    </row>
    <row r="387">
      <c r="B387" s="49" t="n"/>
      <c r="C387" s="49" t="n"/>
      <c r="D387" s="49" t="n"/>
      <c r="E387" s="49" t="n"/>
      <c r="F387" s="49" t="n"/>
      <c r="G387" s="49" t="n"/>
      <c r="H387" s="49" t="n"/>
      <c r="I387" s="49" t="n"/>
      <c r="J387" s="49" t="n"/>
      <c r="K387" s="49" t="n"/>
    </row>
    <row r="388">
      <c r="B388" s="49" t="n"/>
      <c r="C388" s="49" t="n"/>
      <c r="D388" s="49" t="n"/>
      <c r="E388" s="49" t="n"/>
      <c r="F388" s="49" t="n"/>
      <c r="G388" s="49" t="n"/>
      <c r="H388" s="49" t="n"/>
      <c r="I388" s="49" t="n"/>
      <c r="J388" s="49" t="n"/>
      <c r="K388" s="49" t="n"/>
    </row>
    <row r="389">
      <c r="B389" s="49" t="n"/>
      <c r="C389" s="49" t="n"/>
      <c r="D389" s="49" t="n"/>
      <c r="E389" s="49" t="n"/>
      <c r="F389" s="49" t="n"/>
      <c r="G389" s="49" t="n"/>
      <c r="H389" s="49" t="n"/>
      <c r="I389" s="49" t="n"/>
      <c r="J389" s="49" t="n"/>
      <c r="K389" s="49" t="n"/>
    </row>
    <row r="390">
      <c r="B390" s="49" t="n"/>
      <c r="C390" s="49" t="n"/>
      <c r="D390" s="49" t="n"/>
      <c r="E390" s="49" t="n"/>
      <c r="F390" s="49" t="n"/>
      <c r="G390" s="49" t="n"/>
      <c r="H390" s="49" t="n"/>
      <c r="I390" s="49" t="n"/>
      <c r="J390" s="49" t="n"/>
      <c r="K390" s="49" t="n"/>
    </row>
    <row r="391">
      <c r="B391" s="49" t="n"/>
      <c r="C391" s="49" t="n"/>
      <c r="D391" s="49" t="n"/>
      <c r="E391" s="49" t="n"/>
      <c r="F391" s="49" t="n"/>
      <c r="G391" s="49" t="n"/>
      <c r="H391" s="49" t="n"/>
      <c r="I391" s="49" t="n"/>
      <c r="J391" s="49" t="n"/>
      <c r="K391" s="49" t="n"/>
    </row>
    <row r="392">
      <c r="B392" s="49" t="n"/>
      <c r="C392" s="49" t="n"/>
      <c r="D392" s="49" t="n"/>
      <c r="E392" s="49" t="n"/>
      <c r="F392" s="49" t="n"/>
      <c r="G392" s="49" t="n"/>
      <c r="H392" s="49" t="n"/>
      <c r="I392" s="49" t="n"/>
      <c r="J392" s="49" t="n"/>
      <c r="K392" s="49" t="n"/>
    </row>
    <row r="393">
      <c r="B393" s="49" t="n"/>
      <c r="C393" s="49" t="n"/>
      <c r="D393" s="49" t="n"/>
      <c r="E393" s="49" t="n"/>
      <c r="F393" s="49" t="n"/>
      <c r="G393" s="49" t="n"/>
      <c r="H393" s="49" t="n"/>
      <c r="I393" s="49" t="n"/>
      <c r="J393" s="49" t="n"/>
      <c r="K393" s="49" t="n"/>
    </row>
    <row r="394">
      <c r="B394" s="49" t="n"/>
      <c r="C394" s="49" t="n"/>
      <c r="D394" s="49" t="n"/>
      <c r="E394" s="49" t="n"/>
      <c r="F394" s="49" t="n"/>
      <c r="G394" s="49" t="n"/>
      <c r="H394" s="49" t="n"/>
      <c r="I394" s="49" t="n"/>
      <c r="J394" s="49" t="n"/>
      <c r="K394" s="49" t="n"/>
    </row>
    <row r="395">
      <c r="B395" s="49" t="n"/>
      <c r="C395" s="49" t="n"/>
      <c r="D395" s="49" t="n"/>
      <c r="E395" s="49" t="n"/>
      <c r="F395" s="49" t="n"/>
      <c r="G395" s="49" t="n"/>
      <c r="H395" s="49" t="n"/>
      <c r="I395" s="49" t="n"/>
      <c r="J395" s="49" t="n"/>
      <c r="K395" s="49" t="n"/>
    </row>
    <row r="396">
      <c r="B396" s="49" t="n"/>
      <c r="C396" s="49" t="n"/>
      <c r="D396" s="49" t="n"/>
      <c r="E396" s="49" t="n"/>
      <c r="F396" s="49" t="n"/>
      <c r="G396" s="49" t="n"/>
      <c r="H396" s="49" t="n"/>
      <c r="I396" s="49" t="n"/>
      <c r="J396" s="49" t="n"/>
      <c r="K396" s="49" t="n"/>
    </row>
    <row r="397">
      <c r="B397" s="49" t="n"/>
      <c r="C397" s="49" t="n"/>
      <c r="D397" s="49" t="n"/>
      <c r="E397" s="49" t="n"/>
      <c r="F397" s="49" t="n"/>
      <c r="G397" s="49" t="n"/>
      <c r="H397" s="49" t="n"/>
      <c r="I397" s="49" t="n"/>
      <c r="J397" s="49" t="n"/>
      <c r="K397" s="49" t="n"/>
    </row>
    <row r="398">
      <c r="B398" s="49" t="n"/>
      <c r="C398" s="49" t="n"/>
      <c r="D398" s="49" t="n"/>
      <c r="E398" s="49" t="n"/>
      <c r="F398" s="49" t="n"/>
      <c r="G398" s="49" t="n"/>
      <c r="H398" s="49" t="n"/>
      <c r="I398" s="49" t="n"/>
      <c r="J398" s="49" t="n"/>
      <c r="K398" s="49" t="n"/>
    </row>
    <row r="399">
      <c r="B399" s="49" t="n"/>
      <c r="C399" s="49" t="n"/>
      <c r="D399" s="49" t="n"/>
      <c r="E399" s="49" t="n"/>
      <c r="F399" s="49" t="n"/>
      <c r="G399" s="49" t="n"/>
      <c r="H399" s="49" t="n"/>
      <c r="I399" s="49" t="n"/>
      <c r="J399" s="49" t="n"/>
      <c r="K399" s="49" t="n"/>
    </row>
    <row r="400">
      <c r="B400" s="49" t="n"/>
      <c r="C400" s="49" t="n"/>
      <c r="D400" s="49" t="n"/>
      <c r="E400" s="49" t="n"/>
      <c r="F400" s="49" t="n"/>
      <c r="G400" s="49" t="n"/>
      <c r="H400" s="49" t="n"/>
      <c r="I400" s="49" t="n"/>
      <c r="J400" s="49" t="n"/>
      <c r="K400" s="49" t="n"/>
    </row>
    <row r="401">
      <c r="B401" s="49" t="n"/>
      <c r="C401" s="49" t="n"/>
      <c r="D401" s="49" t="n"/>
      <c r="E401" s="49" t="n"/>
      <c r="F401" s="49" t="n"/>
      <c r="G401" s="49" t="n"/>
      <c r="H401" s="49" t="n"/>
      <c r="I401" s="49" t="n"/>
      <c r="J401" s="49" t="n"/>
      <c r="K401" s="49" t="n"/>
    </row>
    <row r="402">
      <c r="B402" s="49" t="n"/>
      <c r="C402" s="49" t="n"/>
      <c r="D402" s="49" t="n"/>
      <c r="E402" s="49" t="n"/>
      <c r="F402" s="49" t="n"/>
      <c r="G402" s="49" t="n"/>
      <c r="H402" s="49" t="n"/>
      <c r="I402" s="49" t="n"/>
      <c r="J402" s="49" t="n"/>
      <c r="K402" s="49" t="n"/>
    </row>
    <row r="403">
      <c r="B403" s="49" t="n"/>
      <c r="C403" s="49" t="n"/>
      <c r="D403" s="49" t="n"/>
      <c r="E403" s="49" t="n"/>
      <c r="F403" s="49" t="n"/>
      <c r="G403" s="49" t="n"/>
      <c r="H403" s="49" t="n"/>
      <c r="I403" s="49" t="n"/>
      <c r="J403" s="49" t="n"/>
      <c r="K403" s="49" t="n"/>
    </row>
    <row r="404">
      <c r="B404" s="49" t="n"/>
      <c r="C404" s="49" t="n"/>
      <c r="D404" s="49" t="n"/>
      <c r="E404" s="49" t="n"/>
      <c r="F404" s="49" t="n"/>
      <c r="G404" s="49" t="n"/>
      <c r="H404" s="49" t="n"/>
      <c r="I404" s="49" t="n"/>
      <c r="J404" s="49" t="n"/>
      <c r="K404" s="49" t="n"/>
    </row>
    <row r="405">
      <c r="B405" s="49" t="n"/>
      <c r="C405" s="49" t="n"/>
      <c r="D405" s="49" t="n"/>
      <c r="E405" s="49" t="n"/>
      <c r="F405" s="49" t="n"/>
      <c r="G405" s="49" t="n"/>
      <c r="H405" s="49" t="n"/>
      <c r="I405" s="49" t="n"/>
      <c r="J405" s="49" t="n"/>
      <c r="K405" s="49" t="n"/>
    </row>
    <row r="406">
      <c r="B406" s="49" t="n"/>
      <c r="C406" s="49" t="n"/>
      <c r="D406" s="49" t="n"/>
      <c r="E406" s="49" t="n"/>
      <c r="F406" s="49" t="n"/>
      <c r="G406" s="49" t="n"/>
      <c r="H406" s="49" t="n"/>
      <c r="I406" s="49" t="n"/>
      <c r="J406" s="49" t="n"/>
      <c r="K406" s="49" t="n"/>
    </row>
    <row r="407">
      <c r="B407" s="49" t="n"/>
      <c r="C407" s="49" t="n"/>
      <c r="D407" s="49" t="n"/>
      <c r="E407" s="49" t="n"/>
      <c r="F407" s="49" t="n"/>
      <c r="G407" s="49" t="n"/>
      <c r="H407" s="49" t="n"/>
      <c r="I407" s="49" t="n"/>
      <c r="J407" s="49" t="n"/>
      <c r="K407" s="49" t="n"/>
    </row>
    <row r="408">
      <c r="B408" s="49" t="n"/>
      <c r="C408" s="49" t="n"/>
      <c r="D408" s="49" t="n"/>
      <c r="E408" s="49" t="n"/>
      <c r="F408" s="49" t="n"/>
      <c r="G408" s="49" t="n"/>
      <c r="H408" s="49" t="n"/>
      <c r="I408" s="49" t="n"/>
      <c r="J408" s="49" t="n"/>
      <c r="K408" s="49" t="n"/>
    </row>
    <row r="409">
      <c r="B409" s="49" t="n"/>
      <c r="C409" s="49" t="n"/>
      <c r="D409" s="49" t="n"/>
      <c r="E409" s="49" t="n"/>
      <c r="F409" s="49" t="n"/>
      <c r="G409" s="49" t="n"/>
      <c r="H409" s="49" t="n"/>
      <c r="I409" s="49" t="n"/>
      <c r="J409" s="49" t="n"/>
      <c r="K409" s="49" t="n"/>
    </row>
    <row r="410">
      <c r="B410" s="49" t="n"/>
      <c r="C410" s="49" t="n"/>
      <c r="D410" s="49" t="n"/>
      <c r="E410" s="49" t="n"/>
      <c r="F410" s="49" t="n"/>
      <c r="G410" s="49" t="n"/>
      <c r="H410" s="49" t="n"/>
      <c r="I410" s="49" t="n"/>
      <c r="J410" s="49" t="n"/>
      <c r="K410" s="49" t="n"/>
    </row>
    <row r="411">
      <c r="B411" s="49" t="n"/>
      <c r="C411" s="49" t="n"/>
      <c r="D411" s="49" t="n"/>
      <c r="E411" s="49" t="n"/>
      <c r="F411" s="49" t="n"/>
      <c r="G411" s="49" t="n"/>
      <c r="H411" s="49" t="n"/>
      <c r="I411" s="49" t="n"/>
      <c r="J411" s="49" t="n"/>
      <c r="K411" s="49" t="n"/>
    </row>
    <row r="412">
      <c r="B412" s="49" t="n"/>
      <c r="C412" s="49" t="n"/>
      <c r="D412" s="49" t="n"/>
      <c r="E412" s="49" t="n"/>
      <c r="F412" s="49" t="n"/>
      <c r="G412" s="49" t="n"/>
      <c r="H412" s="49" t="n"/>
      <c r="I412" s="49" t="n"/>
      <c r="J412" s="49" t="n"/>
      <c r="K412" s="49" t="n"/>
    </row>
    <row r="413">
      <c r="B413" s="49" t="n"/>
      <c r="C413" s="49" t="n"/>
      <c r="D413" s="49" t="n"/>
      <c r="E413" s="49" t="n"/>
      <c r="F413" s="49" t="n"/>
      <c r="G413" s="49" t="n"/>
      <c r="H413" s="49" t="n"/>
      <c r="I413" s="49" t="n"/>
      <c r="J413" s="49" t="n"/>
      <c r="K413" s="49" t="n"/>
    </row>
    <row r="414">
      <c r="B414" s="49" t="n"/>
      <c r="C414" s="49" t="n"/>
      <c r="D414" s="49" t="n"/>
      <c r="E414" s="49" t="n"/>
      <c r="F414" s="49" t="n"/>
      <c r="G414" s="49" t="n"/>
      <c r="H414" s="49" t="n"/>
      <c r="I414" s="49" t="n"/>
      <c r="J414" s="49" t="n"/>
      <c r="K414" s="49" t="n"/>
    </row>
    <row r="415">
      <c r="B415" s="49" t="n"/>
      <c r="C415" s="49" t="n"/>
      <c r="D415" s="49" t="n"/>
      <c r="E415" s="49" t="n"/>
      <c r="F415" s="49" t="n"/>
      <c r="G415" s="49" t="n"/>
      <c r="H415" s="49" t="n"/>
      <c r="I415" s="49" t="n"/>
      <c r="J415" s="49" t="n"/>
      <c r="K415" s="49" t="n"/>
    </row>
    <row r="416">
      <c r="B416" s="49" t="n"/>
      <c r="C416" s="49" t="n"/>
      <c r="D416" s="49" t="n"/>
      <c r="E416" s="49" t="n"/>
      <c r="F416" s="49" t="n"/>
      <c r="G416" s="49" t="n"/>
      <c r="H416" s="49" t="n"/>
      <c r="I416" s="49" t="n"/>
      <c r="J416" s="49" t="n"/>
      <c r="K416" s="49" t="n"/>
    </row>
    <row r="417">
      <c r="B417" s="49" t="n"/>
      <c r="C417" s="49" t="n"/>
      <c r="D417" s="49" t="n"/>
      <c r="E417" s="49" t="n"/>
      <c r="F417" s="49" t="n"/>
      <c r="G417" s="49" t="n"/>
      <c r="H417" s="49" t="n"/>
      <c r="I417" s="49" t="n"/>
      <c r="J417" s="49" t="n"/>
      <c r="K417" s="49" t="n"/>
    </row>
    <row r="418">
      <c r="B418" s="49" t="n"/>
      <c r="C418" s="49" t="n"/>
      <c r="D418" s="49" t="n"/>
      <c r="E418" s="49" t="n"/>
      <c r="F418" s="49" t="n"/>
      <c r="G418" s="49" t="n"/>
      <c r="H418" s="49" t="n"/>
      <c r="I418" s="49" t="n"/>
      <c r="J418" s="49" t="n"/>
      <c r="K418" s="49" t="n"/>
    </row>
    <row r="419">
      <c r="B419" s="49" t="n"/>
      <c r="C419" s="49" t="n"/>
      <c r="D419" s="49" t="n"/>
      <c r="E419" s="49" t="n"/>
      <c r="F419" s="49" t="n"/>
      <c r="G419" s="49" t="n"/>
      <c r="H419" s="49" t="n"/>
      <c r="I419" s="49" t="n"/>
      <c r="J419" s="49" t="n"/>
      <c r="K419" s="49" t="n"/>
    </row>
    <row r="420">
      <c r="B420" s="49" t="n"/>
      <c r="C420" s="49" t="n"/>
      <c r="D420" s="49" t="n"/>
      <c r="E420" s="49" t="n"/>
      <c r="F420" s="49" t="n"/>
      <c r="G420" s="49" t="n"/>
      <c r="H420" s="49" t="n"/>
      <c r="I420" s="49" t="n"/>
      <c r="J420" s="49" t="n"/>
      <c r="K420" s="49" t="n"/>
    </row>
    <row r="421">
      <c r="B421" s="49" t="n"/>
      <c r="C421" s="49" t="n"/>
      <c r="D421" s="49" t="n"/>
      <c r="E421" s="49" t="n"/>
      <c r="F421" s="49" t="n"/>
      <c r="G421" s="49" t="n"/>
      <c r="H421" s="49" t="n"/>
      <c r="I421" s="49" t="n"/>
      <c r="J421" s="49" t="n"/>
      <c r="K421" s="49" t="n"/>
    </row>
    <row r="422">
      <c r="B422" s="49" t="n"/>
      <c r="C422" s="49" t="n"/>
      <c r="D422" s="49" t="n"/>
      <c r="E422" s="49" t="n"/>
      <c r="F422" s="49" t="n"/>
      <c r="G422" s="49" t="n"/>
      <c r="H422" s="49" t="n"/>
      <c r="I422" s="49" t="n"/>
      <c r="J422" s="49" t="n"/>
      <c r="K422" s="49" t="n"/>
    </row>
    <row r="423">
      <c r="B423" s="49" t="n"/>
      <c r="C423" s="49" t="n"/>
      <c r="D423" s="49" t="n"/>
      <c r="E423" s="49" t="n"/>
      <c r="F423" s="49" t="n"/>
      <c r="G423" s="49" t="n"/>
      <c r="H423" s="49" t="n"/>
      <c r="I423" s="49" t="n"/>
      <c r="J423" s="49" t="n"/>
      <c r="K423" s="49" t="n"/>
    </row>
    <row r="424">
      <c r="B424" s="49" t="n"/>
      <c r="C424" s="49" t="n"/>
      <c r="D424" s="49" t="n"/>
      <c r="E424" s="49" t="n"/>
      <c r="F424" s="49" t="n"/>
      <c r="G424" s="49" t="n"/>
      <c r="H424" s="49" t="n"/>
      <c r="I424" s="49" t="n"/>
      <c r="J424" s="49" t="n"/>
      <c r="K424" s="49" t="n"/>
    </row>
    <row r="425">
      <c r="B425" s="49" t="n"/>
      <c r="C425" s="49" t="n"/>
      <c r="D425" s="49" t="n"/>
      <c r="E425" s="49" t="n"/>
      <c r="F425" s="49" t="n"/>
      <c r="G425" s="49" t="n"/>
      <c r="H425" s="49" t="n"/>
      <c r="I425" s="49" t="n"/>
      <c r="J425" s="49" t="n"/>
      <c r="K425" s="49" t="n"/>
    </row>
    <row r="426">
      <c r="B426" s="49" t="n"/>
      <c r="C426" s="49" t="n"/>
      <c r="D426" s="49" t="n"/>
      <c r="E426" s="49" t="n"/>
      <c r="F426" s="49" t="n"/>
      <c r="G426" s="49" t="n"/>
      <c r="H426" s="49" t="n"/>
      <c r="I426" s="49" t="n"/>
      <c r="J426" s="49" t="n"/>
      <c r="K426" s="49" t="n"/>
    </row>
    <row r="427">
      <c r="B427" s="49" t="n"/>
      <c r="C427" s="49" t="n"/>
      <c r="D427" s="49" t="n"/>
      <c r="E427" s="49" t="n"/>
      <c r="F427" s="49" t="n"/>
      <c r="G427" s="49" t="n"/>
      <c r="H427" s="49" t="n"/>
      <c r="I427" s="49" t="n"/>
      <c r="J427" s="49" t="n"/>
      <c r="K427" s="49" t="n"/>
    </row>
    <row r="428">
      <c r="B428" s="49" t="n"/>
      <c r="C428" s="49" t="n"/>
      <c r="D428" s="49" t="n"/>
      <c r="E428" s="49" t="n"/>
      <c r="F428" s="49" t="n"/>
      <c r="G428" s="49" t="n"/>
      <c r="H428" s="49" t="n"/>
      <c r="I428" s="49" t="n"/>
      <c r="J428" s="49" t="n"/>
      <c r="K428" s="49" t="n"/>
    </row>
    <row r="429">
      <c r="B429" s="49" t="n"/>
      <c r="C429" s="49" t="n"/>
      <c r="D429" s="49" t="n"/>
      <c r="E429" s="49" t="n"/>
      <c r="F429" s="49" t="n"/>
      <c r="G429" s="49" t="n"/>
      <c r="H429" s="49" t="n"/>
      <c r="I429" s="49" t="n"/>
      <c r="J429" s="49" t="n"/>
      <c r="K429" s="49" t="n"/>
    </row>
    <row r="430">
      <c r="B430" s="49" t="n"/>
      <c r="C430" s="49" t="n"/>
      <c r="D430" s="49" t="n"/>
      <c r="E430" s="49" t="n"/>
      <c r="F430" s="49" t="n"/>
      <c r="G430" s="49" t="n"/>
      <c r="H430" s="49" t="n"/>
      <c r="I430" s="49" t="n"/>
      <c r="J430" s="49" t="n"/>
      <c r="K430" s="49" t="n"/>
    </row>
    <row r="431">
      <c r="B431" s="49" t="n"/>
      <c r="C431" s="49" t="n"/>
      <c r="D431" s="49" t="n"/>
      <c r="E431" s="49" t="n"/>
      <c r="F431" s="49" t="n"/>
      <c r="G431" s="49" t="n"/>
      <c r="H431" s="49" t="n"/>
      <c r="I431" s="49" t="n"/>
      <c r="J431" s="49" t="n"/>
      <c r="K431" s="49" t="n"/>
    </row>
    <row r="432">
      <c r="B432" s="49" t="n"/>
      <c r="C432" s="49" t="n"/>
      <c r="D432" s="49" t="n"/>
      <c r="E432" s="49" t="n"/>
      <c r="F432" s="49" t="n"/>
      <c r="G432" s="49" t="n"/>
      <c r="H432" s="49" t="n"/>
      <c r="I432" s="49" t="n"/>
      <c r="J432" s="49" t="n"/>
      <c r="K432" s="49" t="n"/>
    </row>
    <row r="433">
      <c r="B433" s="49" t="n"/>
      <c r="C433" s="49" t="n"/>
      <c r="D433" s="49" t="n"/>
      <c r="E433" s="49" t="n"/>
      <c r="F433" s="49" t="n"/>
      <c r="G433" s="49" t="n"/>
      <c r="H433" s="49" t="n"/>
      <c r="I433" s="49" t="n"/>
      <c r="J433" s="49" t="n"/>
      <c r="K433" s="49" t="n"/>
    </row>
    <row r="434">
      <c r="B434" s="49" t="n"/>
      <c r="C434" s="49" t="n"/>
      <c r="D434" s="49" t="n"/>
      <c r="E434" s="49" t="n"/>
      <c r="F434" s="49" t="n"/>
      <c r="G434" s="49" t="n"/>
      <c r="H434" s="49" t="n"/>
      <c r="I434" s="49" t="n"/>
      <c r="J434" s="49" t="n"/>
      <c r="K434" s="49" t="n"/>
    </row>
    <row r="435">
      <c r="B435" s="49" t="n"/>
      <c r="C435" s="49" t="n"/>
      <c r="D435" s="49" t="n"/>
      <c r="E435" s="49" t="n"/>
      <c r="F435" s="49" t="n"/>
      <c r="G435" s="49" t="n"/>
      <c r="H435" s="49" t="n"/>
      <c r="I435" s="49" t="n"/>
      <c r="J435" s="49" t="n"/>
      <c r="K435" s="49" t="n"/>
    </row>
    <row r="436">
      <c r="B436" s="49" t="n"/>
      <c r="C436" s="49" t="n"/>
      <c r="D436" s="49" t="n"/>
      <c r="E436" s="49" t="n"/>
      <c r="F436" s="49" t="n"/>
      <c r="G436" s="49" t="n"/>
      <c r="H436" s="49" t="n"/>
      <c r="I436" s="49" t="n"/>
      <c r="J436" s="49" t="n"/>
      <c r="K436" s="49" t="n"/>
    </row>
    <row r="437">
      <c r="B437" s="49" t="n"/>
      <c r="C437" s="49" t="n"/>
      <c r="D437" s="49" t="n"/>
      <c r="E437" s="49" t="n"/>
      <c r="F437" s="49" t="n"/>
      <c r="G437" s="49" t="n"/>
      <c r="H437" s="49" t="n"/>
      <c r="I437" s="49" t="n"/>
      <c r="J437" s="49" t="n"/>
      <c r="K437" s="49" t="n"/>
    </row>
    <row r="438">
      <c r="B438" s="49" t="n"/>
      <c r="C438" s="49" t="n"/>
      <c r="D438" s="49" t="n"/>
      <c r="E438" s="49" t="n"/>
      <c r="F438" s="49" t="n"/>
      <c r="G438" s="49" t="n"/>
      <c r="H438" s="49" t="n"/>
      <c r="I438" s="49" t="n"/>
      <c r="J438" s="49" t="n"/>
      <c r="K438" s="49" t="n"/>
    </row>
    <row r="439">
      <c r="B439" s="49" t="n"/>
      <c r="C439" s="49" t="n"/>
      <c r="D439" s="49" t="n"/>
      <c r="E439" s="49" t="n"/>
      <c r="F439" s="49" t="n"/>
      <c r="G439" s="49" t="n"/>
      <c r="H439" s="49" t="n"/>
      <c r="I439" s="49" t="n"/>
      <c r="J439" s="49" t="n"/>
      <c r="K439" s="49" t="n"/>
    </row>
    <row r="440">
      <c r="B440" s="49" t="n"/>
      <c r="C440" s="49" t="n"/>
      <c r="D440" s="49" t="n"/>
      <c r="E440" s="49" t="n"/>
      <c r="F440" s="49" t="n"/>
      <c r="G440" s="49" t="n"/>
      <c r="H440" s="49" t="n"/>
      <c r="I440" s="49" t="n"/>
      <c r="J440" s="49" t="n"/>
      <c r="K440" s="49" t="n"/>
    </row>
    <row r="441">
      <c r="B441" s="49" t="n"/>
      <c r="C441" s="49" t="n"/>
      <c r="D441" s="49" t="n"/>
      <c r="E441" s="49" t="n"/>
      <c r="F441" s="49" t="n"/>
      <c r="G441" s="49" t="n"/>
      <c r="H441" s="49" t="n"/>
      <c r="I441" s="49" t="n"/>
      <c r="J441" s="49" t="n"/>
      <c r="K441" s="49" t="n"/>
    </row>
    <row r="442">
      <c r="B442" s="49" t="n"/>
      <c r="C442" s="49" t="n"/>
      <c r="D442" s="49" t="n"/>
      <c r="E442" s="49" t="n"/>
      <c r="F442" s="49" t="n"/>
      <c r="G442" s="49" t="n"/>
      <c r="H442" s="49" t="n"/>
      <c r="I442" s="49" t="n"/>
      <c r="J442" s="49" t="n"/>
      <c r="K442" s="49" t="n"/>
    </row>
    <row r="443">
      <c r="B443" s="49" t="n"/>
      <c r="C443" s="49" t="n"/>
      <c r="D443" s="49" t="n"/>
      <c r="E443" s="49" t="n"/>
      <c r="F443" s="49" t="n"/>
      <c r="G443" s="49" t="n"/>
      <c r="H443" s="49" t="n"/>
      <c r="I443" s="49" t="n"/>
      <c r="J443" s="49" t="n"/>
      <c r="K443" s="49" t="n"/>
    </row>
    <row r="444">
      <c r="B444" s="49" t="n"/>
      <c r="C444" s="49" t="n"/>
      <c r="D444" s="49" t="n"/>
      <c r="E444" s="49" t="n"/>
      <c r="F444" s="49" t="n"/>
      <c r="G444" s="49" t="n"/>
      <c r="H444" s="49" t="n"/>
      <c r="I444" s="49" t="n"/>
      <c r="J444" s="49" t="n"/>
      <c r="K444" s="49" t="n"/>
    </row>
    <row r="445">
      <c r="B445" s="49" t="n"/>
      <c r="C445" s="49" t="n"/>
      <c r="D445" s="49" t="n"/>
      <c r="E445" s="49" t="n"/>
      <c r="F445" s="49" t="n"/>
      <c r="G445" s="49" t="n"/>
      <c r="H445" s="49" t="n"/>
      <c r="I445" s="49" t="n"/>
      <c r="J445" s="49" t="n"/>
      <c r="K445" s="49" t="n"/>
    </row>
    <row r="446">
      <c r="B446" s="49" t="n"/>
      <c r="C446" s="49" t="n"/>
      <c r="D446" s="49" t="n"/>
      <c r="E446" s="49" t="n"/>
      <c r="F446" s="49" t="n"/>
      <c r="G446" s="49" t="n"/>
      <c r="H446" s="49" t="n"/>
      <c r="I446" s="49" t="n"/>
      <c r="J446" s="49" t="n"/>
      <c r="K446" s="49" t="n"/>
    </row>
    <row r="447">
      <c r="B447" s="49" t="n"/>
      <c r="C447" s="49" t="n"/>
      <c r="D447" s="49" t="n"/>
      <c r="E447" s="49" t="n"/>
      <c r="F447" s="49" t="n"/>
      <c r="G447" s="49" t="n"/>
      <c r="H447" s="49" t="n"/>
      <c r="I447" s="49" t="n"/>
      <c r="J447" s="49" t="n"/>
      <c r="K447" s="49" t="n"/>
    </row>
    <row r="448">
      <c r="B448" s="49" t="n"/>
      <c r="C448" s="49" t="n"/>
      <c r="D448" s="49" t="n"/>
      <c r="E448" s="49" t="n"/>
      <c r="F448" s="49" t="n"/>
      <c r="G448" s="49" t="n"/>
      <c r="H448" s="49" t="n"/>
      <c r="I448" s="49" t="n"/>
      <c r="J448" s="49" t="n"/>
      <c r="K448" s="49" t="n"/>
    </row>
    <row r="449">
      <c r="B449" s="49" t="n"/>
      <c r="C449" s="49" t="n"/>
      <c r="D449" s="49" t="n"/>
      <c r="E449" s="49" t="n"/>
      <c r="F449" s="49" t="n"/>
      <c r="G449" s="49" t="n"/>
      <c r="H449" s="49" t="n"/>
      <c r="I449" s="49" t="n"/>
      <c r="J449" s="49" t="n"/>
      <c r="K449" s="49" t="n"/>
    </row>
    <row r="450">
      <c r="B450" s="49" t="n"/>
      <c r="C450" s="49" t="n"/>
      <c r="D450" s="49" t="n"/>
      <c r="E450" s="49" t="n"/>
      <c r="F450" s="49" t="n"/>
      <c r="G450" s="49" t="n"/>
      <c r="H450" s="49" t="n"/>
      <c r="I450" s="49" t="n"/>
      <c r="J450" s="49" t="n"/>
      <c r="K450" s="49" t="n"/>
    </row>
    <row r="451">
      <c r="B451" s="49" t="n"/>
      <c r="C451" s="49" t="n"/>
      <c r="D451" s="49" t="n"/>
      <c r="E451" s="49" t="n"/>
      <c r="F451" s="49" t="n"/>
      <c r="G451" s="49" t="n"/>
      <c r="H451" s="49" t="n"/>
      <c r="I451" s="49" t="n"/>
      <c r="J451" s="49" t="n"/>
      <c r="K451" s="49" t="n"/>
    </row>
    <row r="452">
      <c r="B452" s="49" t="n"/>
      <c r="C452" s="49" t="n"/>
      <c r="D452" s="49" t="n"/>
      <c r="E452" s="49" t="n"/>
      <c r="F452" s="49" t="n"/>
      <c r="G452" s="49" t="n"/>
      <c r="H452" s="49" t="n"/>
      <c r="I452" s="49" t="n"/>
      <c r="J452" s="49" t="n"/>
      <c r="K452" s="49" t="n"/>
    </row>
    <row r="453">
      <c r="B453" s="49" t="n"/>
      <c r="C453" s="49" t="n"/>
      <c r="D453" s="49" t="n"/>
      <c r="E453" s="49" t="n"/>
      <c r="F453" s="49" t="n"/>
      <c r="G453" s="49" t="n"/>
      <c r="H453" s="49" t="n"/>
      <c r="I453" s="49" t="n"/>
      <c r="J453" s="49" t="n"/>
      <c r="K453" s="49" t="n"/>
    </row>
    <row r="454">
      <c r="B454" s="49" t="n"/>
      <c r="C454" s="49" t="n"/>
      <c r="D454" s="49" t="n"/>
      <c r="E454" s="49" t="n"/>
      <c r="F454" s="49" t="n"/>
      <c r="G454" s="49" t="n"/>
      <c r="H454" s="49" t="n"/>
      <c r="I454" s="49" t="n"/>
      <c r="J454" s="49" t="n"/>
      <c r="K454" s="49" t="n"/>
    </row>
    <row r="455">
      <c r="B455" s="49" t="n"/>
      <c r="C455" s="49" t="n"/>
      <c r="D455" s="49" t="n"/>
      <c r="E455" s="49" t="n"/>
      <c r="F455" s="49" t="n"/>
      <c r="G455" s="49" t="n"/>
      <c r="H455" s="49" t="n"/>
      <c r="I455" s="49" t="n"/>
      <c r="J455" s="49" t="n"/>
      <c r="K455" s="49" t="n"/>
    </row>
    <row r="456">
      <c r="B456" s="49" t="n"/>
      <c r="C456" s="49" t="n"/>
      <c r="D456" s="49" t="n"/>
      <c r="E456" s="49" t="n"/>
      <c r="F456" s="49" t="n"/>
      <c r="G456" s="49" t="n"/>
      <c r="H456" s="49" t="n"/>
      <c r="I456" s="49" t="n"/>
      <c r="J456" s="49" t="n"/>
      <c r="K456" s="49" t="n"/>
    </row>
    <row r="457">
      <c r="B457" s="49" t="n"/>
      <c r="C457" s="49" t="n"/>
      <c r="D457" s="49" t="n"/>
      <c r="E457" s="49" t="n"/>
      <c r="F457" s="49" t="n"/>
      <c r="G457" s="49" t="n"/>
      <c r="H457" s="49" t="n"/>
      <c r="I457" s="49" t="n"/>
      <c r="J457" s="49" t="n"/>
      <c r="K457" s="49" t="n"/>
    </row>
    <row r="458">
      <c r="B458" s="49" t="n"/>
      <c r="C458" s="49" t="n"/>
      <c r="D458" s="49" t="n"/>
      <c r="E458" s="49" t="n"/>
      <c r="F458" s="49" t="n"/>
      <c r="G458" s="49" t="n"/>
      <c r="H458" s="49" t="n"/>
      <c r="I458" s="49" t="n"/>
      <c r="J458" s="49" t="n"/>
      <c r="K458" s="49" t="n"/>
    </row>
    <row r="459">
      <c r="B459" s="49" t="n"/>
      <c r="C459" s="49" t="n"/>
      <c r="D459" s="49" t="n"/>
      <c r="E459" s="49" t="n"/>
      <c r="F459" s="49" t="n"/>
      <c r="G459" s="49" t="n"/>
      <c r="H459" s="49" t="n"/>
      <c r="I459" s="49" t="n"/>
      <c r="J459" s="49" t="n"/>
      <c r="K459" s="49" t="n"/>
    </row>
    <row r="460">
      <c r="B460" s="49" t="n"/>
      <c r="C460" s="49" t="n"/>
      <c r="D460" s="49" t="n"/>
      <c r="E460" s="49" t="n"/>
      <c r="F460" s="49" t="n"/>
      <c r="G460" s="49" t="n"/>
      <c r="H460" s="49" t="n"/>
      <c r="I460" s="49" t="n"/>
      <c r="J460" s="49" t="n"/>
      <c r="K460" s="49" t="n"/>
    </row>
    <row r="461">
      <c r="B461" s="49" t="n"/>
      <c r="C461" s="49" t="n"/>
      <c r="D461" s="49" t="n"/>
      <c r="E461" s="49" t="n"/>
      <c r="F461" s="49" t="n"/>
      <c r="G461" s="49" t="n"/>
      <c r="H461" s="49" t="n"/>
      <c r="I461" s="49" t="n"/>
      <c r="J461" s="49" t="n"/>
      <c r="K461" s="49" t="n"/>
    </row>
    <row r="462">
      <c r="B462" s="49" t="n"/>
      <c r="C462" s="49" t="n"/>
      <c r="D462" s="49" t="n"/>
      <c r="E462" s="49" t="n"/>
      <c r="F462" s="49" t="n"/>
      <c r="G462" s="49" t="n"/>
      <c r="H462" s="49" t="n"/>
      <c r="I462" s="49" t="n"/>
      <c r="J462" s="49" t="n"/>
      <c r="K462" s="49" t="n"/>
    </row>
    <row r="463">
      <c r="B463" s="49" t="n"/>
      <c r="C463" s="49" t="n"/>
      <c r="D463" s="49" t="n"/>
      <c r="E463" s="49" t="n"/>
      <c r="F463" s="49" t="n"/>
      <c r="G463" s="49" t="n"/>
      <c r="H463" s="49" t="n"/>
      <c r="I463" s="49" t="n"/>
      <c r="J463" s="49" t="n"/>
      <c r="K463" s="49" t="n"/>
    </row>
    <row r="464">
      <c r="B464" s="49" t="n"/>
      <c r="C464" s="49" t="n"/>
      <c r="D464" s="49" t="n"/>
      <c r="E464" s="49" t="n"/>
      <c r="F464" s="49" t="n"/>
      <c r="G464" s="49" t="n"/>
      <c r="H464" s="49" t="n"/>
      <c r="I464" s="49" t="n"/>
      <c r="J464" s="49" t="n"/>
      <c r="K464" s="49" t="n"/>
    </row>
    <row r="465">
      <c r="B465" s="49" t="n"/>
      <c r="C465" s="49" t="n"/>
      <c r="D465" s="49" t="n"/>
      <c r="E465" s="49" t="n"/>
      <c r="F465" s="49" t="n"/>
      <c r="G465" s="49" t="n"/>
      <c r="H465" s="49" t="n"/>
      <c r="I465" s="49" t="n"/>
      <c r="J465" s="49" t="n"/>
      <c r="K465" s="49" t="n"/>
    </row>
    <row r="466">
      <c r="B466" s="49" t="n"/>
      <c r="C466" s="49" t="n"/>
      <c r="D466" s="49" t="n"/>
      <c r="E466" s="49" t="n"/>
      <c r="F466" s="49" t="n"/>
      <c r="G466" s="49" t="n"/>
      <c r="H466" s="49" t="n"/>
      <c r="I466" s="49" t="n"/>
      <c r="J466" s="49" t="n"/>
      <c r="K466" s="49" t="n"/>
    </row>
    <row r="467">
      <c r="B467" s="49" t="n"/>
      <c r="C467" s="49" t="n"/>
      <c r="D467" s="49" t="n"/>
      <c r="E467" s="49" t="n"/>
      <c r="F467" s="49" t="n"/>
      <c r="G467" s="49" t="n"/>
      <c r="H467" s="49" t="n"/>
      <c r="I467" s="49" t="n"/>
      <c r="J467" s="49" t="n"/>
      <c r="K467" s="49" t="n"/>
    </row>
    <row r="468">
      <c r="B468" s="49" t="n"/>
      <c r="C468" s="49" t="n"/>
      <c r="D468" s="49" t="n"/>
      <c r="E468" s="49" t="n"/>
      <c r="F468" s="49" t="n"/>
      <c r="G468" s="49" t="n"/>
      <c r="H468" s="49" t="n"/>
      <c r="I468" s="49" t="n"/>
      <c r="J468" s="49" t="n"/>
      <c r="K468" s="49" t="n"/>
    </row>
    <row r="469">
      <c r="B469" s="49" t="n"/>
      <c r="C469" s="49" t="n"/>
      <c r="D469" s="49" t="n"/>
      <c r="E469" s="49" t="n"/>
      <c r="F469" s="49" t="n"/>
      <c r="G469" s="49" t="n"/>
      <c r="H469" s="49" t="n"/>
      <c r="I469" s="49" t="n"/>
      <c r="J469" s="49" t="n"/>
      <c r="K469" s="49" t="n"/>
    </row>
    <row r="470">
      <c r="B470" s="49" t="n"/>
      <c r="C470" s="49" t="n"/>
      <c r="D470" s="49" t="n"/>
      <c r="E470" s="49" t="n"/>
      <c r="F470" s="49" t="n"/>
      <c r="G470" s="49" t="n"/>
      <c r="H470" s="49" t="n"/>
      <c r="I470" s="49" t="n"/>
      <c r="J470" s="49" t="n"/>
      <c r="K470" s="49" t="n"/>
    </row>
    <row r="471">
      <c r="B471" s="49" t="n"/>
      <c r="C471" s="49" t="n"/>
      <c r="D471" s="49" t="n"/>
      <c r="E471" s="49" t="n"/>
      <c r="F471" s="49" t="n"/>
      <c r="G471" s="49" t="n"/>
      <c r="H471" s="49" t="n"/>
      <c r="I471" s="49" t="n"/>
      <c r="J471" s="49" t="n"/>
      <c r="K471" s="49" t="n"/>
    </row>
    <row r="472">
      <c r="B472" s="49" t="n"/>
      <c r="C472" s="49" t="n"/>
      <c r="D472" s="49" t="n"/>
      <c r="E472" s="49" t="n"/>
      <c r="F472" s="49" t="n"/>
      <c r="G472" s="49" t="n"/>
      <c r="H472" s="49" t="n"/>
      <c r="I472" s="49" t="n"/>
      <c r="J472" s="49" t="n"/>
      <c r="K472" s="49" t="n"/>
    </row>
    <row r="473">
      <c r="B473" s="49" t="n"/>
      <c r="C473" s="49" t="n"/>
      <c r="D473" s="49" t="n"/>
      <c r="E473" s="49" t="n"/>
      <c r="F473" s="49" t="n"/>
      <c r="G473" s="49" t="n"/>
      <c r="H473" s="49" t="n"/>
      <c r="I473" s="49" t="n"/>
      <c r="J473" s="49" t="n"/>
      <c r="K473" s="49" t="n"/>
    </row>
    <row r="474">
      <c r="B474" s="49" t="n"/>
      <c r="C474" s="49" t="n"/>
      <c r="D474" s="49" t="n"/>
      <c r="E474" s="49" t="n"/>
      <c r="F474" s="49" t="n"/>
      <c r="G474" s="49" t="n"/>
      <c r="H474" s="49" t="n"/>
      <c r="I474" s="49" t="n"/>
      <c r="J474" s="49" t="n"/>
      <c r="K474" s="49" t="n"/>
    </row>
    <row r="475">
      <c r="B475" s="49" t="n"/>
      <c r="C475" s="49" t="n"/>
      <c r="D475" s="49" t="n"/>
      <c r="E475" s="49" t="n"/>
      <c r="F475" s="49" t="n"/>
      <c r="G475" s="49" t="n"/>
      <c r="H475" s="49" t="n"/>
      <c r="I475" s="49" t="n"/>
      <c r="J475" s="49" t="n"/>
      <c r="K475" s="49" t="n"/>
    </row>
    <row r="476">
      <c r="B476" s="49" t="n"/>
      <c r="C476" s="49" t="n"/>
      <c r="D476" s="49" t="n"/>
      <c r="E476" s="49" t="n"/>
      <c r="F476" s="49" t="n"/>
      <c r="G476" s="49" t="n"/>
      <c r="H476" s="49" t="n"/>
      <c r="I476" s="49" t="n"/>
      <c r="J476" s="49" t="n"/>
      <c r="K476" s="49" t="n"/>
    </row>
    <row r="477">
      <c r="B477" s="49" t="n"/>
      <c r="C477" s="49" t="n"/>
      <c r="D477" s="49" t="n"/>
      <c r="E477" s="49" t="n"/>
      <c r="F477" s="49" t="n"/>
      <c r="G477" s="49" t="n"/>
      <c r="H477" s="49" t="n"/>
      <c r="I477" s="49" t="n"/>
      <c r="J477" s="49" t="n"/>
      <c r="K477" s="49" t="n"/>
    </row>
    <row r="478">
      <c r="B478" s="49" t="n"/>
      <c r="C478" s="49" t="n"/>
      <c r="D478" s="49" t="n"/>
      <c r="E478" s="49" t="n"/>
      <c r="F478" s="49" t="n"/>
      <c r="G478" s="49" t="n"/>
      <c r="H478" s="49" t="n"/>
      <c r="I478" s="49" t="n"/>
      <c r="J478" s="49" t="n"/>
      <c r="K478" s="49" t="n"/>
    </row>
    <row r="479">
      <c r="B479" s="49" t="n"/>
      <c r="C479" s="49" t="n"/>
      <c r="D479" s="49" t="n"/>
      <c r="E479" s="49" t="n"/>
      <c r="F479" s="49" t="n"/>
      <c r="G479" s="49" t="n"/>
      <c r="H479" s="49" t="n"/>
      <c r="I479" s="49" t="n"/>
      <c r="J479" s="49" t="n"/>
      <c r="K479" s="49" t="n"/>
    </row>
    <row r="480">
      <c r="B480" s="49" t="n"/>
      <c r="C480" s="49" t="n"/>
      <c r="D480" s="49" t="n"/>
      <c r="E480" s="49" t="n"/>
      <c r="F480" s="49" t="n"/>
      <c r="G480" s="49" t="n"/>
      <c r="H480" s="49" t="n"/>
      <c r="I480" s="49" t="n"/>
      <c r="J480" s="49" t="n"/>
      <c r="K480" s="49" t="n"/>
    </row>
    <row r="481">
      <c r="B481" s="49" t="n"/>
      <c r="C481" s="49" t="n"/>
      <c r="D481" s="49" t="n"/>
      <c r="E481" s="49" t="n"/>
      <c r="F481" s="49" t="n"/>
      <c r="G481" s="49" t="n"/>
      <c r="H481" s="49" t="n"/>
      <c r="I481" s="49" t="n"/>
      <c r="J481" s="49" t="n"/>
      <c r="K481" s="49" t="n"/>
    </row>
    <row r="482">
      <c r="B482" s="49" t="n"/>
      <c r="C482" s="49" t="n"/>
      <c r="D482" s="49" t="n"/>
      <c r="E482" s="49" t="n"/>
      <c r="F482" s="49" t="n"/>
      <c r="G482" s="49" t="n"/>
      <c r="H482" s="49" t="n"/>
      <c r="I482" s="49" t="n"/>
      <c r="J482" s="49" t="n"/>
      <c r="K482" s="49" t="n"/>
    </row>
    <row r="483">
      <c r="B483" s="49" t="n"/>
      <c r="C483" s="49" t="n"/>
      <c r="D483" s="49" t="n"/>
      <c r="E483" s="49" t="n"/>
      <c r="F483" s="49" t="n"/>
      <c r="G483" s="49" t="n"/>
      <c r="H483" s="49" t="n"/>
      <c r="I483" s="49" t="n"/>
      <c r="J483" s="49" t="n"/>
      <c r="K483" s="49" t="n"/>
    </row>
    <row r="484">
      <c r="B484" s="49" t="n"/>
      <c r="C484" s="49" t="n"/>
      <c r="D484" s="49" t="n"/>
      <c r="E484" s="49" t="n"/>
      <c r="F484" s="49" t="n"/>
      <c r="G484" s="49" t="n"/>
      <c r="H484" s="49" t="n"/>
      <c r="I484" s="49" t="n"/>
      <c r="J484" s="49" t="n"/>
      <c r="K484" s="49" t="n"/>
    </row>
    <row r="485">
      <c r="B485" s="49" t="n"/>
      <c r="C485" s="49" t="n"/>
      <c r="D485" s="49" t="n"/>
      <c r="E485" s="49" t="n"/>
      <c r="F485" s="49" t="n"/>
      <c r="G485" s="49" t="n"/>
      <c r="H485" s="49" t="n"/>
      <c r="I485" s="49" t="n"/>
      <c r="J485" s="49" t="n"/>
      <c r="K485" s="49" t="n"/>
    </row>
    <row r="486">
      <c r="B486" s="49" t="n"/>
      <c r="C486" s="49" t="n"/>
      <c r="D486" s="49" t="n"/>
      <c r="E486" s="49" t="n"/>
      <c r="F486" s="49" t="n"/>
      <c r="G486" s="49" t="n"/>
      <c r="H486" s="49" t="n"/>
      <c r="I486" s="49" t="n"/>
      <c r="J486" s="49" t="n"/>
      <c r="K486" s="49" t="n"/>
    </row>
    <row r="487">
      <c r="B487" s="49" t="n"/>
      <c r="C487" s="49" t="n"/>
      <c r="D487" s="49" t="n"/>
      <c r="E487" s="49" t="n"/>
      <c r="F487" s="49" t="n"/>
      <c r="G487" s="49" t="n"/>
      <c r="H487" s="49" t="n"/>
      <c r="I487" s="49" t="n"/>
      <c r="J487" s="49" t="n"/>
      <c r="K487" s="49" t="n"/>
    </row>
    <row r="488">
      <c r="B488" s="49" t="n"/>
      <c r="C488" s="49" t="n"/>
      <c r="D488" s="49" t="n"/>
      <c r="E488" s="49" t="n"/>
      <c r="F488" s="49" t="n"/>
      <c r="G488" s="49" t="n"/>
      <c r="H488" s="49" t="n"/>
      <c r="I488" s="49" t="n"/>
      <c r="J488" s="49" t="n"/>
      <c r="K488" s="49" t="n"/>
    </row>
    <row r="489">
      <c r="B489" s="49" t="n"/>
      <c r="C489" s="49" t="n"/>
      <c r="D489" s="49" t="n"/>
      <c r="E489" s="49" t="n"/>
      <c r="F489" s="49" t="n"/>
      <c r="G489" s="49" t="n"/>
      <c r="H489" s="49" t="n"/>
      <c r="I489" s="49" t="n"/>
      <c r="J489" s="49" t="n"/>
      <c r="K489" s="49" t="n"/>
    </row>
    <row r="490">
      <c r="B490" s="49" t="n"/>
      <c r="C490" s="49" t="n"/>
      <c r="D490" s="49" t="n"/>
      <c r="E490" s="49" t="n"/>
      <c r="F490" s="49" t="n"/>
      <c r="G490" s="49" t="n"/>
      <c r="H490" s="49" t="n"/>
      <c r="I490" s="49" t="n"/>
      <c r="J490" s="49" t="n"/>
      <c r="K490" s="49" t="n"/>
    </row>
    <row r="491">
      <c r="B491" s="49" t="n"/>
      <c r="C491" s="49" t="n"/>
      <c r="D491" s="49" t="n"/>
      <c r="E491" s="49" t="n"/>
      <c r="F491" s="49" t="n"/>
      <c r="G491" s="49" t="n"/>
      <c r="H491" s="49" t="n"/>
      <c r="I491" s="49" t="n"/>
      <c r="J491" s="49" t="n"/>
      <c r="K491" s="49" t="n"/>
    </row>
    <row r="492">
      <c r="B492" s="49" t="n"/>
      <c r="C492" s="49" t="n"/>
      <c r="D492" s="49" t="n"/>
      <c r="E492" s="49" t="n"/>
      <c r="F492" s="49" t="n"/>
      <c r="G492" s="49" t="n"/>
      <c r="H492" s="49" t="n"/>
      <c r="I492" s="49" t="n"/>
      <c r="J492" s="49" t="n"/>
      <c r="K492" s="49" t="n"/>
    </row>
    <row r="493">
      <c r="B493" s="49" t="n"/>
      <c r="C493" s="49" t="n"/>
      <c r="D493" s="49" t="n"/>
      <c r="E493" s="49" t="n"/>
      <c r="F493" s="49" t="n"/>
      <c r="G493" s="49" t="n"/>
      <c r="H493" s="49" t="n"/>
      <c r="I493" s="49" t="n"/>
      <c r="J493" s="49" t="n"/>
      <c r="K493" s="49" t="n"/>
    </row>
    <row r="494">
      <c r="B494" s="49" t="n"/>
      <c r="C494" s="49" t="n"/>
      <c r="D494" s="49" t="n"/>
      <c r="E494" s="49" t="n"/>
      <c r="F494" s="49" t="n"/>
      <c r="G494" s="49" t="n"/>
      <c r="H494" s="49" t="n"/>
      <c r="I494" s="49" t="n"/>
      <c r="J494" s="49" t="n"/>
      <c r="K494" s="49" t="n"/>
    </row>
    <row r="495">
      <c r="B495" s="49" t="n"/>
      <c r="C495" s="49" t="n"/>
      <c r="D495" s="49" t="n"/>
      <c r="E495" s="49" t="n"/>
      <c r="F495" s="49" t="n"/>
      <c r="G495" s="49" t="n"/>
      <c r="H495" s="49" t="n"/>
      <c r="I495" s="49" t="n"/>
      <c r="J495" s="49" t="n"/>
      <c r="K495" s="49" t="n"/>
    </row>
    <row r="496">
      <c r="B496" s="49" t="n"/>
      <c r="C496" s="49" t="n"/>
      <c r="D496" s="49" t="n"/>
      <c r="E496" s="49" t="n"/>
      <c r="F496" s="49" t="n"/>
      <c r="G496" s="49" t="n"/>
      <c r="H496" s="49" t="n"/>
      <c r="I496" s="49" t="n"/>
      <c r="J496" s="49" t="n"/>
      <c r="K496" s="49" t="n"/>
    </row>
    <row r="497">
      <c r="B497" s="49" t="n"/>
      <c r="C497" s="49" t="n"/>
      <c r="D497" s="49" t="n"/>
      <c r="E497" s="49" t="n"/>
      <c r="F497" s="49" t="n"/>
      <c r="G497" s="49" t="n"/>
      <c r="H497" s="49" t="n"/>
      <c r="I497" s="49" t="n"/>
      <c r="J497" s="49" t="n"/>
      <c r="K497" s="49" t="n"/>
    </row>
    <row r="498">
      <c r="B498" s="49" t="n"/>
      <c r="C498" s="49" t="n"/>
      <c r="D498" s="49" t="n"/>
      <c r="E498" s="49" t="n"/>
      <c r="F498" s="49" t="n"/>
      <c r="G498" s="49" t="n"/>
      <c r="H498" s="49" t="n"/>
      <c r="I498" s="49" t="n"/>
      <c r="J498" s="49" t="n"/>
      <c r="K498" s="49" t="n"/>
    </row>
    <row r="499">
      <c r="B499" s="49" t="n"/>
      <c r="C499" s="49" t="n"/>
      <c r="D499" s="49" t="n"/>
      <c r="E499" s="49" t="n"/>
      <c r="F499" s="49" t="n"/>
      <c r="G499" s="49" t="n"/>
      <c r="H499" s="49" t="n"/>
      <c r="I499" s="49" t="n"/>
      <c r="J499" s="49" t="n"/>
      <c r="K499" s="49" t="n"/>
    </row>
    <row r="500">
      <c r="B500" s="49" t="n"/>
      <c r="C500" s="49" t="n"/>
      <c r="D500" s="49" t="n"/>
      <c r="E500" s="49" t="n"/>
      <c r="F500" s="49" t="n"/>
      <c r="G500" s="49" t="n"/>
      <c r="H500" s="49" t="n"/>
      <c r="I500" s="49" t="n"/>
      <c r="J500" s="49" t="n"/>
      <c r="K500" s="49" t="n"/>
    </row>
    <row r="501">
      <c r="B501" s="49" t="n"/>
      <c r="C501" s="49" t="n"/>
      <c r="D501" s="49" t="n"/>
      <c r="E501" s="49" t="n"/>
      <c r="F501" s="49" t="n"/>
      <c r="G501" s="49" t="n"/>
      <c r="H501" s="49" t="n"/>
      <c r="I501" s="49" t="n"/>
      <c r="J501" s="49" t="n"/>
      <c r="K501" s="49" t="n"/>
    </row>
    <row r="502">
      <c r="B502" s="49" t="n"/>
      <c r="C502" s="49" t="n"/>
      <c r="D502" s="49" t="n"/>
      <c r="E502" s="49" t="n"/>
      <c r="F502" s="49" t="n"/>
      <c r="G502" s="49" t="n"/>
      <c r="H502" s="49" t="n"/>
      <c r="I502" s="49" t="n"/>
      <c r="J502" s="49" t="n"/>
      <c r="K502" s="49" t="n"/>
    </row>
    <row r="503">
      <c r="B503" s="49" t="n"/>
      <c r="C503" s="49" t="n"/>
      <c r="D503" s="49" t="n"/>
      <c r="E503" s="49" t="n"/>
      <c r="F503" s="49" t="n"/>
      <c r="G503" s="49" t="n"/>
      <c r="H503" s="49" t="n"/>
      <c r="I503" s="49" t="n"/>
      <c r="J503" s="49" t="n"/>
      <c r="K503" s="49" t="n"/>
    </row>
    <row r="504">
      <c r="B504" s="49" t="n"/>
      <c r="C504" s="49" t="n"/>
      <c r="D504" s="49" t="n"/>
      <c r="E504" s="49" t="n"/>
      <c r="F504" s="49" t="n"/>
      <c r="G504" s="49" t="n"/>
      <c r="H504" s="49" t="n"/>
      <c r="I504" s="49" t="n"/>
      <c r="J504" s="49" t="n"/>
      <c r="K504" s="49" t="n"/>
    </row>
    <row r="505">
      <c r="B505" s="49" t="n"/>
      <c r="C505" s="49" t="n"/>
      <c r="D505" s="49" t="n"/>
      <c r="E505" s="49" t="n"/>
      <c r="F505" s="49" t="n"/>
      <c r="G505" s="49" t="n"/>
      <c r="H505" s="49" t="n"/>
      <c r="I505" s="49" t="n"/>
      <c r="J505" s="49" t="n"/>
      <c r="K505" s="49" t="n"/>
    </row>
    <row r="506">
      <c r="B506" s="49" t="n"/>
      <c r="C506" s="49" t="n"/>
      <c r="D506" s="49" t="n"/>
      <c r="E506" s="49" t="n"/>
      <c r="F506" s="49" t="n"/>
      <c r="G506" s="49" t="n"/>
      <c r="H506" s="49" t="n"/>
      <c r="I506" s="49" t="n"/>
      <c r="J506" s="49" t="n"/>
      <c r="K506" s="49" t="n"/>
    </row>
    <row r="507">
      <c r="B507" s="49" t="n"/>
      <c r="C507" s="49" t="n"/>
      <c r="D507" s="49" t="n"/>
      <c r="E507" s="49" t="n"/>
      <c r="F507" s="49" t="n"/>
      <c r="G507" s="49" t="n"/>
      <c r="H507" s="49" t="n"/>
      <c r="I507" s="49" t="n"/>
      <c r="J507" s="49" t="n"/>
      <c r="K507" s="49" t="n"/>
    </row>
    <row r="508">
      <c r="B508" s="49" t="n"/>
      <c r="C508" s="49" t="n"/>
      <c r="D508" s="49" t="n"/>
      <c r="E508" s="49" t="n"/>
      <c r="F508" s="49" t="n"/>
      <c r="G508" s="49" t="n"/>
      <c r="H508" s="49" t="n"/>
      <c r="I508" s="49" t="n"/>
      <c r="J508" s="49" t="n"/>
      <c r="K508" s="49" t="n"/>
    </row>
    <row r="509">
      <c r="B509" s="49" t="n"/>
      <c r="C509" s="49" t="n"/>
      <c r="D509" s="49" t="n"/>
      <c r="E509" s="49" t="n"/>
      <c r="F509" s="49" t="n"/>
      <c r="G509" s="49" t="n"/>
      <c r="H509" s="49" t="n"/>
      <c r="I509" s="49" t="n"/>
      <c r="J509" s="49" t="n"/>
      <c r="K509" s="49" t="n"/>
    </row>
    <row r="510">
      <c r="B510" s="49" t="n"/>
      <c r="C510" s="49" t="n"/>
      <c r="D510" s="49" t="n"/>
      <c r="E510" s="49" t="n"/>
      <c r="F510" s="49" t="n"/>
      <c r="G510" s="49" t="n"/>
      <c r="H510" s="49" t="n"/>
      <c r="I510" s="49" t="n"/>
      <c r="J510" s="49" t="n"/>
      <c r="K510" s="49" t="n"/>
    </row>
    <row r="511">
      <c r="B511" s="49" t="n"/>
      <c r="C511" s="49" t="n"/>
      <c r="D511" s="49" t="n"/>
      <c r="E511" s="49" t="n"/>
      <c r="F511" s="49" t="n"/>
      <c r="G511" s="49" t="n"/>
      <c r="H511" s="49" t="n"/>
      <c r="I511" s="49" t="n"/>
      <c r="J511" s="49" t="n"/>
      <c r="K511" s="49" t="n"/>
    </row>
    <row r="512">
      <c r="B512" s="49" t="n"/>
      <c r="C512" s="49" t="n"/>
      <c r="D512" s="49" t="n"/>
      <c r="E512" s="49" t="n"/>
      <c r="F512" s="49" t="n"/>
      <c r="G512" s="49" t="n"/>
      <c r="H512" s="49" t="n"/>
      <c r="I512" s="49" t="n"/>
      <c r="J512" s="49" t="n"/>
      <c r="K512" s="49" t="n"/>
    </row>
    <row r="513">
      <c r="B513" s="49" t="n"/>
      <c r="C513" s="49" t="n"/>
      <c r="D513" s="49" t="n"/>
      <c r="E513" s="49" t="n"/>
      <c r="F513" s="49" t="n"/>
      <c r="G513" s="49" t="n"/>
      <c r="H513" s="49" t="n"/>
      <c r="I513" s="49" t="n"/>
      <c r="J513" s="49" t="n"/>
      <c r="K513" s="49" t="n"/>
    </row>
    <row r="514">
      <c r="B514" s="49" t="n"/>
      <c r="C514" s="49" t="n"/>
      <c r="D514" s="49" t="n"/>
      <c r="E514" s="49" t="n"/>
      <c r="F514" s="49" t="n"/>
      <c r="G514" s="49" t="n"/>
      <c r="H514" s="49" t="n"/>
      <c r="I514" s="49" t="n"/>
      <c r="J514" s="49" t="n"/>
      <c r="K514" s="49" t="n"/>
    </row>
    <row r="515">
      <c r="B515" s="49" t="n"/>
      <c r="C515" s="49" t="n"/>
      <c r="D515" s="49" t="n"/>
      <c r="E515" s="49" t="n"/>
      <c r="F515" s="49" t="n"/>
      <c r="G515" s="49" t="n"/>
      <c r="H515" s="49" t="n"/>
      <c r="I515" s="49" t="n"/>
      <c r="J515" s="49" t="n"/>
      <c r="K515" s="49" t="n"/>
    </row>
    <row r="516">
      <c r="B516" s="49" t="n"/>
      <c r="C516" s="49" t="n"/>
      <c r="D516" s="49" t="n"/>
      <c r="E516" s="49" t="n"/>
      <c r="F516" s="49" t="n"/>
      <c r="G516" s="49" t="n"/>
      <c r="H516" s="49" t="n"/>
      <c r="I516" s="49" t="n"/>
      <c r="J516" s="49" t="n"/>
      <c r="K516" s="49" t="n"/>
    </row>
    <row r="517">
      <c r="B517" s="49" t="n"/>
      <c r="C517" s="49" t="n"/>
      <c r="D517" s="49" t="n"/>
      <c r="E517" s="49" t="n"/>
      <c r="F517" s="49" t="n"/>
      <c r="G517" s="49" t="n"/>
      <c r="H517" s="49" t="n"/>
      <c r="I517" s="49" t="n"/>
      <c r="J517" s="49" t="n"/>
      <c r="K517" s="49"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AND(LEN($B17&amp;$C17&amp;$D17&amp;$E17&amp;$F17&amp;$G17&amp;$H17&amp;$I17&amp;$J17&amp;$K17)&gt;0,B17="")</formula>
    </cfRule>
  </conditionalFormatting>
  <conditionalFormatting sqref="C17:C517">
    <cfRule type="expression" priority="3" dxfId="6">
      <formula>AND(LEN($B17&amp;$C17&amp;$D17&amp;$E17&amp;$F17&amp;$G17&amp;$H17&amp;$I17&amp;$J17&amp;$K17)&gt;0,C17="")</formula>
    </cfRule>
  </conditionalFormatting>
  <conditionalFormatting sqref="D17:D517">
    <cfRule type="expression" priority="4" dxfId="6">
      <formula>AND(LEN($B17&amp;$C17&amp;$D17&amp;$E17&amp;$F17&amp;$G17&amp;$H17&amp;$I17&amp;$J17&amp;$K17)&gt;0,D17="")</formula>
    </cfRule>
  </conditionalFormatting>
  <conditionalFormatting sqref="E17:E517">
    <cfRule type="expression" priority="5" dxfId="6">
      <formula>AND(LEN($B17&amp;$C17&amp;$D17&amp;$E17&amp;$F17&amp;$G17&amp;$H17&amp;$I17&amp;$J17&amp;$K17)&gt;0,E17="")</formula>
    </cfRule>
  </conditionalFormatting>
  <conditionalFormatting sqref="K17:K517">
    <cfRule type="expression" priority="6" dxfId="6">
      <formula>AND(LEN($B17&amp;$C17&amp;$D17&amp;$E17&amp;$F17&amp;$G17&amp;$H17&amp;$I17&amp;$J17&amp;$K17)&gt;0,K17="")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The code is not in D0-11, column Bank account code. Enter it there first, or keep it if it is a code BIBS already holds." promptTitle="Bank account code" prompt="Yes. Bank account of the statements Allowed: Code of an existing bank account" type="list" errorStyle="warning">
      <formula1>=CODES_D0_11_BANK_ACCOUNT_CODE</formula1>
    </dataValidation>
    <dataValidation sqref="C17:C517" showDropDown="0" showInputMessage="1" showErrorMessage="0" allowBlank="1" promptTitle="Layout name" prompt="Yes. Name of the layout"/>
    <dataValidation sqref="D17:D517" showDropDown="0" showInputMessage="1" showErrorMessage="0" allowBlank="1" promptTitle="Date column" prompt="Yes. Column of the posting date"/>
    <dataValidation sqref="E17:E517" showDropDown="0" showInputMessage="1" showErrorMessage="0" allowBlank="1" promptTitle="Description column" prompt="Yes. Column of the description"/>
    <dataValidation sqref="F17:F517" showDropDown="0" showInputMessage="1" showErrorMessage="0" allowBlank="1" promptTitle="Reference column" prompt="No. Column of the reference"/>
    <dataValidation sqref="G17:G517" showDropDown="0" showInputMessage="1" showErrorMessage="0" allowBlank="1" promptTitle="Debit column" prompt="No. Column of the debits"/>
    <dataValidation sqref="H17:H517" showDropDown="0" showInputMessage="1" showErrorMessage="0" allowBlank="1" promptTitle="Credit column" prompt="No. Column of the credits"/>
    <dataValidation sqref="I17:I517" showDropDown="0" showInputMessage="1" showErrorMessage="0" allowBlank="1" promptTitle="Amount column" prompt="No. Column of a signed amount, instead of debit and credit"/>
    <dataValidation sqref="J17:J517" showDropDown="0" showInputMessage="1" showErrorMessage="0" allowBlank="1" promptTitle="Balance column" prompt="No. Column of the balance"/>
    <dataValidation sqref="K17:K517" showDropDown="0" showInputMessage="1" showErrorMessage="0" allowBlank="1" promptTitle="Date format" prompt="Yes. How the bank writes dates"/>
  </dataValidations>
  <hyperlinks>
    <hyperlink ref="A2" location="'Start here'!A1"/>
    <hyperlink ref="K2" location="'Questions and comments'!A1"/>
    <hyperlink ref="B8" location="'D0-11 Bank accounts'!A1"/>
    <hyperlink ref="B14" location="'D0-11 Bank accounts'!B1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5.xml><?xml version="1.0" encoding="utf-8"?>
<worksheet xmlns="http://schemas.openxmlformats.org/spreadsheetml/2006/main">
  <sheetPr>
    <tabColor rgb="00004EA8"/>
    <outlinePr summaryBelow="0" summaryRight="1"/>
    <pageSetUpPr fitToPage="1"/>
  </sheetPr>
  <dimension ref="A1:L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16" customWidth="1" min="4" max="4"/>
    <col width="13" customWidth="1" min="5" max="5"/>
    <col width="24" customWidth="1" min="6" max="6"/>
    <col width="16" customWidth="1" min="7" max="7"/>
    <col width="19.54545454545454" customWidth="1" min="8" max="8"/>
    <col width="19.54545454545454" customWidth="1" min="9" max="9"/>
    <col width="19.54545454545454" customWidth="1" min="10" max="10"/>
    <col width="19.54545454545454" customWidth="1" min="11" max="11"/>
    <col width="14.54545454545454" customWidth="1" min="12" max="12"/>
  </cols>
  <sheetData>
    <row r="1" ht="26" customHeight="1">
      <c r="A1" s="25" t="inlineStr">
        <is>
          <t>G01 GL opening trial balance</t>
        </is>
      </c>
      <c r="L1" s="26" t="inlineStr">
        <is>
          <t>Step 43 of 52</t>
        </is>
      </c>
    </row>
    <row r="2">
      <c r="A2" s="27" t="inlineStr">
        <is>
          <t>← Back to Start here</t>
        </is>
      </c>
      <c r="B2" s="28" t="inlineStr">
        <is>
          <t>Step 43 of 52. Fill in one row per record below the column headers; the guide above each column says what to enter.</t>
        </is>
      </c>
      <c r="L2" s="29" t="inlineStr">
        <is>
          <t>Ask a question →</t>
        </is>
      </c>
    </row>
    <row r="3" outlineLevel="1" ht="28" customHeight="1">
      <c r="A3" s="30" t="inlineStr">
        <is>
          <t>Purpose</t>
        </is>
      </c>
      <c r="B3" s="31" t="inlineStr">
        <is>
          <t>One row per record of GL trial balance per account, branch and currency (provisional opening; legacy TB at each true-up) as extracted from EBIX GL, ISYS GL. Key tb_version, branch_code, currency, legacy_account_code, cost_center. Sent as the file G01_template.csv (CSV, header row as below) with its control file (row count, row count; amount totals per currency: debit_fc, credit_fc, debit_php, credit_php).</t>
        </is>
      </c>
    </row>
    <row r="4" outlineLevel="1" ht="15.5" customHeight="1">
      <c r="A4" s="30" t="inlineStr">
        <is>
          <t>Provided by</t>
        </is>
      </c>
      <c r="B4" s="31" t="inlineStr">
        <is>
          <t>Comptrollership data steward (to name); approved by Head, Comptrollership; extracted by BDOI IT</t>
        </is>
      </c>
    </row>
    <row r="5" outlineLevel="1" ht="15.5" customHeight="1">
      <c r="A5" s="30" t="inlineStr">
        <is>
          <t>Due</t>
        </is>
      </c>
      <c r="B5" s="32" t="inlineStr">
        <is>
          <t>M3 (29 Jan 2027); final at T-2; at each true-up</t>
        </is>
      </c>
    </row>
    <row r="6" outlineLevel="1" ht="28" customHeight="1">
      <c r="A6" s="30" t="inlineStr">
        <is>
          <t>How it is loaded</t>
        </is>
      </c>
      <c r="B6" s="31" t="inlineStr">
        <is>
          <t>Migration Console: the file G01_template.csv (the header row as below) and its control file are received on Data Migration › Data Migration › Extracts and loaded by a batch of object G01; lands in: General ledger journals of type OPENING (value date 1-Jan-2028); at a true-up, reconciliation input only</t>
        </is>
      </c>
    </row>
    <row r="7" outlineLevel="1" ht="15.5" customHeight="1">
      <c r="A7" s="30" t="inlineStr">
        <is>
          <t>Source</t>
        </is>
      </c>
      <c r="B7" s="31" t="inlineStr">
        <is>
          <t>EBIX GL, ISYS GL</t>
        </is>
      </c>
    </row>
    <row r="8" outlineLevel="1" ht="26" customHeight="1">
      <c r="A8" s="30" t="inlineStr">
        <is>
          <t>Depends on</t>
        </is>
      </c>
      <c r="B8" s="53" t="inlineStr">
        <is>
          <t>R08 Chart of accounts mapping →</t>
        </is>
      </c>
      <c r="D8" s="53" t="inlineStr">
        <is>
          <t>D0-02 Branches →</t>
        </is>
      </c>
    </row>
    <row r="9" ht="26" customHeight="1">
      <c r="A9" s="34" t="inlineStr">
        <is>
          <t>Progress</t>
        </is>
      </c>
      <c r="B9" s="35" t="inlineStr">
        <is>
          <t>Rows entered</t>
        </is>
      </c>
      <c r="C9" s="36">
        <f>SUMPRODUCT(((ROW($B$18:$B$218)&gt;18)+($B$18&lt;&gt;"PROVISIONAL")&gt;0)*(LEN($B$18:$B$218&amp;$C$18:$C$218&amp;$D$18:$D$218&amp;$E$18:$E$218&amp;$F$18:$F$218&amp;$G$18:$G$218&amp;$H$18:$H$218&amp;$I$18:$I$218&amp;$J$18:$J$218&amp;$K$18:$K$218&amp;$L$18:$L$218)&gt;0))</f>
        <v/>
      </c>
      <c r="D9" s="35" t="inlineStr">
        <is>
          <t>Mandatory cells missing</t>
        </is>
      </c>
      <c r="E9" s="36">
        <f>SUMPRODUCT(((ROW($B$18:$B$218)&gt;18)+($B$18&lt;&gt;"PROVISIONAL")&gt;0)*(LEN($B$18:$B$218&amp;$C$18:$C$218&amp;$D$18:$D$218&amp;$E$18:$E$218&amp;$F$18:$F$218&amp;$G$18:$G$218&amp;$H$18:$H$218&amp;$I$18:$I$218&amp;$J$18:$J$218&amp;$K$18:$K$218&amp;$L$18:$L$218)&gt;0)*(($B$18:$B$218="")+($C$18:$C$218="")+($D$18:$D$218="")+($E$18:$E$218="")+($F$18:$F$218="")+($H$18:$H$218="")+($I$18:$I$218="")+($J$18:$J$218="")+($K$18:$K$218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row>
    <row r="12" ht="43" customHeight="1">
      <c r="A12" s="41" t="inlineStr">
        <is>
          <t>Check when loaded</t>
        </is>
      </c>
      <c r="B12" s="43" t="inlineStr">
        <is>
          <t>In the list; one version per file</t>
        </is>
      </c>
      <c r="C12" s="43" t="inlineStr">
        <is>
          <t>One date in the file</t>
        </is>
      </c>
      <c r="D12" s="43" t="inlineStr">
        <is>
          <t>Mapped</t>
        </is>
      </c>
      <c r="E12" s="43" t="inlineStr">
        <is>
          <t>Valid code</t>
        </is>
      </c>
      <c r="F12" s="43" t="inlineStr">
        <is>
          <t>Mapped</t>
        </is>
      </c>
      <c r="G12" s="43" t="inlineStr">
        <is>
          <t>Mapped</t>
        </is>
      </c>
      <c r="H12" s="43" t="inlineStr">
        <is>
          <t>0 or more; debit or credit, not both</t>
        </is>
      </c>
      <c r="I12" s="43" t="inlineStr">
        <is>
          <t>0 or more</t>
        </is>
      </c>
      <c r="J12" s="43" t="inlineStr">
        <is>
          <t>0 or more</t>
        </is>
      </c>
      <c r="K12" s="43" t="inlineStr">
        <is>
          <t>0 or more</t>
        </is>
      </c>
      <c r="L12" s="43" t="inlineStr">
        <is>
          <t>Mandatory when currency is not PHP</t>
        </is>
      </c>
    </row>
    <row r="13" ht="43" customHeight="1">
      <c r="A13" s="41" t="inlineStr">
        <is>
          <t>Mandatory</t>
        </is>
      </c>
      <c r="B13" s="42" t="inlineStr">
        <is>
          <t>Yes</t>
        </is>
      </c>
      <c r="C13" s="42" t="inlineStr">
        <is>
          <t>Yes</t>
        </is>
      </c>
      <c r="D13" s="42" t="inlineStr">
        <is>
          <t>Yes</t>
        </is>
      </c>
      <c r="E13" s="42" t="inlineStr">
        <is>
          <t>Yes</t>
        </is>
      </c>
      <c r="F13" s="42" t="inlineStr">
        <is>
          <t>Yes</t>
        </is>
      </c>
      <c r="G13" s="43" t="inlineStr">
        <is>
          <t>No</t>
        </is>
      </c>
      <c r="H13" s="42" t="inlineStr">
        <is>
          <t>Yes</t>
        </is>
      </c>
      <c r="I13" s="42" t="inlineStr">
        <is>
          <t>Yes</t>
        </is>
      </c>
      <c r="J13" s="42" t="inlineStr">
        <is>
          <t>Yes</t>
        </is>
      </c>
      <c r="K13" s="42" t="inlineStr">
        <is>
          <t>Yes</t>
        </is>
      </c>
      <c r="L13" s="43" t="inlineStr">
        <is>
          <t>Conditional: Mandatory when currency is not PHP</t>
        </is>
      </c>
    </row>
    <row r="14" ht="30" customHeight="1">
      <c r="A14" s="41" t="inlineStr">
        <is>
          <t>Format</t>
        </is>
      </c>
      <c r="B14" s="43" t="inlineStr">
        <is>
          <t>Code, up to 12; Upper case</t>
        </is>
      </c>
      <c r="C14" s="43" t="inlineStr">
        <is>
          <t>Date, up to 10; yyyy-MM-dd</t>
        </is>
      </c>
      <c r="D14" s="43" t="inlineStr">
        <is>
          <t>Code, up to 20; As stored in legacy</t>
        </is>
      </c>
      <c r="E14" s="43" t="inlineStr">
        <is>
          <t>Code, up to 3; Upper case</t>
        </is>
      </c>
      <c r="F14" s="43" t="inlineStr">
        <is>
          <t>Code, up to 30; As stored in legacy</t>
        </is>
      </c>
      <c r="G14" s="43" t="inlineStr">
        <is>
          <t>Code, up to 20; As stored in legacy</t>
        </is>
      </c>
      <c r="H14" s="43" t="inlineStr">
        <is>
          <t>Amount, up to 19,2; Dot decimal, 2 decimals</t>
        </is>
      </c>
      <c r="I14" s="43" t="inlineStr">
        <is>
          <t>Amount, up to 19,2; Dot decimal, 2 decimals</t>
        </is>
      </c>
      <c r="J14" s="43" t="inlineStr">
        <is>
          <t>Amount, up to 19,2; Dot decimal, 2 decimals</t>
        </is>
      </c>
      <c r="K14" s="43" t="inlineStr">
        <is>
          <t>Amount, up to 19,2; Dot decimal, 2 decimals</t>
        </is>
      </c>
      <c r="L14" s="43" t="inlineStr">
        <is>
          <t>Decimal, up to 12,6; Dot decimal</t>
        </is>
      </c>
    </row>
    <row r="15" ht="121" customHeight="1">
      <c r="A15" s="41" t="inlineStr">
        <is>
          <t>Allowed values</t>
        </is>
      </c>
      <c r="B15" s="51" t="inlineStr">
        <is>
          <t>PROVISIONAL, TU1, TU2, TU3, FINAL (list G01 tb_version)</t>
        </is>
      </c>
      <c r="C15" s="43" t="inlineStr">
        <is>
          <t>Free entry</t>
        </is>
      </c>
      <c r="D15" s="43" t="inlineStr">
        <is>
          <t>The legacy code; mapped by the code map BRANCH (Code Maps screen of the Data Migration Console; maps prepared in the Migration Workbook of BRD-13)</t>
        </is>
      </c>
      <c r="E15" s="43" t="inlineStr">
        <is>
          <t>ISO 4217</t>
        </is>
      </c>
      <c r="F15" s="43" t="inlineStr">
        <is>
          <t>The legacy code; mapped by the code map GL_ACCOUNT (Code Maps screen of the Data Migration Console; maps prepared in the Migration Workbook of BRD-13)</t>
        </is>
      </c>
      <c r="G15" s="43" t="inlineStr">
        <is>
          <t>The legacy code; mapped by the code map COST_CENTER (Code Maps screen of the Data Migration Console; maps prepared in the Migration Workbook of BRD-13)</t>
        </is>
      </c>
      <c r="H15" s="43" t="inlineStr">
        <is>
          <t>A number</t>
        </is>
      </c>
      <c r="I15" s="43" t="inlineStr">
        <is>
          <t>A number</t>
        </is>
      </c>
      <c r="J15" s="43" t="inlineStr">
        <is>
          <t>A number</t>
        </is>
      </c>
      <c r="K15" s="43" t="inlineStr">
        <is>
          <t>A number</t>
        </is>
      </c>
      <c r="L15" s="43" t="inlineStr">
        <is>
          <t>A number</t>
        </is>
      </c>
    </row>
    <row r="16" ht="108" customHeight="1">
      <c r="A16" s="41" t="inlineStr">
        <is>
          <t>What to enter</t>
        </is>
      </c>
      <c r="B16" s="43" t="inlineStr">
        <is>
          <t>Version of the trial balance - PROVISIONAL at cut-over (preliminary December TB), then TU1, TU2... and FINAL (audited) at the true-ups</t>
        </is>
      </c>
      <c r="C16" s="43" t="inlineStr">
        <is>
          <t>Trial balance date - 31-Dec-2027 for every version; the version says which adjustments it includes</t>
        </is>
      </c>
      <c r="D16" s="43" t="inlineStr">
        <is>
          <t>Branch</t>
        </is>
      </c>
      <c r="E16" s="43" t="inlineStr">
        <is>
          <t>Account currency</t>
        </is>
      </c>
      <c r="F16" s="43" t="inlineStr">
        <is>
          <t>Legacy account</t>
        </is>
      </c>
      <c r="G16" s="43" t="inlineStr">
        <is>
          <t>Cost centre</t>
        </is>
      </c>
      <c r="H16" s="43" t="inlineStr">
        <is>
          <t>Debit balance in the account currency</t>
        </is>
      </c>
      <c r="I16" s="43" t="inlineStr">
        <is>
          <t>Credit balance in the account currency</t>
        </is>
      </c>
      <c r="J16" s="43" t="inlineStr">
        <is>
          <t>Debit balance in PHP</t>
        </is>
      </c>
      <c r="K16" s="43" t="inlineStr">
        <is>
          <t>Credit balance in PHP</t>
        </is>
      </c>
      <c r="L16" s="43" t="inlineStr">
        <is>
          <t>Rate used for the PHP amount</t>
        </is>
      </c>
    </row>
    <row r="17" ht="30" customHeight="1">
      <c r="A17" s="44" t="inlineStr">
        <is>
          <t>Row</t>
        </is>
      </c>
      <c r="B17" s="45" t="inlineStr">
        <is>
          <t>tb_version *</t>
        </is>
      </c>
      <c r="C17" s="45" t="inlineStr">
        <is>
          <t>as_of_date *</t>
        </is>
      </c>
      <c r="D17" s="45" t="inlineStr">
        <is>
          <t>branch_code *</t>
        </is>
      </c>
      <c r="E17" s="45" t="inlineStr">
        <is>
          <t>currency *</t>
        </is>
      </c>
      <c r="F17" s="45" t="inlineStr">
        <is>
          <t>legacy_account_code *</t>
        </is>
      </c>
      <c r="G17" s="45" t="inlineStr">
        <is>
          <t>cost_center</t>
        </is>
      </c>
      <c r="H17" s="45" t="inlineStr">
        <is>
          <t>debit_fc *</t>
        </is>
      </c>
      <c r="I17" s="45" t="inlineStr">
        <is>
          <t>credit_fc *</t>
        </is>
      </c>
      <c r="J17" s="45" t="inlineStr">
        <is>
          <t>debit_php *</t>
        </is>
      </c>
      <c r="K17" s="45" t="inlineStr">
        <is>
          <t>credit_php *</t>
        </is>
      </c>
      <c r="L17" s="45" t="inlineStr">
        <is>
          <t>fx_rate</t>
        </is>
      </c>
    </row>
    <row r="18" ht="18" customHeight="1">
      <c r="A18" s="46" t="inlineStr">
        <is>
          <t>Example – overwrite or delete</t>
        </is>
      </c>
      <c r="B18" s="47" t="inlineStr">
        <is>
          <t>PROVISIONAL</t>
        </is>
      </c>
      <c r="C18" s="47" t="inlineStr">
        <is>
          <t>2027-12-31</t>
        </is>
      </c>
      <c r="D18" s="47" t="inlineStr">
        <is>
          <t>MKT01</t>
        </is>
      </c>
      <c r="E18" s="47" t="inlineStr">
        <is>
          <t>USD</t>
        </is>
      </c>
      <c r="F18" s="47" t="inlineStr">
        <is>
          <t>1101-02</t>
        </is>
      </c>
      <c r="G18" s="47" t="inlineStr">
        <is>
          <t>4100</t>
        </is>
      </c>
      <c r="H18" s="52" t="n">
        <v>12500</v>
      </c>
      <c r="I18" s="52" t="n">
        <v>0</v>
      </c>
      <c r="J18" s="52" t="n">
        <v>701562.5</v>
      </c>
      <c r="K18" s="52" t="n">
        <v>0</v>
      </c>
      <c r="L18" s="52" t="n">
        <v>56.125</v>
      </c>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sheetData>
  <mergeCells count="8">
    <mergeCell ref="B4:L4"/>
    <mergeCell ref="B6:L6"/>
    <mergeCell ref="B7:L7"/>
    <mergeCell ref="B10:C10"/>
    <mergeCell ref="B3:L3"/>
    <mergeCell ref="B5:L5"/>
    <mergeCell ref="D8:L8"/>
    <mergeCell ref="B8:C8"/>
  </mergeCells>
  <conditionalFormatting sqref="E9">
    <cfRule type="cellIs" priority="1" operator="greaterThan" dxfId="5">
      <formula>0</formula>
    </cfRule>
  </conditionalFormatting>
  <conditionalFormatting sqref="B18:B218">
    <cfRule type="expression" priority="2" dxfId="6">
      <formula>AND(LEN($B18&amp;$C18&amp;$D18&amp;$E18&amp;$F18&amp;$G18&amp;$H18&amp;$I18&amp;$J18&amp;$K18&amp;$L18)&gt;0,B18="")</formula>
    </cfRule>
  </conditionalFormatting>
  <conditionalFormatting sqref="C18:C218">
    <cfRule type="expression" priority="3" dxfId="6">
      <formula>AND(LEN($B18&amp;$C18&amp;$D18&amp;$E18&amp;$F18&amp;$G18&amp;$H18&amp;$I18&amp;$J18&amp;$K18&amp;$L18)&gt;0,C18="")</formula>
    </cfRule>
  </conditionalFormatting>
  <conditionalFormatting sqref="D18:D218">
    <cfRule type="expression" priority="4" dxfId="6">
      <formula>AND(LEN($B18&amp;$C18&amp;$D18&amp;$E18&amp;$F18&amp;$G18&amp;$H18&amp;$I18&amp;$J18&amp;$K18&amp;$L18)&gt;0,D18="")</formula>
    </cfRule>
  </conditionalFormatting>
  <conditionalFormatting sqref="E18:E218">
    <cfRule type="expression" priority="5" dxfId="6">
      <formula>AND(LEN($B18&amp;$C18&amp;$D18&amp;$E18&amp;$F18&amp;$G18&amp;$H18&amp;$I18&amp;$J18&amp;$K18&amp;$L18)&gt;0,E18="")</formula>
    </cfRule>
  </conditionalFormatting>
  <conditionalFormatting sqref="F18:F218">
    <cfRule type="expression" priority="6" dxfId="6">
      <formula>AND(LEN($B18&amp;$C18&amp;$D18&amp;$E18&amp;$F18&amp;$G18&amp;$H18&amp;$I18&amp;$J18&amp;$K18&amp;$L18)&gt;0,F18="")</formula>
    </cfRule>
  </conditionalFormatting>
  <conditionalFormatting sqref="H18:H218">
    <cfRule type="expression" priority="7" dxfId="6">
      <formula>AND(LEN($B18&amp;$C18&amp;$D18&amp;$E18&amp;$F18&amp;$G18&amp;$H18&amp;$I18&amp;$J18&amp;$K18&amp;$L18)&gt;0,H18="")</formula>
    </cfRule>
  </conditionalFormatting>
  <conditionalFormatting sqref="I18:I218">
    <cfRule type="expression" priority="8" dxfId="6">
      <formula>AND(LEN($B18&amp;$C18&amp;$D18&amp;$E18&amp;$F18&amp;$G18&amp;$H18&amp;$I18&amp;$J18&amp;$K18&amp;$L18)&gt;0,I18="")</formula>
    </cfRule>
  </conditionalFormatting>
  <conditionalFormatting sqref="J18:J218">
    <cfRule type="expression" priority="9" dxfId="6">
      <formula>AND(LEN($B18&amp;$C18&amp;$D18&amp;$E18&amp;$F18&amp;$G18&amp;$H18&amp;$I18&amp;$J18&amp;$K18&amp;$L18)&gt;0,J18="")</formula>
    </cfRule>
  </conditionalFormatting>
  <conditionalFormatting sqref="K18:K218">
    <cfRule type="expression" priority="10" dxfId="6">
      <formula>AND(LEN($B18&amp;$C18&amp;$D18&amp;$E18&amp;$F18&amp;$G18&amp;$H18&amp;$I18&amp;$J18&amp;$K18&amp;$L18)&gt;0,K18="")</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tb_version" error="Choose a value of the list G01 tb_version (sheet Reference lists)." promptTitle="tb_version" prompt="Yes. Version of the trial balance - PROVISIONAL at cut-over (preliminary December TB), then TU1, TU2... and FINAL (audited) at the true-ups Allowed: PROVISIONAL, TU1, TU2, TU3, FINAL (list G01 tb_version)" type="list" errorStyle="stop">
      <formula1>=LIST_G01_TB_VERSION</formula1>
    </dataValidation>
    <dataValidation sqref="C18:C218" showDropDown="0" showInputMessage="1" showErrorMessage="0" allowBlank="1" promptTitle="as_of_date" prompt="Yes. Trial balance date - 31-Dec-2027 for every version; the version says which adjustments it includes"/>
    <dataValidation sqref="D18:D218" showDropDown="0" showInputMessage="1" showErrorMessage="1" allowBlank="1" errorTitle="branch_code" error="At most 20 characters." promptTitle="branch_code" prompt="Yes. Branch Allowed: The legacy code; mapped by the code map BRANCH (Code Maps screen of the Data Migration Console; maps prepared in the Migration Workbook of BRD-13)" type="textLength" operator="lessThanOrEqual">
      <formula1>20</formula1>
    </dataValidation>
    <dataValidation sqref="E18:E218" showDropDown="0" showInputMessage="1" showErrorMessage="1" allowBlank="1" errorTitle="currency" error="At most 3 characters." promptTitle="currency" prompt="Yes. Account currency Allowed: ISO 4217" type="textLength" operator="lessThanOrEqual">
      <formula1>3</formula1>
    </dataValidation>
    <dataValidation sqref="F18:F218" showDropDown="0" showInputMessage="1" showErrorMessage="1" allowBlank="1" errorTitle="legacy_account_code" error="At most 30 characters." promptTitle="legacy_account_code" prompt="Yes. Legacy account Allowed: The legacy code; mapped by the code map GL_ACCOUNT (Code Maps screen of the Data Migration Console; maps prepared in the Migration Workbook of BRD-13)" type="textLength" operator="lessThanOrEqual">
      <formula1>30</formula1>
    </dataValidation>
    <dataValidation sqref="G18:G218" showDropDown="0" showInputMessage="1" showErrorMessage="1" allowBlank="1" errorTitle="cost_center" error="At most 20 characters." promptTitle="cost_center" prompt="No. Cost centre Allowed: The legacy code; mapped by the code map COST_CENTER (Code Maps screen of the Data Migration Console; maps prepared in the Migration Workbook of BRD-13)" type="textLength" operator="lessThanOrEqual">
      <formula1>20</formula1>
    </dataValidation>
    <dataValidation sqref="H18:H218" showDropDown="0" showInputMessage="1" showErrorMessage="1" allowBlank="1" errorTitle="debit_fc" error="Enter a number." promptTitle="debit_fc" prompt="Yes. Debit balance in the account currency Allowed: A number" type="decimal" operator="greaterThanOrEqual">
      <formula1>-1E+15</formula1>
    </dataValidation>
    <dataValidation sqref="I18:I218" showDropDown="0" showInputMessage="1" showErrorMessage="1" allowBlank="1" errorTitle="credit_fc" error="Enter a number." promptTitle="credit_fc" prompt="Yes. Credit balance in the account currency Allowed: A number" type="decimal" operator="greaterThanOrEqual">
      <formula1>-1E+15</formula1>
    </dataValidation>
    <dataValidation sqref="J18:J218" showDropDown="0" showInputMessage="1" showErrorMessage="1" allowBlank="1" errorTitle="debit_php" error="Enter a number." promptTitle="debit_php" prompt="Yes. Debit balance in PHP Allowed: A number" type="decimal" operator="greaterThanOrEqual">
      <formula1>-1E+15</formula1>
    </dataValidation>
    <dataValidation sqref="K18:K218" showDropDown="0" showInputMessage="1" showErrorMessage="1" allowBlank="1" errorTitle="credit_php" error="Enter a number." promptTitle="credit_php" prompt="Yes. Credit balance in PHP Allowed: A number" type="decimal" operator="greaterThanOrEqual">
      <formula1>-1E+15</formula1>
    </dataValidation>
    <dataValidation sqref="L18:L218" showDropDown="0" showInputMessage="1" showErrorMessage="1" allowBlank="1" errorTitle="fx_rate" error="Enter a number." promptTitle="fx_rate" prompt="Conditional: Mandatory when currency is not PHP. Rate used for the PHP amount Allowed: A number" type="decimal" operator="greaterThanOrEqual">
      <formula1>-1E+15</formula1>
    </dataValidation>
  </dataValidations>
  <hyperlinks>
    <hyperlink ref="A2" location="'Start here'!A1"/>
    <hyperlink ref="L2" location="'Questions and comments'!A1"/>
    <hyperlink ref="B8" location="'R08 Chart of accounts mapping'!A1"/>
    <hyperlink ref="D8" location="'D0-02 Branches'!A1"/>
    <hyperlink ref="B15" location="'Reference lists'!A39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6.xml><?xml version="1.0" encoding="utf-8"?>
<worksheet xmlns="http://schemas.openxmlformats.org/spreadsheetml/2006/main">
  <sheetPr>
    <tabColor rgb="00004EA8"/>
    <outlinePr summaryBelow="0" summaryRight="1"/>
    <pageSetUpPr fitToPage="1"/>
  </sheetPr>
  <dimension ref="A1:H520"/>
  <sheetViews>
    <sheetView showGridLines="0" tabSelected="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2" customWidth="1" min="3" max="3"/>
    <col width="14" customWidth="1" min="4" max="4"/>
    <col width="12" customWidth="1" min="5" max="5"/>
    <col width="19" customWidth="1" min="6" max="6"/>
    <col width="31" customWidth="1" min="7" max="7"/>
    <col width="24" customWidth="1" min="8" max="8"/>
  </cols>
  <sheetData>
    <row r="1" ht="26" customHeight="1">
      <c r="A1" s="25" t="inlineStr">
        <is>
          <t>PM-04 Rate tables</t>
        </is>
      </c>
      <c r="H1" s="26" t="inlineStr">
        <is>
          <t>Step 44 of 52</t>
        </is>
      </c>
    </row>
    <row r="2">
      <c r="A2" s="27" t="inlineStr">
        <is>
          <t>← Back to Start here</t>
        </is>
      </c>
      <c r="B2" s="28" t="inlineStr">
        <is>
          <t>Step 44 of 52. Fill in one row per record below the column headers; the guide above each column says what to enter.</t>
        </is>
      </c>
      <c r="H2" s="29" t="inlineStr">
        <is>
          <t>Ask a question →</t>
        </is>
      </c>
    </row>
    <row r="3" outlineLevel="1" ht="15.5" customHeight="1">
      <c r="A3" s="30" t="inlineStr">
        <is>
          <t>Purpose</t>
        </is>
      </c>
      <c r="B3" s="31" t="inlineStr">
        <is>
          <t>Statutory charges and rating factors, the short-period table and the motor BI / PD limit premiums</t>
        </is>
      </c>
    </row>
    <row r="4" outlineLevel="1" ht="15.5" customHeight="1">
      <c r="A4" s="30" t="inlineStr">
        <is>
          <t>Provided by</t>
        </is>
      </c>
      <c r="B4" s="31" t="inlineStr">
        <is>
          <t>Product Owner, MBS; Comptrollership (taxes)</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Client &amp; Policy › Product Maintenance › Rates &amp; Taxes, approved by a second user</t>
        </is>
      </c>
    </row>
    <row r="7" outlineLevel="1" ht="15.5" customHeight="1">
      <c r="A7" s="30" t="inlineStr">
        <is>
          <t>Source</t>
        </is>
      </c>
      <c r="B7" s="31" t="inlineStr">
        <is>
          <t>Upload template of the configuration screen (the same columns, headers, mandatory flags and allowed values)</t>
        </is>
      </c>
    </row>
    <row r="8" outlineLevel="1" ht="15" customHeight="1">
      <c r="A8" s="30" t="inlineStr">
        <is>
          <t>Depends on</t>
        </is>
      </c>
      <c r="B8" s="53" t="inlineStr">
        <is>
          <t>PM-01 Product catalogue →</t>
        </is>
      </c>
    </row>
    <row r="9" outlineLevel="1" ht="40.5" customHeight="1">
      <c r="A9" s="30" t="inlineStr">
        <is>
          <t>Checklist</t>
        </is>
      </c>
      <c r="B9" s="31" t="inlineStr">
        <is>
          <t>One row per premium charge is written below the header (DST, premium tax, VAT on premium, fire service tax, VAT on commission and the motor factors); complete the rate per line and the dates, and add a row per line where the rate differs. The rules BIBS applies are on the sheet PM-04 Charges checklist</t>
        </is>
      </c>
    </row>
    <row r="10" outlineLevel="1" ht="15.5" customHeight="1">
      <c r="A10" s="30" t="inlineStr">
        <is>
          <t>LGT</t>
        </is>
      </c>
      <c r="B10" s="31" t="inlineStr">
        <is>
          <t>The local government tax is not kept here: it is the rate of each insurer branch, column lgt_rate of template R04B</t>
        </is>
      </c>
    </row>
    <row r="11" outlineLevel="1" ht="15.5" customHeight="1">
      <c r="A11" s="30" t="inlineStr">
        <is>
          <t>Other charges</t>
        </is>
      </c>
      <c r="B11" s="31" t="inlineStr">
        <is>
          <t>The charges billed besides these taxes (authentication, notarial or documentation fees) are given in template PM-04C, uploaded on the same screen</t>
        </is>
      </c>
    </row>
    <row r="12" ht="26" customHeight="1">
      <c r="A12" s="34" t="inlineStr">
        <is>
          <t>Progress</t>
        </is>
      </c>
      <c r="B12" s="35" t="inlineStr">
        <is>
          <t>Rows entered</t>
        </is>
      </c>
      <c r="C12" s="36">
        <f>SUMPRODUCT(((ROW($B$20:$B$520)&gt;20)+($B$20&lt;&gt;"TAX")&gt;0)*(LEN($B$20:$B$520&amp;$C$20:$C$520&amp;$D$20:$D$520&amp;$E$20:$E$520&amp;$F$20:$F$520&amp;$G$20:$G$520&amp;$H$20:$H$520)&gt;0))</f>
        <v/>
      </c>
      <c r="D12" s="35" t="inlineStr">
        <is>
          <t>Mandatory cells missing</t>
        </is>
      </c>
      <c r="E12" s="36">
        <f>SUMPRODUCT(((ROW($B$20:$B$520)&gt;20)+($B$20&lt;&gt;"TAX")&gt;0)*(LEN($B$20:$B$520&amp;$C$20:$C$520&amp;$D$20:$D$520&amp;$E$20:$E$520&amp;$F$20:$F$520&amp;$G$20:$G$520&amp;$H$20:$H$520)&gt;0)*(($B$20:$B$520="")+($H$20:$H$520="")))</f>
        <v/>
      </c>
    </row>
    <row r="13" ht="26" customHeight="1">
      <c r="A13" s="37" t="inlineStr">
        <is>
          <t>Confirmed by (BDOI owner)</t>
        </is>
      </c>
      <c r="B13" s="38" t="n"/>
      <c r="C13" s="38" t="n"/>
      <c r="D13" s="35" t="inlineStr">
        <is>
          <t>Date</t>
        </is>
      </c>
      <c r="E13" s="39" t="n"/>
    </row>
    <row r="14" ht="6" customHeight="1">
      <c r="A14" s="40" t="n"/>
      <c r="B14" s="40" t="n"/>
      <c r="C14" s="40" t="n"/>
      <c r="D14" s="40" t="n"/>
      <c r="E14" s="40" t="n"/>
      <c r="F14" s="40" t="n"/>
      <c r="G14" s="40" t="n"/>
      <c r="H14" s="40" t="n"/>
    </row>
    <row r="15" ht="43" customHeight="1">
      <c r="A15" s="41" t="inlineStr">
        <is>
          <t>Mandatory</t>
        </is>
      </c>
      <c r="B15" s="42" t="inlineStr">
        <is>
          <t>Yes</t>
        </is>
      </c>
      <c r="C15" s="43" t="inlineStr">
        <is>
          <t>Conditional: TAX</t>
        </is>
      </c>
      <c r="D15" s="43" t="inlineStr">
        <is>
          <t>No</t>
        </is>
      </c>
      <c r="E15" s="43" t="inlineStr">
        <is>
          <t>Conditional: TAX, SHORT_PERIOD</t>
        </is>
      </c>
      <c r="F15" s="43" t="inlineStr">
        <is>
          <t>Conditional: SHORT_PERIOD</t>
        </is>
      </c>
      <c r="G15" s="43" t="inlineStr">
        <is>
          <t>Conditional: MOTOR_LIMIT</t>
        </is>
      </c>
      <c r="H15" s="42" t="inlineStr">
        <is>
          <t>Yes</t>
        </is>
      </c>
    </row>
    <row r="16" ht="30" customHeight="1">
      <c r="A16" s="41" t="inlineStr">
        <is>
          <t>Format</t>
        </is>
      </c>
      <c r="B16" s="43" t="inlineStr">
        <is>
          <t>Code from the drop-down</t>
        </is>
      </c>
      <c r="C16" s="43" t="inlineStr">
        <is>
          <t>Code from the drop-down</t>
        </is>
      </c>
      <c r="D16" s="43" t="inlineStr">
        <is>
          <t>Text</t>
        </is>
      </c>
      <c r="E16" s="43" t="inlineStr">
        <is>
          <t>Text</t>
        </is>
      </c>
      <c r="F16" s="43" t="inlineStr">
        <is>
          <t>Text</t>
        </is>
      </c>
      <c r="G16" s="43" t="inlineStr">
        <is>
          <t>BI; 100000.00; 350.00</t>
        </is>
      </c>
      <c r="H16" s="43" t="inlineStr">
        <is>
          <t>dd-MMM-yyyy; dd-MMM-yyyy</t>
        </is>
      </c>
    </row>
    <row r="17" ht="82" customHeight="1">
      <c r="A17" s="41" t="inlineStr">
        <is>
          <t>Allowed values</t>
        </is>
      </c>
      <c r="B17" s="51" t="inlineStr">
        <is>
          <t>TAX, SHORT_PERIOD, MOTOR_LIMIT (list Table (PM-04))</t>
        </is>
      </c>
      <c r="C17" s="51" t="inlineStr">
        <is>
          <t>List Premium charge or rating factor (BIBS): 7 values, see Reference lists</t>
        </is>
      </c>
      <c r="D17" s="51" t="inlineStr">
        <is>
          <t>Code of an existing line</t>
        </is>
      </c>
      <c r="E17" s="43" t="inlineStr">
        <is>
          <t>Free entry</t>
        </is>
      </c>
      <c r="F17" s="43" t="inlineStr">
        <is>
          <t>Free entry</t>
        </is>
      </c>
      <c r="G17" s="43" t="inlineStr">
        <is>
          <t>Free entry</t>
        </is>
      </c>
      <c r="H17" s="43" t="inlineStr">
        <is>
          <t>Free entry</t>
        </is>
      </c>
    </row>
    <row r="18" ht="43" customHeight="1">
      <c r="A18" s="41" t="inlineStr">
        <is>
          <t>What to enter</t>
        </is>
      </c>
      <c r="B18" s="43" t="inlineStr">
        <is>
          <t>Rate table of the row</t>
        </is>
      </c>
      <c r="C18" s="43" t="inlineStr">
        <is>
          <t>Premium charge or rating factor</t>
        </is>
      </c>
      <c r="D18" s="43" t="inlineStr">
        <is>
          <t>Line of the rate; blank = every line</t>
        </is>
      </c>
      <c r="E18" s="43" t="inlineStr">
        <is>
          <t>Up to four decimals, 0 to 100</t>
        </is>
      </c>
      <c r="F18" s="43" t="inlineStr">
        <is>
          <t>Months covered, 1 to 12</t>
        </is>
      </c>
      <c r="G18" s="43" t="inlineStr">
        <is>
          <t>BI or PD; limit; premium</t>
        </is>
      </c>
      <c r="H18" s="43" t="inlineStr">
        <is>
          <t>First day; last day after a semicolon, blank = open</t>
        </is>
      </c>
    </row>
    <row r="19" ht="30" customHeight="1">
      <c r="A19" s="44" t="inlineStr">
        <is>
          <t>Row</t>
        </is>
      </c>
      <c r="B19" s="45" t="inlineStr">
        <is>
          <t>Table *</t>
        </is>
      </c>
      <c r="C19" s="45" t="inlineStr">
        <is>
          <t>Rate</t>
        </is>
      </c>
      <c r="D19" s="45" t="inlineStr">
        <is>
          <t>Line code</t>
        </is>
      </c>
      <c r="E19" s="45" t="inlineStr">
        <is>
          <t>Rate %</t>
        </is>
      </c>
      <c r="F19" s="45" t="inlineStr">
        <is>
          <t>Months covered</t>
        </is>
      </c>
      <c r="G19" s="45" t="inlineStr">
        <is>
          <t>Coverage / Limit / Premium</t>
        </is>
      </c>
      <c r="H19" s="45" t="inlineStr">
        <is>
          <t>Effective from / to *</t>
        </is>
      </c>
    </row>
    <row r="20" ht="18" customHeight="1">
      <c r="A20" s="46" t="inlineStr">
        <is>
          <t>Example – overwrite or delete</t>
        </is>
      </c>
      <c r="B20" s="47" t="inlineStr">
        <is>
          <t>TAX</t>
        </is>
      </c>
      <c r="C20" s="47" t="inlineStr">
        <is>
          <t>DST</t>
        </is>
      </c>
      <c r="D20" s="47" t="n"/>
      <c r="E20" s="47" t="inlineStr">
        <is>
          <t>12.5</t>
        </is>
      </c>
      <c r="F20" s="47" t="n"/>
      <c r="G20" s="47" t="n"/>
      <c r="H20" s="47" t="inlineStr">
        <is>
          <t>01-Jan-2028</t>
        </is>
      </c>
    </row>
    <row r="21">
      <c r="B21" s="54" t="inlineStr">
        <is>
          <t>TAX</t>
        </is>
      </c>
      <c r="C21" s="54" t="inlineStr">
        <is>
          <t>DST</t>
        </is>
      </c>
      <c r="D21" s="49" t="n"/>
      <c r="E21" s="49" t="n"/>
      <c r="F21" s="49" t="n"/>
      <c r="G21" s="49" t="n"/>
      <c r="H21" s="49" t="n"/>
    </row>
    <row r="22">
      <c r="B22" s="54" t="inlineStr">
        <is>
          <t>TAX</t>
        </is>
      </c>
      <c r="C22" s="54" t="inlineStr">
        <is>
          <t>PREMIUM_TAX</t>
        </is>
      </c>
      <c r="D22" s="49" t="n"/>
      <c r="E22" s="49" t="n"/>
      <c r="F22" s="49" t="n"/>
      <c r="G22" s="49" t="n"/>
      <c r="H22" s="49" t="n"/>
    </row>
    <row r="23">
      <c r="B23" s="54" t="inlineStr">
        <is>
          <t>TAX</t>
        </is>
      </c>
      <c r="C23" s="54" t="inlineStr">
        <is>
          <t>VAT_PREMIUM</t>
        </is>
      </c>
      <c r="D23" s="49" t="n"/>
      <c r="E23" s="49" t="n"/>
      <c r="F23" s="49" t="n"/>
      <c r="G23" s="49" t="n"/>
      <c r="H23" s="49" t="n"/>
    </row>
    <row r="24">
      <c r="B24" s="54" t="inlineStr">
        <is>
          <t>TAX</t>
        </is>
      </c>
      <c r="C24" s="54" t="inlineStr">
        <is>
          <t>FIRE_SERVICE_TAX</t>
        </is>
      </c>
      <c r="D24" s="49" t="n"/>
      <c r="E24" s="49" t="n"/>
      <c r="F24" s="49" t="n"/>
      <c r="G24" s="49" t="n"/>
      <c r="H24" s="49" t="n"/>
    </row>
    <row r="25">
      <c r="B25" s="54" t="inlineStr">
        <is>
          <t>TAX</t>
        </is>
      </c>
      <c r="C25" s="54" t="inlineStr">
        <is>
          <t>VAT_COMMISSION</t>
        </is>
      </c>
      <c r="D25" s="49" t="n"/>
      <c r="E25" s="49" t="n"/>
      <c r="F25" s="49" t="n"/>
      <c r="G25" s="49" t="n"/>
      <c r="H25" s="49" t="n"/>
    </row>
    <row r="26">
      <c r="B26" s="54" t="inlineStr">
        <is>
          <t>TAX</t>
        </is>
      </c>
      <c r="C26" s="54" t="inlineStr">
        <is>
          <t>MOTOR_OD_ANNUAL</t>
        </is>
      </c>
      <c r="D26" s="49" t="n"/>
      <c r="E26" s="49" t="n"/>
      <c r="F26" s="49" t="n"/>
      <c r="G26" s="49" t="n"/>
      <c r="H26" s="49" t="n"/>
    </row>
    <row r="27">
      <c r="B27" s="54" t="inlineStr">
        <is>
          <t>TAX</t>
        </is>
      </c>
      <c r="C27" s="54" t="inlineStr">
        <is>
          <t>MOTOR_OD_MULTI_YEAR</t>
        </is>
      </c>
      <c r="D27" s="49" t="n"/>
      <c r="E27" s="49" t="n"/>
      <c r="F27" s="49" t="n"/>
      <c r="G27" s="49" t="n"/>
      <c r="H27" s="49" t="n"/>
    </row>
    <row r="28">
      <c r="B28" s="49" t="n"/>
      <c r="C28" s="49" t="n"/>
      <c r="D28" s="49" t="n"/>
      <c r="E28" s="49" t="n"/>
      <c r="F28" s="49" t="n"/>
      <c r="G28" s="49" t="n"/>
      <c r="H28" s="49" t="n"/>
    </row>
    <row r="29">
      <c r="B29" s="49" t="n"/>
      <c r="C29" s="49" t="n"/>
      <c r="D29" s="49" t="n"/>
      <c r="E29" s="49" t="n"/>
      <c r="F29" s="49" t="n"/>
      <c r="G29" s="49" t="n"/>
      <c r="H29" s="49" t="n"/>
    </row>
    <row r="30">
      <c r="B30" s="49" t="n"/>
      <c r="C30" s="49" t="n"/>
      <c r="D30" s="49" t="n"/>
      <c r="E30" s="49" t="n"/>
      <c r="F30" s="49" t="n"/>
      <c r="G30" s="49" t="n"/>
      <c r="H30" s="49" t="n"/>
    </row>
    <row r="31">
      <c r="B31" s="49" t="n"/>
      <c r="C31" s="49" t="n"/>
      <c r="D31" s="49" t="n"/>
      <c r="E31" s="49" t="n"/>
      <c r="F31" s="49" t="n"/>
      <c r="G31" s="49" t="n"/>
      <c r="H31" s="49" t="n"/>
    </row>
    <row r="32">
      <c r="B32" s="49" t="n"/>
      <c r="C32" s="49" t="n"/>
      <c r="D32" s="49" t="n"/>
      <c r="E32" s="49" t="n"/>
      <c r="F32" s="49" t="n"/>
      <c r="G32" s="49" t="n"/>
      <c r="H32" s="49" t="n"/>
    </row>
    <row r="33">
      <c r="B33" s="49" t="n"/>
      <c r="C33" s="49" t="n"/>
      <c r="D33" s="49" t="n"/>
      <c r="E33" s="49" t="n"/>
      <c r="F33" s="49" t="n"/>
      <c r="G33" s="49" t="n"/>
      <c r="H33" s="49" t="n"/>
    </row>
    <row r="34">
      <c r="B34" s="49" t="n"/>
      <c r="C34" s="49" t="n"/>
      <c r="D34" s="49" t="n"/>
      <c r="E34" s="49" t="n"/>
      <c r="F34" s="49" t="n"/>
      <c r="G34" s="49" t="n"/>
      <c r="H34" s="49" t="n"/>
    </row>
    <row r="35">
      <c r="B35" s="49" t="n"/>
      <c r="C35" s="49" t="n"/>
      <c r="D35" s="49" t="n"/>
      <c r="E35" s="49" t="n"/>
      <c r="F35" s="49" t="n"/>
      <c r="G35" s="49" t="n"/>
      <c r="H35" s="49" t="n"/>
    </row>
    <row r="36">
      <c r="B36" s="49" t="n"/>
      <c r="C36" s="49" t="n"/>
      <c r="D36" s="49" t="n"/>
      <c r="E36" s="49" t="n"/>
      <c r="F36" s="49" t="n"/>
      <c r="G36" s="49" t="n"/>
      <c r="H36" s="49" t="n"/>
    </row>
    <row r="37">
      <c r="B37" s="49" t="n"/>
      <c r="C37" s="49" t="n"/>
      <c r="D37" s="49" t="n"/>
      <c r="E37" s="49" t="n"/>
      <c r="F37" s="49" t="n"/>
      <c r="G37" s="49" t="n"/>
      <c r="H37" s="49" t="n"/>
    </row>
    <row r="38">
      <c r="B38" s="49" t="n"/>
      <c r="C38" s="49" t="n"/>
      <c r="D38" s="49" t="n"/>
      <c r="E38" s="49" t="n"/>
      <c r="F38" s="49" t="n"/>
      <c r="G38" s="49" t="n"/>
      <c r="H38" s="49" t="n"/>
    </row>
    <row r="39">
      <c r="B39" s="49" t="n"/>
      <c r="C39" s="49" t="n"/>
      <c r="D39" s="49" t="n"/>
      <c r="E39" s="49" t="n"/>
      <c r="F39" s="49" t="n"/>
      <c r="G39" s="49" t="n"/>
      <c r="H39" s="49" t="n"/>
    </row>
    <row r="40">
      <c r="B40" s="49" t="n"/>
      <c r="C40" s="49" t="n"/>
      <c r="D40" s="49" t="n"/>
      <c r="E40" s="49" t="n"/>
      <c r="F40" s="49" t="n"/>
      <c r="G40" s="49" t="n"/>
      <c r="H40" s="49" t="n"/>
    </row>
    <row r="41">
      <c r="B41" s="49" t="n"/>
      <c r="C41" s="49" t="n"/>
      <c r="D41" s="49" t="n"/>
      <c r="E41" s="49" t="n"/>
      <c r="F41" s="49" t="n"/>
      <c r="G41" s="49" t="n"/>
      <c r="H41" s="49" t="n"/>
    </row>
    <row r="42">
      <c r="B42" s="49" t="n"/>
      <c r="C42" s="49" t="n"/>
      <c r="D42" s="49" t="n"/>
      <c r="E42" s="49" t="n"/>
      <c r="F42" s="49" t="n"/>
      <c r="G42" s="49" t="n"/>
      <c r="H42" s="49" t="n"/>
    </row>
    <row r="43">
      <c r="B43" s="49" t="n"/>
      <c r="C43" s="49" t="n"/>
      <c r="D43" s="49" t="n"/>
      <c r="E43" s="49" t="n"/>
      <c r="F43" s="49" t="n"/>
      <c r="G43" s="49" t="n"/>
      <c r="H43" s="49" t="n"/>
    </row>
    <row r="44">
      <c r="B44" s="49" t="n"/>
      <c r="C44" s="49" t="n"/>
      <c r="D44" s="49" t="n"/>
      <c r="E44" s="49" t="n"/>
      <c r="F44" s="49" t="n"/>
      <c r="G44" s="49" t="n"/>
      <c r="H44" s="49" t="n"/>
    </row>
    <row r="45">
      <c r="B45" s="49" t="n"/>
      <c r="C45" s="49" t="n"/>
      <c r="D45" s="49" t="n"/>
      <c r="E45" s="49" t="n"/>
      <c r="F45" s="49" t="n"/>
      <c r="G45" s="49" t="n"/>
      <c r="H45" s="49" t="n"/>
    </row>
    <row r="46">
      <c r="B46" s="49" t="n"/>
      <c r="C46" s="49" t="n"/>
      <c r="D46" s="49" t="n"/>
      <c r="E46" s="49" t="n"/>
      <c r="F46" s="49" t="n"/>
      <c r="G46" s="49" t="n"/>
      <c r="H46" s="49" t="n"/>
    </row>
    <row r="47">
      <c r="B47" s="49" t="n"/>
      <c r="C47" s="49" t="n"/>
      <c r="D47" s="49" t="n"/>
      <c r="E47" s="49" t="n"/>
      <c r="F47" s="49" t="n"/>
      <c r="G47" s="49" t="n"/>
      <c r="H47" s="49" t="n"/>
    </row>
    <row r="48">
      <c r="B48" s="49" t="n"/>
      <c r="C48" s="49" t="n"/>
      <c r="D48" s="49" t="n"/>
      <c r="E48" s="49" t="n"/>
      <c r="F48" s="49" t="n"/>
      <c r="G48" s="49" t="n"/>
      <c r="H48" s="49" t="n"/>
    </row>
    <row r="49">
      <c r="B49" s="49" t="n"/>
      <c r="C49" s="49" t="n"/>
      <c r="D49" s="49" t="n"/>
      <c r="E49" s="49" t="n"/>
      <c r="F49" s="49" t="n"/>
      <c r="G49" s="49" t="n"/>
      <c r="H49" s="49" t="n"/>
    </row>
    <row r="50">
      <c r="B50" s="49" t="n"/>
      <c r="C50" s="49" t="n"/>
      <c r="D50" s="49" t="n"/>
      <c r="E50" s="49" t="n"/>
      <c r="F50" s="49" t="n"/>
      <c r="G50" s="49" t="n"/>
      <c r="H50" s="49" t="n"/>
    </row>
    <row r="51">
      <c r="B51" s="49" t="n"/>
      <c r="C51" s="49" t="n"/>
      <c r="D51" s="49" t="n"/>
      <c r="E51" s="49" t="n"/>
      <c r="F51" s="49" t="n"/>
      <c r="G51" s="49" t="n"/>
      <c r="H51" s="49" t="n"/>
    </row>
    <row r="52">
      <c r="B52" s="49" t="n"/>
      <c r="C52" s="49" t="n"/>
      <c r="D52" s="49" t="n"/>
      <c r="E52" s="49" t="n"/>
      <c r="F52" s="49" t="n"/>
      <c r="G52" s="49" t="n"/>
      <c r="H52" s="49" t="n"/>
    </row>
    <row r="53">
      <c r="B53" s="49" t="n"/>
      <c r="C53" s="49" t="n"/>
      <c r="D53" s="49" t="n"/>
      <c r="E53" s="49" t="n"/>
      <c r="F53" s="49" t="n"/>
      <c r="G53" s="49" t="n"/>
      <c r="H53" s="49" t="n"/>
    </row>
    <row r="54">
      <c r="B54" s="49" t="n"/>
      <c r="C54" s="49" t="n"/>
      <c r="D54" s="49" t="n"/>
      <c r="E54" s="49" t="n"/>
      <c r="F54" s="49" t="n"/>
      <c r="G54" s="49" t="n"/>
      <c r="H54" s="49" t="n"/>
    </row>
    <row r="55">
      <c r="B55" s="49" t="n"/>
      <c r="C55" s="49" t="n"/>
      <c r="D55" s="49" t="n"/>
      <c r="E55" s="49" t="n"/>
      <c r="F55" s="49" t="n"/>
      <c r="G55" s="49" t="n"/>
      <c r="H55" s="49" t="n"/>
    </row>
    <row r="56">
      <c r="B56" s="49" t="n"/>
      <c r="C56" s="49" t="n"/>
      <c r="D56" s="49" t="n"/>
      <c r="E56" s="49" t="n"/>
      <c r="F56" s="49" t="n"/>
      <c r="G56" s="49" t="n"/>
      <c r="H56" s="49" t="n"/>
    </row>
    <row r="57">
      <c r="B57" s="49" t="n"/>
      <c r="C57" s="49" t="n"/>
      <c r="D57" s="49" t="n"/>
      <c r="E57" s="49" t="n"/>
      <c r="F57" s="49" t="n"/>
      <c r="G57" s="49" t="n"/>
      <c r="H57" s="49" t="n"/>
    </row>
    <row r="58">
      <c r="B58" s="49" t="n"/>
      <c r="C58" s="49" t="n"/>
      <c r="D58" s="49" t="n"/>
      <c r="E58" s="49" t="n"/>
      <c r="F58" s="49" t="n"/>
      <c r="G58" s="49" t="n"/>
      <c r="H58" s="49" t="n"/>
    </row>
    <row r="59">
      <c r="B59" s="49" t="n"/>
      <c r="C59" s="49" t="n"/>
      <c r="D59" s="49" t="n"/>
      <c r="E59" s="49" t="n"/>
      <c r="F59" s="49" t="n"/>
      <c r="G59" s="49" t="n"/>
      <c r="H59" s="49" t="n"/>
    </row>
    <row r="60">
      <c r="B60" s="49" t="n"/>
      <c r="C60" s="49" t="n"/>
      <c r="D60" s="49" t="n"/>
      <c r="E60" s="49" t="n"/>
      <c r="F60" s="49" t="n"/>
      <c r="G60" s="49" t="n"/>
      <c r="H60" s="49" t="n"/>
    </row>
    <row r="61">
      <c r="B61" s="49" t="n"/>
      <c r="C61" s="49" t="n"/>
      <c r="D61" s="49" t="n"/>
      <c r="E61" s="49" t="n"/>
      <c r="F61" s="49" t="n"/>
      <c r="G61" s="49" t="n"/>
      <c r="H61" s="49" t="n"/>
    </row>
    <row r="62">
      <c r="B62" s="49" t="n"/>
      <c r="C62" s="49" t="n"/>
      <c r="D62" s="49" t="n"/>
      <c r="E62" s="49" t="n"/>
      <c r="F62" s="49" t="n"/>
      <c r="G62" s="49" t="n"/>
      <c r="H62" s="49" t="n"/>
    </row>
    <row r="63">
      <c r="B63" s="49" t="n"/>
      <c r="C63" s="49" t="n"/>
      <c r="D63" s="49" t="n"/>
      <c r="E63" s="49" t="n"/>
      <c r="F63" s="49" t="n"/>
      <c r="G63" s="49" t="n"/>
      <c r="H63" s="49" t="n"/>
    </row>
    <row r="64">
      <c r="B64" s="49" t="n"/>
      <c r="C64" s="49" t="n"/>
      <c r="D64" s="49" t="n"/>
      <c r="E64" s="49" t="n"/>
      <c r="F64" s="49" t="n"/>
      <c r="G64" s="49" t="n"/>
      <c r="H64" s="49" t="n"/>
    </row>
    <row r="65">
      <c r="B65" s="49" t="n"/>
      <c r="C65" s="49" t="n"/>
      <c r="D65" s="49" t="n"/>
      <c r="E65" s="49" t="n"/>
      <c r="F65" s="49" t="n"/>
      <c r="G65" s="49" t="n"/>
      <c r="H65" s="49" t="n"/>
    </row>
    <row r="66">
      <c r="B66" s="49" t="n"/>
      <c r="C66" s="49" t="n"/>
      <c r="D66" s="49" t="n"/>
      <c r="E66" s="49" t="n"/>
      <c r="F66" s="49" t="n"/>
      <c r="G66" s="49" t="n"/>
      <c r="H66" s="49" t="n"/>
    </row>
    <row r="67">
      <c r="B67" s="49" t="n"/>
      <c r="C67" s="49" t="n"/>
      <c r="D67" s="49" t="n"/>
      <c r="E67" s="49" t="n"/>
      <c r="F67" s="49" t="n"/>
      <c r="G67" s="49" t="n"/>
      <c r="H67" s="49" t="n"/>
    </row>
    <row r="68">
      <c r="B68" s="49" t="n"/>
      <c r="C68" s="49" t="n"/>
      <c r="D68" s="49" t="n"/>
      <c r="E68" s="49" t="n"/>
      <c r="F68" s="49" t="n"/>
      <c r="G68" s="49" t="n"/>
      <c r="H68" s="49" t="n"/>
    </row>
    <row r="69">
      <c r="B69" s="49" t="n"/>
      <c r="C69" s="49" t="n"/>
      <c r="D69" s="49" t="n"/>
      <c r="E69" s="49" t="n"/>
      <c r="F69" s="49" t="n"/>
      <c r="G69" s="49" t="n"/>
      <c r="H69" s="49" t="n"/>
    </row>
    <row r="70">
      <c r="B70" s="49" t="n"/>
      <c r="C70" s="49" t="n"/>
      <c r="D70" s="49" t="n"/>
      <c r="E70" s="49" t="n"/>
      <c r="F70" s="49" t="n"/>
      <c r="G70" s="49" t="n"/>
      <c r="H70" s="49" t="n"/>
    </row>
    <row r="71">
      <c r="B71" s="49" t="n"/>
      <c r="C71" s="49" t="n"/>
      <c r="D71" s="49" t="n"/>
      <c r="E71" s="49" t="n"/>
      <c r="F71" s="49" t="n"/>
      <c r="G71" s="49" t="n"/>
      <c r="H71" s="49" t="n"/>
    </row>
    <row r="72">
      <c r="B72" s="49" t="n"/>
      <c r="C72" s="49" t="n"/>
      <c r="D72" s="49" t="n"/>
      <c r="E72" s="49" t="n"/>
      <c r="F72" s="49" t="n"/>
      <c r="G72" s="49" t="n"/>
      <c r="H72" s="49" t="n"/>
    </row>
    <row r="73">
      <c r="B73" s="49" t="n"/>
      <c r="C73" s="49" t="n"/>
      <c r="D73" s="49" t="n"/>
      <c r="E73" s="49" t="n"/>
      <c r="F73" s="49" t="n"/>
      <c r="G73" s="49" t="n"/>
      <c r="H73" s="49" t="n"/>
    </row>
    <row r="74">
      <c r="B74" s="49" t="n"/>
      <c r="C74" s="49" t="n"/>
      <c r="D74" s="49" t="n"/>
      <c r="E74" s="49" t="n"/>
      <c r="F74" s="49" t="n"/>
      <c r="G74" s="49" t="n"/>
      <c r="H74" s="49" t="n"/>
    </row>
    <row r="75">
      <c r="B75" s="49" t="n"/>
      <c r="C75" s="49" t="n"/>
      <c r="D75" s="49" t="n"/>
      <c r="E75" s="49" t="n"/>
      <c r="F75" s="49" t="n"/>
      <c r="G75" s="49" t="n"/>
      <c r="H75" s="49" t="n"/>
    </row>
    <row r="76">
      <c r="B76" s="49" t="n"/>
      <c r="C76" s="49" t="n"/>
      <c r="D76" s="49" t="n"/>
      <c r="E76" s="49" t="n"/>
      <c r="F76" s="49" t="n"/>
      <c r="G76" s="49" t="n"/>
      <c r="H76" s="49" t="n"/>
    </row>
    <row r="77">
      <c r="B77" s="49" t="n"/>
      <c r="C77" s="49" t="n"/>
      <c r="D77" s="49" t="n"/>
      <c r="E77" s="49" t="n"/>
      <c r="F77" s="49" t="n"/>
      <c r="G77" s="49" t="n"/>
      <c r="H77" s="49" t="n"/>
    </row>
    <row r="78">
      <c r="B78" s="49" t="n"/>
      <c r="C78" s="49" t="n"/>
      <c r="D78" s="49" t="n"/>
      <c r="E78" s="49" t="n"/>
      <c r="F78" s="49" t="n"/>
      <c r="G78" s="49" t="n"/>
      <c r="H78" s="49" t="n"/>
    </row>
    <row r="79">
      <c r="B79" s="49" t="n"/>
      <c r="C79" s="49" t="n"/>
      <c r="D79" s="49" t="n"/>
      <c r="E79" s="49" t="n"/>
      <c r="F79" s="49" t="n"/>
      <c r="G79" s="49" t="n"/>
      <c r="H79" s="49" t="n"/>
    </row>
    <row r="80">
      <c r="B80" s="49" t="n"/>
      <c r="C80" s="49" t="n"/>
      <c r="D80" s="49" t="n"/>
      <c r="E80" s="49" t="n"/>
      <c r="F80" s="49" t="n"/>
      <c r="G80" s="49" t="n"/>
      <c r="H80" s="49" t="n"/>
    </row>
    <row r="81">
      <c r="B81" s="49" t="n"/>
      <c r="C81" s="49" t="n"/>
      <c r="D81" s="49" t="n"/>
      <c r="E81" s="49" t="n"/>
      <c r="F81" s="49" t="n"/>
      <c r="G81" s="49" t="n"/>
      <c r="H81" s="49" t="n"/>
    </row>
    <row r="82">
      <c r="B82" s="49" t="n"/>
      <c r="C82" s="49" t="n"/>
      <c r="D82" s="49" t="n"/>
      <c r="E82" s="49" t="n"/>
      <c r="F82" s="49" t="n"/>
      <c r="G82" s="49" t="n"/>
      <c r="H82" s="49" t="n"/>
    </row>
    <row r="83">
      <c r="B83" s="49" t="n"/>
      <c r="C83" s="49" t="n"/>
      <c r="D83" s="49" t="n"/>
      <c r="E83" s="49" t="n"/>
      <c r="F83" s="49" t="n"/>
      <c r="G83" s="49" t="n"/>
      <c r="H83" s="49" t="n"/>
    </row>
    <row r="84">
      <c r="B84" s="49" t="n"/>
      <c r="C84" s="49" t="n"/>
      <c r="D84" s="49" t="n"/>
      <c r="E84" s="49" t="n"/>
      <c r="F84" s="49" t="n"/>
      <c r="G84" s="49" t="n"/>
      <c r="H84" s="49" t="n"/>
    </row>
    <row r="85">
      <c r="B85" s="49" t="n"/>
      <c r="C85" s="49" t="n"/>
      <c r="D85" s="49" t="n"/>
      <c r="E85" s="49" t="n"/>
      <c r="F85" s="49" t="n"/>
      <c r="G85" s="49" t="n"/>
      <c r="H85" s="49" t="n"/>
    </row>
    <row r="86">
      <c r="B86" s="49" t="n"/>
      <c r="C86" s="49" t="n"/>
      <c r="D86" s="49" t="n"/>
      <c r="E86" s="49" t="n"/>
      <c r="F86" s="49" t="n"/>
      <c r="G86" s="49" t="n"/>
      <c r="H86" s="49" t="n"/>
    </row>
    <row r="87">
      <c r="B87" s="49" t="n"/>
      <c r="C87" s="49" t="n"/>
      <c r="D87" s="49" t="n"/>
      <c r="E87" s="49" t="n"/>
      <c r="F87" s="49" t="n"/>
      <c r="G87" s="49" t="n"/>
      <c r="H87" s="49" t="n"/>
    </row>
    <row r="88">
      <c r="B88" s="49" t="n"/>
      <c r="C88" s="49" t="n"/>
      <c r="D88" s="49" t="n"/>
      <c r="E88" s="49" t="n"/>
      <c r="F88" s="49" t="n"/>
      <c r="G88" s="49" t="n"/>
      <c r="H88" s="49" t="n"/>
    </row>
    <row r="89">
      <c r="B89" s="49" t="n"/>
      <c r="C89" s="49" t="n"/>
      <c r="D89" s="49" t="n"/>
      <c r="E89" s="49" t="n"/>
      <c r="F89" s="49" t="n"/>
      <c r="G89" s="49" t="n"/>
      <c r="H89" s="49" t="n"/>
    </row>
    <row r="90">
      <c r="B90" s="49" t="n"/>
      <c r="C90" s="49" t="n"/>
      <c r="D90" s="49" t="n"/>
      <c r="E90" s="49" t="n"/>
      <c r="F90" s="49" t="n"/>
      <c r="G90" s="49" t="n"/>
      <c r="H90" s="49" t="n"/>
    </row>
    <row r="91">
      <c r="B91" s="49" t="n"/>
      <c r="C91" s="49" t="n"/>
      <c r="D91" s="49" t="n"/>
      <c r="E91" s="49" t="n"/>
      <c r="F91" s="49" t="n"/>
      <c r="G91" s="49" t="n"/>
      <c r="H91" s="49" t="n"/>
    </row>
    <row r="92">
      <c r="B92" s="49" t="n"/>
      <c r="C92" s="49" t="n"/>
      <c r="D92" s="49" t="n"/>
      <c r="E92" s="49" t="n"/>
      <c r="F92" s="49" t="n"/>
      <c r="G92" s="49" t="n"/>
      <c r="H92" s="49" t="n"/>
    </row>
    <row r="93">
      <c r="B93" s="49" t="n"/>
      <c r="C93" s="49" t="n"/>
      <c r="D93" s="49" t="n"/>
      <c r="E93" s="49" t="n"/>
      <c r="F93" s="49" t="n"/>
      <c r="G93" s="49" t="n"/>
      <c r="H93" s="49" t="n"/>
    </row>
    <row r="94">
      <c r="B94" s="49" t="n"/>
      <c r="C94" s="49" t="n"/>
      <c r="D94" s="49" t="n"/>
      <c r="E94" s="49" t="n"/>
      <c r="F94" s="49" t="n"/>
      <c r="G94" s="49" t="n"/>
      <c r="H94" s="49" t="n"/>
    </row>
    <row r="95">
      <c r="B95" s="49" t="n"/>
      <c r="C95" s="49" t="n"/>
      <c r="D95" s="49" t="n"/>
      <c r="E95" s="49" t="n"/>
      <c r="F95" s="49" t="n"/>
      <c r="G95" s="49" t="n"/>
      <c r="H95" s="49" t="n"/>
    </row>
    <row r="96">
      <c r="B96" s="49" t="n"/>
      <c r="C96" s="49" t="n"/>
      <c r="D96" s="49" t="n"/>
      <c r="E96" s="49" t="n"/>
      <c r="F96" s="49" t="n"/>
      <c r="G96" s="49" t="n"/>
      <c r="H96" s="49" t="n"/>
    </row>
    <row r="97">
      <c r="B97" s="49" t="n"/>
      <c r="C97" s="49" t="n"/>
      <c r="D97" s="49" t="n"/>
      <c r="E97" s="49" t="n"/>
      <c r="F97" s="49" t="n"/>
      <c r="G97" s="49" t="n"/>
      <c r="H97" s="49" t="n"/>
    </row>
    <row r="98">
      <c r="B98" s="49" t="n"/>
      <c r="C98" s="49" t="n"/>
      <c r="D98" s="49" t="n"/>
      <c r="E98" s="49" t="n"/>
      <c r="F98" s="49" t="n"/>
      <c r="G98" s="49" t="n"/>
      <c r="H98" s="49" t="n"/>
    </row>
    <row r="99">
      <c r="B99" s="49" t="n"/>
      <c r="C99" s="49" t="n"/>
      <c r="D99" s="49" t="n"/>
      <c r="E99" s="49" t="n"/>
      <c r="F99" s="49" t="n"/>
      <c r="G99" s="49" t="n"/>
      <c r="H99" s="49" t="n"/>
    </row>
    <row r="100">
      <c r="B100" s="49" t="n"/>
      <c r="C100" s="49" t="n"/>
      <c r="D100" s="49" t="n"/>
      <c r="E100" s="49" t="n"/>
      <c r="F100" s="49" t="n"/>
      <c r="G100" s="49" t="n"/>
      <c r="H100" s="49" t="n"/>
    </row>
    <row r="101">
      <c r="B101" s="49" t="n"/>
      <c r="C101" s="49" t="n"/>
      <c r="D101" s="49" t="n"/>
      <c r="E101" s="49" t="n"/>
      <c r="F101" s="49" t="n"/>
      <c r="G101" s="49" t="n"/>
      <c r="H101" s="49" t="n"/>
    </row>
    <row r="102">
      <c r="B102" s="49" t="n"/>
      <c r="C102" s="49" t="n"/>
      <c r="D102" s="49" t="n"/>
      <c r="E102" s="49" t="n"/>
      <c r="F102" s="49" t="n"/>
      <c r="G102" s="49" t="n"/>
      <c r="H102" s="49" t="n"/>
    </row>
    <row r="103">
      <c r="B103" s="49" t="n"/>
      <c r="C103" s="49" t="n"/>
      <c r="D103" s="49" t="n"/>
      <c r="E103" s="49" t="n"/>
      <c r="F103" s="49" t="n"/>
      <c r="G103" s="49" t="n"/>
      <c r="H103" s="49" t="n"/>
    </row>
    <row r="104">
      <c r="B104" s="49" t="n"/>
      <c r="C104" s="49" t="n"/>
      <c r="D104" s="49" t="n"/>
      <c r="E104" s="49" t="n"/>
      <c r="F104" s="49" t="n"/>
      <c r="G104" s="49" t="n"/>
      <c r="H104" s="49" t="n"/>
    </row>
    <row r="105">
      <c r="B105" s="49" t="n"/>
      <c r="C105" s="49" t="n"/>
      <c r="D105" s="49" t="n"/>
      <c r="E105" s="49" t="n"/>
      <c r="F105" s="49" t="n"/>
      <c r="G105" s="49" t="n"/>
      <c r="H105" s="49" t="n"/>
    </row>
    <row r="106">
      <c r="B106" s="49" t="n"/>
      <c r="C106" s="49" t="n"/>
      <c r="D106" s="49" t="n"/>
      <c r="E106" s="49" t="n"/>
      <c r="F106" s="49" t="n"/>
      <c r="G106" s="49" t="n"/>
      <c r="H106" s="49" t="n"/>
    </row>
    <row r="107">
      <c r="B107" s="49" t="n"/>
      <c r="C107" s="49" t="n"/>
      <c r="D107" s="49" t="n"/>
      <c r="E107" s="49" t="n"/>
      <c r="F107" s="49" t="n"/>
      <c r="G107" s="49" t="n"/>
      <c r="H107" s="49" t="n"/>
    </row>
    <row r="108">
      <c r="B108" s="49" t="n"/>
      <c r="C108" s="49" t="n"/>
      <c r="D108" s="49" t="n"/>
      <c r="E108" s="49" t="n"/>
      <c r="F108" s="49" t="n"/>
      <c r="G108" s="49" t="n"/>
      <c r="H108" s="49" t="n"/>
    </row>
    <row r="109">
      <c r="B109" s="49" t="n"/>
      <c r="C109" s="49" t="n"/>
      <c r="D109" s="49" t="n"/>
      <c r="E109" s="49" t="n"/>
      <c r="F109" s="49" t="n"/>
      <c r="G109" s="49" t="n"/>
      <c r="H109" s="49" t="n"/>
    </row>
    <row r="110">
      <c r="B110" s="49" t="n"/>
      <c r="C110" s="49" t="n"/>
      <c r="D110" s="49" t="n"/>
      <c r="E110" s="49" t="n"/>
      <c r="F110" s="49" t="n"/>
      <c r="G110" s="49" t="n"/>
      <c r="H110" s="49" t="n"/>
    </row>
    <row r="111">
      <c r="B111" s="49" t="n"/>
      <c r="C111" s="49" t="n"/>
      <c r="D111" s="49" t="n"/>
      <c r="E111" s="49" t="n"/>
      <c r="F111" s="49" t="n"/>
      <c r="G111" s="49" t="n"/>
      <c r="H111" s="49" t="n"/>
    </row>
    <row r="112">
      <c r="B112" s="49" t="n"/>
      <c r="C112" s="49" t="n"/>
      <c r="D112" s="49" t="n"/>
      <c r="E112" s="49" t="n"/>
      <c r="F112" s="49" t="n"/>
      <c r="G112" s="49" t="n"/>
      <c r="H112" s="49" t="n"/>
    </row>
    <row r="113">
      <c r="B113" s="49" t="n"/>
      <c r="C113" s="49" t="n"/>
      <c r="D113" s="49" t="n"/>
      <c r="E113" s="49" t="n"/>
      <c r="F113" s="49" t="n"/>
      <c r="G113" s="49" t="n"/>
      <c r="H113" s="49" t="n"/>
    </row>
    <row r="114">
      <c r="B114" s="49" t="n"/>
      <c r="C114" s="49" t="n"/>
      <c r="D114" s="49" t="n"/>
      <c r="E114" s="49" t="n"/>
      <c r="F114" s="49" t="n"/>
      <c r="G114" s="49" t="n"/>
      <c r="H114" s="49" t="n"/>
    </row>
    <row r="115">
      <c r="B115" s="49" t="n"/>
      <c r="C115" s="49" t="n"/>
      <c r="D115" s="49" t="n"/>
      <c r="E115" s="49" t="n"/>
      <c r="F115" s="49" t="n"/>
      <c r="G115" s="49" t="n"/>
      <c r="H115" s="49" t="n"/>
    </row>
    <row r="116">
      <c r="B116" s="49" t="n"/>
      <c r="C116" s="49" t="n"/>
      <c r="D116" s="49" t="n"/>
      <c r="E116" s="49" t="n"/>
      <c r="F116" s="49" t="n"/>
      <c r="G116" s="49" t="n"/>
      <c r="H116" s="49" t="n"/>
    </row>
    <row r="117">
      <c r="B117" s="49" t="n"/>
      <c r="C117" s="49" t="n"/>
      <c r="D117" s="49" t="n"/>
      <c r="E117" s="49" t="n"/>
      <c r="F117" s="49" t="n"/>
      <c r="G117" s="49" t="n"/>
      <c r="H117" s="49" t="n"/>
    </row>
    <row r="118">
      <c r="B118" s="49" t="n"/>
      <c r="C118" s="49" t="n"/>
      <c r="D118" s="49" t="n"/>
      <c r="E118" s="49" t="n"/>
      <c r="F118" s="49" t="n"/>
      <c r="G118" s="49" t="n"/>
      <c r="H118" s="49" t="n"/>
    </row>
    <row r="119">
      <c r="B119" s="49" t="n"/>
      <c r="C119" s="49" t="n"/>
      <c r="D119" s="49" t="n"/>
      <c r="E119" s="49" t="n"/>
      <c r="F119" s="49" t="n"/>
      <c r="G119" s="49" t="n"/>
      <c r="H119" s="49" t="n"/>
    </row>
    <row r="120">
      <c r="B120" s="49" t="n"/>
      <c r="C120" s="49" t="n"/>
      <c r="D120" s="49" t="n"/>
      <c r="E120" s="49" t="n"/>
      <c r="F120" s="49" t="n"/>
      <c r="G120" s="49" t="n"/>
      <c r="H120" s="49" t="n"/>
    </row>
    <row r="121">
      <c r="B121" s="49" t="n"/>
      <c r="C121" s="49" t="n"/>
      <c r="D121" s="49" t="n"/>
      <c r="E121" s="49" t="n"/>
      <c r="F121" s="49" t="n"/>
      <c r="G121" s="49" t="n"/>
      <c r="H121" s="49" t="n"/>
    </row>
    <row r="122">
      <c r="B122" s="49" t="n"/>
      <c r="C122" s="49" t="n"/>
      <c r="D122" s="49" t="n"/>
      <c r="E122" s="49" t="n"/>
      <c r="F122" s="49" t="n"/>
      <c r="G122" s="49" t="n"/>
      <c r="H122" s="49" t="n"/>
    </row>
    <row r="123">
      <c r="B123" s="49" t="n"/>
      <c r="C123" s="49" t="n"/>
      <c r="D123" s="49" t="n"/>
      <c r="E123" s="49" t="n"/>
      <c r="F123" s="49" t="n"/>
      <c r="G123" s="49" t="n"/>
      <c r="H123" s="49" t="n"/>
    </row>
    <row r="124">
      <c r="B124" s="49" t="n"/>
      <c r="C124" s="49" t="n"/>
      <c r="D124" s="49" t="n"/>
      <c r="E124" s="49" t="n"/>
      <c r="F124" s="49" t="n"/>
      <c r="G124" s="49" t="n"/>
      <c r="H124" s="49" t="n"/>
    </row>
    <row r="125">
      <c r="B125" s="49" t="n"/>
      <c r="C125" s="49" t="n"/>
      <c r="D125" s="49" t="n"/>
      <c r="E125" s="49" t="n"/>
      <c r="F125" s="49" t="n"/>
      <c r="G125" s="49" t="n"/>
      <c r="H125" s="49" t="n"/>
    </row>
    <row r="126">
      <c r="B126" s="49" t="n"/>
      <c r="C126" s="49" t="n"/>
      <c r="D126" s="49" t="n"/>
      <c r="E126" s="49" t="n"/>
      <c r="F126" s="49" t="n"/>
      <c r="G126" s="49" t="n"/>
      <c r="H126" s="49" t="n"/>
    </row>
    <row r="127">
      <c r="B127" s="49" t="n"/>
      <c r="C127" s="49" t="n"/>
      <c r="D127" s="49" t="n"/>
      <c r="E127" s="49" t="n"/>
      <c r="F127" s="49" t="n"/>
      <c r="G127" s="49" t="n"/>
      <c r="H127" s="49" t="n"/>
    </row>
    <row r="128">
      <c r="B128" s="49" t="n"/>
      <c r="C128" s="49" t="n"/>
      <c r="D128" s="49" t="n"/>
      <c r="E128" s="49" t="n"/>
      <c r="F128" s="49" t="n"/>
      <c r="G128" s="49" t="n"/>
      <c r="H128" s="49" t="n"/>
    </row>
    <row r="129">
      <c r="B129" s="49" t="n"/>
      <c r="C129" s="49" t="n"/>
      <c r="D129" s="49" t="n"/>
      <c r="E129" s="49" t="n"/>
      <c r="F129" s="49" t="n"/>
      <c r="G129" s="49" t="n"/>
      <c r="H129" s="49" t="n"/>
    </row>
    <row r="130">
      <c r="B130" s="49" t="n"/>
      <c r="C130" s="49" t="n"/>
      <c r="D130" s="49" t="n"/>
      <c r="E130" s="49" t="n"/>
      <c r="F130" s="49" t="n"/>
      <c r="G130" s="49" t="n"/>
      <c r="H130" s="49" t="n"/>
    </row>
    <row r="131">
      <c r="B131" s="49" t="n"/>
      <c r="C131" s="49" t="n"/>
      <c r="D131" s="49" t="n"/>
      <c r="E131" s="49" t="n"/>
      <c r="F131" s="49" t="n"/>
      <c r="G131" s="49" t="n"/>
      <c r="H131" s="49" t="n"/>
    </row>
    <row r="132">
      <c r="B132" s="49" t="n"/>
      <c r="C132" s="49" t="n"/>
      <c r="D132" s="49" t="n"/>
      <c r="E132" s="49" t="n"/>
      <c r="F132" s="49" t="n"/>
      <c r="G132" s="49" t="n"/>
      <c r="H132" s="49" t="n"/>
    </row>
    <row r="133">
      <c r="B133" s="49" t="n"/>
      <c r="C133" s="49" t="n"/>
      <c r="D133" s="49" t="n"/>
      <c r="E133" s="49" t="n"/>
      <c r="F133" s="49" t="n"/>
      <c r="G133" s="49" t="n"/>
      <c r="H133" s="49" t="n"/>
    </row>
    <row r="134">
      <c r="B134" s="49" t="n"/>
      <c r="C134" s="49" t="n"/>
      <c r="D134" s="49" t="n"/>
      <c r="E134" s="49" t="n"/>
      <c r="F134" s="49" t="n"/>
      <c r="G134" s="49" t="n"/>
      <c r="H134" s="49" t="n"/>
    </row>
    <row r="135">
      <c r="B135" s="49" t="n"/>
      <c r="C135" s="49" t="n"/>
      <c r="D135" s="49" t="n"/>
      <c r="E135" s="49" t="n"/>
      <c r="F135" s="49" t="n"/>
      <c r="G135" s="49" t="n"/>
      <c r="H135" s="49" t="n"/>
    </row>
    <row r="136">
      <c r="B136" s="49" t="n"/>
      <c r="C136" s="49" t="n"/>
      <c r="D136" s="49" t="n"/>
      <c r="E136" s="49" t="n"/>
      <c r="F136" s="49" t="n"/>
      <c r="G136" s="49" t="n"/>
      <c r="H136" s="49" t="n"/>
    </row>
    <row r="137">
      <c r="B137" s="49" t="n"/>
      <c r="C137" s="49" t="n"/>
      <c r="D137" s="49" t="n"/>
      <c r="E137" s="49" t="n"/>
      <c r="F137" s="49" t="n"/>
      <c r="G137" s="49" t="n"/>
      <c r="H137" s="49" t="n"/>
    </row>
    <row r="138">
      <c r="B138" s="49" t="n"/>
      <c r="C138" s="49" t="n"/>
      <c r="D138" s="49" t="n"/>
      <c r="E138" s="49" t="n"/>
      <c r="F138" s="49" t="n"/>
      <c r="G138" s="49" t="n"/>
      <c r="H138" s="49" t="n"/>
    </row>
    <row r="139">
      <c r="B139" s="49" t="n"/>
      <c r="C139" s="49" t="n"/>
      <c r="D139" s="49" t="n"/>
      <c r="E139" s="49" t="n"/>
      <c r="F139" s="49" t="n"/>
      <c r="G139" s="49" t="n"/>
      <c r="H139" s="49" t="n"/>
    </row>
    <row r="140">
      <c r="B140" s="49" t="n"/>
      <c r="C140" s="49" t="n"/>
      <c r="D140" s="49" t="n"/>
      <c r="E140" s="49" t="n"/>
      <c r="F140" s="49" t="n"/>
      <c r="G140" s="49" t="n"/>
      <c r="H140" s="49" t="n"/>
    </row>
    <row r="141">
      <c r="B141" s="49" t="n"/>
      <c r="C141" s="49" t="n"/>
      <c r="D141" s="49" t="n"/>
      <c r="E141" s="49" t="n"/>
      <c r="F141" s="49" t="n"/>
      <c r="G141" s="49" t="n"/>
      <c r="H141" s="49" t="n"/>
    </row>
    <row r="142">
      <c r="B142" s="49" t="n"/>
      <c r="C142" s="49" t="n"/>
      <c r="D142" s="49" t="n"/>
      <c r="E142" s="49" t="n"/>
      <c r="F142" s="49" t="n"/>
      <c r="G142" s="49" t="n"/>
      <c r="H142" s="49" t="n"/>
    </row>
    <row r="143">
      <c r="B143" s="49" t="n"/>
      <c r="C143" s="49" t="n"/>
      <c r="D143" s="49" t="n"/>
      <c r="E143" s="49" t="n"/>
      <c r="F143" s="49" t="n"/>
      <c r="G143" s="49" t="n"/>
      <c r="H143" s="49" t="n"/>
    </row>
    <row r="144">
      <c r="B144" s="49" t="n"/>
      <c r="C144" s="49" t="n"/>
      <c r="D144" s="49" t="n"/>
      <c r="E144" s="49" t="n"/>
      <c r="F144" s="49" t="n"/>
      <c r="G144" s="49" t="n"/>
      <c r="H144" s="49" t="n"/>
    </row>
    <row r="145">
      <c r="B145" s="49" t="n"/>
      <c r="C145" s="49" t="n"/>
      <c r="D145" s="49" t="n"/>
      <c r="E145" s="49" t="n"/>
      <c r="F145" s="49" t="n"/>
      <c r="G145" s="49" t="n"/>
      <c r="H145" s="49" t="n"/>
    </row>
    <row r="146">
      <c r="B146" s="49" t="n"/>
      <c r="C146" s="49" t="n"/>
      <c r="D146" s="49" t="n"/>
      <c r="E146" s="49" t="n"/>
      <c r="F146" s="49" t="n"/>
      <c r="G146" s="49" t="n"/>
      <c r="H146" s="49" t="n"/>
    </row>
    <row r="147">
      <c r="B147" s="49" t="n"/>
      <c r="C147" s="49" t="n"/>
      <c r="D147" s="49" t="n"/>
      <c r="E147" s="49" t="n"/>
      <c r="F147" s="49" t="n"/>
      <c r="G147" s="49" t="n"/>
      <c r="H147" s="49" t="n"/>
    </row>
    <row r="148">
      <c r="B148" s="49" t="n"/>
      <c r="C148" s="49" t="n"/>
      <c r="D148" s="49" t="n"/>
      <c r="E148" s="49" t="n"/>
      <c r="F148" s="49" t="n"/>
      <c r="G148" s="49" t="n"/>
      <c r="H148" s="49" t="n"/>
    </row>
    <row r="149">
      <c r="B149" s="49" t="n"/>
      <c r="C149" s="49" t="n"/>
      <c r="D149" s="49" t="n"/>
      <c r="E149" s="49" t="n"/>
      <c r="F149" s="49" t="n"/>
      <c r="G149" s="49" t="n"/>
      <c r="H149" s="49" t="n"/>
    </row>
    <row r="150">
      <c r="B150" s="49" t="n"/>
      <c r="C150" s="49" t="n"/>
      <c r="D150" s="49" t="n"/>
      <c r="E150" s="49" t="n"/>
      <c r="F150" s="49" t="n"/>
      <c r="G150" s="49" t="n"/>
      <c r="H150" s="49" t="n"/>
    </row>
    <row r="151">
      <c r="B151" s="49" t="n"/>
      <c r="C151" s="49" t="n"/>
      <c r="D151" s="49" t="n"/>
      <c r="E151" s="49" t="n"/>
      <c r="F151" s="49" t="n"/>
      <c r="G151" s="49" t="n"/>
      <c r="H151" s="49" t="n"/>
    </row>
    <row r="152">
      <c r="B152" s="49" t="n"/>
      <c r="C152" s="49" t="n"/>
      <c r="D152" s="49" t="n"/>
      <c r="E152" s="49" t="n"/>
      <c r="F152" s="49" t="n"/>
      <c r="G152" s="49" t="n"/>
      <c r="H152" s="49" t="n"/>
    </row>
    <row r="153">
      <c r="B153" s="49" t="n"/>
      <c r="C153" s="49" t="n"/>
      <c r="D153" s="49" t="n"/>
      <c r="E153" s="49" t="n"/>
      <c r="F153" s="49" t="n"/>
      <c r="G153" s="49" t="n"/>
      <c r="H153" s="49" t="n"/>
    </row>
    <row r="154">
      <c r="B154" s="49" t="n"/>
      <c r="C154" s="49" t="n"/>
      <c r="D154" s="49" t="n"/>
      <c r="E154" s="49" t="n"/>
      <c r="F154" s="49" t="n"/>
      <c r="G154" s="49" t="n"/>
      <c r="H154" s="49" t="n"/>
    </row>
    <row r="155">
      <c r="B155" s="49" t="n"/>
      <c r="C155" s="49" t="n"/>
      <c r="D155" s="49" t="n"/>
      <c r="E155" s="49" t="n"/>
      <c r="F155" s="49" t="n"/>
      <c r="G155" s="49" t="n"/>
      <c r="H155" s="49" t="n"/>
    </row>
    <row r="156">
      <c r="B156" s="49" t="n"/>
      <c r="C156" s="49" t="n"/>
      <c r="D156" s="49" t="n"/>
      <c r="E156" s="49" t="n"/>
      <c r="F156" s="49" t="n"/>
      <c r="G156" s="49" t="n"/>
      <c r="H156" s="49" t="n"/>
    </row>
    <row r="157">
      <c r="B157" s="49" t="n"/>
      <c r="C157" s="49" t="n"/>
      <c r="D157" s="49" t="n"/>
      <c r="E157" s="49" t="n"/>
      <c r="F157" s="49" t="n"/>
      <c r="G157" s="49" t="n"/>
      <c r="H157" s="49" t="n"/>
    </row>
    <row r="158">
      <c r="B158" s="49" t="n"/>
      <c r="C158" s="49" t="n"/>
      <c r="D158" s="49" t="n"/>
      <c r="E158" s="49" t="n"/>
      <c r="F158" s="49" t="n"/>
      <c r="G158" s="49" t="n"/>
      <c r="H158" s="49" t="n"/>
    </row>
    <row r="159">
      <c r="B159" s="49" t="n"/>
      <c r="C159" s="49" t="n"/>
      <c r="D159" s="49" t="n"/>
      <c r="E159" s="49" t="n"/>
      <c r="F159" s="49" t="n"/>
      <c r="G159" s="49" t="n"/>
      <c r="H159" s="49" t="n"/>
    </row>
    <row r="160">
      <c r="B160" s="49" t="n"/>
      <c r="C160" s="49" t="n"/>
      <c r="D160" s="49" t="n"/>
      <c r="E160" s="49" t="n"/>
      <c r="F160" s="49" t="n"/>
      <c r="G160" s="49" t="n"/>
      <c r="H160" s="49" t="n"/>
    </row>
    <row r="161">
      <c r="B161" s="49" t="n"/>
      <c r="C161" s="49" t="n"/>
      <c r="D161" s="49" t="n"/>
      <c r="E161" s="49" t="n"/>
      <c r="F161" s="49" t="n"/>
      <c r="G161" s="49" t="n"/>
      <c r="H161" s="49" t="n"/>
    </row>
    <row r="162">
      <c r="B162" s="49" t="n"/>
      <c r="C162" s="49" t="n"/>
      <c r="D162" s="49" t="n"/>
      <c r="E162" s="49" t="n"/>
      <c r="F162" s="49" t="n"/>
      <c r="G162" s="49" t="n"/>
      <c r="H162" s="49" t="n"/>
    </row>
    <row r="163">
      <c r="B163" s="49" t="n"/>
      <c r="C163" s="49" t="n"/>
      <c r="D163" s="49" t="n"/>
      <c r="E163" s="49" t="n"/>
      <c r="F163" s="49" t="n"/>
      <c r="G163" s="49" t="n"/>
      <c r="H163" s="49" t="n"/>
    </row>
    <row r="164">
      <c r="B164" s="49" t="n"/>
      <c r="C164" s="49" t="n"/>
      <c r="D164" s="49" t="n"/>
      <c r="E164" s="49" t="n"/>
      <c r="F164" s="49" t="n"/>
      <c r="G164" s="49" t="n"/>
      <c r="H164" s="49" t="n"/>
    </row>
    <row r="165">
      <c r="B165" s="49" t="n"/>
      <c r="C165" s="49" t="n"/>
      <c r="D165" s="49" t="n"/>
      <c r="E165" s="49" t="n"/>
      <c r="F165" s="49" t="n"/>
      <c r="G165" s="49" t="n"/>
      <c r="H165" s="49" t="n"/>
    </row>
    <row r="166">
      <c r="B166" s="49" t="n"/>
      <c r="C166" s="49" t="n"/>
      <c r="D166" s="49" t="n"/>
      <c r="E166" s="49" t="n"/>
      <c r="F166" s="49" t="n"/>
      <c r="G166" s="49" t="n"/>
      <c r="H166" s="49" t="n"/>
    </row>
    <row r="167">
      <c r="B167" s="49" t="n"/>
      <c r="C167" s="49" t="n"/>
      <c r="D167" s="49" t="n"/>
      <c r="E167" s="49" t="n"/>
      <c r="F167" s="49" t="n"/>
      <c r="G167" s="49" t="n"/>
      <c r="H167" s="49" t="n"/>
    </row>
    <row r="168">
      <c r="B168" s="49" t="n"/>
      <c r="C168" s="49" t="n"/>
      <c r="D168" s="49" t="n"/>
      <c r="E168" s="49" t="n"/>
      <c r="F168" s="49" t="n"/>
      <c r="G168" s="49" t="n"/>
      <c r="H168" s="49" t="n"/>
    </row>
    <row r="169">
      <c r="B169" s="49" t="n"/>
      <c r="C169" s="49" t="n"/>
      <c r="D169" s="49" t="n"/>
      <c r="E169" s="49" t="n"/>
      <c r="F169" s="49" t="n"/>
      <c r="G169" s="49" t="n"/>
      <c r="H169" s="49" t="n"/>
    </row>
    <row r="170">
      <c r="B170" s="49" t="n"/>
      <c r="C170" s="49" t="n"/>
      <c r="D170" s="49" t="n"/>
      <c r="E170" s="49" t="n"/>
      <c r="F170" s="49" t="n"/>
      <c r="G170" s="49" t="n"/>
      <c r="H170" s="49" t="n"/>
    </row>
    <row r="171">
      <c r="B171" s="49" t="n"/>
      <c r="C171" s="49" t="n"/>
      <c r="D171" s="49" t="n"/>
      <c r="E171" s="49" t="n"/>
      <c r="F171" s="49" t="n"/>
      <c r="G171" s="49" t="n"/>
      <c r="H171" s="49" t="n"/>
    </row>
    <row r="172">
      <c r="B172" s="49" t="n"/>
      <c r="C172" s="49" t="n"/>
      <c r="D172" s="49" t="n"/>
      <c r="E172" s="49" t="n"/>
      <c r="F172" s="49" t="n"/>
      <c r="G172" s="49" t="n"/>
      <c r="H172" s="49" t="n"/>
    </row>
    <row r="173">
      <c r="B173" s="49" t="n"/>
      <c r="C173" s="49" t="n"/>
      <c r="D173" s="49" t="n"/>
      <c r="E173" s="49" t="n"/>
      <c r="F173" s="49" t="n"/>
      <c r="G173" s="49" t="n"/>
      <c r="H173" s="49" t="n"/>
    </row>
    <row r="174">
      <c r="B174" s="49" t="n"/>
      <c r="C174" s="49" t="n"/>
      <c r="D174" s="49" t="n"/>
      <c r="E174" s="49" t="n"/>
      <c r="F174" s="49" t="n"/>
      <c r="G174" s="49" t="n"/>
      <c r="H174" s="49" t="n"/>
    </row>
    <row r="175">
      <c r="B175" s="49" t="n"/>
      <c r="C175" s="49" t="n"/>
      <c r="D175" s="49" t="n"/>
      <c r="E175" s="49" t="n"/>
      <c r="F175" s="49" t="n"/>
      <c r="G175" s="49" t="n"/>
      <c r="H175" s="49" t="n"/>
    </row>
    <row r="176">
      <c r="B176" s="49" t="n"/>
      <c r="C176" s="49" t="n"/>
      <c r="D176" s="49" t="n"/>
      <c r="E176" s="49" t="n"/>
      <c r="F176" s="49" t="n"/>
      <c r="G176" s="49" t="n"/>
      <c r="H176" s="49" t="n"/>
    </row>
    <row r="177">
      <c r="B177" s="49" t="n"/>
      <c r="C177" s="49" t="n"/>
      <c r="D177" s="49" t="n"/>
      <c r="E177" s="49" t="n"/>
      <c r="F177" s="49" t="n"/>
      <c r="G177" s="49" t="n"/>
      <c r="H177" s="49" t="n"/>
    </row>
    <row r="178">
      <c r="B178" s="49" t="n"/>
      <c r="C178" s="49" t="n"/>
      <c r="D178" s="49" t="n"/>
      <c r="E178" s="49" t="n"/>
      <c r="F178" s="49" t="n"/>
      <c r="G178" s="49" t="n"/>
      <c r="H178" s="49" t="n"/>
    </row>
    <row r="179">
      <c r="B179" s="49" t="n"/>
      <c r="C179" s="49" t="n"/>
      <c r="D179" s="49" t="n"/>
      <c r="E179" s="49" t="n"/>
      <c r="F179" s="49" t="n"/>
      <c r="G179" s="49" t="n"/>
      <c r="H179" s="49" t="n"/>
    </row>
    <row r="180">
      <c r="B180" s="49" t="n"/>
      <c r="C180" s="49" t="n"/>
      <c r="D180" s="49" t="n"/>
      <c r="E180" s="49" t="n"/>
      <c r="F180" s="49" t="n"/>
      <c r="G180" s="49" t="n"/>
      <c r="H180" s="49" t="n"/>
    </row>
    <row r="181">
      <c r="B181" s="49" t="n"/>
      <c r="C181" s="49" t="n"/>
      <c r="D181" s="49" t="n"/>
      <c r="E181" s="49" t="n"/>
      <c r="F181" s="49" t="n"/>
      <c r="G181" s="49" t="n"/>
      <c r="H181" s="49" t="n"/>
    </row>
    <row r="182">
      <c r="B182" s="49" t="n"/>
      <c r="C182" s="49" t="n"/>
      <c r="D182" s="49" t="n"/>
      <c r="E182" s="49" t="n"/>
      <c r="F182" s="49" t="n"/>
      <c r="G182" s="49" t="n"/>
      <c r="H182" s="49" t="n"/>
    </row>
    <row r="183">
      <c r="B183" s="49" t="n"/>
      <c r="C183" s="49" t="n"/>
      <c r="D183" s="49" t="n"/>
      <c r="E183" s="49" t="n"/>
      <c r="F183" s="49" t="n"/>
      <c r="G183" s="49" t="n"/>
      <c r="H183" s="49" t="n"/>
    </row>
    <row r="184">
      <c r="B184" s="49" t="n"/>
      <c r="C184" s="49" t="n"/>
      <c r="D184" s="49" t="n"/>
      <c r="E184" s="49" t="n"/>
      <c r="F184" s="49" t="n"/>
      <c r="G184" s="49" t="n"/>
      <c r="H184" s="49" t="n"/>
    </row>
    <row r="185">
      <c r="B185" s="49" t="n"/>
      <c r="C185" s="49" t="n"/>
      <c r="D185" s="49" t="n"/>
      <c r="E185" s="49" t="n"/>
      <c r="F185" s="49" t="n"/>
      <c r="G185" s="49" t="n"/>
      <c r="H185" s="49" t="n"/>
    </row>
    <row r="186">
      <c r="B186" s="49" t="n"/>
      <c r="C186" s="49" t="n"/>
      <c r="D186" s="49" t="n"/>
      <c r="E186" s="49" t="n"/>
      <c r="F186" s="49" t="n"/>
      <c r="G186" s="49" t="n"/>
      <c r="H186" s="49" t="n"/>
    </row>
    <row r="187">
      <c r="B187" s="49" t="n"/>
      <c r="C187" s="49" t="n"/>
      <c r="D187" s="49" t="n"/>
      <c r="E187" s="49" t="n"/>
      <c r="F187" s="49" t="n"/>
      <c r="G187" s="49" t="n"/>
      <c r="H187" s="49" t="n"/>
    </row>
    <row r="188">
      <c r="B188" s="49" t="n"/>
      <c r="C188" s="49" t="n"/>
      <c r="D188" s="49" t="n"/>
      <c r="E188" s="49" t="n"/>
      <c r="F188" s="49" t="n"/>
      <c r="G188" s="49" t="n"/>
      <c r="H188" s="49" t="n"/>
    </row>
    <row r="189">
      <c r="B189" s="49" t="n"/>
      <c r="C189" s="49" t="n"/>
      <c r="D189" s="49" t="n"/>
      <c r="E189" s="49" t="n"/>
      <c r="F189" s="49" t="n"/>
      <c r="G189" s="49" t="n"/>
      <c r="H189" s="49" t="n"/>
    </row>
    <row r="190">
      <c r="B190" s="49" t="n"/>
      <c r="C190" s="49" t="n"/>
      <c r="D190" s="49" t="n"/>
      <c r="E190" s="49" t="n"/>
      <c r="F190" s="49" t="n"/>
      <c r="G190" s="49" t="n"/>
      <c r="H190" s="49" t="n"/>
    </row>
    <row r="191">
      <c r="B191" s="49" t="n"/>
      <c r="C191" s="49" t="n"/>
      <c r="D191" s="49" t="n"/>
      <c r="E191" s="49" t="n"/>
      <c r="F191" s="49" t="n"/>
      <c r="G191" s="49" t="n"/>
      <c r="H191" s="49" t="n"/>
    </row>
    <row r="192">
      <c r="B192" s="49" t="n"/>
      <c r="C192" s="49" t="n"/>
      <c r="D192" s="49" t="n"/>
      <c r="E192" s="49" t="n"/>
      <c r="F192" s="49" t="n"/>
      <c r="G192" s="49" t="n"/>
      <c r="H192" s="49" t="n"/>
    </row>
    <row r="193">
      <c r="B193" s="49" t="n"/>
      <c r="C193" s="49" t="n"/>
      <c r="D193" s="49" t="n"/>
      <c r="E193" s="49" t="n"/>
      <c r="F193" s="49" t="n"/>
      <c r="G193" s="49" t="n"/>
      <c r="H193" s="49" t="n"/>
    </row>
    <row r="194">
      <c r="B194" s="49" t="n"/>
      <c r="C194" s="49" t="n"/>
      <c r="D194" s="49" t="n"/>
      <c r="E194" s="49" t="n"/>
      <c r="F194" s="49" t="n"/>
      <c r="G194" s="49" t="n"/>
      <c r="H194" s="49" t="n"/>
    </row>
    <row r="195">
      <c r="B195" s="49" t="n"/>
      <c r="C195" s="49" t="n"/>
      <c r="D195" s="49" t="n"/>
      <c r="E195" s="49" t="n"/>
      <c r="F195" s="49" t="n"/>
      <c r="G195" s="49" t="n"/>
      <c r="H195" s="49" t="n"/>
    </row>
    <row r="196">
      <c r="B196" s="49" t="n"/>
      <c r="C196" s="49" t="n"/>
      <c r="D196" s="49" t="n"/>
      <c r="E196" s="49" t="n"/>
      <c r="F196" s="49" t="n"/>
      <c r="G196" s="49" t="n"/>
      <c r="H196" s="49" t="n"/>
    </row>
    <row r="197">
      <c r="B197" s="49" t="n"/>
      <c r="C197" s="49" t="n"/>
      <c r="D197" s="49" t="n"/>
      <c r="E197" s="49" t="n"/>
      <c r="F197" s="49" t="n"/>
      <c r="G197" s="49" t="n"/>
      <c r="H197" s="49" t="n"/>
    </row>
    <row r="198">
      <c r="B198" s="49" t="n"/>
      <c r="C198" s="49" t="n"/>
      <c r="D198" s="49" t="n"/>
      <c r="E198" s="49" t="n"/>
      <c r="F198" s="49" t="n"/>
      <c r="G198" s="49" t="n"/>
      <c r="H198" s="49" t="n"/>
    </row>
    <row r="199">
      <c r="B199" s="49" t="n"/>
      <c r="C199" s="49" t="n"/>
      <c r="D199" s="49" t="n"/>
      <c r="E199" s="49" t="n"/>
      <c r="F199" s="49" t="n"/>
      <c r="G199" s="49" t="n"/>
      <c r="H199" s="49" t="n"/>
    </row>
    <row r="200">
      <c r="B200" s="49" t="n"/>
      <c r="C200" s="49" t="n"/>
      <c r="D200" s="49" t="n"/>
      <c r="E200" s="49" t="n"/>
      <c r="F200" s="49" t="n"/>
      <c r="G200" s="49" t="n"/>
      <c r="H200" s="49" t="n"/>
    </row>
    <row r="201">
      <c r="B201" s="49" t="n"/>
      <c r="C201" s="49" t="n"/>
      <c r="D201" s="49" t="n"/>
      <c r="E201" s="49" t="n"/>
      <c r="F201" s="49" t="n"/>
      <c r="G201" s="49" t="n"/>
      <c r="H201" s="49" t="n"/>
    </row>
    <row r="202">
      <c r="B202" s="49" t="n"/>
      <c r="C202" s="49" t="n"/>
      <c r="D202" s="49" t="n"/>
      <c r="E202" s="49" t="n"/>
      <c r="F202" s="49" t="n"/>
      <c r="G202" s="49" t="n"/>
      <c r="H202" s="49" t="n"/>
    </row>
    <row r="203">
      <c r="B203" s="49" t="n"/>
      <c r="C203" s="49" t="n"/>
      <c r="D203" s="49" t="n"/>
      <c r="E203" s="49" t="n"/>
      <c r="F203" s="49" t="n"/>
      <c r="G203" s="49" t="n"/>
      <c r="H203" s="49" t="n"/>
    </row>
    <row r="204">
      <c r="B204" s="49" t="n"/>
      <c r="C204" s="49" t="n"/>
      <c r="D204" s="49" t="n"/>
      <c r="E204" s="49" t="n"/>
      <c r="F204" s="49" t="n"/>
      <c r="G204" s="49" t="n"/>
      <c r="H204" s="49" t="n"/>
    </row>
    <row r="205">
      <c r="B205" s="49" t="n"/>
      <c r="C205" s="49" t="n"/>
      <c r="D205" s="49" t="n"/>
      <c r="E205" s="49" t="n"/>
      <c r="F205" s="49" t="n"/>
      <c r="G205" s="49" t="n"/>
      <c r="H205" s="49" t="n"/>
    </row>
    <row r="206">
      <c r="B206" s="49" t="n"/>
      <c r="C206" s="49" t="n"/>
      <c r="D206" s="49" t="n"/>
      <c r="E206" s="49" t="n"/>
      <c r="F206" s="49" t="n"/>
      <c r="G206" s="49" t="n"/>
      <c r="H206" s="49" t="n"/>
    </row>
    <row r="207">
      <c r="B207" s="49" t="n"/>
      <c r="C207" s="49" t="n"/>
      <c r="D207" s="49" t="n"/>
      <c r="E207" s="49" t="n"/>
      <c r="F207" s="49" t="n"/>
      <c r="G207" s="49" t="n"/>
      <c r="H207" s="49" t="n"/>
    </row>
    <row r="208">
      <c r="B208" s="49" t="n"/>
      <c r="C208" s="49" t="n"/>
      <c r="D208" s="49" t="n"/>
      <c r="E208" s="49" t="n"/>
      <c r="F208" s="49" t="n"/>
      <c r="G208" s="49" t="n"/>
      <c r="H208" s="49" t="n"/>
    </row>
    <row r="209">
      <c r="B209" s="49" t="n"/>
      <c r="C209" s="49" t="n"/>
      <c r="D209" s="49" t="n"/>
      <c r="E209" s="49" t="n"/>
      <c r="F209" s="49" t="n"/>
      <c r="G209" s="49" t="n"/>
      <c r="H209" s="49" t="n"/>
    </row>
    <row r="210">
      <c r="B210" s="49" t="n"/>
      <c r="C210" s="49" t="n"/>
      <c r="D210" s="49" t="n"/>
      <c r="E210" s="49" t="n"/>
      <c r="F210" s="49" t="n"/>
      <c r="G210" s="49" t="n"/>
      <c r="H210" s="49" t="n"/>
    </row>
    <row r="211">
      <c r="B211" s="49" t="n"/>
      <c r="C211" s="49" t="n"/>
      <c r="D211" s="49" t="n"/>
      <c r="E211" s="49" t="n"/>
      <c r="F211" s="49" t="n"/>
      <c r="G211" s="49" t="n"/>
      <c r="H211" s="49" t="n"/>
    </row>
    <row r="212">
      <c r="B212" s="49" t="n"/>
      <c r="C212" s="49" t="n"/>
      <c r="D212" s="49" t="n"/>
      <c r="E212" s="49" t="n"/>
      <c r="F212" s="49" t="n"/>
      <c r="G212" s="49" t="n"/>
      <c r="H212" s="49" t="n"/>
    </row>
    <row r="213">
      <c r="B213" s="49" t="n"/>
      <c r="C213" s="49" t="n"/>
      <c r="D213" s="49" t="n"/>
      <c r="E213" s="49" t="n"/>
      <c r="F213" s="49" t="n"/>
      <c r="G213" s="49" t="n"/>
      <c r="H213" s="49" t="n"/>
    </row>
    <row r="214">
      <c r="B214" s="49" t="n"/>
      <c r="C214" s="49" t="n"/>
      <c r="D214" s="49" t="n"/>
      <c r="E214" s="49" t="n"/>
      <c r="F214" s="49" t="n"/>
      <c r="G214" s="49" t="n"/>
      <c r="H214" s="49" t="n"/>
    </row>
    <row r="215">
      <c r="B215" s="49" t="n"/>
      <c r="C215" s="49" t="n"/>
      <c r="D215" s="49" t="n"/>
      <c r="E215" s="49" t="n"/>
      <c r="F215" s="49" t="n"/>
      <c r="G215" s="49" t="n"/>
      <c r="H215" s="49" t="n"/>
    </row>
    <row r="216">
      <c r="B216" s="49" t="n"/>
      <c r="C216" s="49" t="n"/>
      <c r="D216" s="49" t="n"/>
      <c r="E216" s="49" t="n"/>
      <c r="F216" s="49" t="n"/>
      <c r="G216" s="49" t="n"/>
      <c r="H216" s="49" t="n"/>
    </row>
    <row r="217">
      <c r="B217" s="49" t="n"/>
      <c r="C217" s="49" t="n"/>
      <c r="D217" s="49" t="n"/>
      <c r="E217" s="49" t="n"/>
      <c r="F217" s="49" t="n"/>
      <c r="G217" s="49" t="n"/>
      <c r="H217" s="49" t="n"/>
    </row>
    <row r="218">
      <c r="B218" s="49" t="n"/>
      <c r="C218" s="49" t="n"/>
      <c r="D218" s="49" t="n"/>
      <c r="E218" s="49" t="n"/>
      <c r="F218" s="49" t="n"/>
      <c r="G218" s="49" t="n"/>
      <c r="H218" s="49" t="n"/>
    </row>
    <row r="219">
      <c r="B219" s="49" t="n"/>
      <c r="C219" s="49" t="n"/>
      <c r="D219" s="49" t="n"/>
      <c r="E219" s="49" t="n"/>
      <c r="F219" s="49" t="n"/>
      <c r="G219" s="49" t="n"/>
      <c r="H219" s="49" t="n"/>
    </row>
    <row r="220">
      <c r="B220" s="49" t="n"/>
      <c r="C220" s="49" t="n"/>
      <c r="D220" s="49" t="n"/>
      <c r="E220" s="49" t="n"/>
      <c r="F220" s="49" t="n"/>
      <c r="G220" s="49" t="n"/>
      <c r="H220" s="49" t="n"/>
    </row>
    <row r="221">
      <c r="B221" s="49" t="n"/>
      <c r="C221" s="49" t="n"/>
      <c r="D221" s="49" t="n"/>
      <c r="E221" s="49" t="n"/>
      <c r="F221" s="49" t="n"/>
      <c r="G221" s="49" t="n"/>
      <c r="H221" s="49" t="n"/>
    </row>
    <row r="222">
      <c r="B222" s="49" t="n"/>
      <c r="C222" s="49" t="n"/>
      <c r="D222" s="49" t="n"/>
      <c r="E222" s="49" t="n"/>
      <c r="F222" s="49" t="n"/>
      <c r="G222" s="49" t="n"/>
      <c r="H222" s="49" t="n"/>
    </row>
    <row r="223">
      <c r="B223" s="49" t="n"/>
      <c r="C223" s="49" t="n"/>
      <c r="D223" s="49" t="n"/>
      <c r="E223" s="49" t="n"/>
      <c r="F223" s="49" t="n"/>
      <c r="G223" s="49" t="n"/>
      <c r="H223" s="49" t="n"/>
    </row>
    <row r="224">
      <c r="B224" s="49" t="n"/>
      <c r="C224" s="49" t="n"/>
      <c r="D224" s="49" t="n"/>
      <c r="E224" s="49" t="n"/>
      <c r="F224" s="49" t="n"/>
      <c r="G224" s="49" t="n"/>
      <c r="H224" s="49" t="n"/>
    </row>
    <row r="225">
      <c r="B225" s="49" t="n"/>
      <c r="C225" s="49" t="n"/>
      <c r="D225" s="49" t="n"/>
      <c r="E225" s="49" t="n"/>
      <c r="F225" s="49" t="n"/>
      <c r="G225" s="49" t="n"/>
      <c r="H225" s="49" t="n"/>
    </row>
    <row r="226">
      <c r="B226" s="49" t="n"/>
      <c r="C226" s="49" t="n"/>
      <c r="D226" s="49" t="n"/>
      <c r="E226" s="49" t="n"/>
      <c r="F226" s="49" t="n"/>
      <c r="G226" s="49" t="n"/>
      <c r="H226" s="49" t="n"/>
    </row>
    <row r="227">
      <c r="B227" s="49" t="n"/>
      <c r="C227" s="49" t="n"/>
      <c r="D227" s="49" t="n"/>
      <c r="E227" s="49" t="n"/>
      <c r="F227" s="49" t="n"/>
      <c r="G227" s="49" t="n"/>
      <c r="H227" s="49" t="n"/>
    </row>
    <row r="228">
      <c r="B228" s="49" t="n"/>
      <c r="C228" s="49" t="n"/>
      <c r="D228" s="49" t="n"/>
      <c r="E228" s="49" t="n"/>
      <c r="F228" s="49" t="n"/>
      <c r="G228" s="49" t="n"/>
      <c r="H228" s="49" t="n"/>
    </row>
    <row r="229">
      <c r="B229" s="49" t="n"/>
      <c r="C229" s="49" t="n"/>
      <c r="D229" s="49" t="n"/>
      <c r="E229" s="49" t="n"/>
      <c r="F229" s="49" t="n"/>
      <c r="G229" s="49" t="n"/>
      <c r="H229" s="49" t="n"/>
    </row>
    <row r="230">
      <c r="B230" s="49" t="n"/>
      <c r="C230" s="49" t="n"/>
      <c r="D230" s="49" t="n"/>
      <c r="E230" s="49" t="n"/>
      <c r="F230" s="49" t="n"/>
      <c r="G230" s="49" t="n"/>
      <c r="H230" s="49" t="n"/>
    </row>
    <row r="231">
      <c r="B231" s="49" t="n"/>
      <c r="C231" s="49" t="n"/>
      <c r="D231" s="49" t="n"/>
      <c r="E231" s="49" t="n"/>
      <c r="F231" s="49" t="n"/>
      <c r="G231" s="49" t="n"/>
      <c r="H231" s="49" t="n"/>
    </row>
    <row r="232">
      <c r="B232" s="49" t="n"/>
      <c r="C232" s="49" t="n"/>
      <c r="D232" s="49" t="n"/>
      <c r="E232" s="49" t="n"/>
      <c r="F232" s="49" t="n"/>
      <c r="G232" s="49" t="n"/>
      <c r="H232" s="49" t="n"/>
    </row>
    <row r="233">
      <c r="B233" s="49" t="n"/>
      <c r="C233" s="49" t="n"/>
      <c r="D233" s="49" t="n"/>
      <c r="E233" s="49" t="n"/>
      <c r="F233" s="49" t="n"/>
      <c r="G233" s="49" t="n"/>
      <c r="H233" s="49" t="n"/>
    </row>
    <row r="234">
      <c r="B234" s="49" t="n"/>
      <c r="C234" s="49" t="n"/>
      <c r="D234" s="49" t="n"/>
      <c r="E234" s="49" t="n"/>
      <c r="F234" s="49" t="n"/>
      <c r="G234" s="49" t="n"/>
      <c r="H234" s="49" t="n"/>
    </row>
    <row r="235">
      <c r="B235" s="49" t="n"/>
      <c r="C235" s="49" t="n"/>
      <c r="D235" s="49" t="n"/>
      <c r="E235" s="49" t="n"/>
      <c r="F235" s="49" t="n"/>
      <c r="G235" s="49" t="n"/>
      <c r="H235" s="49" t="n"/>
    </row>
    <row r="236">
      <c r="B236" s="49" t="n"/>
      <c r="C236" s="49" t="n"/>
      <c r="D236" s="49" t="n"/>
      <c r="E236" s="49" t="n"/>
      <c r="F236" s="49" t="n"/>
      <c r="G236" s="49" t="n"/>
      <c r="H236" s="49" t="n"/>
    </row>
    <row r="237">
      <c r="B237" s="49" t="n"/>
      <c r="C237" s="49" t="n"/>
      <c r="D237" s="49" t="n"/>
      <c r="E237" s="49" t="n"/>
      <c r="F237" s="49" t="n"/>
      <c r="G237" s="49" t="n"/>
      <c r="H237" s="49" t="n"/>
    </row>
    <row r="238">
      <c r="B238" s="49" t="n"/>
      <c r="C238" s="49" t="n"/>
      <c r="D238" s="49" t="n"/>
      <c r="E238" s="49" t="n"/>
      <c r="F238" s="49" t="n"/>
      <c r="G238" s="49" t="n"/>
      <c r="H238" s="49" t="n"/>
    </row>
    <row r="239">
      <c r="B239" s="49" t="n"/>
      <c r="C239" s="49" t="n"/>
      <c r="D239" s="49" t="n"/>
      <c r="E239" s="49" t="n"/>
      <c r="F239" s="49" t="n"/>
      <c r="G239" s="49" t="n"/>
      <c r="H239" s="49" t="n"/>
    </row>
    <row r="240">
      <c r="B240" s="49" t="n"/>
      <c r="C240" s="49" t="n"/>
      <c r="D240" s="49" t="n"/>
      <c r="E240" s="49" t="n"/>
      <c r="F240" s="49" t="n"/>
      <c r="G240" s="49" t="n"/>
      <c r="H240" s="49" t="n"/>
    </row>
    <row r="241">
      <c r="B241" s="49" t="n"/>
      <c r="C241" s="49" t="n"/>
      <c r="D241" s="49" t="n"/>
      <c r="E241" s="49" t="n"/>
      <c r="F241" s="49" t="n"/>
      <c r="G241" s="49" t="n"/>
      <c r="H241" s="49" t="n"/>
    </row>
    <row r="242">
      <c r="B242" s="49" t="n"/>
      <c r="C242" s="49" t="n"/>
      <c r="D242" s="49" t="n"/>
      <c r="E242" s="49" t="n"/>
      <c r="F242" s="49" t="n"/>
      <c r="G242" s="49" t="n"/>
      <c r="H242" s="49" t="n"/>
    </row>
    <row r="243">
      <c r="B243" s="49" t="n"/>
      <c r="C243" s="49" t="n"/>
      <c r="D243" s="49" t="n"/>
      <c r="E243" s="49" t="n"/>
      <c r="F243" s="49" t="n"/>
      <c r="G243" s="49" t="n"/>
      <c r="H243" s="49" t="n"/>
    </row>
    <row r="244">
      <c r="B244" s="49" t="n"/>
      <c r="C244" s="49" t="n"/>
      <c r="D244" s="49" t="n"/>
      <c r="E244" s="49" t="n"/>
      <c r="F244" s="49" t="n"/>
      <c r="G244" s="49" t="n"/>
      <c r="H244" s="49" t="n"/>
    </row>
    <row r="245">
      <c r="B245" s="49" t="n"/>
      <c r="C245" s="49" t="n"/>
      <c r="D245" s="49" t="n"/>
      <c r="E245" s="49" t="n"/>
      <c r="F245" s="49" t="n"/>
      <c r="G245" s="49" t="n"/>
      <c r="H245" s="49" t="n"/>
    </row>
    <row r="246">
      <c r="B246" s="49" t="n"/>
      <c r="C246" s="49" t="n"/>
      <c r="D246" s="49" t="n"/>
      <c r="E246" s="49" t="n"/>
      <c r="F246" s="49" t="n"/>
      <c r="G246" s="49" t="n"/>
      <c r="H246" s="49" t="n"/>
    </row>
    <row r="247">
      <c r="B247" s="49" t="n"/>
      <c r="C247" s="49" t="n"/>
      <c r="D247" s="49" t="n"/>
      <c r="E247" s="49" t="n"/>
      <c r="F247" s="49" t="n"/>
      <c r="G247" s="49" t="n"/>
      <c r="H247" s="49" t="n"/>
    </row>
    <row r="248">
      <c r="B248" s="49" t="n"/>
      <c r="C248" s="49" t="n"/>
      <c r="D248" s="49" t="n"/>
      <c r="E248" s="49" t="n"/>
      <c r="F248" s="49" t="n"/>
      <c r="G248" s="49" t="n"/>
      <c r="H248" s="49" t="n"/>
    </row>
    <row r="249">
      <c r="B249" s="49" t="n"/>
      <c r="C249" s="49" t="n"/>
      <c r="D249" s="49" t="n"/>
      <c r="E249" s="49" t="n"/>
      <c r="F249" s="49" t="n"/>
      <c r="G249" s="49" t="n"/>
      <c r="H249" s="49" t="n"/>
    </row>
    <row r="250">
      <c r="B250" s="49" t="n"/>
      <c r="C250" s="49" t="n"/>
      <c r="D250" s="49" t="n"/>
      <c r="E250" s="49" t="n"/>
      <c r="F250" s="49" t="n"/>
      <c r="G250" s="49" t="n"/>
      <c r="H250" s="49" t="n"/>
    </row>
    <row r="251">
      <c r="B251" s="49" t="n"/>
      <c r="C251" s="49" t="n"/>
      <c r="D251" s="49" t="n"/>
      <c r="E251" s="49" t="n"/>
      <c r="F251" s="49" t="n"/>
      <c r="G251" s="49" t="n"/>
      <c r="H251" s="49" t="n"/>
    </row>
    <row r="252">
      <c r="B252" s="49" t="n"/>
      <c r="C252" s="49" t="n"/>
      <c r="D252" s="49" t="n"/>
      <c r="E252" s="49" t="n"/>
      <c r="F252" s="49" t="n"/>
      <c r="G252" s="49" t="n"/>
      <c r="H252" s="49" t="n"/>
    </row>
    <row r="253">
      <c r="B253" s="49" t="n"/>
      <c r="C253" s="49" t="n"/>
      <c r="D253" s="49" t="n"/>
      <c r="E253" s="49" t="n"/>
      <c r="F253" s="49" t="n"/>
      <c r="G253" s="49" t="n"/>
      <c r="H253" s="49" t="n"/>
    </row>
    <row r="254">
      <c r="B254" s="49" t="n"/>
      <c r="C254" s="49" t="n"/>
      <c r="D254" s="49" t="n"/>
      <c r="E254" s="49" t="n"/>
      <c r="F254" s="49" t="n"/>
      <c r="G254" s="49" t="n"/>
      <c r="H254" s="49" t="n"/>
    </row>
    <row r="255">
      <c r="B255" s="49" t="n"/>
      <c r="C255" s="49" t="n"/>
      <c r="D255" s="49" t="n"/>
      <c r="E255" s="49" t="n"/>
      <c r="F255" s="49" t="n"/>
      <c r="G255" s="49" t="n"/>
      <c r="H255" s="49" t="n"/>
    </row>
    <row r="256">
      <c r="B256" s="49" t="n"/>
      <c r="C256" s="49" t="n"/>
      <c r="D256" s="49" t="n"/>
      <c r="E256" s="49" t="n"/>
      <c r="F256" s="49" t="n"/>
      <c r="G256" s="49" t="n"/>
      <c r="H256" s="49" t="n"/>
    </row>
    <row r="257">
      <c r="B257" s="49" t="n"/>
      <c r="C257" s="49" t="n"/>
      <c r="D257" s="49" t="n"/>
      <c r="E257" s="49" t="n"/>
      <c r="F257" s="49" t="n"/>
      <c r="G257" s="49" t="n"/>
      <c r="H257" s="49" t="n"/>
    </row>
    <row r="258">
      <c r="B258" s="49" t="n"/>
      <c r="C258" s="49" t="n"/>
      <c r="D258" s="49" t="n"/>
      <c r="E258" s="49" t="n"/>
      <c r="F258" s="49" t="n"/>
      <c r="G258" s="49" t="n"/>
      <c r="H258" s="49" t="n"/>
    </row>
    <row r="259">
      <c r="B259" s="49" t="n"/>
      <c r="C259" s="49" t="n"/>
      <c r="D259" s="49" t="n"/>
      <c r="E259" s="49" t="n"/>
      <c r="F259" s="49" t="n"/>
      <c r="G259" s="49" t="n"/>
      <c r="H259" s="49" t="n"/>
    </row>
    <row r="260">
      <c r="B260" s="49" t="n"/>
      <c r="C260" s="49" t="n"/>
      <c r="D260" s="49" t="n"/>
      <c r="E260" s="49" t="n"/>
      <c r="F260" s="49" t="n"/>
      <c r="G260" s="49" t="n"/>
      <c r="H260" s="49" t="n"/>
    </row>
    <row r="261">
      <c r="B261" s="49" t="n"/>
      <c r="C261" s="49" t="n"/>
      <c r="D261" s="49" t="n"/>
      <c r="E261" s="49" t="n"/>
      <c r="F261" s="49" t="n"/>
      <c r="G261" s="49" t="n"/>
      <c r="H261" s="49" t="n"/>
    </row>
    <row r="262">
      <c r="B262" s="49" t="n"/>
      <c r="C262" s="49" t="n"/>
      <c r="D262" s="49" t="n"/>
      <c r="E262" s="49" t="n"/>
      <c r="F262" s="49" t="n"/>
      <c r="G262" s="49" t="n"/>
      <c r="H262" s="49" t="n"/>
    </row>
    <row r="263">
      <c r="B263" s="49" t="n"/>
      <c r="C263" s="49" t="n"/>
      <c r="D263" s="49" t="n"/>
      <c r="E263" s="49" t="n"/>
      <c r="F263" s="49" t="n"/>
      <c r="G263" s="49" t="n"/>
      <c r="H263" s="49" t="n"/>
    </row>
    <row r="264">
      <c r="B264" s="49" t="n"/>
      <c r="C264" s="49" t="n"/>
      <c r="D264" s="49" t="n"/>
      <c r="E264" s="49" t="n"/>
      <c r="F264" s="49" t="n"/>
      <c r="G264" s="49" t="n"/>
      <c r="H264" s="49" t="n"/>
    </row>
    <row r="265">
      <c r="B265" s="49" t="n"/>
      <c r="C265" s="49" t="n"/>
      <c r="D265" s="49" t="n"/>
      <c r="E265" s="49" t="n"/>
      <c r="F265" s="49" t="n"/>
      <c r="G265" s="49" t="n"/>
      <c r="H265" s="49" t="n"/>
    </row>
    <row r="266">
      <c r="B266" s="49" t="n"/>
      <c r="C266" s="49" t="n"/>
      <c r="D266" s="49" t="n"/>
      <c r="E266" s="49" t="n"/>
      <c r="F266" s="49" t="n"/>
      <c r="G266" s="49" t="n"/>
      <c r="H266" s="49" t="n"/>
    </row>
    <row r="267">
      <c r="B267" s="49" t="n"/>
      <c r="C267" s="49" t="n"/>
      <c r="D267" s="49" t="n"/>
      <c r="E267" s="49" t="n"/>
      <c r="F267" s="49" t="n"/>
      <c r="G267" s="49" t="n"/>
      <c r="H267" s="49" t="n"/>
    </row>
    <row r="268">
      <c r="B268" s="49" t="n"/>
      <c r="C268" s="49" t="n"/>
      <c r="D268" s="49" t="n"/>
      <c r="E268" s="49" t="n"/>
      <c r="F268" s="49" t="n"/>
      <c r="G268" s="49" t="n"/>
      <c r="H268" s="49" t="n"/>
    </row>
    <row r="269">
      <c r="B269" s="49" t="n"/>
      <c r="C269" s="49" t="n"/>
      <c r="D269" s="49" t="n"/>
      <c r="E269" s="49" t="n"/>
      <c r="F269" s="49" t="n"/>
      <c r="G269" s="49" t="n"/>
      <c r="H269" s="49" t="n"/>
    </row>
    <row r="270">
      <c r="B270" s="49" t="n"/>
      <c r="C270" s="49" t="n"/>
      <c r="D270" s="49" t="n"/>
      <c r="E270" s="49" t="n"/>
      <c r="F270" s="49" t="n"/>
      <c r="G270" s="49" t="n"/>
      <c r="H270" s="49" t="n"/>
    </row>
    <row r="271">
      <c r="B271" s="49" t="n"/>
      <c r="C271" s="49" t="n"/>
      <c r="D271" s="49" t="n"/>
      <c r="E271" s="49" t="n"/>
      <c r="F271" s="49" t="n"/>
      <c r="G271" s="49" t="n"/>
      <c r="H271" s="49" t="n"/>
    </row>
    <row r="272">
      <c r="B272" s="49" t="n"/>
      <c r="C272" s="49" t="n"/>
      <c r="D272" s="49" t="n"/>
      <c r="E272" s="49" t="n"/>
      <c r="F272" s="49" t="n"/>
      <c r="G272" s="49" t="n"/>
      <c r="H272" s="49" t="n"/>
    </row>
    <row r="273">
      <c r="B273" s="49" t="n"/>
      <c r="C273" s="49" t="n"/>
      <c r="D273" s="49" t="n"/>
      <c r="E273" s="49" t="n"/>
      <c r="F273" s="49" t="n"/>
      <c r="G273" s="49" t="n"/>
      <c r="H273" s="49" t="n"/>
    </row>
    <row r="274">
      <c r="B274" s="49" t="n"/>
      <c r="C274" s="49" t="n"/>
      <c r="D274" s="49" t="n"/>
      <c r="E274" s="49" t="n"/>
      <c r="F274" s="49" t="n"/>
      <c r="G274" s="49" t="n"/>
      <c r="H274" s="49" t="n"/>
    </row>
    <row r="275">
      <c r="B275" s="49" t="n"/>
      <c r="C275" s="49" t="n"/>
      <c r="D275" s="49" t="n"/>
      <c r="E275" s="49" t="n"/>
      <c r="F275" s="49" t="n"/>
      <c r="G275" s="49" t="n"/>
      <c r="H275" s="49" t="n"/>
    </row>
    <row r="276">
      <c r="B276" s="49" t="n"/>
      <c r="C276" s="49" t="n"/>
      <c r="D276" s="49" t="n"/>
      <c r="E276" s="49" t="n"/>
      <c r="F276" s="49" t="n"/>
      <c r="G276" s="49" t="n"/>
      <c r="H276" s="49" t="n"/>
    </row>
    <row r="277">
      <c r="B277" s="49" t="n"/>
      <c r="C277" s="49" t="n"/>
      <c r="D277" s="49" t="n"/>
      <c r="E277" s="49" t="n"/>
      <c r="F277" s="49" t="n"/>
      <c r="G277" s="49" t="n"/>
      <c r="H277" s="49" t="n"/>
    </row>
    <row r="278">
      <c r="B278" s="49" t="n"/>
      <c r="C278" s="49" t="n"/>
      <c r="D278" s="49" t="n"/>
      <c r="E278" s="49" t="n"/>
      <c r="F278" s="49" t="n"/>
      <c r="G278" s="49" t="n"/>
      <c r="H278" s="49" t="n"/>
    </row>
    <row r="279">
      <c r="B279" s="49" t="n"/>
      <c r="C279" s="49" t="n"/>
      <c r="D279" s="49" t="n"/>
      <c r="E279" s="49" t="n"/>
      <c r="F279" s="49" t="n"/>
      <c r="G279" s="49" t="n"/>
      <c r="H279" s="49" t="n"/>
    </row>
    <row r="280">
      <c r="B280" s="49" t="n"/>
      <c r="C280" s="49" t="n"/>
      <c r="D280" s="49" t="n"/>
      <c r="E280" s="49" t="n"/>
      <c r="F280" s="49" t="n"/>
      <c r="G280" s="49" t="n"/>
      <c r="H280" s="49" t="n"/>
    </row>
    <row r="281">
      <c r="B281" s="49" t="n"/>
      <c r="C281" s="49" t="n"/>
      <c r="D281" s="49" t="n"/>
      <c r="E281" s="49" t="n"/>
      <c r="F281" s="49" t="n"/>
      <c r="G281" s="49" t="n"/>
      <c r="H281" s="49" t="n"/>
    </row>
    <row r="282">
      <c r="B282" s="49" t="n"/>
      <c r="C282" s="49" t="n"/>
      <c r="D282" s="49" t="n"/>
      <c r="E282" s="49" t="n"/>
      <c r="F282" s="49" t="n"/>
      <c r="G282" s="49" t="n"/>
      <c r="H282" s="49" t="n"/>
    </row>
    <row r="283">
      <c r="B283" s="49" t="n"/>
      <c r="C283" s="49" t="n"/>
      <c r="D283" s="49" t="n"/>
      <c r="E283" s="49" t="n"/>
      <c r="F283" s="49" t="n"/>
      <c r="G283" s="49" t="n"/>
      <c r="H283" s="49" t="n"/>
    </row>
    <row r="284">
      <c r="B284" s="49" t="n"/>
      <c r="C284" s="49" t="n"/>
      <c r="D284" s="49" t="n"/>
      <c r="E284" s="49" t="n"/>
      <c r="F284" s="49" t="n"/>
      <c r="G284" s="49" t="n"/>
      <c r="H284" s="49" t="n"/>
    </row>
    <row r="285">
      <c r="B285" s="49" t="n"/>
      <c r="C285" s="49" t="n"/>
      <c r="D285" s="49" t="n"/>
      <c r="E285" s="49" t="n"/>
      <c r="F285" s="49" t="n"/>
      <c r="G285" s="49" t="n"/>
      <c r="H285" s="49" t="n"/>
    </row>
    <row r="286">
      <c r="B286" s="49" t="n"/>
      <c r="C286" s="49" t="n"/>
      <c r="D286" s="49" t="n"/>
      <c r="E286" s="49" t="n"/>
      <c r="F286" s="49" t="n"/>
      <c r="G286" s="49" t="n"/>
      <c r="H286" s="49" t="n"/>
    </row>
    <row r="287">
      <c r="B287" s="49" t="n"/>
      <c r="C287" s="49" t="n"/>
      <c r="D287" s="49" t="n"/>
      <c r="E287" s="49" t="n"/>
      <c r="F287" s="49" t="n"/>
      <c r="G287" s="49" t="n"/>
      <c r="H287" s="49" t="n"/>
    </row>
    <row r="288">
      <c r="B288" s="49" t="n"/>
      <c r="C288" s="49" t="n"/>
      <c r="D288" s="49" t="n"/>
      <c r="E288" s="49" t="n"/>
      <c r="F288" s="49" t="n"/>
      <c r="G288" s="49" t="n"/>
      <c r="H288" s="49" t="n"/>
    </row>
    <row r="289">
      <c r="B289" s="49" t="n"/>
      <c r="C289" s="49" t="n"/>
      <c r="D289" s="49" t="n"/>
      <c r="E289" s="49" t="n"/>
      <c r="F289" s="49" t="n"/>
      <c r="G289" s="49" t="n"/>
      <c r="H289" s="49" t="n"/>
    </row>
    <row r="290">
      <c r="B290" s="49" t="n"/>
      <c r="C290" s="49" t="n"/>
      <c r="D290" s="49" t="n"/>
      <c r="E290" s="49" t="n"/>
      <c r="F290" s="49" t="n"/>
      <c r="G290" s="49" t="n"/>
      <c r="H290" s="49" t="n"/>
    </row>
    <row r="291">
      <c r="B291" s="49" t="n"/>
      <c r="C291" s="49" t="n"/>
      <c r="D291" s="49" t="n"/>
      <c r="E291" s="49" t="n"/>
      <c r="F291" s="49" t="n"/>
      <c r="G291" s="49" t="n"/>
      <c r="H291" s="49" t="n"/>
    </row>
    <row r="292">
      <c r="B292" s="49" t="n"/>
      <c r="C292" s="49" t="n"/>
      <c r="D292" s="49" t="n"/>
      <c r="E292" s="49" t="n"/>
      <c r="F292" s="49" t="n"/>
      <c r="G292" s="49" t="n"/>
      <c r="H292" s="49" t="n"/>
    </row>
    <row r="293">
      <c r="B293" s="49" t="n"/>
      <c r="C293" s="49" t="n"/>
      <c r="D293" s="49" t="n"/>
      <c r="E293" s="49" t="n"/>
      <c r="F293" s="49" t="n"/>
      <c r="G293" s="49" t="n"/>
      <c r="H293" s="49" t="n"/>
    </row>
    <row r="294">
      <c r="B294" s="49" t="n"/>
      <c r="C294" s="49" t="n"/>
      <c r="D294" s="49" t="n"/>
      <c r="E294" s="49" t="n"/>
      <c r="F294" s="49" t="n"/>
      <c r="G294" s="49" t="n"/>
      <c r="H294" s="49" t="n"/>
    </row>
    <row r="295">
      <c r="B295" s="49" t="n"/>
      <c r="C295" s="49" t="n"/>
      <c r="D295" s="49" t="n"/>
      <c r="E295" s="49" t="n"/>
      <c r="F295" s="49" t="n"/>
      <c r="G295" s="49" t="n"/>
      <c r="H295" s="49" t="n"/>
    </row>
    <row r="296">
      <c r="B296" s="49" t="n"/>
      <c r="C296" s="49" t="n"/>
      <c r="D296" s="49" t="n"/>
      <c r="E296" s="49" t="n"/>
      <c r="F296" s="49" t="n"/>
      <c r="G296" s="49" t="n"/>
      <c r="H296" s="49" t="n"/>
    </row>
    <row r="297">
      <c r="B297" s="49" t="n"/>
      <c r="C297" s="49" t="n"/>
      <c r="D297" s="49" t="n"/>
      <c r="E297" s="49" t="n"/>
      <c r="F297" s="49" t="n"/>
      <c r="G297" s="49" t="n"/>
      <c r="H297" s="49" t="n"/>
    </row>
    <row r="298">
      <c r="B298" s="49" t="n"/>
      <c r="C298" s="49" t="n"/>
      <c r="D298" s="49" t="n"/>
      <c r="E298" s="49" t="n"/>
      <c r="F298" s="49" t="n"/>
      <c r="G298" s="49" t="n"/>
      <c r="H298" s="49" t="n"/>
    </row>
    <row r="299">
      <c r="B299" s="49" t="n"/>
      <c r="C299" s="49" t="n"/>
      <c r="D299" s="49" t="n"/>
      <c r="E299" s="49" t="n"/>
      <c r="F299" s="49" t="n"/>
      <c r="G299" s="49" t="n"/>
      <c r="H299" s="49" t="n"/>
    </row>
    <row r="300">
      <c r="B300" s="49" t="n"/>
      <c r="C300" s="49" t="n"/>
      <c r="D300" s="49" t="n"/>
      <c r="E300" s="49" t="n"/>
      <c r="F300" s="49" t="n"/>
      <c r="G300" s="49" t="n"/>
      <c r="H300" s="49" t="n"/>
    </row>
    <row r="301">
      <c r="B301" s="49" t="n"/>
      <c r="C301" s="49" t="n"/>
      <c r="D301" s="49" t="n"/>
      <c r="E301" s="49" t="n"/>
      <c r="F301" s="49" t="n"/>
      <c r="G301" s="49" t="n"/>
      <c r="H301" s="49" t="n"/>
    </row>
    <row r="302">
      <c r="B302" s="49" t="n"/>
      <c r="C302" s="49" t="n"/>
      <c r="D302" s="49" t="n"/>
      <c r="E302" s="49" t="n"/>
      <c r="F302" s="49" t="n"/>
      <c r="G302" s="49" t="n"/>
      <c r="H302" s="49" t="n"/>
    </row>
    <row r="303">
      <c r="B303" s="49" t="n"/>
      <c r="C303" s="49" t="n"/>
      <c r="D303" s="49" t="n"/>
      <c r="E303" s="49" t="n"/>
      <c r="F303" s="49" t="n"/>
      <c r="G303" s="49" t="n"/>
      <c r="H303" s="49" t="n"/>
    </row>
    <row r="304">
      <c r="B304" s="49" t="n"/>
      <c r="C304" s="49" t="n"/>
      <c r="D304" s="49" t="n"/>
      <c r="E304" s="49" t="n"/>
      <c r="F304" s="49" t="n"/>
      <c r="G304" s="49" t="n"/>
      <c r="H304" s="49" t="n"/>
    </row>
    <row r="305">
      <c r="B305" s="49" t="n"/>
      <c r="C305" s="49" t="n"/>
      <c r="D305" s="49" t="n"/>
      <c r="E305" s="49" t="n"/>
      <c r="F305" s="49" t="n"/>
      <c r="G305" s="49" t="n"/>
      <c r="H305" s="49" t="n"/>
    </row>
    <row r="306">
      <c r="B306" s="49" t="n"/>
      <c r="C306" s="49" t="n"/>
      <c r="D306" s="49" t="n"/>
      <c r="E306" s="49" t="n"/>
      <c r="F306" s="49" t="n"/>
      <c r="G306" s="49" t="n"/>
      <c r="H306" s="49" t="n"/>
    </row>
    <row r="307">
      <c r="B307" s="49" t="n"/>
      <c r="C307" s="49" t="n"/>
      <c r="D307" s="49" t="n"/>
      <c r="E307" s="49" t="n"/>
      <c r="F307" s="49" t="n"/>
      <c r="G307" s="49" t="n"/>
      <c r="H307" s="49" t="n"/>
    </row>
    <row r="308">
      <c r="B308" s="49" t="n"/>
      <c r="C308" s="49" t="n"/>
      <c r="D308" s="49" t="n"/>
      <c r="E308" s="49" t="n"/>
      <c r="F308" s="49" t="n"/>
      <c r="G308" s="49" t="n"/>
      <c r="H308" s="49" t="n"/>
    </row>
    <row r="309">
      <c r="B309" s="49" t="n"/>
      <c r="C309" s="49" t="n"/>
      <c r="D309" s="49" t="n"/>
      <c r="E309" s="49" t="n"/>
      <c r="F309" s="49" t="n"/>
      <c r="G309" s="49" t="n"/>
      <c r="H309" s="49" t="n"/>
    </row>
    <row r="310">
      <c r="B310" s="49" t="n"/>
      <c r="C310" s="49" t="n"/>
      <c r="D310" s="49" t="n"/>
      <c r="E310" s="49" t="n"/>
      <c r="F310" s="49" t="n"/>
      <c r="G310" s="49" t="n"/>
      <c r="H310" s="49" t="n"/>
    </row>
    <row r="311">
      <c r="B311" s="49" t="n"/>
      <c r="C311" s="49" t="n"/>
      <c r="D311" s="49" t="n"/>
      <c r="E311" s="49" t="n"/>
      <c r="F311" s="49" t="n"/>
      <c r="G311" s="49" t="n"/>
      <c r="H311" s="49" t="n"/>
    </row>
    <row r="312">
      <c r="B312" s="49" t="n"/>
      <c r="C312" s="49" t="n"/>
      <c r="D312" s="49" t="n"/>
      <c r="E312" s="49" t="n"/>
      <c r="F312" s="49" t="n"/>
      <c r="G312" s="49" t="n"/>
      <c r="H312" s="49" t="n"/>
    </row>
    <row r="313">
      <c r="B313" s="49" t="n"/>
      <c r="C313" s="49" t="n"/>
      <c r="D313" s="49" t="n"/>
      <c r="E313" s="49" t="n"/>
      <c r="F313" s="49" t="n"/>
      <c r="G313" s="49" t="n"/>
      <c r="H313" s="49" t="n"/>
    </row>
    <row r="314">
      <c r="B314" s="49" t="n"/>
      <c r="C314" s="49" t="n"/>
      <c r="D314" s="49" t="n"/>
      <c r="E314" s="49" t="n"/>
      <c r="F314" s="49" t="n"/>
      <c r="G314" s="49" t="n"/>
      <c r="H314" s="49" t="n"/>
    </row>
    <row r="315">
      <c r="B315" s="49" t="n"/>
      <c r="C315" s="49" t="n"/>
      <c r="D315" s="49" t="n"/>
      <c r="E315" s="49" t="n"/>
      <c r="F315" s="49" t="n"/>
      <c r="G315" s="49" t="n"/>
      <c r="H315" s="49" t="n"/>
    </row>
    <row r="316">
      <c r="B316" s="49" t="n"/>
      <c r="C316" s="49" t="n"/>
      <c r="D316" s="49" t="n"/>
      <c r="E316" s="49" t="n"/>
      <c r="F316" s="49" t="n"/>
      <c r="G316" s="49" t="n"/>
      <c r="H316" s="49" t="n"/>
    </row>
    <row r="317">
      <c r="B317" s="49" t="n"/>
      <c r="C317" s="49" t="n"/>
      <c r="D317" s="49" t="n"/>
      <c r="E317" s="49" t="n"/>
      <c r="F317" s="49" t="n"/>
      <c r="G317" s="49" t="n"/>
      <c r="H317" s="49" t="n"/>
    </row>
    <row r="318">
      <c r="B318" s="49" t="n"/>
      <c r="C318" s="49" t="n"/>
      <c r="D318" s="49" t="n"/>
      <c r="E318" s="49" t="n"/>
      <c r="F318" s="49" t="n"/>
      <c r="G318" s="49" t="n"/>
      <c r="H318" s="49" t="n"/>
    </row>
    <row r="319">
      <c r="B319" s="49" t="n"/>
      <c r="C319" s="49" t="n"/>
      <c r="D319" s="49" t="n"/>
      <c r="E319" s="49" t="n"/>
      <c r="F319" s="49" t="n"/>
      <c r="G319" s="49" t="n"/>
      <c r="H319" s="49" t="n"/>
    </row>
    <row r="320">
      <c r="B320" s="49" t="n"/>
      <c r="C320" s="49" t="n"/>
      <c r="D320" s="49" t="n"/>
      <c r="E320" s="49" t="n"/>
      <c r="F320" s="49" t="n"/>
      <c r="G320" s="49" t="n"/>
      <c r="H320" s="49" t="n"/>
    </row>
    <row r="321">
      <c r="B321" s="49" t="n"/>
      <c r="C321" s="49" t="n"/>
      <c r="D321" s="49" t="n"/>
      <c r="E321" s="49" t="n"/>
      <c r="F321" s="49" t="n"/>
      <c r="G321" s="49" t="n"/>
      <c r="H321" s="49" t="n"/>
    </row>
    <row r="322">
      <c r="B322" s="49" t="n"/>
      <c r="C322" s="49" t="n"/>
      <c r="D322" s="49" t="n"/>
      <c r="E322" s="49" t="n"/>
      <c r="F322" s="49" t="n"/>
      <c r="G322" s="49" t="n"/>
      <c r="H322" s="49" t="n"/>
    </row>
    <row r="323">
      <c r="B323" s="49" t="n"/>
      <c r="C323" s="49" t="n"/>
      <c r="D323" s="49" t="n"/>
      <c r="E323" s="49" t="n"/>
      <c r="F323" s="49" t="n"/>
      <c r="G323" s="49" t="n"/>
      <c r="H323" s="49" t="n"/>
    </row>
    <row r="324">
      <c r="B324" s="49" t="n"/>
      <c r="C324" s="49" t="n"/>
      <c r="D324" s="49" t="n"/>
      <c r="E324" s="49" t="n"/>
      <c r="F324" s="49" t="n"/>
      <c r="G324" s="49" t="n"/>
      <c r="H324" s="49" t="n"/>
    </row>
    <row r="325">
      <c r="B325" s="49" t="n"/>
      <c r="C325" s="49" t="n"/>
      <c r="D325" s="49" t="n"/>
      <c r="E325" s="49" t="n"/>
      <c r="F325" s="49" t="n"/>
      <c r="G325" s="49" t="n"/>
      <c r="H325" s="49" t="n"/>
    </row>
    <row r="326">
      <c r="B326" s="49" t="n"/>
      <c r="C326" s="49" t="n"/>
      <c r="D326" s="49" t="n"/>
      <c r="E326" s="49" t="n"/>
      <c r="F326" s="49" t="n"/>
      <c r="G326" s="49" t="n"/>
      <c r="H326" s="49" t="n"/>
    </row>
    <row r="327">
      <c r="B327" s="49" t="n"/>
      <c r="C327" s="49" t="n"/>
      <c r="D327" s="49" t="n"/>
      <c r="E327" s="49" t="n"/>
      <c r="F327" s="49" t="n"/>
      <c r="G327" s="49" t="n"/>
      <c r="H327" s="49" t="n"/>
    </row>
    <row r="328">
      <c r="B328" s="49" t="n"/>
      <c r="C328" s="49" t="n"/>
      <c r="D328" s="49" t="n"/>
      <c r="E328" s="49" t="n"/>
      <c r="F328" s="49" t="n"/>
      <c r="G328" s="49" t="n"/>
      <c r="H328" s="49" t="n"/>
    </row>
    <row r="329">
      <c r="B329" s="49" t="n"/>
      <c r="C329" s="49" t="n"/>
      <c r="D329" s="49" t="n"/>
      <c r="E329" s="49" t="n"/>
      <c r="F329" s="49" t="n"/>
      <c r="G329" s="49" t="n"/>
      <c r="H329" s="49" t="n"/>
    </row>
    <row r="330">
      <c r="B330" s="49" t="n"/>
      <c r="C330" s="49" t="n"/>
      <c r="D330" s="49" t="n"/>
      <c r="E330" s="49" t="n"/>
      <c r="F330" s="49" t="n"/>
      <c r="G330" s="49" t="n"/>
      <c r="H330" s="49" t="n"/>
    </row>
    <row r="331">
      <c r="B331" s="49" t="n"/>
      <c r="C331" s="49" t="n"/>
      <c r="D331" s="49" t="n"/>
      <c r="E331" s="49" t="n"/>
      <c r="F331" s="49" t="n"/>
      <c r="G331" s="49" t="n"/>
      <c r="H331" s="49" t="n"/>
    </row>
    <row r="332">
      <c r="B332" s="49" t="n"/>
      <c r="C332" s="49" t="n"/>
      <c r="D332" s="49" t="n"/>
      <c r="E332" s="49" t="n"/>
      <c r="F332" s="49" t="n"/>
      <c r="G332" s="49" t="n"/>
      <c r="H332" s="49" t="n"/>
    </row>
    <row r="333">
      <c r="B333" s="49" t="n"/>
      <c r="C333" s="49" t="n"/>
      <c r="D333" s="49" t="n"/>
      <c r="E333" s="49" t="n"/>
      <c r="F333" s="49" t="n"/>
      <c r="G333" s="49" t="n"/>
      <c r="H333" s="49" t="n"/>
    </row>
    <row r="334">
      <c r="B334" s="49" t="n"/>
      <c r="C334" s="49" t="n"/>
      <c r="D334" s="49" t="n"/>
      <c r="E334" s="49" t="n"/>
      <c r="F334" s="49" t="n"/>
      <c r="G334" s="49" t="n"/>
      <c r="H334" s="49" t="n"/>
    </row>
    <row r="335">
      <c r="B335" s="49" t="n"/>
      <c r="C335" s="49" t="n"/>
      <c r="D335" s="49" t="n"/>
      <c r="E335" s="49" t="n"/>
      <c r="F335" s="49" t="n"/>
      <c r="G335" s="49" t="n"/>
      <c r="H335" s="49" t="n"/>
    </row>
    <row r="336">
      <c r="B336" s="49" t="n"/>
      <c r="C336" s="49" t="n"/>
      <c r="D336" s="49" t="n"/>
      <c r="E336" s="49" t="n"/>
      <c r="F336" s="49" t="n"/>
      <c r="G336" s="49" t="n"/>
      <c r="H336" s="49" t="n"/>
    </row>
    <row r="337">
      <c r="B337" s="49" t="n"/>
      <c r="C337" s="49" t="n"/>
      <c r="D337" s="49" t="n"/>
      <c r="E337" s="49" t="n"/>
      <c r="F337" s="49" t="n"/>
      <c r="G337" s="49" t="n"/>
      <c r="H337" s="49" t="n"/>
    </row>
    <row r="338">
      <c r="B338" s="49" t="n"/>
      <c r="C338" s="49" t="n"/>
      <c r="D338" s="49" t="n"/>
      <c r="E338" s="49" t="n"/>
      <c r="F338" s="49" t="n"/>
      <c r="G338" s="49" t="n"/>
      <c r="H338" s="49" t="n"/>
    </row>
    <row r="339">
      <c r="B339" s="49" t="n"/>
      <c r="C339" s="49" t="n"/>
      <c r="D339" s="49" t="n"/>
      <c r="E339" s="49" t="n"/>
      <c r="F339" s="49" t="n"/>
      <c r="G339" s="49" t="n"/>
      <c r="H339" s="49" t="n"/>
    </row>
    <row r="340">
      <c r="B340" s="49" t="n"/>
      <c r="C340" s="49" t="n"/>
      <c r="D340" s="49" t="n"/>
      <c r="E340" s="49" t="n"/>
      <c r="F340" s="49" t="n"/>
      <c r="G340" s="49" t="n"/>
      <c r="H340" s="49" t="n"/>
    </row>
    <row r="341">
      <c r="B341" s="49" t="n"/>
      <c r="C341" s="49" t="n"/>
      <c r="D341" s="49" t="n"/>
      <c r="E341" s="49" t="n"/>
      <c r="F341" s="49" t="n"/>
      <c r="G341" s="49" t="n"/>
      <c r="H341" s="49" t="n"/>
    </row>
    <row r="342">
      <c r="B342" s="49" t="n"/>
      <c r="C342" s="49" t="n"/>
      <c r="D342" s="49" t="n"/>
      <c r="E342" s="49" t="n"/>
      <c r="F342" s="49" t="n"/>
      <c r="G342" s="49" t="n"/>
      <c r="H342" s="49" t="n"/>
    </row>
    <row r="343">
      <c r="B343" s="49" t="n"/>
      <c r="C343" s="49" t="n"/>
      <c r="D343" s="49" t="n"/>
      <c r="E343" s="49" t="n"/>
      <c r="F343" s="49" t="n"/>
      <c r="G343" s="49" t="n"/>
      <c r="H343" s="49" t="n"/>
    </row>
    <row r="344">
      <c r="B344" s="49" t="n"/>
      <c r="C344" s="49" t="n"/>
      <c r="D344" s="49" t="n"/>
      <c r="E344" s="49" t="n"/>
      <c r="F344" s="49" t="n"/>
      <c r="G344" s="49" t="n"/>
      <c r="H344" s="49" t="n"/>
    </row>
    <row r="345">
      <c r="B345" s="49" t="n"/>
      <c r="C345" s="49" t="n"/>
      <c r="D345" s="49" t="n"/>
      <c r="E345" s="49" t="n"/>
      <c r="F345" s="49" t="n"/>
      <c r="G345" s="49" t="n"/>
      <c r="H345" s="49" t="n"/>
    </row>
    <row r="346">
      <c r="B346" s="49" t="n"/>
      <c r="C346" s="49" t="n"/>
      <c r="D346" s="49" t="n"/>
      <c r="E346" s="49" t="n"/>
      <c r="F346" s="49" t="n"/>
      <c r="G346" s="49" t="n"/>
      <c r="H346" s="49" t="n"/>
    </row>
    <row r="347">
      <c r="B347" s="49" t="n"/>
      <c r="C347" s="49" t="n"/>
      <c r="D347" s="49" t="n"/>
      <c r="E347" s="49" t="n"/>
      <c r="F347" s="49" t="n"/>
      <c r="G347" s="49" t="n"/>
      <c r="H347" s="49" t="n"/>
    </row>
    <row r="348">
      <c r="B348" s="49" t="n"/>
      <c r="C348" s="49" t="n"/>
      <c r="D348" s="49" t="n"/>
      <c r="E348" s="49" t="n"/>
      <c r="F348" s="49" t="n"/>
      <c r="G348" s="49" t="n"/>
      <c r="H348" s="49" t="n"/>
    </row>
    <row r="349">
      <c r="B349" s="49" t="n"/>
      <c r="C349" s="49" t="n"/>
      <c r="D349" s="49" t="n"/>
      <c r="E349" s="49" t="n"/>
      <c r="F349" s="49" t="n"/>
      <c r="G349" s="49" t="n"/>
      <c r="H349" s="49" t="n"/>
    </row>
    <row r="350">
      <c r="B350" s="49" t="n"/>
      <c r="C350" s="49" t="n"/>
      <c r="D350" s="49" t="n"/>
      <c r="E350" s="49" t="n"/>
      <c r="F350" s="49" t="n"/>
      <c r="G350" s="49" t="n"/>
      <c r="H350" s="49" t="n"/>
    </row>
    <row r="351">
      <c r="B351" s="49" t="n"/>
      <c r="C351" s="49" t="n"/>
      <c r="D351" s="49" t="n"/>
      <c r="E351" s="49" t="n"/>
      <c r="F351" s="49" t="n"/>
      <c r="G351" s="49" t="n"/>
      <c r="H351" s="49" t="n"/>
    </row>
    <row r="352">
      <c r="B352" s="49" t="n"/>
      <c r="C352" s="49" t="n"/>
      <c r="D352" s="49" t="n"/>
      <c r="E352" s="49" t="n"/>
      <c r="F352" s="49" t="n"/>
      <c r="G352" s="49" t="n"/>
      <c r="H352" s="49" t="n"/>
    </row>
    <row r="353">
      <c r="B353" s="49" t="n"/>
      <c r="C353" s="49" t="n"/>
      <c r="D353" s="49" t="n"/>
      <c r="E353" s="49" t="n"/>
      <c r="F353" s="49" t="n"/>
      <c r="G353" s="49" t="n"/>
      <c r="H353" s="49" t="n"/>
    </row>
    <row r="354">
      <c r="B354" s="49" t="n"/>
      <c r="C354" s="49" t="n"/>
      <c r="D354" s="49" t="n"/>
      <c r="E354" s="49" t="n"/>
      <c r="F354" s="49" t="n"/>
      <c r="G354" s="49" t="n"/>
      <c r="H354" s="49" t="n"/>
    </row>
    <row r="355">
      <c r="B355" s="49" t="n"/>
      <c r="C355" s="49" t="n"/>
      <c r="D355" s="49" t="n"/>
      <c r="E355" s="49" t="n"/>
      <c r="F355" s="49" t="n"/>
      <c r="G355" s="49" t="n"/>
      <c r="H355" s="49" t="n"/>
    </row>
    <row r="356">
      <c r="B356" s="49" t="n"/>
      <c r="C356" s="49" t="n"/>
      <c r="D356" s="49" t="n"/>
      <c r="E356" s="49" t="n"/>
      <c r="F356" s="49" t="n"/>
      <c r="G356" s="49" t="n"/>
      <c r="H356" s="49" t="n"/>
    </row>
    <row r="357">
      <c r="B357" s="49" t="n"/>
      <c r="C357" s="49" t="n"/>
      <c r="D357" s="49" t="n"/>
      <c r="E357" s="49" t="n"/>
      <c r="F357" s="49" t="n"/>
      <c r="G357" s="49" t="n"/>
      <c r="H357" s="49" t="n"/>
    </row>
    <row r="358">
      <c r="B358" s="49" t="n"/>
      <c r="C358" s="49" t="n"/>
      <c r="D358" s="49" t="n"/>
      <c r="E358" s="49" t="n"/>
      <c r="F358" s="49" t="n"/>
      <c r="G358" s="49" t="n"/>
      <c r="H358" s="49" t="n"/>
    </row>
    <row r="359">
      <c r="B359" s="49" t="n"/>
      <c r="C359" s="49" t="n"/>
      <c r="D359" s="49" t="n"/>
      <c r="E359" s="49" t="n"/>
      <c r="F359" s="49" t="n"/>
      <c r="G359" s="49" t="n"/>
      <c r="H359" s="49" t="n"/>
    </row>
    <row r="360">
      <c r="B360" s="49" t="n"/>
      <c r="C360" s="49" t="n"/>
      <c r="D360" s="49" t="n"/>
      <c r="E360" s="49" t="n"/>
      <c r="F360" s="49" t="n"/>
      <c r="G360" s="49" t="n"/>
      <c r="H360" s="49" t="n"/>
    </row>
    <row r="361">
      <c r="B361" s="49" t="n"/>
      <c r="C361" s="49" t="n"/>
      <c r="D361" s="49" t="n"/>
      <c r="E361" s="49" t="n"/>
      <c r="F361" s="49" t="n"/>
      <c r="G361" s="49" t="n"/>
      <c r="H361" s="49" t="n"/>
    </row>
    <row r="362">
      <c r="B362" s="49" t="n"/>
      <c r="C362" s="49" t="n"/>
      <c r="D362" s="49" t="n"/>
      <c r="E362" s="49" t="n"/>
      <c r="F362" s="49" t="n"/>
      <c r="G362" s="49" t="n"/>
      <c r="H362" s="49" t="n"/>
    </row>
    <row r="363">
      <c r="B363" s="49" t="n"/>
      <c r="C363" s="49" t="n"/>
      <c r="D363" s="49" t="n"/>
      <c r="E363" s="49" t="n"/>
      <c r="F363" s="49" t="n"/>
      <c r="G363" s="49" t="n"/>
      <c r="H363" s="49" t="n"/>
    </row>
    <row r="364">
      <c r="B364" s="49" t="n"/>
      <c r="C364" s="49" t="n"/>
      <c r="D364" s="49" t="n"/>
      <c r="E364" s="49" t="n"/>
      <c r="F364" s="49" t="n"/>
      <c r="G364" s="49" t="n"/>
      <c r="H364" s="49" t="n"/>
    </row>
    <row r="365">
      <c r="B365" s="49" t="n"/>
      <c r="C365" s="49" t="n"/>
      <c r="D365" s="49" t="n"/>
      <c r="E365" s="49" t="n"/>
      <c r="F365" s="49" t="n"/>
      <c r="G365" s="49" t="n"/>
      <c r="H365" s="49" t="n"/>
    </row>
    <row r="366">
      <c r="B366" s="49" t="n"/>
      <c r="C366" s="49" t="n"/>
      <c r="D366" s="49" t="n"/>
      <c r="E366" s="49" t="n"/>
      <c r="F366" s="49" t="n"/>
      <c r="G366" s="49" t="n"/>
      <c r="H366" s="49" t="n"/>
    </row>
    <row r="367">
      <c r="B367" s="49" t="n"/>
      <c r="C367" s="49" t="n"/>
      <c r="D367" s="49" t="n"/>
      <c r="E367" s="49" t="n"/>
      <c r="F367" s="49" t="n"/>
      <c r="G367" s="49" t="n"/>
      <c r="H367" s="49" t="n"/>
    </row>
    <row r="368">
      <c r="B368" s="49" t="n"/>
      <c r="C368" s="49" t="n"/>
      <c r="D368" s="49" t="n"/>
      <c r="E368" s="49" t="n"/>
      <c r="F368" s="49" t="n"/>
      <c r="G368" s="49" t="n"/>
      <c r="H368" s="49" t="n"/>
    </row>
    <row r="369">
      <c r="B369" s="49" t="n"/>
      <c r="C369" s="49" t="n"/>
      <c r="D369" s="49" t="n"/>
      <c r="E369" s="49" t="n"/>
      <c r="F369" s="49" t="n"/>
      <c r="G369" s="49" t="n"/>
      <c r="H369" s="49" t="n"/>
    </row>
    <row r="370">
      <c r="B370" s="49" t="n"/>
      <c r="C370" s="49" t="n"/>
      <c r="D370" s="49" t="n"/>
      <c r="E370" s="49" t="n"/>
      <c r="F370" s="49" t="n"/>
      <c r="G370" s="49" t="n"/>
      <c r="H370" s="49" t="n"/>
    </row>
    <row r="371">
      <c r="B371" s="49" t="n"/>
      <c r="C371" s="49" t="n"/>
      <c r="D371" s="49" t="n"/>
      <c r="E371" s="49" t="n"/>
      <c r="F371" s="49" t="n"/>
      <c r="G371" s="49" t="n"/>
      <c r="H371" s="49" t="n"/>
    </row>
    <row r="372">
      <c r="B372" s="49" t="n"/>
      <c r="C372" s="49" t="n"/>
      <c r="D372" s="49" t="n"/>
      <c r="E372" s="49" t="n"/>
      <c r="F372" s="49" t="n"/>
      <c r="G372" s="49" t="n"/>
      <c r="H372" s="49" t="n"/>
    </row>
    <row r="373">
      <c r="B373" s="49" t="n"/>
      <c r="C373" s="49" t="n"/>
      <c r="D373" s="49" t="n"/>
      <c r="E373" s="49" t="n"/>
      <c r="F373" s="49" t="n"/>
      <c r="G373" s="49" t="n"/>
      <c r="H373" s="49" t="n"/>
    </row>
    <row r="374">
      <c r="B374" s="49" t="n"/>
      <c r="C374" s="49" t="n"/>
      <c r="D374" s="49" t="n"/>
      <c r="E374" s="49" t="n"/>
      <c r="F374" s="49" t="n"/>
      <c r="G374" s="49" t="n"/>
      <c r="H374" s="49" t="n"/>
    </row>
    <row r="375">
      <c r="B375" s="49" t="n"/>
      <c r="C375" s="49" t="n"/>
      <c r="D375" s="49" t="n"/>
      <c r="E375" s="49" t="n"/>
      <c r="F375" s="49" t="n"/>
      <c r="G375" s="49" t="n"/>
      <c r="H375" s="49" t="n"/>
    </row>
    <row r="376">
      <c r="B376" s="49" t="n"/>
      <c r="C376" s="49" t="n"/>
      <c r="D376" s="49" t="n"/>
      <c r="E376" s="49" t="n"/>
      <c r="F376" s="49" t="n"/>
      <c r="G376" s="49" t="n"/>
      <c r="H376" s="49" t="n"/>
    </row>
    <row r="377">
      <c r="B377" s="49" t="n"/>
      <c r="C377" s="49" t="n"/>
      <c r="D377" s="49" t="n"/>
      <c r="E377" s="49" t="n"/>
      <c r="F377" s="49" t="n"/>
      <c r="G377" s="49" t="n"/>
      <c r="H377" s="49" t="n"/>
    </row>
    <row r="378">
      <c r="B378" s="49" t="n"/>
      <c r="C378" s="49" t="n"/>
      <c r="D378" s="49" t="n"/>
      <c r="E378" s="49" t="n"/>
      <c r="F378" s="49" t="n"/>
      <c r="G378" s="49" t="n"/>
      <c r="H378" s="49" t="n"/>
    </row>
    <row r="379">
      <c r="B379" s="49" t="n"/>
      <c r="C379" s="49" t="n"/>
      <c r="D379" s="49" t="n"/>
      <c r="E379" s="49" t="n"/>
      <c r="F379" s="49" t="n"/>
      <c r="G379" s="49" t="n"/>
      <c r="H379" s="49" t="n"/>
    </row>
    <row r="380">
      <c r="B380" s="49" t="n"/>
      <c r="C380" s="49" t="n"/>
      <c r="D380" s="49" t="n"/>
      <c r="E380" s="49" t="n"/>
      <c r="F380" s="49" t="n"/>
      <c r="G380" s="49" t="n"/>
      <c r="H380" s="49" t="n"/>
    </row>
    <row r="381">
      <c r="B381" s="49" t="n"/>
      <c r="C381" s="49" t="n"/>
      <c r="D381" s="49" t="n"/>
      <c r="E381" s="49" t="n"/>
      <c r="F381" s="49" t="n"/>
      <c r="G381" s="49" t="n"/>
      <c r="H381" s="49" t="n"/>
    </row>
    <row r="382">
      <c r="B382" s="49" t="n"/>
      <c r="C382" s="49" t="n"/>
      <c r="D382" s="49" t="n"/>
      <c r="E382" s="49" t="n"/>
      <c r="F382" s="49" t="n"/>
      <c r="G382" s="49" t="n"/>
      <c r="H382" s="49" t="n"/>
    </row>
    <row r="383">
      <c r="B383" s="49" t="n"/>
      <c r="C383" s="49" t="n"/>
      <c r="D383" s="49" t="n"/>
      <c r="E383" s="49" t="n"/>
      <c r="F383" s="49" t="n"/>
      <c r="G383" s="49" t="n"/>
      <c r="H383" s="49" t="n"/>
    </row>
    <row r="384">
      <c r="B384" s="49" t="n"/>
      <c r="C384" s="49" t="n"/>
      <c r="D384" s="49" t="n"/>
      <c r="E384" s="49" t="n"/>
      <c r="F384" s="49" t="n"/>
      <c r="G384" s="49" t="n"/>
      <c r="H384" s="49" t="n"/>
    </row>
    <row r="385">
      <c r="B385" s="49" t="n"/>
      <c r="C385" s="49" t="n"/>
      <c r="D385" s="49" t="n"/>
      <c r="E385" s="49" t="n"/>
      <c r="F385" s="49" t="n"/>
      <c r="G385" s="49" t="n"/>
      <c r="H385" s="49" t="n"/>
    </row>
    <row r="386">
      <c r="B386" s="49" t="n"/>
      <c r="C386" s="49" t="n"/>
      <c r="D386" s="49" t="n"/>
      <c r="E386" s="49" t="n"/>
      <c r="F386" s="49" t="n"/>
      <c r="G386" s="49" t="n"/>
      <c r="H386" s="49" t="n"/>
    </row>
    <row r="387">
      <c r="B387" s="49" t="n"/>
      <c r="C387" s="49" t="n"/>
      <c r="D387" s="49" t="n"/>
      <c r="E387" s="49" t="n"/>
      <c r="F387" s="49" t="n"/>
      <c r="G387" s="49" t="n"/>
      <c r="H387" s="49" t="n"/>
    </row>
    <row r="388">
      <c r="B388" s="49" t="n"/>
      <c r="C388" s="49" t="n"/>
      <c r="D388" s="49" t="n"/>
      <c r="E388" s="49" t="n"/>
      <c r="F388" s="49" t="n"/>
      <c r="G388" s="49" t="n"/>
      <c r="H388" s="49" t="n"/>
    </row>
    <row r="389">
      <c r="B389" s="49" t="n"/>
      <c r="C389" s="49" t="n"/>
      <c r="D389" s="49" t="n"/>
      <c r="E389" s="49" t="n"/>
      <c r="F389" s="49" t="n"/>
      <c r="G389" s="49" t="n"/>
      <c r="H389" s="49" t="n"/>
    </row>
    <row r="390">
      <c r="B390" s="49" t="n"/>
      <c r="C390" s="49" t="n"/>
      <c r="D390" s="49" t="n"/>
      <c r="E390" s="49" t="n"/>
      <c r="F390" s="49" t="n"/>
      <c r="G390" s="49" t="n"/>
      <c r="H390" s="49" t="n"/>
    </row>
    <row r="391">
      <c r="B391" s="49" t="n"/>
      <c r="C391" s="49" t="n"/>
      <c r="D391" s="49" t="n"/>
      <c r="E391" s="49" t="n"/>
      <c r="F391" s="49" t="n"/>
      <c r="G391" s="49" t="n"/>
      <c r="H391" s="49" t="n"/>
    </row>
    <row r="392">
      <c r="B392" s="49" t="n"/>
      <c r="C392" s="49" t="n"/>
      <c r="D392" s="49" t="n"/>
      <c r="E392" s="49" t="n"/>
      <c r="F392" s="49" t="n"/>
      <c r="G392" s="49" t="n"/>
      <c r="H392" s="49" t="n"/>
    </row>
    <row r="393">
      <c r="B393" s="49" t="n"/>
      <c r="C393" s="49" t="n"/>
      <c r="D393" s="49" t="n"/>
      <c r="E393" s="49" t="n"/>
      <c r="F393" s="49" t="n"/>
      <c r="G393" s="49" t="n"/>
      <c r="H393" s="49" t="n"/>
    </row>
    <row r="394">
      <c r="B394" s="49" t="n"/>
      <c r="C394" s="49" t="n"/>
      <c r="D394" s="49" t="n"/>
      <c r="E394" s="49" t="n"/>
      <c r="F394" s="49" t="n"/>
      <c r="G394" s="49" t="n"/>
      <c r="H394" s="49" t="n"/>
    </row>
    <row r="395">
      <c r="B395" s="49" t="n"/>
      <c r="C395" s="49" t="n"/>
      <c r="D395" s="49" t="n"/>
      <c r="E395" s="49" t="n"/>
      <c r="F395" s="49" t="n"/>
      <c r="G395" s="49" t="n"/>
      <c r="H395" s="49" t="n"/>
    </row>
    <row r="396">
      <c r="B396" s="49" t="n"/>
      <c r="C396" s="49" t="n"/>
      <c r="D396" s="49" t="n"/>
      <c r="E396" s="49" t="n"/>
      <c r="F396" s="49" t="n"/>
      <c r="G396" s="49" t="n"/>
      <c r="H396" s="49" t="n"/>
    </row>
    <row r="397">
      <c r="B397" s="49" t="n"/>
      <c r="C397" s="49" t="n"/>
      <c r="D397" s="49" t="n"/>
      <c r="E397" s="49" t="n"/>
      <c r="F397" s="49" t="n"/>
      <c r="G397" s="49" t="n"/>
      <c r="H397" s="49" t="n"/>
    </row>
    <row r="398">
      <c r="B398" s="49" t="n"/>
      <c r="C398" s="49" t="n"/>
      <c r="D398" s="49" t="n"/>
      <c r="E398" s="49" t="n"/>
      <c r="F398" s="49" t="n"/>
      <c r="G398" s="49" t="n"/>
      <c r="H398" s="49" t="n"/>
    </row>
    <row r="399">
      <c r="B399" s="49" t="n"/>
      <c r="C399" s="49" t="n"/>
      <c r="D399" s="49" t="n"/>
      <c r="E399" s="49" t="n"/>
      <c r="F399" s="49" t="n"/>
      <c r="G399" s="49" t="n"/>
      <c r="H399" s="49" t="n"/>
    </row>
    <row r="400">
      <c r="B400" s="49" t="n"/>
      <c r="C400" s="49" t="n"/>
      <c r="D400" s="49" t="n"/>
      <c r="E400" s="49" t="n"/>
      <c r="F400" s="49" t="n"/>
      <c r="G400" s="49" t="n"/>
      <c r="H400" s="49" t="n"/>
    </row>
    <row r="401">
      <c r="B401" s="49" t="n"/>
      <c r="C401" s="49" t="n"/>
      <c r="D401" s="49" t="n"/>
      <c r="E401" s="49" t="n"/>
      <c r="F401" s="49" t="n"/>
      <c r="G401" s="49" t="n"/>
      <c r="H401" s="49" t="n"/>
    </row>
    <row r="402">
      <c r="B402" s="49" t="n"/>
      <c r="C402" s="49" t="n"/>
      <c r="D402" s="49" t="n"/>
      <c r="E402" s="49" t="n"/>
      <c r="F402" s="49" t="n"/>
      <c r="G402" s="49" t="n"/>
      <c r="H402" s="49" t="n"/>
    </row>
    <row r="403">
      <c r="B403" s="49" t="n"/>
      <c r="C403" s="49" t="n"/>
      <c r="D403" s="49" t="n"/>
      <c r="E403" s="49" t="n"/>
      <c r="F403" s="49" t="n"/>
      <c r="G403" s="49" t="n"/>
      <c r="H403" s="49" t="n"/>
    </row>
    <row r="404">
      <c r="B404" s="49" t="n"/>
      <c r="C404" s="49" t="n"/>
      <c r="D404" s="49" t="n"/>
      <c r="E404" s="49" t="n"/>
      <c r="F404" s="49" t="n"/>
      <c r="G404" s="49" t="n"/>
      <c r="H404" s="49" t="n"/>
    </row>
    <row r="405">
      <c r="B405" s="49" t="n"/>
      <c r="C405" s="49" t="n"/>
      <c r="D405" s="49" t="n"/>
      <c r="E405" s="49" t="n"/>
      <c r="F405" s="49" t="n"/>
      <c r="G405" s="49" t="n"/>
      <c r="H405" s="49" t="n"/>
    </row>
    <row r="406">
      <c r="B406" s="49" t="n"/>
      <c r="C406" s="49" t="n"/>
      <c r="D406" s="49" t="n"/>
      <c r="E406" s="49" t="n"/>
      <c r="F406" s="49" t="n"/>
      <c r="G406" s="49" t="n"/>
      <c r="H406" s="49" t="n"/>
    </row>
    <row r="407">
      <c r="B407" s="49" t="n"/>
      <c r="C407" s="49" t="n"/>
      <c r="D407" s="49" t="n"/>
      <c r="E407" s="49" t="n"/>
      <c r="F407" s="49" t="n"/>
      <c r="G407" s="49" t="n"/>
      <c r="H407" s="49" t="n"/>
    </row>
    <row r="408">
      <c r="B408" s="49" t="n"/>
      <c r="C408" s="49" t="n"/>
      <c r="D408" s="49" t="n"/>
      <c r="E408" s="49" t="n"/>
      <c r="F408" s="49" t="n"/>
      <c r="G408" s="49" t="n"/>
      <c r="H408" s="49" t="n"/>
    </row>
    <row r="409">
      <c r="B409" s="49" t="n"/>
      <c r="C409" s="49" t="n"/>
      <c r="D409" s="49" t="n"/>
      <c r="E409" s="49" t="n"/>
      <c r="F409" s="49" t="n"/>
      <c r="G409" s="49" t="n"/>
      <c r="H409" s="49" t="n"/>
    </row>
    <row r="410">
      <c r="B410" s="49" t="n"/>
      <c r="C410" s="49" t="n"/>
      <c r="D410" s="49" t="n"/>
      <c r="E410" s="49" t="n"/>
      <c r="F410" s="49" t="n"/>
      <c r="G410" s="49" t="n"/>
      <c r="H410" s="49" t="n"/>
    </row>
    <row r="411">
      <c r="B411" s="49" t="n"/>
      <c r="C411" s="49" t="n"/>
      <c r="D411" s="49" t="n"/>
      <c r="E411" s="49" t="n"/>
      <c r="F411" s="49" t="n"/>
      <c r="G411" s="49" t="n"/>
      <c r="H411" s="49" t="n"/>
    </row>
    <row r="412">
      <c r="B412" s="49" t="n"/>
      <c r="C412" s="49" t="n"/>
      <c r="D412" s="49" t="n"/>
      <c r="E412" s="49" t="n"/>
      <c r="F412" s="49" t="n"/>
      <c r="G412" s="49" t="n"/>
      <c r="H412" s="49" t="n"/>
    </row>
    <row r="413">
      <c r="B413" s="49" t="n"/>
      <c r="C413" s="49" t="n"/>
      <c r="D413" s="49" t="n"/>
      <c r="E413" s="49" t="n"/>
      <c r="F413" s="49" t="n"/>
      <c r="G413" s="49" t="n"/>
      <c r="H413" s="49" t="n"/>
    </row>
    <row r="414">
      <c r="B414" s="49" t="n"/>
      <c r="C414" s="49" t="n"/>
      <c r="D414" s="49" t="n"/>
      <c r="E414" s="49" t="n"/>
      <c r="F414" s="49" t="n"/>
      <c r="G414" s="49" t="n"/>
      <c r="H414" s="49" t="n"/>
    </row>
    <row r="415">
      <c r="B415" s="49" t="n"/>
      <c r="C415" s="49" t="n"/>
      <c r="D415" s="49" t="n"/>
      <c r="E415" s="49" t="n"/>
      <c r="F415" s="49" t="n"/>
      <c r="G415" s="49" t="n"/>
      <c r="H415" s="49" t="n"/>
    </row>
    <row r="416">
      <c r="B416" s="49" t="n"/>
      <c r="C416" s="49" t="n"/>
      <c r="D416" s="49" t="n"/>
      <c r="E416" s="49" t="n"/>
      <c r="F416" s="49" t="n"/>
      <c r="G416" s="49" t="n"/>
      <c r="H416" s="49" t="n"/>
    </row>
    <row r="417">
      <c r="B417" s="49" t="n"/>
      <c r="C417" s="49" t="n"/>
      <c r="D417" s="49" t="n"/>
      <c r="E417" s="49" t="n"/>
      <c r="F417" s="49" t="n"/>
      <c r="G417" s="49" t="n"/>
      <c r="H417" s="49" t="n"/>
    </row>
    <row r="418">
      <c r="B418" s="49" t="n"/>
      <c r="C418" s="49" t="n"/>
      <c r="D418" s="49" t="n"/>
      <c r="E418" s="49" t="n"/>
      <c r="F418" s="49" t="n"/>
      <c r="G418" s="49" t="n"/>
      <c r="H418" s="49" t="n"/>
    </row>
    <row r="419">
      <c r="B419" s="49" t="n"/>
      <c r="C419" s="49" t="n"/>
      <c r="D419" s="49" t="n"/>
      <c r="E419" s="49" t="n"/>
      <c r="F419" s="49" t="n"/>
      <c r="G419" s="49" t="n"/>
      <c r="H419" s="49" t="n"/>
    </row>
    <row r="420">
      <c r="B420" s="49" t="n"/>
      <c r="C420" s="49" t="n"/>
      <c r="D420" s="49" t="n"/>
      <c r="E420" s="49" t="n"/>
      <c r="F420" s="49" t="n"/>
      <c r="G420" s="49" t="n"/>
      <c r="H420" s="49" t="n"/>
    </row>
    <row r="421">
      <c r="B421" s="49" t="n"/>
      <c r="C421" s="49" t="n"/>
      <c r="D421" s="49" t="n"/>
      <c r="E421" s="49" t="n"/>
      <c r="F421" s="49" t="n"/>
      <c r="G421" s="49" t="n"/>
      <c r="H421" s="49" t="n"/>
    </row>
    <row r="422">
      <c r="B422" s="49" t="n"/>
      <c r="C422" s="49" t="n"/>
      <c r="D422" s="49" t="n"/>
      <c r="E422" s="49" t="n"/>
      <c r="F422" s="49" t="n"/>
      <c r="G422" s="49" t="n"/>
      <c r="H422" s="49" t="n"/>
    </row>
    <row r="423">
      <c r="B423" s="49" t="n"/>
      <c r="C423" s="49" t="n"/>
      <c r="D423" s="49" t="n"/>
      <c r="E423" s="49" t="n"/>
      <c r="F423" s="49" t="n"/>
      <c r="G423" s="49" t="n"/>
      <c r="H423" s="49" t="n"/>
    </row>
    <row r="424">
      <c r="B424" s="49" t="n"/>
      <c r="C424" s="49" t="n"/>
      <c r="D424" s="49" t="n"/>
      <c r="E424" s="49" t="n"/>
      <c r="F424" s="49" t="n"/>
      <c r="G424" s="49" t="n"/>
      <c r="H424" s="49" t="n"/>
    </row>
    <row r="425">
      <c r="B425" s="49" t="n"/>
      <c r="C425" s="49" t="n"/>
      <c r="D425" s="49" t="n"/>
      <c r="E425" s="49" t="n"/>
      <c r="F425" s="49" t="n"/>
      <c r="G425" s="49" t="n"/>
      <c r="H425" s="49" t="n"/>
    </row>
    <row r="426">
      <c r="B426" s="49" t="n"/>
      <c r="C426" s="49" t="n"/>
      <c r="D426" s="49" t="n"/>
      <c r="E426" s="49" t="n"/>
      <c r="F426" s="49" t="n"/>
      <c r="G426" s="49" t="n"/>
      <c r="H426" s="49" t="n"/>
    </row>
    <row r="427">
      <c r="B427" s="49" t="n"/>
      <c r="C427" s="49" t="n"/>
      <c r="D427" s="49" t="n"/>
      <c r="E427" s="49" t="n"/>
      <c r="F427" s="49" t="n"/>
      <c r="G427" s="49" t="n"/>
      <c r="H427" s="49" t="n"/>
    </row>
    <row r="428">
      <c r="B428" s="49" t="n"/>
      <c r="C428" s="49" t="n"/>
      <c r="D428" s="49" t="n"/>
      <c r="E428" s="49" t="n"/>
      <c r="F428" s="49" t="n"/>
      <c r="G428" s="49" t="n"/>
      <c r="H428" s="49" t="n"/>
    </row>
    <row r="429">
      <c r="B429" s="49" t="n"/>
      <c r="C429" s="49" t="n"/>
      <c r="D429" s="49" t="n"/>
      <c r="E429" s="49" t="n"/>
      <c r="F429" s="49" t="n"/>
      <c r="G429" s="49" t="n"/>
      <c r="H429" s="49" t="n"/>
    </row>
    <row r="430">
      <c r="B430" s="49" t="n"/>
      <c r="C430" s="49" t="n"/>
      <c r="D430" s="49" t="n"/>
      <c r="E430" s="49" t="n"/>
      <c r="F430" s="49" t="n"/>
      <c r="G430" s="49" t="n"/>
      <c r="H430" s="49" t="n"/>
    </row>
    <row r="431">
      <c r="B431" s="49" t="n"/>
      <c r="C431" s="49" t="n"/>
      <c r="D431" s="49" t="n"/>
      <c r="E431" s="49" t="n"/>
      <c r="F431" s="49" t="n"/>
      <c r="G431" s="49" t="n"/>
      <c r="H431" s="49" t="n"/>
    </row>
    <row r="432">
      <c r="B432" s="49" t="n"/>
      <c r="C432" s="49" t="n"/>
      <c r="D432" s="49" t="n"/>
      <c r="E432" s="49" t="n"/>
      <c r="F432" s="49" t="n"/>
      <c r="G432" s="49" t="n"/>
      <c r="H432" s="49" t="n"/>
    </row>
    <row r="433">
      <c r="B433" s="49" t="n"/>
      <c r="C433" s="49" t="n"/>
      <c r="D433" s="49" t="n"/>
      <c r="E433" s="49" t="n"/>
      <c r="F433" s="49" t="n"/>
      <c r="G433" s="49" t="n"/>
      <c r="H433" s="49" t="n"/>
    </row>
    <row r="434">
      <c r="B434" s="49" t="n"/>
      <c r="C434" s="49" t="n"/>
      <c r="D434" s="49" t="n"/>
      <c r="E434" s="49" t="n"/>
      <c r="F434" s="49" t="n"/>
      <c r="G434" s="49" t="n"/>
      <c r="H434" s="49" t="n"/>
    </row>
    <row r="435">
      <c r="B435" s="49" t="n"/>
      <c r="C435" s="49" t="n"/>
      <c r="D435" s="49" t="n"/>
      <c r="E435" s="49" t="n"/>
      <c r="F435" s="49" t="n"/>
      <c r="G435" s="49" t="n"/>
      <c r="H435" s="49" t="n"/>
    </row>
    <row r="436">
      <c r="B436" s="49" t="n"/>
      <c r="C436" s="49" t="n"/>
      <c r="D436" s="49" t="n"/>
      <c r="E436" s="49" t="n"/>
      <c r="F436" s="49" t="n"/>
      <c r="G436" s="49" t="n"/>
      <c r="H436" s="49" t="n"/>
    </row>
    <row r="437">
      <c r="B437" s="49" t="n"/>
      <c r="C437" s="49" t="n"/>
      <c r="D437" s="49" t="n"/>
      <c r="E437" s="49" t="n"/>
      <c r="F437" s="49" t="n"/>
      <c r="G437" s="49" t="n"/>
      <c r="H437" s="49" t="n"/>
    </row>
    <row r="438">
      <c r="B438" s="49" t="n"/>
      <c r="C438" s="49" t="n"/>
      <c r="D438" s="49" t="n"/>
      <c r="E438" s="49" t="n"/>
      <c r="F438" s="49" t="n"/>
      <c r="G438" s="49" t="n"/>
      <c r="H438" s="49" t="n"/>
    </row>
    <row r="439">
      <c r="B439" s="49" t="n"/>
      <c r="C439" s="49" t="n"/>
      <c r="D439" s="49" t="n"/>
      <c r="E439" s="49" t="n"/>
      <c r="F439" s="49" t="n"/>
      <c r="G439" s="49" t="n"/>
      <c r="H439" s="49" t="n"/>
    </row>
    <row r="440">
      <c r="B440" s="49" t="n"/>
      <c r="C440" s="49" t="n"/>
      <c r="D440" s="49" t="n"/>
      <c r="E440" s="49" t="n"/>
      <c r="F440" s="49" t="n"/>
      <c r="G440" s="49" t="n"/>
      <c r="H440" s="49" t="n"/>
    </row>
    <row r="441">
      <c r="B441" s="49" t="n"/>
      <c r="C441" s="49" t="n"/>
      <c r="D441" s="49" t="n"/>
      <c r="E441" s="49" t="n"/>
      <c r="F441" s="49" t="n"/>
      <c r="G441" s="49" t="n"/>
      <c r="H441" s="49" t="n"/>
    </row>
    <row r="442">
      <c r="B442" s="49" t="n"/>
      <c r="C442" s="49" t="n"/>
      <c r="D442" s="49" t="n"/>
      <c r="E442" s="49" t="n"/>
      <c r="F442" s="49" t="n"/>
      <c r="G442" s="49" t="n"/>
      <c r="H442" s="49" t="n"/>
    </row>
    <row r="443">
      <c r="B443" s="49" t="n"/>
      <c r="C443" s="49" t="n"/>
      <c r="D443" s="49" t="n"/>
      <c r="E443" s="49" t="n"/>
      <c r="F443" s="49" t="n"/>
      <c r="G443" s="49" t="n"/>
      <c r="H443" s="49" t="n"/>
    </row>
    <row r="444">
      <c r="B444" s="49" t="n"/>
      <c r="C444" s="49" t="n"/>
      <c r="D444" s="49" t="n"/>
      <c r="E444" s="49" t="n"/>
      <c r="F444" s="49" t="n"/>
      <c r="G444" s="49" t="n"/>
      <c r="H444" s="49" t="n"/>
    </row>
    <row r="445">
      <c r="B445" s="49" t="n"/>
      <c r="C445" s="49" t="n"/>
      <c r="D445" s="49" t="n"/>
      <c r="E445" s="49" t="n"/>
      <c r="F445" s="49" t="n"/>
      <c r="G445" s="49" t="n"/>
      <c r="H445" s="49" t="n"/>
    </row>
    <row r="446">
      <c r="B446" s="49" t="n"/>
      <c r="C446" s="49" t="n"/>
      <c r="D446" s="49" t="n"/>
      <c r="E446" s="49" t="n"/>
      <c r="F446" s="49" t="n"/>
      <c r="G446" s="49" t="n"/>
      <c r="H446" s="49" t="n"/>
    </row>
    <row r="447">
      <c r="B447" s="49" t="n"/>
      <c r="C447" s="49" t="n"/>
      <c r="D447" s="49" t="n"/>
      <c r="E447" s="49" t="n"/>
      <c r="F447" s="49" t="n"/>
      <c r="G447" s="49" t="n"/>
      <c r="H447" s="49" t="n"/>
    </row>
    <row r="448">
      <c r="B448" s="49" t="n"/>
      <c r="C448" s="49" t="n"/>
      <c r="D448" s="49" t="n"/>
      <c r="E448" s="49" t="n"/>
      <c r="F448" s="49" t="n"/>
      <c r="G448" s="49" t="n"/>
      <c r="H448" s="49" t="n"/>
    </row>
    <row r="449">
      <c r="B449" s="49" t="n"/>
      <c r="C449" s="49" t="n"/>
      <c r="D449" s="49" t="n"/>
      <c r="E449" s="49" t="n"/>
      <c r="F449" s="49" t="n"/>
      <c r="G449" s="49" t="n"/>
      <c r="H449" s="49" t="n"/>
    </row>
    <row r="450">
      <c r="B450" s="49" t="n"/>
      <c r="C450" s="49" t="n"/>
      <c r="D450" s="49" t="n"/>
      <c r="E450" s="49" t="n"/>
      <c r="F450" s="49" t="n"/>
      <c r="G450" s="49" t="n"/>
      <c r="H450" s="49" t="n"/>
    </row>
    <row r="451">
      <c r="B451" s="49" t="n"/>
      <c r="C451" s="49" t="n"/>
      <c r="D451" s="49" t="n"/>
      <c r="E451" s="49" t="n"/>
      <c r="F451" s="49" t="n"/>
      <c r="G451" s="49" t="n"/>
      <c r="H451" s="49" t="n"/>
    </row>
    <row r="452">
      <c r="B452" s="49" t="n"/>
      <c r="C452" s="49" t="n"/>
      <c r="D452" s="49" t="n"/>
      <c r="E452" s="49" t="n"/>
      <c r="F452" s="49" t="n"/>
      <c r="G452" s="49" t="n"/>
      <c r="H452" s="49" t="n"/>
    </row>
    <row r="453">
      <c r="B453" s="49" t="n"/>
      <c r="C453" s="49" t="n"/>
      <c r="D453" s="49" t="n"/>
      <c r="E453" s="49" t="n"/>
      <c r="F453" s="49" t="n"/>
      <c r="G453" s="49" t="n"/>
      <c r="H453" s="49" t="n"/>
    </row>
    <row r="454">
      <c r="B454" s="49" t="n"/>
      <c r="C454" s="49" t="n"/>
      <c r="D454" s="49" t="n"/>
      <c r="E454" s="49" t="n"/>
      <c r="F454" s="49" t="n"/>
      <c r="G454" s="49" t="n"/>
      <c r="H454" s="49" t="n"/>
    </row>
    <row r="455">
      <c r="B455" s="49" t="n"/>
      <c r="C455" s="49" t="n"/>
      <c r="D455" s="49" t="n"/>
      <c r="E455" s="49" t="n"/>
      <c r="F455" s="49" t="n"/>
      <c r="G455" s="49" t="n"/>
      <c r="H455" s="49" t="n"/>
    </row>
    <row r="456">
      <c r="B456" s="49" t="n"/>
      <c r="C456" s="49" t="n"/>
      <c r="D456" s="49" t="n"/>
      <c r="E456" s="49" t="n"/>
      <c r="F456" s="49" t="n"/>
      <c r="G456" s="49" t="n"/>
      <c r="H456" s="49" t="n"/>
    </row>
    <row r="457">
      <c r="B457" s="49" t="n"/>
      <c r="C457" s="49" t="n"/>
      <c r="D457" s="49" t="n"/>
      <c r="E457" s="49" t="n"/>
      <c r="F457" s="49" t="n"/>
      <c r="G457" s="49" t="n"/>
      <c r="H457" s="49" t="n"/>
    </row>
    <row r="458">
      <c r="B458" s="49" t="n"/>
      <c r="C458" s="49" t="n"/>
      <c r="D458" s="49" t="n"/>
      <c r="E458" s="49" t="n"/>
      <c r="F458" s="49" t="n"/>
      <c r="G458" s="49" t="n"/>
      <c r="H458" s="49" t="n"/>
    </row>
    <row r="459">
      <c r="B459" s="49" t="n"/>
      <c r="C459" s="49" t="n"/>
      <c r="D459" s="49" t="n"/>
      <c r="E459" s="49" t="n"/>
      <c r="F459" s="49" t="n"/>
      <c r="G459" s="49" t="n"/>
      <c r="H459" s="49" t="n"/>
    </row>
    <row r="460">
      <c r="B460" s="49" t="n"/>
      <c r="C460" s="49" t="n"/>
      <c r="D460" s="49" t="n"/>
      <c r="E460" s="49" t="n"/>
      <c r="F460" s="49" t="n"/>
      <c r="G460" s="49" t="n"/>
      <c r="H460" s="49" t="n"/>
    </row>
    <row r="461">
      <c r="B461" s="49" t="n"/>
      <c r="C461" s="49" t="n"/>
      <c r="D461" s="49" t="n"/>
      <c r="E461" s="49" t="n"/>
      <c r="F461" s="49" t="n"/>
      <c r="G461" s="49" t="n"/>
      <c r="H461" s="49" t="n"/>
    </row>
    <row r="462">
      <c r="B462" s="49" t="n"/>
      <c r="C462" s="49" t="n"/>
      <c r="D462" s="49" t="n"/>
      <c r="E462" s="49" t="n"/>
      <c r="F462" s="49" t="n"/>
      <c r="G462" s="49" t="n"/>
      <c r="H462" s="49" t="n"/>
    </row>
    <row r="463">
      <c r="B463" s="49" t="n"/>
      <c r="C463" s="49" t="n"/>
      <c r="D463" s="49" t="n"/>
      <c r="E463" s="49" t="n"/>
      <c r="F463" s="49" t="n"/>
      <c r="G463" s="49" t="n"/>
      <c r="H463" s="49" t="n"/>
    </row>
    <row r="464">
      <c r="B464" s="49" t="n"/>
      <c r="C464" s="49" t="n"/>
      <c r="D464" s="49" t="n"/>
      <c r="E464" s="49" t="n"/>
      <c r="F464" s="49" t="n"/>
      <c r="G464" s="49" t="n"/>
      <c r="H464" s="49" t="n"/>
    </row>
    <row r="465">
      <c r="B465" s="49" t="n"/>
      <c r="C465" s="49" t="n"/>
      <c r="D465" s="49" t="n"/>
      <c r="E465" s="49" t="n"/>
      <c r="F465" s="49" t="n"/>
      <c r="G465" s="49" t="n"/>
      <c r="H465" s="49" t="n"/>
    </row>
    <row r="466">
      <c r="B466" s="49" t="n"/>
      <c r="C466" s="49" t="n"/>
      <c r="D466" s="49" t="n"/>
      <c r="E466" s="49" t="n"/>
      <c r="F466" s="49" t="n"/>
      <c r="G466" s="49" t="n"/>
      <c r="H466" s="49" t="n"/>
    </row>
    <row r="467">
      <c r="B467" s="49" t="n"/>
      <c r="C467" s="49" t="n"/>
      <c r="D467" s="49" t="n"/>
      <c r="E467" s="49" t="n"/>
      <c r="F467" s="49" t="n"/>
      <c r="G467" s="49" t="n"/>
      <c r="H467" s="49" t="n"/>
    </row>
    <row r="468">
      <c r="B468" s="49" t="n"/>
      <c r="C468" s="49" t="n"/>
      <c r="D468" s="49" t="n"/>
      <c r="E468" s="49" t="n"/>
      <c r="F468" s="49" t="n"/>
      <c r="G468" s="49" t="n"/>
      <c r="H468" s="49" t="n"/>
    </row>
    <row r="469">
      <c r="B469" s="49" t="n"/>
      <c r="C469" s="49" t="n"/>
      <c r="D469" s="49" t="n"/>
      <c r="E469" s="49" t="n"/>
      <c r="F469" s="49" t="n"/>
      <c r="G469" s="49" t="n"/>
      <c r="H469" s="49" t="n"/>
    </row>
    <row r="470">
      <c r="B470" s="49" t="n"/>
      <c r="C470" s="49" t="n"/>
      <c r="D470" s="49" t="n"/>
      <c r="E470" s="49" t="n"/>
      <c r="F470" s="49" t="n"/>
      <c r="G470" s="49" t="n"/>
      <c r="H470" s="49" t="n"/>
    </row>
    <row r="471">
      <c r="B471" s="49" t="n"/>
      <c r="C471" s="49" t="n"/>
      <c r="D471" s="49" t="n"/>
      <c r="E471" s="49" t="n"/>
      <c r="F471" s="49" t="n"/>
      <c r="G471" s="49" t="n"/>
      <c r="H471" s="49" t="n"/>
    </row>
    <row r="472">
      <c r="B472" s="49" t="n"/>
      <c r="C472" s="49" t="n"/>
      <c r="D472" s="49" t="n"/>
      <c r="E472" s="49" t="n"/>
      <c r="F472" s="49" t="n"/>
      <c r="G472" s="49" t="n"/>
      <c r="H472" s="49" t="n"/>
    </row>
    <row r="473">
      <c r="B473" s="49" t="n"/>
      <c r="C473" s="49" t="n"/>
      <c r="D473" s="49" t="n"/>
      <c r="E473" s="49" t="n"/>
      <c r="F473" s="49" t="n"/>
      <c r="G473" s="49" t="n"/>
      <c r="H473" s="49" t="n"/>
    </row>
    <row r="474">
      <c r="B474" s="49" t="n"/>
      <c r="C474" s="49" t="n"/>
      <c r="D474" s="49" t="n"/>
      <c r="E474" s="49" t="n"/>
      <c r="F474" s="49" t="n"/>
      <c r="G474" s="49" t="n"/>
      <c r="H474" s="49" t="n"/>
    </row>
    <row r="475">
      <c r="B475" s="49" t="n"/>
      <c r="C475" s="49" t="n"/>
      <c r="D475" s="49" t="n"/>
      <c r="E475" s="49" t="n"/>
      <c r="F475" s="49" t="n"/>
      <c r="G475" s="49" t="n"/>
      <c r="H475" s="49" t="n"/>
    </row>
    <row r="476">
      <c r="B476" s="49" t="n"/>
      <c r="C476" s="49" t="n"/>
      <c r="D476" s="49" t="n"/>
      <c r="E476" s="49" t="n"/>
      <c r="F476" s="49" t="n"/>
      <c r="G476" s="49" t="n"/>
      <c r="H476" s="49" t="n"/>
    </row>
    <row r="477">
      <c r="B477" s="49" t="n"/>
      <c r="C477" s="49" t="n"/>
      <c r="D477" s="49" t="n"/>
      <c r="E477" s="49" t="n"/>
      <c r="F477" s="49" t="n"/>
      <c r="G477" s="49" t="n"/>
      <c r="H477" s="49" t="n"/>
    </row>
    <row r="478">
      <c r="B478" s="49" t="n"/>
      <c r="C478" s="49" t="n"/>
      <c r="D478" s="49" t="n"/>
      <c r="E478" s="49" t="n"/>
      <c r="F478" s="49" t="n"/>
      <c r="G478" s="49" t="n"/>
      <c r="H478" s="49" t="n"/>
    </row>
    <row r="479">
      <c r="B479" s="49" t="n"/>
      <c r="C479" s="49" t="n"/>
      <c r="D479" s="49" t="n"/>
      <c r="E479" s="49" t="n"/>
      <c r="F479" s="49" t="n"/>
      <c r="G479" s="49" t="n"/>
      <c r="H479" s="49" t="n"/>
    </row>
    <row r="480">
      <c r="B480" s="49" t="n"/>
      <c r="C480" s="49" t="n"/>
      <c r="D480" s="49" t="n"/>
      <c r="E480" s="49" t="n"/>
      <c r="F480" s="49" t="n"/>
      <c r="G480" s="49" t="n"/>
      <c r="H480" s="49" t="n"/>
    </row>
    <row r="481">
      <c r="B481" s="49" t="n"/>
      <c r="C481" s="49" t="n"/>
      <c r="D481" s="49" t="n"/>
      <c r="E481" s="49" t="n"/>
      <c r="F481" s="49" t="n"/>
      <c r="G481" s="49" t="n"/>
      <c r="H481" s="49" t="n"/>
    </row>
    <row r="482">
      <c r="B482" s="49" t="n"/>
      <c r="C482" s="49" t="n"/>
      <c r="D482" s="49" t="n"/>
      <c r="E482" s="49" t="n"/>
      <c r="F482" s="49" t="n"/>
      <c r="G482" s="49" t="n"/>
      <c r="H482" s="49" t="n"/>
    </row>
    <row r="483">
      <c r="B483" s="49" t="n"/>
      <c r="C483" s="49" t="n"/>
      <c r="D483" s="49" t="n"/>
      <c r="E483" s="49" t="n"/>
      <c r="F483" s="49" t="n"/>
      <c r="G483" s="49" t="n"/>
      <c r="H483" s="49" t="n"/>
    </row>
    <row r="484">
      <c r="B484" s="49" t="n"/>
      <c r="C484" s="49" t="n"/>
      <c r="D484" s="49" t="n"/>
      <c r="E484" s="49" t="n"/>
      <c r="F484" s="49" t="n"/>
      <c r="G484" s="49" t="n"/>
      <c r="H484" s="49" t="n"/>
    </row>
    <row r="485">
      <c r="B485" s="49" t="n"/>
      <c r="C485" s="49" t="n"/>
      <c r="D485" s="49" t="n"/>
      <c r="E485" s="49" t="n"/>
      <c r="F485" s="49" t="n"/>
      <c r="G485" s="49" t="n"/>
      <c r="H485" s="49" t="n"/>
    </row>
    <row r="486">
      <c r="B486" s="49" t="n"/>
      <c r="C486" s="49" t="n"/>
      <c r="D486" s="49" t="n"/>
      <c r="E486" s="49" t="n"/>
      <c r="F486" s="49" t="n"/>
      <c r="G486" s="49" t="n"/>
      <c r="H486" s="49" t="n"/>
    </row>
    <row r="487">
      <c r="B487" s="49" t="n"/>
      <c r="C487" s="49" t="n"/>
      <c r="D487" s="49" t="n"/>
      <c r="E487" s="49" t="n"/>
      <c r="F487" s="49" t="n"/>
      <c r="G487" s="49" t="n"/>
      <c r="H487" s="49" t="n"/>
    </row>
    <row r="488">
      <c r="B488" s="49" t="n"/>
      <c r="C488" s="49" t="n"/>
      <c r="D488" s="49" t="n"/>
      <c r="E488" s="49" t="n"/>
      <c r="F488" s="49" t="n"/>
      <c r="G488" s="49" t="n"/>
      <c r="H488" s="49" t="n"/>
    </row>
    <row r="489">
      <c r="B489" s="49" t="n"/>
      <c r="C489" s="49" t="n"/>
      <c r="D489" s="49" t="n"/>
      <c r="E489" s="49" t="n"/>
      <c r="F489" s="49" t="n"/>
      <c r="G489" s="49" t="n"/>
      <c r="H489" s="49" t="n"/>
    </row>
    <row r="490">
      <c r="B490" s="49" t="n"/>
      <c r="C490" s="49" t="n"/>
      <c r="D490" s="49" t="n"/>
      <c r="E490" s="49" t="n"/>
      <c r="F490" s="49" t="n"/>
      <c r="G490" s="49" t="n"/>
      <c r="H490" s="49" t="n"/>
    </row>
    <row r="491">
      <c r="B491" s="49" t="n"/>
      <c r="C491" s="49" t="n"/>
      <c r="D491" s="49" t="n"/>
      <c r="E491" s="49" t="n"/>
      <c r="F491" s="49" t="n"/>
      <c r="G491" s="49" t="n"/>
      <c r="H491" s="49" t="n"/>
    </row>
    <row r="492">
      <c r="B492" s="49" t="n"/>
      <c r="C492" s="49" t="n"/>
      <c r="D492" s="49" t="n"/>
      <c r="E492" s="49" t="n"/>
      <c r="F492" s="49" t="n"/>
      <c r="G492" s="49" t="n"/>
      <c r="H492" s="49" t="n"/>
    </row>
    <row r="493">
      <c r="B493" s="49" t="n"/>
      <c r="C493" s="49" t="n"/>
      <c r="D493" s="49" t="n"/>
      <c r="E493" s="49" t="n"/>
      <c r="F493" s="49" t="n"/>
      <c r="G493" s="49" t="n"/>
      <c r="H493" s="49" t="n"/>
    </row>
    <row r="494">
      <c r="B494" s="49" t="n"/>
      <c r="C494" s="49" t="n"/>
      <c r="D494" s="49" t="n"/>
      <c r="E494" s="49" t="n"/>
      <c r="F494" s="49" t="n"/>
      <c r="G494" s="49" t="n"/>
      <c r="H494" s="49" t="n"/>
    </row>
    <row r="495">
      <c r="B495" s="49" t="n"/>
      <c r="C495" s="49" t="n"/>
      <c r="D495" s="49" t="n"/>
      <c r="E495" s="49" t="n"/>
      <c r="F495" s="49" t="n"/>
      <c r="G495" s="49" t="n"/>
      <c r="H495" s="49" t="n"/>
    </row>
    <row r="496">
      <c r="B496" s="49" t="n"/>
      <c r="C496" s="49" t="n"/>
      <c r="D496" s="49" t="n"/>
      <c r="E496" s="49" t="n"/>
      <c r="F496" s="49" t="n"/>
      <c r="G496" s="49" t="n"/>
      <c r="H496" s="49" t="n"/>
    </row>
    <row r="497">
      <c r="B497" s="49" t="n"/>
      <c r="C497" s="49" t="n"/>
      <c r="D497" s="49" t="n"/>
      <c r="E497" s="49" t="n"/>
      <c r="F497" s="49" t="n"/>
      <c r="G497" s="49" t="n"/>
      <c r="H497" s="49" t="n"/>
    </row>
    <row r="498">
      <c r="B498" s="49" t="n"/>
      <c r="C498" s="49" t="n"/>
      <c r="D498" s="49" t="n"/>
      <c r="E498" s="49" t="n"/>
      <c r="F498" s="49" t="n"/>
      <c r="G498" s="49" t="n"/>
      <c r="H498" s="49" t="n"/>
    </row>
    <row r="499">
      <c r="B499" s="49" t="n"/>
      <c r="C499" s="49" t="n"/>
      <c r="D499" s="49" t="n"/>
      <c r="E499" s="49" t="n"/>
      <c r="F499" s="49" t="n"/>
      <c r="G499" s="49" t="n"/>
      <c r="H499" s="49" t="n"/>
    </row>
    <row r="500">
      <c r="B500" s="49" t="n"/>
      <c r="C500" s="49" t="n"/>
      <c r="D500" s="49" t="n"/>
      <c r="E500" s="49" t="n"/>
      <c r="F500" s="49" t="n"/>
      <c r="G500" s="49" t="n"/>
      <c r="H500" s="49" t="n"/>
    </row>
    <row r="501">
      <c r="B501" s="49" t="n"/>
      <c r="C501" s="49" t="n"/>
      <c r="D501" s="49" t="n"/>
      <c r="E501" s="49" t="n"/>
      <c r="F501" s="49" t="n"/>
      <c r="G501" s="49" t="n"/>
      <c r="H501" s="49" t="n"/>
    </row>
    <row r="502">
      <c r="B502" s="49" t="n"/>
      <c r="C502" s="49" t="n"/>
      <c r="D502" s="49" t="n"/>
      <c r="E502" s="49" t="n"/>
      <c r="F502" s="49" t="n"/>
      <c r="G502" s="49" t="n"/>
      <c r="H502" s="49" t="n"/>
    </row>
    <row r="503">
      <c r="B503" s="49" t="n"/>
      <c r="C503" s="49" t="n"/>
      <c r="D503" s="49" t="n"/>
      <c r="E503" s="49" t="n"/>
      <c r="F503" s="49" t="n"/>
      <c r="G503" s="49" t="n"/>
      <c r="H503" s="49" t="n"/>
    </row>
    <row r="504">
      <c r="B504" s="49" t="n"/>
      <c r="C504" s="49" t="n"/>
      <c r="D504" s="49" t="n"/>
      <c r="E504" s="49" t="n"/>
      <c r="F504" s="49" t="n"/>
      <c r="G504" s="49" t="n"/>
      <c r="H504" s="49" t="n"/>
    </row>
    <row r="505">
      <c r="B505" s="49" t="n"/>
      <c r="C505" s="49" t="n"/>
      <c r="D505" s="49" t="n"/>
      <c r="E505" s="49" t="n"/>
      <c r="F505" s="49" t="n"/>
      <c r="G505" s="49" t="n"/>
      <c r="H505" s="49" t="n"/>
    </row>
    <row r="506">
      <c r="B506" s="49" t="n"/>
      <c r="C506" s="49" t="n"/>
      <c r="D506" s="49" t="n"/>
      <c r="E506" s="49" t="n"/>
      <c r="F506" s="49" t="n"/>
      <c r="G506" s="49" t="n"/>
      <c r="H506" s="49" t="n"/>
    </row>
    <row r="507">
      <c r="B507" s="49" t="n"/>
      <c r="C507" s="49" t="n"/>
      <c r="D507" s="49" t="n"/>
      <c r="E507" s="49" t="n"/>
      <c r="F507" s="49" t="n"/>
      <c r="G507" s="49" t="n"/>
      <c r="H507" s="49" t="n"/>
    </row>
    <row r="508">
      <c r="B508" s="49" t="n"/>
      <c r="C508" s="49" t="n"/>
      <c r="D508" s="49" t="n"/>
      <c r="E508" s="49" t="n"/>
      <c r="F508" s="49" t="n"/>
      <c r="G508" s="49" t="n"/>
      <c r="H508" s="49" t="n"/>
    </row>
    <row r="509">
      <c r="B509" s="49" t="n"/>
      <c r="C509" s="49" t="n"/>
      <c r="D509" s="49" t="n"/>
      <c r="E509" s="49" t="n"/>
      <c r="F509" s="49" t="n"/>
      <c r="G509" s="49" t="n"/>
      <c r="H509" s="49" t="n"/>
    </row>
    <row r="510">
      <c r="B510" s="49" t="n"/>
      <c r="C510" s="49" t="n"/>
      <c r="D510" s="49" t="n"/>
      <c r="E510" s="49" t="n"/>
      <c r="F510" s="49" t="n"/>
      <c r="G510" s="49" t="n"/>
      <c r="H510" s="49" t="n"/>
    </row>
    <row r="511">
      <c r="B511" s="49" t="n"/>
      <c r="C511" s="49" t="n"/>
      <c r="D511" s="49" t="n"/>
      <c r="E511" s="49" t="n"/>
      <c r="F511" s="49" t="n"/>
      <c r="G511" s="49" t="n"/>
      <c r="H511" s="49" t="n"/>
    </row>
    <row r="512">
      <c r="B512" s="49" t="n"/>
      <c r="C512" s="49" t="n"/>
      <c r="D512" s="49" t="n"/>
      <c r="E512" s="49" t="n"/>
      <c r="F512" s="49" t="n"/>
      <c r="G512" s="49" t="n"/>
      <c r="H512" s="49" t="n"/>
    </row>
    <row r="513">
      <c r="B513" s="49" t="n"/>
      <c r="C513" s="49" t="n"/>
      <c r="D513" s="49" t="n"/>
      <c r="E513" s="49" t="n"/>
      <c r="F513" s="49" t="n"/>
      <c r="G513" s="49" t="n"/>
      <c r="H513" s="49" t="n"/>
    </row>
    <row r="514">
      <c r="B514" s="49" t="n"/>
      <c r="C514" s="49" t="n"/>
      <c r="D514" s="49" t="n"/>
      <c r="E514" s="49" t="n"/>
      <c r="F514" s="49" t="n"/>
      <c r="G514" s="49" t="n"/>
      <c r="H514" s="49" t="n"/>
    </row>
    <row r="515">
      <c r="B515" s="49" t="n"/>
      <c r="C515" s="49" t="n"/>
      <c r="D515" s="49" t="n"/>
      <c r="E515" s="49" t="n"/>
      <c r="F515" s="49" t="n"/>
      <c r="G515" s="49" t="n"/>
      <c r="H515" s="49" t="n"/>
    </row>
    <row r="516">
      <c r="B516" s="49" t="n"/>
      <c r="C516" s="49" t="n"/>
      <c r="D516" s="49" t="n"/>
      <c r="E516" s="49" t="n"/>
      <c r="F516" s="49" t="n"/>
      <c r="G516" s="49" t="n"/>
      <c r="H516" s="49" t="n"/>
    </row>
    <row r="517">
      <c r="B517" s="49" t="n"/>
      <c r="C517" s="49" t="n"/>
      <c r="D517" s="49" t="n"/>
      <c r="E517" s="49" t="n"/>
      <c r="F517" s="49" t="n"/>
      <c r="G517" s="49" t="n"/>
      <c r="H517" s="49" t="n"/>
    </row>
    <row r="518">
      <c r="B518" s="49" t="n"/>
      <c r="C518" s="49" t="n"/>
      <c r="D518" s="49" t="n"/>
      <c r="E518" s="49" t="n"/>
      <c r="F518" s="49" t="n"/>
      <c r="G518" s="49" t="n"/>
      <c r="H518" s="49" t="n"/>
    </row>
    <row r="519">
      <c r="B519" s="49" t="n"/>
      <c r="C519" s="49" t="n"/>
      <c r="D519" s="49" t="n"/>
      <c r="E519" s="49" t="n"/>
      <c r="F519" s="49" t="n"/>
      <c r="G519" s="49" t="n"/>
      <c r="H519" s="49" t="n"/>
    </row>
    <row r="520">
      <c r="B520" s="49" t="n"/>
      <c r="C520" s="49" t="n"/>
      <c r="D520" s="49" t="n"/>
      <c r="E520" s="49" t="n"/>
      <c r="F520" s="49" t="n"/>
      <c r="G520" s="49" t="n"/>
      <c r="H520" s="49" t="n"/>
    </row>
  </sheetData>
  <mergeCells count="10">
    <mergeCell ref="B13:C13"/>
    <mergeCell ref="B8:H8"/>
    <mergeCell ref="B9:H9"/>
    <mergeCell ref="B4:H4"/>
    <mergeCell ref="B6:H6"/>
    <mergeCell ref="B7:H7"/>
    <mergeCell ref="B10:H10"/>
    <mergeCell ref="B11:H11"/>
    <mergeCell ref="B3:H3"/>
    <mergeCell ref="B5:H5"/>
  </mergeCells>
  <conditionalFormatting sqref="E12">
    <cfRule type="cellIs" priority="1" operator="greaterThan" dxfId="5">
      <formula>0</formula>
    </cfRule>
  </conditionalFormatting>
  <conditionalFormatting sqref="B20:B520">
    <cfRule type="expression" priority="2" dxfId="6">
      <formula>AND(LEN($B20&amp;$C20&amp;$D20&amp;$E20&amp;$F20&amp;$G20&amp;$H20)&gt;0,B20="")</formula>
    </cfRule>
  </conditionalFormatting>
  <conditionalFormatting sqref="H20:H520">
    <cfRule type="expression" priority="3" dxfId="6">
      <formula>AND(LEN($B20&amp;$C20&amp;$D20&amp;$E20&amp;$F20&amp;$G20&amp;$H20)&gt;0,H20="")</formula>
    </cfRule>
  </conditionalFormatting>
  <dataValidations count="8">
    <dataValidation sqref="E13" showDropDown="0" showInputMessage="1" showErrorMessage="1" allowBlank="1" errorTitle="Date" error="Enter a date (dd-mmm-yyyy)." promptTitle="Date" prompt="Date the owner confirmed the content" type="date" operator="greaterThan">
      <formula1>DATE(2026,1,1)</formula1>
    </dataValidation>
    <dataValidation sqref="B20:B520" showDropDown="0" showInputMessage="1" showErrorMessage="1" allowBlank="1" errorTitle="Table" error="Choose a value of the list Table (PM-04) (sheet Reference lists)." promptTitle="Table" prompt="Yes. Rate table of the row Allowed: TAX, SHORT_PERIOD, MOTOR_LIMIT (list Table (PM-04))" type="list" errorStyle="stop">
      <formula1>=LIST_PM_04_TABLE</formula1>
    </dataValidation>
    <dataValidation sqref="C20:C520" showDropDown="0" showInputMessage="1" showErrorMessage="1" allowBlank="1" errorTitle="Rate" error="Choose a value of the list Premium charge or rating factor (BIBS) (sheet Reference lists)." promptTitle="Rate" prompt="Conditional: TAX. Premium charge or rating factor Allowed: List Premium charge or rating factor (BIBS): 7 values, see Reference lists" type="list" errorStyle="stop">
      <formula1>=LIST_PM_04_RATE</formula1>
    </dataValidation>
    <dataValidation sqref="D20:D520" showDropDown="0" showInputMessage="1" showErrorMessage="1" allowBlank="1" errorTitle="Line code" error="The code is not in PM-01, column Line code. Enter it there first, or keep it if it is a code BIBS already holds." promptTitle="Line code" prompt="No. Line of the rate; blank = every line Allowed: Code of an existing line" type="list" errorStyle="warning">
      <formula1>=CODES_PM_01_LINE_CODE</formula1>
    </dataValidation>
    <dataValidation sqref="E20:E520" showDropDown="0" showInputMessage="1" showErrorMessage="0" allowBlank="1" promptTitle="Rate %" prompt="Conditional: TAX, SHORT_PERIOD. Up to four decimals, 0 to 100"/>
    <dataValidation sqref="F20:F520" showDropDown="0" showInputMessage="1" showErrorMessage="0" allowBlank="1" promptTitle="Months covered" prompt="Conditional: SHORT_PERIOD. Months covered, 1 to 12"/>
    <dataValidation sqref="G20:G520" showDropDown="0" showInputMessage="1" showErrorMessage="0" allowBlank="1" promptTitle="Coverage / Limit / Premium" prompt="Conditional: MOTOR_LIMIT. BI or PD; limit; premium"/>
    <dataValidation sqref="H20:H520" showDropDown="0" showInputMessage="1" showErrorMessage="0" allowBlank="1" promptTitle="Effective from / to" prompt="Yes. First day; last day after a semicolon, blank = open"/>
  </dataValidations>
  <hyperlinks>
    <hyperlink ref="A2" location="'Start here'!A1"/>
    <hyperlink ref="H2" location="'Questions and comments'!A1"/>
    <hyperlink ref="B8" location="'PM-01 Product catalogue'!A1"/>
    <hyperlink ref="B17" location="'Reference lists'!A497"/>
    <hyperlink ref="C17" location="'Reference lists'!A500"/>
    <hyperlink ref="D17" location="'PM-01 Product catalogue'!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fitToPage="1"/>
  </sheetPr>
  <dimension ref="A1:I17"/>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32" customWidth="1" min="3" max="3"/>
    <col width="44" customWidth="1" min="4" max="4"/>
    <col width="9" customWidth="1" min="5" max="5"/>
    <col width="10" customWidth="1" min="6" max="6"/>
    <col width="14" customWidth="1" min="7" max="7"/>
    <col width="36" customWidth="1" min="8" max="8"/>
    <col width="14" customWidth="1" min="9" max="9"/>
  </cols>
  <sheetData>
    <row r="1" ht="26" customHeight="1">
      <c r="A1" s="25" t="inlineStr">
        <is>
          <t>PM-04 Charges checklist: premium charges billed to clients</t>
        </is>
      </c>
    </row>
    <row r="2">
      <c r="A2" s="27" t="inlineStr">
        <is>
          <t>← Back to Start here</t>
        </is>
      </c>
      <c r="B2" s="55" t="inlineStr">
        <is>
          <t>One row per charge: how BIBS computes it, where its rate is given and what BDOI confirms (rates per line in PM-04, other charges in PM-04C, LGT per insurer branch in R04B)</t>
        </is>
      </c>
    </row>
    <row r="4" ht="30" customHeight="1">
      <c r="A4" s="11" t="inlineStr">
        <is>
          <t>Charge</t>
        </is>
      </c>
      <c r="B4" s="11" t="inlineStr">
        <is>
          <t>What BIBS does</t>
        </is>
      </c>
      <c r="C4" s="11" t="inlineStr">
        <is>
          <t>Where it is set up</t>
        </is>
      </c>
      <c r="D4" s="11" t="inlineStr">
        <is>
          <t>What BDOI provides or confirms</t>
        </is>
      </c>
      <c r="E4" s="11" t="inlineStr">
        <is>
          <t>Held by BIBS</t>
        </is>
      </c>
      <c r="F4" s="11" t="inlineStr">
        <is>
          <t>Question</t>
        </is>
      </c>
      <c r="G4" s="11" t="inlineStr">
        <is>
          <t>Rule confirmed</t>
        </is>
      </c>
      <c r="H4" s="11" t="inlineStr">
        <is>
          <t>BDOI comments</t>
        </is>
      </c>
      <c r="I4" s="11" t="inlineStr">
        <is>
          <t>Status</t>
        </is>
      </c>
    </row>
    <row r="5">
      <c r="A5" s="14" t="inlineStr">
        <is>
          <t>Documentary stamp tax (DST)</t>
        </is>
      </c>
      <c r="B5" s="14" t="inlineStr">
        <is>
          <t>Rate % of the net (basic) premium of the line. The tax is rounded to centavos and then up to the next half peso: .01 to .49 becomes .50, .51 to .99 the next peso, .00 and .50 stay; a refund is rounded the same way.</t>
        </is>
      </c>
      <c r="C5" s="14" t="inlineStr">
        <is>
          <t>PM-04, Rate DST (per line, or blank line = every line)</t>
        </is>
      </c>
      <c r="D5" s="14" t="inlineStr">
        <is>
          <t>The DST rate per line, confirmation of the net premium as the basis and of the half-peso rounding, and the lines or clients exempt from DST</t>
        </is>
      </c>
      <c r="E5" s="14" t="inlineStr">
        <is>
          <t>Yes</t>
        </is>
      </c>
      <c r="F5" s="14" t="inlineStr">
        <is>
          <t>TX-Q01</t>
        </is>
      </c>
      <c r="G5" s="14" t="n"/>
      <c r="H5" s="14" t="n"/>
      <c r="I5" s="14" t="inlineStr">
        <is>
          <t>Not started</t>
        </is>
      </c>
    </row>
    <row r="6">
      <c r="A6" s="14" t="inlineStr">
        <is>
          <t>Premium tax</t>
        </is>
      </c>
      <c r="B6" s="14" t="inlineStr">
        <is>
          <t>Rate % of the net premium of the line, rounded to centavos. BIBS applies it per product line; when the insurer's tax status is set, a VAT-registered insurer bills no premium tax and an insurer not VAT-registered bills premium tax instead of VAT.</t>
        </is>
      </c>
      <c r="C6" s="14" t="inlineStr">
        <is>
          <t>PM-04, Rate PREMIUM_TAX (per line); tax status of the insurer on the insurer screen</t>
        </is>
      </c>
      <c r="D6" s="14" t="inlineStr">
        <is>
          <t>The lines on which premium tax is billed instead of VAT, the rate, and the tax status of each insurer</t>
        </is>
      </c>
      <c r="E6" s="14" t="inlineStr">
        <is>
          <t>Yes</t>
        </is>
      </c>
      <c r="F6" s="14" t="inlineStr">
        <is>
          <t>TX-Q02</t>
        </is>
      </c>
      <c r="G6" s="14" t="n"/>
      <c r="H6" s="14" t="n"/>
      <c r="I6" s="14" t="inlineStr">
        <is>
          <t>Not started</t>
        </is>
      </c>
    </row>
    <row r="7">
      <c r="A7" s="14" t="inlineStr">
        <is>
          <t>VAT on premium</t>
        </is>
      </c>
      <c r="B7" s="14" t="inlineStr">
        <is>
          <t>Rate % of the net premium of the line, rounded to centavos. The charge follows the line, unless the insurer's tax status is set: a VAT-registered insurer bills VAT and no premium tax, an insurer not VAT-registered bills premium tax and no VAT. A zero-rated or exempt client is classified on the VAT worksheet by its VAT treatment (TX-01).</t>
        </is>
      </c>
      <c r="C7" s="14" t="inlineStr">
        <is>
          <t>PM-04, Rate VAT_PREMIUM (per line); tax status of the insurer on the insurer screen</t>
        </is>
      </c>
      <c r="D7" s="14" t="inlineStr">
        <is>
          <t>The VAT rate per line, the lines that are VAT-exempt or zero-rated, and the tax status of each insurer</t>
        </is>
      </c>
      <c r="E7" s="14" t="inlineStr">
        <is>
          <t>Yes</t>
        </is>
      </c>
      <c r="F7" s="14" t="inlineStr">
        <is>
          <t>TX-Q02</t>
        </is>
      </c>
      <c r="G7" s="14" t="n"/>
      <c r="H7" s="14" t="n"/>
      <c r="I7" s="14" t="inlineStr">
        <is>
          <t>Not started</t>
        </is>
      </c>
    </row>
    <row r="8">
      <c r="A8" s="14" t="inlineStr">
        <is>
          <t>Fire service tax (FST)</t>
        </is>
      </c>
      <c r="B8" s="14" t="inlineStr">
        <is>
          <t>Rate % of the net premium of the lines it is set for, rounded to centavos.</t>
        </is>
      </c>
      <c r="C8" s="14" t="inlineStr">
        <is>
          <t>PM-04, Rate FIRE_SERVICE_TAX (fire lines)</t>
        </is>
      </c>
      <c r="D8" s="14" t="inlineStr">
        <is>
          <t>The fire lines that carry FST, the rate and the basis</t>
        </is>
      </c>
      <c r="E8" s="14" t="inlineStr">
        <is>
          <t>Yes</t>
        </is>
      </c>
      <c r="F8" s="14" t="inlineStr">
        <is>
          <t>TX-Q01</t>
        </is>
      </c>
      <c r="G8" s="14" t="n"/>
      <c r="H8" s="14" t="n"/>
      <c r="I8" s="14" t="inlineStr">
        <is>
          <t>Not started</t>
        </is>
      </c>
    </row>
    <row r="9">
      <c r="A9" s="14" t="inlineStr">
        <is>
          <t>Local government tax (LGT)</t>
        </is>
      </c>
      <c r="B9" s="14" t="inlineStr">
        <is>
          <t>Rate % of the net premium at the rate of the insurer branch that places the policy, rounded to centavos. BIBS keeps no rate per local government unit.</t>
        </is>
      </c>
      <c r="C9" s="14" t="inlineStr">
        <is>
          <t>R04B, column lgt_rate of each insurer branch</t>
        </is>
      </c>
      <c r="D9" s="14" t="inlineStr">
        <is>
          <t>The LGT rate of each insurer branch and the ordinance basis of the LGU behind it</t>
        </is>
      </c>
      <c r="E9" s="14" t="inlineStr">
        <is>
          <t>Yes</t>
        </is>
      </c>
      <c r="F9" s="14" t="inlineStr">
        <is>
          <t>TX-Q03</t>
        </is>
      </c>
      <c r="G9" s="14" t="n"/>
      <c r="H9" s="14" t="n"/>
      <c r="I9" s="14" t="inlineStr">
        <is>
          <t>Not started</t>
        </is>
      </c>
    </row>
    <row r="10">
      <c r="A10" s="14" t="inlineStr">
        <is>
          <t>VAT on BDOI's commission</t>
        </is>
      </c>
      <c r="B10" s="14" t="inlineStr">
        <is>
          <t>Rate % of the commission (commission rate x net premium), rounded to centavos.</t>
        </is>
      </c>
      <c r="C10" s="14" t="inlineStr">
        <is>
          <t>PM-04, Rate VAT_COMMISSION</t>
        </is>
      </c>
      <c r="D10" s="14" t="inlineStr">
        <is>
          <t>The VAT rate on commission and the cases where it is zero-rated or exempt</t>
        </is>
      </c>
      <c r="E10" s="14" t="inlineStr">
        <is>
          <t>Yes</t>
        </is>
      </c>
      <c r="F10" s="14" t="inlineStr">
        <is>
          <t>TX-Q05</t>
        </is>
      </c>
      <c r="G10" s="14" t="n"/>
      <c r="H10" s="14" t="n"/>
      <c r="I10" s="14" t="inlineStr">
        <is>
          <t>Not started</t>
        </is>
      </c>
    </row>
    <row r="11">
      <c r="A11" s="14" t="inlineStr">
        <is>
          <t>Motor own damage / theft coverage factors</t>
        </is>
      </c>
      <c r="B11" s="14" t="inlineStr">
        <is>
          <t>Percent of the sum insured taken as the own damage / theft coverage: one factor for annual cover, one for multi-year cover.</t>
        </is>
      </c>
      <c r="C11" s="14" t="inlineStr">
        <is>
          <t>PM-04, Rates MOTOR_OD_ANNUAL and MOTOR_OD_MULTI_YEAR</t>
        </is>
      </c>
      <c r="D11" s="14" t="inlineStr">
        <is>
          <t>The two factors</t>
        </is>
      </c>
      <c r="E11" s="14" t="inlineStr">
        <is>
          <t>Yes</t>
        </is>
      </c>
      <c r="F11" s="14" t="inlineStr">
        <is>
          <t>TX-Q01</t>
        </is>
      </c>
      <c r="G11" s="14" t="n"/>
      <c r="H11" s="14" t="n"/>
      <c r="I11" s="14" t="inlineStr">
        <is>
          <t>Not started</t>
        </is>
      </c>
    </row>
    <row r="12">
      <c r="A12" s="14" t="inlineStr">
        <is>
          <t>Short-period table and motor BI / PD limit premiums</t>
        </is>
      </c>
      <c r="B12" s="14" t="inlineStr">
        <is>
          <t>Short period: percent of the annual premium by months covered; motor BI / PD: premium per limit.</t>
        </is>
      </c>
      <c r="C12" s="14" t="inlineStr">
        <is>
          <t>PM-04, Tables SHORT_PERIOD and MOTOR_LIMIT</t>
        </is>
      </c>
      <c r="D12" s="14" t="inlineStr">
        <is>
          <t>The short-period table and the limit premiums</t>
        </is>
      </c>
      <c r="E12" s="14" t="inlineStr">
        <is>
          <t>Yes</t>
        </is>
      </c>
      <c r="F12" s="14" t="inlineStr">
        <is>
          <t>TX-Q01</t>
        </is>
      </c>
      <c r="G12" s="14" t="n"/>
      <c r="H12" s="14" t="n"/>
      <c r="I12" s="14" t="inlineStr">
        <is>
          <t>Not started</t>
        </is>
      </c>
    </row>
    <row r="13">
      <c r="A13" s="14" t="inlineStr">
        <is>
          <t>Order</t>
        </is>
      </c>
      <c r="B13" s="14" t="inlineStr">
        <is>
          <t>basis</t>
        </is>
      </c>
      <c r="C13" s="14" t="inlineStr">
        <is>
          <t>minimum and rounding of the charges</t>
        </is>
      </c>
      <c r="D13" s="14" t="inlineStr">
        <is>
          <t>Every charge is computed on the net premium after the minimum premium, independently of the others (no charge on another charge); gross premium = net premium + all charges; no minimum amount per charge; every amount rounded to centavos half-up except DST (half peso).</t>
        </is>
      </c>
      <c r="E13" s="14" t="inlineStr">
        <is>
          <t>Fixed in BIBS (no column)</t>
        </is>
      </c>
      <c r="F13" s="14" t="inlineStr">
        <is>
          <t>Confirmation of the rules, or the basis, order, minimum or rounding BDOI applies</t>
        </is>
      </c>
      <c r="G13" s="14" t="n"/>
      <c r="H13" s="14" t="n"/>
      <c r="I13" s="14" t="inlineStr">
        <is>
          <t>Not started</t>
        </is>
      </c>
    </row>
    <row r="14">
      <c r="A14" s="14" t="inlineStr">
        <is>
          <t>CTPL COCAF / LTO authentication fee</t>
        </is>
      </c>
      <c r="B14" s="14" t="inlineStr">
        <is>
          <t>Other charge of PM-04C: a fixed amount or a rate of the net premium per line or product, with its VAT treatment and GL account; billed only while the system parameter Other charges enabled is on.</t>
        </is>
      </c>
      <c r="C14" s="14" t="inlineStr">
        <is>
          <t>PM-04C (one row per charge and line or product)</t>
        </is>
      </c>
      <c r="D14" s="14" t="inlineStr">
        <is>
          <t>Whether BIBS bills it, its amount, VAT treatment and account</t>
        </is>
      </c>
      <c r="E14" s="14" t="inlineStr">
        <is>
          <t>Yes</t>
        </is>
      </c>
      <c r="F14" s="14" t="inlineStr">
        <is>
          <t>TX-Q04</t>
        </is>
      </c>
      <c r="G14" s="14" t="n"/>
      <c r="H14" s="14" t="n"/>
      <c r="I14" s="14" t="inlineStr">
        <is>
          <t>Not started</t>
        </is>
      </c>
    </row>
    <row r="15">
      <c r="A15" s="14" t="inlineStr">
        <is>
          <t>Notarial fee</t>
        </is>
      </c>
      <c r="B15" s="14" t="inlineStr">
        <is>
          <t>Other charge of PM-04C, as above.</t>
        </is>
      </c>
      <c r="C15" s="14" t="inlineStr">
        <is>
          <t>PM-04C</t>
        </is>
      </c>
      <c r="D15" s="14" t="inlineStr">
        <is>
          <t>Whether BIBS bills it, its amount, VAT treatment and account</t>
        </is>
      </c>
      <c r="E15" s="14" t="inlineStr">
        <is>
          <t>Yes</t>
        </is>
      </c>
      <c r="F15" s="14" t="inlineStr">
        <is>
          <t>TX-Q04</t>
        </is>
      </c>
      <c r="G15" s="14" t="n"/>
      <c r="H15" s="14" t="n"/>
      <c r="I15" s="14" t="inlineStr">
        <is>
          <t>Not started</t>
        </is>
      </c>
    </row>
    <row r="16">
      <c r="A16" s="14" t="inlineStr">
        <is>
          <t>Policy or documentation fee</t>
        </is>
      </c>
      <c r="B16" s="14" t="inlineStr">
        <is>
          <t>Other charge of PM-04C, as above.</t>
        </is>
      </c>
      <c r="C16" s="14" t="inlineStr">
        <is>
          <t>PM-04C</t>
        </is>
      </c>
      <c r="D16" s="14" t="inlineStr">
        <is>
          <t>Whether BIBS bills it, its amount, VAT treatment and account</t>
        </is>
      </c>
      <c r="E16" s="14" t="inlineStr">
        <is>
          <t>Yes</t>
        </is>
      </c>
      <c r="F16" s="14" t="inlineStr">
        <is>
          <t>TX-Q04</t>
        </is>
      </c>
      <c r="G16" s="14" t="n"/>
      <c r="H16" s="14" t="n"/>
      <c r="I16" s="14" t="inlineStr">
        <is>
          <t>Not started</t>
        </is>
      </c>
    </row>
    <row r="17">
      <c r="A17" s="14" t="inlineStr">
        <is>
          <t>Any other charge BDOI bills</t>
        </is>
      </c>
      <c r="B17" s="14" t="inlineStr">
        <is>
          <t>Other charge of PM-04C, as above.</t>
        </is>
      </c>
      <c r="C17" s="14" t="inlineStr">
        <is>
          <t>PM-04C</t>
        </is>
      </c>
      <c r="D17" s="14" t="inlineStr">
        <is>
          <t>The charge, its basis, amount, VAT treatment and account</t>
        </is>
      </c>
      <c r="E17" s="14" t="inlineStr">
        <is>
          <t>Yes</t>
        </is>
      </c>
      <c r="F17" s="14" t="inlineStr">
        <is>
          <t>TX-Q04</t>
        </is>
      </c>
      <c r="G17" s="14" t="n"/>
      <c r="H17" s="14" t="n"/>
      <c r="I17" s="14" t="inlineStr">
        <is>
          <t>Not started</t>
        </is>
      </c>
    </row>
  </sheetData>
  <autoFilter ref="A4:I17"/>
  <conditionalFormatting sqref="I5:I17">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I17">
    <cfRule type="expression" priority="6" dxfId="7">
      <formula>AND(MOD(ROW(),2)=0,$A5&lt;&gt;"")</formula>
    </cfRule>
  </conditionalFormatting>
  <dataValidations count="3">
    <dataValidation sqref="E5:E17" showDropDown="0" showInputMessage="1" showErrorMessage="1" allowBlank="1" errorTitle="Held by BIBS" error="Choose a value of the list Held by BIBS (sheet Reference lists)." promptTitle="Held by BIBS" prompt="Yes, or No (sheet Gaps)" type="list" errorStyle="stop">
      <formula1>=LIST_HELD_BY_BIBS</formula1>
    </dataValidation>
    <dataValidation sqref="G5:G17" showDropDown="0" showInputMessage="1" showErrorMessage="1" allowBlank="1" errorTitle="Rule confirmed" error="Choose a value of the list Rule confirmed (sheet Reference lists)." promptTitle="Rule confirmed" prompt="Agree, or Change (describe in BDOI comments)" type="list" errorStyle="stop">
      <formula1>=LIST_RULE_CONFIRMED</formula1>
    </dataValidation>
    <dataValidation sqref="I5:I17" showDropDown="0" showInputMessage="1" showErrorMessage="1" allowBlank="1" errorTitle="Status" error="Choose a value of the list Status (sheet Reference lists)." promptTitle="Status" prompt="Status of the item"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48.xml><?xml version="1.0" encoding="utf-8"?>
<worksheet xmlns="http://schemas.openxmlformats.org/spreadsheetml/2006/main">
  <sheetPr>
    <tabColor rgb="00004EA8"/>
    <outlinePr summaryBelow="0" summaryRight="1"/>
    <pageSetUpPr fitToPage="1"/>
  </sheetPr>
  <dimension ref="A1:J3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4" customWidth="1" min="3" max="3"/>
    <col width="14" customWidth="1" min="4" max="4"/>
    <col width="17" customWidth="1" min="5" max="5"/>
    <col width="12" customWidth="1" min="6" max="6"/>
    <col width="23.63636363636363" customWidth="1" min="7" max="7"/>
    <col width="18" customWidth="1" min="8" max="8"/>
    <col width="15" customWidth="1" min="9" max="9"/>
    <col width="24" customWidth="1" min="10" max="10"/>
  </cols>
  <sheetData>
    <row r="1" ht="26" customHeight="1">
      <c r="A1" s="25" t="inlineStr">
        <is>
          <t>PM-04C Other charges billed with the premium</t>
        </is>
      </c>
      <c r="J1" s="26" t="inlineStr">
        <is>
          <t>Step 45 of 52</t>
        </is>
      </c>
    </row>
    <row r="2">
      <c r="A2" s="27" t="inlineStr">
        <is>
          <t>← Back to Start here</t>
        </is>
      </c>
      <c r="B2" s="28" t="inlineStr">
        <is>
          <t>Step 45 of 52. Fill in one row per record below the column headers; the guide above each column says what to enter.</t>
        </is>
      </c>
      <c r="J2" s="29" t="inlineStr">
        <is>
          <t>Ask a question →</t>
        </is>
      </c>
    </row>
    <row r="3" outlineLevel="1" ht="40.5" customHeight="1">
      <c r="A3" s="30" t="inlineStr">
        <is>
          <t>Purpose</t>
        </is>
      </c>
      <c r="B3" s="31" t="inlineStr">
        <is>
          <t>One row per charge billed to clients with the premium besides the taxes of PM-04 (for example the CTPL COCAF / LTO authentication fee, a notarial fee, a policy or documentation fee), per line or product (blank = every product): a fixed amount or a rate of the net premium, its VAT treatment, the GL account it is credited to and its validity. BIBS bills these charges only while the system parameter Other charges enabled is on; it is delivered off until BDOI confirms which charges BIBS bills (question TX-Q04).</t>
        </is>
      </c>
    </row>
    <row r="4" outlineLevel="1" ht="15.5" customHeight="1">
      <c r="A4" s="30" t="inlineStr">
        <is>
          <t>Provided by</t>
        </is>
      </c>
      <c r="B4" s="31" t="inlineStr">
        <is>
          <t>Product Owner, MBS; Head, Comptrollership (charges and accounts)</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Client &amp; Policy › Product Maintenance › Rates &amp; Taxes, approved by a second user</t>
        </is>
      </c>
    </row>
    <row r="7" outlineLevel="1" ht="15.5" customHeight="1">
      <c r="A7" s="30" t="inlineStr">
        <is>
          <t>Source</t>
        </is>
      </c>
      <c r="B7" s="31" t="inlineStr">
        <is>
          <t>Upload template of the configuration screen (the same columns, headers, mandatory flags and allowed values)</t>
        </is>
      </c>
    </row>
    <row r="8" outlineLevel="1" ht="15" customHeight="1">
      <c r="A8" s="30" t="inlineStr">
        <is>
          <t>Depends on</t>
        </is>
      </c>
      <c r="B8" s="53" t="inlineStr">
        <is>
          <t>PM-01 Product catalogue →</t>
        </is>
      </c>
      <c r="D8" s="53" t="inlineStr">
        <is>
          <t>D0-06 Chart of accounts →</t>
        </is>
      </c>
    </row>
    <row r="9" outlineLevel="1" ht="15.5" customHeight="1">
      <c r="A9" s="30" t="inlineStr">
        <is>
          <t>Switch</t>
        </is>
      </c>
      <c r="B9" s="31" t="inlineStr">
        <is>
          <t>The charges are billed only while the system parameter Other charges enabled is on (delivered off until BDOI confirms, question TX-Q04)</t>
        </is>
      </c>
    </row>
    <row r="10" ht="26" customHeight="1">
      <c r="A10" s="34" t="inlineStr">
        <is>
          <t>Progress</t>
        </is>
      </c>
      <c r="B10" s="35" t="inlineStr">
        <is>
          <t>Rows entered</t>
        </is>
      </c>
      <c r="C10" s="36">
        <f>SUMPRODUCT(((ROW($B$18:$B$318)&gt;18)+($B$18&lt;&gt;"NOTARIAL_FEE")&gt;0)*(LEN($B$18:$B$318&amp;$C$18:$C$318&amp;$D$18:$D$318&amp;$E$18:$E$318&amp;$F$18:$F$318&amp;$G$18:$G$318&amp;$H$18:$H$318&amp;$I$18:$I$318&amp;$J$18:$J$318)&gt;0))</f>
        <v/>
      </c>
      <c r="D10" s="35" t="inlineStr">
        <is>
          <t>Mandatory cells missing</t>
        </is>
      </c>
      <c r="E10" s="36">
        <f>SUMPRODUCT(((ROW($B$18:$B$318)&gt;18)+($B$18&lt;&gt;"NOTARIAL_FEE")&gt;0)*(LEN($B$18:$B$318&amp;$C$18:$C$318&amp;$D$18:$D$318&amp;$E$18:$E$318&amp;$F$18:$F$318&amp;$G$18:$G$318&amp;$H$18:$H$318&amp;$I$18:$I$318&amp;$J$18:$J$318)&gt;0)*(($B$18:$B$318="")+($C$18:$C$318="")+($F$18:$F$318="")+($G$18:$G$318="")+($H$18:$H$318="")+($I$18:$I$318="")+($J$18:$J$318="")))</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c r="I12" s="40" t="n"/>
      <c r="J12" s="40" t="n"/>
    </row>
    <row r="13" ht="17" customHeight="1">
      <c r="A13" s="41" t="inlineStr">
        <is>
          <t>Mandatory</t>
        </is>
      </c>
      <c r="B13" s="42" t="inlineStr">
        <is>
          <t>Yes</t>
        </is>
      </c>
      <c r="C13" s="42" t="inlineStr">
        <is>
          <t>Yes</t>
        </is>
      </c>
      <c r="D13" s="43" t="inlineStr">
        <is>
          <t>No</t>
        </is>
      </c>
      <c r="E13" s="43" t="inlineStr">
        <is>
          <t>No</t>
        </is>
      </c>
      <c r="F13" s="42" t="inlineStr">
        <is>
          <t>Yes</t>
        </is>
      </c>
      <c r="G13" s="42" t="inlineStr">
        <is>
          <t>Yes</t>
        </is>
      </c>
      <c r="H13" s="42" t="inlineStr">
        <is>
          <t>Yes</t>
        </is>
      </c>
      <c r="I13" s="42" t="inlineStr">
        <is>
          <t>Yes</t>
        </is>
      </c>
      <c r="J13" s="42" t="inlineStr">
        <is>
          <t>Yes</t>
        </is>
      </c>
    </row>
    <row r="14" ht="30" customHeight="1">
      <c r="A14" s="41" t="inlineStr">
        <is>
          <t>Format</t>
        </is>
      </c>
      <c r="B14" s="43" t="inlineStr">
        <is>
          <t>Up to 30 capitals</t>
        </is>
      </c>
      <c r="C14" s="43" t="inlineStr">
        <is>
          <t>Text</t>
        </is>
      </c>
      <c r="D14" s="43" t="inlineStr">
        <is>
          <t>Text</t>
        </is>
      </c>
      <c r="E14" s="43" t="inlineStr">
        <is>
          <t>Text</t>
        </is>
      </c>
      <c r="F14" s="43" t="inlineStr">
        <is>
          <t>Code from the drop-down</t>
        </is>
      </c>
      <c r="G14" s="43" t="inlineStr">
        <is>
          <t>Number without thousands separators, e.g. 1500000.50</t>
        </is>
      </c>
      <c r="H14" s="43" t="inlineStr">
        <is>
          <t>Code from the drop-down</t>
        </is>
      </c>
      <c r="I14" s="43" t="inlineStr">
        <is>
          <t>Text</t>
        </is>
      </c>
      <c r="J14" s="43" t="inlineStr">
        <is>
          <t>dd-MMM-yyyy; dd-MMM-yyyy</t>
        </is>
      </c>
    </row>
    <row r="15" ht="56" customHeight="1">
      <c r="A15" s="41" t="inlineStr">
        <is>
          <t>Allowed values</t>
        </is>
      </c>
      <c r="B15" s="43" t="inlineStr">
        <is>
          <t>Free entry</t>
        </is>
      </c>
      <c r="C15" s="43" t="inlineStr">
        <is>
          <t>Free entry</t>
        </is>
      </c>
      <c r="D15" s="51" t="inlineStr">
        <is>
          <t>Code of an existing line</t>
        </is>
      </c>
      <c r="E15" s="51" t="inlineStr">
        <is>
          <t>Code of an existing product</t>
        </is>
      </c>
      <c r="F15" s="51" t="inlineStr">
        <is>
          <t>AMOUNT, RATE (list Basis (PM-04C))</t>
        </is>
      </c>
      <c r="G15" s="43" t="inlineStr">
        <is>
          <t>A number</t>
        </is>
      </c>
      <c r="H15" s="51" t="inlineStr">
        <is>
          <t>VATABLE, EXEMPT, ZERO_RATED (list VAT treatment (PM-04C))</t>
        </is>
      </c>
      <c r="I15" s="51" t="inlineStr">
        <is>
          <t>Code of an existing account of the chart of accounts</t>
        </is>
      </c>
      <c r="J15" s="43" t="inlineStr">
        <is>
          <t>Free entry</t>
        </is>
      </c>
    </row>
    <row r="16" ht="43" customHeight="1">
      <c r="A16" s="41" t="inlineStr">
        <is>
          <t>What to enter</t>
        </is>
      </c>
      <c r="B16" s="43" t="inlineStr">
        <is>
          <t>Code of the charge</t>
        </is>
      </c>
      <c r="C16" s="43" t="inlineStr">
        <is>
          <t>Name on the invoice</t>
        </is>
      </c>
      <c r="D16" s="43" t="inlineStr">
        <is>
          <t>Line of the charge; blank = every line</t>
        </is>
      </c>
      <c r="E16" s="43" t="inlineStr">
        <is>
          <t>Product of the charge; blank = every product</t>
        </is>
      </c>
      <c r="F16" s="43" t="inlineStr">
        <is>
          <t>Fixed amount or rate of the net premium</t>
        </is>
      </c>
      <c r="G16" s="43" t="inlineStr">
        <is>
          <t>Amount, or rate from 0 to 100</t>
        </is>
      </c>
      <c r="H16" s="43" t="inlineStr">
        <is>
          <t>VAT treatment of the charge</t>
        </is>
      </c>
      <c r="I16" s="43" t="inlineStr">
        <is>
          <t>Postable account the charge is credited to</t>
        </is>
      </c>
      <c r="J16" s="43" t="inlineStr">
        <is>
          <t>First day; last day after a semicolon, blank = open</t>
        </is>
      </c>
    </row>
    <row r="17" ht="30" customHeight="1">
      <c r="A17" s="44" t="inlineStr">
        <is>
          <t>Row</t>
        </is>
      </c>
      <c r="B17" s="45" t="inlineStr">
        <is>
          <t>Charge code *</t>
        </is>
      </c>
      <c r="C17" s="45" t="inlineStr">
        <is>
          <t>Name *</t>
        </is>
      </c>
      <c r="D17" s="45" t="inlineStr">
        <is>
          <t>Line code</t>
        </is>
      </c>
      <c r="E17" s="45" t="inlineStr">
        <is>
          <t>Product code</t>
        </is>
      </c>
      <c r="F17" s="45" t="inlineStr">
        <is>
          <t>Basis *</t>
        </is>
      </c>
      <c r="G17" s="45" t="inlineStr">
        <is>
          <t>Amount or rate % *</t>
        </is>
      </c>
      <c r="H17" s="45" t="inlineStr">
        <is>
          <t>VAT treatment *</t>
        </is>
      </c>
      <c r="I17" s="45" t="inlineStr">
        <is>
          <t>GL account *</t>
        </is>
      </c>
      <c r="J17" s="45" t="inlineStr">
        <is>
          <t>Effective from / to *</t>
        </is>
      </c>
    </row>
    <row r="18" ht="18" customHeight="1">
      <c r="A18" s="46" t="inlineStr">
        <is>
          <t>Example – overwrite or delete</t>
        </is>
      </c>
      <c r="B18" s="47" t="inlineStr">
        <is>
          <t>NOTARIAL_FEE</t>
        </is>
      </c>
      <c r="C18" s="47" t="inlineStr">
        <is>
          <t>Notarial fee</t>
        </is>
      </c>
      <c r="D18" s="47" t="inlineStr">
        <is>
          <t>MOTOR</t>
        </is>
      </c>
      <c r="E18" s="47" t="n"/>
      <c r="F18" s="47" t="inlineStr">
        <is>
          <t>AMOUNT</t>
        </is>
      </c>
      <c r="G18" s="52" t="n">
        <v>150</v>
      </c>
      <c r="H18" s="47" t="inlineStr">
        <is>
          <t>VATABLE</t>
        </is>
      </c>
      <c r="I18" s="47" t="inlineStr">
        <is>
          <t>4190</t>
        </is>
      </c>
      <c r="J18" s="47" t="inlineStr">
        <is>
          <t>01-Jan-2028</t>
        </is>
      </c>
    </row>
    <row r="19">
      <c r="B19" s="49" t="n"/>
      <c r="C19" s="49" t="n"/>
      <c r="D19" s="49" t="n"/>
      <c r="E19" s="49" t="n"/>
      <c r="F19" s="49" t="n"/>
      <c r="H19" s="49" t="n"/>
      <c r="I19" s="49" t="n"/>
      <c r="J19" s="49" t="n"/>
    </row>
    <row r="20">
      <c r="B20" s="49" t="n"/>
      <c r="C20" s="49" t="n"/>
      <c r="D20" s="49" t="n"/>
      <c r="E20" s="49" t="n"/>
      <c r="F20" s="49" t="n"/>
      <c r="H20" s="49" t="n"/>
      <c r="I20" s="49" t="n"/>
      <c r="J20" s="49" t="n"/>
    </row>
    <row r="21">
      <c r="B21" s="49" t="n"/>
      <c r="C21" s="49" t="n"/>
      <c r="D21" s="49" t="n"/>
      <c r="E21" s="49" t="n"/>
      <c r="F21" s="49" t="n"/>
      <c r="H21" s="49" t="n"/>
      <c r="I21" s="49" t="n"/>
      <c r="J21" s="49" t="n"/>
    </row>
    <row r="22">
      <c r="B22" s="49" t="n"/>
      <c r="C22" s="49" t="n"/>
      <c r="D22" s="49" t="n"/>
      <c r="E22" s="49" t="n"/>
      <c r="F22" s="49" t="n"/>
      <c r="H22" s="49" t="n"/>
      <c r="I22" s="49" t="n"/>
      <c r="J22" s="49" t="n"/>
    </row>
    <row r="23">
      <c r="B23" s="49" t="n"/>
      <c r="C23" s="49" t="n"/>
      <c r="D23" s="49" t="n"/>
      <c r="E23" s="49" t="n"/>
      <c r="F23" s="49" t="n"/>
      <c r="H23" s="49" t="n"/>
      <c r="I23" s="49" t="n"/>
      <c r="J23" s="49" t="n"/>
    </row>
    <row r="24">
      <c r="B24" s="49" t="n"/>
      <c r="C24" s="49" t="n"/>
      <c r="D24" s="49" t="n"/>
      <c r="E24" s="49" t="n"/>
      <c r="F24" s="49" t="n"/>
      <c r="H24" s="49" t="n"/>
      <c r="I24" s="49" t="n"/>
      <c r="J24" s="49" t="n"/>
    </row>
    <row r="25">
      <c r="B25" s="49" t="n"/>
      <c r="C25" s="49" t="n"/>
      <c r="D25" s="49" t="n"/>
      <c r="E25" s="49" t="n"/>
      <c r="F25" s="49" t="n"/>
      <c r="H25" s="49" t="n"/>
      <c r="I25" s="49" t="n"/>
      <c r="J25" s="49" t="n"/>
    </row>
    <row r="26">
      <c r="B26" s="49" t="n"/>
      <c r="C26" s="49" t="n"/>
      <c r="D26" s="49" t="n"/>
      <c r="E26" s="49" t="n"/>
      <c r="F26" s="49" t="n"/>
      <c r="H26" s="49" t="n"/>
      <c r="I26" s="49" t="n"/>
      <c r="J26" s="49" t="n"/>
    </row>
    <row r="27">
      <c r="B27" s="49" t="n"/>
      <c r="C27" s="49" t="n"/>
      <c r="D27" s="49" t="n"/>
      <c r="E27" s="49" t="n"/>
      <c r="F27" s="49" t="n"/>
      <c r="H27" s="49" t="n"/>
      <c r="I27" s="49" t="n"/>
      <c r="J27" s="49" t="n"/>
    </row>
    <row r="28">
      <c r="B28" s="49" t="n"/>
      <c r="C28" s="49" t="n"/>
      <c r="D28" s="49" t="n"/>
      <c r="E28" s="49" t="n"/>
      <c r="F28" s="49" t="n"/>
      <c r="H28" s="49" t="n"/>
      <c r="I28" s="49" t="n"/>
      <c r="J28" s="49" t="n"/>
    </row>
    <row r="29">
      <c r="B29" s="49" t="n"/>
      <c r="C29" s="49" t="n"/>
      <c r="D29" s="49" t="n"/>
      <c r="E29" s="49" t="n"/>
      <c r="F29" s="49" t="n"/>
      <c r="H29" s="49" t="n"/>
      <c r="I29" s="49" t="n"/>
      <c r="J29" s="49" t="n"/>
    </row>
    <row r="30">
      <c r="B30" s="49" t="n"/>
      <c r="C30" s="49" t="n"/>
      <c r="D30" s="49" t="n"/>
      <c r="E30" s="49" t="n"/>
      <c r="F30" s="49" t="n"/>
      <c r="H30" s="49" t="n"/>
      <c r="I30" s="49" t="n"/>
      <c r="J30" s="49" t="n"/>
    </row>
    <row r="31">
      <c r="B31" s="49" t="n"/>
      <c r="C31" s="49" t="n"/>
      <c r="D31" s="49" t="n"/>
      <c r="E31" s="49" t="n"/>
      <c r="F31" s="49" t="n"/>
      <c r="H31" s="49" t="n"/>
      <c r="I31" s="49" t="n"/>
      <c r="J31" s="49" t="n"/>
    </row>
    <row r="32">
      <c r="B32" s="49" t="n"/>
      <c r="C32" s="49" t="n"/>
      <c r="D32" s="49" t="n"/>
      <c r="E32" s="49" t="n"/>
      <c r="F32" s="49" t="n"/>
      <c r="H32" s="49" t="n"/>
      <c r="I32" s="49" t="n"/>
      <c r="J32" s="49" t="n"/>
    </row>
    <row r="33">
      <c r="B33" s="49" t="n"/>
      <c r="C33" s="49" t="n"/>
      <c r="D33" s="49" t="n"/>
      <c r="E33" s="49" t="n"/>
      <c r="F33" s="49" t="n"/>
      <c r="H33" s="49" t="n"/>
      <c r="I33" s="49" t="n"/>
      <c r="J33" s="49" t="n"/>
    </row>
    <row r="34">
      <c r="B34" s="49" t="n"/>
      <c r="C34" s="49" t="n"/>
      <c r="D34" s="49" t="n"/>
      <c r="E34" s="49" t="n"/>
      <c r="F34" s="49" t="n"/>
      <c r="H34" s="49" t="n"/>
      <c r="I34" s="49" t="n"/>
      <c r="J34" s="49" t="n"/>
    </row>
    <row r="35">
      <c r="B35" s="49" t="n"/>
      <c r="C35" s="49" t="n"/>
      <c r="D35" s="49" t="n"/>
      <c r="E35" s="49" t="n"/>
      <c r="F35" s="49" t="n"/>
      <c r="H35" s="49" t="n"/>
      <c r="I35" s="49" t="n"/>
      <c r="J35" s="49" t="n"/>
    </row>
    <row r="36">
      <c r="B36" s="49" t="n"/>
      <c r="C36" s="49" t="n"/>
      <c r="D36" s="49" t="n"/>
      <c r="E36" s="49" t="n"/>
      <c r="F36" s="49" t="n"/>
      <c r="H36" s="49" t="n"/>
      <c r="I36" s="49" t="n"/>
      <c r="J36" s="49" t="n"/>
    </row>
    <row r="37">
      <c r="B37" s="49" t="n"/>
      <c r="C37" s="49" t="n"/>
      <c r="D37" s="49" t="n"/>
      <c r="E37" s="49" t="n"/>
      <c r="F37" s="49" t="n"/>
      <c r="H37" s="49" t="n"/>
      <c r="I37" s="49" t="n"/>
      <c r="J37" s="49" t="n"/>
    </row>
    <row r="38">
      <c r="B38" s="49" t="n"/>
      <c r="C38" s="49" t="n"/>
      <c r="D38" s="49" t="n"/>
      <c r="E38" s="49" t="n"/>
      <c r="F38" s="49" t="n"/>
      <c r="H38" s="49" t="n"/>
      <c r="I38" s="49" t="n"/>
      <c r="J38" s="49" t="n"/>
    </row>
    <row r="39">
      <c r="B39" s="49" t="n"/>
      <c r="C39" s="49" t="n"/>
      <c r="D39" s="49" t="n"/>
      <c r="E39" s="49" t="n"/>
      <c r="F39" s="49" t="n"/>
      <c r="H39" s="49" t="n"/>
      <c r="I39" s="49" t="n"/>
      <c r="J39" s="49" t="n"/>
    </row>
    <row r="40">
      <c r="B40" s="49" t="n"/>
      <c r="C40" s="49" t="n"/>
      <c r="D40" s="49" t="n"/>
      <c r="E40" s="49" t="n"/>
      <c r="F40" s="49" t="n"/>
      <c r="H40" s="49" t="n"/>
      <c r="I40" s="49" t="n"/>
      <c r="J40" s="49" t="n"/>
    </row>
    <row r="41">
      <c r="B41" s="49" t="n"/>
      <c r="C41" s="49" t="n"/>
      <c r="D41" s="49" t="n"/>
      <c r="E41" s="49" t="n"/>
      <c r="F41" s="49" t="n"/>
      <c r="H41" s="49" t="n"/>
      <c r="I41" s="49" t="n"/>
      <c r="J41" s="49" t="n"/>
    </row>
    <row r="42">
      <c r="B42" s="49" t="n"/>
      <c r="C42" s="49" t="n"/>
      <c r="D42" s="49" t="n"/>
      <c r="E42" s="49" t="n"/>
      <c r="F42" s="49" t="n"/>
      <c r="H42" s="49" t="n"/>
      <c r="I42" s="49" t="n"/>
      <c r="J42" s="49" t="n"/>
    </row>
    <row r="43">
      <c r="B43" s="49" t="n"/>
      <c r="C43" s="49" t="n"/>
      <c r="D43" s="49" t="n"/>
      <c r="E43" s="49" t="n"/>
      <c r="F43" s="49" t="n"/>
      <c r="H43" s="49" t="n"/>
      <c r="I43" s="49" t="n"/>
      <c r="J43" s="49" t="n"/>
    </row>
    <row r="44">
      <c r="B44" s="49" t="n"/>
      <c r="C44" s="49" t="n"/>
      <c r="D44" s="49" t="n"/>
      <c r="E44" s="49" t="n"/>
      <c r="F44" s="49" t="n"/>
      <c r="H44" s="49" t="n"/>
      <c r="I44" s="49" t="n"/>
      <c r="J44" s="49" t="n"/>
    </row>
    <row r="45">
      <c r="B45" s="49" t="n"/>
      <c r="C45" s="49" t="n"/>
      <c r="D45" s="49" t="n"/>
      <c r="E45" s="49" t="n"/>
      <c r="F45" s="49" t="n"/>
      <c r="H45" s="49" t="n"/>
      <c r="I45" s="49" t="n"/>
      <c r="J45" s="49" t="n"/>
    </row>
    <row r="46">
      <c r="B46" s="49" t="n"/>
      <c r="C46" s="49" t="n"/>
      <c r="D46" s="49" t="n"/>
      <c r="E46" s="49" t="n"/>
      <c r="F46" s="49" t="n"/>
      <c r="H46" s="49" t="n"/>
      <c r="I46" s="49" t="n"/>
      <c r="J46" s="49" t="n"/>
    </row>
    <row r="47">
      <c r="B47" s="49" t="n"/>
      <c r="C47" s="49" t="n"/>
      <c r="D47" s="49" t="n"/>
      <c r="E47" s="49" t="n"/>
      <c r="F47" s="49" t="n"/>
      <c r="H47" s="49" t="n"/>
      <c r="I47" s="49" t="n"/>
      <c r="J47" s="49" t="n"/>
    </row>
    <row r="48">
      <c r="B48" s="49" t="n"/>
      <c r="C48" s="49" t="n"/>
      <c r="D48" s="49" t="n"/>
      <c r="E48" s="49" t="n"/>
      <c r="F48" s="49" t="n"/>
      <c r="H48" s="49" t="n"/>
      <c r="I48" s="49" t="n"/>
      <c r="J48" s="49" t="n"/>
    </row>
    <row r="49">
      <c r="B49" s="49" t="n"/>
      <c r="C49" s="49" t="n"/>
      <c r="D49" s="49" t="n"/>
      <c r="E49" s="49" t="n"/>
      <c r="F49" s="49" t="n"/>
      <c r="H49" s="49" t="n"/>
      <c r="I49" s="49" t="n"/>
      <c r="J49" s="49" t="n"/>
    </row>
    <row r="50">
      <c r="B50" s="49" t="n"/>
      <c r="C50" s="49" t="n"/>
      <c r="D50" s="49" t="n"/>
      <c r="E50" s="49" t="n"/>
      <c r="F50" s="49" t="n"/>
      <c r="H50" s="49" t="n"/>
      <c r="I50" s="49" t="n"/>
      <c r="J50" s="49" t="n"/>
    </row>
    <row r="51">
      <c r="B51" s="49" t="n"/>
      <c r="C51" s="49" t="n"/>
      <c r="D51" s="49" t="n"/>
      <c r="E51" s="49" t="n"/>
      <c r="F51" s="49" t="n"/>
      <c r="H51" s="49" t="n"/>
      <c r="I51" s="49" t="n"/>
      <c r="J51" s="49" t="n"/>
    </row>
    <row r="52">
      <c r="B52" s="49" t="n"/>
      <c r="C52" s="49" t="n"/>
      <c r="D52" s="49" t="n"/>
      <c r="E52" s="49" t="n"/>
      <c r="F52" s="49" t="n"/>
      <c r="H52" s="49" t="n"/>
      <c r="I52" s="49" t="n"/>
      <c r="J52" s="49" t="n"/>
    </row>
    <row r="53">
      <c r="B53" s="49" t="n"/>
      <c r="C53" s="49" t="n"/>
      <c r="D53" s="49" t="n"/>
      <c r="E53" s="49" t="n"/>
      <c r="F53" s="49" t="n"/>
      <c r="H53" s="49" t="n"/>
      <c r="I53" s="49" t="n"/>
      <c r="J53" s="49" t="n"/>
    </row>
    <row r="54">
      <c r="B54" s="49" t="n"/>
      <c r="C54" s="49" t="n"/>
      <c r="D54" s="49" t="n"/>
      <c r="E54" s="49" t="n"/>
      <c r="F54" s="49" t="n"/>
      <c r="H54" s="49" t="n"/>
      <c r="I54" s="49" t="n"/>
      <c r="J54" s="49" t="n"/>
    </row>
    <row r="55">
      <c r="B55" s="49" t="n"/>
      <c r="C55" s="49" t="n"/>
      <c r="D55" s="49" t="n"/>
      <c r="E55" s="49" t="n"/>
      <c r="F55" s="49" t="n"/>
      <c r="H55" s="49" t="n"/>
      <c r="I55" s="49" t="n"/>
      <c r="J55" s="49" t="n"/>
    </row>
    <row r="56">
      <c r="B56" s="49" t="n"/>
      <c r="C56" s="49" t="n"/>
      <c r="D56" s="49" t="n"/>
      <c r="E56" s="49" t="n"/>
      <c r="F56" s="49" t="n"/>
      <c r="H56" s="49" t="n"/>
      <c r="I56" s="49" t="n"/>
      <c r="J56" s="49" t="n"/>
    </row>
    <row r="57">
      <c r="B57" s="49" t="n"/>
      <c r="C57" s="49" t="n"/>
      <c r="D57" s="49" t="n"/>
      <c r="E57" s="49" t="n"/>
      <c r="F57" s="49" t="n"/>
      <c r="H57" s="49" t="n"/>
      <c r="I57" s="49" t="n"/>
      <c r="J57" s="49" t="n"/>
    </row>
    <row r="58">
      <c r="B58" s="49" t="n"/>
      <c r="C58" s="49" t="n"/>
      <c r="D58" s="49" t="n"/>
      <c r="E58" s="49" t="n"/>
      <c r="F58" s="49" t="n"/>
      <c r="H58" s="49" t="n"/>
      <c r="I58" s="49" t="n"/>
      <c r="J58" s="49" t="n"/>
    </row>
    <row r="59">
      <c r="B59" s="49" t="n"/>
      <c r="C59" s="49" t="n"/>
      <c r="D59" s="49" t="n"/>
      <c r="E59" s="49" t="n"/>
      <c r="F59" s="49" t="n"/>
      <c r="H59" s="49" t="n"/>
      <c r="I59" s="49" t="n"/>
      <c r="J59" s="49" t="n"/>
    </row>
    <row r="60">
      <c r="B60" s="49" t="n"/>
      <c r="C60" s="49" t="n"/>
      <c r="D60" s="49" t="n"/>
      <c r="E60" s="49" t="n"/>
      <c r="F60" s="49" t="n"/>
      <c r="H60" s="49" t="n"/>
      <c r="I60" s="49" t="n"/>
      <c r="J60" s="49" t="n"/>
    </row>
    <row r="61">
      <c r="B61" s="49" t="n"/>
      <c r="C61" s="49" t="n"/>
      <c r="D61" s="49" t="n"/>
      <c r="E61" s="49" t="n"/>
      <c r="F61" s="49" t="n"/>
      <c r="H61" s="49" t="n"/>
      <c r="I61" s="49" t="n"/>
      <c r="J61" s="49" t="n"/>
    </row>
    <row r="62">
      <c r="B62" s="49" t="n"/>
      <c r="C62" s="49" t="n"/>
      <c r="D62" s="49" t="n"/>
      <c r="E62" s="49" t="n"/>
      <c r="F62" s="49" t="n"/>
      <c r="H62" s="49" t="n"/>
      <c r="I62" s="49" t="n"/>
      <c r="J62" s="49" t="n"/>
    </row>
    <row r="63">
      <c r="B63" s="49" t="n"/>
      <c r="C63" s="49" t="n"/>
      <c r="D63" s="49" t="n"/>
      <c r="E63" s="49" t="n"/>
      <c r="F63" s="49" t="n"/>
      <c r="H63" s="49" t="n"/>
      <c r="I63" s="49" t="n"/>
      <c r="J63" s="49" t="n"/>
    </row>
    <row r="64">
      <c r="B64" s="49" t="n"/>
      <c r="C64" s="49" t="n"/>
      <c r="D64" s="49" t="n"/>
      <c r="E64" s="49" t="n"/>
      <c r="F64" s="49" t="n"/>
      <c r="H64" s="49" t="n"/>
      <c r="I64" s="49" t="n"/>
      <c r="J64" s="49" t="n"/>
    </row>
    <row r="65">
      <c r="B65" s="49" t="n"/>
      <c r="C65" s="49" t="n"/>
      <c r="D65" s="49" t="n"/>
      <c r="E65" s="49" t="n"/>
      <c r="F65" s="49" t="n"/>
      <c r="H65" s="49" t="n"/>
      <c r="I65" s="49" t="n"/>
      <c r="J65" s="49" t="n"/>
    </row>
    <row r="66">
      <c r="B66" s="49" t="n"/>
      <c r="C66" s="49" t="n"/>
      <c r="D66" s="49" t="n"/>
      <c r="E66" s="49" t="n"/>
      <c r="F66" s="49" t="n"/>
      <c r="H66" s="49" t="n"/>
      <c r="I66" s="49" t="n"/>
      <c r="J66" s="49" t="n"/>
    </row>
    <row r="67">
      <c r="B67" s="49" t="n"/>
      <c r="C67" s="49" t="n"/>
      <c r="D67" s="49" t="n"/>
      <c r="E67" s="49" t="n"/>
      <c r="F67" s="49" t="n"/>
      <c r="H67" s="49" t="n"/>
      <c r="I67" s="49" t="n"/>
      <c r="J67" s="49" t="n"/>
    </row>
    <row r="68">
      <c r="B68" s="49" t="n"/>
      <c r="C68" s="49" t="n"/>
      <c r="D68" s="49" t="n"/>
      <c r="E68" s="49" t="n"/>
      <c r="F68" s="49" t="n"/>
      <c r="H68" s="49" t="n"/>
      <c r="I68" s="49" t="n"/>
      <c r="J68" s="49" t="n"/>
    </row>
    <row r="69">
      <c r="B69" s="49" t="n"/>
      <c r="C69" s="49" t="n"/>
      <c r="D69" s="49" t="n"/>
      <c r="E69" s="49" t="n"/>
      <c r="F69" s="49" t="n"/>
      <c r="H69" s="49" t="n"/>
      <c r="I69" s="49" t="n"/>
      <c r="J69" s="49" t="n"/>
    </row>
    <row r="70">
      <c r="B70" s="49" t="n"/>
      <c r="C70" s="49" t="n"/>
      <c r="D70" s="49" t="n"/>
      <c r="E70" s="49" t="n"/>
      <c r="F70" s="49" t="n"/>
      <c r="H70" s="49" t="n"/>
      <c r="I70" s="49" t="n"/>
      <c r="J70" s="49" t="n"/>
    </row>
    <row r="71">
      <c r="B71" s="49" t="n"/>
      <c r="C71" s="49" t="n"/>
      <c r="D71" s="49" t="n"/>
      <c r="E71" s="49" t="n"/>
      <c r="F71" s="49" t="n"/>
      <c r="H71" s="49" t="n"/>
      <c r="I71" s="49" t="n"/>
      <c r="J71" s="49" t="n"/>
    </row>
    <row r="72">
      <c r="B72" s="49" t="n"/>
      <c r="C72" s="49" t="n"/>
      <c r="D72" s="49" t="n"/>
      <c r="E72" s="49" t="n"/>
      <c r="F72" s="49" t="n"/>
      <c r="H72" s="49" t="n"/>
      <c r="I72" s="49" t="n"/>
      <c r="J72" s="49" t="n"/>
    </row>
    <row r="73">
      <c r="B73" s="49" t="n"/>
      <c r="C73" s="49" t="n"/>
      <c r="D73" s="49" t="n"/>
      <c r="E73" s="49" t="n"/>
      <c r="F73" s="49" t="n"/>
      <c r="H73" s="49" t="n"/>
      <c r="I73" s="49" t="n"/>
      <c r="J73" s="49" t="n"/>
    </row>
    <row r="74">
      <c r="B74" s="49" t="n"/>
      <c r="C74" s="49" t="n"/>
      <c r="D74" s="49" t="n"/>
      <c r="E74" s="49" t="n"/>
      <c r="F74" s="49" t="n"/>
      <c r="H74" s="49" t="n"/>
      <c r="I74" s="49" t="n"/>
      <c r="J74" s="49" t="n"/>
    </row>
    <row r="75">
      <c r="B75" s="49" t="n"/>
      <c r="C75" s="49" t="n"/>
      <c r="D75" s="49" t="n"/>
      <c r="E75" s="49" t="n"/>
      <c r="F75" s="49" t="n"/>
      <c r="H75" s="49" t="n"/>
      <c r="I75" s="49" t="n"/>
      <c r="J75" s="49" t="n"/>
    </row>
    <row r="76">
      <c r="B76" s="49" t="n"/>
      <c r="C76" s="49" t="n"/>
      <c r="D76" s="49" t="n"/>
      <c r="E76" s="49" t="n"/>
      <c r="F76" s="49" t="n"/>
      <c r="H76" s="49" t="n"/>
      <c r="I76" s="49" t="n"/>
      <c r="J76" s="49" t="n"/>
    </row>
    <row r="77">
      <c r="B77" s="49" t="n"/>
      <c r="C77" s="49" t="n"/>
      <c r="D77" s="49" t="n"/>
      <c r="E77" s="49" t="n"/>
      <c r="F77" s="49" t="n"/>
      <c r="H77" s="49" t="n"/>
      <c r="I77" s="49" t="n"/>
      <c r="J77" s="49" t="n"/>
    </row>
    <row r="78">
      <c r="B78" s="49" t="n"/>
      <c r="C78" s="49" t="n"/>
      <c r="D78" s="49" t="n"/>
      <c r="E78" s="49" t="n"/>
      <c r="F78" s="49" t="n"/>
      <c r="H78" s="49" t="n"/>
      <c r="I78" s="49" t="n"/>
      <c r="J78" s="49" t="n"/>
    </row>
    <row r="79">
      <c r="B79" s="49" t="n"/>
      <c r="C79" s="49" t="n"/>
      <c r="D79" s="49" t="n"/>
      <c r="E79" s="49" t="n"/>
      <c r="F79" s="49" t="n"/>
      <c r="H79" s="49" t="n"/>
      <c r="I79" s="49" t="n"/>
      <c r="J79" s="49" t="n"/>
    </row>
    <row r="80">
      <c r="B80" s="49" t="n"/>
      <c r="C80" s="49" t="n"/>
      <c r="D80" s="49" t="n"/>
      <c r="E80" s="49" t="n"/>
      <c r="F80" s="49" t="n"/>
      <c r="H80" s="49" t="n"/>
      <c r="I80" s="49" t="n"/>
      <c r="J80" s="49" t="n"/>
    </row>
    <row r="81">
      <c r="B81" s="49" t="n"/>
      <c r="C81" s="49" t="n"/>
      <c r="D81" s="49" t="n"/>
      <c r="E81" s="49" t="n"/>
      <c r="F81" s="49" t="n"/>
      <c r="H81" s="49" t="n"/>
      <c r="I81" s="49" t="n"/>
      <c r="J81" s="49" t="n"/>
    </row>
    <row r="82">
      <c r="B82" s="49" t="n"/>
      <c r="C82" s="49" t="n"/>
      <c r="D82" s="49" t="n"/>
      <c r="E82" s="49" t="n"/>
      <c r="F82" s="49" t="n"/>
      <c r="H82" s="49" t="n"/>
      <c r="I82" s="49" t="n"/>
      <c r="J82" s="49" t="n"/>
    </row>
    <row r="83">
      <c r="B83" s="49" t="n"/>
      <c r="C83" s="49" t="n"/>
      <c r="D83" s="49" t="n"/>
      <c r="E83" s="49" t="n"/>
      <c r="F83" s="49" t="n"/>
      <c r="H83" s="49" t="n"/>
      <c r="I83" s="49" t="n"/>
      <c r="J83" s="49" t="n"/>
    </row>
    <row r="84">
      <c r="B84" s="49" t="n"/>
      <c r="C84" s="49" t="n"/>
      <c r="D84" s="49" t="n"/>
      <c r="E84" s="49" t="n"/>
      <c r="F84" s="49" t="n"/>
      <c r="H84" s="49" t="n"/>
      <c r="I84" s="49" t="n"/>
      <c r="J84" s="49" t="n"/>
    </row>
    <row r="85">
      <c r="B85" s="49" t="n"/>
      <c r="C85" s="49" t="n"/>
      <c r="D85" s="49" t="n"/>
      <c r="E85" s="49" t="n"/>
      <c r="F85" s="49" t="n"/>
      <c r="H85" s="49" t="n"/>
      <c r="I85" s="49" t="n"/>
      <c r="J85" s="49" t="n"/>
    </row>
    <row r="86">
      <c r="B86" s="49" t="n"/>
      <c r="C86" s="49" t="n"/>
      <c r="D86" s="49" t="n"/>
      <c r="E86" s="49" t="n"/>
      <c r="F86" s="49" t="n"/>
      <c r="H86" s="49" t="n"/>
      <c r="I86" s="49" t="n"/>
      <c r="J86" s="49" t="n"/>
    </row>
    <row r="87">
      <c r="B87" s="49" t="n"/>
      <c r="C87" s="49" t="n"/>
      <c r="D87" s="49" t="n"/>
      <c r="E87" s="49" t="n"/>
      <c r="F87" s="49" t="n"/>
      <c r="H87" s="49" t="n"/>
      <c r="I87" s="49" t="n"/>
      <c r="J87" s="49" t="n"/>
    </row>
    <row r="88">
      <c r="B88" s="49" t="n"/>
      <c r="C88" s="49" t="n"/>
      <c r="D88" s="49" t="n"/>
      <c r="E88" s="49" t="n"/>
      <c r="F88" s="49" t="n"/>
      <c r="H88" s="49" t="n"/>
      <c r="I88" s="49" t="n"/>
      <c r="J88" s="49" t="n"/>
    </row>
    <row r="89">
      <c r="B89" s="49" t="n"/>
      <c r="C89" s="49" t="n"/>
      <c r="D89" s="49" t="n"/>
      <c r="E89" s="49" t="n"/>
      <c r="F89" s="49" t="n"/>
      <c r="H89" s="49" t="n"/>
      <c r="I89" s="49" t="n"/>
      <c r="J89" s="49" t="n"/>
    </row>
    <row r="90">
      <c r="B90" s="49" t="n"/>
      <c r="C90" s="49" t="n"/>
      <c r="D90" s="49" t="n"/>
      <c r="E90" s="49" t="n"/>
      <c r="F90" s="49" t="n"/>
      <c r="H90" s="49" t="n"/>
      <c r="I90" s="49" t="n"/>
      <c r="J90" s="49" t="n"/>
    </row>
    <row r="91">
      <c r="B91" s="49" t="n"/>
      <c r="C91" s="49" t="n"/>
      <c r="D91" s="49" t="n"/>
      <c r="E91" s="49" t="n"/>
      <c r="F91" s="49" t="n"/>
      <c r="H91" s="49" t="n"/>
      <c r="I91" s="49" t="n"/>
      <c r="J91" s="49" t="n"/>
    </row>
    <row r="92">
      <c r="B92" s="49" t="n"/>
      <c r="C92" s="49" t="n"/>
      <c r="D92" s="49" t="n"/>
      <c r="E92" s="49" t="n"/>
      <c r="F92" s="49" t="n"/>
      <c r="H92" s="49" t="n"/>
      <c r="I92" s="49" t="n"/>
      <c r="J92" s="49" t="n"/>
    </row>
    <row r="93">
      <c r="B93" s="49" t="n"/>
      <c r="C93" s="49" t="n"/>
      <c r="D93" s="49" t="n"/>
      <c r="E93" s="49" t="n"/>
      <c r="F93" s="49" t="n"/>
      <c r="H93" s="49" t="n"/>
      <c r="I93" s="49" t="n"/>
      <c r="J93" s="49" t="n"/>
    </row>
    <row r="94">
      <c r="B94" s="49" t="n"/>
      <c r="C94" s="49" t="n"/>
      <c r="D94" s="49" t="n"/>
      <c r="E94" s="49" t="n"/>
      <c r="F94" s="49" t="n"/>
      <c r="H94" s="49" t="n"/>
      <c r="I94" s="49" t="n"/>
      <c r="J94" s="49" t="n"/>
    </row>
    <row r="95">
      <c r="B95" s="49" t="n"/>
      <c r="C95" s="49" t="n"/>
      <c r="D95" s="49" t="n"/>
      <c r="E95" s="49" t="n"/>
      <c r="F95" s="49" t="n"/>
      <c r="H95" s="49" t="n"/>
      <c r="I95" s="49" t="n"/>
      <c r="J95" s="49" t="n"/>
    </row>
    <row r="96">
      <c r="B96" s="49" t="n"/>
      <c r="C96" s="49" t="n"/>
      <c r="D96" s="49" t="n"/>
      <c r="E96" s="49" t="n"/>
      <c r="F96" s="49" t="n"/>
      <c r="H96" s="49" t="n"/>
      <c r="I96" s="49" t="n"/>
      <c r="J96" s="49" t="n"/>
    </row>
    <row r="97">
      <c r="B97" s="49" t="n"/>
      <c r="C97" s="49" t="n"/>
      <c r="D97" s="49" t="n"/>
      <c r="E97" s="49" t="n"/>
      <c r="F97" s="49" t="n"/>
      <c r="H97" s="49" t="n"/>
      <c r="I97" s="49" t="n"/>
      <c r="J97" s="49" t="n"/>
    </row>
    <row r="98">
      <c r="B98" s="49" t="n"/>
      <c r="C98" s="49" t="n"/>
      <c r="D98" s="49" t="n"/>
      <c r="E98" s="49" t="n"/>
      <c r="F98" s="49" t="n"/>
      <c r="H98" s="49" t="n"/>
      <c r="I98" s="49" t="n"/>
      <c r="J98" s="49" t="n"/>
    </row>
    <row r="99">
      <c r="B99" s="49" t="n"/>
      <c r="C99" s="49" t="n"/>
      <c r="D99" s="49" t="n"/>
      <c r="E99" s="49" t="n"/>
      <c r="F99" s="49" t="n"/>
      <c r="H99" s="49" t="n"/>
      <c r="I99" s="49" t="n"/>
      <c r="J99" s="49" t="n"/>
    </row>
    <row r="100">
      <c r="B100" s="49" t="n"/>
      <c r="C100" s="49" t="n"/>
      <c r="D100" s="49" t="n"/>
      <c r="E100" s="49" t="n"/>
      <c r="F100" s="49" t="n"/>
      <c r="H100" s="49" t="n"/>
      <c r="I100" s="49" t="n"/>
      <c r="J100" s="49" t="n"/>
    </row>
    <row r="101">
      <c r="B101" s="49" t="n"/>
      <c r="C101" s="49" t="n"/>
      <c r="D101" s="49" t="n"/>
      <c r="E101" s="49" t="n"/>
      <c r="F101" s="49" t="n"/>
      <c r="H101" s="49" t="n"/>
      <c r="I101" s="49" t="n"/>
      <c r="J101" s="49" t="n"/>
    </row>
    <row r="102">
      <c r="B102" s="49" t="n"/>
      <c r="C102" s="49" t="n"/>
      <c r="D102" s="49" t="n"/>
      <c r="E102" s="49" t="n"/>
      <c r="F102" s="49" t="n"/>
      <c r="H102" s="49" t="n"/>
      <c r="I102" s="49" t="n"/>
      <c r="J102" s="49" t="n"/>
    </row>
    <row r="103">
      <c r="B103" s="49" t="n"/>
      <c r="C103" s="49" t="n"/>
      <c r="D103" s="49" t="n"/>
      <c r="E103" s="49" t="n"/>
      <c r="F103" s="49" t="n"/>
      <c r="H103" s="49" t="n"/>
      <c r="I103" s="49" t="n"/>
      <c r="J103" s="49" t="n"/>
    </row>
    <row r="104">
      <c r="B104" s="49" t="n"/>
      <c r="C104" s="49" t="n"/>
      <c r="D104" s="49" t="n"/>
      <c r="E104" s="49" t="n"/>
      <c r="F104" s="49" t="n"/>
      <c r="H104" s="49" t="n"/>
      <c r="I104" s="49" t="n"/>
      <c r="J104" s="49" t="n"/>
    </row>
    <row r="105">
      <c r="B105" s="49" t="n"/>
      <c r="C105" s="49" t="n"/>
      <c r="D105" s="49" t="n"/>
      <c r="E105" s="49" t="n"/>
      <c r="F105" s="49" t="n"/>
      <c r="H105" s="49" t="n"/>
      <c r="I105" s="49" t="n"/>
      <c r="J105" s="49" t="n"/>
    </row>
    <row r="106">
      <c r="B106" s="49" t="n"/>
      <c r="C106" s="49" t="n"/>
      <c r="D106" s="49" t="n"/>
      <c r="E106" s="49" t="n"/>
      <c r="F106" s="49" t="n"/>
      <c r="H106" s="49" t="n"/>
      <c r="I106" s="49" t="n"/>
      <c r="J106" s="49" t="n"/>
    </row>
    <row r="107">
      <c r="B107" s="49" t="n"/>
      <c r="C107" s="49" t="n"/>
      <c r="D107" s="49" t="n"/>
      <c r="E107" s="49" t="n"/>
      <c r="F107" s="49" t="n"/>
      <c r="H107" s="49" t="n"/>
      <c r="I107" s="49" t="n"/>
      <c r="J107" s="49" t="n"/>
    </row>
    <row r="108">
      <c r="B108" s="49" t="n"/>
      <c r="C108" s="49" t="n"/>
      <c r="D108" s="49" t="n"/>
      <c r="E108" s="49" t="n"/>
      <c r="F108" s="49" t="n"/>
      <c r="H108" s="49" t="n"/>
      <c r="I108" s="49" t="n"/>
      <c r="J108" s="49" t="n"/>
    </row>
    <row r="109">
      <c r="B109" s="49" t="n"/>
      <c r="C109" s="49" t="n"/>
      <c r="D109" s="49" t="n"/>
      <c r="E109" s="49" t="n"/>
      <c r="F109" s="49" t="n"/>
      <c r="H109" s="49" t="n"/>
      <c r="I109" s="49" t="n"/>
      <c r="J109" s="49" t="n"/>
    </row>
    <row r="110">
      <c r="B110" s="49" t="n"/>
      <c r="C110" s="49" t="n"/>
      <c r="D110" s="49" t="n"/>
      <c r="E110" s="49" t="n"/>
      <c r="F110" s="49" t="n"/>
      <c r="H110" s="49" t="n"/>
      <c r="I110" s="49" t="n"/>
      <c r="J110" s="49" t="n"/>
    </row>
    <row r="111">
      <c r="B111" s="49" t="n"/>
      <c r="C111" s="49" t="n"/>
      <c r="D111" s="49" t="n"/>
      <c r="E111" s="49" t="n"/>
      <c r="F111" s="49" t="n"/>
      <c r="H111" s="49" t="n"/>
      <c r="I111" s="49" t="n"/>
      <c r="J111" s="49" t="n"/>
    </row>
    <row r="112">
      <c r="B112" s="49" t="n"/>
      <c r="C112" s="49" t="n"/>
      <c r="D112" s="49" t="n"/>
      <c r="E112" s="49" t="n"/>
      <c r="F112" s="49" t="n"/>
      <c r="H112" s="49" t="n"/>
      <c r="I112" s="49" t="n"/>
      <c r="J112" s="49" t="n"/>
    </row>
    <row r="113">
      <c r="B113" s="49" t="n"/>
      <c r="C113" s="49" t="n"/>
      <c r="D113" s="49" t="n"/>
      <c r="E113" s="49" t="n"/>
      <c r="F113" s="49" t="n"/>
      <c r="H113" s="49" t="n"/>
      <c r="I113" s="49" t="n"/>
      <c r="J113" s="49" t="n"/>
    </row>
    <row r="114">
      <c r="B114" s="49" t="n"/>
      <c r="C114" s="49" t="n"/>
      <c r="D114" s="49" t="n"/>
      <c r="E114" s="49" t="n"/>
      <c r="F114" s="49" t="n"/>
      <c r="H114" s="49" t="n"/>
      <c r="I114" s="49" t="n"/>
      <c r="J114" s="49" t="n"/>
    </row>
    <row r="115">
      <c r="B115" s="49" t="n"/>
      <c r="C115" s="49" t="n"/>
      <c r="D115" s="49" t="n"/>
      <c r="E115" s="49" t="n"/>
      <c r="F115" s="49" t="n"/>
      <c r="H115" s="49" t="n"/>
      <c r="I115" s="49" t="n"/>
      <c r="J115" s="49" t="n"/>
    </row>
    <row r="116">
      <c r="B116" s="49" t="n"/>
      <c r="C116" s="49" t="n"/>
      <c r="D116" s="49" t="n"/>
      <c r="E116" s="49" t="n"/>
      <c r="F116" s="49" t="n"/>
      <c r="H116" s="49" t="n"/>
      <c r="I116" s="49" t="n"/>
      <c r="J116" s="49" t="n"/>
    </row>
    <row r="117">
      <c r="B117" s="49" t="n"/>
      <c r="C117" s="49" t="n"/>
      <c r="D117" s="49" t="n"/>
      <c r="E117" s="49" t="n"/>
      <c r="F117" s="49" t="n"/>
      <c r="H117" s="49" t="n"/>
      <c r="I117" s="49" t="n"/>
      <c r="J117" s="49" t="n"/>
    </row>
    <row r="118">
      <c r="B118" s="49" t="n"/>
      <c r="C118" s="49" t="n"/>
      <c r="D118" s="49" t="n"/>
      <c r="E118" s="49" t="n"/>
      <c r="F118" s="49" t="n"/>
      <c r="H118" s="49" t="n"/>
      <c r="I118" s="49" t="n"/>
      <c r="J118" s="49" t="n"/>
    </row>
    <row r="119">
      <c r="B119" s="49" t="n"/>
      <c r="C119" s="49" t="n"/>
      <c r="D119" s="49" t="n"/>
      <c r="E119" s="49" t="n"/>
      <c r="F119" s="49" t="n"/>
      <c r="H119" s="49" t="n"/>
      <c r="I119" s="49" t="n"/>
      <c r="J119" s="49" t="n"/>
    </row>
    <row r="120">
      <c r="B120" s="49" t="n"/>
      <c r="C120" s="49" t="n"/>
      <c r="D120" s="49" t="n"/>
      <c r="E120" s="49" t="n"/>
      <c r="F120" s="49" t="n"/>
      <c r="H120" s="49" t="n"/>
      <c r="I120" s="49" t="n"/>
      <c r="J120" s="49" t="n"/>
    </row>
    <row r="121">
      <c r="B121" s="49" t="n"/>
      <c r="C121" s="49" t="n"/>
      <c r="D121" s="49" t="n"/>
      <c r="E121" s="49" t="n"/>
      <c r="F121" s="49" t="n"/>
      <c r="H121" s="49" t="n"/>
      <c r="I121" s="49" t="n"/>
      <c r="J121" s="49" t="n"/>
    </row>
    <row r="122">
      <c r="B122" s="49" t="n"/>
      <c r="C122" s="49" t="n"/>
      <c r="D122" s="49" t="n"/>
      <c r="E122" s="49" t="n"/>
      <c r="F122" s="49" t="n"/>
      <c r="H122" s="49" t="n"/>
      <c r="I122" s="49" t="n"/>
      <c r="J122" s="49" t="n"/>
    </row>
    <row r="123">
      <c r="B123" s="49" t="n"/>
      <c r="C123" s="49" t="n"/>
      <c r="D123" s="49" t="n"/>
      <c r="E123" s="49" t="n"/>
      <c r="F123" s="49" t="n"/>
      <c r="H123" s="49" t="n"/>
      <c r="I123" s="49" t="n"/>
      <c r="J123" s="49" t="n"/>
    </row>
    <row r="124">
      <c r="B124" s="49" t="n"/>
      <c r="C124" s="49" t="n"/>
      <c r="D124" s="49" t="n"/>
      <c r="E124" s="49" t="n"/>
      <c r="F124" s="49" t="n"/>
      <c r="H124" s="49" t="n"/>
      <c r="I124" s="49" t="n"/>
      <c r="J124" s="49" t="n"/>
    </row>
    <row r="125">
      <c r="B125" s="49" t="n"/>
      <c r="C125" s="49" t="n"/>
      <c r="D125" s="49" t="n"/>
      <c r="E125" s="49" t="n"/>
      <c r="F125" s="49" t="n"/>
      <c r="H125" s="49" t="n"/>
      <c r="I125" s="49" t="n"/>
      <c r="J125" s="49" t="n"/>
    </row>
    <row r="126">
      <c r="B126" s="49" t="n"/>
      <c r="C126" s="49" t="n"/>
      <c r="D126" s="49" t="n"/>
      <c r="E126" s="49" t="n"/>
      <c r="F126" s="49" t="n"/>
      <c r="H126" s="49" t="n"/>
      <c r="I126" s="49" t="n"/>
      <c r="J126" s="49" t="n"/>
    </row>
    <row r="127">
      <c r="B127" s="49" t="n"/>
      <c r="C127" s="49" t="n"/>
      <c r="D127" s="49" t="n"/>
      <c r="E127" s="49" t="n"/>
      <c r="F127" s="49" t="n"/>
      <c r="H127" s="49" t="n"/>
      <c r="I127" s="49" t="n"/>
      <c r="J127" s="49" t="n"/>
    </row>
    <row r="128">
      <c r="B128" s="49" t="n"/>
      <c r="C128" s="49" t="n"/>
      <c r="D128" s="49" t="n"/>
      <c r="E128" s="49" t="n"/>
      <c r="F128" s="49" t="n"/>
      <c r="H128" s="49" t="n"/>
      <c r="I128" s="49" t="n"/>
      <c r="J128" s="49" t="n"/>
    </row>
    <row r="129">
      <c r="B129" s="49" t="n"/>
      <c r="C129" s="49" t="n"/>
      <c r="D129" s="49" t="n"/>
      <c r="E129" s="49" t="n"/>
      <c r="F129" s="49" t="n"/>
      <c r="H129" s="49" t="n"/>
      <c r="I129" s="49" t="n"/>
      <c r="J129" s="49" t="n"/>
    </row>
    <row r="130">
      <c r="B130" s="49" t="n"/>
      <c r="C130" s="49" t="n"/>
      <c r="D130" s="49" t="n"/>
      <c r="E130" s="49" t="n"/>
      <c r="F130" s="49" t="n"/>
      <c r="H130" s="49" t="n"/>
      <c r="I130" s="49" t="n"/>
      <c r="J130" s="49" t="n"/>
    </row>
    <row r="131">
      <c r="B131" s="49" t="n"/>
      <c r="C131" s="49" t="n"/>
      <c r="D131" s="49" t="n"/>
      <c r="E131" s="49" t="n"/>
      <c r="F131" s="49" t="n"/>
      <c r="H131" s="49" t="n"/>
      <c r="I131" s="49" t="n"/>
      <c r="J131" s="49" t="n"/>
    </row>
    <row r="132">
      <c r="B132" s="49" t="n"/>
      <c r="C132" s="49" t="n"/>
      <c r="D132" s="49" t="n"/>
      <c r="E132" s="49" t="n"/>
      <c r="F132" s="49" t="n"/>
      <c r="H132" s="49" t="n"/>
      <c r="I132" s="49" t="n"/>
      <c r="J132" s="49" t="n"/>
    </row>
    <row r="133">
      <c r="B133" s="49" t="n"/>
      <c r="C133" s="49" t="n"/>
      <c r="D133" s="49" t="n"/>
      <c r="E133" s="49" t="n"/>
      <c r="F133" s="49" t="n"/>
      <c r="H133" s="49" t="n"/>
      <c r="I133" s="49" t="n"/>
      <c r="J133" s="49" t="n"/>
    </row>
    <row r="134">
      <c r="B134" s="49" t="n"/>
      <c r="C134" s="49" t="n"/>
      <c r="D134" s="49" t="n"/>
      <c r="E134" s="49" t="n"/>
      <c r="F134" s="49" t="n"/>
      <c r="H134" s="49" t="n"/>
      <c r="I134" s="49" t="n"/>
      <c r="J134" s="49" t="n"/>
    </row>
    <row r="135">
      <c r="B135" s="49" t="n"/>
      <c r="C135" s="49" t="n"/>
      <c r="D135" s="49" t="n"/>
      <c r="E135" s="49" t="n"/>
      <c r="F135" s="49" t="n"/>
      <c r="H135" s="49" t="n"/>
      <c r="I135" s="49" t="n"/>
      <c r="J135" s="49" t="n"/>
    </row>
    <row r="136">
      <c r="B136" s="49" t="n"/>
      <c r="C136" s="49" t="n"/>
      <c r="D136" s="49" t="n"/>
      <c r="E136" s="49" t="n"/>
      <c r="F136" s="49" t="n"/>
      <c r="H136" s="49" t="n"/>
      <c r="I136" s="49" t="n"/>
      <c r="J136" s="49" t="n"/>
    </row>
    <row r="137">
      <c r="B137" s="49" t="n"/>
      <c r="C137" s="49" t="n"/>
      <c r="D137" s="49" t="n"/>
      <c r="E137" s="49" t="n"/>
      <c r="F137" s="49" t="n"/>
      <c r="H137" s="49" t="n"/>
      <c r="I137" s="49" t="n"/>
      <c r="J137" s="49" t="n"/>
    </row>
    <row r="138">
      <c r="B138" s="49" t="n"/>
      <c r="C138" s="49" t="n"/>
      <c r="D138" s="49" t="n"/>
      <c r="E138" s="49" t="n"/>
      <c r="F138" s="49" t="n"/>
      <c r="H138" s="49" t="n"/>
      <c r="I138" s="49" t="n"/>
      <c r="J138" s="49" t="n"/>
    </row>
    <row r="139">
      <c r="B139" s="49" t="n"/>
      <c r="C139" s="49" t="n"/>
      <c r="D139" s="49" t="n"/>
      <c r="E139" s="49" t="n"/>
      <c r="F139" s="49" t="n"/>
      <c r="H139" s="49" t="n"/>
      <c r="I139" s="49" t="n"/>
      <c r="J139" s="49" t="n"/>
    </row>
    <row r="140">
      <c r="B140" s="49" t="n"/>
      <c r="C140" s="49" t="n"/>
      <c r="D140" s="49" t="n"/>
      <c r="E140" s="49" t="n"/>
      <c r="F140" s="49" t="n"/>
      <c r="H140" s="49" t="n"/>
      <c r="I140" s="49" t="n"/>
      <c r="J140" s="49" t="n"/>
    </row>
    <row r="141">
      <c r="B141" s="49" t="n"/>
      <c r="C141" s="49" t="n"/>
      <c r="D141" s="49" t="n"/>
      <c r="E141" s="49" t="n"/>
      <c r="F141" s="49" t="n"/>
      <c r="H141" s="49" t="n"/>
      <c r="I141" s="49" t="n"/>
      <c r="J141" s="49" t="n"/>
    </row>
    <row r="142">
      <c r="B142" s="49" t="n"/>
      <c r="C142" s="49" t="n"/>
      <c r="D142" s="49" t="n"/>
      <c r="E142" s="49" t="n"/>
      <c r="F142" s="49" t="n"/>
      <c r="H142" s="49" t="n"/>
      <c r="I142" s="49" t="n"/>
      <c r="J142" s="49" t="n"/>
    </row>
    <row r="143">
      <c r="B143" s="49" t="n"/>
      <c r="C143" s="49" t="n"/>
      <c r="D143" s="49" t="n"/>
      <c r="E143" s="49" t="n"/>
      <c r="F143" s="49" t="n"/>
      <c r="H143" s="49" t="n"/>
      <c r="I143" s="49" t="n"/>
      <c r="J143" s="49" t="n"/>
    </row>
    <row r="144">
      <c r="B144" s="49" t="n"/>
      <c r="C144" s="49" t="n"/>
      <c r="D144" s="49" t="n"/>
      <c r="E144" s="49" t="n"/>
      <c r="F144" s="49" t="n"/>
      <c r="H144" s="49" t="n"/>
      <c r="I144" s="49" t="n"/>
      <c r="J144" s="49" t="n"/>
    </row>
    <row r="145">
      <c r="B145" s="49" t="n"/>
      <c r="C145" s="49" t="n"/>
      <c r="D145" s="49" t="n"/>
      <c r="E145" s="49" t="n"/>
      <c r="F145" s="49" t="n"/>
      <c r="H145" s="49" t="n"/>
      <c r="I145" s="49" t="n"/>
      <c r="J145" s="49" t="n"/>
    </row>
    <row r="146">
      <c r="B146" s="49" t="n"/>
      <c r="C146" s="49" t="n"/>
      <c r="D146" s="49" t="n"/>
      <c r="E146" s="49" t="n"/>
      <c r="F146" s="49" t="n"/>
      <c r="H146" s="49" t="n"/>
      <c r="I146" s="49" t="n"/>
      <c r="J146" s="49" t="n"/>
    </row>
    <row r="147">
      <c r="B147" s="49" t="n"/>
      <c r="C147" s="49" t="n"/>
      <c r="D147" s="49" t="n"/>
      <c r="E147" s="49" t="n"/>
      <c r="F147" s="49" t="n"/>
      <c r="H147" s="49" t="n"/>
      <c r="I147" s="49" t="n"/>
      <c r="J147" s="49" t="n"/>
    </row>
    <row r="148">
      <c r="B148" s="49" t="n"/>
      <c r="C148" s="49" t="n"/>
      <c r="D148" s="49" t="n"/>
      <c r="E148" s="49" t="n"/>
      <c r="F148" s="49" t="n"/>
      <c r="H148" s="49" t="n"/>
      <c r="I148" s="49" t="n"/>
      <c r="J148" s="49" t="n"/>
    </row>
    <row r="149">
      <c r="B149" s="49" t="n"/>
      <c r="C149" s="49" t="n"/>
      <c r="D149" s="49" t="n"/>
      <c r="E149" s="49" t="n"/>
      <c r="F149" s="49" t="n"/>
      <c r="H149" s="49" t="n"/>
      <c r="I149" s="49" t="n"/>
      <c r="J149" s="49" t="n"/>
    </row>
    <row r="150">
      <c r="B150" s="49" t="n"/>
      <c r="C150" s="49" t="n"/>
      <c r="D150" s="49" t="n"/>
      <c r="E150" s="49" t="n"/>
      <c r="F150" s="49" t="n"/>
      <c r="H150" s="49" t="n"/>
      <c r="I150" s="49" t="n"/>
      <c r="J150" s="49" t="n"/>
    </row>
    <row r="151">
      <c r="B151" s="49" t="n"/>
      <c r="C151" s="49" t="n"/>
      <c r="D151" s="49" t="n"/>
      <c r="E151" s="49" t="n"/>
      <c r="F151" s="49" t="n"/>
      <c r="H151" s="49" t="n"/>
      <c r="I151" s="49" t="n"/>
      <c r="J151" s="49" t="n"/>
    </row>
    <row r="152">
      <c r="B152" s="49" t="n"/>
      <c r="C152" s="49" t="n"/>
      <c r="D152" s="49" t="n"/>
      <c r="E152" s="49" t="n"/>
      <c r="F152" s="49" t="n"/>
      <c r="H152" s="49" t="n"/>
      <c r="I152" s="49" t="n"/>
      <c r="J152" s="49" t="n"/>
    </row>
    <row r="153">
      <c r="B153" s="49" t="n"/>
      <c r="C153" s="49" t="n"/>
      <c r="D153" s="49" t="n"/>
      <c r="E153" s="49" t="n"/>
      <c r="F153" s="49" t="n"/>
      <c r="H153" s="49" t="n"/>
      <c r="I153" s="49" t="n"/>
      <c r="J153" s="49" t="n"/>
    </row>
    <row r="154">
      <c r="B154" s="49" t="n"/>
      <c r="C154" s="49" t="n"/>
      <c r="D154" s="49" t="n"/>
      <c r="E154" s="49" t="n"/>
      <c r="F154" s="49" t="n"/>
      <c r="H154" s="49" t="n"/>
      <c r="I154" s="49" t="n"/>
      <c r="J154" s="49" t="n"/>
    </row>
    <row r="155">
      <c r="B155" s="49" t="n"/>
      <c r="C155" s="49" t="n"/>
      <c r="D155" s="49" t="n"/>
      <c r="E155" s="49" t="n"/>
      <c r="F155" s="49" t="n"/>
      <c r="H155" s="49" t="n"/>
      <c r="I155" s="49" t="n"/>
      <c r="J155" s="49" t="n"/>
    </row>
    <row r="156">
      <c r="B156" s="49" t="n"/>
      <c r="C156" s="49" t="n"/>
      <c r="D156" s="49" t="n"/>
      <c r="E156" s="49" t="n"/>
      <c r="F156" s="49" t="n"/>
      <c r="H156" s="49" t="n"/>
      <c r="I156" s="49" t="n"/>
      <c r="J156" s="49" t="n"/>
    </row>
    <row r="157">
      <c r="B157" s="49" t="n"/>
      <c r="C157" s="49" t="n"/>
      <c r="D157" s="49" t="n"/>
      <c r="E157" s="49" t="n"/>
      <c r="F157" s="49" t="n"/>
      <c r="H157" s="49" t="n"/>
      <c r="I157" s="49" t="n"/>
      <c r="J157" s="49" t="n"/>
    </row>
    <row r="158">
      <c r="B158" s="49" t="n"/>
      <c r="C158" s="49" t="n"/>
      <c r="D158" s="49" t="n"/>
      <c r="E158" s="49" t="n"/>
      <c r="F158" s="49" t="n"/>
      <c r="H158" s="49" t="n"/>
      <c r="I158" s="49" t="n"/>
      <c r="J158" s="49" t="n"/>
    </row>
    <row r="159">
      <c r="B159" s="49" t="n"/>
      <c r="C159" s="49" t="n"/>
      <c r="D159" s="49" t="n"/>
      <c r="E159" s="49" t="n"/>
      <c r="F159" s="49" t="n"/>
      <c r="H159" s="49" t="n"/>
      <c r="I159" s="49" t="n"/>
      <c r="J159" s="49" t="n"/>
    </row>
    <row r="160">
      <c r="B160" s="49" t="n"/>
      <c r="C160" s="49" t="n"/>
      <c r="D160" s="49" t="n"/>
      <c r="E160" s="49" t="n"/>
      <c r="F160" s="49" t="n"/>
      <c r="H160" s="49" t="n"/>
      <c r="I160" s="49" t="n"/>
      <c r="J160" s="49" t="n"/>
    </row>
    <row r="161">
      <c r="B161" s="49" t="n"/>
      <c r="C161" s="49" t="n"/>
      <c r="D161" s="49" t="n"/>
      <c r="E161" s="49" t="n"/>
      <c r="F161" s="49" t="n"/>
      <c r="H161" s="49" t="n"/>
      <c r="I161" s="49" t="n"/>
      <c r="J161" s="49" t="n"/>
    </row>
    <row r="162">
      <c r="B162" s="49" t="n"/>
      <c r="C162" s="49" t="n"/>
      <c r="D162" s="49" t="n"/>
      <c r="E162" s="49" t="n"/>
      <c r="F162" s="49" t="n"/>
      <c r="H162" s="49" t="n"/>
      <c r="I162" s="49" t="n"/>
      <c r="J162" s="49" t="n"/>
    </row>
    <row r="163">
      <c r="B163" s="49" t="n"/>
      <c r="C163" s="49" t="n"/>
      <c r="D163" s="49" t="n"/>
      <c r="E163" s="49" t="n"/>
      <c r="F163" s="49" t="n"/>
      <c r="H163" s="49" t="n"/>
      <c r="I163" s="49" t="n"/>
      <c r="J163" s="49" t="n"/>
    </row>
    <row r="164">
      <c r="B164" s="49" t="n"/>
      <c r="C164" s="49" t="n"/>
      <c r="D164" s="49" t="n"/>
      <c r="E164" s="49" t="n"/>
      <c r="F164" s="49" t="n"/>
      <c r="H164" s="49" t="n"/>
      <c r="I164" s="49" t="n"/>
      <c r="J164" s="49" t="n"/>
    </row>
    <row r="165">
      <c r="B165" s="49" t="n"/>
      <c r="C165" s="49" t="n"/>
      <c r="D165" s="49" t="n"/>
      <c r="E165" s="49" t="n"/>
      <c r="F165" s="49" t="n"/>
      <c r="H165" s="49" t="n"/>
      <c r="I165" s="49" t="n"/>
      <c r="J165" s="49" t="n"/>
    </row>
    <row r="166">
      <c r="B166" s="49" t="n"/>
      <c r="C166" s="49" t="n"/>
      <c r="D166" s="49" t="n"/>
      <c r="E166" s="49" t="n"/>
      <c r="F166" s="49" t="n"/>
      <c r="H166" s="49" t="n"/>
      <c r="I166" s="49" t="n"/>
      <c r="J166" s="49" t="n"/>
    </row>
    <row r="167">
      <c r="B167" s="49" t="n"/>
      <c r="C167" s="49" t="n"/>
      <c r="D167" s="49" t="n"/>
      <c r="E167" s="49" t="n"/>
      <c r="F167" s="49" t="n"/>
      <c r="H167" s="49" t="n"/>
      <c r="I167" s="49" t="n"/>
      <c r="J167" s="49" t="n"/>
    </row>
    <row r="168">
      <c r="B168" s="49" t="n"/>
      <c r="C168" s="49" t="n"/>
      <c r="D168" s="49" t="n"/>
      <c r="E168" s="49" t="n"/>
      <c r="F168" s="49" t="n"/>
      <c r="H168" s="49" t="n"/>
      <c r="I168" s="49" t="n"/>
      <c r="J168" s="49" t="n"/>
    </row>
    <row r="169">
      <c r="B169" s="49" t="n"/>
      <c r="C169" s="49" t="n"/>
      <c r="D169" s="49" t="n"/>
      <c r="E169" s="49" t="n"/>
      <c r="F169" s="49" t="n"/>
      <c r="H169" s="49" t="n"/>
      <c r="I169" s="49" t="n"/>
      <c r="J169" s="49" t="n"/>
    </row>
    <row r="170">
      <c r="B170" s="49" t="n"/>
      <c r="C170" s="49" t="n"/>
      <c r="D170" s="49" t="n"/>
      <c r="E170" s="49" t="n"/>
      <c r="F170" s="49" t="n"/>
      <c r="H170" s="49" t="n"/>
      <c r="I170" s="49" t="n"/>
      <c r="J170" s="49" t="n"/>
    </row>
    <row r="171">
      <c r="B171" s="49" t="n"/>
      <c r="C171" s="49" t="n"/>
      <c r="D171" s="49" t="n"/>
      <c r="E171" s="49" t="n"/>
      <c r="F171" s="49" t="n"/>
      <c r="H171" s="49" t="n"/>
      <c r="I171" s="49" t="n"/>
      <c r="J171" s="49" t="n"/>
    </row>
    <row r="172">
      <c r="B172" s="49" t="n"/>
      <c r="C172" s="49" t="n"/>
      <c r="D172" s="49" t="n"/>
      <c r="E172" s="49" t="n"/>
      <c r="F172" s="49" t="n"/>
      <c r="H172" s="49" t="n"/>
      <c r="I172" s="49" t="n"/>
      <c r="J172" s="49" t="n"/>
    </row>
    <row r="173">
      <c r="B173" s="49" t="n"/>
      <c r="C173" s="49" t="n"/>
      <c r="D173" s="49" t="n"/>
      <c r="E173" s="49" t="n"/>
      <c r="F173" s="49" t="n"/>
      <c r="H173" s="49" t="n"/>
      <c r="I173" s="49" t="n"/>
      <c r="J173" s="49" t="n"/>
    </row>
    <row r="174">
      <c r="B174" s="49" t="n"/>
      <c r="C174" s="49" t="n"/>
      <c r="D174" s="49" t="n"/>
      <c r="E174" s="49" t="n"/>
      <c r="F174" s="49" t="n"/>
      <c r="H174" s="49" t="n"/>
      <c r="I174" s="49" t="n"/>
      <c r="J174" s="49" t="n"/>
    </row>
    <row r="175">
      <c r="B175" s="49" t="n"/>
      <c r="C175" s="49" t="n"/>
      <c r="D175" s="49" t="n"/>
      <c r="E175" s="49" t="n"/>
      <c r="F175" s="49" t="n"/>
      <c r="H175" s="49" t="n"/>
      <c r="I175" s="49" t="n"/>
      <c r="J175" s="49" t="n"/>
    </row>
    <row r="176">
      <c r="B176" s="49" t="n"/>
      <c r="C176" s="49" t="n"/>
      <c r="D176" s="49" t="n"/>
      <c r="E176" s="49" t="n"/>
      <c r="F176" s="49" t="n"/>
      <c r="H176" s="49" t="n"/>
      <c r="I176" s="49" t="n"/>
      <c r="J176" s="49" t="n"/>
    </row>
    <row r="177">
      <c r="B177" s="49" t="n"/>
      <c r="C177" s="49" t="n"/>
      <c r="D177" s="49" t="n"/>
      <c r="E177" s="49" t="n"/>
      <c r="F177" s="49" t="n"/>
      <c r="H177" s="49" t="n"/>
      <c r="I177" s="49" t="n"/>
      <c r="J177" s="49" t="n"/>
    </row>
    <row r="178">
      <c r="B178" s="49" t="n"/>
      <c r="C178" s="49" t="n"/>
      <c r="D178" s="49" t="n"/>
      <c r="E178" s="49" t="n"/>
      <c r="F178" s="49" t="n"/>
      <c r="H178" s="49" t="n"/>
      <c r="I178" s="49" t="n"/>
      <c r="J178" s="49" t="n"/>
    </row>
    <row r="179">
      <c r="B179" s="49" t="n"/>
      <c r="C179" s="49" t="n"/>
      <c r="D179" s="49" t="n"/>
      <c r="E179" s="49" t="n"/>
      <c r="F179" s="49" t="n"/>
      <c r="H179" s="49" t="n"/>
      <c r="I179" s="49" t="n"/>
      <c r="J179" s="49" t="n"/>
    </row>
    <row r="180">
      <c r="B180" s="49" t="n"/>
      <c r="C180" s="49" t="n"/>
      <c r="D180" s="49" t="n"/>
      <c r="E180" s="49" t="n"/>
      <c r="F180" s="49" t="n"/>
      <c r="H180" s="49" t="n"/>
      <c r="I180" s="49" t="n"/>
      <c r="J180" s="49" t="n"/>
    </row>
    <row r="181">
      <c r="B181" s="49" t="n"/>
      <c r="C181" s="49" t="n"/>
      <c r="D181" s="49" t="n"/>
      <c r="E181" s="49" t="n"/>
      <c r="F181" s="49" t="n"/>
      <c r="H181" s="49" t="n"/>
      <c r="I181" s="49" t="n"/>
      <c r="J181" s="49" t="n"/>
    </row>
    <row r="182">
      <c r="B182" s="49" t="n"/>
      <c r="C182" s="49" t="n"/>
      <c r="D182" s="49" t="n"/>
      <c r="E182" s="49" t="n"/>
      <c r="F182" s="49" t="n"/>
      <c r="H182" s="49" t="n"/>
      <c r="I182" s="49" t="n"/>
      <c r="J182" s="49" t="n"/>
    </row>
    <row r="183">
      <c r="B183" s="49" t="n"/>
      <c r="C183" s="49" t="n"/>
      <c r="D183" s="49" t="n"/>
      <c r="E183" s="49" t="n"/>
      <c r="F183" s="49" t="n"/>
      <c r="H183" s="49" t="n"/>
      <c r="I183" s="49" t="n"/>
      <c r="J183" s="49" t="n"/>
    </row>
    <row r="184">
      <c r="B184" s="49" t="n"/>
      <c r="C184" s="49" t="n"/>
      <c r="D184" s="49" t="n"/>
      <c r="E184" s="49" t="n"/>
      <c r="F184" s="49" t="n"/>
      <c r="H184" s="49" t="n"/>
      <c r="I184" s="49" t="n"/>
      <c r="J184" s="49" t="n"/>
    </row>
    <row r="185">
      <c r="B185" s="49" t="n"/>
      <c r="C185" s="49" t="n"/>
      <c r="D185" s="49" t="n"/>
      <c r="E185" s="49" t="n"/>
      <c r="F185" s="49" t="n"/>
      <c r="H185" s="49" t="n"/>
      <c r="I185" s="49" t="n"/>
      <c r="J185" s="49" t="n"/>
    </row>
    <row r="186">
      <c r="B186" s="49" t="n"/>
      <c r="C186" s="49" t="n"/>
      <c r="D186" s="49" t="n"/>
      <c r="E186" s="49" t="n"/>
      <c r="F186" s="49" t="n"/>
      <c r="H186" s="49" t="n"/>
      <c r="I186" s="49" t="n"/>
      <c r="J186" s="49" t="n"/>
    </row>
    <row r="187">
      <c r="B187" s="49" t="n"/>
      <c r="C187" s="49" t="n"/>
      <c r="D187" s="49" t="n"/>
      <c r="E187" s="49" t="n"/>
      <c r="F187" s="49" t="n"/>
      <c r="H187" s="49" t="n"/>
      <c r="I187" s="49" t="n"/>
      <c r="J187" s="49" t="n"/>
    </row>
    <row r="188">
      <c r="B188" s="49" t="n"/>
      <c r="C188" s="49" t="n"/>
      <c r="D188" s="49" t="n"/>
      <c r="E188" s="49" t="n"/>
      <c r="F188" s="49" t="n"/>
      <c r="H188" s="49" t="n"/>
      <c r="I188" s="49" t="n"/>
      <c r="J188" s="49" t="n"/>
    </row>
    <row r="189">
      <c r="B189" s="49" t="n"/>
      <c r="C189" s="49" t="n"/>
      <c r="D189" s="49" t="n"/>
      <c r="E189" s="49" t="n"/>
      <c r="F189" s="49" t="n"/>
      <c r="H189" s="49" t="n"/>
      <c r="I189" s="49" t="n"/>
      <c r="J189" s="49" t="n"/>
    </row>
    <row r="190">
      <c r="B190" s="49" t="n"/>
      <c r="C190" s="49" t="n"/>
      <c r="D190" s="49" t="n"/>
      <c r="E190" s="49" t="n"/>
      <c r="F190" s="49" t="n"/>
      <c r="H190" s="49" t="n"/>
      <c r="I190" s="49" t="n"/>
      <c r="J190" s="49" t="n"/>
    </row>
    <row r="191">
      <c r="B191" s="49" t="n"/>
      <c r="C191" s="49" t="n"/>
      <c r="D191" s="49" t="n"/>
      <c r="E191" s="49" t="n"/>
      <c r="F191" s="49" t="n"/>
      <c r="H191" s="49" t="n"/>
      <c r="I191" s="49" t="n"/>
      <c r="J191" s="49" t="n"/>
    </row>
    <row r="192">
      <c r="B192" s="49" t="n"/>
      <c r="C192" s="49" t="n"/>
      <c r="D192" s="49" t="n"/>
      <c r="E192" s="49" t="n"/>
      <c r="F192" s="49" t="n"/>
      <c r="H192" s="49" t="n"/>
      <c r="I192" s="49" t="n"/>
      <c r="J192" s="49" t="n"/>
    </row>
    <row r="193">
      <c r="B193" s="49" t="n"/>
      <c r="C193" s="49" t="n"/>
      <c r="D193" s="49" t="n"/>
      <c r="E193" s="49" t="n"/>
      <c r="F193" s="49" t="n"/>
      <c r="H193" s="49" t="n"/>
      <c r="I193" s="49" t="n"/>
      <c r="J193" s="49" t="n"/>
    </row>
    <row r="194">
      <c r="B194" s="49" t="n"/>
      <c r="C194" s="49" t="n"/>
      <c r="D194" s="49" t="n"/>
      <c r="E194" s="49" t="n"/>
      <c r="F194" s="49" t="n"/>
      <c r="H194" s="49" t="n"/>
      <c r="I194" s="49" t="n"/>
      <c r="J194" s="49" t="n"/>
    </row>
    <row r="195">
      <c r="B195" s="49" t="n"/>
      <c r="C195" s="49" t="n"/>
      <c r="D195" s="49" t="n"/>
      <c r="E195" s="49" t="n"/>
      <c r="F195" s="49" t="n"/>
      <c r="H195" s="49" t="n"/>
      <c r="I195" s="49" t="n"/>
      <c r="J195" s="49" t="n"/>
    </row>
    <row r="196">
      <c r="B196" s="49" t="n"/>
      <c r="C196" s="49" t="n"/>
      <c r="D196" s="49" t="n"/>
      <c r="E196" s="49" t="n"/>
      <c r="F196" s="49" t="n"/>
      <c r="H196" s="49" t="n"/>
      <c r="I196" s="49" t="n"/>
      <c r="J196" s="49" t="n"/>
    </row>
    <row r="197">
      <c r="B197" s="49" t="n"/>
      <c r="C197" s="49" t="n"/>
      <c r="D197" s="49" t="n"/>
      <c r="E197" s="49" t="n"/>
      <c r="F197" s="49" t="n"/>
      <c r="H197" s="49" t="n"/>
      <c r="I197" s="49" t="n"/>
      <c r="J197" s="49" t="n"/>
    </row>
    <row r="198">
      <c r="B198" s="49" t="n"/>
      <c r="C198" s="49" t="n"/>
      <c r="D198" s="49" t="n"/>
      <c r="E198" s="49" t="n"/>
      <c r="F198" s="49" t="n"/>
      <c r="H198" s="49" t="n"/>
      <c r="I198" s="49" t="n"/>
      <c r="J198" s="49" t="n"/>
    </row>
    <row r="199">
      <c r="B199" s="49" t="n"/>
      <c r="C199" s="49" t="n"/>
      <c r="D199" s="49" t="n"/>
      <c r="E199" s="49" t="n"/>
      <c r="F199" s="49" t="n"/>
      <c r="H199" s="49" t="n"/>
      <c r="I199" s="49" t="n"/>
      <c r="J199" s="49" t="n"/>
    </row>
    <row r="200">
      <c r="B200" s="49" t="n"/>
      <c r="C200" s="49" t="n"/>
      <c r="D200" s="49" t="n"/>
      <c r="E200" s="49" t="n"/>
      <c r="F200" s="49" t="n"/>
      <c r="H200" s="49" t="n"/>
      <c r="I200" s="49" t="n"/>
      <c r="J200" s="49" t="n"/>
    </row>
    <row r="201">
      <c r="B201" s="49" t="n"/>
      <c r="C201" s="49" t="n"/>
      <c r="D201" s="49" t="n"/>
      <c r="E201" s="49" t="n"/>
      <c r="F201" s="49" t="n"/>
      <c r="H201" s="49" t="n"/>
      <c r="I201" s="49" t="n"/>
      <c r="J201" s="49" t="n"/>
    </row>
    <row r="202">
      <c r="B202" s="49" t="n"/>
      <c r="C202" s="49" t="n"/>
      <c r="D202" s="49" t="n"/>
      <c r="E202" s="49" t="n"/>
      <c r="F202" s="49" t="n"/>
      <c r="H202" s="49" t="n"/>
      <c r="I202" s="49" t="n"/>
      <c r="J202" s="49" t="n"/>
    </row>
    <row r="203">
      <c r="B203" s="49" t="n"/>
      <c r="C203" s="49" t="n"/>
      <c r="D203" s="49" t="n"/>
      <c r="E203" s="49" t="n"/>
      <c r="F203" s="49" t="n"/>
      <c r="H203" s="49" t="n"/>
      <c r="I203" s="49" t="n"/>
      <c r="J203" s="49" t="n"/>
    </row>
    <row r="204">
      <c r="B204" s="49" t="n"/>
      <c r="C204" s="49" t="n"/>
      <c r="D204" s="49" t="n"/>
      <c r="E204" s="49" t="n"/>
      <c r="F204" s="49" t="n"/>
      <c r="H204" s="49" t="n"/>
      <c r="I204" s="49" t="n"/>
      <c r="J204" s="49" t="n"/>
    </row>
    <row r="205">
      <c r="B205" s="49" t="n"/>
      <c r="C205" s="49" t="n"/>
      <c r="D205" s="49" t="n"/>
      <c r="E205" s="49" t="n"/>
      <c r="F205" s="49" t="n"/>
      <c r="H205" s="49" t="n"/>
      <c r="I205" s="49" t="n"/>
      <c r="J205" s="49" t="n"/>
    </row>
    <row r="206">
      <c r="B206" s="49" t="n"/>
      <c r="C206" s="49" t="n"/>
      <c r="D206" s="49" t="n"/>
      <c r="E206" s="49" t="n"/>
      <c r="F206" s="49" t="n"/>
      <c r="H206" s="49" t="n"/>
      <c r="I206" s="49" t="n"/>
      <c r="J206" s="49" t="n"/>
    </row>
    <row r="207">
      <c r="B207" s="49" t="n"/>
      <c r="C207" s="49" t="n"/>
      <c r="D207" s="49" t="n"/>
      <c r="E207" s="49" t="n"/>
      <c r="F207" s="49" t="n"/>
      <c r="H207" s="49" t="n"/>
      <c r="I207" s="49" t="n"/>
      <c r="J207" s="49" t="n"/>
    </row>
    <row r="208">
      <c r="B208" s="49" t="n"/>
      <c r="C208" s="49" t="n"/>
      <c r="D208" s="49" t="n"/>
      <c r="E208" s="49" t="n"/>
      <c r="F208" s="49" t="n"/>
      <c r="H208" s="49" t="n"/>
      <c r="I208" s="49" t="n"/>
      <c r="J208" s="49" t="n"/>
    </row>
    <row r="209">
      <c r="B209" s="49" t="n"/>
      <c r="C209" s="49" t="n"/>
      <c r="D209" s="49" t="n"/>
      <c r="E209" s="49" t="n"/>
      <c r="F209" s="49" t="n"/>
      <c r="H209" s="49" t="n"/>
      <c r="I209" s="49" t="n"/>
      <c r="J209" s="49" t="n"/>
    </row>
    <row r="210">
      <c r="B210" s="49" t="n"/>
      <c r="C210" s="49" t="n"/>
      <c r="D210" s="49" t="n"/>
      <c r="E210" s="49" t="n"/>
      <c r="F210" s="49" t="n"/>
      <c r="H210" s="49" t="n"/>
      <c r="I210" s="49" t="n"/>
      <c r="J210" s="49" t="n"/>
    </row>
    <row r="211">
      <c r="B211" s="49" t="n"/>
      <c r="C211" s="49" t="n"/>
      <c r="D211" s="49" t="n"/>
      <c r="E211" s="49" t="n"/>
      <c r="F211" s="49" t="n"/>
      <c r="H211" s="49" t="n"/>
      <c r="I211" s="49" t="n"/>
      <c r="J211" s="49" t="n"/>
    </row>
    <row r="212">
      <c r="B212" s="49" t="n"/>
      <c r="C212" s="49" t="n"/>
      <c r="D212" s="49" t="n"/>
      <c r="E212" s="49" t="n"/>
      <c r="F212" s="49" t="n"/>
      <c r="H212" s="49" t="n"/>
      <c r="I212" s="49" t="n"/>
      <c r="J212" s="49" t="n"/>
    </row>
    <row r="213">
      <c r="B213" s="49" t="n"/>
      <c r="C213" s="49" t="n"/>
      <c r="D213" s="49" t="n"/>
      <c r="E213" s="49" t="n"/>
      <c r="F213" s="49" t="n"/>
      <c r="H213" s="49" t="n"/>
      <c r="I213" s="49" t="n"/>
      <c r="J213" s="49" t="n"/>
    </row>
    <row r="214">
      <c r="B214" s="49" t="n"/>
      <c r="C214" s="49" t="n"/>
      <c r="D214" s="49" t="n"/>
      <c r="E214" s="49" t="n"/>
      <c r="F214" s="49" t="n"/>
      <c r="H214" s="49" t="n"/>
      <c r="I214" s="49" t="n"/>
      <c r="J214" s="49" t="n"/>
    </row>
    <row r="215">
      <c r="B215" s="49" t="n"/>
      <c r="C215" s="49" t="n"/>
      <c r="D215" s="49" t="n"/>
      <c r="E215" s="49" t="n"/>
      <c r="F215" s="49" t="n"/>
      <c r="H215" s="49" t="n"/>
      <c r="I215" s="49" t="n"/>
      <c r="J215" s="49" t="n"/>
    </row>
    <row r="216">
      <c r="B216" s="49" t="n"/>
      <c r="C216" s="49" t="n"/>
      <c r="D216" s="49" t="n"/>
      <c r="E216" s="49" t="n"/>
      <c r="F216" s="49" t="n"/>
      <c r="H216" s="49" t="n"/>
      <c r="I216" s="49" t="n"/>
      <c r="J216" s="49" t="n"/>
    </row>
    <row r="217">
      <c r="B217" s="49" t="n"/>
      <c r="C217" s="49" t="n"/>
      <c r="D217" s="49" t="n"/>
      <c r="E217" s="49" t="n"/>
      <c r="F217" s="49" t="n"/>
      <c r="H217" s="49" t="n"/>
      <c r="I217" s="49" t="n"/>
      <c r="J217" s="49" t="n"/>
    </row>
    <row r="218">
      <c r="B218" s="49" t="n"/>
      <c r="C218" s="49" t="n"/>
      <c r="D218" s="49" t="n"/>
      <c r="E218" s="49" t="n"/>
      <c r="F218" s="49" t="n"/>
      <c r="H218" s="49" t="n"/>
      <c r="I218" s="49" t="n"/>
      <c r="J218" s="49" t="n"/>
    </row>
    <row r="219">
      <c r="B219" s="49" t="n"/>
      <c r="C219" s="49" t="n"/>
      <c r="D219" s="49" t="n"/>
      <c r="E219" s="49" t="n"/>
      <c r="F219" s="49" t="n"/>
      <c r="H219" s="49" t="n"/>
      <c r="I219" s="49" t="n"/>
      <c r="J219" s="49" t="n"/>
    </row>
    <row r="220">
      <c r="B220" s="49" t="n"/>
      <c r="C220" s="49" t="n"/>
      <c r="D220" s="49" t="n"/>
      <c r="E220" s="49" t="n"/>
      <c r="F220" s="49" t="n"/>
      <c r="H220" s="49" t="n"/>
      <c r="I220" s="49" t="n"/>
      <c r="J220" s="49" t="n"/>
    </row>
    <row r="221">
      <c r="B221" s="49" t="n"/>
      <c r="C221" s="49" t="n"/>
      <c r="D221" s="49" t="n"/>
      <c r="E221" s="49" t="n"/>
      <c r="F221" s="49" t="n"/>
      <c r="H221" s="49" t="n"/>
      <c r="I221" s="49" t="n"/>
      <c r="J221" s="49" t="n"/>
    </row>
    <row r="222">
      <c r="B222" s="49" t="n"/>
      <c r="C222" s="49" t="n"/>
      <c r="D222" s="49" t="n"/>
      <c r="E222" s="49" t="n"/>
      <c r="F222" s="49" t="n"/>
      <c r="H222" s="49" t="n"/>
      <c r="I222" s="49" t="n"/>
      <c r="J222" s="49" t="n"/>
    </row>
    <row r="223">
      <c r="B223" s="49" t="n"/>
      <c r="C223" s="49" t="n"/>
      <c r="D223" s="49" t="n"/>
      <c r="E223" s="49" t="n"/>
      <c r="F223" s="49" t="n"/>
      <c r="H223" s="49" t="n"/>
      <c r="I223" s="49" t="n"/>
      <c r="J223" s="49" t="n"/>
    </row>
    <row r="224">
      <c r="B224" s="49" t="n"/>
      <c r="C224" s="49" t="n"/>
      <c r="D224" s="49" t="n"/>
      <c r="E224" s="49" t="n"/>
      <c r="F224" s="49" t="n"/>
      <c r="H224" s="49" t="n"/>
      <c r="I224" s="49" t="n"/>
      <c r="J224" s="49" t="n"/>
    </row>
    <row r="225">
      <c r="B225" s="49" t="n"/>
      <c r="C225" s="49" t="n"/>
      <c r="D225" s="49" t="n"/>
      <c r="E225" s="49" t="n"/>
      <c r="F225" s="49" t="n"/>
      <c r="H225" s="49" t="n"/>
      <c r="I225" s="49" t="n"/>
      <c r="J225" s="49" t="n"/>
    </row>
    <row r="226">
      <c r="B226" s="49" t="n"/>
      <c r="C226" s="49" t="n"/>
      <c r="D226" s="49" t="n"/>
      <c r="E226" s="49" t="n"/>
      <c r="F226" s="49" t="n"/>
      <c r="H226" s="49" t="n"/>
      <c r="I226" s="49" t="n"/>
      <c r="J226" s="49" t="n"/>
    </row>
    <row r="227">
      <c r="B227" s="49" t="n"/>
      <c r="C227" s="49" t="n"/>
      <c r="D227" s="49" t="n"/>
      <c r="E227" s="49" t="n"/>
      <c r="F227" s="49" t="n"/>
      <c r="H227" s="49" t="n"/>
      <c r="I227" s="49" t="n"/>
      <c r="J227" s="49" t="n"/>
    </row>
    <row r="228">
      <c r="B228" s="49" t="n"/>
      <c r="C228" s="49" t="n"/>
      <c r="D228" s="49" t="n"/>
      <c r="E228" s="49" t="n"/>
      <c r="F228" s="49" t="n"/>
      <c r="H228" s="49" t="n"/>
      <c r="I228" s="49" t="n"/>
      <c r="J228" s="49" t="n"/>
    </row>
    <row r="229">
      <c r="B229" s="49" t="n"/>
      <c r="C229" s="49" t="n"/>
      <c r="D229" s="49" t="n"/>
      <c r="E229" s="49" t="n"/>
      <c r="F229" s="49" t="n"/>
      <c r="H229" s="49" t="n"/>
      <c r="I229" s="49" t="n"/>
      <c r="J229" s="49" t="n"/>
    </row>
    <row r="230">
      <c r="B230" s="49" t="n"/>
      <c r="C230" s="49" t="n"/>
      <c r="D230" s="49" t="n"/>
      <c r="E230" s="49" t="n"/>
      <c r="F230" s="49" t="n"/>
      <c r="H230" s="49" t="n"/>
      <c r="I230" s="49" t="n"/>
      <c r="J230" s="49" t="n"/>
    </row>
    <row r="231">
      <c r="B231" s="49" t="n"/>
      <c r="C231" s="49" t="n"/>
      <c r="D231" s="49" t="n"/>
      <c r="E231" s="49" t="n"/>
      <c r="F231" s="49" t="n"/>
      <c r="H231" s="49" t="n"/>
      <c r="I231" s="49" t="n"/>
      <c r="J231" s="49" t="n"/>
    </row>
    <row r="232">
      <c r="B232" s="49" t="n"/>
      <c r="C232" s="49" t="n"/>
      <c r="D232" s="49" t="n"/>
      <c r="E232" s="49" t="n"/>
      <c r="F232" s="49" t="n"/>
      <c r="H232" s="49" t="n"/>
      <c r="I232" s="49" t="n"/>
      <c r="J232" s="49" t="n"/>
    </row>
    <row r="233">
      <c r="B233" s="49" t="n"/>
      <c r="C233" s="49" t="n"/>
      <c r="D233" s="49" t="n"/>
      <c r="E233" s="49" t="n"/>
      <c r="F233" s="49" t="n"/>
      <c r="H233" s="49" t="n"/>
      <c r="I233" s="49" t="n"/>
      <c r="J233" s="49" t="n"/>
    </row>
    <row r="234">
      <c r="B234" s="49" t="n"/>
      <c r="C234" s="49" t="n"/>
      <c r="D234" s="49" t="n"/>
      <c r="E234" s="49" t="n"/>
      <c r="F234" s="49" t="n"/>
      <c r="H234" s="49" t="n"/>
      <c r="I234" s="49" t="n"/>
      <c r="J234" s="49" t="n"/>
    </row>
    <row r="235">
      <c r="B235" s="49" t="n"/>
      <c r="C235" s="49" t="n"/>
      <c r="D235" s="49" t="n"/>
      <c r="E235" s="49" t="n"/>
      <c r="F235" s="49" t="n"/>
      <c r="H235" s="49" t="n"/>
      <c r="I235" s="49" t="n"/>
      <c r="J235" s="49" t="n"/>
    </row>
    <row r="236">
      <c r="B236" s="49" t="n"/>
      <c r="C236" s="49" t="n"/>
      <c r="D236" s="49" t="n"/>
      <c r="E236" s="49" t="n"/>
      <c r="F236" s="49" t="n"/>
      <c r="H236" s="49" t="n"/>
      <c r="I236" s="49" t="n"/>
      <c r="J236" s="49" t="n"/>
    </row>
    <row r="237">
      <c r="B237" s="49" t="n"/>
      <c r="C237" s="49" t="n"/>
      <c r="D237" s="49" t="n"/>
      <c r="E237" s="49" t="n"/>
      <c r="F237" s="49" t="n"/>
      <c r="H237" s="49" t="n"/>
      <c r="I237" s="49" t="n"/>
      <c r="J237" s="49" t="n"/>
    </row>
    <row r="238">
      <c r="B238" s="49" t="n"/>
      <c r="C238" s="49" t="n"/>
      <c r="D238" s="49" t="n"/>
      <c r="E238" s="49" t="n"/>
      <c r="F238" s="49" t="n"/>
      <c r="H238" s="49" t="n"/>
      <c r="I238" s="49" t="n"/>
      <c r="J238" s="49" t="n"/>
    </row>
    <row r="239">
      <c r="B239" s="49" t="n"/>
      <c r="C239" s="49" t="n"/>
      <c r="D239" s="49" t="n"/>
      <c r="E239" s="49" t="n"/>
      <c r="F239" s="49" t="n"/>
      <c r="H239" s="49" t="n"/>
      <c r="I239" s="49" t="n"/>
      <c r="J239" s="49" t="n"/>
    </row>
    <row r="240">
      <c r="B240" s="49" t="n"/>
      <c r="C240" s="49" t="n"/>
      <c r="D240" s="49" t="n"/>
      <c r="E240" s="49" t="n"/>
      <c r="F240" s="49" t="n"/>
      <c r="H240" s="49" t="n"/>
      <c r="I240" s="49" t="n"/>
      <c r="J240" s="49" t="n"/>
    </row>
    <row r="241">
      <c r="B241" s="49" t="n"/>
      <c r="C241" s="49" t="n"/>
      <c r="D241" s="49" t="n"/>
      <c r="E241" s="49" t="n"/>
      <c r="F241" s="49" t="n"/>
      <c r="H241" s="49" t="n"/>
      <c r="I241" s="49" t="n"/>
      <c r="J241" s="49" t="n"/>
    </row>
    <row r="242">
      <c r="B242" s="49" t="n"/>
      <c r="C242" s="49" t="n"/>
      <c r="D242" s="49" t="n"/>
      <c r="E242" s="49" t="n"/>
      <c r="F242" s="49" t="n"/>
      <c r="H242" s="49" t="n"/>
      <c r="I242" s="49" t="n"/>
      <c r="J242" s="49" t="n"/>
    </row>
    <row r="243">
      <c r="B243" s="49" t="n"/>
      <c r="C243" s="49" t="n"/>
      <c r="D243" s="49" t="n"/>
      <c r="E243" s="49" t="n"/>
      <c r="F243" s="49" t="n"/>
      <c r="H243" s="49" t="n"/>
      <c r="I243" s="49" t="n"/>
      <c r="J243" s="49" t="n"/>
    </row>
    <row r="244">
      <c r="B244" s="49" t="n"/>
      <c r="C244" s="49" t="n"/>
      <c r="D244" s="49" t="n"/>
      <c r="E244" s="49" t="n"/>
      <c r="F244" s="49" t="n"/>
      <c r="H244" s="49" t="n"/>
      <c r="I244" s="49" t="n"/>
      <c r="J244" s="49" t="n"/>
    </row>
    <row r="245">
      <c r="B245" s="49" t="n"/>
      <c r="C245" s="49" t="n"/>
      <c r="D245" s="49" t="n"/>
      <c r="E245" s="49" t="n"/>
      <c r="F245" s="49" t="n"/>
      <c r="H245" s="49" t="n"/>
      <c r="I245" s="49" t="n"/>
      <c r="J245" s="49" t="n"/>
    </row>
    <row r="246">
      <c r="B246" s="49" t="n"/>
      <c r="C246" s="49" t="n"/>
      <c r="D246" s="49" t="n"/>
      <c r="E246" s="49" t="n"/>
      <c r="F246" s="49" t="n"/>
      <c r="H246" s="49" t="n"/>
      <c r="I246" s="49" t="n"/>
      <c r="J246" s="49" t="n"/>
    </row>
    <row r="247">
      <c r="B247" s="49" t="n"/>
      <c r="C247" s="49" t="n"/>
      <c r="D247" s="49" t="n"/>
      <c r="E247" s="49" t="n"/>
      <c r="F247" s="49" t="n"/>
      <c r="H247" s="49" t="n"/>
      <c r="I247" s="49" t="n"/>
      <c r="J247" s="49" t="n"/>
    </row>
    <row r="248">
      <c r="B248" s="49" t="n"/>
      <c r="C248" s="49" t="n"/>
      <c r="D248" s="49" t="n"/>
      <c r="E248" s="49" t="n"/>
      <c r="F248" s="49" t="n"/>
      <c r="H248" s="49" t="n"/>
      <c r="I248" s="49" t="n"/>
      <c r="J248" s="49" t="n"/>
    </row>
    <row r="249">
      <c r="B249" s="49" t="n"/>
      <c r="C249" s="49" t="n"/>
      <c r="D249" s="49" t="n"/>
      <c r="E249" s="49" t="n"/>
      <c r="F249" s="49" t="n"/>
      <c r="H249" s="49" t="n"/>
      <c r="I249" s="49" t="n"/>
      <c r="J249" s="49" t="n"/>
    </row>
    <row r="250">
      <c r="B250" s="49" t="n"/>
      <c r="C250" s="49" t="n"/>
      <c r="D250" s="49" t="n"/>
      <c r="E250" s="49" t="n"/>
      <c r="F250" s="49" t="n"/>
      <c r="H250" s="49" t="n"/>
      <c r="I250" s="49" t="n"/>
      <c r="J250" s="49" t="n"/>
    </row>
    <row r="251">
      <c r="B251" s="49" t="n"/>
      <c r="C251" s="49" t="n"/>
      <c r="D251" s="49" t="n"/>
      <c r="E251" s="49" t="n"/>
      <c r="F251" s="49" t="n"/>
      <c r="H251" s="49" t="n"/>
      <c r="I251" s="49" t="n"/>
      <c r="J251" s="49" t="n"/>
    </row>
    <row r="252">
      <c r="B252" s="49" t="n"/>
      <c r="C252" s="49" t="n"/>
      <c r="D252" s="49" t="n"/>
      <c r="E252" s="49" t="n"/>
      <c r="F252" s="49" t="n"/>
      <c r="H252" s="49" t="n"/>
      <c r="I252" s="49" t="n"/>
      <c r="J252" s="49" t="n"/>
    </row>
    <row r="253">
      <c r="B253" s="49" t="n"/>
      <c r="C253" s="49" t="n"/>
      <c r="D253" s="49" t="n"/>
      <c r="E253" s="49" t="n"/>
      <c r="F253" s="49" t="n"/>
      <c r="H253" s="49" t="n"/>
      <c r="I253" s="49" t="n"/>
      <c r="J253" s="49" t="n"/>
    </row>
    <row r="254">
      <c r="B254" s="49" t="n"/>
      <c r="C254" s="49" t="n"/>
      <c r="D254" s="49" t="n"/>
      <c r="E254" s="49" t="n"/>
      <c r="F254" s="49" t="n"/>
      <c r="H254" s="49" t="n"/>
      <c r="I254" s="49" t="n"/>
      <c r="J254" s="49" t="n"/>
    </row>
    <row r="255">
      <c r="B255" s="49" t="n"/>
      <c r="C255" s="49" t="n"/>
      <c r="D255" s="49" t="n"/>
      <c r="E255" s="49" t="n"/>
      <c r="F255" s="49" t="n"/>
      <c r="H255" s="49" t="n"/>
      <c r="I255" s="49" t="n"/>
      <c r="J255" s="49" t="n"/>
    </row>
    <row r="256">
      <c r="B256" s="49" t="n"/>
      <c r="C256" s="49" t="n"/>
      <c r="D256" s="49" t="n"/>
      <c r="E256" s="49" t="n"/>
      <c r="F256" s="49" t="n"/>
      <c r="H256" s="49" t="n"/>
      <c r="I256" s="49" t="n"/>
      <c r="J256" s="49" t="n"/>
    </row>
    <row r="257">
      <c r="B257" s="49" t="n"/>
      <c r="C257" s="49" t="n"/>
      <c r="D257" s="49" t="n"/>
      <c r="E257" s="49" t="n"/>
      <c r="F257" s="49" t="n"/>
      <c r="H257" s="49" t="n"/>
      <c r="I257" s="49" t="n"/>
      <c r="J257" s="49" t="n"/>
    </row>
    <row r="258">
      <c r="B258" s="49" t="n"/>
      <c r="C258" s="49" t="n"/>
      <c r="D258" s="49" t="n"/>
      <c r="E258" s="49" t="n"/>
      <c r="F258" s="49" t="n"/>
      <c r="H258" s="49" t="n"/>
      <c r="I258" s="49" t="n"/>
      <c r="J258" s="49" t="n"/>
    </row>
    <row r="259">
      <c r="B259" s="49" t="n"/>
      <c r="C259" s="49" t="n"/>
      <c r="D259" s="49" t="n"/>
      <c r="E259" s="49" t="n"/>
      <c r="F259" s="49" t="n"/>
      <c r="H259" s="49" t="n"/>
      <c r="I259" s="49" t="n"/>
      <c r="J259" s="49" t="n"/>
    </row>
    <row r="260">
      <c r="B260" s="49" t="n"/>
      <c r="C260" s="49" t="n"/>
      <c r="D260" s="49" t="n"/>
      <c r="E260" s="49" t="n"/>
      <c r="F260" s="49" t="n"/>
      <c r="H260" s="49" t="n"/>
      <c r="I260" s="49" t="n"/>
      <c r="J260" s="49" t="n"/>
    </row>
    <row r="261">
      <c r="B261" s="49" t="n"/>
      <c r="C261" s="49" t="n"/>
      <c r="D261" s="49" t="n"/>
      <c r="E261" s="49" t="n"/>
      <c r="F261" s="49" t="n"/>
      <c r="H261" s="49" t="n"/>
      <c r="I261" s="49" t="n"/>
      <c r="J261" s="49" t="n"/>
    </row>
    <row r="262">
      <c r="B262" s="49" t="n"/>
      <c r="C262" s="49" t="n"/>
      <c r="D262" s="49" t="n"/>
      <c r="E262" s="49" t="n"/>
      <c r="F262" s="49" t="n"/>
      <c r="H262" s="49" t="n"/>
      <c r="I262" s="49" t="n"/>
      <c r="J262" s="49" t="n"/>
    </row>
    <row r="263">
      <c r="B263" s="49" t="n"/>
      <c r="C263" s="49" t="n"/>
      <c r="D263" s="49" t="n"/>
      <c r="E263" s="49" t="n"/>
      <c r="F263" s="49" t="n"/>
      <c r="H263" s="49" t="n"/>
      <c r="I263" s="49" t="n"/>
      <c r="J263" s="49" t="n"/>
    </row>
    <row r="264">
      <c r="B264" s="49" t="n"/>
      <c r="C264" s="49" t="n"/>
      <c r="D264" s="49" t="n"/>
      <c r="E264" s="49" t="n"/>
      <c r="F264" s="49" t="n"/>
      <c r="H264" s="49" t="n"/>
      <c r="I264" s="49" t="n"/>
      <c r="J264" s="49" t="n"/>
    </row>
    <row r="265">
      <c r="B265" s="49" t="n"/>
      <c r="C265" s="49" t="n"/>
      <c r="D265" s="49" t="n"/>
      <c r="E265" s="49" t="n"/>
      <c r="F265" s="49" t="n"/>
      <c r="H265" s="49" t="n"/>
      <c r="I265" s="49" t="n"/>
      <c r="J265" s="49" t="n"/>
    </row>
    <row r="266">
      <c r="B266" s="49" t="n"/>
      <c r="C266" s="49" t="n"/>
      <c r="D266" s="49" t="n"/>
      <c r="E266" s="49" t="n"/>
      <c r="F266" s="49" t="n"/>
      <c r="H266" s="49" t="n"/>
      <c r="I266" s="49" t="n"/>
      <c r="J266" s="49" t="n"/>
    </row>
    <row r="267">
      <c r="B267" s="49" t="n"/>
      <c r="C267" s="49" t="n"/>
      <c r="D267" s="49" t="n"/>
      <c r="E267" s="49" t="n"/>
      <c r="F267" s="49" t="n"/>
      <c r="H267" s="49" t="n"/>
      <c r="I267" s="49" t="n"/>
      <c r="J267" s="49" t="n"/>
    </row>
    <row r="268">
      <c r="B268" s="49" t="n"/>
      <c r="C268" s="49" t="n"/>
      <c r="D268" s="49" t="n"/>
      <c r="E268" s="49" t="n"/>
      <c r="F268" s="49" t="n"/>
      <c r="H268" s="49" t="n"/>
      <c r="I268" s="49" t="n"/>
      <c r="J268" s="49" t="n"/>
    </row>
    <row r="269">
      <c r="B269" s="49" t="n"/>
      <c r="C269" s="49" t="n"/>
      <c r="D269" s="49" t="n"/>
      <c r="E269" s="49" t="n"/>
      <c r="F269" s="49" t="n"/>
      <c r="H269" s="49" t="n"/>
      <c r="I269" s="49" t="n"/>
      <c r="J269" s="49" t="n"/>
    </row>
    <row r="270">
      <c r="B270" s="49" t="n"/>
      <c r="C270" s="49" t="n"/>
      <c r="D270" s="49" t="n"/>
      <c r="E270" s="49" t="n"/>
      <c r="F270" s="49" t="n"/>
      <c r="H270" s="49" t="n"/>
      <c r="I270" s="49" t="n"/>
      <c r="J270" s="49" t="n"/>
    </row>
    <row r="271">
      <c r="B271" s="49" t="n"/>
      <c r="C271" s="49" t="n"/>
      <c r="D271" s="49" t="n"/>
      <c r="E271" s="49" t="n"/>
      <c r="F271" s="49" t="n"/>
      <c r="H271" s="49" t="n"/>
      <c r="I271" s="49" t="n"/>
      <c r="J271" s="49" t="n"/>
    </row>
    <row r="272">
      <c r="B272" s="49" t="n"/>
      <c r="C272" s="49" t="n"/>
      <c r="D272" s="49" t="n"/>
      <c r="E272" s="49" t="n"/>
      <c r="F272" s="49" t="n"/>
      <c r="H272" s="49" t="n"/>
      <c r="I272" s="49" t="n"/>
      <c r="J272" s="49" t="n"/>
    </row>
    <row r="273">
      <c r="B273" s="49" t="n"/>
      <c r="C273" s="49" t="n"/>
      <c r="D273" s="49" t="n"/>
      <c r="E273" s="49" t="n"/>
      <c r="F273" s="49" t="n"/>
      <c r="H273" s="49" t="n"/>
      <c r="I273" s="49" t="n"/>
      <c r="J273" s="49" t="n"/>
    </row>
    <row r="274">
      <c r="B274" s="49" t="n"/>
      <c r="C274" s="49" t="n"/>
      <c r="D274" s="49" t="n"/>
      <c r="E274" s="49" t="n"/>
      <c r="F274" s="49" t="n"/>
      <c r="H274" s="49" t="n"/>
      <c r="I274" s="49" t="n"/>
      <c r="J274" s="49" t="n"/>
    </row>
    <row r="275">
      <c r="B275" s="49" t="n"/>
      <c r="C275" s="49" t="n"/>
      <c r="D275" s="49" t="n"/>
      <c r="E275" s="49" t="n"/>
      <c r="F275" s="49" t="n"/>
      <c r="H275" s="49" t="n"/>
      <c r="I275" s="49" t="n"/>
      <c r="J275" s="49" t="n"/>
    </row>
    <row r="276">
      <c r="B276" s="49" t="n"/>
      <c r="C276" s="49" t="n"/>
      <c r="D276" s="49" t="n"/>
      <c r="E276" s="49" t="n"/>
      <c r="F276" s="49" t="n"/>
      <c r="H276" s="49" t="n"/>
      <c r="I276" s="49" t="n"/>
      <c r="J276" s="49" t="n"/>
    </row>
    <row r="277">
      <c r="B277" s="49" t="n"/>
      <c r="C277" s="49" t="n"/>
      <c r="D277" s="49" t="n"/>
      <c r="E277" s="49" t="n"/>
      <c r="F277" s="49" t="n"/>
      <c r="H277" s="49" t="n"/>
      <c r="I277" s="49" t="n"/>
      <c r="J277" s="49" t="n"/>
    </row>
    <row r="278">
      <c r="B278" s="49" t="n"/>
      <c r="C278" s="49" t="n"/>
      <c r="D278" s="49" t="n"/>
      <c r="E278" s="49" t="n"/>
      <c r="F278" s="49" t="n"/>
      <c r="H278" s="49" t="n"/>
      <c r="I278" s="49" t="n"/>
      <c r="J278" s="49" t="n"/>
    </row>
    <row r="279">
      <c r="B279" s="49" t="n"/>
      <c r="C279" s="49" t="n"/>
      <c r="D279" s="49" t="n"/>
      <c r="E279" s="49" t="n"/>
      <c r="F279" s="49" t="n"/>
      <c r="H279" s="49" t="n"/>
      <c r="I279" s="49" t="n"/>
      <c r="J279" s="49" t="n"/>
    </row>
    <row r="280">
      <c r="B280" s="49" t="n"/>
      <c r="C280" s="49" t="n"/>
      <c r="D280" s="49" t="n"/>
      <c r="E280" s="49" t="n"/>
      <c r="F280" s="49" t="n"/>
      <c r="H280" s="49" t="n"/>
      <c r="I280" s="49" t="n"/>
      <c r="J280" s="49" t="n"/>
    </row>
    <row r="281">
      <c r="B281" s="49" t="n"/>
      <c r="C281" s="49" t="n"/>
      <c r="D281" s="49" t="n"/>
      <c r="E281" s="49" t="n"/>
      <c r="F281" s="49" t="n"/>
      <c r="H281" s="49" t="n"/>
      <c r="I281" s="49" t="n"/>
      <c r="J281" s="49" t="n"/>
    </row>
    <row r="282">
      <c r="B282" s="49" t="n"/>
      <c r="C282" s="49" t="n"/>
      <c r="D282" s="49" t="n"/>
      <c r="E282" s="49" t="n"/>
      <c r="F282" s="49" t="n"/>
      <c r="H282" s="49" t="n"/>
      <c r="I282" s="49" t="n"/>
      <c r="J282" s="49" t="n"/>
    </row>
    <row r="283">
      <c r="B283" s="49" t="n"/>
      <c r="C283" s="49" t="n"/>
      <c r="D283" s="49" t="n"/>
      <c r="E283" s="49" t="n"/>
      <c r="F283" s="49" t="n"/>
      <c r="H283" s="49" t="n"/>
      <c r="I283" s="49" t="n"/>
      <c r="J283" s="49" t="n"/>
    </row>
    <row r="284">
      <c r="B284" s="49" t="n"/>
      <c r="C284" s="49" t="n"/>
      <c r="D284" s="49" t="n"/>
      <c r="E284" s="49" t="n"/>
      <c r="F284" s="49" t="n"/>
      <c r="H284" s="49" t="n"/>
      <c r="I284" s="49" t="n"/>
      <c r="J284" s="49" t="n"/>
    </row>
    <row r="285">
      <c r="B285" s="49" t="n"/>
      <c r="C285" s="49" t="n"/>
      <c r="D285" s="49" t="n"/>
      <c r="E285" s="49" t="n"/>
      <c r="F285" s="49" t="n"/>
      <c r="H285" s="49" t="n"/>
      <c r="I285" s="49" t="n"/>
      <c r="J285" s="49" t="n"/>
    </row>
    <row r="286">
      <c r="B286" s="49" t="n"/>
      <c r="C286" s="49" t="n"/>
      <c r="D286" s="49" t="n"/>
      <c r="E286" s="49" t="n"/>
      <c r="F286" s="49" t="n"/>
      <c r="H286" s="49" t="n"/>
      <c r="I286" s="49" t="n"/>
      <c r="J286" s="49" t="n"/>
    </row>
    <row r="287">
      <c r="B287" s="49" t="n"/>
      <c r="C287" s="49" t="n"/>
      <c r="D287" s="49" t="n"/>
      <c r="E287" s="49" t="n"/>
      <c r="F287" s="49" t="n"/>
      <c r="H287" s="49" t="n"/>
      <c r="I287" s="49" t="n"/>
      <c r="J287" s="49" t="n"/>
    </row>
    <row r="288">
      <c r="B288" s="49" t="n"/>
      <c r="C288" s="49" t="n"/>
      <c r="D288" s="49" t="n"/>
      <c r="E288" s="49" t="n"/>
      <c r="F288" s="49" t="n"/>
      <c r="H288" s="49" t="n"/>
      <c r="I288" s="49" t="n"/>
      <c r="J288" s="49" t="n"/>
    </row>
    <row r="289">
      <c r="B289" s="49" t="n"/>
      <c r="C289" s="49" t="n"/>
      <c r="D289" s="49" t="n"/>
      <c r="E289" s="49" t="n"/>
      <c r="F289" s="49" t="n"/>
      <c r="H289" s="49" t="n"/>
      <c r="I289" s="49" t="n"/>
      <c r="J289" s="49" t="n"/>
    </row>
    <row r="290">
      <c r="B290" s="49" t="n"/>
      <c r="C290" s="49" t="n"/>
      <c r="D290" s="49" t="n"/>
      <c r="E290" s="49" t="n"/>
      <c r="F290" s="49" t="n"/>
      <c r="H290" s="49" t="n"/>
      <c r="I290" s="49" t="n"/>
      <c r="J290" s="49" t="n"/>
    </row>
    <row r="291">
      <c r="B291" s="49" t="n"/>
      <c r="C291" s="49" t="n"/>
      <c r="D291" s="49" t="n"/>
      <c r="E291" s="49" t="n"/>
      <c r="F291" s="49" t="n"/>
      <c r="H291" s="49" t="n"/>
      <c r="I291" s="49" t="n"/>
      <c r="J291" s="49" t="n"/>
    </row>
    <row r="292">
      <c r="B292" s="49" t="n"/>
      <c r="C292" s="49" t="n"/>
      <c r="D292" s="49" t="n"/>
      <c r="E292" s="49" t="n"/>
      <c r="F292" s="49" t="n"/>
      <c r="H292" s="49" t="n"/>
      <c r="I292" s="49" t="n"/>
      <c r="J292" s="49" t="n"/>
    </row>
    <row r="293">
      <c r="B293" s="49" t="n"/>
      <c r="C293" s="49" t="n"/>
      <c r="D293" s="49" t="n"/>
      <c r="E293" s="49" t="n"/>
      <c r="F293" s="49" t="n"/>
      <c r="H293" s="49" t="n"/>
      <c r="I293" s="49" t="n"/>
      <c r="J293" s="49" t="n"/>
    </row>
    <row r="294">
      <c r="B294" s="49" t="n"/>
      <c r="C294" s="49" t="n"/>
      <c r="D294" s="49" t="n"/>
      <c r="E294" s="49" t="n"/>
      <c r="F294" s="49" t="n"/>
      <c r="H294" s="49" t="n"/>
      <c r="I294" s="49" t="n"/>
      <c r="J294" s="49" t="n"/>
    </row>
    <row r="295">
      <c r="B295" s="49" t="n"/>
      <c r="C295" s="49" t="n"/>
      <c r="D295" s="49" t="n"/>
      <c r="E295" s="49" t="n"/>
      <c r="F295" s="49" t="n"/>
      <c r="H295" s="49" t="n"/>
      <c r="I295" s="49" t="n"/>
      <c r="J295" s="49" t="n"/>
    </row>
    <row r="296">
      <c r="B296" s="49" t="n"/>
      <c r="C296" s="49" t="n"/>
      <c r="D296" s="49" t="n"/>
      <c r="E296" s="49" t="n"/>
      <c r="F296" s="49" t="n"/>
      <c r="H296" s="49" t="n"/>
      <c r="I296" s="49" t="n"/>
      <c r="J296" s="49" t="n"/>
    </row>
    <row r="297">
      <c r="B297" s="49" t="n"/>
      <c r="C297" s="49" t="n"/>
      <c r="D297" s="49" t="n"/>
      <c r="E297" s="49" t="n"/>
      <c r="F297" s="49" t="n"/>
      <c r="H297" s="49" t="n"/>
      <c r="I297" s="49" t="n"/>
      <c r="J297" s="49" t="n"/>
    </row>
    <row r="298">
      <c r="B298" s="49" t="n"/>
      <c r="C298" s="49" t="n"/>
      <c r="D298" s="49" t="n"/>
      <c r="E298" s="49" t="n"/>
      <c r="F298" s="49" t="n"/>
      <c r="H298" s="49" t="n"/>
      <c r="I298" s="49" t="n"/>
      <c r="J298" s="49" t="n"/>
    </row>
    <row r="299">
      <c r="B299" s="49" t="n"/>
      <c r="C299" s="49" t="n"/>
      <c r="D299" s="49" t="n"/>
      <c r="E299" s="49" t="n"/>
      <c r="F299" s="49" t="n"/>
      <c r="H299" s="49" t="n"/>
      <c r="I299" s="49" t="n"/>
      <c r="J299" s="49" t="n"/>
    </row>
    <row r="300">
      <c r="B300" s="49" t="n"/>
      <c r="C300" s="49" t="n"/>
      <c r="D300" s="49" t="n"/>
      <c r="E300" s="49" t="n"/>
      <c r="F300" s="49" t="n"/>
      <c r="H300" s="49" t="n"/>
      <c r="I300" s="49" t="n"/>
      <c r="J300" s="49" t="n"/>
    </row>
    <row r="301">
      <c r="B301" s="49" t="n"/>
      <c r="C301" s="49" t="n"/>
      <c r="D301" s="49" t="n"/>
      <c r="E301" s="49" t="n"/>
      <c r="F301" s="49" t="n"/>
      <c r="H301" s="49" t="n"/>
      <c r="I301" s="49" t="n"/>
      <c r="J301" s="49" t="n"/>
    </row>
    <row r="302">
      <c r="B302" s="49" t="n"/>
      <c r="C302" s="49" t="n"/>
      <c r="D302" s="49" t="n"/>
      <c r="E302" s="49" t="n"/>
      <c r="F302" s="49" t="n"/>
      <c r="H302" s="49" t="n"/>
      <c r="I302" s="49" t="n"/>
      <c r="J302" s="49" t="n"/>
    </row>
    <row r="303">
      <c r="B303" s="49" t="n"/>
      <c r="C303" s="49" t="n"/>
      <c r="D303" s="49" t="n"/>
      <c r="E303" s="49" t="n"/>
      <c r="F303" s="49" t="n"/>
      <c r="H303" s="49" t="n"/>
      <c r="I303" s="49" t="n"/>
      <c r="J303" s="49" t="n"/>
    </row>
    <row r="304">
      <c r="B304" s="49" t="n"/>
      <c r="C304" s="49" t="n"/>
      <c r="D304" s="49" t="n"/>
      <c r="E304" s="49" t="n"/>
      <c r="F304" s="49" t="n"/>
      <c r="H304" s="49" t="n"/>
      <c r="I304" s="49" t="n"/>
      <c r="J304" s="49" t="n"/>
    </row>
    <row r="305">
      <c r="B305" s="49" t="n"/>
      <c r="C305" s="49" t="n"/>
      <c r="D305" s="49" t="n"/>
      <c r="E305" s="49" t="n"/>
      <c r="F305" s="49" t="n"/>
      <c r="H305" s="49" t="n"/>
      <c r="I305" s="49" t="n"/>
      <c r="J305" s="49" t="n"/>
    </row>
    <row r="306">
      <c r="B306" s="49" t="n"/>
      <c r="C306" s="49" t="n"/>
      <c r="D306" s="49" t="n"/>
      <c r="E306" s="49" t="n"/>
      <c r="F306" s="49" t="n"/>
      <c r="H306" s="49" t="n"/>
      <c r="I306" s="49" t="n"/>
      <c r="J306" s="49" t="n"/>
    </row>
    <row r="307">
      <c r="B307" s="49" t="n"/>
      <c r="C307" s="49" t="n"/>
      <c r="D307" s="49" t="n"/>
      <c r="E307" s="49" t="n"/>
      <c r="F307" s="49" t="n"/>
      <c r="H307" s="49" t="n"/>
      <c r="I307" s="49" t="n"/>
      <c r="J307" s="49" t="n"/>
    </row>
    <row r="308">
      <c r="B308" s="49" t="n"/>
      <c r="C308" s="49" t="n"/>
      <c r="D308" s="49" t="n"/>
      <c r="E308" s="49" t="n"/>
      <c r="F308" s="49" t="n"/>
      <c r="H308" s="49" t="n"/>
      <c r="I308" s="49" t="n"/>
      <c r="J308" s="49" t="n"/>
    </row>
    <row r="309">
      <c r="B309" s="49" t="n"/>
      <c r="C309" s="49" t="n"/>
      <c r="D309" s="49" t="n"/>
      <c r="E309" s="49" t="n"/>
      <c r="F309" s="49" t="n"/>
      <c r="H309" s="49" t="n"/>
      <c r="I309" s="49" t="n"/>
      <c r="J309" s="49" t="n"/>
    </row>
    <row r="310">
      <c r="B310" s="49" t="n"/>
      <c r="C310" s="49" t="n"/>
      <c r="D310" s="49" t="n"/>
      <c r="E310" s="49" t="n"/>
      <c r="F310" s="49" t="n"/>
      <c r="H310" s="49" t="n"/>
      <c r="I310" s="49" t="n"/>
      <c r="J310" s="49" t="n"/>
    </row>
    <row r="311">
      <c r="B311" s="49" t="n"/>
      <c r="C311" s="49" t="n"/>
      <c r="D311" s="49" t="n"/>
      <c r="E311" s="49" t="n"/>
      <c r="F311" s="49" t="n"/>
      <c r="H311" s="49" t="n"/>
      <c r="I311" s="49" t="n"/>
      <c r="J311" s="49" t="n"/>
    </row>
    <row r="312">
      <c r="B312" s="49" t="n"/>
      <c r="C312" s="49" t="n"/>
      <c r="D312" s="49" t="n"/>
      <c r="E312" s="49" t="n"/>
      <c r="F312" s="49" t="n"/>
      <c r="H312" s="49" t="n"/>
      <c r="I312" s="49" t="n"/>
      <c r="J312" s="49" t="n"/>
    </row>
    <row r="313">
      <c r="B313" s="49" t="n"/>
      <c r="C313" s="49" t="n"/>
      <c r="D313" s="49" t="n"/>
      <c r="E313" s="49" t="n"/>
      <c r="F313" s="49" t="n"/>
      <c r="H313" s="49" t="n"/>
      <c r="I313" s="49" t="n"/>
      <c r="J313" s="49" t="n"/>
    </row>
    <row r="314">
      <c r="B314" s="49" t="n"/>
      <c r="C314" s="49" t="n"/>
      <c r="D314" s="49" t="n"/>
      <c r="E314" s="49" t="n"/>
      <c r="F314" s="49" t="n"/>
      <c r="H314" s="49" t="n"/>
      <c r="I314" s="49" t="n"/>
      <c r="J314" s="49" t="n"/>
    </row>
    <row r="315">
      <c r="B315" s="49" t="n"/>
      <c r="C315" s="49" t="n"/>
      <c r="D315" s="49" t="n"/>
      <c r="E315" s="49" t="n"/>
      <c r="F315" s="49" t="n"/>
      <c r="H315" s="49" t="n"/>
      <c r="I315" s="49" t="n"/>
      <c r="J315" s="49" t="n"/>
    </row>
    <row r="316">
      <c r="B316" s="49" t="n"/>
      <c r="C316" s="49" t="n"/>
      <c r="D316" s="49" t="n"/>
      <c r="E316" s="49" t="n"/>
      <c r="F316" s="49" t="n"/>
      <c r="H316" s="49" t="n"/>
      <c r="I316" s="49" t="n"/>
      <c r="J316" s="49" t="n"/>
    </row>
    <row r="317">
      <c r="B317" s="49" t="n"/>
      <c r="C317" s="49" t="n"/>
      <c r="D317" s="49" t="n"/>
      <c r="E317" s="49" t="n"/>
      <c r="F317" s="49" t="n"/>
      <c r="H317" s="49" t="n"/>
      <c r="I317" s="49" t="n"/>
      <c r="J317" s="49" t="n"/>
    </row>
    <row r="318">
      <c r="B318" s="49" t="n"/>
      <c r="C318" s="49" t="n"/>
      <c r="D318" s="49" t="n"/>
      <c r="E318" s="49" t="n"/>
      <c r="F318" s="49" t="n"/>
      <c r="H318" s="49" t="n"/>
      <c r="I318" s="49" t="n"/>
      <c r="J318" s="49" t="n"/>
    </row>
  </sheetData>
  <mergeCells count="9">
    <mergeCell ref="B7:J7"/>
    <mergeCell ref="B3:J3"/>
    <mergeCell ref="B5:J5"/>
    <mergeCell ref="B11:C11"/>
    <mergeCell ref="D8:J8"/>
    <mergeCell ref="B9:J9"/>
    <mergeCell ref="B4:J4"/>
    <mergeCell ref="B8:C8"/>
    <mergeCell ref="B6:J6"/>
  </mergeCells>
  <conditionalFormatting sqref="E10">
    <cfRule type="cellIs" priority="1" operator="greaterThan" dxfId="5">
      <formula>0</formula>
    </cfRule>
  </conditionalFormatting>
  <conditionalFormatting sqref="B18:B318">
    <cfRule type="expression" priority="2" dxfId="6">
      <formula>AND(LEN($B18&amp;$C18&amp;$D18&amp;$E18&amp;$F18&amp;$G18&amp;$H18&amp;$I18&amp;$J18)&gt;0,B18="")</formula>
    </cfRule>
  </conditionalFormatting>
  <conditionalFormatting sqref="C18:C318">
    <cfRule type="expression" priority="3" dxfId="6">
      <formula>AND(LEN($B18&amp;$C18&amp;$D18&amp;$E18&amp;$F18&amp;$G18&amp;$H18&amp;$I18&amp;$J18)&gt;0,C18="")</formula>
    </cfRule>
  </conditionalFormatting>
  <conditionalFormatting sqref="F18:F318">
    <cfRule type="expression" priority="4" dxfId="6">
      <formula>AND(LEN($B18&amp;$C18&amp;$D18&amp;$E18&amp;$F18&amp;$G18&amp;$H18&amp;$I18&amp;$J18)&gt;0,F18="")</formula>
    </cfRule>
  </conditionalFormatting>
  <conditionalFormatting sqref="G18:G318">
    <cfRule type="expression" priority="5" dxfId="6">
      <formula>AND(LEN($B18&amp;$C18&amp;$D18&amp;$E18&amp;$F18&amp;$G18&amp;$H18&amp;$I18&amp;$J18)&gt;0,G18="")</formula>
    </cfRule>
  </conditionalFormatting>
  <conditionalFormatting sqref="H18:H318">
    <cfRule type="expression" priority="6" dxfId="6">
      <formula>AND(LEN($B18&amp;$C18&amp;$D18&amp;$E18&amp;$F18&amp;$G18&amp;$H18&amp;$I18&amp;$J18)&gt;0,H18="")</formula>
    </cfRule>
  </conditionalFormatting>
  <conditionalFormatting sqref="I18:I318">
    <cfRule type="expression" priority="7" dxfId="6">
      <formula>AND(LEN($B18&amp;$C18&amp;$D18&amp;$E18&amp;$F18&amp;$G18&amp;$H18&amp;$I18&amp;$J18)&gt;0,I18="")</formula>
    </cfRule>
  </conditionalFormatting>
  <conditionalFormatting sqref="J18:J318">
    <cfRule type="expression" priority="8" dxfId="6">
      <formula>AND(LEN($B18&amp;$C18&amp;$D18&amp;$E18&amp;$F18&amp;$G18&amp;$H18&amp;$I18&amp;$J18)&gt;0,J18="")</formula>
    </cfRule>
  </conditionalFormatting>
  <dataValidations count="10">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8:B318" showDropDown="0" showInputMessage="1" showErrorMessage="0" allowBlank="1" promptTitle="Charge code" prompt="Yes. Code of the charge"/>
    <dataValidation sqref="C18:C318" showDropDown="0" showInputMessage="1" showErrorMessage="0" allowBlank="1" promptTitle="Name" prompt="Yes. Name on the invoice"/>
    <dataValidation sqref="D18:D318" showDropDown="0" showInputMessage="1" showErrorMessage="1" allowBlank="1" errorTitle="Line code" error="The code is not in PM-01, column Line code. Enter it there first, or keep it if it is a code BIBS already holds." promptTitle="Line code" prompt="No. Line of the charge; blank = every line Allowed: Code of an existing line" type="list" errorStyle="warning">
      <formula1>=CODES_PM_01_LINE_CODE</formula1>
    </dataValidation>
    <dataValidation sqref="E18:E318" showDropDown="0" showInputMessage="1" showErrorMessage="1" allowBlank="1" errorTitle="Product code" error="The code is not in PM-01, column Risk code. Enter it there first, or keep it if it is a code BIBS already holds." promptTitle="Product code" prompt="No. Product of the charge; blank = every product Allowed: Code of an existing product" type="list" errorStyle="warning">
      <formula1>=CODES_PM_01_RISK_CODE</formula1>
    </dataValidation>
    <dataValidation sqref="F18:F318" showDropDown="0" showInputMessage="1" showErrorMessage="1" allowBlank="1" errorTitle="Basis" error="Choose a value of the list Basis (PM-04C) (sheet Reference lists)." promptTitle="Basis" prompt="Yes. Fixed amount or rate of the net premium Allowed: AMOUNT, RATE (list Basis (PM-04C))" type="list" errorStyle="stop">
      <formula1>=LIST_PM_04C_BASIS</formula1>
    </dataValidation>
    <dataValidation sqref="G18:G318" showDropDown="0" showInputMessage="1" showErrorMessage="1" allowBlank="1" errorTitle="Amount or rate %" error="Enter a number." promptTitle="Amount or rate %" prompt="Yes. Amount, or rate from 0 to 100 Allowed: A number" type="decimal" operator="greaterThanOrEqual">
      <formula1>-1E+15</formula1>
    </dataValidation>
    <dataValidation sqref="H18:H318" showDropDown="0" showInputMessage="1" showErrorMessage="1" allowBlank="1" errorTitle="VAT treatment" error="Choose a value of the list VAT treatment (PM-04C) (sheet Reference lists)." promptTitle="VAT treatment" prompt="Yes. VAT treatment of the charge Allowed: VATABLE, EXEMPT, ZERO_RATED (list VAT treatment (PM-04C))" type="list" errorStyle="stop">
      <formula1>=LIST_PM_04C_VAT_TREATMENT</formula1>
    </dataValidation>
    <dataValidation sqref="I18:I318" showDropDown="0" showInputMessage="1" showErrorMessage="1" allowBlank="1" errorTitle="GL account" error="The code is not in D0-06, column Account Code. Enter it there first, or keep it if it is a code BIBS already holds." promptTitle="GL account" prompt="Yes. Postable account the charge is credited to Allowed: Code of an existing account of the chart of accounts" type="list" errorStyle="warning">
      <formula1>=CODES_D0_06_ACCOUNT_CODE</formula1>
    </dataValidation>
    <dataValidation sqref="J18:J318" showDropDown="0" showInputMessage="1" showErrorMessage="0" allowBlank="1" promptTitle="Effective from / to" prompt="Yes. First day; last day after a semicolon, blank = open"/>
  </dataValidations>
  <hyperlinks>
    <hyperlink ref="A2" location="'Start here'!A1"/>
    <hyperlink ref="J2" location="'Questions and comments'!A1"/>
    <hyperlink ref="B8" location="'PM-01 Product catalogue'!A1"/>
    <hyperlink ref="D8" location="'D0-06 Chart of accounts'!A1"/>
    <hyperlink ref="D15" location="'PM-01 Product catalogue'!B16"/>
    <hyperlink ref="E15" location="'PM-01 Product catalogue'!H16"/>
    <hyperlink ref="F15" location="'Reference lists'!A507"/>
    <hyperlink ref="H15" location="'Reference lists'!A509"/>
    <hyperlink ref="I15" location="'D0-06 Chart of accounts'!C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9.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6" customWidth="1" min="2" max="2"/>
    <col width="19" customWidth="1" min="3" max="3"/>
    <col width="24" customWidth="1" min="4" max="4"/>
    <col width="28" customWidth="1" min="5" max="5"/>
    <col width="40" customWidth="1" min="6" max="6"/>
    <col width="24" customWidth="1" min="7" max="7"/>
  </cols>
  <sheetData>
    <row r="1" ht="26" customHeight="1">
      <c r="A1" s="25" t="inlineStr">
        <is>
          <t>PM-10 Incentive criteria</t>
        </is>
      </c>
      <c r="G1" s="26" t="inlineStr">
        <is>
          <t>Step 46 of 52</t>
        </is>
      </c>
    </row>
    <row r="2">
      <c r="A2" s="27" t="inlineStr">
        <is>
          <t>← Back to Start here</t>
        </is>
      </c>
      <c r="B2" s="28" t="inlineStr">
        <is>
          <t>Step 46 of 52. Fill in one row per record below the column headers; the guide above each column says what to enter.</t>
        </is>
      </c>
      <c r="G2" s="29" t="inlineStr">
        <is>
          <t>Ask a question →</t>
        </is>
      </c>
    </row>
    <row r="3" outlineLevel="1" ht="15.5" customHeight="1">
      <c r="A3" s="30" t="inlineStr">
        <is>
          <t>Purpose</t>
        </is>
      </c>
      <c r="B3" s="31" t="inlineStr">
        <is>
          <t>The incentive criteria (for example CPC2) with their value, the products matrix and the effective dates</t>
        </is>
      </c>
    </row>
    <row r="4" outlineLevel="1" ht="15.5" customHeight="1">
      <c r="A4" s="30" t="inlineStr">
        <is>
          <t>Provided by</t>
        </is>
      </c>
      <c r="B4" s="31" t="inlineStr">
        <is>
          <t>Incentive Maintenance user (MBS); Comptrollership (CPC2 definition, PQ04)</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Client &amp; Policy › Product Maintenance › Incentive Criteria,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PM-09 Lists of values and parameters →</t>
        </is>
      </c>
      <c r="C8" s="53" t="inlineStr">
        <is>
          <t>PM-01 Product catalogue →</t>
        </is>
      </c>
    </row>
    <row r="9" ht="26" customHeight="1">
      <c r="A9" s="34" t="inlineStr">
        <is>
          <t>Progress</t>
        </is>
      </c>
      <c r="B9" s="35" t="inlineStr">
        <is>
          <t>Rows entered</t>
        </is>
      </c>
      <c r="C9" s="36">
        <f>SUMPRODUCT(((ROW($B$17:$B$517)&gt;17)+($B$17&lt;&gt;"CPC2; CPC2 campaign 2028")&gt;0)*(LEN($B$17:$B$517&amp;$C$17:$C$517&amp;$D$17:$D$517&amp;$E$17:$E$517&amp;$F$17:$F$517&amp;$G$17:$G$517)&gt;0))</f>
        <v/>
      </c>
      <c r="D9" s="35" t="inlineStr">
        <is>
          <t>Mandatory cells missing</t>
        </is>
      </c>
      <c r="E9" s="36">
        <f>SUMPRODUCT(((ROW($B$17:$B$517)&gt;17)+($B$17&lt;&gt;"CPC2; CPC2 campaign 2028")&gt;0)*(LEN($B$17:$B$517&amp;$C$17:$C$517&amp;$D$17:$D$517&amp;$E$17:$E$517&amp;$F$17:$F$517&amp;$G$17:$G$517)&gt;0)*(($B$17:$B$517="")+($C$17:$C$517="")+($D$17:$D$517="")+($F$17:$F$517="")+($G$17:$G$517="")))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c r="G12" s="42" t="inlineStr">
        <is>
          <t>Yes</t>
        </is>
      </c>
    </row>
    <row r="13" ht="30" customHeight="1">
      <c r="A13" s="41" t="inlineStr">
        <is>
          <t>Format</t>
        </is>
      </c>
      <c r="B13" s="43" t="inlineStr">
        <is>
          <t>A-Z, 0-9, _ and -; text</t>
        </is>
      </c>
      <c r="C13" s="43" t="inlineStr">
        <is>
          <t>Code from the drop-down</t>
        </is>
      </c>
      <c r="D13" s="43" t="inlineStr">
        <is>
          <t>Text</t>
        </is>
      </c>
      <c r="E13" s="43" t="inlineStr">
        <is>
          <t>Text</t>
        </is>
      </c>
      <c r="F13" s="43" t="inlineStr">
        <is>
          <t>One product per line</t>
        </is>
      </c>
      <c r="G13" s="43" t="inlineStr">
        <is>
          <t>dd-MMM-yyyy; dd-MMM-yyyy</t>
        </is>
      </c>
    </row>
    <row r="14" ht="30" customHeight="1">
      <c r="A14" s="41" t="inlineStr">
        <is>
          <t>Allowed values</t>
        </is>
      </c>
      <c r="B14" s="43" t="inlineStr">
        <is>
          <t>Free entry</t>
        </is>
      </c>
      <c r="C14" s="51" t="inlineStr">
        <is>
          <t>OTHERS, MIGRATED (list Incentive type)</t>
        </is>
      </c>
      <c r="D14" s="43" t="inlineStr">
        <is>
          <t>Free entry</t>
        </is>
      </c>
      <c r="E14" s="43" t="inlineStr">
        <is>
          <t>Free entry</t>
        </is>
      </c>
      <c r="F14" s="51" t="inlineStr">
        <is>
          <t>Codes of PM-01 Product catalogue, column Risk code (one or more)</t>
        </is>
      </c>
      <c r="G14" s="43" t="inlineStr">
        <is>
          <t>Free entry</t>
        </is>
      </c>
    </row>
    <row r="15" ht="30" customHeight="1">
      <c r="A15" s="41" t="inlineStr">
        <is>
          <t>What to enter</t>
        </is>
      </c>
      <c r="B15" s="43" t="inlineStr">
        <is>
          <t>Code; name</t>
        </is>
      </c>
      <c r="C15" s="43" t="inlineStr">
        <is>
          <t>Incentive type</t>
        </is>
      </c>
      <c r="D15" s="43" t="inlineStr">
        <is>
          <t>Rate (%), Fixed amount or Rule; value</t>
        </is>
      </c>
      <c r="E15" s="43" t="inlineStr">
        <is>
          <t>Parameter and value pairs separated by semicolons</t>
        </is>
      </c>
      <c r="F15" s="43" t="inlineStr">
        <is>
          <t>Risk code; market segment (blank = every segment)</t>
        </is>
      </c>
      <c r="G15" s="43" t="inlineStr">
        <is>
          <t>First day; last day after a semicolon, blank = open</t>
        </is>
      </c>
    </row>
    <row r="16" ht="30" customHeight="1">
      <c r="A16" s="44" t="inlineStr">
        <is>
          <t>Row</t>
        </is>
      </c>
      <c r="B16" s="45" t="inlineStr">
        <is>
          <t>Code / Name *</t>
        </is>
      </c>
      <c r="C16" s="45" t="inlineStr">
        <is>
          <t>Incentive type *</t>
        </is>
      </c>
      <c r="D16" s="45" t="inlineStr">
        <is>
          <t>Value basis / Value *</t>
        </is>
      </c>
      <c r="E16" s="45" t="inlineStr">
        <is>
          <t>Rule parameters</t>
        </is>
      </c>
      <c r="F16" s="45" t="inlineStr">
        <is>
          <t>Products matrix: risk code / segment *</t>
        </is>
      </c>
      <c r="G16" s="45" t="inlineStr">
        <is>
          <t>Effective from / to *</t>
        </is>
      </c>
    </row>
    <row r="17" ht="18" customHeight="1">
      <c r="A17" s="46" t="inlineStr">
        <is>
          <t>Example – overwrite or delete</t>
        </is>
      </c>
      <c r="B17" s="47" t="inlineStr">
        <is>
          <t>CPC2; CPC2 campaign 2028</t>
        </is>
      </c>
      <c r="C17" s="47" t="inlineStr">
        <is>
          <t>OTHERS</t>
        </is>
      </c>
      <c r="D17" s="47" t="inlineStr">
        <is>
          <t>Rate (%); 1.00</t>
        </is>
      </c>
      <c r="E17" s="47" t="inlineStr">
        <is>
          <t>Minimum Gross Premium 5000</t>
        </is>
      </c>
      <c r="F17" s="47" t="inlineStr">
        <is>
          <t>MTR30; COMBANK</t>
        </is>
      </c>
      <c r="G17" s="47" t="inlineStr">
        <is>
          <t>01-Jan-2028</t>
        </is>
      </c>
    </row>
    <row r="18">
      <c r="B18" s="49" t="n"/>
      <c r="C18" s="49" t="n"/>
      <c r="D18" s="49" t="n"/>
      <c r="E18" s="49" t="n"/>
      <c r="F18" s="49" t="n"/>
      <c r="G18" s="49" t="n"/>
    </row>
    <row r="19">
      <c r="B19" s="49" t="n"/>
      <c r="C19" s="49" t="n"/>
      <c r="D19" s="49" t="n"/>
      <c r="E19" s="49" t="n"/>
      <c r="F19" s="49" t="n"/>
      <c r="G19" s="49" t="n"/>
    </row>
    <row r="20">
      <c r="B20" s="49" t="n"/>
      <c r="C20" s="49" t="n"/>
      <c r="D20" s="49" t="n"/>
      <c r="E20" s="49" t="n"/>
      <c r="F20" s="49" t="n"/>
      <c r="G20" s="49" t="n"/>
    </row>
    <row r="21">
      <c r="B21" s="49" t="n"/>
      <c r="C21" s="49" t="n"/>
      <c r="D21" s="49" t="n"/>
      <c r="E21" s="49" t="n"/>
      <c r="F21" s="49" t="n"/>
      <c r="G21" s="49" t="n"/>
    </row>
    <row r="22">
      <c r="B22" s="49" t="n"/>
      <c r="C22" s="49" t="n"/>
      <c r="D22" s="49" t="n"/>
      <c r="E22" s="49" t="n"/>
      <c r="F22" s="49" t="n"/>
      <c r="G22" s="49" t="n"/>
    </row>
    <row r="23">
      <c r="B23" s="49" t="n"/>
      <c r="C23" s="49" t="n"/>
      <c r="D23" s="49" t="n"/>
      <c r="E23" s="49" t="n"/>
      <c r="F23" s="49" t="n"/>
      <c r="G23" s="49" t="n"/>
    </row>
    <row r="24">
      <c r="B24" s="49" t="n"/>
      <c r="C24" s="49" t="n"/>
      <c r="D24" s="49" t="n"/>
      <c r="E24" s="49" t="n"/>
      <c r="F24" s="49" t="n"/>
      <c r="G24" s="49" t="n"/>
    </row>
    <row r="25">
      <c r="B25" s="49" t="n"/>
      <c r="C25" s="49" t="n"/>
      <c r="D25" s="49" t="n"/>
      <c r="E25" s="49" t="n"/>
      <c r="F25" s="49" t="n"/>
      <c r="G25" s="49" t="n"/>
    </row>
    <row r="26">
      <c r="B26" s="49" t="n"/>
      <c r="C26" s="49" t="n"/>
      <c r="D26" s="49" t="n"/>
      <c r="E26" s="49" t="n"/>
      <c r="F26" s="49" t="n"/>
      <c r="G26" s="49" t="n"/>
    </row>
    <row r="27">
      <c r="B27" s="49" t="n"/>
      <c r="C27" s="49" t="n"/>
      <c r="D27" s="49" t="n"/>
      <c r="E27" s="49" t="n"/>
      <c r="F27" s="49" t="n"/>
      <c r="G27" s="49" t="n"/>
    </row>
    <row r="28">
      <c r="B28" s="49" t="n"/>
      <c r="C28" s="49" t="n"/>
      <c r="D28" s="49" t="n"/>
      <c r="E28" s="49" t="n"/>
      <c r="F28" s="49" t="n"/>
      <c r="G28" s="49" t="n"/>
    </row>
    <row r="29">
      <c r="B29" s="49" t="n"/>
      <c r="C29" s="49" t="n"/>
      <c r="D29" s="49" t="n"/>
      <c r="E29" s="49" t="n"/>
      <c r="F29" s="49" t="n"/>
      <c r="G29" s="49" t="n"/>
    </row>
    <row r="30">
      <c r="B30" s="49" t="n"/>
      <c r="C30" s="49" t="n"/>
      <c r="D30" s="49" t="n"/>
      <c r="E30" s="49" t="n"/>
      <c r="F30" s="49" t="n"/>
      <c r="G30" s="49" t="n"/>
    </row>
    <row r="31">
      <c r="B31" s="49" t="n"/>
      <c r="C31" s="49" t="n"/>
      <c r="D31" s="49" t="n"/>
      <c r="E31" s="49" t="n"/>
      <c r="F31" s="49" t="n"/>
      <c r="G31" s="49" t="n"/>
    </row>
    <row r="32">
      <c r="B32" s="49" t="n"/>
      <c r="C32" s="49" t="n"/>
      <c r="D32" s="49" t="n"/>
      <c r="E32" s="49" t="n"/>
      <c r="F32" s="49" t="n"/>
      <c r="G32" s="49" t="n"/>
    </row>
    <row r="33">
      <c r="B33" s="49" t="n"/>
      <c r="C33" s="49" t="n"/>
      <c r="D33" s="49" t="n"/>
      <c r="E33" s="49" t="n"/>
      <c r="F33" s="49" t="n"/>
      <c r="G33" s="49" t="n"/>
    </row>
    <row r="34">
      <c r="B34" s="49" t="n"/>
      <c r="C34" s="49" t="n"/>
      <c r="D34" s="49" t="n"/>
      <c r="E34" s="49" t="n"/>
      <c r="F34" s="49" t="n"/>
      <c r="G34" s="49" t="n"/>
    </row>
    <row r="35">
      <c r="B35" s="49" t="n"/>
      <c r="C35" s="49" t="n"/>
      <c r="D35" s="49" t="n"/>
      <c r="E35" s="49" t="n"/>
      <c r="F35" s="49" t="n"/>
      <c r="G35" s="49" t="n"/>
    </row>
    <row r="36">
      <c r="B36" s="49" t="n"/>
      <c r="C36" s="49" t="n"/>
      <c r="D36" s="49" t="n"/>
      <c r="E36" s="49" t="n"/>
      <c r="F36" s="49" t="n"/>
      <c r="G36" s="49" t="n"/>
    </row>
    <row r="37">
      <c r="B37" s="49" t="n"/>
      <c r="C37" s="49" t="n"/>
      <c r="D37" s="49" t="n"/>
      <c r="E37" s="49" t="n"/>
      <c r="F37" s="49" t="n"/>
      <c r="G37" s="49" t="n"/>
    </row>
    <row r="38">
      <c r="B38" s="49" t="n"/>
      <c r="C38" s="49" t="n"/>
      <c r="D38" s="49" t="n"/>
      <c r="E38" s="49" t="n"/>
      <c r="F38" s="49" t="n"/>
      <c r="G38" s="49" t="n"/>
    </row>
    <row r="39">
      <c r="B39" s="49" t="n"/>
      <c r="C39" s="49" t="n"/>
      <c r="D39" s="49" t="n"/>
      <c r="E39" s="49" t="n"/>
      <c r="F39" s="49" t="n"/>
      <c r="G39" s="49" t="n"/>
    </row>
    <row r="40">
      <c r="B40" s="49" t="n"/>
      <c r="C40" s="49" t="n"/>
      <c r="D40" s="49" t="n"/>
      <c r="E40" s="49" t="n"/>
      <c r="F40" s="49" t="n"/>
      <c r="G40" s="49" t="n"/>
    </row>
    <row r="41">
      <c r="B41" s="49" t="n"/>
      <c r="C41" s="49" t="n"/>
      <c r="D41" s="49" t="n"/>
      <c r="E41" s="49" t="n"/>
      <c r="F41" s="49" t="n"/>
      <c r="G41" s="49" t="n"/>
    </row>
    <row r="42">
      <c r="B42" s="49" t="n"/>
      <c r="C42" s="49" t="n"/>
      <c r="D42" s="49" t="n"/>
      <c r="E42" s="49" t="n"/>
      <c r="F42" s="49" t="n"/>
      <c r="G42" s="49" t="n"/>
    </row>
    <row r="43">
      <c r="B43" s="49" t="n"/>
      <c r="C43" s="49" t="n"/>
      <c r="D43" s="49" t="n"/>
      <c r="E43" s="49" t="n"/>
      <c r="F43" s="49" t="n"/>
      <c r="G43" s="49" t="n"/>
    </row>
    <row r="44">
      <c r="B44" s="49" t="n"/>
      <c r="C44" s="49" t="n"/>
      <c r="D44" s="49" t="n"/>
      <c r="E44" s="49" t="n"/>
      <c r="F44" s="49" t="n"/>
      <c r="G44" s="49" t="n"/>
    </row>
    <row r="45">
      <c r="B45" s="49" t="n"/>
      <c r="C45" s="49" t="n"/>
      <c r="D45" s="49" t="n"/>
      <c r="E45" s="49" t="n"/>
      <c r="F45" s="49" t="n"/>
      <c r="G45" s="49" t="n"/>
    </row>
    <row r="46">
      <c r="B46" s="49" t="n"/>
      <c r="C46" s="49" t="n"/>
      <c r="D46" s="49" t="n"/>
      <c r="E46" s="49" t="n"/>
      <c r="F46" s="49" t="n"/>
      <c r="G46" s="49" t="n"/>
    </row>
    <row r="47">
      <c r="B47" s="49" t="n"/>
      <c r="C47" s="49" t="n"/>
      <c r="D47" s="49" t="n"/>
      <c r="E47" s="49" t="n"/>
      <c r="F47" s="49" t="n"/>
      <c r="G47" s="49" t="n"/>
    </row>
    <row r="48">
      <c r="B48" s="49" t="n"/>
      <c r="C48" s="49" t="n"/>
      <c r="D48" s="49" t="n"/>
      <c r="E48" s="49" t="n"/>
      <c r="F48" s="49" t="n"/>
      <c r="G48" s="49" t="n"/>
    </row>
    <row r="49">
      <c r="B49" s="49" t="n"/>
      <c r="C49" s="49" t="n"/>
      <c r="D49" s="49" t="n"/>
      <c r="E49" s="49" t="n"/>
      <c r="F49" s="49" t="n"/>
      <c r="G49" s="49" t="n"/>
    </row>
    <row r="50">
      <c r="B50" s="49" t="n"/>
      <c r="C50" s="49" t="n"/>
      <c r="D50" s="49" t="n"/>
      <c r="E50" s="49" t="n"/>
      <c r="F50" s="49" t="n"/>
      <c r="G50" s="49" t="n"/>
    </row>
    <row r="51">
      <c r="B51" s="49" t="n"/>
      <c r="C51" s="49" t="n"/>
      <c r="D51" s="49" t="n"/>
      <c r="E51" s="49" t="n"/>
      <c r="F51" s="49" t="n"/>
      <c r="G51" s="49" t="n"/>
    </row>
    <row r="52">
      <c r="B52" s="49" t="n"/>
      <c r="C52" s="49" t="n"/>
      <c r="D52" s="49" t="n"/>
      <c r="E52" s="49" t="n"/>
      <c r="F52" s="49" t="n"/>
      <c r="G52" s="49" t="n"/>
    </row>
    <row r="53">
      <c r="B53" s="49" t="n"/>
      <c r="C53" s="49" t="n"/>
      <c r="D53" s="49" t="n"/>
      <c r="E53" s="49" t="n"/>
      <c r="F53" s="49" t="n"/>
      <c r="G53" s="49" t="n"/>
    </row>
    <row r="54">
      <c r="B54" s="49" t="n"/>
      <c r="C54" s="49" t="n"/>
      <c r="D54" s="49" t="n"/>
      <c r="E54" s="49" t="n"/>
      <c r="F54" s="49" t="n"/>
      <c r="G54" s="49" t="n"/>
    </row>
    <row r="55">
      <c r="B55" s="49" t="n"/>
      <c r="C55" s="49" t="n"/>
      <c r="D55" s="49" t="n"/>
      <c r="E55" s="49" t="n"/>
      <c r="F55" s="49" t="n"/>
      <c r="G55" s="49" t="n"/>
    </row>
    <row r="56">
      <c r="B56" s="49" t="n"/>
      <c r="C56" s="49" t="n"/>
      <c r="D56" s="49" t="n"/>
      <c r="E56" s="49" t="n"/>
      <c r="F56" s="49" t="n"/>
      <c r="G56" s="49" t="n"/>
    </row>
    <row r="57">
      <c r="B57" s="49" t="n"/>
      <c r="C57" s="49" t="n"/>
      <c r="D57" s="49" t="n"/>
      <c r="E57" s="49" t="n"/>
      <c r="F57" s="49" t="n"/>
      <c r="G57" s="49" t="n"/>
    </row>
    <row r="58">
      <c r="B58" s="49" t="n"/>
      <c r="C58" s="49" t="n"/>
      <c r="D58" s="49" t="n"/>
      <c r="E58" s="49" t="n"/>
      <c r="F58" s="49" t="n"/>
      <c r="G58" s="49" t="n"/>
    </row>
    <row r="59">
      <c r="B59" s="49" t="n"/>
      <c r="C59" s="49" t="n"/>
      <c r="D59" s="49" t="n"/>
      <c r="E59" s="49" t="n"/>
      <c r="F59" s="49" t="n"/>
      <c r="G59" s="49" t="n"/>
    </row>
    <row r="60">
      <c r="B60" s="49" t="n"/>
      <c r="C60" s="49" t="n"/>
      <c r="D60" s="49" t="n"/>
      <c r="E60" s="49" t="n"/>
      <c r="F60" s="49" t="n"/>
      <c r="G60" s="49" t="n"/>
    </row>
    <row r="61">
      <c r="B61" s="49" t="n"/>
      <c r="C61" s="49" t="n"/>
      <c r="D61" s="49" t="n"/>
      <c r="E61" s="49" t="n"/>
      <c r="F61" s="49" t="n"/>
      <c r="G61" s="49" t="n"/>
    </row>
    <row r="62">
      <c r="B62" s="49" t="n"/>
      <c r="C62" s="49" t="n"/>
      <c r="D62" s="49" t="n"/>
      <c r="E62" s="49" t="n"/>
      <c r="F62" s="49" t="n"/>
      <c r="G62" s="49" t="n"/>
    </row>
    <row r="63">
      <c r="B63" s="49" t="n"/>
      <c r="C63" s="49" t="n"/>
      <c r="D63" s="49" t="n"/>
      <c r="E63" s="49" t="n"/>
      <c r="F63" s="49" t="n"/>
      <c r="G63" s="49" t="n"/>
    </row>
    <row r="64">
      <c r="B64" s="49" t="n"/>
      <c r="C64" s="49" t="n"/>
      <c r="D64" s="49" t="n"/>
      <c r="E64" s="49" t="n"/>
      <c r="F64" s="49" t="n"/>
      <c r="G64" s="49" t="n"/>
    </row>
    <row r="65">
      <c r="B65" s="49" t="n"/>
      <c r="C65" s="49" t="n"/>
      <c r="D65" s="49" t="n"/>
      <c r="E65" s="49" t="n"/>
      <c r="F65" s="49" t="n"/>
      <c r="G65" s="49" t="n"/>
    </row>
    <row r="66">
      <c r="B66" s="49" t="n"/>
      <c r="C66" s="49" t="n"/>
      <c r="D66" s="49" t="n"/>
      <c r="E66" s="49" t="n"/>
      <c r="F66" s="49" t="n"/>
      <c r="G66" s="49" t="n"/>
    </row>
    <row r="67">
      <c r="B67" s="49" t="n"/>
      <c r="C67" s="49" t="n"/>
      <c r="D67" s="49" t="n"/>
      <c r="E67" s="49" t="n"/>
      <c r="F67" s="49" t="n"/>
      <c r="G67" s="49" t="n"/>
    </row>
    <row r="68">
      <c r="B68" s="49" t="n"/>
      <c r="C68" s="49" t="n"/>
      <c r="D68" s="49" t="n"/>
      <c r="E68" s="49" t="n"/>
      <c r="F68" s="49" t="n"/>
      <c r="G68" s="49" t="n"/>
    </row>
    <row r="69">
      <c r="B69" s="49" t="n"/>
      <c r="C69" s="49" t="n"/>
      <c r="D69" s="49" t="n"/>
      <c r="E69" s="49" t="n"/>
      <c r="F69" s="49" t="n"/>
      <c r="G69" s="49" t="n"/>
    </row>
    <row r="70">
      <c r="B70" s="49" t="n"/>
      <c r="C70" s="49" t="n"/>
      <c r="D70" s="49" t="n"/>
      <c r="E70" s="49" t="n"/>
      <c r="F70" s="49" t="n"/>
      <c r="G70" s="49" t="n"/>
    </row>
    <row r="71">
      <c r="B71" s="49" t="n"/>
      <c r="C71" s="49" t="n"/>
      <c r="D71" s="49" t="n"/>
      <c r="E71" s="49" t="n"/>
      <c r="F71" s="49" t="n"/>
      <c r="G71" s="49" t="n"/>
    </row>
    <row r="72">
      <c r="B72" s="49" t="n"/>
      <c r="C72" s="49" t="n"/>
      <c r="D72" s="49" t="n"/>
      <c r="E72" s="49" t="n"/>
      <c r="F72" s="49" t="n"/>
      <c r="G72" s="49" t="n"/>
    </row>
    <row r="73">
      <c r="B73" s="49" t="n"/>
      <c r="C73" s="49" t="n"/>
      <c r="D73" s="49" t="n"/>
      <c r="E73" s="49" t="n"/>
      <c r="F73" s="49" t="n"/>
      <c r="G73" s="49" t="n"/>
    </row>
    <row r="74">
      <c r="B74" s="49" t="n"/>
      <c r="C74" s="49" t="n"/>
      <c r="D74" s="49" t="n"/>
      <c r="E74" s="49" t="n"/>
      <c r="F74" s="49" t="n"/>
      <c r="G74" s="49" t="n"/>
    </row>
    <row r="75">
      <c r="B75" s="49" t="n"/>
      <c r="C75" s="49" t="n"/>
      <c r="D75" s="49" t="n"/>
      <c r="E75" s="49" t="n"/>
      <c r="F75" s="49" t="n"/>
      <c r="G75" s="49" t="n"/>
    </row>
    <row r="76">
      <c r="B76" s="49" t="n"/>
      <c r="C76" s="49" t="n"/>
      <c r="D76" s="49" t="n"/>
      <c r="E76" s="49" t="n"/>
      <c r="F76" s="49" t="n"/>
      <c r="G76" s="49" t="n"/>
    </row>
    <row r="77">
      <c r="B77" s="49" t="n"/>
      <c r="C77" s="49" t="n"/>
      <c r="D77" s="49" t="n"/>
      <c r="E77" s="49" t="n"/>
      <c r="F77" s="49" t="n"/>
      <c r="G77" s="49" t="n"/>
    </row>
    <row r="78">
      <c r="B78" s="49" t="n"/>
      <c r="C78" s="49" t="n"/>
      <c r="D78" s="49" t="n"/>
      <c r="E78" s="49" t="n"/>
      <c r="F78" s="49" t="n"/>
      <c r="G78" s="49" t="n"/>
    </row>
    <row r="79">
      <c r="B79" s="49" t="n"/>
      <c r="C79" s="49" t="n"/>
      <c r="D79" s="49" t="n"/>
      <c r="E79" s="49" t="n"/>
      <c r="F79" s="49" t="n"/>
      <c r="G79" s="49" t="n"/>
    </row>
    <row r="80">
      <c r="B80" s="49" t="n"/>
      <c r="C80" s="49" t="n"/>
      <c r="D80" s="49" t="n"/>
      <c r="E80" s="49" t="n"/>
      <c r="F80" s="49" t="n"/>
      <c r="G80" s="49" t="n"/>
    </row>
    <row r="81">
      <c r="B81" s="49" t="n"/>
      <c r="C81" s="49" t="n"/>
      <c r="D81" s="49" t="n"/>
      <c r="E81" s="49" t="n"/>
      <c r="F81" s="49" t="n"/>
      <c r="G81" s="49" t="n"/>
    </row>
    <row r="82">
      <c r="B82" s="49" t="n"/>
      <c r="C82" s="49" t="n"/>
      <c r="D82" s="49" t="n"/>
      <c r="E82" s="49" t="n"/>
      <c r="F82" s="49" t="n"/>
      <c r="G82" s="49" t="n"/>
    </row>
    <row r="83">
      <c r="B83" s="49" t="n"/>
      <c r="C83" s="49" t="n"/>
      <c r="D83" s="49" t="n"/>
      <c r="E83" s="49" t="n"/>
      <c r="F83" s="49" t="n"/>
      <c r="G83" s="49" t="n"/>
    </row>
    <row r="84">
      <c r="B84" s="49" t="n"/>
      <c r="C84" s="49" t="n"/>
      <c r="D84" s="49" t="n"/>
      <c r="E84" s="49" t="n"/>
      <c r="F84" s="49" t="n"/>
      <c r="G84" s="49" t="n"/>
    </row>
    <row r="85">
      <c r="B85" s="49" t="n"/>
      <c r="C85" s="49" t="n"/>
      <c r="D85" s="49" t="n"/>
      <c r="E85" s="49" t="n"/>
      <c r="F85" s="49" t="n"/>
      <c r="G85" s="49" t="n"/>
    </row>
    <row r="86">
      <c r="B86" s="49" t="n"/>
      <c r="C86" s="49" t="n"/>
      <c r="D86" s="49" t="n"/>
      <c r="E86" s="49" t="n"/>
      <c r="F86" s="49" t="n"/>
      <c r="G86" s="49" t="n"/>
    </row>
    <row r="87">
      <c r="B87" s="49" t="n"/>
      <c r="C87" s="49" t="n"/>
      <c r="D87" s="49" t="n"/>
      <c r="E87" s="49" t="n"/>
      <c r="F87" s="49" t="n"/>
      <c r="G87" s="49" t="n"/>
    </row>
    <row r="88">
      <c r="B88" s="49" t="n"/>
      <c r="C88" s="49" t="n"/>
      <c r="D88" s="49" t="n"/>
      <c r="E88" s="49" t="n"/>
      <c r="F88" s="49" t="n"/>
      <c r="G88" s="49" t="n"/>
    </row>
    <row r="89">
      <c r="B89" s="49" t="n"/>
      <c r="C89" s="49" t="n"/>
      <c r="D89" s="49" t="n"/>
      <c r="E89" s="49" t="n"/>
      <c r="F89" s="49" t="n"/>
      <c r="G89" s="49" t="n"/>
    </row>
    <row r="90">
      <c r="B90" s="49" t="n"/>
      <c r="C90" s="49" t="n"/>
      <c r="D90" s="49" t="n"/>
      <c r="E90" s="49" t="n"/>
      <c r="F90" s="49" t="n"/>
      <c r="G90" s="49" t="n"/>
    </row>
    <row r="91">
      <c r="B91" s="49" t="n"/>
      <c r="C91" s="49" t="n"/>
      <c r="D91" s="49" t="n"/>
      <c r="E91" s="49" t="n"/>
      <c r="F91" s="49" t="n"/>
      <c r="G91" s="49" t="n"/>
    </row>
    <row r="92">
      <c r="B92" s="49" t="n"/>
      <c r="C92" s="49" t="n"/>
      <c r="D92" s="49" t="n"/>
      <c r="E92" s="49" t="n"/>
      <c r="F92" s="49" t="n"/>
      <c r="G92" s="49" t="n"/>
    </row>
    <row r="93">
      <c r="B93" s="49" t="n"/>
      <c r="C93" s="49" t="n"/>
      <c r="D93" s="49" t="n"/>
      <c r="E93" s="49" t="n"/>
      <c r="F93" s="49" t="n"/>
      <c r="G93" s="49" t="n"/>
    </row>
    <row r="94">
      <c r="B94" s="49" t="n"/>
      <c r="C94" s="49" t="n"/>
      <c r="D94" s="49" t="n"/>
      <c r="E94" s="49" t="n"/>
      <c r="F94" s="49" t="n"/>
      <c r="G94" s="49" t="n"/>
    </row>
    <row r="95">
      <c r="B95" s="49" t="n"/>
      <c r="C95" s="49" t="n"/>
      <c r="D95" s="49" t="n"/>
      <c r="E95" s="49" t="n"/>
      <c r="F95" s="49" t="n"/>
      <c r="G95" s="49" t="n"/>
    </row>
    <row r="96">
      <c r="B96" s="49" t="n"/>
      <c r="C96" s="49" t="n"/>
      <c r="D96" s="49" t="n"/>
      <c r="E96" s="49" t="n"/>
      <c r="F96" s="49" t="n"/>
      <c r="G96" s="49" t="n"/>
    </row>
    <row r="97">
      <c r="B97" s="49" t="n"/>
      <c r="C97" s="49" t="n"/>
      <c r="D97" s="49" t="n"/>
      <c r="E97" s="49" t="n"/>
      <c r="F97" s="49" t="n"/>
      <c r="G97" s="49" t="n"/>
    </row>
    <row r="98">
      <c r="B98" s="49" t="n"/>
      <c r="C98" s="49" t="n"/>
      <c r="D98" s="49" t="n"/>
      <c r="E98" s="49" t="n"/>
      <c r="F98" s="49" t="n"/>
      <c r="G98" s="49" t="n"/>
    </row>
    <row r="99">
      <c r="B99" s="49" t="n"/>
      <c r="C99" s="49" t="n"/>
      <c r="D99" s="49" t="n"/>
      <c r="E99" s="49" t="n"/>
      <c r="F99" s="49" t="n"/>
      <c r="G99" s="49" t="n"/>
    </row>
    <row r="100">
      <c r="B100" s="49" t="n"/>
      <c r="C100" s="49" t="n"/>
      <c r="D100" s="49" t="n"/>
      <c r="E100" s="49" t="n"/>
      <c r="F100" s="49" t="n"/>
      <c r="G100" s="49" t="n"/>
    </row>
    <row r="101">
      <c r="B101" s="49" t="n"/>
      <c r="C101" s="49" t="n"/>
      <c r="D101" s="49" t="n"/>
      <c r="E101" s="49" t="n"/>
      <c r="F101" s="49" t="n"/>
      <c r="G101" s="49" t="n"/>
    </row>
    <row r="102">
      <c r="B102" s="49" t="n"/>
      <c r="C102" s="49" t="n"/>
      <c r="D102" s="49" t="n"/>
      <c r="E102" s="49" t="n"/>
      <c r="F102" s="49" t="n"/>
      <c r="G102" s="49" t="n"/>
    </row>
    <row r="103">
      <c r="B103" s="49" t="n"/>
      <c r="C103" s="49" t="n"/>
      <c r="D103" s="49" t="n"/>
      <c r="E103" s="49" t="n"/>
      <c r="F103" s="49" t="n"/>
      <c r="G103" s="49" t="n"/>
    </row>
    <row r="104">
      <c r="B104" s="49" t="n"/>
      <c r="C104" s="49" t="n"/>
      <c r="D104" s="49" t="n"/>
      <c r="E104" s="49" t="n"/>
      <c r="F104" s="49" t="n"/>
      <c r="G104" s="49" t="n"/>
    </row>
    <row r="105">
      <c r="B105" s="49" t="n"/>
      <c r="C105" s="49" t="n"/>
      <c r="D105" s="49" t="n"/>
      <c r="E105" s="49" t="n"/>
      <c r="F105" s="49" t="n"/>
      <c r="G105" s="49" t="n"/>
    </row>
    <row r="106">
      <c r="B106" s="49" t="n"/>
      <c r="C106" s="49" t="n"/>
      <c r="D106" s="49" t="n"/>
      <c r="E106" s="49" t="n"/>
      <c r="F106" s="49" t="n"/>
      <c r="G106" s="49" t="n"/>
    </row>
    <row r="107">
      <c r="B107" s="49" t="n"/>
      <c r="C107" s="49" t="n"/>
      <c r="D107" s="49" t="n"/>
      <c r="E107" s="49" t="n"/>
      <c r="F107" s="49" t="n"/>
      <c r="G107" s="49" t="n"/>
    </row>
    <row r="108">
      <c r="B108" s="49" t="n"/>
      <c r="C108" s="49" t="n"/>
      <c r="D108" s="49" t="n"/>
      <c r="E108" s="49" t="n"/>
      <c r="F108" s="49" t="n"/>
      <c r="G108" s="49" t="n"/>
    </row>
    <row r="109">
      <c r="B109" s="49" t="n"/>
      <c r="C109" s="49" t="n"/>
      <c r="D109" s="49" t="n"/>
      <c r="E109" s="49" t="n"/>
      <c r="F109" s="49" t="n"/>
      <c r="G109" s="49" t="n"/>
    </row>
    <row r="110">
      <c r="B110" s="49" t="n"/>
      <c r="C110" s="49" t="n"/>
      <c r="D110" s="49" t="n"/>
      <c r="E110" s="49" t="n"/>
      <c r="F110" s="49" t="n"/>
      <c r="G110" s="49" t="n"/>
    </row>
    <row r="111">
      <c r="B111" s="49" t="n"/>
      <c r="C111" s="49" t="n"/>
      <c r="D111" s="49" t="n"/>
      <c r="E111" s="49" t="n"/>
      <c r="F111" s="49" t="n"/>
      <c r="G111" s="49" t="n"/>
    </row>
    <row r="112">
      <c r="B112" s="49" t="n"/>
      <c r="C112" s="49" t="n"/>
      <c r="D112" s="49" t="n"/>
      <c r="E112" s="49" t="n"/>
      <c r="F112" s="49" t="n"/>
      <c r="G112" s="49" t="n"/>
    </row>
    <row r="113">
      <c r="B113" s="49" t="n"/>
      <c r="C113" s="49" t="n"/>
      <c r="D113" s="49" t="n"/>
      <c r="E113" s="49" t="n"/>
      <c r="F113" s="49" t="n"/>
      <c r="G113" s="49" t="n"/>
    </row>
    <row r="114">
      <c r="B114" s="49" t="n"/>
      <c r="C114" s="49" t="n"/>
      <c r="D114" s="49" t="n"/>
      <c r="E114" s="49" t="n"/>
      <c r="F114" s="49" t="n"/>
      <c r="G114" s="49" t="n"/>
    </row>
    <row r="115">
      <c r="B115" s="49" t="n"/>
      <c r="C115" s="49" t="n"/>
      <c r="D115" s="49" t="n"/>
      <c r="E115" s="49" t="n"/>
      <c r="F115" s="49" t="n"/>
      <c r="G115" s="49" t="n"/>
    </row>
    <row r="116">
      <c r="B116" s="49" t="n"/>
      <c r="C116" s="49" t="n"/>
      <c r="D116" s="49" t="n"/>
      <c r="E116" s="49" t="n"/>
      <c r="F116" s="49" t="n"/>
      <c r="G116" s="49" t="n"/>
    </row>
    <row r="117">
      <c r="B117" s="49" t="n"/>
      <c r="C117" s="49" t="n"/>
      <c r="D117" s="49" t="n"/>
      <c r="E117" s="49" t="n"/>
      <c r="F117" s="49" t="n"/>
      <c r="G117" s="49" t="n"/>
    </row>
    <row r="118">
      <c r="B118" s="49" t="n"/>
      <c r="C118" s="49" t="n"/>
      <c r="D118" s="49" t="n"/>
      <c r="E118" s="49" t="n"/>
      <c r="F118" s="49" t="n"/>
      <c r="G118" s="49" t="n"/>
    </row>
    <row r="119">
      <c r="B119" s="49" t="n"/>
      <c r="C119" s="49" t="n"/>
      <c r="D119" s="49" t="n"/>
      <c r="E119" s="49" t="n"/>
      <c r="F119" s="49" t="n"/>
      <c r="G119" s="49" t="n"/>
    </row>
    <row r="120">
      <c r="B120" s="49" t="n"/>
      <c r="C120" s="49" t="n"/>
      <c r="D120" s="49" t="n"/>
      <c r="E120" s="49" t="n"/>
      <c r="F120" s="49" t="n"/>
      <c r="G120" s="49" t="n"/>
    </row>
    <row r="121">
      <c r="B121" s="49" t="n"/>
      <c r="C121" s="49" t="n"/>
      <c r="D121" s="49" t="n"/>
      <c r="E121" s="49" t="n"/>
      <c r="F121" s="49" t="n"/>
      <c r="G121" s="49" t="n"/>
    </row>
    <row r="122">
      <c r="B122" s="49" t="n"/>
      <c r="C122" s="49" t="n"/>
      <c r="D122" s="49" t="n"/>
      <c r="E122" s="49" t="n"/>
      <c r="F122" s="49" t="n"/>
      <c r="G122" s="49" t="n"/>
    </row>
    <row r="123">
      <c r="B123" s="49" t="n"/>
      <c r="C123" s="49" t="n"/>
      <c r="D123" s="49" t="n"/>
      <c r="E123" s="49" t="n"/>
      <c r="F123" s="49" t="n"/>
      <c r="G123" s="49" t="n"/>
    </row>
    <row r="124">
      <c r="B124" s="49" t="n"/>
      <c r="C124" s="49" t="n"/>
      <c r="D124" s="49" t="n"/>
      <c r="E124" s="49" t="n"/>
      <c r="F124" s="49" t="n"/>
      <c r="G124" s="49" t="n"/>
    </row>
    <row r="125">
      <c r="B125" s="49" t="n"/>
      <c r="C125" s="49" t="n"/>
      <c r="D125" s="49" t="n"/>
      <c r="E125" s="49" t="n"/>
      <c r="F125" s="49" t="n"/>
      <c r="G125" s="49" t="n"/>
    </row>
    <row r="126">
      <c r="B126" s="49" t="n"/>
      <c r="C126" s="49" t="n"/>
      <c r="D126" s="49" t="n"/>
      <c r="E126" s="49" t="n"/>
      <c r="F126" s="49" t="n"/>
      <c r="G126" s="49" t="n"/>
    </row>
    <row r="127">
      <c r="B127" s="49" t="n"/>
      <c r="C127" s="49" t="n"/>
      <c r="D127" s="49" t="n"/>
      <c r="E127" s="49" t="n"/>
      <c r="F127" s="49" t="n"/>
      <c r="G127" s="49" t="n"/>
    </row>
    <row r="128">
      <c r="B128" s="49" t="n"/>
      <c r="C128" s="49" t="n"/>
      <c r="D128" s="49" t="n"/>
      <c r="E128" s="49" t="n"/>
      <c r="F128" s="49" t="n"/>
      <c r="G128" s="49" t="n"/>
    </row>
    <row r="129">
      <c r="B129" s="49" t="n"/>
      <c r="C129" s="49" t="n"/>
      <c r="D129" s="49" t="n"/>
      <c r="E129" s="49" t="n"/>
      <c r="F129" s="49" t="n"/>
      <c r="G129" s="49" t="n"/>
    </row>
    <row r="130">
      <c r="B130" s="49" t="n"/>
      <c r="C130" s="49" t="n"/>
      <c r="D130" s="49" t="n"/>
      <c r="E130" s="49" t="n"/>
      <c r="F130" s="49" t="n"/>
      <c r="G130" s="49" t="n"/>
    </row>
    <row r="131">
      <c r="B131" s="49" t="n"/>
      <c r="C131" s="49" t="n"/>
      <c r="D131" s="49" t="n"/>
      <c r="E131" s="49" t="n"/>
      <c r="F131" s="49" t="n"/>
      <c r="G131" s="49" t="n"/>
    </row>
    <row r="132">
      <c r="B132" s="49" t="n"/>
      <c r="C132" s="49" t="n"/>
      <c r="D132" s="49" t="n"/>
      <c r="E132" s="49" t="n"/>
      <c r="F132" s="49" t="n"/>
      <c r="G132" s="49" t="n"/>
    </row>
    <row r="133">
      <c r="B133" s="49" t="n"/>
      <c r="C133" s="49" t="n"/>
      <c r="D133" s="49" t="n"/>
      <c r="E133" s="49" t="n"/>
      <c r="F133" s="49" t="n"/>
      <c r="G133" s="49" t="n"/>
    </row>
    <row r="134">
      <c r="B134" s="49" t="n"/>
      <c r="C134" s="49" t="n"/>
      <c r="D134" s="49" t="n"/>
      <c r="E134" s="49" t="n"/>
      <c r="F134" s="49" t="n"/>
      <c r="G134" s="49" t="n"/>
    </row>
    <row r="135">
      <c r="B135" s="49" t="n"/>
      <c r="C135" s="49" t="n"/>
      <c r="D135" s="49" t="n"/>
      <c r="E135" s="49" t="n"/>
      <c r="F135" s="49" t="n"/>
      <c r="G135" s="49" t="n"/>
    </row>
    <row r="136">
      <c r="B136" s="49" t="n"/>
      <c r="C136" s="49" t="n"/>
      <c r="D136" s="49" t="n"/>
      <c r="E136" s="49" t="n"/>
      <c r="F136" s="49" t="n"/>
      <c r="G136" s="49" t="n"/>
    </row>
    <row r="137">
      <c r="B137" s="49" t="n"/>
      <c r="C137" s="49" t="n"/>
      <c r="D137" s="49" t="n"/>
      <c r="E137" s="49" t="n"/>
      <c r="F137" s="49" t="n"/>
      <c r="G137" s="49" t="n"/>
    </row>
    <row r="138">
      <c r="B138" s="49" t="n"/>
      <c r="C138" s="49" t="n"/>
      <c r="D138" s="49" t="n"/>
      <c r="E138" s="49" t="n"/>
      <c r="F138" s="49" t="n"/>
      <c r="G138" s="49" t="n"/>
    </row>
    <row r="139">
      <c r="B139" s="49" t="n"/>
      <c r="C139" s="49" t="n"/>
      <c r="D139" s="49" t="n"/>
      <c r="E139" s="49" t="n"/>
      <c r="F139" s="49" t="n"/>
      <c r="G139" s="49" t="n"/>
    </row>
    <row r="140">
      <c r="B140" s="49" t="n"/>
      <c r="C140" s="49" t="n"/>
      <c r="D140" s="49" t="n"/>
      <c r="E140" s="49" t="n"/>
      <c r="F140" s="49" t="n"/>
      <c r="G140" s="49" t="n"/>
    </row>
    <row r="141">
      <c r="B141" s="49" t="n"/>
      <c r="C141" s="49" t="n"/>
      <c r="D141" s="49" t="n"/>
      <c r="E141" s="49" t="n"/>
      <c r="F141" s="49" t="n"/>
      <c r="G141" s="49" t="n"/>
    </row>
    <row r="142">
      <c r="B142" s="49" t="n"/>
      <c r="C142" s="49" t="n"/>
      <c r="D142" s="49" t="n"/>
      <c r="E142" s="49" t="n"/>
      <c r="F142" s="49" t="n"/>
      <c r="G142" s="49" t="n"/>
    </row>
    <row r="143">
      <c r="B143" s="49" t="n"/>
      <c r="C143" s="49" t="n"/>
      <c r="D143" s="49" t="n"/>
      <c r="E143" s="49" t="n"/>
      <c r="F143" s="49" t="n"/>
      <c r="G143" s="49" t="n"/>
    </row>
    <row r="144">
      <c r="B144" s="49" t="n"/>
      <c r="C144" s="49" t="n"/>
      <c r="D144" s="49" t="n"/>
      <c r="E144" s="49" t="n"/>
      <c r="F144" s="49" t="n"/>
      <c r="G144" s="49" t="n"/>
    </row>
    <row r="145">
      <c r="B145" s="49" t="n"/>
      <c r="C145" s="49" t="n"/>
      <c r="D145" s="49" t="n"/>
      <c r="E145" s="49" t="n"/>
      <c r="F145" s="49" t="n"/>
      <c r="G145" s="49" t="n"/>
    </row>
    <row r="146">
      <c r="B146" s="49" t="n"/>
      <c r="C146" s="49" t="n"/>
      <c r="D146" s="49" t="n"/>
      <c r="E146" s="49" t="n"/>
      <c r="F146" s="49" t="n"/>
      <c r="G146" s="49" t="n"/>
    </row>
    <row r="147">
      <c r="B147" s="49" t="n"/>
      <c r="C147" s="49" t="n"/>
      <c r="D147" s="49" t="n"/>
      <c r="E147" s="49" t="n"/>
      <c r="F147" s="49" t="n"/>
      <c r="G147" s="49" t="n"/>
    </row>
    <row r="148">
      <c r="B148" s="49" t="n"/>
      <c r="C148" s="49" t="n"/>
      <c r="D148" s="49" t="n"/>
      <c r="E148" s="49" t="n"/>
      <c r="F148" s="49" t="n"/>
      <c r="G148" s="49" t="n"/>
    </row>
    <row r="149">
      <c r="B149" s="49" t="n"/>
      <c r="C149" s="49" t="n"/>
      <c r="D149" s="49" t="n"/>
      <c r="E149" s="49" t="n"/>
      <c r="F149" s="49" t="n"/>
      <c r="G149" s="49" t="n"/>
    </row>
    <row r="150">
      <c r="B150" s="49" t="n"/>
      <c r="C150" s="49" t="n"/>
      <c r="D150" s="49" t="n"/>
      <c r="E150" s="49" t="n"/>
      <c r="F150" s="49" t="n"/>
      <c r="G150" s="49" t="n"/>
    </row>
    <row r="151">
      <c r="B151" s="49" t="n"/>
      <c r="C151" s="49" t="n"/>
      <c r="D151" s="49" t="n"/>
      <c r="E151" s="49" t="n"/>
      <c r="F151" s="49" t="n"/>
      <c r="G151" s="49" t="n"/>
    </row>
    <row r="152">
      <c r="B152" s="49" t="n"/>
      <c r="C152" s="49" t="n"/>
      <c r="D152" s="49" t="n"/>
      <c r="E152" s="49" t="n"/>
      <c r="F152" s="49" t="n"/>
      <c r="G152" s="49" t="n"/>
    </row>
    <row r="153">
      <c r="B153" s="49" t="n"/>
      <c r="C153" s="49" t="n"/>
      <c r="D153" s="49" t="n"/>
      <c r="E153" s="49" t="n"/>
      <c r="F153" s="49" t="n"/>
      <c r="G153" s="49" t="n"/>
    </row>
    <row r="154">
      <c r="B154" s="49" t="n"/>
      <c r="C154" s="49" t="n"/>
      <c r="D154" s="49" t="n"/>
      <c r="E154" s="49" t="n"/>
      <c r="F154" s="49" t="n"/>
      <c r="G154" s="49" t="n"/>
    </row>
    <row r="155">
      <c r="B155" s="49" t="n"/>
      <c r="C155" s="49" t="n"/>
      <c r="D155" s="49" t="n"/>
      <c r="E155" s="49" t="n"/>
      <c r="F155" s="49" t="n"/>
      <c r="G155" s="49" t="n"/>
    </row>
    <row r="156">
      <c r="B156" s="49" t="n"/>
      <c r="C156" s="49" t="n"/>
      <c r="D156" s="49" t="n"/>
      <c r="E156" s="49" t="n"/>
      <c r="F156" s="49" t="n"/>
      <c r="G156" s="49" t="n"/>
    </row>
    <row r="157">
      <c r="B157" s="49" t="n"/>
      <c r="C157" s="49" t="n"/>
      <c r="D157" s="49" t="n"/>
      <c r="E157" s="49" t="n"/>
      <c r="F157" s="49" t="n"/>
      <c r="G157" s="49" t="n"/>
    </row>
    <row r="158">
      <c r="B158" s="49" t="n"/>
      <c r="C158" s="49" t="n"/>
      <c r="D158" s="49" t="n"/>
      <c r="E158" s="49" t="n"/>
      <c r="F158" s="49" t="n"/>
      <c r="G158" s="49" t="n"/>
    </row>
    <row r="159">
      <c r="B159" s="49" t="n"/>
      <c r="C159" s="49" t="n"/>
      <c r="D159" s="49" t="n"/>
      <c r="E159" s="49" t="n"/>
      <c r="F159" s="49" t="n"/>
      <c r="G159" s="49" t="n"/>
    </row>
    <row r="160">
      <c r="B160" s="49" t="n"/>
      <c r="C160" s="49" t="n"/>
      <c r="D160" s="49" t="n"/>
      <c r="E160" s="49" t="n"/>
      <c r="F160" s="49" t="n"/>
      <c r="G160" s="49" t="n"/>
    </row>
    <row r="161">
      <c r="B161" s="49" t="n"/>
      <c r="C161" s="49" t="n"/>
      <c r="D161" s="49" t="n"/>
      <c r="E161" s="49" t="n"/>
      <c r="F161" s="49" t="n"/>
      <c r="G161" s="49" t="n"/>
    </row>
    <row r="162">
      <c r="B162" s="49" t="n"/>
      <c r="C162" s="49" t="n"/>
      <c r="D162" s="49" t="n"/>
      <c r="E162" s="49" t="n"/>
      <c r="F162" s="49" t="n"/>
      <c r="G162" s="49" t="n"/>
    </row>
    <row r="163">
      <c r="B163" s="49" t="n"/>
      <c r="C163" s="49" t="n"/>
      <c r="D163" s="49" t="n"/>
      <c r="E163" s="49" t="n"/>
      <c r="F163" s="49" t="n"/>
      <c r="G163" s="49" t="n"/>
    </row>
    <row r="164">
      <c r="B164" s="49" t="n"/>
      <c r="C164" s="49" t="n"/>
      <c r="D164" s="49" t="n"/>
      <c r="E164" s="49" t="n"/>
      <c r="F164" s="49" t="n"/>
      <c r="G164" s="49" t="n"/>
    </row>
    <row r="165">
      <c r="B165" s="49" t="n"/>
      <c r="C165" s="49" t="n"/>
      <c r="D165" s="49" t="n"/>
      <c r="E165" s="49" t="n"/>
      <c r="F165" s="49" t="n"/>
      <c r="G165" s="49" t="n"/>
    </row>
    <row r="166">
      <c r="B166" s="49" t="n"/>
      <c r="C166" s="49" t="n"/>
      <c r="D166" s="49" t="n"/>
      <c r="E166" s="49" t="n"/>
      <c r="F166" s="49" t="n"/>
      <c r="G166" s="49" t="n"/>
    </row>
    <row r="167">
      <c r="B167" s="49" t="n"/>
      <c r="C167" s="49" t="n"/>
      <c r="D167" s="49" t="n"/>
      <c r="E167" s="49" t="n"/>
      <c r="F167" s="49" t="n"/>
      <c r="G167" s="49" t="n"/>
    </row>
    <row r="168">
      <c r="B168" s="49" t="n"/>
      <c r="C168" s="49" t="n"/>
      <c r="D168" s="49" t="n"/>
      <c r="E168" s="49" t="n"/>
      <c r="F168" s="49" t="n"/>
      <c r="G168" s="49" t="n"/>
    </row>
    <row r="169">
      <c r="B169" s="49" t="n"/>
      <c r="C169" s="49" t="n"/>
      <c r="D169" s="49" t="n"/>
      <c r="E169" s="49" t="n"/>
      <c r="F169" s="49" t="n"/>
      <c r="G169" s="49" t="n"/>
    </row>
    <row r="170">
      <c r="B170" s="49" t="n"/>
      <c r="C170" s="49" t="n"/>
      <c r="D170" s="49" t="n"/>
      <c r="E170" s="49" t="n"/>
      <c r="F170" s="49" t="n"/>
      <c r="G170" s="49" t="n"/>
    </row>
    <row r="171">
      <c r="B171" s="49" t="n"/>
      <c r="C171" s="49" t="n"/>
      <c r="D171" s="49" t="n"/>
      <c r="E171" s="49" t="n"/>
      <c r="F171" s="49" t="n"/>
      <c r="G171" s="49" t="n"/>
    </row>
    <row r="172">
      <c r="B172" s="49" t="n"/>
      <c r="C172" s="49" t="n"/>
      <c r="D172" s="49" t="n"/>
      <c r="E172" s="49" t="n"/>
      <c r="F172" s="49" t="n"/>
      <c r="G172" s="49" t="n"/>
    </row>
    <row r="173">
      <c r="B173" s="49" t="n"/>
      <c r="C173" s="49" t="n"/>
      <c r="D173" s="49" t="n"/>
      <c r="E173" s="49" t="n"/>
      <c r="F173" s="49" t="n"/>
      <c r="G173" s="49" t="n"/>
    </row>
    <row r="174">
      <c r="B174" s="49" t="n"/>
      <c r="C174" s="49" t="n"/>
      <c r="D174" s="49" t="n"/>
      <c r="E174" s="49" t="n"/>
      <c r="F174" s="49" t="n"/>
      <c r="G174" s="49" t="n"/>
    </row>
    <row r="175">
      <c r="B175" s="49" t="n"/>
      <c r="C175" s="49" t="n"/>
      <c r="D175" s="49" t="n"/>
      <c r="E175" s="49" t="n"/>
      <c r="F175" s="49" t="n"/>
      <c r="G175" s="49" t="n"/>
    </row>
    <row r="176">
      <c r="B176" s="49" t="n"/>
      <c r="C176" s="49" t="n"/>
      <c r="D176" s="49" t="n"/>
      <c r="E176" s="49" t="n"/>
      <c r="F176" s="49" t="n"/>
      <c r="G176" s="49" t="n"/>
    </row>
    <row r="177">
      <c r="B177" s="49" t="n"/>
      <c r="C177" s="49" t="n"/>
      <c r="D177" s="49" t="n"/>
      <c r="E177" s="49" t="n"/>
      <c r="F177" s="49" t="n"/>
      <c r="G177" s="49" t="n"/>
    </row>
    <row r="178">
      <c r="B178" s="49" t="n"/>
      <c r="C178" s="49" t="n"/>
      <c r="D178" s="49" t="n"/>
      <c r="E178" s="49" t="n"/>
      <c r="F178" s="49" t="n"/>
      <c r="G178" s="49" t="n"/>
    </row>
    <row r="179">
      <c r="B179" s="49" t="n"/>
      <c r="C179" s="49" t="n"/>
      <c r="D179" s="49" t="n"/>
      <c r="E179" s="49" t="n"/>
      <c r="F179" s="49" t="n"/>
      <c r="G179" s="49" t="n"/>
    </row>
    <row r="180">
      <c r="B180" s="49" t="n"/>
      <c r="C180" s="49" t="n"/>
      <c r="D180" s="49" t="n"/>
      <c r="E180" s="49" t="n"/>
      <c r="F180" s="49" t="n"/>
      <c r="G180" s="49" t="n"/>
    </row>
    <row r="181">
      <c r="B181" s="49" t="n"/>
      <c r="C181" s="49" t="n"/>
      <c r="D181" s="49" t="n"/>
      <c r="E181" s="49" t="n"/>
      <c r="F181" s="49" t="n"/>
      <c r="G181" s="49" t="n"/>
    </row>
    <row r="182">
      <c r="B182" s="49" t="n"/>
      <c r="C182" s="49" t="n"/>
      <c r="D182" s="49" t="n"/>
      <c r="E182" s="49" t="n"/>
      <c r="F182" s="49" t="n"/>
      <c r="G182" s="49" t="n"/>
    </row>
    <row r="183">
      <c r="B183" s="49" t="n"/>
      <c r="C183" s="49" t="n"/>
      <c r="D183" s="49" t="n"/>
      <c r="E183" s="49" t="n"/>
      <c r="F183" s="49" t="n"/>
      <c r="G183" s="49" t="n"/>
    </row>
    <row r="184">
      <c r="B184" s="49" t="n"/>
      <c r="C184" s="49" t="n"/>
      <c r="D184" s="49" t="n"/>
      <c r="E184" s="49" t="n"/>
      <c r="F184" s="49" t="n"/>
      <c r="G184" s="49" t="n"/>
    </row>
    <row r="185">
      <c r="B185" s="49" t="n"/>
      <c r="C185" s="49" t="n"/>
      <c r="D185" s="49" t="n"/>
      <c r="E185" s="49" t="n"/>
      <c r="F185" s="49" t="n"/>
      <c r="G185" s="49" t="n"/>
    </row>
    <row r="186">
      <c r="B186" s="49" t="n"/>
      <c r="C186" s="49" t="n"/>
      <c r="D186" s="49" t="n"/>
      <c r="E186" s="49" t="n"/>
      <c r="F186" s="49" t="n"/>
      <c r="G186" s="49" t="n"/>
    </row>
    <row r="187">
      <c r="B187" s="49" t="n"/>
      <c r="C187" s="49" t="n"/>
      <c r="D187" s="49" t="n"/>
      <c r="E187" s="49" t="n"/>
      <c r="F187" s="49" t="n"/>
      <c r="G187" s="49" t="n"/>
    </row>
    <row r="188">
      <c r="B188" s="49" t="n"/>
      <c r="C188" s="49" t="n"/>
      <c r="D188" s="49" t="n"/>
      <c r="E188" s="49" t="n"/>
      <c r="F188" s="49" t="n"/>
      <c r="G188" s="49" t="n"/>
    </row>
    <row r="189">
      <c r="B189" s="49" t="n"/>
      <c r="C189" s="49" t="n"/>
      <c r="D189" s="49" t="n"/>
      <c r="E189" s="49" t="n"/>
      <c r="F189" s="49" t="n"/>
      <c r="G189" s="49" t="n"/>
    </row>
    <row r="190">
      <c r="B190" s="49" t="n"/>
      <c r="C190" s="49" t="n"/>
      <c r="D190" s="49" t="n"/>
      <c r="E190" s="49" t="n"/>
      <c r="F190" s="49" t="n"/>
      <c r="G190" s="49" t="n"/>
    </row>
    <row r="191">
      <c r="B191" s="49" t="n"/>
      <c r="C191" s="49" t="n"/>
      <c r="D191" s="49" t="n"/>
      <c r="E191" s="49" t="n"/>
      <c r="F191" s="49" t="n"/>
      <c r="G191" s="49" t="n"/>
    </row>
    <row r="192">
      <c r="B192" s="49" t="n"/>
      <c r="C192" s="49" t="n"/>
      <c r="D192" s="49" t="n"/>
      <c r="E192" s="49" t="n"/>
      <c r="F192" s="49" t="n"/>
      <c r="G192" s="49" t="n"/>
    </row>
    <row r="193">
      <c r="B193" s="49" t="n"/>
      <c r="C193" s="49" t="n"/>
      <c r="D193" s="49" t="n"/>
      <c r="E193" s="49" t="n"/>
      <c r="F193" s="49" t="n"/>
      <c r="G193" s="49" t="n"/>
    </row>
    <row r="194">
      <c r="B194" s="49" t="n"/>
      <c r="C194" s="49" t="n"/>
      <c r="D194" s="49" t="n"/>
      <c r="E194" s="49" t="n"/>
      <c r="F194" s="49" t="n"/>
      <c r="G194" s="49" t="n"/>
    </row>
    <row r="195">
      <c r="B195" s="49" t="n"/>
      <c r="C195" s="49" t="n"/>
      <c r="D195" s="49" t="n"/>
      <c r="E195" s="49" t="n"/>
      <c r="F195" s="49" t="n"/>
      <c r="G195" s="49" t="n"/>
    </row>
    <row r="196">
      <c r="B196" s="49" t="n"/>
      <c r="C196" s="49" t="n"/>
      <c r="D196" s="49" t="n"/>
      <c r="E196" s="49" t="n"/>
      <c r="F196" s="49" t="n"/>
      <c r="G196" s="49" t="n"/>
    </row>
    <row r="197">
      <c r="B197" s="49" t="n"/>
      <c r="C197" s="49" t="n"/>
      <c r="D197" s="49" t="n"/>
      <c r="E197" s="49" t="n"/>
      <c r="F197" s="49" t="n"/>
      <c r="G197" s="49" t="n"/>
    </row>
    <row r="198">
      <c r="B198" s="49" t="n"/>
      <c r="C198" s="49" t="n"/>
      <c r="D198" s="49" t="n"/>
      <c r="E198" s="49" t="n"/>
      <c r="F198" s="49" t="n"/>
      <c r="G198" s="49" t="n"/>
    </row>
    <row r="199">
      <c r="B199" s="49" t="n"/>
      <c r="C199" s="49" t="n"/>
      <c r="D199" s="49" t="n"/>
      <c r="E199" s="49" t="n"/>
      <c r="F199" s="49" t="n"/>
      <c r="G199" s="49" t="n"/>
    </row>
    <row r="200">
      <c r="B200" s="49" t="n"/>
      <c r="C200" s="49" t="n"/>
      <c r="D200" s="49" t="n"/>
      <c r="E200" s="49" t="n"/>
      <c r="F200" s="49" t="n"/>
      <c r="G200" s="49" t="n"/>
    </row>
    <row r="201">
      <c r="B201" s="49" t="n"/>
      <c r="C201" s="49" t="n"/>
      <c r="D201" s="49" t="n"/>
      <c r="E201" s="49" t="n"/>
      <c r="F201" s="49" t="n"/>
      <c r="G201" s="49" t="n"/>
    </row>
    <row r="202">
      <c r="B202" s="49" t="n"/>
      <c r="C202" s="49" t="n"/>
      <c r="D202" s="49" t="n"/>
      <c r="E202" s="49" t="n"/>
      <c r="F202" s="49" t="n"/>
      <c r="G202" s="49" t="n"/>
    </row>
    <row r="203">
      <c r="B203" s="49" t="n"/>
      <c r="C203" s="49" t="n"/>
      <c r="D203" s="49" t="n"/>
      <c r="E203" s="49" t="n"/>
      <c r="F203" s="49" t="n"/>
      <c r="G203" s="49" t="n"/>
    </row>
    <row r="204">
      <c r="B204" s="49" t="n"/>
      <c r="C204" s="49" t="n"/>
      <c r="D204" s="49" t="n"/>
      <c r="E204" s="49" t="n"/>
      <c r="F204" s="49" t="n"/>
      <c r="G204" s="49" t="n"/>
    </row>
    <row r="205">
      <c r="B205" s="49" t="n"/>
      <c r="C205" s="49" t="n"/>
      <c r="D205" s="49" t="n"/>
      <c r="E205" s="49" t="n"/>
      <c r="F205" s="49" t="n"/>
      <c r="G205" s="49" t="n"/>
    </row>
    <row r="206">
      <c r="B206" s="49" t="n"/>
      <c r="C206" s="49" t="n"/>
      <c r="D206" s="49" t="n"/>
      <c r="E206" s="49" t="n"/>
      <c r="F206" s="49" t="n"/>
      <c r="G206" s="49" t="n"/>
    </row>
    <row r="207">
      <c r="B207" s="49" t="n"/>
      <c r="C207" s="49" t="n"/>
      <c r="D207" s="49" t="n"/>
      <c r="E207" s="49" t="n"/>
      <c r="F207" s="49" t="n"/>
      <c r="G207" s="49" t="n"/>
    </row>
    <row r="208">
      <c r="B208" s="49" t="n"/>
      <c r="C208" s="49" t="n"/>
      <c r="D208" s="49" t="n"/>
      <c r="E208" s="49" t="n"/>
      <c r="F208" s="49" t="n"/>
      <c r="G208" s="49" t="n"/>
    </row>
    <row r="209">
      <c r="B209" s="49" t="n"/>
      <c r="C209" s="49" t="n"/>
      <c r="D209" s="49" t="n"/>
      <c r="E209" s="49" t="n"/>
      <c r="F209" s="49" t="n"/>
      <c r="G209" s="49" t="n"/>
    </row>
    <row r="210">
      <c r="B210" s="49" t="n"/>
      <c r="C210" s="49" t="n"/>
      <c r="D210" s="49" t="n"/>
      <c r="E210" s="49" t="n"/>
      <c r="F210" s="49" t="n"/>
      <c r="G210" s="49" t="n"/>
    </row>
    <row r="211">
      <c r="B211" s="49" t="n"/>
      <c r="C211" s="49" t="n"/>
      <c r="D211" s="49" t="n"/>
      <c r="E211" s="49" t="n"/>
      <c r="F211" s="49" t="n"/>
      <c r="G211" s="49" t="n"/>
    </row>
    <row r="212">
      <c r="B212" s="49" t="n"/>
      <c r="C212" s="49" t="n"/>
      <c r="D212" s="49" t="n"/>
      <c r="E212" s="49" t="n"/>
      <c r="F212" s="49" t="n"/>
      <c r="G212" s="49" t="n"/>
    </row>
    <row r="213">
      <c r="B213" s="49" t="n"/>
      <c r="C213" s="49" t="n"/>
      <c r="D213" s="49" t="n"/>
      <c r="E213" s="49" t="n"/>
      <c r="F213" s="49" t="n"/>
      <c r="G213" s="49" t="n"/>
    </row>
    <row r="214">
      <c r="B214" s="49" t="n"/>
      <c r="C214" s="49" t="n"/>
      <c r="D214" s="49" t="n"/>
      <c r="E214" s="49" t="n"/>
      <c r="F214" s="49" t="n"/>
      <c r="G214" s="49" t="n"/>
    </row>
    <row r="215">
      <c r="B215" s="49" t="n"/>
      <c r="C215" s="49" t="n"/>
      <c r="D215" s="49" t="n"/>
      <c r="E215" s="49" t="n"/>
      <c r="F215" s="49" t="n"/>
      <c r="G215" s="49" t="n"/>
    </row>
    <row r="216">
      <c r="B216" s="49" t="n"/>
      <c r="C216" s="49" t="n"/>
      <c r="D216" s="49" t="n"/>
      <c r="E216" s="49" t="n"/>
      <c r="F216" s="49" t="n"/>
      <c r="G216" s="49" t="n"/>
    </row>
    <row r="217">
      <c r="B217" s="49" t="n"/>
      <c r="C217" s="49" t="n"/>
      <c r="D217" s="49" t="n"/>
      <c r="E217" s="49" t="n"/>
      <c r="F217" s="49" t="n"/>
      <c r="G217" s="49" t="n"/>
    </row>
    <row r="218">
      <c r="B218" s="49" t="n"/>
      <c r="C218" s="49" t="n"/>
      <c r="D218" s="49" t="n"/>
      <c r="E218" s="49" t="n"/>
      <c r="F218" s="49" t="n"/>
      <c r="G218" s="49" t="n"/>
    </row>
    <row r="219">
      <c r="B219" s="49" t="n"/>
      <c r="C219" s="49" t="n"/>
      <c r="D219" s="49" t="n"/>
      <c r="E219" s="49" t="n"/>
      <c r="F219" s="49" t="n"/>
      <c r="G219" s="49" t="n"/>
    </row>
    <row r="220">
      <c r="B220" s="49" t="n"/>
      <c r="C220" s="49" t="n"/>
      <c r="D220" s="49" t="n"/>
      <c r="E220" s="49" t="n"/>
      <c r="F220" s="49" t="n"/>
      <c r="G220" s="49" t="n"/>
    </row>
    <row r="221">
      <c r="B221" s="49" t="n"/>
      <c r="C221" s="49" t="n"/>
      <c r="D221" s="49" t="n"/>
      <c r="E221" s="49" t="n"/>
      <c r="F221" s="49" t="n"/>
      <c r="G221" s="49" t="n"/>
    </row>
    <row r="222">
      <c r="B222" s="49" t="n"/>
      <c r="C222" s="49" t="n"/>
      <c r="D222" s="49" t="n"/>
      <c r="E222" s="49" t="n"/>
      <c r="F222" s="49" t="n"/>
      <c r="G222" s="49" t="n"/>
    </row>
    <row r="223">
      <c r="B223" s="49" t="n"/>
      <c r="C223" s="49" t="n"/>
      <c r="D223" s="49" t="n"/>
      <c r="E223" s="49" t="n"/>
      <c r="F223" s="49" t="n"/>
      <c r="G223" s="49" t="n"/>
    </row>
    <row r="224">
      <c r="B224" s="49" t="n"/>
      <c r="C224" s="49" t="n"/>
      <c r="D224" s="49" t="n"/>
      <c r="E224" s="49" t="n"/>
      <c r="F224" s="49" t="n"/>
      <c r="G224" s="49" t="n"/>
    </row>
    <row r="225">
      <c r="B225" s="49" t="n"/>
      <c r="C225" s="49" t="n"/>
      <c r="D225" s="49" t="n"/>
      <c r="E225" s="49" t="n"/>
      <c r="F225" s="49" t="n"/>
      <c r="G225" s="49" t="n"/>
    </row>
    <row r="226">
      <c r="B226" s="49" t="n"/>
      <c r="C226" s="49" t="n"/>
      <c r="D226" s="49" t="n"/>
      <c r="E226" s="49" t="n"/>
      <c r="F226" s="49" t="n"/>
      <c r="G226" s="49" t="n"/>
    </row>
    <row r="227">
      <c r="B227" s="49" t="n"/>
      <c r="C227" s="49" t="n"/>
      <c r="D227" s="49" t="n"/>
      <c r="E227" s="49" t="n"/>
      <c r="F227" s="49" t="n"/>
      <c r="G227" s="49" t="n"/>
    </row>
    <row r="228">
      <c r="B228" s="49" t="n"/>
      <c r="C228" s="49" t="n"/>
      <c r="D228" s="49" t="n"/>
      <c r="E228" s="49" t="n"/>
      <c r="F228" s="49" t="n"/>
      <c r="G228" s="49" t="n"/>
    </row>
    <row r="229">
      <c r="B229" s="49" t="n"/>
      <c r="C229" s="49" t="n"/>
      <c r="D229" s="49" t="n"/>
      <c r="E229" s="49" t="n"/>
      <c r="F229" s="49" t="n"/>
      <c r="G229" s="49" t="n"/>
    </row>
    <row r="230">
      <c r="B230" s="49" t="n"/>
      <c r="C230" s="49" t="n"/>
      <c r="D230" s="49" t="n"/>
      <c r="E230" s="49" t="n"/>
      <c r="F230" s="49" t="n"/>
      <c r="G230" s="49" t="n"/>
    </row>
    <row r="231">
      <c r="B231" s="49" t="n"/>
      <c r="C231" s="49" t="n"/>
      <c r="D231" s="49" t="n"/>
      <c r="E231" s="49" t="n"/>
      <c r="F231" s="49" t="n"/>
      <c r="G231" s="49" t="n"/>
    </row>
    <row r="232">
      <c r="B232" s="49" t="n"/>
      <c r="C232" s="49" t="n"/>
      <c r="D232" s="49" t="n"/>
      <c r="E232" s="49" t="n"/>
      <c r="F232" s="49" t="n"/>
      <c r="G232" s="49" t="n"/>
    </row>
    <row r="233">
      <c r="B233" s="49" t="n"/>
      <c r="C233" s="49" t="n"/>
      <c r="D233" s="49" t="n"/>
      <c r="E233" s="49" t="n"/>
      <c r="F233" s="49" t="n"/>
      <c r="G233" s="49" t="n"/>
    </row>
    <row r="234">
      <c r="B234" s="49" t="n"/>
      <c r="C234" s="49" t="n"/>
      <c r="D234" s="49" t="n"/>
      <c r="E234" s="49" t="n"/>
      <c r="F234" s="49" t="n"/>
      <c r="G234" s="49" t="n"/>
    </row>
    <row r="235">
      <c r="B235" s="49" t="n"/>
      <c r="C235" s="49" t="n"/>
      <c r="D235" s="49" t="n"/>
      <c r="E235" s="49" t="n"/>
      <c r="F235" s="49" t="n"/>
      <c r="G235" s="49" t="n"/>
    </row>
    <row r="236">
      <c r="B236" s="49" t="n"/>
      <c r="C236" s="49" t="n"/>
      <c r="D236" s="49" t="n"/>
      <c r="E236" s="49" t="n"/>
      <c r="F236" s="49" t="n"/>
      <c r="G236" s="49" t="n"/>
    </row>
    <row r="237">
      <c r="B237" s="49" t="n"/>
      <c r="C237" s="49" t="n"/>
      <c r="D237" s="49" t="n"/>
      <c r="E237" s="49" t="n"/>
      <c r="F237" s="49" t="n"/>
      <c r="G237" s="49" t="n"/>
    </row>
    <row r="238">
      <c r="B238" s="49" t="n"/>
      <c r="C238" s="49" t="n"/>
      <c r="D238" s="49" t="n"/>
      <c r="E238" s="49" t="n"/>
      <c r="F238" s="49" t="n"/>
      <c r="G238" s="49" t="n"/>
    </row>
    <row r="239">
      <c r="B239" s="49" t="n"/>
      <c r="C239" s="49" t="n"/>
      <c r="D239" s="49" t="n"/>
      <c r="E239" s="49" t="n"/>
      <c r="F239" s="49" t="n"/>
      <c r="G239" s="49" t="n"/>
    </row>
    <row r="240">
      <c r="B240" s="49" t="n"/>
      <c r="C240" s="49" t="n"/>
      <c r="D240" s="49" t="n"/>
      <c r="E240" s="49" t="n"/>
      <c r="F240" s="49" t="n"/>
      <c r="G240" s="49" t="n"/>
    </row>
    <row r="241">
      <c r="B241" s="49" t="n"/>
      <c r="C241" s="49" t="n"/>
      <c r="D241" s="49" t="n"/>
      <c r="E241" s="49" t="n"/>
      <c r="F241" s="49" t="n"/>
      <c r="G241" s="49" t="n"/>
    </row>
    <row r="242">
      <c r="B242" s="49" t="n"/>
      <c r="C242" s="49" t="n"/>
      <c r="D242" s="49" t="n"/>
      <c r="E242" s="49" t="n"/>
      <c r="F242" s="49" t="n"/>
      <c r="G242" s="49" t="n"/>
    </row>
    <row r="243">
      <c r="B243" s="49" t="n"/>
      <c r="C243" s="49" t="n"/>
      <c r="D243" s="49" t="n"/>
      <c r="E243" s="49" t="n"/>
      <c r="F243" s="49" t="n"/>
      <c r="G243" s="49" t="n"/>
    </row>
    <row r="244">
      <c r="B244" s="49" t="n"/>
      <c r="C244" s="49" t="n"/>
      <c r="D244" s="49" t="n"/>
      <c r="E244" s="49" t="n"/>
      <c r="F244" s="49" t="n"/>
      <c r="G244" s="49" t="n"/>
    </row>
    <row r="245">
      <c r="B245" s="49" t="n"/>
      <c r="C245" s="49" t="n"/>
      <c r="D245" s="49" t="n"/>
      <c r="E245" s="49" t="n"/>
      <c r="F245" s="49" t="n"/>
      <c r="G245" s="49" t="n"/>
    </row>
    <row r="246">
      <c r="B246" s="49" t="n"/>
      <c r="C246" s="49" t="n"/>
      <c r="D246" s="49" t="n"/>
      <c r="E246" s="49" t="n"/>
      <c r="F246" s="49" t="n"/>
      <c r="G246" s="49" t="n"/>
    </row>
    <row r="247">
      <c r="B247" s="49" t="n"/>
      <c r="C247" s="49" t="n"/>
      <c r="D247" s="49" t="n"/>
      <c r="E247" s="49" t="n"/>
      <c r="F247" s="49" t="n"/>
      <c r="G247" s="49" t="n"/>
    </row>
    <row r="248">
      <c r="B248" s="49" t="n"/>
      <c r="C248" s="49" t="n"/>
      <c r="D248" s="49" t="n"/>
      <c r="E248" s="49" t="n"/>
      <c r="F248" s="49" t="n"/>
      <c r="G248" s="49" t="n"/>
    </row>
    <row r="249">
      <c r="B249" s="49" t="n"/>
      <c r="C249" s="49" t="n"/>
      <c r="D249" s="49" t="n"/>
      <c r="E249" s="49" t="n"/>
      <c r="F249" s="49" t="n"/>
      <c r="G249" s="49" t="n"/>
    </row>
    <row r="250">
      <c r="B250" s="49" t="n"/>
      <c r="C250" s="49" t="n"/>
      <c r="D250" s="49" t="n"/>
      <c r="E250" s="49" t="n"/>
      <c r="F250" s="49" t="n"/>
      <c r="G250" s="49" t="n"/>
    </row>
    <row r="251">
      <c r="B251" s="49" t="n"/>
      <c r="C251" s="49" t="n"/>
      <c r="D251" s="49" t="n"/>
      <c r="E251" s="49" t="n"/>
      <c r="F251" s="49" t="n"/>
      <c r="G251" s="49" t="n"/>
    </row>
    <row r="252">
      <c r="B252" s="49" t="n"/>
      <c r="C252" s="49" t="n"/>
      <c r="D252" s="49" t="n"/>
      <c r="E252" s="49" t="n"/>
      <c r="F252" s="49" t="n"/>
      <c r="G252" s="49" t="n"/>
    </row>
    <row r="253">
      <c r="B253" s="49" t="n"/>
      <c r="C253" s="49" t="n"/>
      <c r="D253" s="49" t="n"/>
      <c r="E253" s="49" t="n"/>
      <c r="F253" s="49" t="n"/>
      <c r="G253" s="49" t="n"/>
    </row>
    <row r="254">
      <c r="B254" s="49" t="n"/>
      <c r="C254" s="49" t="n"/>
      <c r="D254" s="49" t="n"/>
      <c r="E254" s="49" t="n"/>
      <c r="F254" s="49" t="n"/>
      <c r="G254" s="49" t="n"/>
    </row>
    <row r="255">
      <c r="B255" s="49" t="n"/>
      <c r="C255" s="49" t="n"/>
      <c r="D255" s="49" t="n"/>
      <c r="E255" s="49" t="n"/>
      <c r="F255" s="49" t="n"/>
      <c r="G255" s="49" t="n"/>
    </row>
    <row r="256">
      <c r="B256" s="49" t="n"/>
      <c r="C256" s="49" t="n"/>
      <c r="D256" s="49" t="n"/>
      <c r="E256" s="49" t="n"/>
      <c r="F256" s="49" t="n"/>
      <c r="G256" s="49" t="n"/>
    </row>
    <row r="257">
      <c r="B257" s="49" t="n"/>
      <c r="C257" s="49" t="n"/>
      <c r="D257" s="49" t="n"/>
      <c r="E257" s="49" t="n"/>
      <c r="F257" s="49" t="n"/>
      <c r="G257" s="49" t="n"/>
    </row>
    <row r="258">
      <c r="B258" s="49" t="n"/>
      <c r="C258" s="49" t="n"/>
      <c r="D258" s="49" t="n"/>
      <c r="E258" s="49" t="n"/>
      <c r="F258" s="49" t="n"/>
      <c r="G258" s="49" t="n"/>
    </row>
    <row r="259">
      <c r="B259" s="49" t="n"/>
      <c r="C259" s="49" t="n"/>
      <c r="D259" s="49" t="n"/>
      <c r="E259" s="49" t="n"/>
      <c r="F259" s="49" t="n"/>
      <c r="G259" s="49" t="n"/>
    </row>
    <row r="260">
      <c r="B260" s="49" t="n"/>
      <c r="C260" s="49" t="n"/>
      <c r="D260" s="49" t="n"/>
      <c r="E260" s="49" t="n"/>
      <c r="F260" s="49" t="n"/>
      <c r="G260" s="49" t="n"/>
    </row>
    <row r="261">
      <c r="B261" s="49" t="n"/>
      <c r="C261" s="49" t="n"/>
      <c r="D261" s="49" t="n"/>
      <c r="E261" s="49" t="n"/>
      <c r="F261" s="49" t="n"/>
      <c r="G261" s="49" t="n"/>
    </row>
    <row r="262">
      <c r="B262" s="49" t="n"/>
      <c r="C262" s="49" t="n"/>
      <c r="D262" s="49" t="n"/>
      <c r="E262" s="49" t="n"/>
      <c r="F262" s="49" t="n"/>
      <c r="G262" s="49" t="n"/>
    </row>
    <row r="263">
      <c r="B263" s="49" t="n"/>
      <c r="C263" s="49" t="n"/>
      <c r="D263" s="49" t="n"/>
      <c r="E263" s="49" t="n"/>
      <c r="F263" s="49" t="n"/>
      <c r="G263" s="49" t="n"/>
    </row>
    <row r="264">
      <c r="B264" s="49" t="n"/>
      <c r="C264" s="49" t="n"/>
      <c r="D264" s="49" t="n"/>
      <c r="E264" s="49" t="n"/>
      <c r="F264" s="49" t="n"/>
      <c r="G264" s="49" t="n"/>
    </row>
    <row r="265">
      <c r="B265" s="49" t="n"/>
      <c r="C265" s="49" t="n"/>
      <c r="D265" s="49" t="n"/>
      <c r="E265" s="49" t="n"/>
      <c r="F265" s="49" t="n"/>
      <c r="G265" s="49" t="n"/>
    </row>
    <row r="266">
      <c r="B266" s="49" t="n"/>
      <c r="C266" s="49" t="n"/>
      <c r="D266" s="49" t="n"/>
      <c r="E266" s="49" t="n"/>
      <c r="F266" s="49" t="n"/>
      <c r="G266" s="49" t="n"/>
    </row>
    <row r="267">
      <c r="B267" s="49" t="n"/>
      <c r="C267" s="49" t="n"/>
      <c r="D267" s="49" t="n"/>
      <c r="E267" s="49" t="n"/>
      <c r="F267" s="49" t="n"/>
      <c r="G267" s="49" t="n"/>
    </row>
    <row r="268">
      <c r="B268" s="49" t="n"/>
      <c r="C268" s="49" t="n"/>
      <c r="D268" s="49" t="n"/>
      <c r="E268" s="49" t="n"/>
      <c r="F268" s="49" t="n"/>
      <c r="G268" s="49" t="n"/>
    </row>
    <row r="269">
      <c r="B269" s="49" t="n"/>
      <c r="C269" s="49" t="n"/>
      <c r="D269" s="49" t="n"/>
      <c r="E269" s="49" t="n"/>
      <c r="F269" s="49" t="n"/>
      <c r="G269" s="49" t="n"/>
    </row>
    <row r="270">
      <c r="B270" s="49" t="n"/>
      <c r="C270" s="49" t="n"/>
      <c r="D270" s="49" t="n"/>
      <c r="E270" s="49" t="n"/>
      <c r="F270" s="49" t="n"/>
      <c r="G270" s="49" t="n"/>
    </row>
    <row r="271">
      <c r="B271" s="49" t="n"/>
      <c r="C271" s="49" t="n"/>
      <c r="D271" s="49" t="n"/>
      <c r="E271" s="49" t="n"/>
      <c r="F271" s="49" t="n"/>
      <c r="G271" s="49" t="n"/>
    </row>
    <row r="272">
      <c r="B272" s="49" t="n"/>
      <c r="C272" s="49" t="n"/>
      <c r="D272" s="49" t="n"/>
      <c r="E272" s="49" t="n"/>
      <c r="F272" s="49" t="n"/>
      <c r="G272" s="49" t="n"/>
    </row>
    <row r="273">
      <c r="B273" s="49" t="n"/>
      <c r="C273" s="49" t="n"/>
      <c r="D273" s="49" t="n"/>
      <c r="E273" s="49" t="n"/>
      <c r="F273" s="49" t="n"/>
      <c r="G273" s="49" t="n"/>
    </row>
    <row r="274">
      <c r="B274" s="49" t="n"/>
      <c r="C274" s="49" t="n"/>
      <c r="D274" s="49" t="n"/>
      <c r="E274" s="49" t="n"/>
      <c r="F274" s="49" t="n"/>
      <c r="G274" s="49" t="n"/>
    </row>
    <row r="275">
      <c r="B275" s="49" t="n"/>
      <c r="C275" s="49" t="n"/>
      <c r="D275" s="49" t="n"/>
      <c r="E275" s="49" t="n"/>
      <c r="F275" s="49" t="n"/>
      <c r="G275" s="49" t="n"/>
    </row>
    <row r="276">
      <c r="B276" s="49" t="n"/>
      <c r="C276" s="49" t="n"/>
      <c r="D276" s="49" t="n"/>
      <c r="E276" s="49" t="n"/>
      <c r="F276" s="49" t="n"/>
      <c r="G276" s="49" t="n"/>
    </row>
    <row r="277">
      <c r="B277" s="49" t="n"/>
      <c r="C277" s="49" t="n"/>
      <c r="D277" s="49" t="n"/>
      <c r="E277" s="49" t="n"/>
      <c r="F277" s="49" t="n"/>
      <c r="G277" s="49" t="n"/>
    </row>
    <row r="278">
      <c r="B278" s="49" t="n"/>
      <c r="C278" s="49" t="n"/>
      <c r="D278" s="49" t="n"/>
      <c r="E278" s="49" t="n"/>
      <c r="F278" s="49" t="n"/>
      <c r="G278" s="49" t="n"/>
    </row>
    <row r="279">
      <c r="B279" s="49" t="n"/>
      <c r="C279" s="49" t="n"/>
      <c r="D279" s="49" t="n"/>
      <c r="E279" s="49" t="n"/>
      <c r="F279" s="49" t="n"/>
      <c r="G279" s="49" t="n"/>
    </row>
    <row r="280">
      <c r="B280" s="49" t="n"/>
      <c r="C280" s="49" t="n"/>
      <c r="D280" s="49" t="n"/>
      <c r="E280" s="49" t="n"/>
      <c r="F280" s="49" t="n"/>
      <c r="G280" s="49" t="n"/>
    </row>
    <row r="281">
      <c r="B281" s="49" t="n"/>
      <c r="C281" s="49" t="n"/>
      <c r="D281" s="49" t="n"/>
      <c r="E281" s="49" t="n"/>
      <c r="F281" s="49" t="n"/>
      <c r="G281" s="49" t="n"/>
    </row>
    <row r="282">
      <c r="B282" s="49" t="n"/>
      <c r="C282" s="49" t="n"/>
      <c r="D282" s="49" t="n"/>
      <c r="E282" s="49" t="n"/>
      <c r="F282" s="49" t="n"/>
      <c r="G282" s="49" t="n"/>
    </row>
    <row r="283">
      <c r="B283" s="49" t="n"/>
      <c r="C283" s="49" t="n"/>
      <c r="D283" s="49" t="n"/>
      <c r="E283" s="49" t="n"/>
      <c r="F283" s="49" t="n"/>
      <c r="G283" s="49" t="n"/>
    </row>
    <row r="284">
      <c r="B284" s="49" t="n"/>
      <c r="C284" s="49" t="n"/>
      <c r="D284" s="49" t="n"/>
      <c r="E284" s="49" t="n"/>
      <c r="F284" s="49" t="n"/>
      <c r="G284" s="49" t="n"/>
    </row>
    <row r="285">
      <c r="B285" s="49" t="n"/>
      <c r="C285" s="49" t="n"/>
      <c r="D285" s="49" t="n"/>
      <c r="E285" s="49" t="n"/>
      <c r="F285" s="49" t="n"/>
      <c r="G285" s="49" t="n"/>
    </row>
    <row r="286">
      <c r="B286" s="49" t="n"/>
      <c r="C286" s="49" t="n"/>
      <c r="D286" s="49" t="n"/>
      <c r="E286" s="49" t="n"/>
      <c r="F286" s="49" t="n"/>
      <c r="G286" s="49" t="n"/>
    </row>
    <row r="287">
      <c r="B287" s="49" t="n"/>
      <c r="C287" s="49" t="n"/>
      <c r="D287" s="49" t="n"/>
      <c r="E287" s="49" t="n"/>
      <c r="F287" s="49" t="n"/>
      <c r="G287" s="49" t="n"/>
    </row>
    <row r="288">
      <c r="B288" s="49" t="n"/>
      <c r="C288" s="49" t="n"/>
      <c r="D288" s="49" t="n"/>
      <c r="E288" s="49" t="n"/>
      <c r="F288" s="49" t="n"/>
      <c r="G288" s="49" t="n"/>
    </row>
    <row r="289">
      <c r="B289" s="49" t="n"/>
      <c r="C289" s="49" t="n"/>
      <c r="D289" s="49" t="n"/>
      <c r="E289" s="49" t="n"/>
      <c r="F289" s="49" t="n"/>
      <c r="G289" s="49" t="n"/>
    </row>
    <row r="290">
      <c r="B290" s="49" t="n"/>
      <c r="C290" s="49" t="n"/>
      <c r="D290" s="49" t="n"/>
      <c r="E290" s="49" t="n"/>
      <c r="F290" s="49" t="n"/>
      <c r="G290" s="49" t="n"/>
    </row>
    <row r="291">
      <c r="B291" s="49" t="n"/>
      <c r="C291" s="49" t="n"/>
      <c r="D291" s="49" t="n"/>
      <c r="E291" s="49" t="n"/>
      <c r="F291" s="49" t="n"/>
      <c r="G291" s="49" t="n"/>
    </row>
    <row r="292">
      <c r="B292" s="49" t="n"/>
      <c r="C292" s="49" t="n"/>
      <c r="D292" s="49" t="n"/>
      <c r="E292" s="49" t="n"/>
      <c r="F292" s="49" t="n"/>
      <c r="G292" s="49" t="n"/>
    </row>
    <row r="293">
      <c r="B293" s="49" t="n"/>
      <c r="C293" s="49" t="n"/>
      <c r="D293" s="49" t="n"/>
      <c r="E293" s="49" t="n"/>
      <c r="F293" s="49" t="n"/>
      <c r="G293" s="49" t="n"/>
    </row>
    <row r="294">
      <c r="B294" s="49" t="n"/>
      <c r="C294" s="49" t="n"/>
      <c r="D294" s="49" t="n"/>
      <c r="E294" s="49" t="n"/>
      <c r="F294" s="49" t="n"/>
      <c r="G294" s="49" t="n"/>
    </row>
    <row r="295">
      <c r="B295" s="49" t="n"/>
      <c r="C295" s="49" t="n"/>
      <c r="D295" s="49" t="n"/>
      <c r="E295" s="49" t="n"/>
      <c r="F295" s="49" t="n"/>
      <c r="G295" s="49" t="n"/>
    </row>
    <row r="296">
      <c r="B296" s="49" t="n"/>
      <c r="C296" s="49" t="n"/>
      <c r="D296" s="49" t="n"/>
      <c r="E296" s="49" t="n"/>
      <c r="F296" s="49" t="n"/>
      <c r="G296" s="49" t="n"/>
    </row>
    <row r="297">
      <c r="B297" s="49" t="n"/>
      <c r="C297" s="49" t="n"/>
      <c r="D297" s="49" t="n"/>
      <c r="E297" s="49" t="n"/>
      <c r="F297" s="49" t="n"/>
      <c r="G297" s="49" t="n"/>
    </row>
    <row r="298">
      <c r="B298" s="49" t="n"/>
      <c r="C298" s="49" t="n"/>
      <c r="D298" s="49" t="n"/>
      <c r="E298" s="49" t="n"/>
      <c r="F298" s="49" t="n"/>
      <c r="G298" s="49" t="n"/>
    </row>
    <row r="299">
      <c r="B299" s="49" t="n"/>
      <c r="C299" s="49" t="n"/>
      <c r="D299" s="49" t="n"/>
      <c r="E299" s="49" t="n"/>
      <c r="F299" s="49" t="n"/>
      <c r="G299" s="49" t="n"/>
    </row>
    <row r="300">
      <c r="B300" s="49" t="n"/>
      <c r="C300" s="49" t="n"/>
      <c r="D300" s="49" t="n"/>
      <c r="E300" s="49" t="n"/>
      <c r="F300" s="49" t="n"/>
      <c r="G300" s="49" t="n"/>
    </row>
    <row r="301">
      <c r="B301" s="49" t="n"/>
      <c r="C301" s="49" t="n"/>
      <c r="D301" s="49" t="n"/>
      <c r="E301" s="49" t="n"/>
      <c r="F301" s="49" t="n"/>
      <c r="G301" s="49" t="n"/>
    </row>
    <row r="302">
      <c r="B302" s="49" t="n"/>
      <c r="C302" s="49" t="n"/>
      <c r="D302" s="49" t="n"/>
      <c r="E302" s="49" t="n"/>
      <c r="F302" s="49" t="n"/>
      <c r="G302" s="49" t="n"/>
    </row>
    <row r="303">
      <c r="B303" s="49" t="n"/>
      <c r="C303" s="49" t="n"/>
      <c r="D303" s="49" t="n"/>
      <c r="E303" s="49" t="n"/>
      <c r="F303" s="49" t="n"/>
      <c r="G303" s="49" t="n"/>
    </row>
    <row r="304">
      <c r="B304" s="49" t="n"/>
      <c r="C304" s="49" t="n"/>
      <c r="D304" s="49" t="n"/>
      <c r="E304" s="49" t="n"/>
      <c r="F304" s="49" t="n"/>
      <c r="G304" s="49" t="n"/>
    </row>
    <row r="305">
      <c r="B305" s="49" t="n"/>
      <c r="C305" s="49" t="n"/>
      <c r="D305" s="49" t="n"/>
      <c r="E305" s="49" t="n"/>
      <c r="F305" s="49" t="n"/>
      <c r="G305" s="49" t="n"/>
    </row>
    <row r="306">
      <c r="B306" s="49" t="n"/>
      <c r="C306" s="49" t="n"/>
      <c r="D306" s="49" t="n"/>
      <c r="E306" s="49" t="n"/>
      <c r="F306" s="49" t="n"/>
      <c r="G306" s="49" t="n"/>
    </row>
    <row r="307">
      <c r="B307" s="49" t="n"/>
      <c r="C307" s="49" t="n"/>
      <c r="D307" s="49" t="n"/>
      <c r="E307" s="49" t="n"/>
      <c r="F307" s="49" t="n"/>
      <c r="G307" s="49" t="n"/>
    </row>
    <row r="308">
      <c r="B308" s="49" t="n"/>
      <c r="C308" s="49" t="n"/>
      <c r="D308" s="49" t="n"/>
      <c r="E308" s="49" t="n"/>
      <c r="F308" s="49" t="n"/>
      <c r="G308" s="49" t="n"/>
    </row>
    <row r="309">
      <c r="B309" s="49" t="n"/>
      <c r="C309" s="49" t="n"/>
      <c r="D309" s="49" t="n"/>
      <c r="E309" s="49" t="n"/>
      <c r="F309" s="49" t="n"/>
      <c r="G309" s="49" t="n"/>
    </row>
    <row r="310">
      <c r="B310" s="49" t="n"/>
      <c r="C310" s="49" t="n"/>
      <c r="D310" s="49" t="n"/>
      <c r="E310" s="49" t="n"/>
      <c r="F310" s="49" t="n"/>
      <c r="G310" s="49" t="n"/>
    </row>
    <row r="311">
      <c r="B311" s="49" t="n"/>
      <c r="C311" s="49" t="n"/>
      <c r="D311" s="49" t="n"/>
      <c r="E311" s="49" t="n"/>
      <c r="F311" s="49" t="n"/>
      <c r="G311" s="49" t="n"/>
    </row>
    <row r="312">
      <c r="B312" s="49" t="n"/>
      <c r="C312" s="49" t="n"/>
      <c r="D312" s="49" t="n"/>
      <c r="E312" s="49" t="n"/>
      <c r="F312" s="49" t="n"/>
      <c r="G312" s="49" t="n"/>
    </row>
    <row r="313">
      <c r="B313" s="49" t="n"/>
      <c r="C313" s="49" t="n"/>
      <c r="D313" s="49" t="n"/>
      <c r="E313" s="49" t="n"/>
      <c r="F313" s="49" t="n"/>
      <c r="G313" s="49" t="n"/>
    </row>
    <row r="314">
      <c r="B314" s="49" t="n"/>
      <c r="C314" s="49" t="n"/>
      <c r="D314" s="49" t="n"/>
      <c r="E314" s="49" t="n"/>
      <c r="F314" s="49" t="n"/>
      <c r="G314" s="49" t="n"/>
    </row>
    <row r="315">
      <c r="B315" s="49" t="n"/>
      <c r="C315" s="49" t="n"/>
      <c r="D315" s="49" t="n"/>
      <c r="E315" s="49" t="n"/>
      <c r="F315" s="49" t="n"/>
      <c r="G315" s="49" t="n"/>
    </row>
    <row r="316">
      <c r="B316" s="49" t="n"/>
      <c r="C316" s="49" t="n"/>
      <c r="D316" s="49" t="n"/>
      <c r="E316" s="49" t="n"/>
      <c r="F316" s="49" t="n"/>
      <c r="G316" s="49" t="n"/>
    </row>
    <row r="317">
      <c r="B317" s="49" t="n"/>
      <c r="C317" s="49" t="n"/>
      <c r="D317" s="49" t="n"/>
      <c r="E317" s="49" t="n"/>
      <c r="F317" s="49" t="n"/>
      <c r="G317" s="49" t="n"/>
    </row>
    <row r="318">
      <c r="B318" s="49" t="n"/>
      <c r="C318" s="49" t="n"/>
      <c r="D318" s="49" t="n"/>
      <c r="E318" s="49" t="n"/>
      <c r="F318" s="49" t="n"/>
      <c r="G318" s="49" t="n"/>
    </row>
    <row r="319">
      <c r="B319" s="49" t="n"/>
      <c r="C319" s="49" t="n"/>
      <c r="D319" s="49" t="n"/>
      <c r="E319" s="49" t="n"/>
      <c r="F319" s="49" t="n"/>
      <c r="G319" s="49" t="n"/>
    </row>
    <row r="320">
      <c r="B320" s="49" t="n"/>
      <c r="C320" s="49" t="n"/>
      <c r="D320" s="49" t="n"/>
      <c r="E320" s="49" t="n"/>
      <c r="F320" s="49" t="n"/>
      <c r="G320" s="49" t="n"/>
    </row>
    <row r="321">
      <c r="B321" s="49" t="n"/>
      <c r="C321" s="49" t="n"/>
      <c r="D321" s="49" t="n"/>
      <c r="E321" s="49" t="n"/>
      <c r="F321" s="49" t="n"/>
      <c r="G321" s="49" t="n"/>
    </row>
    <row r="322">
      <c r="B322" s="49" t="n"/>
      <c r="C322" s="49" t="n"/>
      <c r="D322" s="49" t="n"/>
      <c r="E322" s="49" t="n"/>
      <c r="F322" s="49" t="n"/>
      <c r="G322" s="49" t="n"/>
    </row>
    <row r="323">
      <c r="B323" s="49" t="n"/>
      <c r="C323" s="49" t="n"/>
      <c r="D323" s="49" t="n"/>
      <c r="E323" s="49" t="n"/>
      <c r="F323" s="49" t="n"/>
      <c r="G323" s="49" t="n"/>
    </row>
    <row r="324">
      <c r="B324" s="49" t="n"/>
      <c r="C324" s="49" t="n"/>
      <c r="D324" s="49" t="n"/>
      <c r="E324" s="49" t="n"/>
      <c r="F324" s="49" t="n"/>
      <c r="G324" s="49" t="n"/>
    </row>
    <row r="325">
      <c r="B325" s="49" t="n"/>
      <c r="C325" s="49" t="n"/>
      <c r="D325" s="49" t="n"/>
      <c r="E325" s="49" t="n"/>
      <c r="F325" s="49" t="n"/>
      <c r="G325" s="49" t="n"/>
    </row>
    <row r="326">
      <c r="B326" s="49" t="n"/>
      <c r="C326" s="49" t="n"/>
      <c r="D326" s="49" t="n"/>
      <c r="E326" s="49" t="n"/>
      <c r="F326" s="49" t="n"/>
      <c r="G326" s="49" t="n"/>
    </row>
    <row r="327">
      <c r="B327" s="49" t="n"/>
      <c r="C327" s="49" t="n"/>
      <c r="D327" s="49" t="n"/>
      <c r="E327" s="49" t="n"/>
      <c r="F327" s="49" t="n"/>
      <c r="G327" s="49" t="n"/>
    </row>
    <row r="328">
      <c r="B328" s="49" t="n"/>
      <c r="C328" s="49" t="n"/>
      <c r="D328" s="49" t="n"/>
      <c r="E328" s="49" t="n"/>
      <c r="F328" s="49" t="n"/>
      <c r="G328" s="49" t="n"/>
    </row>
    <row r="329">
      <c r="B329" s="49" t="n"/>
      <c r="C329" s="49" t="n"/>
      <c r="D329" s="49" t="n"/>
      <c r="E329" s="49" t="n"/>
      <c r="F329" s="49" t="n"/>
      <c r="G329" s="49" t="n"/>
    </row>
    <row r="330">
      <c r="B330" s="49" t="n"/>
      <c r="C330" s="49" t="n"/>
      <c r="D330" s="49" t="n"/>
      <c r="E330" s="49" t="n"/>
      <c r="F330" s="49" t="n"/>
      <c r="G330" s="49" t="n"/>
    </row>
    <row r="331">
      <c r="B331" s="49" t="n"/>
      <c r="C331" s="49" t="n"/>
      <c r="D331" s="49" t="n"/>
      <c r="E331" s="49" t="n"/>
      <c r="F331" s="49" t="n"/>
      <c r="G331" s="49" t="n"/>
    </row>
    <row r="332">
      <c r="B332" s="49" t="n"/>
      <c r="C332" s="49" t="n"/>
      <c r="D332" s="49" t="n"/>
      <c r="E332" s="49" t="n"/>
      <c r="F332" s="49" t="n"/>
      <c r="G332" s="49" t="n"/>
    </row>
    <row r="333">
      <c r="B333" s="49" t="n"/>
      <c r="C333" s="49" t="n"/>
      <c r="D333" s="49" t="n"/>
      <c r="E333" s="49" t="n"/>
      <c r="F333" s="49" t="n"/>
      <c r="G333" s="49" t="n"/>
    </row>
    <row r="334">
      <c r="B334" s="49" t="n"/>
      <c r="C334" s="49" t="n"/>
      <c r="D334" s="49" t="n"/>
      <c r="E334" s="49" t="n"/>
      <c r="F334" s="49" t="n"/>
      <c r="G334" s="49" t="n"/>
    </row>
    <row r="335">
      <c r="B335" s="49" t="n"/>
      <c r="C335" s="49" t="n"/>
      <c r="D335" s="49" t="n"/>
      <c r="E335" s="49" t="n"/>
      <c r="F335" s="49" t="n"/>
      <c r="G335" s="49" t="n"/>
    </row>
    <row r="336">
      <c r="B336" s="49" t="n"/>
      <c r="C336" s="49" t="n"/>
      <c r="D336" s="49" t="n"/>
      <c r="E336" s="49" t="n"/>
      <c r="F336" s="49" t="n"/>
      <c r="G336" s="49" t="n"/>
    </row>
    <row r="337">
      <c r="B337" s="49" t="n"/>
      <c r="C337" s="49" t="n"/>
      <c r="D337" s="49" t="n"/>
      <c r="E337" s="49" t="n"/>
      <c r="F337" s="49" t="n"/>
      <c r="G337" s="49" t="n"/>
    </row>
    <row r="338">
      <c r="B338" s="49" t="n"/>
      <c r="C338" s="49" t="n"/>
      <c r="D338" s="49" t="n"/>
      <c r="E338" s="49" t="n"/>
      <c r="F338" s="49" t="n"/>
      <c r="G338" s="49" t="n"/>
    </row>
    <row r="339">
      <c r="B339" s="49" t="n"/>
      <c r="C339" s="49" t="n"/>
      <c r="D339" s="49" t="n"/>
      <c r="E339" s="49" t="n"/>
      <c r="F339" s="49" t="n"/>
      <c r="G339" s="49" t="n"/>
    </row>
    <row r="340">
      <c r="B340" s="49" t="n"/>
      <c r="C340" s="49" t="n"/>
      <c r="D340" s="49" t="n"/>
      <c r="E340" s="49" t="n"/>
      <c r="F340" s="49" t="n"/>
      <c r="G340" s="49" t="n"/>
    </row>
    <row r="341">
      <c r="B341" s="49" t="n"/>
      <c r="C341" s="49" t="n"/>
      <c r="D341" s="49" t="n"/>
      <c r="E341" s="49" t="n"/>
      <c r="F341" s="49" t="n"/>
      <c r="G341" s="49" t="n"/>
    </row>
    <row r="342">
      <c r="B342" s="49" t="n"/>
      <c r="C342" s="49" t="n"/>
      <c r="D342" s="49" t="n"/>
      <c r="E342" s="49" t="n"/>
      <c r="F342" s="49" t="n"/>
      <c r="G342" s="49" t="n"/>
    </row>
    <row r="343">
      <c r="B343" s="49" t="n"/>
      <c r="C343" s="49" t="n"/>
      <c r="D343" s="49" t="n"/>
      <c r="E343" s="49" t="n"/>
      <c r="F343" s="49" t="n"/>
      <c r="G343" s="49" t="n"/>
    </row>
    <row r="344">
      <c r="B344" s="49" t="n"/>
      <c r="C344" s="49" t="n"/>
      <c r="D344" s="49" t="n"/>
      <c r="E344" s="49" t="n"/>
      <c r="F344" s="49" t="n"/>
      <c r="G344" s="49" t="n"/>
    </row>
    <row r="345">
      <c r="B345" s="49" t="n"/>
      <c r="C345" s="49" t="n"/>
      <c r="D345" s="49" t="n"/>
      <c r="E345" s="49" t="n"/>
      <c r="F345" s="49" t="n"/>
      <c r="G345" s="49" t="n"/>
    </row>
    <row r="346">
      <c r="B346" s="49" t="n"/>
      <c r="C346" s="49" t="n"/>
      <c r="D346" s="49" t="n"/>
      <c r="E346" s="49" t="n"/>
      <c r="F346" s="49" t="n"/>
      <c r="G346" s="49" t="n"/>
    </row>
    <row r="347">
      <c r="B347" s="49" t="n"/>
      <c r="C347" s="49" t="n"/>
      <c r="D347" s="49" t="n"/>
      <c r="E347" s="49" t="n"/>
      <c r="F347" s="49" t="n"/>
      <c r="G347" s="49" t="n"/>
    </row>
    <row r="348">
      <c r="B348" s="49" t="n"/>
      <c r="C348" s="49" t="n"/>
      <c r="D348" s="49" t="n"/>
      <c r="E348" s="49" t="n"/>
      <c r="F348" s="49" t="n"/>
      <c r="G348" s="49" t="n"/>
    </row>
    <row r="349">
      <c r="B349" s="49" t="n"/>
      <c r="C349" s="49" t="n"/>
      <c r="D349" s="49" t="n"/>
      <c r="E349" s="49" t="n"/>
      <c r="F349" s="49" t="n"/>
      <c r="G349" s="49" t="n"/>
    </row>
    <row r="350">
      <c r="B350" s="49" t="n"/>
      <c r="C350" s="49" t="n"/>
      <c r="D350" s="49" t="n"/>
      <c r="E350" s="49" t="n"/>
      <c r="F350" s="49" t="n"/>
      <c r="G350" s="49" t="n"/>
    </row>
    <row r="351">
      <c r="B351" s="49" t="n"/>
      <c r="C351" s="49" t="n"/>
      <c r="D351" s="49" t="n"/>
      <c r="E351" s="49" t="n"/>
      <c r="F351" s="49" t="n"/>
      <c r="G351" s="49" t="n"/>
    </row>
    <row r="352">
      <c r="B352" s="49" t="n"/>
      <c r="C352" s="49" t="n"/>
      <c r="D352" s="49" t="n"/>
      <c r="E352" s="49" t="n"/>
      <c r="F352" s="49" t="n"/>
      <c r="G352" s="49" t="n"/>
    </row>
    <row r="353">
      <c r="B353" s="49" t="n"/>
      <c r="C353" s="49" t="n"/>
      <c r="D353" s="49" t="n"/>
      <c r="E353" s="49" t="n"/>
      <c r="F353" s="49" t="n"/>
      <c r="G353" s="49" t="n"/>
    </row>
    <row r="354">
      <c r="B354" s="49" t="n"/>
      <c r="C354" s="49" t="n"/>
      <c r="D354" s="49" t="n"/>
      <c r="E354" s="49" t="n"/>
      <c r="F354" s="49" t="n"/>
      <c r="G354" s="49" t="n"/>
    </row>
    <row r="355">
      <c r="B355" s="49" t="n"/>
      <c r="C355" s="49" t="n"/>
      <c r="D355" s="49" t="n"/>
      <c r="E355" s="49" t="n"/>
      <c r="F355" s="49" t="n"/>
      <c r="G355" s="49" t="n"/>
    </row>
    <row r="356">
      <c r="B356" s="49" t="n"/>
      <c r="C356" s="49" t="n"/>
      <c r="D356" s="49" t="n"/>
      <c r="E356" s="49" t="n"/>
      <c r="F356" s="49" t="n"/>
      <c r="G356" s="49" t="n"/>
    </row>
    <row r="357">
      <c r="B357" s="49" t="n"/>
      <c r="C357" s="49" t="n"/>
      <c r="D357" s="49" t="n"/>
      <c r="E357" s="49" t="n"/>
      <c r="F357" s="49" t="n"/>
      <c r="G357" s="49" t="n"/>
    </row>
    <row r="358">
      <c r="B358" s="49" t="n"/>
      <c r="C358" s="49" t="n"/>
      <c r="D358" s="49" t="n"/>
      <c r="E358" s="49" t="n"/>
      <c r="F358" s="49" t="n"/>
      <c r="G358" s="49" t="n"/>
    </row>
    <row r="359">
      <c r="B359" s="49" t="n"/>
      <c r="C359" s="49" t="n"/>
      <c r="D359" s="49" t="n"/>
      <c r="E359" s="49" t="n"/>
      <c r="F359" s="49" t="n"/>
      <c r="G359" s="49" t="n"/>
    </row>
    <row r="360">
      <c r="B360" s="49" t="n"/>
      <c r="C360" s="49" t="n"/>
      <c r="D360" s="49" t="n"/>
      <c r="E360" s="49" t="n"/>
      <c r="F360" s="49" t="n"/>
      <c r="G360" s="49" t="n"/>
    </row>
    <row r="361">
      <c r="B361" s="49" t="n"/>
      <c r="C361" s="49" t="n"/>
      <c r="D361" s="49" t="n"/>
      <c r="E361" s="49" t="n"/>
      <c r="F361" s="49" t="n"/>
      <c r="G361" s="49" t="n"/>
    </row>
    <row r="362">
      <c r="B362" s="49" t="n"/>
      <c r="C362" s="49" t="n"/>
      <c r="D362" s="49" t="n"/>
      <c r="E362" s="49" t="n"/>
      <c r="F362" s="49" t="n"/>
      <c r="G362" s="49" t="n"/>
    </row>
    <row r="363">
      <c r="B363" s="49" t="n"/>
      <c r="C363" s="49" t="n"/>
      <c r="D363" s="49" t="n"/>
      <c r="E363" s="49" t="n"/>
      <c r="F363" s="49" t="n"/>
      <c r="G363" s="49" t="n"/>
    </row>
    <row r="364">
      <c r="B364" s="49" t="n"/>
      <c r="C364" s="49" t="n"/>
      <c r="D364" s="49" t="n"/>
      <c r="E364" s="49" t="n"/>
      <c r="F364" s="49" t="n"/>
      <c r="G364" s="49" t="n"/>
    </row>
    <row r="365">
      <c r="B365" s="49" t="n"/>
      <c r="C365" s="49" t="n"/>
      <c r="D365" s="49" t="n"/>
      <c r="E365" s="49" t="n"/>
      <c r="F365" s="49" t="n"/>
      <c r="G365" s="49" t="n"/>
    </row>
    <row r="366">
      <c r="B366" s="49" t="n"/>
      <c r="C366" s="49" t="n"/>
      <c r="D366" s="49" t="n"/>
      <c r="E366" s="49" t="n"/>
      <c r="F366" s="49" t="n"/>
      <c r="G366" s="49" t="n"/>
    </row>
    <row r="367">
      <c r="B367" s="49" t="n"/>
      <c r="C367" s="49" t="n"/>
      <c r="D367" s="49" t="n"/>
      <c r="E367" s="49" t="n"/>
      <c r="F367" s="49" t="n"/>
      <c r="G367" s="49" t="n"/>
    </row>
    <row r="368">
      <c r="B368" s="49" t="n"/>
      <c r="C368" s="49" t="n"/>
      <c r="D368" s="49" t="n"/>
      <c r="E368" s="49" t="n"/>
      <c r="F368" s="49" t="n"/>
      <c r="G368" s="49" t="n"/>
    </row>
    <row r="369">
      <c r="B369" s="49" t="n"/>
      <c r="C369" s="49" t="n"/>
      <c r="D369" s="49" t="n"/>
      <c r="E369" s="49" t="n"/>
      <c r="F369" s="49" t="n"/>
      <c r="G369" s="49" t="n"/>
    </row>
    <row r="370">
      <c r="B370" s="49" t="n"/>
      <c r="C370" s="49" t="n"/>
      <c r="D370" s="49" t="n"/>
      <c r="E370" s="49" t="n"/>
      <c r="F370" s="49" t="n"/>
      <c r="G370" s="49" t="n"/>
    </row>
    <row r="371">
      <c r="B371" s="49" t="n"/>
      <c r="C371" s="49" t="n"/>
      <c r="D371" s="49" t="n"/>
      <c r="E371" s="49" t="n"/>
      <c r="F371" s="49" t="n"/>
      <c r="G371" s="49" t="n"/>
    </row>
    <row r="372">
      <c r="B372" s="49" t="n"/>
      <c r="C372" s="49" t="n"/>
      <c r="D372" s="49" t="n"/>
      <c r="E372" s="49" t="n"/>
      <c r="F372" s="49" t="n"/>
      <c r="G372" s="49" t="n"/>
    </row>
    <row r="373">
      <c r="B373" s="49" t="n"/>
      <c r="C373" s="49" t="n"/>
      <c r="D373" s="49" t="n"/>
      <c r="E373" s="49" t="n"/>
      <c r="F373" s="49" t="n"/>
      <c r="G373" s="49" t="n"/>
    </row>
    <row r="374">
      <c r="B374" s="49" t="n"/>
      <c r="C374" s="49" t="n"/>
      <c r="D374" s="49" t="n"/>
      <c r="E374" s="49" t="n"/>
      <c r="F374" s="49" t="n"/>
      <c r="G374" s="49" t="n"/>
    </row>
    <row r="375">
      <c r="B375" s="49" t="n"/>
      <c r="C375" s="49" t="n"/>
      <c r="D375" s="49" t="n"/>
      <c r="E375" s="49" t="n"/>
      <c r="F375" s="49" t="n"/>
      <c r="G375" s="49" t="n"/>
    </row>
    <row r="376">
      <c r="B376" s="49" t="n"/>
      <c r="C376" s="49" t="n"/>
      <c r="D376" s="49" t="n"/>
      <c r="E376" s="49" t="n"/>
      <c r="F376" s="49" t="n"/>
      <c r="G376" s="49" t="n"/>
    </row>
    <row r="377">
      <c r="B377" s="49" t="n"/>
      <c r="C377" s="49" t="n"/>
      <c r="D377" s="49" t="n"/>
      <c r="E377" s="49" t="n"/>
      <c r="F377" s="49" t="n"/>
      <c r="G377" s="49" t="n"/>
    </row>
    <row r="378">
      <c r="B378" s="49" t="n"/>
      <c r="C378" s="49" t="n"/>
      <c r="D378" s="49" t="n"/>
      <c r="E378" s="49" t="n"/>
      <c r="F378" s="49" t="n"/>
      <c r="G378" s="49" t="n"/>
    </row>
    <row r="379">
      <c r="B379" s="49" t="n"/>
      <c r="C379" s="49" t="n"/>
      <c r="D379" s="49" t="n"/>
      <c r="E379" s="49" t="n"/>
      <c r="F379" s="49" t="n"/>
      <c r="G379" s="49" t="n"/>
    </row>
    <row r="380">
      <c r="B380" s="49" t="n"/>
      <c r="C380" s="49" t="n"/>
      <c r="D380" s="49" t="n"/>
      <c r="E380" s="49" t="n"/>
      <c r="F380" s="49" t="n"/>
      <c r="G380" s="49" t="n"/>
    </row>
    <row r="381">
      <c r="B381" s="49" t="n"/>
      <c r="C381" s="49" t="n"/>
      <c r="D381" s="49" t="n"/>
      <c r="E381" s="49" t="n"/>
      <c r="F381" s="49" t="n"/>
      <c r="G381" s="49" t="n"/>
    </row>
    <row r="382">
      <c r="B382" s="49" t="n"/>
      <c r="C382" s="49" t="n"/>
      <c r="D382" s="49" t="n"/>
      <c r="E382" s="49" t="n"/>
      <c r="F382" s="49" t="n"/>
      <c r="G382" s="49" t="n"/>
    </row>
    <row r="383">
      <c r="B383" s="49" t="n"/>
      <c r="C383" s="49" t="n"/>
      <c r="D383" s="49" t="n"/>
      <c r="E383" s="49" t="n"/>
      <c r="F383" s="49" t="n"/>
      <c r="G383" s="49" t="n"/>
    </row>
    <row r="384">
      <c r="B384" s="49" t="n"/>
      <c r="C384" s="49" t="n"/>
      <c r="D384" s="49" t="n"/>
      <c r="E384" s="49" t="n"/>
      <c r="F384" s="49" t="n"/>
      <c r="G384" s="49" t="n"/>
    </row>
    <row r="385">
      <c r="B385" s="49" t="n"/>
      <c r="C385" s="49" t="n"/>
      <c r="D385" s="49" t="n"/>
      <c r="E385" s="49" t="n"/>
      <c r="F385" s="49" t="n"/>
      <c r="G385" s="49" t="n"/>
    </row>
    <row r="386">
      <c r="B386" s="49" t="n"/>
      <c r="C386" s="49" t="n"/>
      <c r="D386" s="49" t="n"/>
      <c r="E386" s="49" t="n"/>
      <c r="F386" s="49" t="n"/>
      <c r="G386" s="49" t="n"/>
    </row>
    <row r="387">
      <c r="B387" s="49" t="n"/>
      <c r="C387" s="49" t="n"/>
      <c r="D387" s="49" t="n"/>
      <c r="E387" s="49" t="n"/>
      <c r="F387" s="49" t="n"/>
      <c r="G387" s="49" t="n"/>
    </row>
    <row r="388">
      <c r="B388" s="49" t="n"/>
      <c r="C388" s="49" t="n"/>
      <c r="D388" s="49" t="n"/>
      <c r="E388" s="49" t="n"/>
      <c r="F388" s="49" t="n"/>
      <c r="G388" s="49" t="n"/>
    </row>
    <row r="389">
      <c r="B389" s="49" t="n"/>
      <c r="C389" s="49" t="n"/>
      <c r="D389" s="49" t="n"/>
      <c r="E389" s="49" t="n"/>
      <c r="F389" s="49" t="n"/>
      <c r="G389" s="49" t="n"/>
    </row>
    <row r="390">
      <c r="B390" s="49" t="n"/>
      <c r="C390" s="49" t="n"/>
      <c r="D390" s="49" t="n"/>
      <c r="E390" s="49" t="n"/>
      <c r="F390" s="49" t="n"/>
      <c r="G390" s="49" t="n"/>
    </row>
    <row r="391">
      <c r="B391" s="49" t="n"/>
      <c r="C391" s="49" t="n"/>
      <c r="D391" s="49" t="n"/>
      <c r="E391" s="49" t="n"/>
      <c r="F391" s="49" t="n"/>
      <c r="G391" s="49" t="n"/>
    </row>
    <row r="392">
      <c r="B392" s="49" t="n"/>
      <c r="C392" s="49" t="n"/>
      <c r="D392" s="49" t="n"/>
      <c r="E392" s="49" t="n"/>
      <c r="F392" s="49" t="n"/>
      <c r="G392" s="49" t="n"/>
    </row>
    <row r="393">
      <c r="B393" s="49" t="n"/>
      <c r="C393" s="49" t="n"/>
      <c r="D393" s="49" t="n"/>
      <c r="E393" s="49" t="n"/>
      <c r="F393" s="49" t="n"/>
      <c r="G393" s="49" t="n"/>
    </row>
    <row r="394">
      <c r="B394" s="49" t="n"/>
      <c r="C394" s="49" t="n"/>
      <c r="D394" s="49" t="n"/>
      <c r="E394" s="49" t="n"/>
      <c r="F394" s="49" t="n"/>
      <c r="G394" s="49" t="n"/>
    </row>
    <row r="395">
      <c r="B395" s="49" t="n"/>
      <c r="C395" s="49" t="n"/>
      <c r="D395" s="49" t="n"/>
      <c r="E395" s="49" t="n"/>
      <c r="F395" s="49" t="n"/>
      <c r="G395" s="49" t="n"/>
    </row>
    <row r="396">
      <c r="B396" s="49" t="n"/>
      <c r="C396" s="49" t="n"/>
      <c r="D396" s="49" t="n"/>
      <c r="E396" s="49" t="n"/>
      <c r="F396" s="49" t="n"/>
      <c r="G396" s="49" t="n"/>
    </row>
    <row r="397">
      <c r="B397" s="49" t="n"/>
      <c r="C397" s="49" t="n"/>
      <c r="D397" s="49" t="n"/>
      <c r="E397" s="49" t="n"/>
      <c r="F397" s="49" t="n"/>
      <c r="G397" s="49" t="n"/>
    </row>
    <row r="398">
      <c r="B398" s="49" t="n"/>
      <c r="C398" s="49" t="n"/>
      <c r="D398" s="49" t="n"/>
      <c r="E398" s="49" t="n"/>
      <c r="F398" s="49" t="n"/>
      <c r="G398" s="49" t="n"/>
    </row>
    <row r="399">
      <c r="B399" s="49" t="n"/>
      <c r="C399" s="49" t="n"/>
      <c r="D399" s="49" t="n"/>
      <c r="E399" s="49" t="n"/>
      <c r="F399" s="49" t="n"/>
      <c r="G399" s="49" t="n"/>
    </row>
    <row r="400">
      <c r="B400" s="49" t="n"/>
      <c r="C400" s="49" t="n"/>
      <c r="D400" s="49" t="n"/>
      <c r="E400" s="49" t="n"/>
      <c r="F400" s="49" t="n"/>
      <c r="G400" s="49" t="n"/>
    </row>
    <row r="401">
      <c r="B401" s="49" t="n"/>
      <c r="C401" s="49" t="n"/>
      <c r="D401" s="49" t="n"/>
      <c r="E401" s="49" t="n"/>
      <c r="F401" s="49" t="n"/>
      <c r="G401" s="49" t="n"/>
    </row>
    <row r="402">
      <c r="B402" s="49" t="n"/>
      <c r="C402" s="49" t="n"/>
      <c r="D402" s="49" t="n"/>
      <c r="E402" s="49" t="n"/>
      <c r="F402" s="49" t="n"/>
      <c r="G402" s="49" t="n"/>
    </row>
    <row r="403">
      <c r="B403" s="49" t="n"/>
      <c r="C403" s="49" t="n"/>
      <c r="D403" s="49" t="n"/>
      <c r="E403" s="49" t="n"/>
      <c r="F403" s="49" t="n"/>
      <c r="G403" s="49" t="n"/>
    </row>
    <row r="404">
      <c r="B404" s="49" t="n"/>
      <c r="C404" s="49" t="n"/>
      <c r="D404" s="49" t="n"/>
      <c r="E404" s="49" t="n"/>
      <c r="F404" s="49" t="n"/>
      <c r="G404" s="49" t="n"/>
    </row>
    <row r="405">
      <c r="B405" s="49" t="n"/>
      <c r="C405" s="49" t="n"/>
      <c r="D405" s="49" t="n"/>
      <c r="E405" s="49" t="n"/>
      <c r="F405" s="49" t="n"/>
      <c r="G405" s="49" t="n"/>
    </row>
    <row r="406">
      <c r="B406" s="49" t="n"/>
      <c r="C406" s="49" t="n"/>
      <c r="D406" s="49" t="n"/>
      <c r="E406" s="49" t="n"/>
      <c r="F406" s="49" t="n"/>
      <c r="G406" s="49" t="n"/>
    </row>
    <row r="407">
      <c r="B407" s="49" t="n"/>
      <c r="C407" s="49" t="n"/>
      <c r="D407" s="49" t="n"/>
      <c r="E407" s="49" t="n"/>
      <c r="F407" s="49" t="n"/>
      <c r="G407" s="49" t="n"/>
    </row>
    <row r="408">
      <c r="B408" s="49" t="n"/>
      <c r="C408" s="49" t="n"/>
      <c r="D408" s="49" t="n"/>
      <c r="E408" s="49" t="n"/>
      <c r="F408" s="49" t="n"/>
      <c r="G408" s="49" t="n"/>
    </row>
    <row r="409">
      <c r="B409" s="49" t="n"/>
      <c r="C409" s="49" t="n"/>
      <c r="D409" s="49" t="n"/>
      <c r="E409" s="49" t="n"/>
      <c r="F409" s="49" t="n"/>
      <c r="G409" s="49" t="n"/>
    </row>
    <row r="410">
      <c r="B410" s="49" t="n"/>
      <c r="C410" s="49" t="n"/>
      <c r="D410" s="49" t="n"/>
      <c r="E410" s="49" t="n"/>
      <c r="F410" s="49" t="n"/>
      <c r="G410" s="49" t="n"/>
    </row>
    <row r="411">
      <c r="B411" s="49" t="n"/>
      <c r="C411" s="49" t="n"/>
      <c r="D411" s="49" t="n"/>
      <c r="E411" s="49" t="n"/>
      <c r="F411" s="49" t="n"/>
      <c r="G411" s="49" t="n"/>
    </row>
    <row r="412">
      <c r="B412" s="49" t="n"/>
      <c r="C412" s="49" t="n"/>
      <c r="D412" s="49" t="n"/>
      <c r="E412" s="49" t="n"/>
      <c r="F412" s="49" t="n"/>
      <c r="G412" s="49" t="n"/>
    </row>
    <row r="413">
      <c r="B413" s="49" t="n"/>
      <c r="C413" s="49" t="n"/>
      <c r="D413" s="49" t="n"/>
      <c r="E413" s="49" t="n"/>
      <c r="F413" s="49" t="n"/>
      <c r="G413" s="49" t="n"/>
    </row>
    <row r="414">
      <c r="B414" s="49" t="n"/>
      <c r="C414" s="49" t="n"/>
      <c r="D414" s="49" t="n"/>
      <c r="E414" s="49" t="n"/>
      <c r="F414" s="49" t="n"/>
      <c r="G414" s="49" t="n"/>
    </row>
    <row r="415">
      <c r="B415" s="49" t="n"/>
      <c r="C415" s="49" t="n"/>
      <c r="D415" s="49" t="n"/>
      <c r="E415" s="49" t="n"/>
      <c r="F415" s="49" t="n"/>
      <c r="G415" s="49" t="n"/>
    </row>
    <row r="416">
      <c r="B416" s="49" t="n"/>
      <c r="C416" s="49" t="n"/>
      <c r="D416" s="49" t="n"/>
      <c r="E416" s="49" t="n"/>
      <c r="F416" s="49" t="n"/>
      <c r="G416" s="49" t="n"/>
    </row>
    <row r="417">
      <c r="B417" s="49" t="n"/>
      <c r="C417" s="49" t="n"/>
      <c r="D417" s="49" t="n"/>
      <c r="E417" s="49" t="n"/>
      <c r="F417" s="49" t="n"/>
      <c r="G417" s="49" t="n"/>
    </row>
    <row r="418">
      <c r="B418" s="49" t="n"/>
      <c r="C418" s="49" t="n"/>
      <c r="D418" s="49" t="n"/>
      <c r="E418" s="49" t="n"/>
      <c r="F418" s="49" t="n"/>
      <c r="G418" s="49" t="n"/>
    </row>
    <row r="419">
      <c r="B419" s="49" t="n"/>
      <c r="C419" s="49" t="n"/>
      <c r="D419" s="49" t="n"/>
      <c r="E419" s="49" t="n"/>
      <c r="F419" s="49" t="n"/>
      <c r="G419" s="49" t="n"/>
    </row>
    <row r="420">
      <c r="B420" s="49" t="n"/>
      <c r="C420" s="49" t="n"/>
      <c r="D420" s="49" t="n"/>
      <c r="E420" s="49" t="n"/>
      <c r="F420" s="49" t="n"/>
      <c r="G420" s="49" t="n"/>
    </row>
    <row r="421">
      <c r="B421" s="49" t="n"/>
      <c r="C421" s="49" t="n"/>
      <c r="D421" s="49" t="n"/>
      <c r="E421" s="49" t="n"/>
      <c r="F421" s="49" t="n"/>
      <c r="G421" s="49" t="n"/>
    </row>
    <row r="422">
      <c r="B422" s="49" t="n"/>
      <c r="C422" s="49" t="n"/>
      <c r="D422" s="49" t="n"/>
      <c r="E422" s="49" t="n"/>
      <c r="F422" s="49" t="n"/>
      <c r="G422" s="49" t="n"/>
    </row>
    <row r="423">
      <c r="B423" s="49" t="n"/>
      <c r="C423" s="49" t="n"/>
      <c r="D423" s="49" t="n"/>
      <c r="E423" s="49" t="n"/>
      <c r="F423" s="49" t="n"/>
      <c r="G423" s="49" t="n"/>
    </row>
    <row r="424">
      <c r="B424" s="49" t="n"/>
      <c r="C424" s="49" t="n"/>
      <c r="D424" s="49" t="n"/>
      <c r="E424" s="49" t="n"/>
      <c r="F424" s="49" t="n"/>
      <c r="G424" s="49" t="n"/>
    </row>
    <row r="425">
      <c r="B425" s="49" t="n"/>
      <c r="C425" s="49" t="n"/>
      <c r="D425" s="49" t="n"/>
      <c r="E425" s="49" t="n"/>
      <c r="F425" s="49" t="n"/>
      <c r="G425" s="49" t="n"/>
    </row>
    <row r="426">
      <c r="B426" s="49" t="n"/>
      <c r="C426" s="49" t="n"/>
      <c r="D426" s="49" t="n"/>
      <c r="E426" s="49" t="n"/>
      <c r="F426" s="49" t="n"/>
      <c r="G426" s="49" t="n"/>
    </row>
    <row r="427">
      <c r="B427" s="49" t="n"/>
      <c r="C427" s="49" t="n"/>
      <c r="D427" s="49" t="n"/>
      <c r="E427" s="49" t="n"/>
      <c r="F427" s="49" t="n"/>
      <c r="G427" s="49" t="n"/>
    </row>
    <row r="428">
      <c r="B428" s="49" t="n"/>
      <c r="C428" s="49" t="n"/>
      <c r="D428" s="49" t="n"/>
      <c r="E428" s="49" t="n"/>
      <c r="F428" s="49" t="n"/>
      <c r="G428" s="49" t="n"/>
    </row>
    <row r="429">
      <c r="B429" s="49" t="n"/>
      <c r="C429" s="49" t="n"/>
      <c r="D429" s="49" t="n"/>
      <c r="E429" s="49" t="n"/>
      <c r="F429" s="49" t="n"/>
      <c r="G429" s="49" t="n"/>
    </row>
    <row r="430">
      <c r="B430" s="49" t="n"/>
      <c r="C430" s="49" t="n"/>
      <c r="D430" s="49" t="n"/>
      <c r="E430" s="49" t="n"/>
      <c r="F430" s="49" t="n"/>
      <c r="G430" s="49" t="n"/>
    </row>
    <row r="431">
      <c r="B431" s="49" t="n"/>
      <c r="C431" s="49" t="n"/>
      <c r="D431" s="49" t="n"/>
      <c r="E431" s="49" t="n"/>
      <c r="F431" s="49" t="n"/>
      <c r="G431" s="49" t="n"/>
    </row>
    <row r="432">
      <c r="B432" s="49" t="n"/>
      <c r="C432" s="49" t="n"/>
      <c r="D432" s="49" t="n"/>
      <c r="E432" s="49" t="n"/>
      <c r="F432" s="49" t="n"/>
      <c r="G432" s="49" t="n"/>
    </row>
    <row r="433">
      <c r="B433" s="49" t="n"/>
      <c r="C433" s="49" t="n"/>
      <c r="D433" s="49" t="n"/>
      <c r="E433" s="49" t="n"/>
      <c r="F433" s="49" t="n"/>
      <c r="G433" s="49" t="n"/>
    </row>
    <row r="434">
      <c r="B434" s="49" t="n"/>
      <c r="C434" s="49" t="n"/>
      <c r="D434" s="49" t="n"/>
      <c r="E434" s="49" t="n"/>
      <c r="F434" s="49" t="n"/>
      <c r="G434" s="49" t="n"/>
    </row>
    <row r="435">
      <c r="B435" s="49" t="n"/>
      <c r="C435" s="49" t="n"/>
      <c r="D435" s="49" t="n"/>
      <c r="E435" s="49" t="n"/>
      <c r="F435" s="49" t="n"/>
      <c r="G435" s="49" t="n"/>
    </row>
    <row r="436">
      <c r="B436" s="49" t="n"/>
      <c r="C436" s="49" t="n"/>
      <c r="D436" s="49" t="n"/>
      <c r="E436" s="49" t="n"/>
      <c r="F436" s="49" t="n"/>
      <c r="G436" s="49" t="n"/>
    </row>
    <row r="437">
      <c r="B437" s="49" t="n"/>
      <c r="C437" s="49" t="n"/>
      <c r="D437" s="49" t="n"/>
      <c r="E437" s="49" t="n"/>
      <c r="F437" s="49" t="n"/>
      <c r="G437" s="49" t="n"/>
    </row>
    <row r="438">
      <c r="B438" s="49" t="n"/>
      <c r="C438" s="49" t="n"/>
      <c r="D438" s="49" t="n"/>
      <c r="E438" s="49" t="n"/>
      <c r="F438" s="49" t="n"/>
      <c r="G438" s="49" t="n"/>
    </row>
    <row r="439">
      <c r="B439" s="49" t="n"/>
      <c r="C439" s="49" t="n"/>
      <c r="D439" s="49" t="n"/>
      <c r="E439" s="49" t="n"/>
      <c r="F439" s="49" t="n"/>
      <c r="G439" s="49" t="n"/>
    </row>
    <row r="440">
      <c r="B440" s="49" t="n"/>
      <c r="C440" s="49" t="n"/>
      <c r="D440" s="49" t="n"/>
      <c r="E440" s="49" t="n"/>
      <c r="F440" s="49" t="n"/>
      <c r="G440" s="49" t="n"/>
    </row>
    <row r="441">
      <c r="B441" s="49" t="n"/>
      <c r="C441" s="49" t="n"/>
      <c r="D441" s="49" t="n"/>
      <c r="E441" s="49" t="n"/>
      <c r="F441" s="49" t="n"/>
      <c r="G441" s="49" t="n"/>
    </row>
    <row r="442">
      <c r="B442" s="49" t="n"/>
      <c r="C442" s="49" t="n"/>
      <c r="D442" s="49" t="n"/>
      <c r="E442" s="49" t="n"/>
      <c r="F442" s="49" t="n"/>
      <c r="G442" s="49" t="n"/>
    </row>
    <row r="443">
      <c r="B443" s="49" t="n"/>
      <c r="C443" s="49" t="n"/>
      <c r="D443" s="49" t="n"/>
      <c r="E443" s="49" t="n"/>
      <c r="F443" s="49" t="n"/>
      <c r="G443" s="49" t="n"/>
    </row>
    <row r="444">
      <c r="B444" s="49" t="n"/>
      <c r="C444" s="49" t="n"/>
      <c r="D444" s="49" t="n"/>
      <c r="E444" s="49" t="n"/>
      <c r="F444" s="49" t="n"/>
      <c r="G444" s="49" t="n"/>
    </row>
    <row r="445">
      <c r="B445" s="49" t="n"/>
      <c r="C445" s="49" t="n"/>
      <c r="D445" s="49" t="n"/>
      <c r="E445" s="49" t="n"/>
      <c r="F445" s="49" t="n"/>
      <c r="G445" s="49" t="n"/>
    </row>
    <row r="446">
      <c r="B446" s="49" t="n"/>
      <c r="C446" s="49" t="n"/>
      <c r="D446" s="49" t="n"/>
      <c r="E446" s="49" t="n"/>
      <c r="F446" s="49" t="n"/>
      <c r="G446" s="49" t="n"/>
    </row>
    <row r="447">
      <c r="B447" s="49" t="n"/>
      <c r="C447" s="49" t="n"/>
      <c r="D447" s="49" t="n"/>
      <c r="E447" s="49" t="n"/>
      <c r="F447" s="49" t="n"/>
      <c r="G447" s="49" t="n"/>
    </row>
    <row r="448">
      <c r="B448" s="49" t="n"/>
      <c r="C448" s="49" t="n"/>
      <c r="D448" s="49" t="n"/>
      <c r="E448" s="49" t="n"/>
      <c r="F448" s="49" t="n"/>
      <c r="G448" s="49" t="n"/>
    </row>
    <row r="449">
      <c r="B449" s="49" t="n"/>
      <c r="C449" s="49" t="n"/>
      <c r="D449" s="49" t="n"/>
      <c r="E449" s="49" t="n"/>
      <c r="F449" s="49" t="n"/>
      <c r="G449" s="49" t="n"/>
    </row>
    <row r="450">
      <c r="B450" s="49" t="n"/>
      <c r="C450" s="49" t="n"/>
      <c r="D450" s="49" t="n"/>
      <c r="E450" s="49" t="n"/>
      <c r="F450" s="49" t="n"/>
      <c r="G450" s="49" t="n"/>
    </row>
    <row r="451">
      <c r="B451" s="49" t="n"/>
      <c r="C451" s="49" t="n"/>
      <c r="D451" s="49" t="n"/>
      <c r="E451" s="49" t="n"/>
      <c r="F451" s="49" t="n"/>
      <c r="G451" s="49" t="n"/>
    </row>
    <row r="452">
      <c r="B452" s="49" t="n"/>
      <c r="C452" s="49" t="n"/>
      <c r="D452" s="49" t="n"/>
      <c r="E452" s="49" t="n"/>
      <c r="F452" s="49" t="n"/>
      <c r="G452" s="49" t="n"/>
    </row>
    <row r="453">
      <c r="B453" s="49" t="n"/>
      <c r="C453" s="49" t="n"/>
      <c r="D453" s="49" t="n"/>
      <c r="E453" s="49" t="n"/>
      <c r="F453" s="49" t="n"/>
      <c r="G453" s="49" t="n"/>
    </row>
    <row r="454">
      <c r="B454" s="49" t="n"/>
      <c r="C454" s="49" t="n"/>
      <c r="D454" s="49" t="n"/>
      <c r="E454" s="49" t="n"/>
      <c r="F454" s="49" t="n"/>
      <c r="G454" s="49" t="n"/>
    </row>
    <row r="455">
      <c r="B455" s="49" t="n"/>
      <c r="C455" s="49" t="n"/>
      <c r="D455" s="49" t="n"/>
      <c r="E455" s="49" t="n"/>
      <c r="F455" s="49" t="n"/>
      <c r="G455" s="49" t="n"/>
    </row>
    <row r="456">
      <c r="B456" s="49" t="n"/>
      <c r="C456" s="49" t="n"/>
      <c r="D456" s="49" t="n"/>
      <c r="E456" s="49" t="n"/>
      <c r="F456" s="49" t="n"/>
      <c r="G456" s="49" t="n"/>
    </row>
    <row r="457">
      <c r="B457" s="49" t="n"/>
      <c r="C457" s="49" t="n"/>
      <c r="D457" s="49" t="n"/>
      <c r="E457" s="49" t="n"/>
      <c r="F457" s="49" t="n"/>
      <c r="G457" s="49" t="n"/>
    </row>
    <row r="458">
      <c r="B458" s="49" t="n"/>
      <c r="C458" s="49" t="n"/>
      <c r="D458" s="49" t="n"/>
      <c r="E458" s="49" t="n"/>
      <c r="F458" s="49" t="n"/>
      <c r="G458" s="49" t="n"/>
    </row>
    <row r="459">
      <c r="B459" s="49" t="n"/>
      <c r="C459" s="49" t="n"/>
      <c r="D459" s="49" t="n"/>
      <c r="E459" s="49" t="n"/>
      <c r="F459" s="49" t="n"/>
      <c r="G459" s="49" t="n"/>
    </row>
    <row r="460">
      <c r="B460" s="49" t="n"/>
      <c r="C460" s="49" t="n"/>
      <c r="D460" s="49" t="n"/>
      <c r="E460" s="49" t="n"/>
      <c r="F460" s="49" t="n"/>
      <c r="G460" s="49" t="n"/>
    </row>
    <row r="461">
      <c r="B461" s="49" t="n"/>
      <c r="C461" s="49" t="n"/>
      <c r="D461" s="49" t="n"/>
      <c r="E461" s="49" t="n"/>
      <c r="F461" s="49" t="n"/>
      <c r="G461" s="49" t="n"/>
    </row>
    <row r="462">
      <c r="B462" s="49" t="n"/>
      <c r="C462" s="49" t="n"/>
      <c r="D462" s="49" t="n"/>
      <c r="E462" s="49" t="n"/>
      <c r="F462" s="49" t="n"/>
      <c r="G462" s="49" t="n"/>
    </row>
    <row r="463">
      <c r="B463" s="49" t="n"/>
      <c r="C463" s="49" t="n"/>
      <c r="D463" s="49" t="n"/>
      <c r="E463" s="49" t="n"/>
      <c r="F463" s="49" t="n"/>
      <c r="G463" s="49" t="n"/>
    </row>
    <row r="464">
      <c r="B464" s="49" t="n"/>
      <c r="C464" s="49" t="n"/>
      <c r="D464" s="49" t="n"/>
      <c r="E464" s="49" t="n"/>
      <c r="F464" s="49" t="n"/>
      <c r="G464" s="49" t="n"/>
    </row>
    <row r="465">
      <c r="B465" s="49" t="n"/>
      <c r="C465" s="49" t="n"/>
      <c r="D465" s="49" t="n"/>
      <c r="E465" s="49" t="n"/>
      <c r="F465" s="49" t="n"/>
      <c r="G465" s="49" t="n"/>
    </row>
    <row r="466">
      <c r="B466" s="49" t="n"/>
      <c r="C466" s="49" t="n"/>
      <c r="D466" s="49" t="n"/>
      <c r="E466" s="49" t="n"/>
      <c r="F466" s="49" t="n"/>
      <c r="G466" s="49" t="n"/>
    </row>
    <row r="467">
      <c r="B467" s="49" t="n"/>
      <c r="C467" s="49" t="n"/>
      <c r="D467" s="49" t="n"/>
      <c r="E467" s="49" t="n"/>
      <c r="F467" s="49" t="n"/>
      <c r="G467" s="49" t="n"/>
    </row>
    <row r="468">
      <c r="B468" s="49" t="n"/>
      <c r="C468" s="49" t="n"/>
      <c r="D468" s="49" t="n"/>
      <c r="E468" s="49" t="n"/>
      <c r="F468" s="49" t="n"/>
      <c r="G468" s="49" t="n"/>
    </row>
    <row r="469">
      <c r="B469" s="49" t="n"/>
      <c r="C469" s="49" t="n"/>
      <c r="D469" s="49" t="n"/>
      <c r="E469" s="49" t="n"/>
      <c r="F469" s="49" t="n"/>
      <c r="G469" s="49" t="n"/>
    </row>
    <row r="470">
      <c r="B470" s="49" t="n"/>
      <c r="C470" s="49" t="n"/>
      <c r="D470" s="49" t="n"/>
      <c r="E470" s="49" t="n"/>
      <c r="F470" s="49" t="n"/>
      <c r="G470" s="49" t="n"/>
    </row>
    <row r="471">
      <c r="B471" s="49" t="n"/>
      <c r="C471" s="49" t="n"/>
      <c r="D471" s="49" t="n"/>
      <c r="E471" s="49" t="n"/>
      <c r="F471" s="49" t="n"/>
      <c r="G471" s="49" t="n"/>
    </row>
    <row r="472">
      <c r="B472" s="49" t="n"/>
      <c r="C472" s="49" t="n"/>
      <c r="D472" s="49" t="n"/>
      <c r="E472" s="49" t="n"/>
      <c r="F472" s="49" t="n"/>
      <c r="G472" s="49" t="n"/>
    </row>
    <row r="473">
      <c r="B473" s="49" t="n"/>
      <c r="C473" s="49" t="n"/>
      <c r="D473" s="49" t="n"/>
      <c r="E473" s="49" t="n"/>
      <c r="F473" s="49" t="n"/>
      <c r="G473" s="49" t="n"/>
    </row>
    <row r="474">
      <c r="B474" s="49" t="n"/>
      <c r="C474" s="49" t="n"/>
      <c r="D474" s="49" t="n"/>
      <c r="E474" s="49" t="n"/>
      <c r="F474" s="49" t="n"/>
      <c r="G474" s="49" t="n"/>
    </row>
    <row r="475">
      <c r="B475" s="49" t="n"/>
      <c r="C475" s="49" t="n"/>
      <c r="D475" s="49" t="n"/>
      <c r="E475" s="49" t="n"/>
      <c r="F475" s="49" t="n"/>
      <c r="G475" s="49" t="n"/>
    </row>
    <row r="476">
      <c r="B476" s="49" t="n"/>
      <c r="C476" s="49" t="n"/>
      <c r="D476" s="49" t="n"/>
      <c r="E476" s="49" t="n"/>
      <c r="F476" s="49" t="n"/>
      <c r="G476" s="49" t="n"/>
    </row>
    <row r="477">
      <c r="B477" s="49" t="n"/>
      <c r="C477" s="49" t="n"/>
      <c r="D477" s="49" t="n"/>
      <c r="E477" s="49" t="n"/>
      <c r="F477" s="49" t="n"/>
      <c r="G477" s="49" t="n"/>
    </row>
    <row r="478">
      <c r="B478" s="49" t="n"/>
      <c r="C478" s="49" t="n"/>
      <c r="D478" s="49" t="n"/>
      <c r="E478" s="49" t="n"/>
      <c r="F478" s="49" t="n"/>
      <c r="G478" s="49" t="n"/>
    </row>
    <row r="479">
      <c r="B479" s="49" t="n"/>
      <c r="C479" s="49" t="n"/>
      <c r="D479" s="49" t="n"/>
      <c r="E479" s="49" t="n"/>
      <c r="F479" s="49" t="n"/>
      <c r="G479" s="49" t="n"/>
    </row>
    <row r="480">
      <c r="B480" s="49" t="n"/>
      <c r="C480" s="49" t="n"/>
      <c r="D480" s="49" t="n"/>
      <c r="E480" s="49" t="n"/>
      <c r="F480" s="49" t="n"/>
      <c r="G480" s="49" t="n"/>
    </row>
    <row r="481">
      <c r="B481" s="49" t="n"/>
      <c r="C481" s="49" t="n"/>
      <c r="D481" s="49" t="n"/>
      <c r="E481" s="49" t="n"/>
      <c r="F481" s="49" t="n"/>
      <c r="G481" s="49" t="n"/>
    </row>
    <row r="482">
      <c r="B482" s="49" t="n"/>
      <c r="C482" s="49" t="n"/>
      <c r="D482" s="49" t="n"/>
      <c r="E482" s="49" t="n"/>
      <c r="F482" s="49" t="n"/>
      <c r="G482" s="49" t="n"/>
    </row>
    <row r="483">
      <c r="B483" s="49" t="n"/>
      <c r="C483" s="49" t="n"/>
      <c r="D483" s="49" t="n"/>
      <c r="E483" s="49" t="n"/>
      <c r="F483" s="49" t="n"/>
      <c r="G483" s="49" t="n"/>
    </row>
    <row r="484">
      <c r="B484" s="49" t="n"/>
      <c r="C484" s="49" t="n"/>
      <c r="D484" s="49" t="n"/>
      <c r="E484" s="49" t="n"/>
      <c r="F484" s="49" t="n"/>
      <c r="G484" s="49" t="n"/>
    </row>
    <row r="485">
      <c r="B485" s="49" t="n"/>
      <c r="C485" s="49" t="n"/>
      <c r="D485" s="49" t="n"/>
      <c r="E485" s="49" t="n"/>
      <c r="F485" s="49" t="n"/>
      <c r="G485" s="49" t="n"/>
    </row>
    <row r="486">
      <c r="B486" s="49" t="n"/>
      <c r="C486" s="49" t="n"/>
      <c r="D486" s="49" t="n"/>
      <c r="E486" s="49" t="n"/>
      <c r="F486" s="49" t="n"/>
      <c r="G486" s="49" t="n"/>
    </row>
    <row r="487">
      <c r="B487" s="49" t="n"/>
      <c r="C487" s="49" t="n"/>
      <c r="D487" s="49" t="n"/>
      <c r="E487" s="49" t="n"/>
      <c r="F487" s="49" t="n"/>
      <c r="G487" s="49" t="n"/>
    </row>
    <row r="488">
      <c r="B488" s="49" t="n"/>
      <c r="C488" s="49" t="n"/>
      <c r="D488" s="49" t="n"/>
      <c r="E488" s="49" t="n"/>
      <c r="F488" s="49" t="n"/>
      <c r="G488" s="49" t="n"/>
    </row>
    <row r="489">
      <c r="B489" s="49" t="n"/>
      <c r="C489" s="49" t="n"/>
      <c r="D489" s="49" t="n"/>
      <c r="E489" s="49" t="n"/>
      <c r="F489" s="49" t="n"/>
      <c r="G489" s="49" t="n"/>
    </row>
    <row r="490">
      <c r="B490" s="49" t="n"/>
      <c r="C490" s="49" t="n"/>
      <c r="D490" s="49" t="n"/>
      <c r="E490" s="49" t="n"/>
      <c r="F490" s="49" t="n"/>
      <c r="G490" s="49" t="n"/>
    </row>
    <row r="491">
      <c r="B491" s="49" t="n"/>
      <c r="C491" s="49" t="n"/>
      <c r="D491" s="49" t="n"/>
      <c r="E491" s="49" t="n"/>
      <c r="F491" s="49" t="n"/>
      <c r="G491" s="49" t="n"/>
    </row>
    <row r="492">
      <c r="B492" s="49" t="n"/>
      <c r="C492" s="49" t="n"/>
      <c r="D492" s="49" t="n"/>
      <c r="E492" s="49" t="n"/>
      <c r="F492" s="49" t="n"/>
      <c r="G492" s="49" t="n"/>
    </row>
    <row r="493">
      <c r="B493" s="49" t="n"/>
      <c r="C493" s="49" t="n"/>
      <c r="D493" s="49" t="n"/>
      <c r="E493" s="49" t="n"/>
      <c r="F493" s="49" t="n"/>
      <c r="G493" s="49" t="n"/>
    </row>
    <row r="494">
      <c r="B494" s="49" t="n"/>
      <c r="C494" s="49" t="n"/>
      <c r="D494" s="49" t="n"/>
      <c r="E494" s="49" t="n"/>
      <c r="F494" s="49" t="n"/>
      <c r="G494" s="49" t="n"/>
    </row>
    <row r="495">
      <c r="B495" s="49" t="n"/>
      <c r="C495" s="49" t="n"/>
      <c r="D495" s="49" t="n"/>
      <c r="E495" s="49" t="n"/>
      <c r="F495" s="49" t="n"/>
      <c r="G495" s="49" t="n"/>
    </row>
    <row r="496">
      <c r="B496" s="49" t="n"/>
      <c r="C496" s="49" t="n"/>
      <c r="D496" s="49" t="n"/>
      <c r="E496" s="49" t="n"/>
      <c r="F496" s="49" t="n"/>
      <c r="G496" s="49" t="n"/>
    </row>
    <row r="497">
      <c r="B497" s="49" t="n"/>
      <c r="C497" s="49" t="n"/>
      <c r="D497" s="49" t="n"/>
      <c r="E497" s="49" t="n"/>
      <c r="F497" s="49" t="n"/>
      <c r="G497" s="49" t="n"/>
    </row>
    <row r="498">
      <c r="B498" s="49" t="n"/>
      <c r="C498" s="49" t="n"/>
      <c r="D498" s="49" t="n"/>
      <c r="E498" s="49" t="n"/>
      <c r="F498" s="49" t="n"/>
      <c r="G498" s="49" t="n"/>
    </row>
    <row r="499">
      <c r="B499" s="49" t="n"/>
      <c r="C499" s="49" t="n"/>
      <c r="D499" s="49" t="n"/>
      <c r="E499" s="49" t="n"/>
      <c r="F499" s="49" t="n"/>
      <c r="G499" s="49" t="n"/>
    </row>
    <row r="500">
      <c r="B500" s="49" t="n"/>
      <c r="C500" s="49" t="n"/>
      <c r="D500" s="49" t="n"/>
      <c r="E500" s="49" t="n"/>
      <c r="F500" s="49" t="n"/>
      <c r="G500" s="49" t="n"/>
    </row>
    <row r="501">
      <c r="B501" s="49" t="n"/>
      <c r="C501" s="49" t="n"/>
      <c r="D501" s="49" t="n"/>
      <c r="E501" s="49" t="n"/>
      <c r="F501" s="49" t="n"/>
      <c r="G501" s="49" t="n"/>
    </row>
    <row r="502">
      <c r="B502" s="49" t="n"/>
      <c r="C502" s="49" t="n"/>
      <c r="D502" s="49" t="n"/>
      <c r="E502" s="49" t="n"/>
      <c r="F502" s="49" t="n"/>
      <c r="G502" s="49" t="n"/>
    </row>
    <row r="503">
      <c r="B503" s="49" t="n"/>
      <c r="C503" s="49" t="n"/>
      <c r="D503" s="49" t="n"/>
      <c r="E503" s="49" t="n"/>
      <c r="F503" s="49" t="n"/>
      <c r="G503" s="49" t="n"/>
    </row>
    <row r="504">
      <c r="B504" s="49" t="n"/>
      <c r="C504" s="49" t="n"/>
      <c r="D504" s="49" t="n"/>
      <c r="E504" s="49" t="n"/>
      <c r="F504" s="49" t="n"/>
      <c r="G504" s="49" t="n"/>
    </row>
    <row r="505">
      <c r="B505" s="49" t="n"/>
      <c r="C505" s="49" t="n"/>
      <c r="D505" s="49" t="n"/>
      <c r="E505" s="49" t="n"/>
      <c r="F505" s="49" t="n"/>
      <c r="G505" s="49" t="n"/>
    </row>
    <row r="506">
      <c r="B506" s="49" t="n"/>
      <c r="C506" s="49" t="n"/>
      <c r="D506" s="49" t="n"/>
      <c r="E506" s="49" t="n"/>
      <c r="F506" s="49" t="n"/>
      <c r="G506" s="49" t="n"/>
    </row>
    <row r="507">
      <c r="B507" s="49" t="n"/>
      <c r="C507" s="49" t="n"/>
      <c r="D507" s="49" t="n"/>
      <c r="E507" s="49" t="n"/>
      <c r="F507" s="49" t="n"/>
      <c r="G507" s="49" t="n"/>
    </row>
    <row r="508">
      <c r="B508" s="49" t="n"/>
      <c r="C508" s="49" t="n"/>
      <c r="D508" s="49" t="n"/>
      <c r="E508" s="49" t="n"/>
      <c r="F508" s="49" t="n"/>
      <c r="G508" s="49" t="n"/>
    </row>
    <row r="509">
      <c r="B509" s="49" t="n"/>
      <c r="C509" s="49" t="n"/>
      <c r="D509" s="49" t="n"/>
      <c r="E509" s="49" t="n"/>
      <c r="F509" s="49" t="n"/>
      <c r="G509" s="49" t="n"/>
    </row>
    <row r="510">
      <c r="B510" s="49" t="n"/>
      <c r="C510" s="49" t="n"/>
      <c r="D510" s="49" t="n"/>
      <c r="E510" s="49" t="n"/>
      <c r="F510" s="49" t="n"/>
      <c r="G510" s="49" t="n"/>
    </row>
    <row r="511">
      <c r="B511" s="49" t="n"/>
      <c r="C511" s="49" t="n"/>
      <c r="D511" s="49" t="n"/>
      <c r="E511" s="49" t="n"/>
      <c r="F511" s="49" t="n"/>
      <c r="G511" s="49" t="n"/>
    </row>
    <row r="512">
      <c r="B512" s="49" t="n"/>
      <c r="C512" s="49" t="n"/>
      <c r="D512" s="49" t="n"/>
      <c r="E512" s="49" t="n"/>
      <c r="F512" s="49" t="n"/>
      <c r="G512" s="49" t="n"/>
    </row>
    <row r="513">
      <c r="B513" s="49" t="n"/>
      <c r="C513" s="49" t="n"/>
      <c r="D513" s="49" t="n"/>
      <c r="E513" s="49" t="n"/>
      <c r="F513" s="49" t="n"/>
      <c r="G513" s="49" t="n"/>
    </row>
    <row r="514">
      <c r="B514" s="49" t="n"/>
      <c r="C514" s="49" t="n"/>
      <c r="D514" s="49" t="n"/>
      <c r="E514" s="49" t="n"/>
      <c r="F514" s="49" t="n"/>
      <c r="G514" s="49" t="n"/>
    </row>
    <row r="515">
      <c r="B515" s="49" t="n"/>
      <c r="C515" s="49" t="n"/>
      <c r="D515" s="49" t="n"/>
      <c r="E515" s="49" t="n"/>
      <c r="F515" s="49" t="n"/>
      <c r="G515" s="49" t="n"/>
    </row>
    <row r="516">
      <c r="B516" s="49" t="n"/>
      <c r="C516" s="49" t="n"/>
      <c r="D516" s="49" t="n"/>
      <c r="E516" s="49" t="n"/>
      <c r="F516" s="49" t="n"/>
      <c r="G516" s="49" t="n"/>
    </row>
    <row r="517">
      <c r="B517" s="49" t="n"/>
      <c r="C517" s="49" t="n"/>
      <c r="D517" s="49" t="n"/>
      <c r="E517" s="49" t="n"/>
      <c r="F517" s="49" t="n"/>
      <c r="G517" s="49" t="n"/>
    </row>
  </sheetData>
  <mergeCells count="7">
    <mergeCell ref="B3:G3"/>
    <mergeCell ref="B5:G5"/>
    <mergeCell ref="B10:C10"/>
    <mergeCell ref="B4:G4"/>
    <mergeCell ref="C8:G8"/>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D17:D517">
    <cfRule type="expression" priority="4" dxfId="6">
      <formula>AND(LEN($B17&amp;$C17&amp;$D17&amp;$E17&amp;$F17&amp;$G17)&gt;0,D17="")</formula>
    </cfRule>
  </conditionalFormatting>
  <conditionalFormatting sqref="F17:F517">
    <cfRule type="expression" priority="5" dxfId="6">
      <formula>AND(LEN($B17&amp;$C17&amp;$D17&amp;$E17&amp;$F17&amp;$G17)&gt;0,F17="")</formula>
    </cfRule>
  </conditionalFormatting>
  <conditionalFormatting sqref="G17:G517">
    <cfRule type="expression" priority="6" dxfId="6">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ode / Name" prompt="Yes. Code; name"/>
    <dataValidation sqref="C17:C517" showDropDown="0" showInputMessage="1" showErrorMessage="1" allowBlank="1" errorTitle="Incentive type" error="The value is not in the list Incentive type (sheet Reference lists). Keep it only for a new value you also add to its template." promptTitle="Incentive type" prompt="Yes. Incentive type Allowed: OTHERS, MIGRATED (list Incentive type)" type="list" errorStyle="warning">
      <formula1>=LIST_LOV_INCENTIVE_TYPE</formula1>
    </dataValidation>
    <dataValidation sqref="D17:D517" showDropDown="0" showInputMessage="1" showErrorMessage="0" allowBlank="1" promptTitle="Value basis / Value" prompt="Yes. Rate (%), Fixed amount or Rule; value"/>
    <dataValidation sqref="E17:E517" showDropDown="0" showInputMessage="1" showErrorMessage="0" allowBlank="1" promptTitle="Rule parameters" prompt="No. Parameter and value pairs separated by semicolons"/>
    <dataValidation sqref="F17:F517" showDropDown="0" showInputMessage="1" showErrorMessage="0" allowBlank="1" promptTitle="Products matrix: risk code / seg" prompt="Yes. Risk code; market segment (blank = every segment) Allowed: Codes of PM-01 Product catalogue, column Risk code (one or more)"/>
    <dataValidation sqref="G17:G517" showDropDown="0" showInputMessage="1" showErrorMessage="0" allowBlank="1" promptTitle="Effective from / to" prompt="Yes. First day; last day after a semicolon, blank = open"/>
  </dataValidations>
  <hyperlinks>
    <hyperlink ref="A2" location="'Start here'!A1"/>
    <hyperlink ref="G2" location="'Questions and comments'!A1"/>
    <hyperlink ref="B8" location="'PM-09 Lists and parameters'!A1"/>
    <hyperlink ref="C8" location="'PM-01 Product catalogue'!A1"/>
    <hyperlink ref="C14" location="'Reference lists'!A517"/>
    <hyperlink ref="F14" location="'PM-01 Product catalogue'!H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0.xml><?xml version="1.0" encoding="utf-8"?>
<worksheet xmlns="http://schemas.openxmlformats.org/spreadsheetml/2006/main">
  <sheetPr>
    <tabColor rgb="00004EA8"/>
    <outlinePr summaryBelow="0" summaryRight="1"/>
    <pageSetUpPr fitToPage="1"/>
  </sheetPr>
  <dimension ref="A1:S3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3" customWidth="1" min="3" max="3"/>
    <col width="16" customWidth="1" min="4" max="4"/>
    <col width="16" customWidth="1" min="5" max="5"/>
    <col width="30" customWidth="1" min="6" max="6"/>
    <col width="14" customWidth="1" min="7" max="7"/>
    <col width="15" customWidth="1" min="8" max="8"/>
    <col width="16" customWidth="1" min="9" max="9"/>
    <col width="23" customWidth="1" min="10" max="10"/>
    <col width="13" customWidth="1" min="11" max="11"/>
    <col width="18" customWidth="1" min="12" max="12"/>
    <col width="16" customWidth="1" min="13" max="13"/>
    <col width="22" customWidth="1" min="14" max="14"/>
    <col width="26" customWidth="1" min="15" max="15"/>
    <col width="21" customWidth="1" min="16" max="16"/>
    <col width="34" customWidth="1" min="17" max="17"/>
    <col width="27" customWidth="1" min="18" max="18"/>
    <col width="25" customWidth="1" min="19" max="19"/>
  </cols>
  <sheetData>
    <row r="1" ht="26" customHeight="1">
      <c r="A1" s="25" t="inlineStr">
        <is>
          <t>TX-01 Party tax profiles (clients, insurers, payees)</t>
        </is>
      </c>
      <c r="S1" s="26" t="inlineStr">
        <is>
          <t>Step 47 of 52</t>
        </is>
      </c>
    </row>
    <row r="2">
      <c r="A2" s="27" t="inlineStr">
        <is>
          <t>← Back to Start here</t>
        </is>
      </c>
      <c r="B2" s="28" t="inlineStr">
        <is>
          <t>Step 47 of 52. Fill in one row per record below the column headers; the guide above each column says what to enter.</t>
        </is>
      </c>
      <c r="S2" s="29" t="inlineStr">
        <is>
          <t>Ask a question →</t>
        </is>
      </c>
    </row>
    <row r="3" outlineLevel="1" ht="15.5" customHeight="1">
      <c r="A3" s="30" t="inlineStr">
        <is>
          <t>Purpose</t>
        </is>
      </c>
      <c r="B3" s="31" t="inlineStr">
        <is>
          <t>One row per client, insurer, intermediary or payee whose tax details BIBS uses on the BIR forms, the 2307 certificates, the alphalists and the VAT classification of sales: the registered TIN and branch code, the payee class, the registered name and address, the VAT treatment and the default ATC withheld. The party code is the code of the client (C01 or the client upload), insurer (R04), business partner (MD-01) or payee (UP-02).</t>
        </is>
      </c>
    </row>
    <row r="4" outlineLevel="1" ht="15.5" customHeight="1">
      <c r="A4" s="30" t="inlineStr">
        <is>
          <t>Provided by</t>
        </is>
      </c>
      <c r="B4" s="31" t="inlineStr">
        <is>
          <t>Head, Comptrollership (Tax)</t>
        </is>
      </c>
    </row>
    <row r="5" outlineLevel="1" ht="15.5" customHeight="1">
      <c r="A5" s="30" t="inlineStr">
        <is>
          <t>Due</t>
        </is>
      </c>
      <c r="B5" s="32" t="inlineStr">
        <is>
          <t>16-Jul-2027 – Values for UAT</t>
        </is>
      </c>
    </row>
    <row r="6" outlineLevel="1" ht="15.5" customHeight="1">
      <c r="A6" s="30" t="inlineStr">
        <is>
          <t>How it is loaded</t>
        </is>
      </c>
      <c r="B6" s="31" t="inlineStr">
        <is>
          <t>Configuration screen: Finance › Tax &amp; Statutory › Party Tax Profiles, authorised by a second user</t>
        </is>
      </c>
    </row>
    <row r="7" outlineLevel="1" ht="15.5" customHeight="1">
      <c r="A7" s="30" t="inlineStr">
        <is>
          <t>Source</t>
        </is>
      </c>
      <c r="B7" s="31" t="inlineStr">
        <is>
          <t>BIR registrations (COR) of the parties; client KYC files</t>
        </is>
      </c>
    </row>
    <row r="8" outlineLevel="1" ht="26" customHeight="1">
      <c r="A8" s="30" t="inlineStr">
        <is>
          <t>Depends on</t>
        </is>
      </c>
      <c r="B8" s="53" t="inlineStr">
        <is>
          <t>D0-10 Tax codes →</t>
        </is>
      </c>
      <c r="D8" s="53" t="inlineStr">
        <is>
          <t>R04 Insurers →</t>
        </is>
      </c>
      <c r="F8" s="53" t="inlineStr">
        <is>
          <t>C01 Client master →</t>
        </is>
      </c>
      <c r="G8" s="53" t="inlineStr">
        <is>
          <t>MD-01 Business partners (reinsurers, intermediaries, suppliers) →</t>
        </is>
      </c>
      <c r="I8" s="53" t="inlineStr">
        <is>
          <t>UP-02 Payees →</t>
        </is>
      </c>
    </row>
    <row r="9" outlineLevel="1" ht="15.5" customHeight="1">
      <c r="A9" s="30" t="inlineStr">
        <is>
          <t>Tax status</t>
        </is>
      </c>
      <c r="B9" s="31" t="inlineStr">
        <is>
          <t>Withholding agent, top withholding agent, government payor and the tax exemption certificate with its validity are kept in the profile; a top withholding agent or a government payor is always a withholding agent</t>
        </is>
      </c>
    </row>
    <row r="10" ht="26" customHeight="1">
      <c r="A10" s="34" t="inlineStr">
        <is>
          <t>Progress</t>
        </is>
      </c>
      <c r="B10" s="35" t="inlineStr">
        <is>
          <t>Rows entered</t>
        </is>
      </c>
      <c r="C10" s="36">
        <f>SUMPRODUCT(((ROW($B$18:$B$318)&gt;18)+($B$18&lt;&gt;"C-000101")&gt;0)*(LEN($B$18:$B$318&amp;$C$18:$C$318&amp;$D$18:$D$318&amp;$E$18:$E$318&amp;$F$18:$F$318&amp;$G$18:$G$318&amp;$H$18:$H$318&amp;$I$18:$I$318&amp;$J$18:$J$318&amp;$K$18:$K$318&amp;$L$18:$L$318&amp;$M$18:$M$318&amp;$N$18:$N$318&amp;$O$18:$O$318&amp;$P$18:$P$318&amp;$Q$18:$Q$318&amp;$R$18:$R$318&amp;$S$18:$S$318)&gt;0))</f>
        <v/>
      </c>
      <c r="D10" s="35" t="inlineStr">
        <is>
          <t>Mandatory cells missing</t>
        </is>
      </c>
      <c r="E10" s="36">
        <f>SUMPRODUCT(((ROW($B$18:$B$318)&gt;18)+($B$18&lt;&gt;"C-000101")&gt;0)*(LEN($B$18:$B$318&amp;$C$18:$C$318&amp;$D$18:$D$318&amp;$E$18:$E$318&amp;$F$18:$F$318&amp;$G$18:$G$318&amp;$H$18:$H$318&amp;$I$18:$I$318&amp;$J$18:$J$318&amp;$K$18:$K$318&amp;$L$18:$L$318&amp;$M$18:$M$318&amp;$N$18:$N$318&amp;$O$18:$O$318&amp;$P$18:$P$318&amp;$Q$18:$Q$318&amp;$R$18:$R$318&amp;$S$18:$S$318)&gt;0)*(($B$18:$B$318="")+($C$18:$C$318="")+($E$18:$E$318="")+($F$18:$F$318="")))</f>
        <v/>
      </c>
    </row>
    <row r="11" ht="26" customHeight="1">
      <c r="A11" s="37" t="inlineStr">
        <is>
          <t>Confirmed by (BDOI owner)</t>
        </is>
      </c>
      <c r="B11" s="38" t="n"/>
      <c r="C11" s="38" t="n"/>
      <c r="D11" s="35" t="inlineStr">
        <is>
          <t>Date</t>
        </is>
      </c>
      <c r="E11" s="39" t="n"/>
    </row>
    <row r="12" ht="6" customHeight="1">
      <c r="A12" s="40" t="n"/>
      <c r="B12" s="40" t="n"/>
      <c r="C12" s="40" t="n"/>
      <c r="D12" s="40" t="n"/>
      <c r="E12" s="40" t="n"/>
      <c r="F12" s="40" t="n"/>
      <c r="G12" s="40" t="n"/>
      <c r="H12" s="40" t="n"/>
      <c r="I12" s="40" t="n"/>
      <c r="J12" s="40" t="n"/>
      <c r="K12" s="40" t="n"/>
      <c r="L12" s="40" t="n"/>
      <c r="M12" s="40" t="n"/>
      <c r="N12" s="40" t="n"/>
      <c r="O12" s="40" t="n"/>
      <c r="P12" s="40" t="n"/>
      <c r="Q12" s="40" t="n"/>
      <c r="R12" s="40" t="n"/>
      <c r="S12" s="40" t="n"/>
    </row>
    <row r="13" ht="30" customHeight="1">
      <c r="A13" s="41" t="inlineStr">
        <is>
          <t>Mandatory</t>
        </is>
      </c>
      <c r="B13" s="42" t="inlineStr">
        <is>
          <t>Yes</t>
        </is>
      </c>
      <c r="C13" s="42" t="inlineStr">
        <is>
          <t>Yes</t>
        </is>
      </c>
      <c r="D13" s="43" t="inlineStr">
        <is>
          <t>No</t>
        </is>
      </c>
      <c r="E13" s="42" t="inlineStr">
        <is>
          <t>Yes</t>
        </is>
      </c>
      <c r="F13" s="42" t="inlineStr">
        <is>
          <t>Yes</t>
        </is>
      </c>
      <c r="G13" s="43" t="inlineStr">
        <is>
          <t>Conditional: individuals</t>
        </is>
      </c>
      <c r="H13" s="43" t="inlineStr">
        <is>
          <t>Conditional: individuals</t>
        </is>
      </c>
      <c r="I13" s="43" t="inlineStr">
        <is>
          <t>No</t>
        </is>
      </c>
      <c r="J13" s="43" t="inlineStr">
        <is>
          <t>No</t>
        </is>
      </c>
      <c r="K13" s="43" t="inlineStr">
        <is>
          <t>No</t>
        </is>
      </c>
      <c r="L13" s="43" t="inlineStr">
        <is>
          <t>No</t>
        </is>
      </c>
      <c r="M13" s="43" t="inlineStr">
        <is>
          <t>No</t>
        </is>
      </c>
      <c r="N13" s="43" t="inlineStr">
        <is>
          <t>No</t>
        </is>
      </c>
      <c r="O13" s="43" t="inlineStr">
        <is>
          <t>No</t>
        </is>
      </c>
      <c r="P13" s="43" t="inlineStr">
        <is>
          <t>No</t>
        </is>
      </c>
      <c r="Q13" s="43" t="inlineStr">
        <is>
          <t>No</t>
        </is>
      </c>
      <c r="R13" s="43" t="inlineStr">
        <is>
          <t>Conditional: certificate number given</t>
        </is>
      </c>
      <c r="S13" s="43" t="inlineStr">
        <is>
          <t>Conditional: certificate number given</t>
        </is>
      </c>
    </row>
    <row r="14" ht="30" customHeight="1">
      <c r="A14" s="41" t="inlineStr">
        <is>
          <t>Format</t>
        </is>
      </c>
      <c r="B14" s="43" t="inlineStr">
        <is>
          <t>Text, up to 30</t>
        </is>
      </c>
      <c r="C14" s="43" t="inlineStr">
        <is>
          <t>Digits and dashes, up to 20</t>
        </is>
      </c>
      <c r="D14" s="43" t="inlineStr">
        <is>
          <t>Up to 5 digits</t>
        </is>
      </c>
      <c r="E14" s="43" t="inlineStr">
        <is>
          <t>Code of the list</t>
        </is>
      </c>
      <c r="F14" s="43" t="inlineStr">
        <is>
          <t>Text, up to 200</t>
        </is>
      </c>
      <c r="G14" s="43" t="inlineStr">
        <is>
          <t>Text, up to 60</t>
        </is>
      </c>
      <c r="H14" s="43" t="inlineStr">
        <is>
          <t>Text, up to 60</t>
        </is>
      </c>
      <c r="I14" s="43" t="inlineStr">
        <is>
          <t>Text, up to 60</t>
        </is>
      </c>
      <c r="J14" s="43" t="inlineStr">
        <is>
          <t>Text, up to 300</t>
        </is>
      </c>
      <c r="K14" s="43" t="inlineStr">
        <is>
          <t>Up to 10 characters</t>
        </is>
      </c>
      <c r="L14" s="43" t="inlineStr">
        <is>
          <t>Code of the list</t>
        </is>
      </c>
      <c r="M14" s="43" t="inlineStr">
        <is>
          <t>Tax code of D0-10</t>
        </is>
      </c>
      <c r="N14" s="43" t="inlineStr">
        <is>
          <t>Y or N (blank = N)</t>
        </is>
      </c>
      <c r="O14" s="43" t="inlineStr">
        <is>
          <t>Y or N (blank = N)</t>
        </is>
      </c>
      <c r="P14" s="43" t="inlineStr">
        <is>
          <t>Y or N (blank = N)</t>
        </is>
      </c>
      <c r="Q14" s="43" t="inlineStr">
        <is>
          <t>Text, up to 40</t>
        </is>
      </c>
      <c r="R14" s="43" t="inlineStr">
        <is>
          <t>dd-mmm-yyyy</t>
        </is>
      </c>
      <c r="S14" s="43" t="inlineStr">
        <is>
          <t>dd-mmm-yyyy</t>
        </is>
      </c>
    </row>
    <row r="15" ht="43" customHeight="1">
      <c r="A15" s="41" t="inlineStr">
        <is>
          <t>Allowed values</t>
        </is>
      </c>
      <c r="B15" s="43" t="inlineStr">
        <is>
          <t>Free entry, up to 30 characters</t>
        </is>
      </c>
      <c r="C15" s="43" t="inlineStr">
        <is>
          <t>Free entry, up to 20 characters</t>
        </is>
      </c>
      <c r="D15" s="43" t="inlineStr">
        <is>
          <t>Free entry, up to 5 characters</t>
        </is>
      </c>
      <c r="E15" s="51" t="inlineStr">
        <is>
          <t>INDIVIDUAL, CORPORATE (list Payee class (BIR))</t>
        </is>
      </c>
      <c r="F15" s="43" t="inlineStr">
        <is>
          <t>Free entry, up to 200 characters</t>
        </is>
      </c>
      <c r="G15" s="43" t="inlineStr">
        <is>
          <t>Free entry, up to 60 characters</t>
        </is>
      </c>
      <c r="H15" s="43" t="inlineStr">
        <is>
          <t>Free entry, up to 60 characters</t>
        </is>
      </c>
      <c r="I15" s="43" t="inlineStr">
        <is>
          <t>Free entry, up to 60 characters</t>
        </is>
      </c>
      <c r="J15" s="43" t="inlineStr">
        <is>
          <t>Free entry, up to 300 characters</t>
        </is>
      </c>
      <c r="K15" s="43" t="inlineStr">
        <is>
          <t>Free entry, up to 10 characters</t>
        </is>
      </c>
      <c r="L15" s="51" t="inlineStr">
        <is>
          <t>REGULAR, ZERO_RATED, EXEMPT (list VAT treatment)</t>
        </is>
      </c>
      <c r="M15" s="43" t="inlineStr">
        <is>
          <t>Free entry, up to 20 characters</t>
        </is>
      </c>
      <c r="N15" s="43" t="inlineStr">
        <is>
          <t>Y or N</t>
        </is>
      </c>
      <c r="O15" s="43" t="inlineStr">
        <is>
          <t>Y or N</t>
        </is>
      </c>
      <c r="P15" s="43" t="inlineStr">
        <is>
          <t>Y or N</t>
        </is>
      </c>
      <c r="Q15" s="43" t="inlineStr">
        <is>
          <t>Free entry, up to 40 characters</t>
        </is>
      </c>
      <c r="R15" s="43" t="inlineStr">
        <is>
          <t>A date, for example 15-Jan-2028</t>
        </is>
      </c>
      <c r="S15" s="43" t="inlineStr">
        <is>
          <t>A date, for example 15-Jan-2028</t>
        </is>
      </c>
    </row>
    <row r="16" ht="82" customHeight="1">
      <c r="A16" s="41" t="inlineStr">
        <is>
          <t>What to enter</t>
        </is>
      </c>
      <c r="B16" s="43" t="inlineStr">
        <is>
          <t>Code of the client, insurer, partner or payee</t>
        </is>
      </c>
      <c r="C16" s="43" t="inlineStr">
        <is>
          <t>Taxpayer identification number as registered</t>
        </is>
      </c>
      <c r="D16" s="43" t="inlineStr">
        <is>
          <t>TIN branch code (000 or 00000 for the head office)</t>
        </is>
      </c>
      <c r="E16" s="43" t="inlineStr">
        <is>
          <t>Individual or corporate (decides the WI or WC ATC and the alphalist name)</t>
        </is>
      </c>
      <c r="F16" s="43" t="inlineStr">
        <is>
          <t>Name as registered with the BIR</t>
        </is>
      </c>
      <c r="G16" s="43" t="inlineStr">
        <is>
          <t>Last name of an individual</t>
        </is>
      </c>
      <c r="H16" s="43" t="inlineStr">
        <is>
          <t>First name of an individual</t>
        </is>
      </c>
      <c r="I16" s="43" t="inlineStr">
        <is>
          <t>Middle name of an individual</t>
        </is>
      </c>
      <c r="J16" s="43" t="inlineStr">
        <is>
          <t>Address as registered with the BIR</t>
        </is>
      </c>
      <c r="K16" s="43" t="inlineStr">
        <is>
          <t>ZIP code of the registered address</t>
        </is>
      </c>
      <c r="L16" s="43" t="inlineStr">
        <is>
          <t>How a premium without VAT is classified on the VAT return</t>
        </is>
      </c>
      <c r="M16" s="43" t="inlineStr">
        <is>
          <t>Withholding tax code applied by default to payments to or from the party</t>
        </is>
      </c>
      <c r="N16" s="43" t="inlineStr">
        <is>
          <t>Y when the party withholds tax on its payments to BDOI (2307 expected); set by BIBS when Top withholding agent or Government payor is Y</t>
        </is>
      </c>
      <c r="O16" s="43" t="inlineStr">
        <is>
          <t>Y when the BIR classifies the party as a top withholding agent</t>
        </is>
      </c>
      <c r="P16" s="43" t="inlineStr">
        <is>
          <t>Y for a government office or company that withholds the final VAT and the final tax on its payments to BDOI</t>
        </is>
      </c>
      <c r="Q16" s="43" t="inlineStr">
        <is>
          <t>Number of the party's tax exemption certificate, when it has one</t>
        </is>
      </c>
      <c r="R16" s="43" t="inlineStr">
        <is>
          <t>First day of the certificate</t>
        </is>
      </c>
      <c r="S16" s="43" t="inlineStr">
        <is>
          <t>Last day of the certificate (not before the first day); a zero-rated or exempt invoice outside this period is flagged on the VAT worksheet</t>
        </is>
      </c>
    </row>
    <row r="17" ht="30" customHeight="1">
      <c r="A17" s="44" t="inlineStr">
        <is>
          <t>Row</t>
        </is>
      </c>
      <c r="B17" s="45" t="inlineStr">
        <is>
          <t>Party code *</t>
        </is>
      </c>
      <c r="C17" s="45" t="inlineStr">
        <is>
          <t>TIN *</t>
        </is>
      </c>
      <c r="D17" s="45" t="inlineStr">
        <is>
          <t>Branch code</t>
        </is>
      </c>
      <c r="E17" s="45" t="inlineStr">
        <is>
          <t>Payee class *</t>
        </is>
      </c>
      <c r="F17" s="45" t="inlineStr">
        <is>
          <t>Registered name *</t>
        </is>
      </c>
      <c r="G17" s="45" t="inlineStr">
        <is>
          <t>Last name</t>
        </is>
      </c>
      <c r="H17" s="45" t="inlineStr">
        <is>
          <t>First name</t>
        </is>
      </c>
      <c r="I17" s="45" t="inlineStr">
        <is>
          <t>Middle name</t>
        </is>
      </c>
      <c r="J17" s="45" t="inlineStr">
        <is>
          <t>Registered address</t>
        </is>
      </c>
      <c r="K17" s="45" t="inlineStr">
        <is>
          <t>ZIP code</t>
        </is>
      </c>
      <c r="L17" s="45" t="inlineStr">
        <is>
          <t>VAT treatment</t>
        </is>
      </c>
      <c r="M17" s="45" t="inlineStr">
        <is>
          <t>Default ATC</t>
        </is>
      </c>
      <c r="N17" s="45" t="inlineStr">
        <is>
          <t>Withholding agent</t>
        </is>
      </c>
      <c r="O17" s="45" t="inlineStr">
        <is>
          <t>Top withholding agent</t>
        </is>
      </c>
      <c r="P17" s="45" t="inlineStr">
        <is>
          <t>Government payor</t>
        </is>
      </c>
      <c r="Q17" s="45" t="inlineStr">
        <is>
          <t>Tax exemption certificate no.</t>
        </is>
      </c>
      <c r="R17" s="45" t="inlineStr">
        <is>
          <t>Certificate valid from</t>
        </is>
      </c>
      <c r="S17" s="45" t="inlineStr">
        <is>
          <t>Certificate valid to</t>
        </is>
      </c>
    </row>
    <row r="18" ht="18" customHeight="1">
      <c r="A18" s="46" t="inlineStr">
        <is>
          <t>Example – overwrite or delete</t>
        </is>
      </c>
      <c r="B18" s="47" t="inlineStr">
        <is>
          <t>C-000101</t>
        </is>
      </c>
      <c r="C18" s="47" t="inlineStr">
        <is>
          <t>123-456-789</t>
        </is>
      </c>
      <c r="D18" s="47" t="inlineStr">
        <is>
          <t>00000</t>
        </is>
      </c>
      <c r="E18" s="47" t="inlineStr">
        <is>
          <t>CORPORATE</t>
        </is>
      </c>
      <c r="F18" s="47" t="inlineStr">
        <is>
          <t>Juan Dela Cruz Trading Corp.</t>
        </is>
      </c>
      <c r="G18" s="47" t="n"/>
      <c r="H18" s="47" t="n"/>
      <c r="I18" s="47" t="n"/>
      <c r="J18" s="47" t="inlineStr">
        <is>
          <t>Makati City</t>
        </is>
      </c>
      <c r="K18" s="47" t="inlineStr">
        <is>
          <t>1226</t>
        </is>
      </c>
      <c r="L18" s="47" t="inlineStr">
        <is>
          <t>REGULAR</t>
        </is>
      </c>
      <c r="M18" s="47" t="n"/>
      <c r="N18" s="47" t="inlineStr">
        <is>
          <t>Y</t>
        </is>
      </c>
      <c r="O18" s="47" t="inlineStr">
        <is>
          <t>N</t>
        </is>
      </c>
      <c r="P18" s="47" t="inlineStr">
        <is>
          <t>N</t>
        </is>
      </c>
      <c r="Q18" s="47" t="n"/>
      <c r="R18" s="52" t="n"/>
      <c r="S18" s="52" t="n"/>
    </row>
    <row r="19">
      <c r="B19" s="49" t="n"/>
      <c r="C19" s="49" t="n"/>
      <c r="D19" s="49" t="n"/>
      <c r="E19" s="49" t="n"/>
      <c r="F19" s="49" t="n"/>
      <c r="G19" s="49" t="n"/>
      <c r="H19" s="49" t="n"/>
      <c r="I19" s="49" t="n"/>
      <c r="J19" s="49" t="n"/>
      <c r="K19" s="49" t="n"/>
      <c r="L19" s="49" t="n"/>
      <c r="M19" s="49" t="n"/>
      <c r="N19" s="49" t="n"/>
      <c r="O19" s="49" t="n"/>
      <c r="P19" s="49" t="n"/>
      <c r="Q19" s="49" t="n"/>
      <c r="R19" s="50" t="n"/>
      <c r="S19" s="50" t="n"/>
    </row>
    <row r="20">
      <c r="B20" s="49" t="n"/>
      <c r="C20" s="49" t="n"/>
      <c r="D20" s="49" t="n"/>
      <c r="E20" s="49" t="n"/>
      <c r="F20" s="49" t="n"/>
      <c r="G20" s="49" t="n"/>
      <c r="H20" s="49" t="n"/>
      <c r="I20" s="49" t="n"/>
      <c r="J20" s="49" t="n"/>
      <c r="K20" s="49" t="n"/>
      <c r="L20" s="49" t="n"/>
      <c r="M20" s="49" t="n"/>
      <c r="N20" s="49" t="n"/>
      <c r="O20" s="49" t="n"/>
      <c r="P20" s="49" t="n"/>
      <c r="Q20" s="49" t="n"/>
      <c r="R20" s="50" t="n"/>
      <c r="S20" s="50" t="n"/>
    </row>
    <row r="21">
      <c r="B21" s="49" t="n"/>
      <c r="C21" s="49" t="n"/>
      <c r="D21" s="49" t="n"/>
      <c r="E21" s="49" t="n"/>
      <c r="F21" s="49" t="n"/>
      <c r="G21" s="49" t="n"/>
      <c r="H21" s="49" t="n"/>
      <c r="I21" s="49" t="n"/>
      <c r="J21" s="49" t="n"/>
      <c r="K21" s="49" t="n"/>
      <c r="L21" s="49" t="n"/>
      <c r="M21" s="49" t="n"/>
      <c r="N21" s="49" t="n"/>
      <c r="O21" s="49" t="n"/>
      <c r="P21" s="49" t="n"/>
      <c r="Q21" s="49" t="n"/>
      <c r="R21" s="50" t="n"/>
      <c r="S21" s="50" t="n"/>
    </row>
    <row r="22">
      <c r="B22" s="49" t="n"/>
      <c r="C22" s="49" t="n"/>
      <c r="D22" s="49" t="n"/>
      <c r="E22" s="49" t="n"/>
      <c r="F22" s="49" t="n"/>
      <c r="G22" s="49" t="n"/>
      <c r="H22" s="49" t="n"/>
      <c r="I22" s="49" t="n"/>
      <c r="J22" s="49" t="n"/>
      <c r="K22" s="49" t="n"/>
      <c r="L22" s="49" t="n"/>
      <c r="M22" s="49" t="n"/>
      <c r="N22" s="49" t="n"/>
      <c r="O22" s="49" t="n"/>
      <c r="P22" s="49" t="n"/>
      <c r="Q22" s="49" t="n"/>
      <c r="R22" s="50" t="n"/>
      <c r="S22" s="50" t="n"/>
    </row>
    <row r="23">
      <c r="B23" s="49" t="n"/>
      <c r="C23" s="49" t="n"/>
      <c r="D23" s="49" t="n"/>
      <c r="E23" s="49" t="n"/>
      <c r="F23" s="49" t="n"/>
      <c r="G23" s="49" t="n"/>
      <c r="H23" s="49" t="n"/>
      <c r="I23" s="49" t="n"/>
      <c r="J23" s="49" t="n"/>
      <c r="K23" s="49" t="n"/>
      <c r="L23" s="49" t="n"/>
      <c r="M23" s="49" t="n"/>
      <c r="N23" s="49" t="n"/>
      <c r="O23" s="49" t="n"/>
      <c r="P23" s="49" t="n"/>
      <c r="Q23" s="49" t="n"/>
      <c r="R23" s="50" t="n"/>
      <c r="S23" s="50" t="n"/>
    </row>
    <row r="24">
      <c r="B24" s="49" t="n"/>
      <c r="C24" s="49" t="n"/>
      <c r="D24" s="49" t="n"/>
      <c r="E24" s="49" t="n"/>
      <c r="F24" s="49" t="n"/>
      <c r="G24" s="49" t="n"/>
      <c r="H24" s="49" t="n"/>
      <c r="I24" s="49" t="n"/>
      <c r="J24" s="49" t="n"/>
      <c r="K24" s="49" t="n"/>
      <c r="L24" s="49" t="n"/>
      <c r="M24" s="49" t="n"/>
      <c r="N24" s="49" t="n"/>
      <c r="O24" s="49" t="n"/>
      <c r="P24" s="49" t="n"/>
      <c r="Q24" s="49" t="n"/>
      <c r="R24" s="50" t="n"/>
      <c r="S24" s="50" t="n"/>
    </row>
    <row r="25">
      <c r="B25" s="49" t="n"/>
      <c r="C25" s="49" t="n"/>
      <c r="D25" s="49" t="n"/>
      <c r="E25" s="49" t="n"/>
      <c r="F25" s="49" t="n"/>
      <c r="G25" s="49" t="n"/>
      <c r="H25" s="49" t="n"/>
      <c r="I25" s="49" t="n"/>
      <c r="J25" s="49" t="n"/>
      <c r="K25" s="49" t="n"/>
      <c r="L25" s="49" t="n"/>
      <c r="M25" s="49" t="n"/>
      <c r="N25" s="49" t="n"/>
      <c r="O25" s="49" t="n"/>
      <c r="P25" s="49" t="n"/>
      <c r="Q25" s="49" t="n"/>
      <c r="R25" s="50" t="n"/>
      <c r="S25" s="50" t="n"/>
    </row>
    <row r="26">
      <c r="B26" s="49" t="n"/>
      <c r="C26" s="49" t="n"/>
      <c r="D26" s="49" t="n"/>
      <c r="E26" s="49" t="n"/>
      <c r="F26" s="49" t="n"/>
      <c r="G26" s="49" t="n"/>
      <c r="H26" s="49" t="n"/>
      <c r="I26" s="49" t="n"/>
      <c r="J26" s="49" t="n"/>
      <c r="K26" s="49" t="n"/>
      <c r="L26" s="49" t="n"/>
      <c r="M26" s="49" t="n"/>
      <c r="N26" s="49" t="n"/>
      <c r="O26" s="49" t="n"/>
      <c r="P26" s="49" t="n"/>
      <c r="Q26" s="49" t="n"/>
      <c r="R26" s="50" t="n"/>
      <c r="S26" s="50" t="n"/>
    </row>
    <row r="27">
      <c r="B27" s="49" t="n"/>
      <c r="C27" s="49" t="n"/>
      <c r="D27" s="49" t="n"/>
      <c r="E27" s="49" t="n"/>
      <c r="F27" s="49" t="n"/>
      <c r="G27" s="49" t="n"/>
      <c r="H27" s="49" t="n"/>
      <c r="I27" s="49" t="n"/>
      <c r="J27" s="49" t="n"/>
      <c r="K27" s="49" t="n"/>
      <c r="L27" s="49" t="n"/>
      <c r="M27" s="49" t="n"/>
      <c r="N27" s="49" t="n"/>
      <c r="O27" s="49" t="n"/>
      <c r="P27" s="49" t="n"/>
      <c r="Q27" s="49" t="n"/>
      <c r="R27" s="50" t="n"/>
      <c r="S27" s="50" t="n"/>
    </row>
    <row r="28">
      <c r="B28" s="49" t="n"/>
      <c r="C28" s="49" t="n"/>
      <c r="D28" s="49" t="n"/>
      <c r="E28" s="49" t="n"/>
      <c r="F28" s="49" t="n"/>
      <c r="G28" s="49" t="n"/>
      <c r="H28" s="49" t="n"/>
      <c r="I28" s="49" t="n"/>
      <c r="J28" s="49" t="n"/>
      <c r="K28" s="49" t="n"/>
      <c r="L28" s="49" t="n"/>
      <c r="M28" s="49" t="n"/>
      <c r="N28" s="49" t="n"/>
      <c r="O28" s="49" t="n"/>
      <c r="P28" s="49" t="n"/>
      <c r="Q28" s="49" t="n"/>
      <c r="R28" s="50" t="n"/>
      <c r="S28" s="50" t="n"/>
    </row>
    <row r="29">
      <c r="B29" s="49" t="n"/>
      <c r="C29" s="49" t="n"/>
      <c r="D29" s="49" t="n"/>
      <c r="E29" s="49" t="n"/>
      <c r="F29" s="49" t="n"/>
      <c r="G29" s="49" t="n"/>
      <c r="H29" s="49" t="n"/>
      <c r="I29" s="49" t="n"/>
      <c r="J29" s="49" t="n"/>
      <c r="K29" s="49" t="n"/>
      <c r="L29" s="49" t="n"/>
      <c r="M29" s="49" t="n"/>
      <c r="N29" s="49" t="n"/>
      <c r="O29" s="49" t="n"/>
      <c r="P29" s="49" t="n"/>
      <c r="Q29" s="49" t="n"/>
      <c r="R29" s="50" t="n"/>
      <c r="S29" s="50" t="n"/>
    </row>
    <row r="30">
      <c r="B30" s="49" t="n"/>
      <c r="C30" s="49" t="n"/>
      <c r="D30" s="49" t="n"/>
      <c r="E30" s="49" t="n"/>
      <c r="F30" s="49" t="n"/>
      <c r="G30" s="49" t="n"/>
      <c r="H30" s="49" t="n"/>
      <c r="I30" s="49" t="n"/>
      <c r="J30" s="49" t="n"/>
      <c r="K30" s="49" t="n"/>
      <c r="L30" s="49" t="n"/>
      <c r="M30" s="49" t="n"/>
      <c r="N30" s="49" t="n"/>
      <c r="O30" s="49" t="n"/>
      <c r="P30" s="49" t="n"/>
      <c r="Q30" s="49" t="n"/>
      <c r="R30" s="50" t="n"/>
      <c r="S30" s="50" t="n"/>
    </row>
    <row r="31">
      <c r="B31" s="49" t="n"/>
      <c r="C31" s="49" t="n"/>
      <c r="D31" s="49" t="n"/>
      <c r="E31" s="49" t="n"/>
      <c r="F31" s="49" t="n"/>
      <c r="G31" s="49" t="n"/>
      <c r="H31" s="49" t="n"/>
      <c r="I31" s="49" t="n"/>
      <c r="J31" s="49" t="n"/>
      <c r="K31" s="49" t="n"/>
      <c r="L31" s="49" t="n"/>
      <c r="M31" s="49" t="n"/>
      <c r="N31" s="49" t="n"/>
      <c r="O31" s="49" t="n"/>
      <c r="P31" s="49" t="n"/>
      <c r="Q31" s="49" t="n"/>
      <c r="R31" s="50" t="n"/>
      <c r="S31" s="50" t="n"/>
    </row>
    <row r="32">
      <c r="B32" s="49" t="n"/>
      <c r="C32" s="49" t="n"/>
      <c r="D32" s="49" t="n"/>
      <c r="E32" s="49" t="n"/>
      <c r="F32" s="49" t="n"/>
      <c r="G32" s="49" t="n"/>
      <c r="H32" s="49" t="n"/>
      <c r="I32" s="49" t="n"/>
      <c r="J32" s="49" t="n"/>
      <c r="K32" s="49" t="n"/>
      <c r="L32" s="49" t="n"/>
      <c r="M32" s="49" t="n"/>
      <c r="N32" s="49" t="n"/>
      <c r="O32" s="49" t="n"/>
      <c r="P32" s="49" t="n"/>
      <c r="Q32" s="49" t="n"/>
      <c r="R32" s="50" t="n"/>
      <c r="S32" s="50" t="n"/>
    </row>
    <row r="33">
      <c r="B33" s="49" t="n"/>
      <c r="C33" s="49" t="n"/>
      <c r="D33" s="49" t="n"/>
      <c r="E33" s="49" t="n"/>
      <c r="F33" s="49" t="n"/>
      <c r="G33" s="49" t="n"/>
      <c r="H33" s="49" t="n"/>
      <c r="I33" s="49" t="n"/>
      <c r="J33" s="49" t="n"/>
      <c r="K33" s="49" t="n"/>
      <c r="L33" s="49" t="n"/>
      <c r="M33" s="49" t="n"/>
      <c r="N33" s="49" t="n"/>
      <c r="O33" s="49" t="n"/>
      <c r="P33" s="49" t="n"/>
      <c r="Q33" s="49" t="n"/>
      <c r="R33" s="50" t="n"/>
      <c r="S33" s="50" t="n"/>
    </row>
    <row r="34">
      <c r="B34" s="49" t="n"/>
      <c r="C34" s="49" t="n"/>
      <c r="D34" s="49" t="n"/>
      <c r="E34" s="49" t="n"/>
      <c r="F34" s="49" t="n"/>
      <c r="G34" s="49" t="n"/>
      <c r="H34" s="49" t="n"/>
      <c r="I34" s="49" t="n"/>
      <c r="J34" s="49" t="n"/>
      <c r="K34" s="49" t="n"/>
      <c r="L34" s="49" t="n"/>
      <c r="M34" s="49" t="n"/>
      <c r="N34" s="49" t="n"/>
      <c r="O34" s="49" t="n"/>
      <c r="P34" s="49" t="n"/>
      <c r="Q34" s="49" t="n"/>
      <c r="R34" s="50" t="n"/>
      <c r="S34" s="50" t="n"/>
    </row>
    <row r="35">
      <c r="B35" s="49" t="n"/>
      <c r="C35" s="49" t="n"/>
      <c r="D35" s="49" t="n"/>
      <c r="E35" s="49" t="n"/>
      <c r="F35" s="49" t="n"/>
      <c r="G35" s="49" t="n"/>
      <c r="H35" s="49" t="n"/>
      <c r="I35" s="49" t="n"/>
      <c r="J35" s="49" t="n"/>
      <c r="K35" s="49" t="n"/>
      <c r="L35" s="49" t="n"/>
      <c r="M35" s="49" t="n"/>
      <c r="N35" s="49" t="n"/>
      <c r="O35" s="49" t="n"/>
      <c r="P35" s="49" t="n"/>
      <c r="Q35" s="49" t="n"/>
      <c r="R35" s="50" t="n"/>
      <c r="S35" s="50" t="n"/>
    </row>
    <row r="36">
      <c r="B36" s="49" t="n"/>
      <c r="C36" s="49" t="n"/>
      <c r="D36" s="49" t="n"/>
      <c r="E36" s="49" t="n"/>
      <c r="F36" s="49" t="n"/>
      <c r="G36" s="49" t="n"/>
      <c r="H36" s="49" t="n"/>
      <c r="I36" s="49" t="n"/>
      <c r="J36" s="49" t="n"/>
      <c r="K36" s="49" t="n"/>
      <c r="L36" s="49" t="n"/>
      <c r="M36" s="49" t="n"/>
      <c r="N36" s="49" t="n"/>
      <c r="O36" s="49" t="n"/>
      <c r="P36" s="49" t="n"/>
      <c r="Q36" s="49" t="n"/>
      <c r="R36" s="50" t="n"/>
      <c r="S36" s="50" t="n"/>
    </row>
    <row r="37">
      <c r="B37" s="49" t="n"/>
      <c r="C37" s="49" t="n"/>
      <c r="D37" s="49" t="n"/>
      <c r="E37" s="49" t="n"/>
      <c r="F37" s="49" t="n"/>
      <c r="G37" s="49" t="n"/>
      <c r="H37" s="49" t="n"/>
      <c r="I37" s="49" t="n"/>
      <c r="J37" s="49" t="n"/>
      <c r="K37" s="49" t="n"/>
      <c r="L37" s="49" t="n"/>
      <c r="M37" s="49" t="n"/>
      <c r="N37" s="49" t="n"/>
      <c r="O37" s="49" t="n"/>
      <c r="P37" s="49" t="n"/>
      <c r="Q37" s="49" t="n"/>
      <c r="R37" s="50" t="n"/>
      <c r="S37" s="50" t="n"/>
    </row>
    <row r="38">
      <c r="B38" s="49" t="n"/>
      <c r="C38" s="49" t="n"/>
      <c r="D38" s="49" t="n"/>
      <c r="E38" s="49" t="n"/>
      <c r="F38" s="49" t="n"/>
      <c r="G38" s="49" t="n"/>
      <c r="H38" s="49" t="n"/>
      <c r="I38" s="49" t="n"/>
      <c r="J38" s="49" t="n"/>
      <c r="K38" s="49" t="n"/>
      <c r="L38" s="49" t="n"/>
      <c r="M38" s="49" t="n"/>
      <c r="N38" s="49" t="n"/>
      <c r="O38" s="49" t="n"/>
      <c r="P38" s="49" t="n"/>
      <c r="Q38" s="49" t="n"/>
      <c r="R38" s="50" t="n"/>
      <c r="S38" s="50" t="n"/>
    </row>
    <row r="39">
      <c r="B39" s="49" t="n"/>
      <c r="C39" s="49" t="n"/>
      <c r="D39" s="49" t="n"/>
      <c r="E39" s="49" t="n"/>
      <c r="F39" s="49" t="n"/>
      <c r="G39" s="49" t="n"/>
      <c r="H39" s="49" t="n"/>
      <c r="I39" s="49" t="n"/>
      <c r="J39" s="49" t="n"/>
      <c r="K39" s="49" t="n"/>
      <c r="L39" s="49" t="n"/>
      <c r="M39" s="49" t="n"/>
      <c r="N39" s="49" t="n"/>
      <c r="O39" s="49" t="n"/>
      <c r="P39" s="49" t="n"/>
      <c r="Q39" s="49" t="n"/>
      <c r="R39" s="50" t="n"/>
      <c r="S39" s="50" t="n"/>
    </row>
    <row r="40">
      <c r="B40" s="49" t="n"/>
      <c r="C40" s="49" t="n"/>
      <c r="D40" s="49" t="n"/>
      <c r="E40" s="49" t="n"/>
      <c r="F40" s="49" t="n"/>
      <c r="G40" s="49" t="n"/>
      <c r="H40" s="49" t="n"/>
      <c r="I40" s="49" t="n"/>
      <c r="J40" s="49" t="n"/>
      <c r="K40" s="49" t="n"/>
      <c r="L40" s="49" t="n"/>
      <c r="M40" s="49" t="n"/>
      <c r="N40" s="49" t="n"/>
      <c r="O40" s="49" t="n"/>
      <c r="P40" s="49" t="n"/>
      <c r="Q40" s="49" t="n"/>
      <c r="R40" s="50" t="n"/>
      <c r="S40" s="50" t="n"/>
    </row>
    <row r="41">
      <c r="B41" s="49" t="n"/>
      <c r="C41" s="49" t="n"/>
      <c r="D41" s="49" t="n"/>
      <c r="E41" s="49" t="n"/>
      <c r="F41" s="49" t="n"/>
      <c r="G41" s="49" t="n"/>
      <c r="H41" s="49" t="n"/>
      <c r="I41" s="49" t="n"/>
      <c r="J41" s="49" t="n"/>
      <c r="K41" s="49" t="n"/>
      <c r="L41" s="49" t="n"/>
      <c r="M41" s="49" t="n"/>
      <c r="N41" s="49" t="n"/>
      <c r="O41" s="49" t="n"/>
      <c r="P41" s="49" t="n"/>
      <c r="Q41" s="49" t="n"/>
      <c r="R41" s="50" t="n"/>
      <c r="S41" s="50" t="n"/>
    </row>
    <row r="42">
      <c r="B42" s="49" t="n"/>
      <c r="C42" s="49" t="n"/>
      <c r="D42" s="49" t="n"/>
      <c r="E42" s="49" t="n"/>
      <c r="F42" s="49" t="n"/>
      <c r="G42" s="49" t="n"/>
      <c r="H42" s="49" t="n"/>
      <c r="I42" s="49" t="n"/>
      <c r="J42" s="49" t="n"/>
      <c r="K42" s="49" t="n"/>
      <c r="L42" s="49" t="n"/>
      <c r="M42" s="49" t="n"/>
      <c r="N42" s="49" t="n"/>
      <c r="O42" s="49" t="n"/>
      <c r="P42" s="49" t="n"/>
      <c r="Q42" s="49" t="n"/>
      <c r="R42" s="50" t="n"/>
      <c r="S42" s="50" t="n"/>
    </row>
    <row r="43">
      <c r="B43" s="49" t="n"/>
      <c r="C43" s="49" t="n"/>
      <c r="D43" s="49" t="n"/>
      <c r="E43" s="49" t="n"/>
      <c r="F43" s="49" t="n"/>
      <c r="G43" s="49" t="n"/>
      <c r="H43" s="49" t="n"/>
      <c r="I43" s="49" t="n"/>
      <c r="J43" s="49" t="n"/>
      <c r="K43" s="49" t="n"/>
      <c r="L43" s="49" t="n"/>
      <c r="M43" s="49" t="n"/>
      <c r="N43" s="49" t="n"/>
      <c r="O43" s="49" t="n"/>
      <c r="P43" s="49" t="n"/>
      <c r="Q43" s="49" t="n"/>
      <c r="R43" s="50" t="n"/>
      <c r="S43" s="50" t="n"/>
    </row>
    <row r="44">
      <c r="B44" s="49" t="n"/>
      <c r="C44" s="49" t="n"/>
      <c r="D44" s="49" t="n"/>
      <c r="E44" s="49" t="n"/>
      <c r="F44" s="49" t="n"/>
      <c r="G44" s="49" t="n"/>
      <c r="H44" s="49" t="n"/>
      <c r="I44" s="49" t="n"/>
      <c r="J44" s="49" t="n"/>
      <c r="K44" s="49" t="n"/>
      <c r="L44" s="49" t="n"/>
      <c r="M44" s="49" t="n"/>
      <c r="N44" s="49" t="n"/>
      <c r="O44" s="49" t="n"/>
      <c r="P44" s="49" t="n"/>
      <c r="Q44" s="49" t="n"/>
      <c r="R44" s="50" t="n"/>
      <c r="S44" s="50" t="n"/>
    </row>
    <row r="45">
      <c r="B45" s="49" t="n"/>
      <c r="C45" s="49" t="n"/>
      <c r="D45" s="49" t="n"/>
      <c r="E45" s="49" t="n"/>
      <c r="F45" s="49" t="n"/>
      <c r="G45" s="49" t="n"/>
      <c r="H45" s="49" t="n"/>
      <c r="I45" s="49" t="n"/>
      <c r="J45" s="49" t="n"/>
      <c r="K45" s="49" t="n"/>
      <c r="L45" s="49" t="n"/>
      <c r="M45" s="49" t="n"/>
      <c r="N45" s="49" t="n"/>
      <c r="O45" s="49" t="n"/>
      <c r="P45" s="49" t="n"/>
      <c r="Q45" s="49" t="n"/>
      <c r="R45" s="50" t="n"/>
      <c r="S45" s="50" t="n"/>
    </row>
    <row r="46">
      <c r="B46" s="49" t="n"/>
      <c r="C46" s="49" t="n"/>
      <c r="D46" s="49" t="n"/>
      <c r="E46" s="49" t="n"/>
      <c r="F46" s="49" t="n"/>
      <c r="G46" s="49" t="n"/>
      <c r="H46" s="49" t="n"/>
      <c r="I46" s="49" t="n"/>
      <c r="J46" s="49" t="n"/>
      <c r="K46" s="49" t="n"/>
      <c r="L46" s="49" t="n"/>
      <c r="M46" s="49" t="n"/>
      <c r="N46" s="49" t="n"/>
      <c r="O46" s="49" t="n"/>
      <c r="P46" s="49" t="n"/>
      <c r="Q46" s="49" t="n"/>
      <c r="R46" s="50" t="n"/>
      <c r="S46" s="50" t="n"/>
    </row>
    <row r="47">
      <c r="B47" s="49" t="n"/>
      <c r="C47" s="49" t="n"/>
      <c r="D47" s="49" t="n"/>
      <c r="E47" s="49" t="n"/>
      <c r="F47" s="49" t="n"/>
      <c r="G47" s="49" t="n"/>
      <c r="H47" s="49" t="n"/>
      <c r="I47" s="49" t="n"/>
      <c r="J47" s="49" t="n"/>
      <c r="K47" s="49" t="n"/>
      <c r="L47" s="49" t="n"/>
      <c r="M47" s="49" t="n"/>
      <c r="N47" s="49" t="n"/>
      <c r="O47" s="49" t="n"/>
      <c r="P47" s="49" t="n"/>
      <c r="Q47" s="49" t="n"/>
      <c r="R47" s="50" t="n"/>
      <c r="S47" s="50" t="n"/>
    </row>
    <row r="48">
      <c r="B48" s="49" t="n"/>
      <c r="C48" s="49" t="n"/>
      <c r="D48" s="49" t="n"/>
      <c r="E48" s="49" t="n"/>
      <c r="F48" s="49" t="n"/>
      <c r="G48" s="49" t="n"/>
      <c r="H48" s="49" t="n"/>
      <c r="I48" s="49" t="n"/>
      <c r="J48" s="49" t="n"/>
      <c r="K48" s="49" t="n"/>
      <c r="L48" s="49" t="n"/>
      <c r="M48" s="49" t="n"/>
      <c r="N48" s="49" t="n"/>
      <c r="O48" s="49" t="n"/>
      <c r="P48" s="49" t="n"/>
      <c r="Q48" s="49" t="n"/>
      <c r="R48" s="50" t="n"/>
      <c r="S48" s="50" t="n"/>
    </row>
    <row r="49">
      <c r="B49" s="49" t="n"/>
      <c r="C49" s="49" t="n"/>
      <c r="D49" s="49" t="n"/>
      <c r="E49" s="49" t="n"/>
      <c r="F49" s="49" t="n"/>
      <c r="G49" s="49" t="n"/>
      <c r="H49" s="49" t="n"/>
      <c r="I49" s="49" t="n"/>
      <c r="J49" s="49" t="n"/>
      <c r="K49" s="49" t="n"/>
      <c r="L49" s="49" t="n"/>
      <c r="M49" s="49" t="n"/>
      <c r="N49" s="49" t="n"/>
      <c r="O49" s="49" t="n"/>
      <c r="P49" s="49" t="n"/>
      <c r="Q49" s="49" t="n"/>
      <c r="R49" s="50" t="n"/>
      <c r="S49" s="50" t="n"/>
    </row>
    <row r="50">
      <c r="B50" s="49" t="n"/>
      <c r="C50" s="49" t="n"/>
      <c r="D50" s="49" t="n"/>
      <c r="E50" s="49" t="n"/>
      <c r="F50" s="49" t="n"/>
      <c r="G50" s="49" t="n"/>
      <c r="H50" s="49" t="n"/>
      <c r="I50" s="49" t="n"/>
      <c r="J50" s="49" t="n"/>
      <c r="K50" s="49" t="n"/>
      <c r="L50" s="49" t="n"/>
      <c r="M50" s="49" t="n"/>
      <c r="N50" s="49" t="n"/>
      <c r="O50" s="49" t="n"/>
      <c r="P50" s="49" t="n"/>
      <c r="Q50" s="49" t="n"/>
      <c r="R50" s="50" t="n"/>
      <c r="S50" s="50" t="n"/>
    </row>
    <row r="51">
      <c r="B51" s="49" t="n"/>
      <c r="C51" s="49" t="n"/>
      <c r="D51" s="49" t="n"/>
      <c r="E51" s="49" t="n"/>
      <c r="F51" s="49" t="n"/>
      <c r="G51" s="49" t="n"/>
      <c r="H51" s="49" t="n"/>
      <c r="I51" s="49" t="n"/>
      <c r="J51" s="49" t="n"/>
      <c r="K51" s="49" t="n"/>
      <c r="L51" s="49" t="n"/>
      <c r="M51" s="49" t="n"/>
      <c r="N51" s="49" t="n"/>
      <c r="O51" s="49" t="n"/>
      <c r="P51" s="49" t="n"/>
      <c r="Q51" s="49" t="n"/>
      <c r="R51" s="50" t="n"/>
      <c r="S51" s="50" t="n"/>
    </row>
    <row r="52">
      <c r="B52" s="49" t="n"/>
      <c r="C52" s="49" t="n"/>
      <c r="D52" s="49" t="n"/>
      <c r="E52" s="49" t="n"/>
      <c r="F52" s="49" t="n"/>
      <c r="G52" s="49" t="n"/>
      <c r="H52" s="49" t="n"/>
      <c r="I52" s="49" t="n"/>
      <c r="J52" s="49" t="n"/>
      <c r="K52" s="49" t="n"/>
      <c r="L52" s="49" t="n"/>
      <c r="M52" s="49" t="n"/>
      <c r="N52" s="49" t="n"/>
      <c r="O52" s="49" t="n"/>
      <c r="P52" s="49" t="n"/>
      <c r="Q52" s="49" t="n"/>
      <c r="R52" s="50" t="n"/>
      <c r="S52" s="50" t="n"/>
    </row>
    <row r="53">
      <c r="B53" s="49" t="n"/>
      <c r="C53" s="49" t="n"/>
      <c r="D53" s="49" t="n"/>
      <c r="E53" s="49" t="n"/>
      <c r="F53" s="49" t="n"/>
      <c r="G53" s="49" t="n"/>
      <c r="H53" s="49" t="n"/>
      <c r="I53" s="49" t="n"/>
      <c r="J53" s="49" t="n"/>
      <c r="K53" s="49" t="n"/>
      <c r="L53" s="49" t="n"/>
      <c r="M53" s="49" t="n"/>
      <c r="N53" s="49" t="n"/>
      <c r="O53" s="49" t="n"/>
      <c r="P53" s="49" t="n"/>
      <c r="Q53" s="49" t="n"/>
      <c r="R53" s="50" t="n"/>
      <c r="S53" s="50" t="n"/>
    </row>
    <row r="54">
      <c r="B54" s="49" t="n"/>
      <c r="C54" s="49" t="n"/>
      <c r="D54" s="49" t="n"/>
      <c r="E54" s="49" t="n"/>
      <c r="F54" s="49" t="n"/>
      <c r="G54" s="49" t="n"/>
      <c r="H54" s="49" t="n"/>
      <c r="I54" s="49" t="n"/>
      <c r="J54" s="49" t="n"/>
      <c r="K54" s="49" t="n"/>
      <c r="L54" s="49" t="n"/>
      <c r="M54" s="49" t="n"/>
      <c r="N54" s="49" t="n"/>
      <c r="O54" s="49" t="n"/>
      <c r="P54" s="49" t="n"/>
      <c r="Q54" s="49" t="n"/>
      <c r="R54" s="50" t="n"/>
      <c r="S54" s="50" t="n"/>
    </row>
    <row r="55">
      <c r="B55" s="49" t="n"/>
      <c r="C55" s="49" t="n"/>
      <c r="D55" s="49" t="n"/>
      <c r="E55" s="49" t="n"/>
      <c r="F55" s="49" t="n"/>
      <c r="G55" s="49" t="n"/>
      <c r="H55" s="49" t="n"/>
      <c r="I55" s="49" t="n"/>
      <c r="J55" s="49" t="n"/>
      <c r="K55" s="49" t="n"/>
      <c r="L55" s="49" t="n"/>
      <c r="M55" s="49" t="n"/>
      <c r="N55" s="49" t="n"/>
      <c r="O55" s="49" t="n"/>
      <c r="P55" s="49" t="n"/>
      <c r="Q55" s="49" t="n"/>
      <c r="R55" s="50" t="n"/>
      <c r="S55" s="50" t="n"/>
    </row>
    <row r="56">
      <c r="B56" s="49" t="n"/>
      <c r="C56" s="49" t="n"/>
      <c r="D56" s="49" t="n"/>
      <c r="E56" s="49" t="n"/>
      <c r="F56" s="49" t="n"/>
      <c r="G56" s="49" t="n"/>
      <c r="H56" s="49" t="n"/>
      <c r="I56" s="49" t="n"/>
      <c r="J56" s="49" t="n"/>
      <c r="K56" s="49" t="n"/>
      <c r="L56" s="49" t="n"/>
      <c r="M56" s="49" t="n"/>
      <c r="N56" s="49" t="n"/>
      <c r="O56" s="49" t="n"/>
      <c r="P56" s="49" t="n"/>
      <c r="Q56" s="49" t="n"/>
      <c r="R56" s="50" t="n"/>
      <c r="S56" s="50" t="n"/>
    </row>
    <row r="57">
      <c r="B57" s="49" t="n"/>
      <c r="C57" s="49" t="n"/>
      <c r="D57" s="49" t="n"/>
      <c r="E57" s="49" t="n"/>
      <c r="F57" s="49" t="n"/>
      <c r="G57" s="49" t="n"/>
      <c r="H57" s="49" t="n"/>
      <c r="I57" s="49" t="n"/>
      <c r="J57" s="49" t="n"/>
      <c r="K57" s="49" t="n"/>
      <c r="L57" s="49" t="n"/>
      <c r="M57" s="49" t="n"/>
      <c r="N57" s="49" t="n"/>
      <c r="O57" s="49" t="n"/>
      <c r="P57" s="49" t="n"/>
      <c r="Q57" s="49" t="n"/>
      <c r="R57" s="50" t="n"/>
      <c r="S57" s="50" t="n"/>
    </row>
    <row r="58">
      <c r="B58" s="49" t="n"/>
      <c r="C58" s="49" t="n"/>
      <c r="D58" s="49" t="n"/>
      <c r="E58" s="49" t="n"/>
      <c r="F58" s="49" t="n"/>
      <c r="G58" s="49" t="n"/>
      <c r="H58" s="49" t="n"/>
      <c r="I58" s="49" t="n"/>
      <c r="J58" s="49" t="n"/>
      <c r="K58" s="49" t="n"/>
      <c r="L58" s="49" t="n"/>
      <c r="M58" s="49" t="n"/>
      <c r="N58" s="49" t="n"/>
      <c r="O58" s="49" t="n"/>
      <c r="P58" s="49" t="n"/>
      <c r="Q58" s="49" t="n"/>
      <c r="R58" s="50" t="n"/>
      <c r="S58" s="50" t="n"/>
    </row>
    <row r="59">
      <c r="B59" s="49" t="n"/>
      <c r="C59" s="49" t="n"/>
      <c r="D59" s="49" t="n"/>
      <c r="E59" s="49" t="n"/>
      <c r="F59" s="49" t="n"/>
      <c r="G59" s="49" t="n"/>
      <c r="H59" s="49" t="n"/>
      <c r="I59" s="49" t="n"/>
      <c r="J59" s="49" t="n"/>
      <c r="K59" s="49" t="n"/>
      <c r="L59" s="49" t="n"/>
      <c r="M59" s="49" t="n"/>
      <c r="N59" s="49" t="n"/>
      <c r="O59" s="49" t="n"/>
      <c r="P59" s="49" t="n"/>
      <c r="Q59" s="49" t="n"/>
      <c r="R59" s="50" t="n"/>
      <c r="S59" s="50" t="n"/>
    </row>
    <row r="60">
      <c r="B60" s="49" t="n"/>
      <c r="C60" s="49" t="n"/>
      <c r="D60" s="49" t="n"/>
      <c r="E60" s="49" t="n"/>
      <c r="F60" s="49" t="n"/>
      <c r="G60" s="49" t="n"/>
      <c r="H60" s="49" t="n"/>
      <c r="I60" s="49" t="n"/>
      <c r="J60" s="49" t="n"/>
      <c r="K60" s="49" t="n"/>
      <c r="L60" s="49" t="n"/>
      <c r="M60" s="49" t="n"/>
      <c r="N60" s="49" t="n"/>
      <c r="O60" s="49" t="n"/>
      <c r="P60" s="49" t="n"/>
      <c r="Q60" s="49" t="n"/>
      <c r="R60" s="50" t="n"/>
      <c r="S60" s="50" t="n"/>
    </row>
    <row r="61">
      <c r="B61" s="49" t="n"/>
      <c r="C61" s="49" t="n"/>
      <c r="D61" s="49" t="n"/>
      <c r="E61" s="49" t="n"/>
      <c r="F61" s="49" t="n"/>
      <c r="G61" s="49" t="n"/>
      <c r="H61" s="49" t="n"/>
      <c r="I61" s="49" t="n"/>
      <c r="J61" s="49" t="n"/>
      <c r="K61" s="49" t="n"/>
      <c r="L61" s="49" t="n"/>
      <c r="M61" s="49" t="n"/>
      <c r="N61" s="49" t="n"/>
      <c r="O61" s="49" t="n"/>
      <c r="P61" s="49" t="n"/>
      <c r="Q61" s="49" t="n"/>
      <c r="R61" s="50" t="n"/>
      <c r="S61" s="50" t="n"/>
    </row>
    <row r="62">
      <c r="B62" s="49" t="n"/>
      <c r="C62" s="49" t="n"/>
      <c r="D62" s="49" t="n"/>
      <c r="E62" s="49" t="n"/>
      <c r="F62" s="49" t="n"/>
      <c r="G62" s="49" t="n"/>
      <c r="H62" s="49" t="n"/>
      <c r="I62" s="49" t="n"/>
      <c r="J62" s="49" t="n"/>
      <c r="K62" s="49" t="n"/>
      <c r="L62" s="49" t="n"/>
      <c r="M62" s="49" t="n"/>
      <c r="N62" s="49" t="n"/>
      <c r="O62" s="49" t="n"/>
      <c r="P62" s="49" t="n"/>
      <c r="Q62" s="49" t="n"/>
      <c r="R62" s="50" t="n"/>
      <c r="S62" s="50" t="n"/>
    </row>
    <row r="63">
      <c r="B63" s="49" t="n"/>
      <c r="C63" s="49" t="n"/>
      <c r="D63" s="49" t="n"/>
      <c r="E63" s="49" t="n"/>
      <c r="F63" s="49" t="n"/>
      <c r="G63" s="49" t="n"/>
      <c r="H63" s="49" t="n"/>
      <c r="I63" s="49" t="n"/>
      <c r="J63" s="49" t="n"/>
      <c r="K63" s="49" t="n"/>
      <c r="L63" s="49" t="n"/>
      <c r="M63" s="49" t="n"/>
      <c r="N63" s="49" t="n"/>
      <c r="O63" s="49" t="n"/>
      <c r="P63" s="49" t="n"/>
      <c r="Q63" s="49" t="n"/>
      <c r="R63" s="50" t="n"/>
      <c r="S63" s="50" t="n"/>
    </row>
    <row r="64">
      <c r="B64" s="49" t="n"/>
      <c r="C64" s="49" t="n"/>
      <c r="D64" s="49" t="n"/>
      <c r="E64" s="49" t="n"/>
      <c r="F64" s="49" t="n"/>
      <c r="G64" s="49" t="n"/>
      <c r="H64" s="49" t="n"/>
      <c r="I64" s="49" t="n"/>
      <c r="J64" s="49" t="n"/>
      <c r="K64" s="49" t="n"/>
      <c r="L64" s="49" t="n"/>
      <c r="M64" s="49" t="n"/>
      <c r="N64" s="49" t="n"/>
      <c r="O64" s="49" t="n"/>
      <c r="P64" s="49" t="n"/>
      <c r="Q64" s="49" t="n"/>
      <c r="R64" s="50" t="n"/>
      <c r="S64" s="50" t="n"/>
    </row>
    <row r="65">
      <c r="B65" s="49" t="n"/>
      <c r="C65" s="49" t="n"/>
      <c r="D65" s="49" t="n"/>
      <c r="E65" s="49" t="n"/>
      <c r="F65" s="49" t="n"/>
      <c r="G65" s="49" t="n"/>
      <c r="H65" s="49" t="n"/>
      <c r="I65" s="49" t="n"/>
      <c r="J65" s="49" t="n"/>
      <c r="K65" s="49" t="n"/>
      <c r="L65" s="49" t="n"/>
      <c r="M65" s="49" t="n"/>
      <c r="N65" s="49" t="n"/>
      <c r="O65" s="49" t="n"/>
      <c r="P65" s="49" t="n"/>
      <c r="Q65" s="49" t="n"/>
      <c r="R65" s="50" t="n"/>
      <c r="S65" s="50" t="n"/>
    </row>
    <row r="66">
      <c r="B66" s="49" t="n"/>
      <c r="C66" s="49" t="n"/>
      <c r="D66" s="49" t="n"/>
      <c r="E66" s="49" t="n"/>
      <c r="F66" s="49" t="n"/>
      <c r="G66" s="49" t="n"/>
      <c r="H66" s="49" t="n"/>
      <c r="I66" s="49" t="n"/>
      <c r="J66" s="49" t="n"/>
      <c r="K66" s="49" t="n"/>
      <c r="L66" s="49" t="n"/>
      <c r="M66" s="49" t="n"/>
      <c r="N66" s="49" t="n"/>
      <c r="O66" s="49" t="n"/>
      <c r="P66" s="49" t="n"/>
      <c r="Q66" s="49" t="n"/>
      <c r="R66" s="50" t="n"/>
      <c r="S66" s="50" t="n"/>
    </row>
    <row r="67">
      <c r="B67" s="49" t="n"/>
      <c r="C67" s="49" t="n"/>
      <c r="D67" s="49" t="n"/>
      <c r="E67" s="49" t="n"/>
      <c r="F67" s="49" t="n"/>
      <c r="G67" s="49" t="n"/>
      <c r="H67" s="49" t="n"/>
      <c r="I67" s="49" t="n"/>
      <c r="J67" s="49" t="n"/>
      <c r="K67" s="49" t="n"/>
      <c r="L67" s="49" t="n"/>
      <c r="M67" s="49" t="n"/>
      <c r="N67" s="49" t="n"/>
      <c r="O67" s="49" t="n"/>
      <c r="P67" s="49" t="n"/>
      <c r="Q67" s="49" t="n"/>
      <c r="R67" s="50" t="n"/>
      <c r="S67" s="50" t="n"/>
    </row>
    <row r="68">
      <c r="B68" s="49" t="n"/>
      <c r="C68" s="49" t="n"/>
      <c r="D68" s="49" t="n"/>
      <c r="E68" s="49" t="n"/>
      <c r="F68" s="49" t="n"/>
      <c r="G68" s="49" t="n"/>
      <c r="H68" s="49" t="n"/>
      <c r="I68" s="49" t="n"/>
      <c r="J68" s="49" t="n"/>
      <c r="K68" s="49" t="n"/>
      <c r="L68" s="49" t="n"/>
      <c r="M68" s="49" t="n"/>
      <c r="N68" s="49" t="n"/>
      <c r="O68" s="49" t="n"/>
      <c r="P68" s="49" t="n"/>
      <c r="Q68" s="49" t="n"/>
      <c r="R68" s="50" t="n"/>
      <c r="S68" s="50" t="n"/>
    </row>
    <row r="69">
      <c r="B69" s="49" t="n"/>
      <c r="C69" s="49" t="n"/>
      <c r="D69" s="49" t="n"/>
      <c r="E69" s="49" t="n"/>
      <c r="F69" s="49" t="n"/>
      <c r="G69" s="49" t="n"/>
      <c r="H69" s="49" t="n"/>
      <c r="I69" s="49" t="n"/>
      <c r="J69" s="49" t="n"/>
      <c r="K69" s="49" t="n"/>
      <c r="L69" s="49" t="n"/>
      <c r="M69" s="49" t="n"/>
      <c r="N69" s="49" t="n"/>
      <c r="O69" s="49" t="n"/>
      <c r="P69" s="49" t="n"/>
      <c r="Q69" s="49" t="n"/>
      <c r="R69" s="50" t="n"/>
      <c r="S69" s="50" t="n"/>
    </row>
    <row r="70">
      <c r="B70" s="49" t="n"/>
      <c r="C70" s="49" t="n"/>
      <c r="D70" s="49" t="n"/>
      <c r="E70" s="49" t="n"/>
      <c r="F70" s="49" t="n"/>
      <c r="G70" s="49" t="n"/>
      <c r="H70" s="49" t="n"/>
      <c r="I70" s="49" t="n"/>
      <c r="J70" s="49" t="n"/>
      <c r="K70" s="49" t="n"/>
      <c r="L70" s="49" t="n"/>
      <c r="M70" s="49" t="n"/>
      <c r="N70" s="49" t="n"/>
      <c r="O70" s="49" t="n"/>
      <c r="P70" s="49" t="n"/>
      <c r="Q70" s="49" t="n"/>
      <c r="R70" s="50" t="n"/>
      <c r="S70" s="50" t="n"/>
    </row>
    <row r="71">
      <c r="B71" s="49" t="n"/>
      <c r="C71" s="49" t="n"/>
      <c r="D71" s="49" t="n"/>
      <c r="E71" s="49" t="n"/>
      <c r="F71" s="49" t="n"/>
      <c r="G71" s="49" t="n"/>
      <c r="H71" s="49" t="n"/>
      <c r="I71" s="49" t="n"/>
      <c r="J71" s="49" t="n"/>
      <c r="K71" s="49" t="n"/>
      <c r="L71" s="49" t="n"/>
      <c r="M71" s="49" t="n"/>
      <c r="N71" s="49" t="n"/>
      <c r="O71" s="49" t="n"/>
      <c r="P71" s="49" t="n"/>
      <c r="Q71" s="49" t="n"/>
      <c r="R71" s="50" t="n"/>
      <c r="S71" s="50" t="n"/>
    </row>
    <row r="72">
      <c r="B72" s="49" t="n"/>
      <c r="C72" s="49" t="n"/>
      <c r="D72" s="49" t="n"/>
      <c r="E72" s="49" t="n"/>
      <c r="F72" s="49" t="n"/>
      <c r="G72" s="49" t="n"/>
      <c r="H72" s="49" t="n"/>
      <c r="I72" s="49" t="n"/>
      <c r="J72" s="49" t="n"/>
      <c r="K72" s="49" t="n"/>
      <c r="L72" s="49" t="n"/>
      <c r="M72" s="49" t="n"/>
      <c r="N72" s="49" t="n"/>
      <c r="O72" s="49" t="n"/>
      <c r="P72" s="49" t="n"/>
      <c r="Q72" s="49" t="n"/>
      <c r="R72" s="50" t="n"/>
      <c r="S72" s="50" t="n"/>
    </row>
    <row r="73">
      <c r="B73" s="49" t="n"/>
      <c r="C73" s="49" t="n"/>
      <c r="D73" s="49" t="n"/>
      <c r="E73" s="49" t="n"/>
      <c r="F73" s="49" t="n"/>
      <c r="G73" s="49" t="n"/>
      <c r="H73" s="49" t="n"/>
      <c r="I73" s="49" t="n"/>
      <c r="J73" s="49" t="n"/>
      <c r="K73" s="49" t="n"/>
      <c r="L73" s="49" t="n"/>
      <c r="M73" s="49" t="n"/>
      <c r="N73" s="49" t="n"/>
      <c r="O73" s="49" t="n"/>
      <c r="P73" s="49" t="n"/>
      <c r="Q73" s="49" t="n"/>
      <c r="R73" s="50" t="n"/>
      <c r="S73" s="50" t="n"/>
    </row>
    <row r="74">
      <c r="B74" s="49" t="n"/>
      <c r="C74" s="49" t="n"/>
      <c r="D74" s="49" t="n"/>
      <c r="E74" s="49" t="n"/>
      <c r="F74" s="49" t="n"/>
      <c r="G74" s="49" t="n"/>
      <c r="H74" s="49" t="n"/>
      <c r="I74" s="49" t="n"/>
      <c r="J74" s="49" t="n"/>
      <c r="K74" s="49" t="n"/>
      <c r="L74" s="49" t="n"/>
      <c r="M74" s="49" t="n"/>
      <c r="N74" s="49" t="n"/>
      <c r="O74" s="49" t="n"/>
      <c r="P74" s="49" t="n"/>
      <c r="Q74" s="49" t="n"/>
      <c r="R74" s="50" t="n"/>
      <c r="S74" s="50" t="n"/>
    </row>
    <row r="75">
      <c r="B75" s="49" t="n"/>
      <c r="C75" s="49" t="n"/>
      <c r="D75" s="49" t="n"/>
      <c r="E75" s="49" t="n"/>
      <c r="F75" s="49" t="n"/>
      <c r="G75" s="49" t="n"/>
      <c r="H75" s="49" t="n"/>
      <c r="I75" s="49" t="n"/>
      <c r="J75" s="49" t="n"/>
      <c r="K75" s="49" t="n"/>
      <c r="L75" s="49" t="n"/>
      <c r="M75" s="49" t="n"/>
      <c r="N75" s="49" t="n"/>
      <c r="O75" s="49" t="n"/>
      <c r="P75" s="49" t="n"/>
      <c r="Q75" s="49" t="n"/>
      <c r="R75" s="50" t="n"/>
      <c r="S75" s="50" t="n"/>
    </row>
    <row r="76">
      <c r="B76" s="49" t="n"/>
      <c r="C76" s="49" t="n"/>
      <c r="D76" s="49" t="n"/>
      <c r="E76" s="49" t="n"/>
      <c r="F76" s="49" t="n"/>
      <c r="G76" s="49" t="n"/>
      <c r="H76" s="49" t="n"/>
      <c r="I76" s="49" t="n"/>
      <c r="J76" s="49" t="n"/>
      <c r="K76" s="49" t="n"/>
      <c r="L76" s="49" t="n"/>
      <c r="M76" s="49" t="n"/>
      <c r="N76" s="49" t="n"/>
      <c r="O76" s="49" t="n"/>
      <c r="P76" s="49" t="n"/>
      <c r="Q76" s="49" t="n"/>
      <c r="R76" s="50" t="n"/>
      <c r="S76" s="50" t="n"/>
    </row>
    <row r="77">
      <c r="B77" s="49" t="n"/>
      <c r="C77" s="49" t="n"/>
      <c r="D77" s="49" t="n"/>
      <c r="E77" s="49" t="n"/>
      <c r="F77" s="49" t="n"/>
      <c r="G77" s="49" t="n"/>
      <c r="H77" s="49" t="n"/>
      <c r="I77" s="49" t="n"/>
      <c r="J77" s="49" t="n"/>
      <c r="K77" s="49" t="n"/>
      <c r="L77" s="49" t="n"/>
      <c r="M77" s="49" t="n"/>
      <c r="N77" s="49" t="n"/>
      <c r="O77" s="49" t="n"/>
      <c r="P77" s="49" t="n"/>
      <c r="Q77" s="49" t="n"/>
      <c r="R77" s="50" t="n"/>
      <c r="S77" s="50" t="n"/>
    </row>
    <row r="78">
      <c r="B78" s="49" t="n"/>
      <c r="C78" s="49" t="n"/>
      <c r="D78" s="49" t="n"/>
      <c r="E78" s="49" t="n"/>
      <c r="F78" s="49" t="n"/>
      <c r="G78" s="49" t="n"/>
      <c r="H78" s="49" t="n"/>
      <c r="I78" s="49" t="n"/>
      <c r="J78" s="49" t="n"/>
      <c r="K78" s="49" t="n"/>
      <c r="L78" s="49" t="n"/>
      <c r="M78" s="49" t="n"/>
      <c r="N78" s="49" t="n"/>
      <c r="O78" s="49" t="n"/>
      <c r="P78" s="49" t="n"/>
      <c r="Q78" s="49" t="n"/>
      <c r="R78" s="50" t="n"/>
      <c r="S78" s="50" t="n"/>
    </row>
    <row r="79">
      <c r="B79" s="49" t="n"/>
      <c r="C79" s="49" t="n"/>
      <c r="D79" s="49" t="n"/>
      <c r="E79" s="49" t="n"/>
      <c r="F79" s="49" t="n"/>
      <c r="G79" s="49" t="n"/>
      <c r="H79" s="49" t="n"/>
      <c r="I79" s="49" t="n"/>
      <c r="J79" s="49" t="n"/>
      <c r="K79" s="49" t="n"/>
      <c r="L79" s="49" t="n"/>
      <c r="M79" s="49" t="n"/>
      <c r="N79" s="49" t="n"/>
      <c r="O79" s="49" t="n"/>
      <c r="P79" s="49" t="n"/>
      <c r="Q79" s="49" t="n"/>
      <c r="R79" s="50" t="n"/>
      <c r="S79" s="50" t="n"/>
    </row>
    <row r="80">
      <c r="B80" s="49" t="n"/>
      <c r="C80" s="49" t="n"/>
      <c r="D80" s="49" t="n"/>
      <c r="E80" s="49" t="n"/>
      <c r="F80" s="49" t="n"/>
      <c r="G80" s="49" t="n"/>
      <c r="H80" s="49" t="n"/>
      <c r="I80" s="49" t="n"/>
      <c r="J80" s="49" t="n"/>
      <c r="K80" s="49" t="n"/>
      <c r="L80" s="49" t="n"/>
      <c r="M80" s="49" t="n"/>
      <c r="N80" s="49" t="n"/>
      <c r="O80" s="49" t="n"/>
      <c r="P80" s="49" t="n"/>
      <c r="Q80" s="49" t="n"/>
      <c r="R80" s="50" t="n"/>
      <c r="S80" s="50" t="n"/>
    </row>
    <row r="81">
      <c r="B81" s="49" t="n"/>
      <c r="C81" s="49" t="n"/>
      <c r="D81" s="49" t="n"/>
      <c r="E81" s="49" t="n"/>
      <c r="F81" s="49" t="n"/>
      <c r="G81" s="49" t="n"/>
      <c r="H81" s="49" t="n"/>
      <c r="I81" s="49" t="n"/>
      <c r="J81" s="49" t="n"/>
      <c r="K81" s="49" t="n"/>
      <c r="L81" s="49" t="n"/>
      <c r="M81" s="49" t="n"/>
      <c r="N81" s="49" t="n"/>
      <c r="O81" s="49" t="n"/>
      <c r="P81" s="49" t="n"/>
      <c r="Q81" s="49" t="n"/>
      <c r="R81" s="50" t="n"/>
      <c r="S81" s="50" t="n"/>
    </row>
    <row r="82">
      <c r="B82" s="49" t="n"/>
      <c r="C82" s="49" t="n"/>
      <c r="D82" s="49" t="n"/>
      <c r="E82" s="49" t="n"/>
      <c r="F82" s="49" t="n"/>
      <c r="G82" s="49" t="n"/>
      <c r="H82" s="49" t="n"/>
      <c r="I82" s="49" t="n"/>
      <c r="J82" s="49" t="n"/>
      <c r="K82" s="49" t="n"/>
      <c r="L82" s="49" t="n"/>
      <c r="M82" s="49" t="n"/>
      <c r="N82" s="49" t="n"/>
      <c r="O82" s="49" t="n"/>
      <c r="P82" s="49" t="n"/>
      <c r="Q82" s="49" t="n"/>
      <c r="R82" s="50" t="n"/>
      <c r="S82" s="50" t="n"/>
    </row>
    <row r="83">
      <c r="B83" s="49" t="n"/>
      <c r="C83" s="49" t="n"/>
      <c r="D83" s="49" t="n"/>
      <c r="E83" s="49" t="n"/>
      <c r="F83" s="49" t="n"/>
      <c r="G83" s="49" t="n"/>
      <c r="H83" s="49" t="n"/>
      <c r="I83" s="49" t="n"/>
      <c r="J83" s="49" t="n"/>
      <c r="K83" s="49" t="n"/>
      <c r="L83" s="49" t="n"/>
      <c r="M83" s="49" t="n"/>
      <c r="N83" s="49" t="n"/>
      <c r="O83" s="49" t="n"/>
      <c r="P83" s="49" t="n"/>
      <c r="Q83" s="49" t="n"/>
      <c r="R83" s="50" t="n"/>
      <c r="S83" s="50" t="n"/>
    </row>
    <row r="84">
      <c r="B84" s="49" t="n"/>
      <c r="C84" s="49" t="n"/>
      <c r="D84" s="49" t="n"/>
      <c r="E84" s="49" t="n"/>
      <c r="F84" s="49" t="n"/>
      <c r="G84" s="49" t="n"/>
      <c r="H84" s="49" t="n"/>
      <c r="I84" s="49" t="n"/>
      <c r="J84" s="49" t="n"/>
      <c r="K84" s="49" t="n"/>
      <c r="L84" s="49" t="n"/>
      <c r="M84" s="49" t="n"/>
      <c r="N84" s="49" t="n"/>
      <c r="O84" s="49" t="n"/>
      <c r="P84" s="49" t="n"/>
      <c r="Q84" s="49" t="n"/>
      <c r="R84" s="50" t="n"/>
      <c r="S84" s="50" t="n"/>
    </row>
    <row r="85">
      <c r="B85" s="49" t="n"/>
      <c r="C85" s="49" t="n"/>
      <c r="D85" s="49" t="n"/>
      <c r="E85" s="49" t="n"/>
      <c r="F85" s="49" t="n"/>
      <c r="G85" s="49" t="n"/>
      <c r="H85" s="49" t="n"/>
      <c r="I85" s="49" t="n"/>
      <c r="J85" s="49" t="n"/>
      <c r="K85" s="49" t="n"/>
      <c r="L85" s="49" t="n"/>
      <c r="M85" s="49" t="n"/>
      <c r="N85" s="49" t="n"/>
      <c r="O85" s="49" t="n"/>
      <c r="P85" s="49" t="n"/>
      <c r="Q85" s="49" t="n"/>
      <c r="R85" s="50" t="n"/>
      <c r="S85" s="50" t="n"/>
    </row>
    <row r="86">
      <c r="B86" s="49" t="n"/>
      <c r="C86" s="49" t="n"/>
      <c r="D86" s="49" t="n"/>
      <c r="E86" s="49" t="n"/>
      <c r="F86" s="49" t="n"/>
      <c r="G86" s="49" t="n"/>
      <c r="H86" s="49" t="n"/>
      <c r="I86" s="49" t="n"/>
      <c r="J86" s="49" t="n"/>
      <c r="K86" s="49" t="n"/>
      <c r="L86" s="49" t="n"/>
      <c r="M86" s="49" t="n"/>
      <c r="N86" s="49" t="n"/>
      <c r="O86" s="49" t="n"/>
      <c r="P86" s="49" t="n"/>
      <c r="Q86" s="49" t="n"/>
      <c r="R86" s="50" t="n"/>
      <c r="S86" s="50" t="n"/>
    </row>
    <row r="87">
      <c r="B87" s="49" t="n"/>
      <c r="C87" s="49" t="n"/>
      <c r="D87" s="49" t="n"/>
      <c r="E87" s="49" t="n"/>
      <c r="F87" s="49" t="n"/>
      <c r="G87" s="49" t="n"/>
      <c r="H87" s="49" t="n"/>
      <c r="I87" s="49" t="n"/>
      <c r="J87" s="49" t="n"/>
      <c r="K87" s="49" t="n"/>
      <c r="L87" s="49" t="n"/>
      <c r="M87" s="49" t="n"/>
      <c r="N87" s="49" t="n"/>
      <c r="O87" s="49" t="n"/>
      <c r="P87" s="49" t="n"/>
      <c r="Q87" s="49" t="n"/>
      <c r="R87" s="50" t="n"/>
      <c r="S87" s="50" t="n"/>
    </row>
    <row r="88">
      <c r="B88" s="49" t="n"/>
      <c r="C88" s="49" t="n"/>
      <c r="D88" s="49" t="n"/>
      <c r="E88" s="49" t="n"/>
      <c r="F88" s="49" t="n"/>
      <c r="G88" s="49" t="n"/>
      <c r="H88" s="49" t="n"/>
      <c r="I88" s="49" t="n"/>
      <c r="J88" s="49" t="n"/>
      <c r="K88" s="49" t="n"/>
      <c r="L88" s="49" t="n"/>
      <c r="M88" s="49" t="n"/>
      <c r="N88" s="49" t="n"/>
      <c r="O88" s="49" t="n"/>
      <c r="P88" s="49" t="n"/>
      <c r="Q88" s="49" t="n"/>
      <c r="R88" s="50" t="n"/>
      <c r="S88" s="50" t="n"/>
    </row>
    <row r="89">
      <c r="B89" s="49" t="n"/>
      <c r="C89" s="49" t="n"/>
      <c r="D89" s="49" t="n"/>
      <c r="E89" s="49" t="n"/>
      <c r="F89" s="49" t="n"/>
      <c r="G89" s="49" t="n"/>
      <c r="H89" s="49" t="n"/>
      <c r="I89" s="49" t="n"/>
      <c r="J89" s="49" t="n"/>
      <c r="K89" s="49" t="n"/>
      <c r="L89" s="49" t="n"/>
      <c r="M89" s="49" t="n"/>
      <c r="N89" s="49" t="n"/>
      <c r="O89" s="49" t="n"/>
      <c r="P89" s="49" t="n"/>
      <c r="Q89" s="49" t="n"/>
      <c r="R89" s="50" t="n"/>
      <c r="S89" s="50" t="n"/>
    </row>
    <row r="90">
      <c r="B90" s="49" t="n"/>
      <c r="C90" s="49" t="n"/>
      <c r="D90" s="49" t="n"/>
      <c r="E90" s="49" t="n"/>
      <c r="F90" s="49" t="n"/>
      <c r="G90" s="49" t="n"/>
      <c r="H90" s="49" t="n"/>
      <c r="I90" s="49" t="n"/>
      <c r="J90" s="49" t="n"/>
      <c r="K90" s="49" t="n"/>
      <c r="L90" s="49" t="n"/>
      <c r="M90" s="49" t="n"/>
      <c r="N90" s="49" t="n"/>
      <c r="O90" s="49" t="n"/>
      <c r="P90" s="49" t="n"/>
      <c r="Q90" s="49" t="n"/>
      <c r="R90" s="50" t="n"/>
      <c r="S90" s="50" t="n"/>
    </row>
    <row r="91">
      <c r="B91" s="49" t="n"/>
      <c r="C91" s="49" t="n"/>
      <c r="D91" s="49" t="n"/>
      <c r="E91" s="49" t="n"/>
      <c r="F91" s="49" t="n"/>
      <c r="G91" s="49" t="n"/>
      <c r="H91" s="49" t="n"/>
      <c r="I91" s="49" t="n"/>
      <c r="J91" s="49" t="n"/>
      <c r="K91" s="49" t="n"/>
      <c r="L91" s="49" t="n"/>
      <c r="M91" s="49" t="n"/>
      <c r="N91" s="49" t="n"/>
      <c r="O91" s="49" t="n"/>
      <c r="P91" s="49" t="n"/>
      <c r="Q91" s="49" t="n"/>
      <c r="R91" s="50" t="n"/>
      <c r="S91" s="50" t="n"/>
    </row>
    <row r="92">
      <c r="B92" s="49" t="n"/>
      <c r="C92" s="49" t="n"/>
      <c r="D92" s="49" t="n"/>
      <c r="E92" s="49" t="n"/>
      <c r="F92" s="49" t="n"/>
      <c r="G92" s="49" t="n"/>
      <c r="H92" s="49" t="n"/>
      <c r="I92" s="49" t="n"/>
      <c r="J92" s="49" t="n"/>
      <c r="K92" s="49" t="n"/>
      <c r="L92" s="49" t="n"/>
      <c r="M92" s="49" t="n"/>
      <c r="N92" s="49" t="n"/>
      <c r="O92" s="49" t="n"/>
      <c r="P92" s="49" t="n"/>
      <c r="Q92" s="49" t="n"/>
      <c r="R92" s="50" t="n"/>
      <c r="S92" s="50" t="n"/>
    </row>
    <row r="93">
      <c r="B93" s="49" t="n"/>
      <c r="C93" s="49" t="n"/>
      <c r="D93" s="49" t="n"/>
      <c r="E93" s="49" t="n"/>
      <c r="F93" s="49" t="n"/>
      <c r="G93" s="49" t="n"/>
      <c r="H93" s="49" t="n"/>
      <c r="I93" s="49" t="n"/>
      <c r="J93" s="49" t="n"/>
      <c r="K93" s="49" t="n"/>
      <c r="L93" s="49" t="n"/>
      <c r="M93" s="49" t="n"/>
      <c r="N93" s="49" t="n"/>
      <c r="O93" s="49" t="n"/>
      <c r="P93" s="49" t="n"/>
      <c r="Q93" s="49" t="n"/>
      <c r="R93" s="50" t="n"/>
      <c r="S93" s="50" t="n"/>
    </row>
    <row r="94">
      <c r="B94" s="49" t="n"/>
      <c r="C94" s="49" t="n"/>
      <c r="D94" s="49" t="n"/>
      <c r="E94" s="49" t="n"/>
      <c r="F94" s="49" t="n"/>
      <c r="G94" s="49" t="n"/>
      <c r="H94" s="49" t="n"/>
      <c r="I94" s="49" t="n"/>
      <c r="J94" s="49" t="n"/>
      <c r="K94" s="49" t="n"/>
      <c r="L94" s="49" t="n"/>
      <c r="M94" s="49" t="n"/>
      <c r="N94" s="49" t="n"/>
      <c r="O94" s="49" t="n"/>
      <c r="P94" s="49" t="n"/>
      <c r="Q94" s="49" t="n"/>
      <c r="R94" s="50" t="n"/>
      <c r="S94" s="50" t="n"/>
    </row>
    <row r="95">
      <c r="B95" s="49" t="n"/>
      <c r="C95" s="49" t="n"/>
      <c r="D95" s="49" t="n"/>
      <c r="E95" s="49" t="n"/>
      <c r="F95" s="49" t="n"/>
      <c r="G95" s="49" t="n"/>
      <c r="H95" s="49" t="n"/>
      <c r="I95" s="49" t="n"/>
      <c r="J95" s="49" t="n"/>
      <c r="K95" s="49" t="n"/>
      <c r="L95" s="49" t="n"/>
      <c r="M95" s="49" t="n"/>
      <c r="N95" s="49" t="n"/>
      <c r="O95" s="49" t="n"/>
      <c r="P95" s="49" t="n"/>
      <c r="Q95" s="49" t="n"/>
      <c r="R95" s="50" t="n"/>
      <c r="S95" s="50" t="n"/>
    </row>
    <row r="96">
      <c r="B96" s="49" t="n"/>
      <c r="C96" s="49" t="n"/>
      <c r="D96" s="49" t="n"/>
      <c r="E96" s="49" t="n"/>
      <c r="F96" s="49" t="n"/>
      <c r="G96" s="49" t="n"/>
      <c r="H96" s="49" t="n"/>
      <c r="I96" s="49" t="n"/>
      <c r="J96" s="49" t="n"/>
      <c r="K96" s="49" t="n"/>
      <c r="L96" s="49" t="n"/>
      <c r="M96" s="49" t="n"/>
      <c r="N96" s="49" t="n"/>
      <c r="O96" s="49" t="n"/>
      <c r="P96" s="49" t="n"/>
      <c r="Q96" s="49" t="n"/>
      <c r="R96" s="50" t="n"/>
      <c r="S96" s="50" t="n"/>
    </row>
    <row r="97">
      <c r="B97" s="49" t="n"/>
      <c r="C97" s="49" t="n"/>
      <c r="D97" s="49" t="n"/>
      <c r="E97" s="49" t="n"/>
      <c r="F97" s="49" t="n"/>
      <c r="G97" s="49" t="n"/>
      <c r="H97" s="49" t="n"/>
      <c r="I97" s="49" t="n"/>
      <c r="J97" s="49" t="n"/>
      <c r="K97" s="49" t="n"/>
      <c r="L97" s="49" t="n"/>
      <c r="M97" s="49" t="n"/>
      <c r="N97" s="49" t="n"/>
      <c r="O97" s="49" t="n"/>
      <c r="P97" s="49" t="n"/>
      <c r="Q97" s="49" t="n"/>
      <c r="R97" s="50" t="n"/>
      <c r="S97" s="50" t="n"/>
    </row>
    <row r="98">
      <c r="B98" s="49" t="n"/>
      <c r="C98" s="49" t="n"/>
      <c r="D98" s="49" t="n"/>
      <c r="E98" s="49" t="n"/>
      <c r="F98" s="49" t="n"/>
      <c r="G98" s="49" t="n"/>
      <c r="H98" s="49" t="n"/>
      <c r="I98" s="49" t="n"/>
      <c r="J98" s="49" t="n"/>
      <c r="K98" s="49" t="n"/>
      <c r="L98" s="49" t="n"/>
      <c r="M98" s="49" t="n"/>
      <c r="N98" s="49" t="n"/>
      <c r="O98" s="49" t="n"/>
      <c r="P98" s="49" t="n"/>
      <c r="Q98" s="49" t="n"/>
      <c r="R98" s="50" t="n"/>
      <c r="S98" s="50" t="n"/>
    </row>
    <row r="99">
      <c r="B99" s="49" t="n"/>
      <c r="C99" s="49" t="n"/>
      <c r="D99" s="49" t="n"/>
      <c r="E99" s="49" t="n"/>
      <c r="F99" s="49" t="n"/>
      <c r="G99" s="49" t="n"/>
      <c r="H99" s="49" t="n"/>
      <c r="I99" s="49" t="n"/>
      <c r="J99" s="49" t="n"/>
      <c r="K99" s="49" t="n"/>
      <c r="L99" s="49" t="n"/>
      <c r="M99" s="49" t="n"/>
      <c r="N99" s="49" t="n"/>
      <c r="O99" s="49" t="n"/>
      <c r="P99" s="49" t="n"/>
      <c r="Q99" s="49" t="n"/>
      <c r="R99" s="50" t="n"/>
      <c r="S99" s="50" t="n"/>
    </row>
    <row r="100">
      <c r="B100" s="49" t="n"/>
      <c r="C100" s="49" t="n"/>
      <c r="D100" s="49" t="n"/>
      <c r="E100" s="49" t="n"/>
      <c r="F100" s="49" t="n"/>
      <c r="G100" s="49" t="n"/>
      <c r="H100" s="49" t="n"/>
      <c r="I100" s="49" t="n"/>
      <c r="J100" s="49" t="n"/>
      <c r="K100" s="49" t="n"/>
      <c r="L100" s="49" t="n"/>
      <c r="M100" s="49" t="n"/>
      <c r="N100" s="49" t="n"/>
      <c r="O100" s="49" t="n"/>
      <c r="P100" s="49" t="n"/>
      <c r="Q100" s="49" t="n"/>
      <c r="R100" s="50" t="n"/>
      <c r="S100" s="50" t="n"/>
    </row>
    <row r="101">
      <c r="B101" s="49" t="n"/>
      <c r="C101" s="49" t="n"/>
      <c r="D101" s="49" t="n"/>
      <c r="E101" s="49" t="n"/>
      <c r="F101" s="49" t="n"/>
      <c r="G101" s="49" t="n"/>
      <c r="H101" s="49" t="n"/>
      <c r="I101" s="49" t="n"/>
      <c r="J101" s="49" t="n"/>
      <c r="K101" s="49" t="n"/>
      <c r="L101" s="49" t="n"/>
      <c r="M101" s="49" t="n"/>
      <c r="N101" s="49" t="n"/>
      <c r="O101" s="49" t="n"/>
      <c r="P101" s="49" t="n"/>
      <c r="Q101" s="49" t="n"/>
      <c r="R101" s="50" t="n"/>
      <c r="S101" s="50" t="n"/>
    </row>
    <row r="102">
      <c r="B102" s="49" t="n"/>
      <c r="C102" s="49" t="n"/>
      <c r="D102" s="49" t="n"/>
      <c r="E102" s="49" t="n"/>
      <c r="F102" s="49" t="n"/>
      <c r="G102" s="49" t="n"/>
      <c r="H102" s="49" t="n"/>
      <c r="I102" s="49" t="n"/>
      <c r="J102" s="49" t="n"/>
      <c r="K102" s="49" t="n"/>
      <c r="L102" s="49" t="n"/>
      <c r="M102" s="49" t="n"/>
      <c r="N102" s="49" t="n"/>
      <c r="O102" s="49" t="n"/>
      <c r="P102" s="49" t="n"/>
      <c r="Q102" s="49" t="n"/>
      <c r="R102" s="50" t="n"/>
      <c r="S102" s="50" t="n"/>
    </row>
    <row r="103">
      <c r="B103" s="49" t="n"/>
      <c r="C103" s="49" t="n"/>
      <c r="D103" s="49" t="n"/>
      <c r="E103" s="49" t="n"/>
      <c r="F103" s="49" t="n"/>
      <c r="G103" s="49" t="n"/>
      <c r="H103" s="49" t="n"/>
      <c r="I103" s="49" t="n"/>
      <c r="J103" s="49" t="n"/>
      <c r="K103" s="49" t="n"/>
      <c r="L103" s="49" t="n"/>
      <c r="M103" s="49" t="n"/>
      <c r="N103" s="49" t="n"/>
      <c r="O103" s="49" t="n"/>
      <c r="P103" s="49" t="n"/>
      <c r="Q103" s="49" t="n"/>
      <c r="R103" s="50" t="n"/>
      <c r="S103" s="50" t="n"/>
    </row>
    <row r="104">
      <c r="B104" s="49" t="n"/>
      <c r="C104" s="49" t="n"/>
      <c r="D104" s="49" t="n"/>
      <c r="E104" s="49" t="n"/>
      <c r="F104" s="49" t="n"/>
      <c r="G104" s="49" t="n"/>
      <c r="H104" s="49" t="n"/>
      <c r="I104" s="49" t="n"/>
      <c r="J104" s="49" t="n"/>
      <c r="K104" s="49" t="n"/>
      <c r="L104" s="49" t="n"/>
      <c r="M104" s="49" t="n"/>
      <c r="N104" s="49" t="n"/>
      <c r="O104" s="49" t="n"/>
      <c r="P104" s="49" t="n"/>
      <c r="Q104" s="49" t="n"/>
      <c r="R104" s="50" t="n"/>
      <c r="S104" s="50" t="n"/>
    </row>
    <row r="105">
      <c r="B105" s="49" t="n"/>
      <c r="C105" s="49" t="n"/>
      <c r="D105" s="49" t="n"/>
      <c r="E105" s="49" t="n"/>
      <c r="F105" s="49" t="n"/>
      <c r="G105" s="49" t="n"/>
      <c r="H105" s="49" t="n"/>
      <c r="I105" s="49" t="n"/>
      <c r="J105" s="49" t="n"/>
      <c r="K105" s="49" t="n"/>
      <c r="L105" s="49" t="n"/>
      <c r="M105" s="49" t="n"/>
      <c r="N105" s="49" t="n"/>
      <c r="O105" s="49" t="n"/>
      <c r="P105" s="49" t="n"/>
      <c r="Q105" s="49" t="n"/>
      <c r="R105" s="50" t="n"/>
      <c r="S105" s="50" t="n"/>
    </row>
    <row r="106">
      <c r="B106" s="49" t="n"/>
      <c r="C106" s="49" t="n"/>
      <c r="D106" s="49" t="n"/>
      <c r="E106" s="49" t="n"/>
      <c r="F106" s="49" t="n"/>
      <c r="G106" s="49" t="n"/>
      <c r="H106" s="49" t="n"/>
      <c r="I106" s="49" t="n"/>
      <c r="J106" s="49" t="n"/>
      <c r="K106" s="49" t="n"/>
      <c r="L106" s="49" t="n"/>
      <c r="M106" s="49" t="n"/>
      <c r="N106" s="49" t="n"/>
      <c r="O106" s="49" t="n"/>
      <c r="P106" s="49" t="n"/>
      <c r="Q106" s="49" t="n"/>
      <c r="R106" s="50" t="n"/>
      <c r="S106" s="50" t="n"/>
    </row>
    <row r="107">
      <c r="B107" s="49" t="n"/>
      <c r="C107" s="49" t="n"/>
      <c r="D107" s="49" t="n"/>
      <c r="E107" s="49" t="n"/>
      <c r="F107" s="49" t="n"/>
      <c r="G107" s="49" t="n"/>
      <c r="H107" s="49" t="n"/>
      <c r="I107" s="49" t="n"/>
      <c r="J107" s="49" t="n"/>
      <c r="K107" s="49" t="n"/>
      <c r="L107" s="49" t="n"/>
      <c r="M107" s="49" t="n"/>
      <c r="N107" s="49" t="n"/>
      <c r="O107" s="49" t="n"/>
      <c r="P107" s="49" t="n"/>
      <c r="Q107" s="49" t="n"/>
      <c r="R107" s="50" t="n"/>
      <c r="S107" s="50" t="n"/>
    </row>
    <row r="108">
      <c r="B108" s="49" t="n"/>
      <c r="C108" s="49" t="n"/>
      <c r="D108" s="49" t="n"/>
      <c r="E108" s="49" t="n"/>
      <c r="F108" s="49" t="n"/>
      <c r="G108" s="49" t="n"/>
      <c r="H108" s="49" t="n"/>
      <c r="I108" s="49" t="n"/>
      <c r="J108" s="49" t="n"/>
      <c r="K108" s="49" t="n"/>
      <c r="L108" s="49" t="n"/>
      <c r="M108" s="49" t="n"/>
      <c r="N108" s="49" t="n"/>
      <c r="O108" s="49" t="n"/>
      <c r="P108" s="49" t="n"/>
      <c r="Q108" s="49" t="n"/>
      <c r="R108" s="50" t="n"/>
      <c r="S108" s="50" t="n"/>
    </row>
    <row r="109">
      <c r="B109" s="49" t="n"/>
      <c r="C109" s="49" t="n"/>
      <c r="D109" s="49" t="n"/>
      <c r="E109" s="49" t="n"/>
      <c r="F109" s="49" t="n"/>
      <c r="G109" s="49" t="n"/>
      <c r="H109" s="49" t="n"/>
      <c r="I109" s="49" t="n"/>
      <c r="J109" s="49" t="n"/>
      <c r="K109" s="49" t="n"/>
      <c r="L109" s="49" t="n"/>
      <c r="M109" s="49" t="n"/>
      <c r="N109" s="49" t="n"/>
      <c r="O109" s="49" t="n"/>
      <c r="P109" s="49" t="n"/>
      <c r="Q109" s="49" t="n"/>
      <c r="R109" s="50" t="n"/>
      <c r="S109" s="50" t="n"/>
    </row>
    <row r="110">
      <c r="B110" s="49" t="n"/>
      <c r="C110" s="49" t="n"/>
      <c r="D110" s="49" t="n"/>
      <c r="E110" s="49" t="n"/>
      <c r="F110" s="49" t="n"/>
      <c r="G110" s="49" t="n"/>
      <c r="H110" s="49" t="n"/>
      <c r="I110" s="49" t="n"/>
      <c r="J110" s="49" t="n"/>
      <c r="K110" s="49" t="n"/>
      <c r="L110" s="49" t="n"/>
      <c r="M110" s="49" t="n"/>
      <c r="N110" s="49" t="n"/>
      <c r="O110" s="49" t="n"/>
      <c r="P110" s="49" t="n"/>
      <c r="Q110" s="49" t="n"/>
      <c r="R110" s="50" t="n"/>
      <c r="S110" s="50" t="n"/>
    </row>
    <row r="111">
      <c r="B111" s="49" t="n"/>
      <c r="C111" s="49" t="n"/>
      <c r="D111" s="49" t="n"/>
      <c r="E111" s="49" t="n"/>
      <c r="F111" s="49" t="n"/>
      <c r="G111" s="49" t="n"/>
      <c r="H111" s="49" t="n"/>
      <c r="I111" s="49" t="n"/>
      <c r="J111" s="49" t="n"/>
      <c r="K111" s="49" t="n"/>
      <c r="L111" s="49" t="n"/>
      <c r="M111" s="49" t="n"/>
      <c r="N111" s="49" t="n"/>
      <c r="O111" s="49" t="n"/>
      <c r="P111" s="49" t="n"/>
      <c r="Q111" s="49" t="n"/>
      <c r="R111" s="50" t="n"/>
      <c r="S111" s="50" t="n"/>
    </row>
    <row r="112">
      <c r="B112" s="49" t="n"/>
      <c r="C112" s="49" t="n"/>
      <c r="D112" s="49" t="n"/>
      <c r="E112" s="49" t="n"/>
      <c r="F112" s="49" t="n"/>
      <c r="G112" s="49" t="n"/>
      <c r="H112" s="49" t="n"/>
      <c r="I112" s="49" t="n"/>
      <c r="J112" s="49" t="n"/>
      <c r="K112" s="49" t="n"/>
      <c r="L112" s="49" t="n"/>
      <c r="M112" s="49" t="n"/>
      <c r="N112" s="49" t="n"/>
      <c r="O112" s="49" t="n"/>
      <c r="P112" s="49" t="n"/>
      <c r="Q112" s="49" t="n"/>
      <c r="R112" s="50" t="n"/>
      <c r="S112" s="50" t="n"/>
    </row>
    <row r="113">
      <c r="B113" s="49" t="n"/>
      <c r="C113" s="49" t="n"/>
      <c r="D113" s="49" t="n"/>
      <c r="E113" s="49" t="n"/>
      <c r="F113" s="49" t="n"/>
      <c r="G113" s="49" t="n"/>
      <c r="H113" s="49" t="n"/>
      <c r="I113" s="49" t="n"/>
      <c r="J113" s="49" t="n"/>
      <c r="K113" s="49" t="n"/>
      <c r="L113" s="49" t="n"/>
      <c r="M113" s="49" t="n"/>
      <c r="N113" s="49" t="n"/>
      <c r="O113" s="49" t="n"/>
      <c r="P113" s="49" t="n"/>
      <c r="Q113" s="49" t="n"/>
      <c r="R113" s="50" t="n"/>
      <c r="S113" s="50" t="n"/>
    </row>
    <row r="114">
      <c r="B114" s="49" t="n"/>
      <c r="C114" s="49" t="n"/>
      <c r="D114" s="49" t="n"/>
      <c r="E114" s="49" t="n"/>
      <c r="F114" s="49" t="n"/>
      <c r="G114" s="49" t="n"/>
      <c r="H114" s="49" t="n"/>
      <c r="I114" s="49" t="n"/>
      <c r="J114" s="49" t="n"/>
      <c r="K114" s="49" t="n"/>
      <c r="L114" s="49" t="n"/>
      <c r="M114" s="49" t="n"/>
      <c r="N114" s="49" t="n"/>
      <c r="O114" s="49" t="n"/>
      <c r="P114" s="49" t="n"/>
      <c r="Q114" s="49" t="n"/>
      <c r="R114" s="50" t="n"/>
      <c r="S114" s="50" t="n"/>
    </row>
    <row r="115">
      <c r="B115" s="49" t="n"/>
      <c r="C115" s="49" t="n"/>
      <c r="D115" s="49" t="n"/>
      <c r="E115" s="49" t="n"/>
      <c r="F115" s="49" t="n"/>
      <c r="G115" s="49" t="n"/>
      <c r="H115" s="49" t="n"/>
      <c r="I115" s="49" t="n"/>
      <c r="J115" s="49" t="n"/>
      <c r="K115" s="49" t="n"/>
      <c r="L115" s="49" t="n"/>
      <c r="M115" s="49" t="n"/>
      <c r="N115" s="49" t="n"/>
      <c r="O115" s="49" t="n"/>
      <c r="P115" s="49" t="n"/>
      <c r="Q115" s="49" t="n"/>
      <c r="R115" s="50" t="n"/>
      <c r="S115" s="50" t="n"/>
    </row>
    <row r="116">
      <c r="B116" s="49" t="n"/>
      <c r="C116" s="49" t="n"/>
      <c r="D116" s="49" t="n"/>
      <c r="E116" s="49" t="n"/>
      <c r="F116" s="49" t="n"/>
      <c r="G116" s="49" t="n"/>
      <c r="H116" s="49" t="n"/>
      <c r="I116" s="49" t="n"/>
      <c r="J116" s="49" t="n"/>
      <c r="K116" s="49" t="n"/>
      <c r="L116" s="49" t="n"/>
      <c r="M116" s="49" t="n"/>
      <c r="N116" s="49" t="n"/>
      <c r="O116" s="49" t="n"/>
      <c r="P116" s="49" t="n"/>
      <c r="Q116" s="49" t="n"/>
      <c r="R116" s="50" t="n"/>
      <c r="S116" s="50" t="n"/>
    </row>
    <row r="117">
      <c r="B117" s="49" t="n"/>
      <c r="C117" s="49" t="n"/>
      <c r="D117" s="49" t="n"/>
      <c r="E117" s="49" t="n"/>
      <c r="F117" s="49" t="n"/>
      <c r="G117" s="49" t="n"/>
      <c r="H117" s="49" t="n"/>
      <c r="I117" s="49" t="n"/>
      <c r="J117" s="49" t="n"/>
      <c r="K117" s="49" t="n"/>
      <c r="L117" s="49" t="n"/>
      <c r="M117" s="49" t="n"/>
      <c r="N117" s="49" t="n"/>
      <c r="O117" s="49" t="n"/>
      <c r="P117" s="49" t="n"/>
      <c r="Q117" s="49" t="n"/>
      <c r="R117" s="50" t="n"/>
      <c r="S117" s="50" t="n"/>
    </row>
    <row r="118">
      <c r="B118" s="49" t="n"/>
      <c r="C118" s="49" t="n"/>
      <c r="D118" s="49" t="n"/>
      <c r="E118" s="49" t="n"/>
      <c r="F118" s="49" t="n"/>
      <c r="G118" s="49" t="n"/>
      <c r="H118" s="49" t="n"/>
      <c r="I118" s="49" t="n"/>
      <c r="J118" s="49" t="n"/>
      <c r="K118" s="49" t="n"/>
      <c r="L118" s="49" t="n"/>
      <c r="M118" s="49" t="n"/>
      <c r="N118" s="49" t="n"/>
      <c r="O118" s="49" t="n"/>
      <c r="P118" s="49" t="n"/>
      <c r="Q118" s="49" t="n"/>
      <c r="R118" s="50" t="n"/>
      <c r="S118" s="50" t="n"/>
    </row>
    <row r="119">
      <c r="B119" s="49" t="n"/>
      <c r="C119" s="49" t="n"/>
      <c r="D119" s="49" t="n"/>
      <c r="E119" s="49" t="n"/>
      <c r="F119" s="49" t="n"/>
      <c r="G119" s="49" t="n"/>
      <c r="H119" s="49" t="n"/>
      <c r="I119" s="49" t="n"/>
      <c r="J119" s="49" t="n"/>
      <c r="K119" s="49" t="n"/>
      <c r="L119" s="49" t="n"/>
      <c r="M119" s="49" t="n"/>
      <c r="N119" s="49" t="n"/>
      <c r="O119" s="49" t="n"/>
      <c r="P119" s="49" t="n"/>
      <c r="Q119" s="49" t="n"/>
      <c r="R119" s="50" t="n"/>
      <c r="S119" s="50" t="n"/>
    </row>
    <row r="120">
      <c r="B120" s="49" t="n"/>
      <c r="C120" s="49" t="n"/>
      <c r="D120" s="49" t="n"/>
      <c r="E120" s="49" t="n"/>
      <c r="F120" s="49" t="n"/>
      <c r="G120" s="49" t="n"/>
      <c r="H120" s="49" t="n"/>
      <c r="I120" s="49" t="n"/>
      <c r="J120" s="49" t="n"/>
      <c r="K120" s="49" t="n"/>
      <c r="L120" s="49" t="n"/>
      <c r="M120" s="49" t="n"/>
      <c r="N120" s="49" t="n"/>
      <c r="O120" s="49" t="n"/>
      <c r="P120" s="49" t="n"/>
      <c r="Q120" s="49" t="n"/>
      <c r="R120" s="50" t="n"/>
      <c r="S120" s="50" t="n"/>
    </row>
    <row r="121">
      <c r="B121" s="49" t="n"/>
      <c r="C121" s="49" t="n"/>
      <c r="D121" s="49" t="n"/>
      <c r="E121" s="49" t="n"/>
      <c r="F121" s="49" t="n"/>
      <c r="G121" s="49" t="n"/>
      <c r="H121" s="49" t="n"/>
      <c r="I121" s="49" t="n"/>
      <c r="J121" s="49" t="n"/>
      <c r="K121" s="49" t="n"/>
      <c r="L121" s="49" t="n"/>
      <c r="M121" s="49" t="n"/>
      <c r="N121" s="49" t="n"/>
      <c r="O121" s="49" t="n"/>
      <c r="P121" s="49" t="n"/>
      <c r="Q121" s="49" t="n"/>
      <c r="R121" s="50" t="n"/>
      <c r="S121" s="50" t="n"/>
    </row>
    <row r="122">
      <c r="B122" s="49" t="n"/>
      <c r="C122" s="49" t="n"/>
      <c r="D122" s="49" t="n"/>
      <c r="E122" s="49" t="n"/>
      <c r="F122" s="49" t="n"/>
      <c r="G122" s="49" t="n"/>
      <c r="H122" s="49" t="n"/>
      <c r="I122" s="49" t="n"/>
      <c r="J122" s="49" t="n"/>
      <c r="K122" s="49" t="n"/>
      <c r="L122" s="49" t="n"/>
      <c r="M122" s="49" t="n"/>
      <c r="N122" s="49" t="n"/>
      <c r="O122" s="49" t="n"/>
      <c r="P122" s="49" t="n"/>
      <c r="Q122" s="49" t="n"/>
      <c r="R122" s="50" t="n"/>
      <c r="S122" s="50" t="n"/>
    </row>
    <row r="123">
      <c r="B123" s="49" t="n"/>
      <c r="C123" s="49" t="n"/>
      <c r="D123" s="49" t="n"/>
      <c r="E123" s="49" t="n"/>
      <c r="F123" s="49" t="n"/>
      <c r="G123" s="49" t="n"/>
      <c r="H123" s="49" t="n"/>
      <c r="I123" s="49" t="n"/>
      <c r="J123" s="49" t="n"/>
      <c r="K123" s="49" t="n"/>
      <c r="L123" s="49" t="n"/>
      <c r="M123" s="49" t="n"/>
      <c r="N123" s="49" t="n"/>
      <c r="O123" s="49" t="n"/>
      <c r="P123" s="49" t="n"/>
      <c r="Q123" s="49" t="n"/>
      <c r="R123" s="50" t="n"/>
      <c r="S123" s="50" t="n"/>
    </row>
    <row r="124">
      <c r="B124" s="49" t="n"/>
      <c r="C124" s="49" t="n"/>
      <c r="D124" s="49" t="n"/>
      <c r="E124" s="49" t="n"/>
      <c r="F124" s="49" t="n"/>
      <c r="G124" s="49" t="n"/>
      <c r="H124" s="49" t="n"/>
      <c r="I124" s="49" t="n"/>
      <c r="J124" s="49" t="n"/>
      <c r="K124" s="49" t="n"/>
      <c r="L124" s="49" t="n"/>
      <c r="M124" s="49" t="n"/>
      <c r="N124" s="49" t="n"/>
      <c r="O124" s="49" t="n"/>
      <c r="P124" s="49" t="n"/>
      <c r="Q124" s="49" t="n"/>
      <c r="R124" s="50" t="n"/>
      <c r="S124" s="50" t="n"/>
    </row>
    <row r="125">
      <c r="B125" s="49" t="n"/>
      <c r="C125" s="49" t="n"/>
      <c r="D125" s="49" t="n"/>
      <c r="E125" s="49" t="n"/>
      <c r="F125" s="49" t="n"/>
      <c r="G125" s="49" t="n"/>
      <c r="H125" s="49" t="n"/>
      <c r="I125" s="49" t="n"/>
      <c r="J125" s="49" t="n"/>
      <c r="K125" s="49" t="n"/>
      <c r="L125" s="49" t="n"/>
      <c r="M125" s="49" t="n"/>
      <c r="N125" s="49" t="n"/>
      <c r="O125" s="49" t="n"/>
      <c r="P125" s="49" t="n"/>
      <c r="Q125" s="49" t="n"/>
      <c r="R125" s="50" t="n"/>
      <c r="S125" s="50" t="n"/>
    </row>
    <row r="126">
      <c r="B126" s="49" t="n"/>
      <c r="C126" s="49" t="n"/>
      <c r="D126" s="49" t="n"/>
      <c r="E126" s="49" t="n"/>
      <c r="F126" s="49" t="n"/>
      <c r="G126" s="49" t="n"/>
      <c r="H126" s="49" t="n"/>
      <c r="I126" s="49" t="n"/>
      <c r="J126" s="49" t="n"/>
      <c r="K126" s="49" t="n"/>
      <c r="L126" s="49" t="n"/>
      <c r="M126" s="49" t="n"/>
      <c r="N126" s="49" t="n"/>
      <c r="O126" s="49" t="n"/>
      <c r="P126" s="49" t="n"/>
      <c r="Q126" s="49" t="n"/>
      <c r="R126" s="50" t="n"/>
      <c r="S126" s="50" t="n"/>
    </row>
    <row r="127">
      <c r="B127" s="49" t="n"/>
      <c r="C127" s="49" t="n"/>
      <c r="D127" s="49" t="n"/>
      <c r="E127" s="49" t="n"/>
      <c r="F127" s="49" t="n"/>
      <c r="G127" s="49" t="n"/>
      <c r="H127" s="49" t="n"/>
      <c r="I127" s="49" t="n"/>
      <c r="J127" s="49" t="n"/>
      <c r="K127" s="49" t="n"/>
      <c r="L127" s="49" t="n"/>
      <c r="M127" s="49" t="n"/>
      <c r="N127" s="49" t="n"/>
      <c r="O127" s="49" t="n"/>
      <c r="P127" s="49" t="n"/>
      <c r="Q127" s="49" t="n"/>
      <c r="R127" s="50" t="n"/>
      <c r="S127" s="50" t="n"/>
    </row>
    <row r="128">
      <c r="B128" s="49" t="n"/>
      <c r="C128" s="49" t="n"/>
      <c r="D128" s="49" t="n"/>
      <c r="E128" s="49" t="n"/>
      <c r="F128" s="49" t="n"/>
      <c r="G128" s="49" t="n"/>
      <c r="H128" s="49" t="n"/>
      <c r="I128" s="49" t="n"/>
      <c r="J128" s="49" t="n"/>
      <c r="K128" s="49" t="n"/>
      <c r="L128" s="49" t="n"/>
      <c r="M128" s="49" t="n"/>
      <c r="N128" s="49" t="n"/>
      <c r="O128" s="49" t="n"/>
      <c r="P128" s="49" t="n"/>
      <c r="Q128" s="49" t="n"/>
      <c r="R128" s="50" t="n"/>
      <c r="S128" s="50" t="n"/>
    </row>
    <row r="129">
      <c r="B129" s="49" t="n"/>
      <c r="C129" s="49" t="n"/>
      <c r="D129" s="49" t="n"/>
      <c r="E129" s="49" t="n"/>
      <c r="F129" s="49" t="n"/>
      <c r="G129" s="49" t="n"/>
      <c r="H129" s="49" t="n"/>
      <c r="I129" s="49" t="n"/>
      <c r="J129" s="49" t="n"/>
      <c r="K129" s="49" t="n"/>
      <c r="L129" s="49" t="n"/>
      <c r="M129" s="49" t="n"/>
      <c r="N129" s="49" t="n"/>
      <c r="O129" s="49" t="n"/>
      <c r="P129" s="49" t="n"/>
      <c r="Q129" s="49" t="n"/>
      <c r="R129" s="50" t="n"/>
      <c r="S129" s="50" t="n"/>
    </row>
    <row r="130">
      <c r="B130" s="49" t="n"/>
      <c r="C130" s="49" t="n"/>
      <c r="D130" s="49" t="n"/>
      <c r="E130" s="49" t="n"/>
      <c r="F130" s="49" t="n"/>
      <c r="G130" s="49" t="n"/>
      <c r="H130" s="49" t="n"/>
      <c r="I130" s="49" t="n"/>
      <c r="J130" s="49" t="n"/>
      <c r="K130" s="49" t="n"/>
      <c r="L130" s="49" t="n"/>
      <c r="M130" s="49" t="n"/>
      <c r="N130" s="49" t="n"/>
      <c r="O130" s="49" t="n"/>
      <c r="P130" s="49" t="n"/>
      <c r="Q130" s="49" t="n"/>
      <c r="R130" s="50" t="n"/>
      <c r="S130" s="50" t="n"/>
    </row>
    <row r="131">
      <c r="B131" s="49" t="n"/>
      <c r="C131" s="49" t="n"/>
      <c r="D131" s="49" t="n"/>
      <c r="E131" s="49" t="n"/>
      <c r="F131" s="49" t="n"/>
      <c r="G131" s="49" t="n"/>
      <c r="H131" s="49" t="n"/>
      <c r="I131" s="49" t="n"/>
      <c r="J131" s="49" t="n"/>
      <c r="K131" s="49" t="n"/>
      <c r="L131" s="49" t="n"/>
      <c r="M131" s="49" t="n"/>
      <c r="N131" s="49" t="n"/>
      <c r="O131" s="49" t="n"/>
      <c r="P131" s="49" t="n"/>
      <c r="Q131" s="49" t="n"/>
      <c r="R131" s="50" t="n"/>
      <c r="S131" s="50" t="n"/>
    </row>
    <row r="132">
      <c r="B132" s="49" t="n"/>
      <c r="C132" s="49" t="n"/>
      <c r="D132" s="49" t="n"/>
      <c r="E132" s="49" t="n"/>
      <c r="F132" s="49" t="n"/>
      <c r="G132" s="49" t="n"/>
      <c r="H132" s="49" t="n"/>
      <c r="I132" s="49" t="n"/>
      <c r="J132" s="49" t="n"/>
      <c r="K132" s="49" t="n"/>
      <c r="L132" s="49" t="n"/>
      <c r="M132" s="49" t="n"/>
      <c r="N132" s="49" t="n"/>
      <c r="O132" s="49" t="n"/>
      <c r="P132" s="49" t="n"/>
      <c r="Q132" s="49" t="n"/>
      <c r="R132" s="50" t="n"/>
      <c r="S132" s="50" t="n"/>
    </row>
    <row r="133">
      <c r="B133" s="49" t="n"/>
      <c r="C133" s="49" t="n"/>
      <c r="D133" s="49" t="n"/>
      <c r="E133" s="49" t="n"/>
      <c r="F133" s="49" t="n"/>
      <c r="G133" s="49" t="n"/>
      <c r="H133" s="49" t="n"/>
      <c r="I133" s="49" t="n"/>
      <c r="J133" s="49" t="n"/>
      <c r="K133" s="49" t="n"/>
      <c r="L133" s="49" t="n"/>
      <c r="M133" s="49" t="n"/>
      <c r="N133" s="49" t="n"/>
      <c r="O133" s="49" t="n"/>
      <c r="P133" s="49" t="n"/>
      <c r="Q133" s="49" t="n"/>
      <c r="R133" s="50" t="n"/>
      <c r="S133" s="50" t="n"/>
    </row>
    <row r="134">
      <c r="B134" s="49" t="n"/>
      <c r="C134" s="49" t="n"/>
      <c r="D134" s="49" t="n"/>
      <c r="E134" s="49" t="n"/>
      <c r="F134" s="49" t="n"/>
      <c r="G134" s="49" t="n"/>
      <c r="H134" s="49" t="n"/>
      <c r="I134" s="49" t="n"/>
      <c r="J134" s="49" t="n"/>
      <c r="K134" s="49" t="n"/>
      <c r="L134" s="49" t="n"/>
      <c r="M134" s="49" t="n"/>
      <c r="N134" s="49" t="n"/>
      <c r="O134" s="49" t="n"/>
      <c r="P134" s="49" t="n"/>
      <c r="Q134" s="49" t="n"/>
      <c r="R134" s="50" t="n"/>
      <c r="S134" s="50" t="n"/>
    </row>
    <row r="135">
      <c r="B135" s="49" t="n"/>
      <c r="C135" s="49" t="n"/>
      <c r="D135" s="49" t="n"/>
      <c r="E135" s="49" t="n"/>
      <c r="F135" s="49" t="n"/>
      <c r="G135" s="49" t="n"/>
      <c r="H135" s="49" t="n"/>
      <c r="I135" s="49" t="n"/>
      <c r="J135" s="49" t="n"/>
      <c r="K135" s="49" t="n"/>
      <c r="L135" s="49" t="n"/>
      <c r="M135" s="49" t="n"/>
      <c r="N135" s="49" t="n"/>
      <c r="O135" s="49" t="n"/>
      <c r="P135" s="49" t="n"/>
      <c r="Q135" s="49" t="n"/>
      <c r="R135" s="50" t="n"/>
      <c r="S135" s="50" t="n"/>
    </row>
    <row r="136">
      <c r="B136" s="49" t="n"/>
      <c r="C136" s="49" t="n"/>
      <c r="D136" s="49" t="n"/>
      <c r="E136" s="49" t="n"/>
      <c r="F136" s="49" t="n"/>
      <c r="G136" s="49" t="n"/>
      <c r="H136" s="49" t="n"/>
      <c r="I136" s="49" t="n"/>
      <c r="J136" s="49" t="n"/>
      <c r="K136" s="49" t="n"/>
      <c r="L136" s="49" t="n"/>
      <c r="M136" s="49" t="n"/>
      <c r="N136" s="49" t="n"/>
      <c r="O136" s="49" t="n"/>
      <c r="P136" s="49" t="n"/>
      <c r="Q136" s="49" t="n"/>
      <c r="R136" s="50" t="n"/>
      <c r="S136" s="50" t="n"/>
    </row>
    <row r="137">
      <c r="B137" s="49" t="n"/>
      <c r="C137" s="49" t="n"/>
      <c r="D137" s="49" t="n"/>
      <c r="E137" s="49" t="n"/>
      <c r="F137" s="49" t="n"/>
      <c r="G137" s="49" t="n"/>
      <c r="H137" s="49" t="n"/>
      <c r="I137" s="49" t="n"/>
      <c r="J137" s="49" t="n"/>
      <c r="K137" s="49" t="n"/>
      <c r="L137" s="49" t="n"/>
      <c r="M137" s="49" t="n"/>
      <c r="N137" s="49" t="n"/>
      <c r="O137" s="49" t="n"/>
      <c r="P137" s="49" t="n"/>
      <c r="Q137" s="49" t="n"/>
      <c r="R137" s="50" t="n"/>
      <c r="S137" s="50" t="n"/>
    </row>
    <row r="138">
      <c r="B138" s="49" t="n"/>
      <c r="C138" s="49" t="n"/>
      <c r="D138" s="49" t="n"/>
      <c r="E138" s="49" t="n"/>
      <c r="F138" s="49" t="n"/>
      <c r="G138" s="49" t="n"/>
      <c r="H138" s="49" t="n"/>
      <c r="I138" s="49" t="n"/>
      <c r="J138" s="49" t="n"/>
      <c r="K138" s="49" t="n"/>
      <c r="L138" s="49" t="n"/>
      <c r="M138" s="49" t="n"/>
      <c r="N138" s="49" t="n"/>
      <c r="O138" s="49" t="n"/>
      <c r="P138" s="49" t="n"/>
      <c r="Q138" s="49" t="n"/>
      <c r="R138" s="50" t="n"/>
      <c r="S138" s="50" t="n"/>
    </row>
    <row r="139">
      <c r="B139" s="49" t="n"/>
      <c r="C139" s="49" t="n"/>
      <c r="D139" s="49" t="n"/>
      <c r="E139" s="49" t="n"/>
      <c r="F139" s="49" t="n"/>
      <c r="G139" s="49" t="n"/>
      <c r="H139" s="49" t="n"/>
      <c r="I139" s="49" t="n"/>
      <c r="J139" s="49" t="n"/>
      <c r="K139" s="49" t="n"/>
      <c r="L139" s="49" t="n"/>
      <c r="M139" s="49" t="n"/>
      <c r="N139" s="49" t="n"/>
      <c r="O139" s="49" t="n"/>
      <c r="P139" s="49" t="n"/>
      <c r="Q139" s="49" t="n"/>
      <c r="R139" s="50" t="n"/>
      <c r="S139" s="50" t="n"/>
    </row>
    <row r="140">
      <c r="B140" s="49" t="n"/>
      <c r="C140" s="49" t="n"/>
      <c r="D140" s="49" t="n"/>
      <c r="E140" s="49" t="n"/>
      <c r="F140" s="49" t="n"/>
      <c r="G140" s="49" t="n"/>
      <c r="H140" s="49" t="n"/>
      <c r="I140" s="49" t="n"/>
      <c r="J140" s="49" t="n"/>
      <c r="K140" s="49" t="n"/>
      <c r="L140" s="49" t="n"/>
      <c r="M140" s="49" t="n"/>
      <c r="N140" s="49" t="n"/>
      <c r="O140" s="49" t="n"/>
      <c r="P140" s="49" t="n"/>
      <c r="Q140" s="49" t="n"/>
      <c r="R140" s="50" t="n"/>
      <c r="S140" s="50" t="n"/>
    </row>
    <row r="141">
      <c r="B141" s="49" t="n"/>
      <c r="C141" s="49" t="n"/>
      <c r="D141" s="49" t="n"/>
      <c r="E141" s="49" t="n"/>
      <c r="F141" s="49" t="n"/>
      <c r="G141" s="49" t="n"/>
      <c r="H141" s="49" t="n"/>
      <c r="I141" s="49" t="n"/>
      <c r="J141" s="49" t="n"/>
      <c r="K141" s="49" t="n"/>
      <c r="L141" s="49" t="n"/>
      <c r="M141" s="49" t="n"/>
      <c r="N141" s="49" t="n"/>
      <c r="O141" s="49" t="n"/>
      <c r="P141" s="49" t="n"/>
      <c r="Q141" s="49" t="n"/>
      <c r="R141" s="50" t="n"/>
      <c r="S141" s="50" t="n"/>
    </row>
    <row r="142">
      <c r="B142" s="49" t="n"/>
      <c r="C142" s="49" t="n"/>
      <c r="D142" s="49" t="n"/>
      <c r="E142" s="49" t="n"/>
      <c r="F142" s="49" t="n"/>
      <c r="G142" s="49" t="n"/>
      <c r="H142" s="49" t="n"/>
      <c r="I142" s="49" t="n"/>
      <c r="J142" s="49" t="n"/>
      <c r="K142" s="49" t="n"/>
      <c r="L142" s="49" t="n"/>
      <c r="M142" s="49" t="n"/>
      <c r="N142" s="49" t="n"/>
      <c r="O142" s="49" t="n"/>
      <c r="P142" s="49" t="n"/>
      <c r="Q142" s="49" t="n"/>
      <c r="R142" s="50" t="n"/>
      <c r="S142" s="50" t="n"/>
    </row>
    <row r="143">
      <c r="B143" s="49" t="n"/>
      <c r="C143" s="49" t="n"/>
      <c r="D143" s="49" t="n"/>
      <c r="E143" s="49" t="n"/>
      <c r="F143" s="49" t="n"/>
      <c r="G143" s="49" t="n"/>
      <c r="H143" s="49" t="n"/>
      <c r="I143" s="49" t="n"/>
      <c r="J143" s="49" t="n"/>
      <c r="K143" s="49" t="n"/>
      <c r="L143" s="49" t="n"/>
      <c r="M143" s="49" t="n"/>
      <c r="N143" s="49" t="n"/>
      <c r="O143" s="49" t="n"/>
      <c r="P143" s="49" t="n"/>
      <c r="Q143" s="49" t="n"/>
      <c r="R143" s="50" t="n"/>
      <c r="S143" s="50" t="n"/>
    </row>
    <row r="144">
      <c r="B144" s="49" t="n"/>
      <c r="C144" s="49" t="n"/>
      <c r="D144" s="49" t="n"/>
      <c r="E144" s="49" t="n"/>
      <c r="F144" s="49" t="n"/>
      <c r="G144" s="49" t="n"/>
      <c r="H144" s="49" t="n"/>
      <c r="I144" s="49" t="n"/>
      <c r="J144" s="49" t="n"/>
      <c r="K144" s="49" t="n"/>
      <c r="L144" s="49" t="n"/>
      <c r="M144" s="49" t="n"/>
      <c r="N144" s="49" t="n"/>
      <c r="O144" s="49" t="n"/>
      <c r="P144" s="49" t="n"/>
      <c r="Q144" s="49" t="n"/>
      <c r="R144" s="50" t="n"/>
      <c r="S144" s="50" t="n"/>
    </row>
    <row r="145">
      <c r="B145" s="49" t="n"/>
      <c r="C145" s="49" t="n"/>
      <c r="D145" s="49" t="n"/>
      <c r="E145" s="49" t="n"/>
      <c r="F145" s="49" t="n"/>
      <c r="G145" s="49" t="n"/>
      <c r="H145" s="49" t="n"/>
      <c r="I145" s="49" t="n"/>
      <c r="J145" s="49" t="n"/>
      <c r="K145" s="49" t="n"/>
      <c r="L145" s="49" t="n"/>
      <c r="M145" s="49" t="n"/>
      <c r="N145" s="49" t="n"/>
      <c r="O145" s="49" t="n"/>
      <c r="P145" s="49" t="n"/>
      <c r="Q145" s="49" t="n"/>
      <c r="R145" s="50" t="n"/>
      <c r="S145" s="50" t="n"/>
    </row>
    <row r="146">
      <c r="B146" s="49" t="n"/>
      <c r="C146" s="49" t="n"/>
      <c r="D146" s="49" t="n"/>
      <c r="E146" s="49" t="n"/>
      <c r="F146" s="49" t="n"/>
      <c r="G146" s="49" t="n"/>
      <c r="H146" s="49" t="n"/>
      <c r="I146" s="49" t="n"/>
      <c r="J146" s="49" t="n"/>
      <c r="K146" s="49" t="n"/>
      <c r="L146" s="49" t="n"/>
      <c r="M146" s="49" t="n"/>
      <c r="N146" s="49" t="n"/>
      <c r="O146" s="49" t="n"/>
      <c r="P146" s="49" t="n"/>
      <c r="Q146" s="49" t="n"/>
      <c r="R146" s="50" t="n"/>
      <c r="S146" s="50" t="n"/>
    </row>
    <row r="147">
      <c r="B147" s="49" t="n"/>
      <c r="C147" s="49" t="n"/>
      <c r="D147" s="49" t="n"/>
      <c r="E147" s="49" t="n"/>
      <c r="F147" s="49" t="n"/>
      <c r="G147" s="49" t="n"/>
      <c r="H147" s="49" t="n"/>
      <c r="I147" s="49" t="n"/>
      <c r="J147" s="49" t="n"/>
      <c r="K147" s="49" t="n"/>
      <c r="L147" s="49" t="n"/>
      <c r="M147" s="49" t="n"/>
      <c r="N147" s="49" t="n"/>
      <c r="O147" s="49" t="n"/>
      <c r="P147" s="49" t="n"/>
      <c r="Q147" s="49" t="n"/>
      <c r="R147" s="50" t="n"/>
      <c r="S147" s="50" t="n"/>
    </row>
    <row r="148">
      <c r="B148" s="49" t="n"/>
      <c r="C148" s="49" t="n"/>
      <c r="D148" s="49" t="n"/>
      <c r="E148" s="49" t="n"/>
      <c r="F148" s="49" t="n"/>
      <c r="G148" s="49" t="n"/>
      <c r="H148" s="49" t="n"/>
      <c r="I148" s="49" t="n"/>
      <c r="J148" s="49" t="n"/>
      <c r="K148" s="49" t="n"/>
      <c r="L148" s="49" t="n"/>
      <c r="M148" s="49" t="n"/>
      <c r="N148" s="49" t="n"/>
      <c r="O148" s="49" t="n"/>
      <c r="P148" s="49" t="n"/>
      <c r="Q148" s="49" t="n"/>
      <c r="R148" s="50" t="n"/>
      <c r="S148" s="50" t="n"/>
    </row>
    <row r="149">
      <c r="B149" s="49" t="n"/>
      <c r="C149" s="49" t="n"/>
      <c r="D149" s="49" t="n"/>
      <c r="E149" s="49" t="n"/>
      <c r="F149" s="49" t="n"/>
      <c r="G149" s="49" t="n"/>
      <c r="H149" s="49" t="n"/>
      <c r="I149" s="49" t="n"/>
      <c r="J149" s="49" t="n"/>
      <c r="K149" s="49" t="n"/>
      <c r="L149" s="49" t="n"/>
      <c r="M149" s="49" t="n"/>
      <c r="N149" s="49" t="n"/>
      <c r="O149" s="49" t="n"/>
      <c r="P149" s="49" t="n"/>
      <c r="Q149" s="49" t="n"/>
      <c r="R149" s="50" t="n"/>
      <c r="S149" s="50" t="n"/>
    </row>
    <row r="150">
      <c r="B150" s="49" t="n"/>
      <c r="C150" s="49" t="n"/>
      <c r="D150" s="49" t="n"/>
      <c r="E150" s="49" t="n"/>
      <c r="F150" s="49" t="n"/>
      <c r="G150" s="49" t="n"/>
      <c r="H150" s="49" t="n"/>
      <c r="I150" s="49" t="n"/>
      <c r="J150" s="49" t="n"/>
      <c r="K150" s="49" t="n"/>
      <c r="L150" s="49" t="n"/>
      <c r="M150" s="49" t="n"/>
      <c r="N150" s="49" t="n"/>
      <c r="O150" s="49" t="n"/>
      <c r="P150" s="49" t="n"/>
      <c r="Q150" s="49" t="n"/>
      <c r="R150" s="50" t="n"/>
      <c r="S150" s="50" t="n"/>
    </row>
    <row r="151">
      <c r="B151" s="49" t="n"/>
      <c r="C151" s="49" t="n"/>
      <c r="D151" s="49" t="n"/>
      <c r="E151" s="49" t="n"/>
      <c r="F151" s="49" t="n"/>
      <c r="G151" s="49" t="n"/>
      <c r="H151" s="49" t="n"/>
      <c r="I151" s="49" t="n"/>
      <c r="J151" s="49" t="n"/>
      <c r="K151" s="49" t="n"/>
      <c r="L151" s="49" t="n"/>
      <c r="M151" s="49" t="n"/>
      <c r="N151" s="49" t="n"/>
      <c r="O151" s="49" t="n"/>
      <c r="P151" s="49" t="n"/>
      <c r="Q151" s="49" t="n"/>
      <c r="R151" s="50" t="n"/>
      <c r="S151" s="50" t="n"/>
    </row>
    <row r="152">
      <c r="B152" s="49" t="n"/>
      <c r="C152" s="49" t="n"/>
      <c r="D152" s="49" t="n"/>
      <c r="E152" s="49" t="n"/>
      <c r="F152" s="49" t="n"/>
      <c r="G152" s="49" t="n"/>
      <c r="H152" s="49" t="n"/>
      <c r="I152" s="49" t="n"/>
      <c r="J152" s="49" t="n"/>
      <c r="K152" s="49" t="n"/>
      <c r="L152" s="49" t="n"/>
      <c r="M152" s="49" t="n"/>
      <c r="N152" s="49" t="n"/>
      <c r="O152" s="49" t="n"/>
      <c r="P152" s="49" t="n"/>
      <c r="Q152" s="49" t="n"/>
      <c r="R152" s="50" t="n"/>
      <c r="S152" s="50" t="n"/>
    </row>
    <row r="153">
      <c r="B153" s="49" t="n"/>
      <c r="C153" s="49" t="n"/>
      <c r="D153" s="49" t="n"/>
      <c r="E153" s="49" t="n"/>
      <c r="F153" s="49" t="n"/>
      <c r="G153" s="49" t="n"/>
      <c r="H153" s="49" t="n"/>
      <c r="I153" s="49" t="n"/>
      <c r="J153" s="49" t="n"/>
      <c r="K153" s="49" t="n"/>
      <c r="L153" s="49" t="n"/>
      <c r="M153" s="49" t="n"/>
      <c r="N153" s="49" t="n"/>
      <c r="O153" s="49" t="n"/>
      <c r="P153" s="49" t="n"/>
      <c r="Q153" s="49" t="n"/>
      <c r="R153" s="50" t="n"/>
      <c r="S153" s="50" t="n"/>
    </row>
    <row r="154">
      <c r="B154" s="49" t="n"/>
      <c r="C154" s="49" t="n"/>
      <c r="D154" s="49" t="n"/>
      <c r="E154" s="49" t="n"/>
      <c r="F154" s="49" t="n"/>
      <c r="G154" s="49" t="n"/>
      <c r="H154" s="49" t="n"/>
      <c r="I154" s="49" t="n"/>
      <c r="J154" s="49" t="n"/>
      <c r="K154" s="49" t="n"/>
      <c r="L154" s="49" t="n"/>
      <c r="M154" s="49" t="n"/>
      <c r="N154" s="49" t="n"/>
      <c r="O154" s="49" t="n"/>
      <c r="P154" s="49" t="n"/>
      <c r="Q154" s="49" t="n"/>
      <c r="R154" s="50" t="n"/>
      <c r="S154" s="50" t="n"/>
    </row>
    <row r="155">
      <c r="B155" s="49" t="n"/>
      <c r="C155" s="49" t="n"/>
      <c r="D155" s="49" t="n"/>
      <c r="E155" s="49" t="n"/>
      <c r="F155" s="49" t="n"/>
      <c r="G155" s="49" t="n"/>
      <c r="H155" s="49" t="n"/>
      <c r="I155" s="49" t="n"/>
      <c r="J155" s="49" t="n"/>
      <c r="K155" s="49" t="n"/>
      <c r="L155" s="49" t="n"/>
      <c r="M155" s="49" t="n"/>
      <c r="N155" s="49" t="n"/>
      <c r="O155" s="49" t="n"/>
      <c r="P155" s="49" t="n"/>
      <c r="Q155" s="49" t="n"/>
      <c r="R155" s="50" t="n"/>
      <c r="S155" s="50" t="n"/>
    </row>
    <row r="156">
      <c r="B156" s="49" t="n"/>
      <c r="C156" s="49" t="n"/>
      <c r="D156" s="49" t="n"/>
      <c r="E156" s="49" t="n"/>
      <c r="F156" s="49" t="n"/>
      <c r="G156" s="49" t="n"/>
      <c r="H156" s="49" t="n"/>
      <c r="I156" s="49" t="n"/>
      <c r="J156" s="49" t="n"/>
      <c r="K156" s="49" t="n"/>
      <c r="L156" s="49" t="n"/>
      <c r="M156" s="49" t="n"/>
      <c r="N156" s="49" t="n"/>
      <c r="O156" s="49" t="n"/>
      <c r="P156" s="49" t="n"/>
      <c r="Q156" s="49" t="n"/>
      <c r="R156" s="50" t="n"/>
      <c r="S156" s="50" t="n"/>
    </row>
    <row r="157">
      <c r="B157" s="49" t="n"/>
      <c r="C157" s="49" t="n"/>
      <c r="D157" s="49" t="n"/>
      <c r="E157" s="49" t="n"/>
      <c r="F157" s="49" t="n"/>
      <c r="G157" s="49" t="n"/>
      <c r="H157" s="49" t="n"/>
      <c r="I157" s="49" t="n"/>
      <c r="J157" s="49" t="n"/>
      <c r="K157" s="49" t="n"/>
      <c r="L157" s="49" t="n"/>
      <c r="M157" s="49" t="n"/>
      <c r="N157" s="49" t="n"/>
      <c r="O157" s="49" t="n"/>
      <c r="P157" s="49" t="n"/>
      <c r="Q157" s="49" t="n"/>
      <c r="R157" s="50" t="n"/>
      <c r="S157" s="50" t="n"/>
    </row>
    <row r="158">
      <c r="B158" s="49" t="n"/>
      <c r="C158" s="49" t="n"/>
      <c r="D158" s="49" t="n"/>
      <c r="E158" s="49" t="n"/>
      <c r="F158" s="49" t="n"/>
      <c r="G158" s="49" t="n"/>
      <c r="H158" s="49" t="n"/>
      <c r="I158" s="49" t="n"/>
      <c r="J158" s="49" t="n"/>
      <c r="K158" s="49" t="n"/>
      <c r="L158" s="49" t="n"/>
      <c r="M158" s="49" t="n"/>
      <c r="N158" s="49" t="n"/>
      <c r="O158" s="49" t="n"/>
      <c r="P158" s="49" t="n"/>
      <c r="Q158" s="49" t="n"/>
      <c r="R158" s="50" t="n"/>
      <c r="S158" s="50" t="n"/>
    </row>
    <row r="159">
      <c r="B159" s="49" t="n"/>
      <c r="C159" s="49" t="n"/>
      <c r="D159" s="49" t="n"/>
      <c r="E159" s="49" t="n"/>
      <c r="F159" s="49" t="n"/>
      <c r="G159" s="49" t="n"/>
      <c r="H159" s="49" t="n"/>
      <c r="I159" s="49" t="n"/>
      <c r="J159" s="49" t="n"/>
      <c r="K159" s="49" t="n"/>
      <c r="L159" s="49" t="n"/>
      <c r="M159" s="49" t="n"/>
      <c r="N159" s="49" t="n"/>
      <c r="O159" s="49" t="n"/>
      <c r="P159" s="49" t="n"/>
      <c r="Q159" s="49" t="n"/>
      <c r="R159" s="50" t="n"/>
      <c r="S159" s="50" t="n"/>
    </row>
    <row r="160">
      <c r="B160" s="49" t="n"/>
      <c r="C160" s="49" t="n"/>
      <c r="D160" s="49" t="n"/>
      <c r="E160" s="49" t="n"/>
      <c r="F160" s="49" t="n"/>
      <c r="G160" s="49" t="n"/>
      <c r="H160" s="49" t="n"/>
      <c r="I160" s="49" t="n"/>
      <c r="J160" s="49" t="n"/>
      <c r="K160" s="49" t="n"/>
      <c r="L160" s="49" t="n"/>
      <c r="M160" s="49" t="n"/>
      <c r="N160" s="49" t="n"/>
      <c r="O160" s="49" t="n"/>
      <c r="P160" s="49" t="n"/>
      <c r="Q160" s="49" t="n"/>
      <c r="R160" s="50" t="n"/>
      <c r="S160" s="50" t="n"/>
    </row>
    <row r="161">
      <c r="B161" s="49" t="n"/>
      <c r="C161" s="49" t="n"/>
      <c r="D161" s="49" t="n"/>
      <c r="E161" s="49" t="n"/>
      <c r="F161" s="49" t="n"/>
      <c r="G161" s="49" t="n"/>
      <c r="H161" s="49" t="n"/>
      <c r="I161" s="49" t="n"/>
      <c r="J161" s="49" t="n"/>
      <c r="K161" s="49" t="n"/>
      <c r="L161" s="49" t="n"/>
      <c r="M161" s="49" t="n"/>
      <c r="N161" s="49" t="n"/>
      <c r="O161" s="49" t="n"/>
      <c r="P161" s="49" t="n"/>
      <c r="Q161" s="49" t="n"/>
      <c r="R161" s="50" t="n"/>
      <c r="S161" s="50" t="n"/>
    </row>
    <row r="162">
      <c r="B162" s="49" t="n"/>
      <c r="C162" s="49" t="n"/>
      <c r="D162" s="49" t="n"/>
      <c r="E162" s="49" t="n"/>
      <c r="F162" s="49" t="n"/>
      <c r="G162" s="49" t="n"/>
      <c r="H162" s="49" t="n"/>
      <c r="I162" s="49" t="n"/>
      <c r="J162" s="49" t="n"/>
      <c r="K162" s="49" t="n"/>
      <c r="L162" s="49" t="n"/>
      <c r="M162" s="49" t="n"/>
      <c r="N162" s="49" t="n"/>
      <c r="O162" s="49" t="n"/>
      <c r="P162" s="49" t="n"/>
      <c r="Q162" s="49" t="n"/>
      <c r="R162" s="50" t="n"/>
      <c r="S162" s="50" t="n"/>
    </row>
    <row r="163">
      <c r="B163" s="49" t="n"/>
      <c r="C163" s="49" t="n"/>
      <c r="D163" s="49" t="n"/>
      <c r="E163" s="49" t="n"/>
      <c r="F163" s="49" t="n"/>
      <c r="G163" s="49" t="n"/>
      <c r="H163" s="49" t="n"/>
      <c r="I163" s="49" t="n"/>
      <c r="J163" s="49" t="n"/>
      <c r="K163" s="49" t="n"/>
      <c r="L163" s="49" t="n"/>
      <c r="M163" s="49" t="n"/>
      <c r="N163" s="49" t="n"/>
      <c r="O163" s="49" t="n"/>
      <c r="P163" s="49" t="n"/>
      <c r="Q163" s="49" t="n"/>
      <c r="R163" s="50" t="n"/>
      <c r="S163" s="50" t="n"/>
    </row>
    <row r="164">
      <c r="B164" s="49" t="n"/>
      <c r="C164" s="49" t="n"/>
      <c r="D164" s="49" t="n"/>
      <c r="E164" s="49" t="n"/>
      <c r="F164" s="49" t="n"/>
      <c r="G164" s="49" t="n"/>
      <c r="H164" s="49" t="n"/>
      <c r="I164" s="49" t="n"/>
      <c r="J164" s="49" t="n"/>
      <c r="K164" s="49" t="n"/>
      <c r="L164" s="49" t="n"/>
      <c r="M164" s="49" t="n"/>
      <c r="N164" s="49" t="n"/>
      <c r="O164" s="49" t="n"/>
      <c r="P164" s="49" t="n"/>
      <c r="Q164" s="49" t="n"/>
      <c r="R164" s="50" t="n"/>
      <c r="S164" s="50" t="n"/>
    </row>
    <row r="165">
      <c r="B165" s="49" t="n"/>
      <c r="C165" s="49" t="n"/>
      <c r="D165" s="49" t="n"/>
      <c r="E165" s="49" t="n"/>
      <c r="F165" s="49" t="n"/>
      <c r="G165" s="49" t="n"/>
      <c r="H165" s="49" t="n"/>
      <c r="I165" s="49" t="n"/>
      <c r="J165" s="49" t="n"/>
      <c r="K165" s="49" t="n"/>
      <c r="L165" s="49" t="n"/>
      <c r="M165" s="49" t="n"/>
      <c r="N165" s="49" t="n"/>
      <c r="O165" s="49" t="n"/>
      <c r="P165" s="49" t="n"/>
      <c r="Q165" s="49" t="n"/>
      <c r="R165" s="50" t="n"/>
      <c r="S165" s="50" t="n"/>
    </row>
    <row r="166">
      <c r="B166" s="49" t="n"/>
      <c r="C166" s="49" t="n"/>
      <c r="D166" s="49" t="n"/>
      <c r="E166" s="49" t="n"/>
      <c r="F166" s="49" t="n"/>
      <c r="G166" s="49" t="n"/>
      <c r="H166" s="49" t="n"/>
      <c r="I166" s="49" t="n"/>
      <c r="J166" s="49" t="n"/>
      <c r="K166" s="49" t="n"/>
      <c r="L166" s="49" t="n"/>
      <c r="M166" s="49" t="n"/>
      <c r="N166" s="49" t="n"/>
      <c r="O166" s="49" t="n"/>
      <c r="P166" s="49" t="n"/>
      <c r="Q166" s="49" t="n"/>
      <c r="R166" s="50" t="n"/>
      <c r="S166" s="50" t="n"/>
    </row>
    <row r="167">
      <c r="B167" s="49" t="n"/>
      <c r="C167" s="49" t="n"/>
      <c r="D167" s="49" t="n"/>
      <c r="E167" s="49" t="n"/>
      <c r="F167" s="49" t="n"/>
      <c r="G167" s="49" t="n"/>
      <c r="H167" s="49" t="n"/>
      <c r="I167" s="49" t="n"/>
      <c r="J167" s="49" t="n"/>
      <c r="K167" s="49" t="n"/>
      <c r="L167" s="49" t="n"/>
      <c r="M167" s="49" t="n"/>
      <c r="N167" s="49" t="n"/>
      <c r="O167" s="49" t="n"/>
      <c r="P167" s="49" t="n"/>
      <c r="Q167" s="49" t="n"/>
      <c r="R167" s="50" t="n"/>
      <c r="S167" s="50" t="n"/>
    </row>
    <row r="168">
      <c r="B168" s="49" t="n"/>
      <c r="C168" s="49" t="n"/>
      <c r="D168" s="49" t="n"/>
      <c r="E168" s="49" t="n"/>
      <c r="F168" s="49" t="n"/>
      <c r="G168" s="49" t="n"/>
      <c r="H168" s="49" t="n"/>
      <c r="I168" s="49" t="n"/>
      <c r="J168" s="49" t="n"/>
      <c r="K168" s="49" t="n"/>
      <c r="L168" s="49" t="n"/>
      <c r="M168" s="49" t="n"/>
      <c r="N168" s="49" t="n"/>
      <c r="O168" s="49" t="n"/>
      <c r="P168" s="49" t="n"/>
      <c r="Q168" s="49" t="n"/>
      <c r="R168" s="50" t="n"/>
      <c r="S168" s="50" t="n"/>
    </row>
    <row r="169">
      <c r="B169" s="49" t="n"/>
      <c r="C169" s="49" t="n"/>
      <c r="D169" s="49" t="n"/>
      <c r="E169" s="49" t="n"/>
      <c r="F169" s="49" t="n"/>
      <c r="G169" s="49" t="n"/>
      <c r="H169" s="49" t="n"/>
      <c r="I169" s="49" t="n"/>
      <c r="J169" s="49" t="n"/>
      <c r="K169" s="49" t="n"/>
      <c r="L169" s="49" t="n"/>
      <c r="M169" s="49" t="n"/>
      <c r="N169" s="49" t="n"/>
      <c r="O169" s="49" t="n"/>
      <c r="P169" s="49" t="n"/>
      <c r="Q169" s="49" t="n"/>
      <c r="R169" s="50" t="n"/>
      <c r="S169" s="50" t="n"/>
    </row>
    <row r="170">
      <c r="B170" s="49" t="n"/>
      <c r="C170" s="49" t="n"/>
      <c r="D170" s="49" t="n"/>
      <c r="E170" s="49" t="n"/>
      <c r="F170" s="49" t="n"/>
      <c r="G170" s="49" t="n"/>
      <c r="H170" s="49" t="n"/>
      <c r="I170" s="49" t="n"/>
      <c r="J170" s="49" t="n"/>
      <c r="K170" s="49" t="n"/>
      <c r="L170" s="49" t="n"/>
      <c r="M170" s="49" t="n"/>
      <c r="N170" s="49" t="n"/>
      <c r="O170" s="49" t="n"/>
      <c r="P170" s="49" t="n"/>
      <c r="Q170" s="49" t="n"/>
      <c r="R170" s="50" t="n"/>
      <c r="S170" s="50" t="n"/>
    </row>
    <row r="171">
      <c r="B171" s="49" t="n"/>
      <c r="C171" s="49" t="n"/>
      <c r="D171" s="49" t="n"/>
      <c r="E171" s="49" t="n"/>
      <c r="F171" s="49" t="n"/>
      <c r="G171" s="49" t="n"/>
      <c r="H171" s="49" t="n"/>
      <c r="I171" s="49" t="n"/>
      <c r="J171" s="49" t="n"/>
      <c r="K171" s="49" t="n"/>
      <c r="L171" s="49" t="n"/>
      <c r="M171" s="49" t="n"/>
      <c r="N171" s="49" t="n"/>
      <c r="O171" s="49" t="n"/>
      <c r="P171" s="49" t="n"/>
      <c r="Q171" s="49" t="n"/>
      <c r="R171" s="50" t="n"/>
      <c r="S171" s="50" t="n"/>
    </row>
    <row r="172">
      <c r="B172" s="49" t="n"/>
      <c r="C172" s="49" t="n"/>
      <c r="D172" s="49" t="n"/>
      <c r="E172" s="49" t="n"/>
      <c r="F172" s="49" t="n"/>
      <c r="G172" s="49" t="n"/>
      <c r="H172" s="49" t="n"/>
      <c r="I172" s="49" t="n"/>
      <c r="J172" s="49" t="n"/>
      <c r="K172" s="49" t="n"/>
      <c r="L172" s="49" t="n"/>
      <c r="M172" s="49" t="n"/>
      <c r="N172" s="49" t="n"/>
      <c r="O172" s="49" t="n"/>
      <c r="P172" s="49" t="n"/>
      <c r="Q172" s="49" t="n"/>
      <c r="R172" s="50" t="n"/>
      <c r="S172" s="50" t="n"/>
    </row>
    <row r="173">
      <c r="B173" s="49" t="n"/>
      <c r="C173" s="49" t="n"/>
      <c r="D173" s="49" t="n"/>
      <c r="E173" s="49" t="n"/>
      <c r="F173" s="49" t="n"/>
      <c r="G173" s="49" t="n"/>
      <c r="H173" s="49" t="n"/>
      <c r="I173" s="49" t="n"/>
      <c r="J173" s="49" t="n"/>
      <c r="K173" s="49" t="n"/>
      <c r="L173" s="49" t="n"/>
      <c r="M173" s="49" t="n"/>
      <c r="N173" s="49" t="n"/>
      <c r="O173" s="49" t="n"/>
      <c r="P173" s="49" t="n"/>
      <c r="Q173" s="49" t="n"/>
      <c r="R173" s="50" t="n"/>
      <c r="S173" s="50" t="n"/>
    </row>
    <row r="174">
      <c r="B174" s="49" t="n"/>
      <c r="C174" s="49" t="n"/>
      <c r="D174" s="49" t="n"/>
      <c r="E174" s="49" t="n"/>
      <c r="F174" s="49" t="n"/>
      <c r="G174" s="49" t="n"/>
      <c r="H174" s="49" t="n"/>
      <c r="I174" s="49" t="n"/>
      <c r="J174" s="49" t="n"/>
      <c r="K174" s="49" t="n"/>
      <c r="L174" s="49" t="n"/>
      <c r="M174" s="49" t="n"/>
      <c r="N174" s="49" t="n"/>
      <c r="O174" s="49" t="n"/>
      <c r="P174" s="49" t="n"/>
      <c r="Q174" s="49" t="n"/>
      <c r="R174" s="50" t="n"/>
      <c r="S174" s="50" t="n"/>
    </row>
    <row r="175">
      <c r="B175" s="49" t="n"/>
      <c r="C175" s="49" t="n"/>
      <c r="D175" s="49" t="n"/>
      <c r="E175" s="49" t="n"/>
      <c r="F175" s="49" t="n"/>
      <c r="G175" s="49" t="n"/>
      <c r="H175" s="49" t="n"/>
      <c r="I175" s="49" t="n"/>
      <c r="J175" s="49" t="n"/>
      <c r="K175" s="49" t="n"/>
      <c r="L175" s="49" t="n"/>
      <c r="M175" s="49" t="n"/>
      <c r="N175" s="49" t="n"/>
      <c r="O175" s="49" t="n"/>
      <c r="P175" s="49" t="n"/>
      <c r="Q175" s="49" t="n"/>
      <c r="R175" s="50" t="n"/>
      <c r="S175" s="50" t="n"/>
    </row>
    <row r="176">
      <c r="B176" s="49" t="n"/>
      <c r="C176" s="49" t="n"/>
      <c r="D176" s="49" t="n"/>
      <c r="E176" s="49" t="n"/>
      <c r="F176" s="49" t="n"/>
      <c r="G176" s="49" t="n"/>
      <c r="H176" s="49" t="n"/>
      <c r="I176" s="49" t="n"/>
      <c r="J176" s="49" t="n"/>
      <c r="K176" s="49" t="n"/>
      <c r="L176" s="49" t="n"/>
      <c r="M176" s="49" t="n"/>
      <c r="N176" s="49" t="n"/>
      <c r="O176" s="49" t="n"/>
      <c r="P176" s="49" t="n"/>
      <c r="Q176" s="49" t="n"/>
      <c r="R176" s="50" t="n"/>
      <c r="S176" s="50" t="n"/>
    </row>
    <row r="177">
      <c r="B177" s="49" t="n"/>
      <c r="C177" s="49" t="n"/>
      <c r="D177" s="49" t="n"/>
      <c r="E177" s="49" t="n"/>
      <c r="F177" s="49" t="n"/>
      <c r="G177" s="49" t="n"/>
      <c r="H177" s="49" t="n"/>
      <c r="I177" s="49" t="n"/>
      <c r="J177" s="49" t="n"/>
      <c r="K177" s="49" t="n"/>
      <c r="L177" s="49" t="n"/>
      <c r="M177" s="49" t="n"/>
      <c r="N177" s="49" t="n"/>
      <c r="O177" s="49" t="n"/>
      <c r="P177" s="49" t="n"/>
      <c r="Q177" s="49" t="n"/>
      <c r="R177" s="50" t="n"/>
      <c r="S177" s="50" t="n"/>
    </row>
    <row r="178">
      <c r="B178" s="49" t="n"/>
      <c r="C178" s="49" t="n"/>
      <c r="D178" s="49" t="n"/>
      <c r="E178" s="49" t="n"/>
      <c r="F178" s="49" t="n"/>
      <c r="G178" s="49" t="n"/>
      <c r="H178" s="49" t="n"/>
      <c r="I178" s="49" t="n"/>
      <c r="J178" s="49" t="n"/>
      <c r="K178" s="49" t="n"/>
      <c r="L178" s="49" t="n"/>
      <c r="M178" s="49" t="n"/>
      <c r="N178" s="49" t="n"/>
      <c r="O178" s="49" t="n"/>
      <c r="P178" s="49" t="n"/>
      <c r="Q178" s="49" t="n"/>
      <c r="R178" s="50" t="n"/>
      <c r="S178" s="50" t="n"/>
    </row>
    <row r="179">
      <c r="B179" s="49" t="n"/>
      <c r="C179" s="49" t="n"/>
      <c r="D179" s="49" t="n"/>
      <c r="E179" s="49" t="n"/>
      <c r="F179" s="49" t="n"/>
      <c r="G179" s="49" t="n"/>
      <c r="H179" s="49" t="n"/>
      <c r="I179" s="49" t="n"/>
      <c r="J179" s="49" t="n"/>
      <c r="K179" s="49" t="n"/>
      <c r="L179" s="49" t="n"/>
      <c r="M179" s="49" t="n"/>
      <c r="N179" s="49" t="n"/>
      <c r="O179" s="49" t="n"/>
      <c r="P179" s="49" t="n"/>
      <c r="Q179" s="49" t="n"/>
      <c r="R179" s="50" t="n"/>
      <c r="S179" s="50" t="n"/>
    </row>
    <row r="180">
      <c r="B180" s="49" t="n"/>
      <c r="C180" s="49" t="n"/>
      <c r="D180" s="49" t="n"/>
      <c r="E180" s="49" t="n"/>
      <c r="F180" s="49" t="n"/>
      <c r="G180" s="49" t="n"/>
      <c r="H180" s="49" t="n"/>
      <c r="I180" s="49" t="n"/>
      <c r="J180" s="49" t="n"/>
      <c r="K180" s="49" t="n"/>
      <c r="L180" s="49" t="n"/>
      <c r="M180" s="49" t="n"/>
      <c r="N180" s="49" t="n"/>
      <c r="O180" s="49" t="n"/>
      <c r="P180" s="49" t="n"/>
      <c r="Q180" s="49" t="n"/>
      <c r="R180" s="50" t="n"/>
      <c r="S180" s="50" t="n"/>
    </row>
    <row r="181">
      <c r="B181" s="49" t="n"/>
      <c r="C181" s="49" t="n"/>
      <c r="D181" s="49" t="n"/>
      <c r="E181" s="49" t="n"/>
      <c r="F181" s="49" t="n"/>
      <c r="G181" s="49" t="n"/>
      <c r="H181" s="49" t="n"/>
      <c r="I181" s="49" t="n"/>
      <c r="J181" s="49" t="n"/>
      <c r="K181" s="49" t="n"/>
      <c r="L181" s="49" t="n"/>
      <c r="M181" s="49" t="n"/>
      <c r="N181" s="49" t="n"/>
      <c r="O181" s="49" t="n"/>
      <c r="P181" s="49" t="n"/>
      <c r="Q181" s="49" t="n"/>
      <c r="R181" s="50" t="n"/>
      <c r="S181" s="50" t="n"/>
    </row>
    <row r="182">
      <c r="B182" s="49" t="n"/>
      <c r="C182" s="49" t="n"/>
      <c r="D182" s="49" t="n"/>
      <c r="E182" s="49" t="n"/>
      <c r="F182" s="49" t="n"/>
      <c r="G182" s="49" t="n"/>
      <c r="H182" s="49" t="n"/>
      <c r="I182" s="49" t="n"/>
      <c r="J182" s="49" t="n"/>
      <c r="K182" s="49" t="n"/>
      <c r="L182" s="49" t="n"/>
      <c r="M182" s="49" t="n"/>
      <c r="N182" s="49" t="n"/>
      <c r="O182" s="49" t="n"/>
      <c r="P182" s="49" t="n"/>
      <c r="Q182" s="49" t="n"/>
      <c r="R182" s="50" t="n"/>
      <c r="S182" s="50" t="n"/>
    </row>
    <row r="183">
      <c r="B183" s="49" t="n"/>
      <c r="C183" s="49" t="n"/>
      <c r="D183" s="49" t="n"/>
      <c r="E183" s="49" t="n"/>
      <c r="F183" s="49" t="n"/>
      <c r="G183" s="49" t="n"/>
      <c r="H183" s="49" t="n"/>
      <c r="I183" s="49" t="n"/>
      <c r="J183" s="49" t="n"/>
      <c r="K183" s="49" t="n"/>
      <c r="L183" s="49" t="n"/>
      <c r="M183" s="49" t="n"/>
      <c r="N183" s="49" t="n"/>
      <c r="O183" s="49" t="n"/>
      <c r="P183" s="49" t="n"/>
      <c r="Q183" s="49" t="n"/>
      <c r="R183" s="50" t="n"/>
      <c r="S183" s="50" t="n"/>
    </row>
    <row r="184">
      <c r="B184" s="49" t="n"/>
      <c r="C184" s="49" t="n"/>
      <c r="D184" s="49" t="n"/>
      <c r="E184" s="49" t="n"/>
      <c r="F184" s="49" t="n"/>
      <c r="G184" s="49" t="n"/>
      <c r="H184" s="49" t="n"/>
      <c r="I184" s="49" t="n"/>
      <c r="J184" s="49" t="n"/>
      <c r="K184" s="49" t="n"/>
      <c r="L184" s="49" t="n"/>
      <c r="M184" s="49" t="n"/>
      <c r="N184" s="49" t="n"/>
      <c r="O184" s="49" t="n"/>
      <c r="P184" s="49" t="n"/>
      <c r="Q184" s="49" t="n"/>
      <c r="R184" s="50" t="n"/>
      <c r="S184" s="50" t="n"/>
    </row>
    <row r="185">
      <c r="B185" s="49" t="n"/>
      <c r="C185" s="49" t="n"/>
      <c r="D185" s="49" t="n"/>
      <c r="E185" s="49" t="n"/>
      <c r="F185" s="49" t="n"/>
      <c r="G185" s="49" t="n"/>
      <c r="H185" s="49" t="n"/>
      <c r="I185" s="49" t="n"/>
      <c r="J185" s="49" t="n"/>
      <c r="K185" s="49" t="n"/>
      <c r="L185" s="49" t="n"/>
      <c r="M185" s="49" t="n"/>
      <c r="N185" s="49" t="n"/>
      <c r="O185" s="49" t="n"/>
      <c r="P185" s="49" t="n"/>
      <c r="Q185" s="49" t="n"/>
      <c r="R185" s="50" t="n"/>
      <c r="S185" s="50" t="n"/>
    </row>
    <row r="186">
      <c r="B186" s="49" t="n"/>
      <c r="C186" s="49" t="n"/>
      <c r="D186" s="49" t="n"/>
      <c r="E186" s="49" t="n"/>
      <c r="F186" s="49" t="n"/>
      <c r="G186" s="49" t="n"/>
      <c r="H186" s="49" t="n"/>
      <c r="I186" s="49" t="n"/>
      <c r="J186" s="49" t="n"/>
      <c r="K186" s="49" t="n"/>
      <c r="L186" s="49" t="n"/>
      <c r="M186" s="49" t="n"/>
      <c r="N186" s="49" t="n"/>
      <c r="O186" s="49" t="n"/>
      <c r="P186" s="49" t="n"/>
      <c r="Q186" s="49" t="n"/>
      <c r="R186" s="50" t="n"/>
      <c r="S186" s="50" t="n"/>
    </row>
    <row r="187">
      <c r="B187" s="49" t="n"/>
      <c r="C187" s="49" t="n"/>
      <c r="D187" s="49" t="n"/>
      <c r="E187" s="49" t="n"/>
      <c r="F187" s="49" t="n"/>
      <c r="G187" s="49" t="n"/>
      <c r="H187" s="49" t="n"/>
      <c r="I187" s="49" t="n"/>
      <c r="J187" s="49" t="n"/>
      <c r="K187" s="49" t="n"/>
      <c r="L187" s="49" t="n"/>
      <c r="M187" s="49" t="n"/>
      <c r="N187" s="49" t="n"/>
      <c r="O187" s="49" t="n"/>
      <c r="P187" s="49" t="n"/>
      <c r="Q187" s="49" t="n"/>
      <c r="R187" s="50" t="n"/>
      <c r="S187" s="50" t="n"/>
    </row>
    <row r="188">
      <c r="B188" s="49" t="n"/>
      <c r="C188" s="49" t="n"/>
      <c r="D188" s="49" t="n"/>
      <c r="E188" s="49" t="n"/>
      <c r="F188" s="49" t="n"/>
      <c r="G188" s="49" t="n"/>
      <c r="H188" s="49" t="n"/>
      <c r="I188" s="49" t="n"/>
      <c r="J188" s="49" t="n"/>
      <c r="K188" s="49" t="n"/>
      <c r="L188" s="49" t="n"/>
      <c r="M188" s="49" t="n"/>
      <c r="N188" s="49" t="n"/>
      <c r="O188" s="49" t="n"/>
      <c r="P188" s="49" t="n"/>
      <c r="Q188" s="49" t="n"/>
      <c r="R188" s="50" t="n"/>
      <c r="S188" s="50" t="n"/>
    </row>
    <row r="189">
      <c r="B189" s="49" t="n"/>
      <c r="C189" s="49" t="n"/>
      <c r="D189" s="49" t="n"/>
      <c r="E189" s="49" t="n"/>
      <c r="F189" s="49" t="n"/>
      <c r="G189" s="49" t="n"/>
      <c r="H189" s="49" t="n"/>
      <c r="I189" s="49" t="n"/>
      <c r="J189" s="49" t="n"/>
      <c r="K189" s="49" t="n"/>
      <c r="L189" s="49" t="n"/>
      <c r="M189" s="49" t="n"/>
      <c r="N189" s="49" t="n"/>
      <c r="O189" s="49" t="n"/>
      <c r="P189" s="49" t="n"/>
      <c r="Q189" s="49" t="n"/>
      <c r="R189" s="50" t="n"/>
      <c r="S189" s="50" t="n"/>
    </row>
    <row r="190">
      <c r="B190" s="49" t="n"/>
      <c r="C190" s="49" t="n"/>
      <c r="D190" s="49" t="n"/>
      <c r="E190" s="49" t="n"/>
      <c r="F190" s="49" t="n"/>
      <c r="G190" s="49" t="n"/>
      <c r="H190" s="49" t="n"/>
      <c r="I190" s="49" t="n"/>
      <c r="J190" s="49" t="n"/>
      <c r="K190" s="49" t="n"/>
      <c r="L190" s="49" t="n"/>
      <c r="M190" s="49" t="n"/>
      <c r="N190" s="49" t="n"/>
      <c r="O190" s="49" t="n"/>
      <c r="P190" s="49" t="n"/>
      <c r="Q190" s="49" t="n"/>
      <c r="R190" s="50" t="n"/>
      <c r="S190" s="50" t="n"/>
    </row>
    <row r="191">
      <c r="B191" s="49" t="n"/>
      <c r="C191" s="49" t="n"/>
      <c r="D191" s="49" t="n"/>
      <c r="E191" s="49" t="n"/>
      <c r="F191" s="49" t="n"/>
      <c r="G191" s="49" t="n"/>
      <c r="H191" s="49" t="n"/>
      <c r="I191" s="49" t="n"/>
      <c r="J191" s="49" t="n"/>
      <c r="K191" s="49" t="n"/>
      <c r="L191" s="49" t="n"/>
      <c r="M191" s="49" t="n"/>
      <c r="N191" s="49" t="n"/>
      <c r="O191" s="49" t="n"/>
      <c r="P191" s="49" t="n"/>
      <c r="Q191" s="49" t="n"/>
      <c r="R191" s="50" t="n"/>
      <c r="S191" s="50" t="n"/>
    </row>
    <row r="192">
      <c r="B192" s="49" t="n"/>
      <c r="C192" s="49" t="n"/>
      <c r="D192" s="49" t="n"/>
      <c r="E192" s="49" t="n"/>
      <c r="F192" s="49" t="n"/>
      <c r="G192" s="49" t="n"/>
      <c r="H192" s="49" t="n"/>
      <c r="I192" s="49" t="n"/>
      <c r="J192" s="49" t="n"/>
      <c r="K192" s="49" t="n"/>
      <c r="L192" s="49" t="n"/>
      <c r="M192" s="49" t="n"/>
      <c r="N192" s="49" t="n"/>
      <c r="O192" s="49" t="n"/>
      <c r="P192" s="49" t="n"/>
      <c r="Q192" s="49" t="n"/>
      <c r="R192" s="50" t="n"/>
      <c r="S192" s="50" t="n"/>
    </row>
    <row r="193">
      <c r="B193" s="49" t="n"/>
      <c r="C193" s="49" t="n"/>
      <c r="D193" s="49" t="n"/>
      <c r="E193" s="49" t="n"/>
      <c r="F193" s="49" t="n"/>
      <c r="G193" s="49" t="n"/>
      <c r="H193" s="49" t="n"/>
      <c r="I193" s="49" t="n"/>
      <c r="J193" s="49" t="n"/>
      <c r="K193" s="49" t="n"/>
      <c r="L193" s="49" t="n"/>
      <c r="M193" s="49" t="n"/>
      <c r="N193" s="49" t="n"/>
      <c r="O193" s="49" t="n"/>
      <c r="P193" s="49" t="n"/>
      <c r="Q193" s="49" t="n"/>
      <c r="R193" s="50" t="n"/>
      <c r="S193" s="50" t="n"/>
    </row>
    <row r="194">
      <c r="B194" s="49" t="n"/>
      <c r="C194" s="49" t="n"/>
      <c r="D194" s="49" t="n"/>
      <c r="E194" s="49" t="n"/>
      <c r="F194" s="49" t="n"/>
      <c r="G194" s="49" t="n"/>
      <c r="H194" s="49" t="n"/>
      <c r="I194" s="49" t="n"/>
      <c r="J194" s="49" t="n"/>
      <c r="K194" s="49" t="n"/>
      <c r="L194" s="49" t="n"/>
      <c r="M194" s="49" t="n"/>
      <c r="N194" s="49" t="n"/>
      <c r="O194" s="49" t="n"/>
      <c r="P194" s="49" t="n"/>
      <c r="Q194" s="49" t="n"/>
      <c r="R194" s="50" t="n"/>
      <c r="S194" s="50" t="n"/>
    </row>
    <row r="195">
      <c r="B195" s="49" t="n"/>
      <c r="C195" s="49" t="n"/>
      <c r="D195" s="49" t="n"/>
      <c r="E195" s="49" t="n"/>
      <c r="F195" s="49" t="n"/>
      <c r="G195" s="49" t="n"/>
      <c r="H195" s="49" t="n"/>
      <c r="I195" s="49" t="n"/>
      <c r="J195" s="49" t="n"/>
      <c r="K195" s="49" t="n"/>
      <c r="L195" s="49" t="n"/>
      <c r="M195" s="49" t="n"/>
      <c r="N195" s="49" t="n"/>
      <c r="O195" s="49" t="n"/>
      <c r="P195" s="49" t="n"/>
      <c r="Q195" s="49" t="n"/>
      <c r="R195" s="50" t="n"/>
      <c r="S195" s="50" t="n"/>
    </row>
    <row r="196">
      <c r="B196" s="49" t="n"/>
      <c r="C196" s="49" t="n"/>
      <c r="D196" s="49" t="n"/>
      <c r="E196" s="49" t="n"/>
      <c r="F196" s="49" t="n"/>
      <c r="G196" s="49" t="n"/>
      <c r="H196" s="49" t="n"/>
      <c r="I196" s="49" t="n"/>
      <c r="J196" s="49" t="n"/>
      <c r="K196" s="49" t="n"/>
      <c r="L196" s="49" t="n"/>
      <c r="M196" s="49" t="n"/>
      <c r="N196" s="49" t="n"/>
      <c r="O196" s="49" t="n"/>
      <c r="P196" s="49" t="n"/>
      <c r="Q196" s="49" t="n"/>
      <c r="R196" s="50" t="n"/>
      <c r="S196" s="50" t="n"/>
    </row>
    <row r="197">
      <c r="B197" s="49" t="n"/>
      <c r="C197" s="49" t="n"/>
      <c r="D197" s="49" t="n"/>
      <c r="E197" s="49" t="n"/>
      <c r="F197" s="49" t="n"/>
      <c r="G197" s="49" t="n"/>
      <c r="H197" s="49" t="n"/>
      <c r="I197" s="49" t="n"/>
      <c r="J197" s="49" t="n"/>
      <c r="K197" s="49" t="n"/>
      <c r="L197" s="49" t="n"/>
      <c r="M197" s="49" t="n"/>
      <c r="N197" s="49" t="n"/>
      <c r="O197" s="49" t="n"/>
      <c r="P197" s="49" t="n"/>
      <c r="Q197" s="49" t="n"/>
      <c r="R197" s="50" t="n"/>
      <c r="S197" s="50" t="n"/>
    </row>
    <row r="198">
      <c r="B198" s="49" t="n"/>
      <c r="C198" s="49" t="n"/>
      <c r="D198" s="49" t="n"/>
      <c r="E198" s="49" t="n"/>
      <c r="F198" s="49" t="n"/>
      <c r="G198" s="49" t="n"/>
      <c r="H198" s="49" t="n"/>
      <c r="I198" s="49" t="n"/>
      <c r="J198" s="49" t="n"/>
      <c r="K198" s="49" t="n"/>
      <c r="L198" s="49" t="n"/>
      <c r="M198" s="49" t="n"/>
      <c r="N198" s="49" t="n"/>
      <c r="O198" s="49" t="n"/>
      <c r="P198" s="49" t="n"/>
      <c r="Q198" s="49" t="n"/>
      <c r="R198" s="50" t="n"/>
      <c r="S198" s="50" t="n"/>
    </row>
    <row r="199">
      <c r="B199" s="49" t="n"/>
      <c r="C199" s="49" t="n"/>
      <c r="D199" s="49" t="n"/>
      <c r="E199" s="49" t="n"/>
      <c r="F199" s="49" t="n"/>
      <c r="G199" s="49" t="n"/>
      <c r="H199" s="49" t="n"/>
      <c r="I199" s="49" t="n"/>
      <c r="J199" s="49" t="n"/>
      <c r="K199" s="49" t="n"/>
      <c r="L199" s="49" t="n"/>
      <c r="M199" s="49" t="n"/>
      <c r="N199" s="49" t="n"/>
      <c r="O199" s="49" t="n"/>
      <c r="P199" s="49" t="n"/>
      <c r="Q199" s="49" t="n"/>
      <c r="R199" s="50" t="n"/>
      <c r="S199" s="50" t="n"/>
    </row>
    <row r="200">
      <c r="B200" s="49" t="n"/>
      <c r="C200" s="49" t="n"/>
      <c r="D200" s="49" t="n"/>
      <c r="E200" s="49" t="n"/>
      <c r="F200" s="49" t="n"/>
      <c r="G200" s="49" t="n"/>
      <c r="H200" s="49" t="n"/>
      <c r="I200" s="49" t="n"/>
      <c r="J200" s="49" t="n"/>
      <c r="K200" s="49" t="n"/>
      <c r="L200" s="49" t="n"/>
      <c r="M200" s="49" t="n"/>
      <c r="N200" s="49" t="n"/>
      <c r="O200" s="49" t="n"/>
      <c r="P200" s="49" t="n"/>
      <c r="Q200" s="49" t="n"/>
      <c r="R200" s="50" t="n"/>
      <c r="S200" s="50" t="n"/>
    </row>
    <row r="201">
      <c r="B201" s="49" t="n"/>
      <c r="C201" s="49" t="n"/>
      <c r="D201" s="49" t="n"/>
      <c r="E201" s="49" t="n"/>
      <c r="F201" s="49" t="n"/>
      <c r="G201" s="49" t="n"/>
      <c r="H201" s="49" t="n"/>
      <c r="I201" s="49" t="n"/>
      <c r="J201" s="49" t="n"/>
      <c r="K201" s="49" t="n"/>
      <c r="L201" s="49" t="n"/>
      <c r="M201" s="49" t="n"/>
      <c r="N201" s="49" t="n"/>
      <c r="O201" s="49" t="n"/>
      <c r="P201" s="49" t="n"/>
      <c r="Q201" s="49" t="n"/>
      <c r="R201" s="50" t="n"/>
      <c r="S201" s="50" t="n"/>
    </row>
    <row r="202">
      <c r="B202" s="49" t="n"/>
      <c r="C202" s="49" t="n"/>
      <c r="D202" s="49" t="n"/>
      <c r="E202" s="49" t="n"/>
      <c r="F202" s="49" t="n"/>
      <c r="G202" s="49" t="n"/>
      <c r="H202" s="49" t="n"/>
      <c r="I202" s="49" t="n"/>
      <c r="J202" s="49" t="n"/>
      <c r="K202" s="49" t="n"/>
      <c r="L202" s="49" t="n"/>
      <c r="M202" s="49" t="n"/>
      <c r="N202" s="49" t="n"/>
      <c r="O202" s="49" t="n"/>
      <c r="P202" s="49" t="n"/>
      <c r="Q202" s="49" t="n"/>
      <c r="R202" s="50" t="n"/>
      <c r="S202" s="50" t="n"/>
    </row>
    <row r="203">
      <c r="B203" s="49" t="n"/>
      <c r="C203" s="49" t="n"/>
      <c r="D203" s="49" t="n"/>
      <c r="E203" s="49" t="n"/>
      <c r="F203" s="49" t="n"/>
      <c r="G203" s="49" t="n"/>
      <c r="H203" s="49" t="n"/>
      <c r="I203" s="49" t="n"/>
      <c r="J203" s="49" t="n"/>
      <c r="K203" s="49" t="n"/>
      <c r="L203" s="49" t="n"/>
      <c r="M203" s="49" t="n"/>
      <c r="N203" s="49" t="n"/>
      <c r="O203" s="49" t="n"/>
      <c r="P203" s="49" t="n"/>
      <c r="Q203" s="49" t="n"/>
      <c r="R203" s="50" t="n"/>
      <c r="S203" s="50" t="n"/>
    </row>
    <row r="204">
      <c r="B204" s="49" t="n"/>
      <c r="C204" s="49" t="n"/>
      <c r="D204" s="49" t="n"/>
      <c r="E204" s="49" t="n"/>
      <c r="F204" s="49" t="n"/>
      <c r="G204" s="49" t="n"/>
      <c r="H204" s="49" t="n"/>
      <c r="I204" s="49" t="n"/>
      <c r="J204" s="49" t="n"/>
      <c r="K204" s="49" t="n"/>
      <c r="L204" s="49" t="n"/>
      <c r="M204" s="49" t="n"/>
      <c r="N204" s="49" t="n"/>
      <c r="O204" s="49" t="n"/>
      <c r="P204" s="49" t="n"/>
      <c r="Q204" s="49" t="n"/>
      <c r="R204" s="50" t="n"/>
      <c r="S204" s="50" t="n"/>
    </row>
    <row r="205">
      <c r="B205" s="49" t="n"/>
      <c r="C205" s="49" t="n"/>
      <c r="D205" s="49" t="n"/>
      <c r="E205" s="49" t="n"/>
      <c r="F205" s="49" t="n"/>
      <c r="G205" s="49" t="n"/>
      <c r="H205" s="49" t="n"/>
      <c r="I205" s="49" t="n"/>
      <c r="J205" s="49" t="n"/>
      <c r="K205" s="49" t="n"/>
      <c r="L205" s="49" t="n"/>
      <c r="M205" s="49" t="n"/>
      <c r="N205" s="49" t="n"/>
      <c r="O205" s="49" t="n"/>
      <c r="P205" s="49" t="n"/>
      <c r="Q205" s="49" t="n"/>
      <c r="R205" s="50" t="n"/>
      <c r="S205" s="50" t="n"/>
    </row>
    <row r="206">
      <c r="B206" s="49" t="n"/>
      <c r="C206" s="49" t="n"/>
      <c r="D206" s="49" t="n"/>
      <c r="E206" s="49" t="n"/>
      <c r="F206" s="49" t="n"/>
      <c r="G206" s="49" t="n"/>
      <c r="H206" s="49" t="n"/>
      <c r="I206" s="49" t="n"/>
      <c r="J206" s="49" t="n"/>
      <c r="K206" s="49" t="n"/>
      <c r="L206" s="49" t="n"/>
      <c r="M206" s="49" t="n"/>
      <c r="N206" s="49" t="n"/>
      <c r="O206" s="49" t="n"/>
      <c r="P206" s="49" t="n"/>
      <c r="Q206" s="49" t="n"/>
      <c r="R206" s="50" t="n"/>
      <c r="S206" s="50" t="n"/>
    </row>
    <row r="207">
      <c r="B207" s="49" t="n"/>
      <c r="C207" s="49" t="n"/>
      <c r="D207" s="49" t="n"/>
      <c r="E207" s="49" t="n"/>
      <c r="F207" s="49" t="n"/>
      <c r="G207" s="49" t="n"/>
      <c r="H207" s="49" t="n"/>
      <c r="I207" s="49" t="n"/>
      <c r="J207" s="49" t="n"/>
      <c r="K207" s="49" t="n"/>
      <c r="L207" s="49" t="n"/>
      <c r="M207" s="49" t="n"/>
      <c r="N207" s="49" t="n"/>
      <c r="O207" s="49" t="n"/>
      <c r="P207" s="49" t="n"/>
      <c r="Q207" s="49" t="n"/>
      <c r="R207" s="50" t="n"/>
      <c r="S207" s="50" t="n"/>
    </row>
    <row r="208">
      <c r="B208" s="49" t="n"/>
      <c r="C208" s="49" t="n"/>
      <c r="D208" s="49" t="n"/>
      <c r="E208" s="49" t="n"/>
      <c r="F208" s="49" t="n"/>
      <c r="G208" s="49" t="n"/>
      <c r="H208" s="49" t="n"/>
      <c r="I208" s="49" t="n"/>
      <c r="J208" s="49" t="n"/>
      <c r="K208" s="49" t="n"/>
      <c r="L208" s="49" t="n"/>
      <c r="M208" s="49" t="n"/>
      <c r="N208" s="49" t="n"/>
      <c r="O208" s="49" t="n"/>
      <c r="P208" s="49" t="n"/>
      <c r="Q208" s="49" t="n"/>
      <c r="R208" s="50" t="n"/>
      <c r="S208" s="50" t="n"/>
    </row>
    <row r="209">
      <c r="B209" s="49" t="n"/>
      <c r="C209" s="49" t="n"/>
      <c r="D209" s="49" t="n"/>
      <c r="E209" s="49" t="n"/>
      <c r="F209" s="49" t="n"/>
      <c r="G209" s="49" t="n"/>
      <c r="H209" s="49" t="n"/>
      <c r="I209" s="49" t="n"/>
      <c r="J209" s="49" t="n"/>
      <c r="K209" s="49" t="n"/>
      <c r="L209" s="49" t="n"/>
      <c r="M209" s="49" t="n"/>
      <c r="N209" s="49" t="n"/>
      <c r="O209" s="49" t="n"/>
      <c r="P209" s="49" t="n"/>
      <c r="Q209" s="49" t="n"/>
      <c r="R209" s="50" t="n"/>
      <c r="S209" s="50" t="n"/>
    </row>
    <row r="210">
      <c r="B210" s="49" t="n"/>
      <c r="C210" s="49" t="n"/>
      <c r="D210" s="49" t="n"/>
      <c r="E210" s="49" t="n"/>
      <c r="F210" s="49" t="n"/>
      <c r="G210" s="49" t="n"/>
      <c r="H210" s="49" t="n"/>
      <c r="I210" s="49" t="n"/>
      <c r="J210" s="49" t="n"/>
      <c r="K210" s="49" t="n"/>
      <c r="L210" s="49" t="n"/>
      <c r="M210" s="49" t="n"/>
      <c r="N210" s="49" t="n"/>
      <c r="O210" s="49" t="n"/>
      <c r="P210" s="49" t="n"/>
      <c r="Q210" s="49" t="n"/>
      <c r="R210" s="50" t="n"/>
      <c r="S210" s="50" t="n"/>
    </row>
    <row r="211">
      <c r="B211" s="49" t="n"/>
      <c r="C211" s="49" t="n"/>
      <c r="D211" s="49" t="n"/>
      <c r="E211" s="49" t="n"/>
      <c r="F211" s="49" t="n"/>
      <c r="G211" s="49" t="n"/>
      <c r="H211" s="49" t="n"/>
      <c r="I211" s="49" t="n"/>
      <c r="J211" s="49" t="n"/>
      <c r="K211" s="49" t="n"/>
      <c r="L211" s="49" t="n"/>
      <c r="M211" s="49" t="n"/>
      <c r="N211" s="49" t="n"/>
      <c r="O211" s="49" t="n"/>
      <c r="P211" s="49" t="n"/>
      <c r="Q211" s="49" t="n"/>
      <c r="R211" s="50" t="n"/>
      <c r="S211" s="50" t="n"/>
    </row>
    <row r="212">
      <c r="B212" s="49" t="n"/>
      <c r="C212" s="49" t="n"/>
      <c r="D212" s="49" t="n"/>
      <c r="E212" s="49" t="n"/>
      <c r="F212" s="49" t="n"/>
      <c r="G212" s="49" t="n"/>
      <c r="H212" s="49" t="n"/>
      <c r="I212" s="49" t="n"/>
      <c r="J212" s="49" t="n"/>
      <c r="K212" s="49" t="n"/>
      <c r="L212" s="49" t="n"/>
      <c r="M212" s="49" t="n"/>
      <c r="N212" s="49" t="n"/>
      <c r="O212" s="49" t="n"/>
      <c r="P212" s="49" t="n"/>
      <c r="Q212" s="49" t="n"/>
      <c r="R212" s="50" t="n"/>
      <c r="S212" s="50" t="n"/>
    </row>
    <row r="213">
      <c r="B213" s="49" t="n"/>
      <c r="C213" s="49" t="n"/>
      <c r="D213" s="49" t="n"/>
      <c r="E213" s="49" t="n"/>
      <c r="F213" s="49" t="n"/>
      <c r="G213" s="49" t="n"/>
      <c r="H213" s="49" t="n"/>
      <c r="I213" s="49" t="n"/>
      <c r="J213" s="49" t="n"/>
      <c r="K213" s="49" t="n"/>
      <c r="L213" s="49" t="n"/>
      <c r="M213" s="49" t="n"/>
      <c r="N213" s="49" t="n"/>
      <c r="O213" s="49" t="n"/>
      <c r="P213" s="49" t="n"/>
      <c r="Q213" s="49" t="n"/>
      <c r="R213" s="50" t="n"/>
      <c r="S213" s="50" t="n"/>
    </row>
    <row r="214">
      <c r="B214" s="49" t="n"/>
      <c r="C214" s="49" t="n"/>
      <c r="D214" s="49" t="n"/>
      <c r="E214" s="49" t="n"/>
      <c r="F214" s="49" t="n"/>
      <c r="G214" s="49" t="n"/>
      <c r="H214" s="49" t="n"/>
      <c r="I214" s="49" t="n"/>
      <c r="J214" s="49" t="n"/>
      <c r="K214" s="49" t="n"/>
      <c r="L214" s="49" t="n"/>
      <c r="M214" s="49" t="n"/>
      <c r="N214" s="49" t="n"/>
      <c r="O214" s="49" t="n"/>
      <c r="P214" s="49" t="n"/>
      <c r="Q214" s="49" t="n"/>
      <c r="R214" s="50" t="n"/>
      <c r="S214" s="50" t="n"/>
    </row>
    <row r="215">
      <c r="B215" s="49" t="n"/>
      <c r="C215" s="49" t="n"/>
      <c r="D215" s="49" t="n"/>
      <c r="E215" s="49" t="n"/>
      <c r="F215" s="49" t="n"/>
      <c r="G215" s="49" t="n"/>
      <c r="H215" s="49" t="n"/>
      <c r="I215" s="49" t="n"/>
      <c r="J215" s="49" t="n"/>
      <c r="K215" s="49" t="n"/>
      <c r="L215" s="49" t="n"/>
      <c r="M215" s="49" t="n"/>
      <c r="N215" s="49" t="n"/>
      <c r="O215" s="49" t="n"/>
      <c r="P215" s="49" t="n"/>
      <c r="Q215" s="49" t="n"/>
      <c r="R215" s="50" t="n"/>
      <c r="S215" s="50" t="n"/>
    </row>
    <row r="216">
      <c r="B216" s="49" t="n"/>
      <c r="C216" s="49" t="n"/>
      <c r="D216" s="49" t="n"/>
      <c r="E216" s="49" t="n"/>
      <c r="F216" s="49" t="n"/>
      <c r="G216" s="49" t="n"/>
      <c r="H216" s="49" t="n"/>
      <c r="I216" s="49" t="n"/>
      <c r="J216" s="49" t="n"/>
      <c r="K216" s="49" t="n"/>
      <c r="L216" s="49" t="n"/>
      <c r="M216" s="49" t="n"/>
      <c r="N216" s="49" t="n"/>
      <c r="O216" s="49" t="n"/>
      <c r="P216" s="49" t="n"/>
      <c r="Q216" s="49" t="n"/>
      <c r="R216" s="50" t="n"/>
      <c r="S216" s="50" t="n"/>
    </row>
    <row r="217">
      <c r="B217" s="49" t="n"/>
      <c r="C217" s="49" t="n"/>
      <c r="D217" s="49" t="n"/>
      <c r="E217" s="49" t="n"/>
      <c r="F217" s="49" t="n"/>
      <c r="G217" s="49" t="n"/>
      <c r="H217" s="49" t="n"/>
      <c r="I217" s="49" t="n"/>
      <c r="J217" s="49" t="n"/>
      <c r="K217" s="49" t="n"/>
      <c r="L217" s="49" t="n"/>
      <c r="M217" s="49" t="n"/>
      <c r="N217" s="49" t="n"/>
      <c r="O217" s="49" t="n"/>
      <c r="P217" s="49" t="n"/>
      <c r="Q217" s="49" t="n"/>
      <c r="R217" s="50" t="n"/>
      <c r="S217" s="50" t="n"/>
    </row>
    <row r="218">
      <c r="B218" s="49" t="n"/>
      <c r="C218" s="49" t="n"/>
      <c r="D218" s="49" t="n"/>
      <c r="E218" s="49" t="n"/>
      <c r="F218" s="49" t="n"/>
      <c r="G218" s="49" t="n"/>
      <c r="H218" s="49" t="n"/>
      <c r="I218" s="49" t="n"/>
      <c r="J218" s="49" t="n"/>
      <c r="K218" s="49" t="n"/>
      <c r="L218" s="49" t="n"/>
      <c r="M218" s="49" t="n"/>
      <c r="N218" s="49" t="n"/>
      <c r="O218" s="49" t="n"/>
      <c r="P218" s="49" t="n"/>
      <c r="Q218" s="49" t="n"/>
      <c r="R218" s="50" t="n"/>
      <c r="S218" s="50" t="n"/>
    </row>
    <row r="219">
      <c r="B219" s="49" t="n"/>
      <c r="C219" s="49" t="n"/>
      <c r="D219" s="49" t="n"/>
      <c r="E219" s="49" t="n"/>
      <c r="F219" s="49" t="n"/>
      <c r="G219" s="49" t="n"/>
      <c r="H219" s="49" t="n"/>
      <c r="I219" s="49" t="n"/>
      <c r="J219" s="49" t="n"/>
      <c r="K219" s="49" t="n"/>
      <c r="L219" s="49" t="n"/>
      <c r="M219" s="49" t="n"/>
      <c r="N219" s="49" t="n"/>
      <c r="O219" s="49" t="n"/>
      <c r="P219" s="49" t="n"/>
      <c r="Q219" s="49" t="n"/>
      <c r="R219" s="50" t="n"/>
      <c r="S219" s="50" t="n"/>
    </row>
    <row r="220">
      <c r="B220" s="49" t="n"/>
      <c r="C220" s="49" t="n"/>
      <c r="D220" s="49" t="n"/>
      <c r="E220" s="49" t="n"/>
      <c r="F220" s="49" t="n"/>
      <c r="G220" s="49" t="n"/>
      <c r="H220" s="49" t="n"/>
      <c r="I220" s="49" t="n"/>
      <c r="J220" s="49" t="n"/>
      <c r="K220" s="49" t="n"/>
      <c r="L220" s="49" t="n"/>
      <c r="M220" s="49" t="n"/>
      <c r="N220" s="49" t="n"/>
      <c r="O220" s="49" t="n"/>
      <c r="P220" s="49" t="n"/>
      <c r="Q220" s="49" t="n"/>
      <c r="R220" s="50" t="n"/>
      <c r="S220" s="50" t="n"/>
    </row>
    <row r="221">
      <c r="B221" s="49" t="n"/>
      <c r="C221" s="49" t="n"/>
      <c r="D221" s="49" t="n"/>
      <c r="E221" s="49" t="n"/>
      <c r="F221" s="49" t="n"/>
      <c r="G221" s="49" t="n"/>
      <c r="H221" s="49" t="n"/>
      <c r="I221" s="49" t="n"/>
      <c r="J221" s="49" t="n"/>
      <c r="K221" s="49" t="n"/>
      <c r="L221" s="49" t="n"/>
      <c r="M221" s="49" t="n"/>
      <c r="N221" s="49" t="n"/>
      <c r="O221" s="49" t="n"/>
      <c r="P221" s="49" t="n"/>
      <c r="Q221" s="49" t="n"/>
      <c r="R221" s="50" t="n"/>
      <c r="S221" s="50" t="n"/>
    </row>
    <row r="222">
      <c r="B222" s="49" t="n"/>
      <c r="C222" s="49" t="n"/>
      <c r="D222" s="49" t="n"/>
      <c r="E222" s="49" t="n"/>
      <c r="F222" s="49" t="n"/>
      <c r="G222" s="49" t="n"/>
      <c r="H222" s="49" t="n"/>
      <c r="I222" s="49" t="n"/>
      <c r="J222" s="49" t="n"/>
      <c r="K222" s="49" t="n"/>
      <c r="L222" s="49" t="n"/>
      <c r="M222" s="49" t="n"/>
      <c r="N222" s="49" t="n"/>
      <c r="O222" s="49" t="n"/>
      <c r="P222" s="49" t="n"/>
      <c r="Q222" s="49" t="n"/>
      <c r="R222" s="50" t="n"/>
      <c r="S222" s="50" t="n"/>
    </row>
    <row r="223">
      <c r="B223" s="49" t="n"/>
      <c r="C223" s="49" t="n"/>
      <c r="D223" s="49" t="n"/>
      <c r="E223" s="49" t="n"/>
      <c r="F223" s="49" t="n"/>
      <c r="G223" s="49" t="n"/>
      <c r="H223" s="49" t="n"/>
      <c r="I223" s="49" t="n"/>
      <c r="J223" s="49" t="n"/>
      <c r="K223" s="49" t="n"/>
      <c r="L223" s="49" t="n"/>
      <c r="M223" s="49" t="n"/>
      <c r="N223" s="49" t="n"/>
      <c r="O223" s="49" t="n"/>
      <c r="P223" s="49" t="n"/>
      <c r="Q223" s="49" t="n"/>
      <c r="R223" s="50" t="n"/>
      <c r="S223" s="50" t="n"/>
    </row>
    <row r="224">
      <c r="B224" s="49" t="n"/>
      <c r="C224" s="49" t="n"/>
      <c r="D224" s="49" t="n"/>
      <c r="E224" s="49" t="n"/>
      <c r="F224" s="49" t="n"/>
      <c r="G224" s="49" t="n"/>
      <c r="H224" s="49" t="n"/>
      <c r="I224" s="49" t="n"/>
      <c r="J224" s="49" t="n"/>
      <c r="K224" s="49" t="n"/>
      <c r="L224" s="49" t="n"/>
      <c r="M224" s="49" t="n"/>
      <c r="N224" s="49" t="n"/>
      <c r="O224" s="49" t="n"/>
      <c r="P224" s="49" t="n"/>
      <c r="Q224" s="49" t="n"/>
      <c r="R224" s="50" t="n"/>
      <c r="S224" s="50" t="n"/>
    </row>
    <row r="225">
      <c r="B225" s="49" t="n"/>
      <c r="C225" s="49" t="n"/>
      <c r="D225" s="49" t="n"/>
      <c r="E225" s="49" t="n"/>
      <c r="F225" s="49" t="n"/>
      <c r="G225" s="49" t="n"/>
      <c r="H225" s="49" t="n"/>
      <c r="I225" s="49" t="n"/>
      <c r="J225" s="49" t="n"/>
      <c r="K225" s="49" t="n"/>
      <c r="L225" s="49" t="n"/>
      <c r="M225" s="49" t="n"/>
      <c r="N225" s="49" t="n"/>
      <c r="O225" s="49" t="n"/>
      <c r="P225" s="49" t="n"/>
      <c r="Q225" s="49" t="n"/>
      <c r="R225" s="50" t="n"/>
      <c r="S225" s="50" t="n"/>
    </row>
    <row r="226">
      <c r="B226" s="49" t="n"/>
      <c r="C226" s="49" t="n"/>
      <c r="D226" s="49" t="n"/>
      <c r="E226" s="49" t="n"/>
      <c r="F226" s="49" t="n"/>
      <c r="G226" s="49" t="n"/>
      <c r="H226" s="49" t="n"/>
      <c r="I226" s="49" t="n"/>
      <c r="J226" s="49" t="n"/>
      <c r="K226" s="49" t="n"/>
      <c r="L226" s="49" t="n"/>
      <c r="M226" s="49" t="n"/>
      <c r="N226" s="49" t="n"/>
      <c r="O226" s="49" t="n"/>
      <c r="P226" s="49" t="n"/>
      <c r="Q226" s="49" t="n"/>
      <c r="R226" s="50" t="n"/>
      <c r="S226" s="50" t="n"/>
    </row>
    <row r="227">
      <c r="B227" s="49" t="n"/>
      <c r="C227" s="49" t="n"/>
      <c r="D227" s="49" t="n"/>
      <c r="E227" s="49" t="n"/>
      <c r="F227" s="49" t="n"/>
      <c r="G227" s="49" t="n"/>
      <c r="H227" s="49" t="n"/>
      <c r="I227" s="49" t="n"/>
      <c r="J227" s="49" t="n"/>
      <c r="K227" s="49" t="n"/>
      <c r="L227" s="49" t="n"/>
      <c r="M227" s="49" t="n"/>
      <c r="N227" s="49" t="n"/>
      <c r="O227" s="49" t="n"/>
      <c r="P227" s="49" t="n"/>
      <c r="Q227" s="49" t="n"/>
      <c r="R227" s="50" t="n"/>
      <c r="S227" s="50" t="n"/>
    </row>
    <row r="228">
      <c r="B228" s="49" t="n"/>
      <c r="C228" s="49" t="n"/>
      <c r="D228" s="49" t="n"/>
      <c r="E228" s="49" t="n"/>
      <c r="F228" s="49" t="n"/>
      <c r="G228" s="49" t="n"/>
      <c r="H228" s="49" t="n"/>
      <c r="I228" s="49" t="n"/>
      <c r="J228" s="49" t="n"/>
      <c r="K228" s="49" t="n"/>
      <c r="L228" s="49" t="n"/>
      <c r="M228" s="49" t="n"/>
      <c r="N228" s="49" t="n"/>
      <c r="O228" s="49" t="n"/>
      <c r="P228" s="49" t="n"/>
      <c r="Q228" s="49" t="n"/>
      <c r="R228" s="50" t="n"/>
      <c r="S228" s="50" t="n"/>
    </row>
    <row r="229">
      <c r="B229" s="49" t="n"/>
      <c r="C229" s="49" t="n"/>
      <c r="D229" s="49" t="n"/>
      <c r="E229" s="49" t="n"/>
      <c r="F229" s="49" t="n"/>
      <c r="G229" s="49" t="n"/>
      <c r="H229" s="49" t="n"/>
      <c r="I229" s="49" t="n"/>
      <c r="J229" s="49" t="n"/>
      <c r="K229" s="49" t="n"/>
      <c r="L229" s="49" t="n"/>
      <c r="M229" s="49" t="n"/>
      <c r="N229" s="49" t="n"/>
      <c r="O229" s="49" t="n"/>
      <c r="P229" s="49" t="n"/>
      <c r="Q229" s="49" t="n"/>
      <c r="R229" s="50" t="n"/>
      <c r="S229" s="50" t="n"/>
    </row>
    <row r="230">
      <c r="B230" s="49" t="n"/>
      <c r="C230" s="49" t="n"/>
      <c r="D230" s="49" t="n"/>
      <c r="E230" s="49" t="n"/>
      <c r="F230" s="49" t="n"/>
      <c r="G230" s="49" t="n"/>
      <c r="H230" s="49" t="n"/>
      <c r="I230" s="49" t="n"/>
      <c r="J230" s="49" t="n"/>
      <c r="K230" s="49" t="n"/>
      <c r="L230" s="49" t="n"/>
      <c r="M230" s="49" t="n"/>
      <c r="N230" s="49" t="n"/>
      <c r="O230" s="49" t="n"/>
      <c r="P230" s="49" t="n"/>
      <c r="Q230" s="49" t="n"/>
      <c r="R230" s="50" t="n"/>
      <c r="S230" s="50" t="n"/>
    </row>
    <row r="231">
      <c r="B231" s="49" t="n"/>
      <c r="C231" s="49" t="n"/>
      <c r="D231" s="49" t="n"/>
      <c r="E231" s="49" t="n"/>
      <c r="F231" s="49" t="n"/>
      <c r="G231" s="49" t="n"/>
      <c r="H231" s="49" t="n"/>
      <c r="I231" s="49" t="n"/>
      <c r="J231" s="49" t="n"/>
      <c r="K231" s="49" t="n"/>
      <c r="L231" s="49" t="n"/>
      <c r="M231" s="49" t="n"/>
      <c r="N231" s="49" t="n"/>
      <c r="O231" s="49" t="n"/>
      <c r="P231" s="49" t="n"/>
      <c r="Q231" s="49" t="n"/>
      <c r="R231" s="50" t="n"/>
      <c r="S231" s="50" t="n"/>
    </row>
    <row r="232">
      <c r="B232" s="49" t="n"/>
      <c r="C232" s="49" t="n"/>
      <c r="D232" s="49" t="n"/>
      <c r="E232" s="49" t="n"/>
      <c r="F232" s="49" t="n"/>
      <c r="G232" s="49" t="n"/>
      <c r="H232" s="49" t="n"/>
      <c r="I232" s="49" t="n"/>
      <c r="J232" s="49" t="n"/>
      <c r="K232" s="49" t="n"/>
      <c r="L232" s="49" t="n"/>
      <c r="M232" s="49" t="n"/>
      <c r="N232" s="49" t="n"/>
      <c r="O232" s="49" t="n"/>
      <c r="P232" s="49" t="n"/>
      <c r="Q232" s="49" t="n"/>
      <c r="R232" s="50" t="n"/>
      <c r="S232" s="50" t="n"/>
    </row>
    <row r="233">
      <c r="B233" s="49" t="n"/>
      <c r="C233" s="49" t="n"/>
      <c r="D233" s="49" t="n"/>
      <c r="E233" s="49" t="n"/>
      <c r="F233" s="49" t="n"/>
      <c r="G233" s="49" t="n"/>
      <c r="H233" s="49" t="n"/>
      <c r="I233" s="49" t="n"/>
      <c r="J233" s="49" t="n"/>
      <c r="K233" s="49" t="n"/>
      <c r="L233" s="49" t="n"/>
      <c r="M233" s="49" t="n"/>
      <c r="N233" s="49" t="n"/>
      <c r="O233" s="49" t="n"/>
      <c r="P233" s="49" t="n"/>
      <c r="Q233" s="49" t="n"/>
      <c r="R233" s="50" t="n"/>
      <c r="S233" s="50" t="n"/>
    </row>
    <row r="234">
      <c r="B234" s="49" t="n"/>
      <c r="C234" s="49" t="n"/>
      <c r="D234" s="49" t="n"/>
      <c r="E234" s="49" t="n"/>
      <c r="F234" s="49" t="n"/>
      <c r="G234" s="49" t="n"/>
      <c r="H234" s="49" t="n"/>
      <c r="I234" s="49" t="n"/>
      <c r="J234" s="49" t="n"/>
      <c r="K234" s="49" t="n"/>
      <c r="L234" s="49" t="n"/>
      <c r="M234" s="49" t="n"/>
      <c r="N234" s="49" t="n"/>
      <c r="O234" s="49" t="n"/>
      <c r="P234" s="49" t="n"/>
      <c r="Q234" s="49" t="n"/>
      <c r="R234" s="50" t="n"/>
      <c r="S234" s="50" t="n"/>
    </row>
    <row r="235">
      <c r="B235" s="49" t="n"/>
      <c r="C235" s="49" t="n"/>
      <c r="D235" s="49" t="n"/>
      <c r="E235" s="49" t="n"/>
      <c r="F235" s="49" t="n"/>
      <c r="G235" s="49" t="n"/>
      <c r="H235" s="49" t="n"/>
      <c r="I235" s="49" t="n"/>
      <c r="J235" s="49" t="n"/>
      <c r="K235" s="49" t="n"/>
      <c r="L235" s="49" t="n"/>
      <c r="M235" s="49" t="n"/>
      <c r="N235" s="49" t="n"/>
      <c r="O235" s="49" t="n"/>
      <c r="P235" s="49" t="n"/>
      <c r="Q235" s="49" t="n"/>
      <c r="R235" s="50" t="n"/>
      <c r="S235" s="50" t="n"/>
    </row>
    <row r="236">
      <c r="B236" s="49" t="n"/>
      <c r="C236" s="49" t="n"/>
      <c r="D236" s="49" t="n"/>
      <c r="E236" s="49" t="n"/>
      <c r="F236" s="49" t="n"/>
      <c r="G236" s="49" t="n"/>
      <c r="H236" s="49" t="n"/>
      <c r="I236" s="49" t="n"/>
      <c r="J236" s="49" t="n"/>
      <c r="K236" s="49" t="n"/>
      <c r="L236" s="49" t="n"/>
      <c r="M236" s="49" t="n"/>
      <c r="N236" s="49" t="n"/>
      <c r="O236" s="49" t="n"/>
      <c r="P236" s="49" t="n"/>
      <c r="Q236" s="49" t="n"/>
      <c r="R236" s="50" t="n"/>
      <c r="S236" s="50" t="n"/>
    </row>
    <row r="237">
      <c r="B237" s="49" t="n"/>
      <c r="C237" s="49" t="n"/>
      <c r="D237" s="49" t="n"/>
      <c r="E237" s="49" t="n"/>
      <c r="F237" s="49" t="n"/>
      <c r="G237" s="49" t="n"/>
      <c r="H237" s="49" t="n"/>
      <c r="I237" s="49" t="n"/>
      <c r="J237" s="49" t="n"/>
      <c r="K237" s="49" t="n"/>
      <c r="L237" s="49" t="n"/>
      <c r="M237" s="49" t="n"/>
      <c r="N237" s="49" t="n"/>
      <c r="O237" s="49" t="n"/>
      <c r="P237" s="49" t="n"/>
      <c r="Q237" s="49" t="n"/>
      <c r="R237" s="50" t="n"/>
      <c r="S237" s="50" t="n"/>
    </row>
    <row r="238">
      <c r="B238" s="49" t="n"/>
      <c r="C238" s="49" t="n"/>
      <c r="D238" s="49" t="n"/>
      <c r="E238" s="49" t="n"/>
      <c r="F238" s="49" t="n"/>
      <c r="G238" s="49" t="n"/>
      <c r="H238" s="49" t="n"/>
      <c r="I238" s="49" t="n"/>
      <c r="J238" s="49" t="n"/>
      <c r="K238" s="49" t="n"/>
      <c r="L238" s="49" t="n"/>
      <c r="M238" s="49" t="n"/>
      <c r="N238" s="49" t="n"/>
      <c r="O238" s="49" t="n"/>
      <c r="P238" s="49" t="n"/>
      <c r="Q238" s="49" t="n"/>
      <c r="R238" s="50" t="n"/>
      <c r="S238" s="50" t="n"/>
    </row>
    <row r="239">
      <c r="B239" s="49" t="n"/>
      <c r="C239" s="49" t="n"/>
      <c r="D239" s="49" t="n"/>
      <c r="E239" s="49" t="n"/>
      <c r="F239" s="49" t="n"/>
      <c r="G239" s="49" t="n"/>
      <c r="H239" s="49" t="n"/>
      <c r="I239" s="49" t="n"/>
      <c r="J239" s="49" t="n"/>
      <c r="K239" s="49" t="n"/>
      <c r="L239" s="49" t="n"/>
      <c r="M239" s="49" t="n"/>
      <c r="N239" s="49" t="n"/>
      <c r="O239" s="49" t="n"/>
      <c r="P239" s="49" t="n"/>
      <c r="Q239" s="49" t="n"/>
      <c r="R239" s="50" t="n"/>
      <c r="S239" s="50" t="n"/>
    </row>
    <row r="240">
      <c r="B240" s="49" t="n"/>
      <c r="C240" s="49" t="n"/>
      <c r="D240" s="49" t="n"/>
      <c r="E240" s="49" t="n"/>
      <c r="F240" s="49" t="n"/>
      <c r="G240" s="49" t="n"/>
      <c r="H240" s="49" t="n"/>
      <c r="I240" s="49" t="n"/>
      <c r="J240" s="49" t="n"/>
      <c r="K240" s="49" t="n"/>
      <c r="L240" s="49" t="n"/>
      <c r="M240" s="49" t="n"/>
      <c r="N240" s="49" t="n"/>
      <c r="O240" s="49" t="n"/>
      <c r="P240" s="49" t="n"/>
      <c r="Q240" s="49" t="n"/>
      <c r="R240" s="50" t="n"/>
      <c r="S240" s="50" t="n"/>
    </row>
    <row r="241">
      <c r="B241" s="49" t="n"/>
      <c r="C241" s="49" t="n"/>
      <c r="D241" s="49" t="n"/>
      <c r="E241" s="49" t="n"/>
      <c r="F241" s="49" t="n"/>
      <c r="G241" s="49" t="n"/>
      <c r="H241" s="49" t="n"/>
      <c r="I241" s="49" t="n"/>
      <c r="J241" s="49" t="n"/>
      <c r="K241" s="49" t="n"/>
      <c r="L241" s="49" t="n"/>
      <c r="M241" s="49" t="n"/>
      <c r="N241" s="49" t="n"/>
      <c r="O241" s="49" t="n"/>
      <c r="P241" s="49" t="n"/>
      <c r="Q241" s="49" t="n"/>
      <c r="R241" s="50" t="n"/>
      <c r="S241" s="50" t="n"/>
    </row>
    <row r="242">
      <c r="B242" s="49" t="n"/>
      <c r="C242" s="49" t="n"/>
      <c r="D242" s="49" t="n"/>
      <c r="E242" s="49" t="n"/>
      <c r="F242" s="49" t="n"/>
      <c r="G242" s="49" t="n"/>
      <c r="H242" s="49" t="n"/>
      <c r="I242" s="49" t="n"/>
      <c r="J242" s="49" t="n"/>
      <c r="K242" s="49" t="n"/>
      <c r="L242" s="49" t="n"/>
      <c r="M242" s="49" t="n"/>
      <c r="N242" s="49" t="n"/>
      <c r="O242" s="49" t="n"/>
      <c r="P242" s="49" t="n"/>
      <c r="Q242" s="49" t="n"/>
      <c r="R242" s="50" t="n"/>
      <c r="S242" s="50" t="n"/>
    </row>
    <row r="243">
      <c r="B243" s="49" t="n"/>
      <c r="C243" s="49" t="n"/>
      <c r="D243" s="49" t="n"/>
      <c r="E243" s="49" t="n"/>
      <c r="F243" s="49" t="n"/>
      <c r="G243" s="49" t="n"/>
      <c r="H243" s="49" t="n"/>
      <c r="I243" s="49" t="n"/>
      <c r="J243" s="49" t="n"/>
      <c r="K243" s="49" t="n"/>
      <c r="L243" s="49" t="n"/>
      <c r="M243" s="49" t="n"/>
      <c r="N243" s="49" t="n"/>
      <c r="O243" s="49" t="n"/>
      <c r="P243" s="49" t="n"/>
      <c r="Q243" s="49" t="n"/>
      <c r="R243" s="50" t="n"/>
      <c r="S243" s="50" t="n"/>
    </row>
    <row r="244">
      <c r="B244" s="49" t="n"/>
      <c r="C244" s="49" t="n"/>
      <c r="D244" s="49" t="n"/>
      <c r="E244" s="49" t="n"/>
      <c r="F244" s="49" t="n"/>
      <c r="G244" s="49" t="n"/>
      <c r="H244" s="49" t="n"/>
      <c r="I244" s="49" t="n"/>
      <c r="J244" s="49" t="n"/>
      <c r="K244" s="49" t="n"/>
      <c r="L244" s="49" t="n"/>
      <c r="M244" s="49" t="n"/>
      <c r="N244" s="49" t="n"/>
      <c r="O244" s="49" t="n"/>
      <c r="P244" s="49" t="n"/>
      <c r="Q244" s="49" t="n"/>
      <c r="R244" s="50" t="n"/>
      <c r="S244" s="50" t="n"/>
    </row>
    <row r="245">
      <c r="B245" s="49" t="n"/>
      <c r="C245" s="49" t="n"/>
      <c r="D245" s="49" t="n"/>
      <c r="E245" s="49" t="n"/>
      <c r="F245" s="49" t="n"/>
      <c r="G245" s="49" t="n"/>
      <c r="H245" s="49" t="n"/>
      <c r="I245" s="49" t="n"/>
      <c r="J245" s="49" t="n"/>
      <c r="K245" s="49" t="n"/>
      <c r="L245" s="49" t="n"/>
      <c r="M245" s="49" t="n"/>
      <c r="N245" s="49" t="n"/>
      <c r="O245" s="49" t="n"/>
      <c r="P245" s="49" t="n"/>
      <c r="Q245" s="49" t="n"/>
      <c r="R245" s="50" t="n"/>
      <c r="S245" s="50" t="n"/>
    </row>
    <row r="246">
      <c r="B246" s="49" t="n"/>
      <c r="C246" s="49" t="n"/>
      <c r="D246" s="49" t="n"/>
      <c r="E246" s="49" t="n"/>
      <c r="F246" s="49" t="n"/>
      <c r="G246" s="49" t="n"/>
      <c r="H246" s="49" t="n"/>
      <c r="I246" s="49" t="n"/>
      <c r="J246" s="49" t="n"/>
      <c r="K246" s="49" t="n"/>
      <c r="L246" s="49" t="n"/>
      <c r="M246" s="49" t="n"/>
      <c r="N246" s="49" t="n"/>
      <c r="O246" s="49" t="n"/>
      <c r="P246" s="49" t="n"/>
      <c r="Q246" s="49" t="n"/>
      <c r="R246" s="50" t="n"/>
      <c r="S246" s="50" t="n"/>
    </row>
    <row r="247">
      <c r="B247" s="49" t="n"/>
      <c r="C247" s="49" t="n"/>
      <c r="D247" s="49" t="n"/>
      <c r="E247" s="49" t="n"/>
      <c r="F247" s="49" t="n"/>
      <c r="G247" s="49" t="n"/>
      <c r="H247" s="49" t="n"/>
      <c r="I247" s="49" t="n"/>
      <c r="J247" s="49" t="n"/>
      <c r="K247" s="49" t="n"/>
      <c r="L247" s="49" t="n"/>
      <c r="M247" s="49" t="n"/>
      <c r="N247" s="49" t="n"/>
      <c r="O247" s="49" t="n"/>
      <c r="P247" s="49" t="n"/>
      <c r="Q247" s="49" t="n"/>
      <c r="R247" s="50" t="n"/>
      <c r="S247" s="50" t="n"/>
    </row>
    <row r="248">
      <c r="B248" s="49" t="n"/>
      <c r="C248" s="49" t="n"/>
      <c r="D248" s="49" t="n"/>
      <c r="E248" s="49" t="n"/>
      <c r="F248" s="49" t="n"/>
      <c r="G248" s="49" t="n"/>
      <c r="H248" s="49" t="n"/>
      <c r="I248" s="49" t="n"/>
      <c r="J248" s="49" t="n"/>
      <c r="K248" s="49" t="n"/>
      <c r="L248" s="49" t="n"/>
      <c r="M248" s="49" t="n"/>
      <c r="N248" s="49" t="n"/>
      <c r="O248" s="49" t="n"/>
      <c r="P248" s="49" t="n"/>
      <c r="Q248" s="49" t="n"/>
      <c r="R248" s="50" t="n"/>
      <c r="S248" s="50" t="n"/>
    </row>
    <row r="249">
      <c r="B249" s="49" t="n"/>
      <c r="C249" s="49" t="n"/>
      <c r="D249" s="49" t="n"/>
      <c r="E249" s="49" t="n"/>
      <c r="F249" s="49" t="n"/>
      <c r="G249" s="49" t="n"/>
      <c r="H249" s="49" t="n"/>
      <c r="I249" s="49" t="n"/>
      <c r="J249" s="49" t="n"/>
      <c r="K249" s="49" t="n"/>
      <c r="L249" s="49" t="n"/>
      <c r="M249" s="49" t="n"/>
      <c r="N249" s="49" t="n"/>
      <c r="O249" s="49" t="n"/>
      <c r="P249" s="49" t="n"/>
      <c r="Q249" s="49" t="n"/>
      <c r="R249" s="50" t="n"/>
      <c r="S249" s="50" t="n"/>
    </row>
    <row r="250">
      <c r="B250" s="49" t="n"/>
      <c r="C250" s="49" t="n"/>
      <c r="D250" s="49" t="n"/>
      <c r="E250" s="49" t="n"/>
      <c r="F250" s="49" t="n"/>
      <c r="G250" s="49" t="n"/>
      <c r="H250" s="49" t="n"/>
      <c r="I250" s="49" t="n"/>
      <c r="J250" s="49" t="n"/>
      <c r="K250" s="49" t="n"/>
      <c r="L250" s="49" t="n"/>
      <c r="M250" s="49" t="n"/>
      <c r="N250" s="49" t="n"/>
      <c r="O250" s="49" t="n"/>
      <c r="P250" s="49" t="n"/>
      <c r="Q250" s="49" t="n"/>
      <c r="R250" s="50" t="n"/>
      <c r="S250" s="50" t="n"/>
    </row>
    <row r="251">
      <c r="B251" s="49" t="n"/>
      <c r="C251" s="49" t="n"/>
      <c r="D251" s="49" t="n"/>
      <c r="E251" s="49" t="n"/>
      <c r="F251" s="49" t="n"/>
      <c r="G251" s="49" t="n"/>
      <c r="H251" s="49" t="n"/>
      <c r="I251" s="49" t="n"/>
      <c r="J251" s="49" t="n"/>
      <c r="K251" s="49" t="n"/>
      <c r="L251" s="49" t="n"/>
      <c r="M251" s="49" t="n"/>
      <c r="N251" s="49" t="n"/>
      <c r="O251" s="49" t="n"/>
      <c r="P251" s="49" t="n"/>
      <c r="Q251" s="49" t="n"/>
      <c r="R251" s="50" t="n"/>
      <c r="S251" s="50" t="n"/>
    </row>
    <row r="252">
      <c r="B252" s="49" t="n"/>
      <c r="C252" s="49" t="n"/>
      <c r="D252" s="49" t="n"/>
      <c r="E252" s="49" t="n"/>
      <c r="F252" s="49" t="n"/>
      <c r="G252" s="49" t="n"/>
      <c r="H252" s="49" t="n"/>
      <c r="I252" s="49" t="n"/>
      <c r="J252" s="49" t="n"/>
      <c r="K252" s="49" t="n"/>
      <c r="L252" s="49" t="n"/>
      <c r="M252" s="49" t="n"/>
      <c r="N252" s="49" t="n"/>
      <c r="O252" s="49" t="n"/>
      <c r="P252" s="49" t="n"/>
      <c r="Q252" s="49" t="n"/>
      <c r="R252" s="50" t="n"/>
      <c r="S252" s="50" t="n"/>
    </row>
    <row r="253">
      <c r="B253" s="49" t="n"/>
      <c r="C253" s="49" t="n"/>
      <c r="D253" s="49" t="n"/>
      <c r="E253" s="49" t="n"/>
      <c r="F253" s="49" t="n"/>
      <c r="G253" s="49" t="n"/>
      <c r="H253" s="49" t="n"/>
      <c r="I253" s="49" t="n"/>
      <c r="J253" s="49" t="n"/>
      <c r="K253" s="49" t="n"/>
      <c r="L253" s="49" t="n"/>
      <c r="M253" s="49" t="n"/>
      <c r="N253" s="49" t="n"/>
      <c r="O253" s="49" t="n"/>
      <c r="P253" s="49" t="n"/>
      <c r="Q253" s="49" t="n"/>
      <c r="R253" s="50" t="n"/>
      <c r="S253" s="50" t="n"/>
    </row>
    <row r="254">
      <c r="B254" s="49" t="n"/>
      <c r="C254" s="49" t="n"/>
      <c r="D254" s="49" t="n"/>
      <c r="E254" s="49" t="n"/>
      <c r="F254" s="49" t="n"/>
      <c r="G254" s="49" t="n"/>
      <c r="H254" s="49" t="n"/>
      <c r="I254" s="49" t="n"/>
      <c r="J254" s="49" t="n"/>
      <c r="K254" s="49" t="n"/>
      <c r="L254" s="49" t="n"/>
      <c r="M254" s="49" t="n"/>
      <c r="N254" s="49" t="n"/>
      <c r="O254" s="49" t="n"/>
      <c r="P254" s="49" t="n"/>
      <c r="Q254" s="49" t="n"/>
      <c r="R254" s="50" t="n"/>
      <c r="S254" s="50" t="n"/>
    </row>
    <row r="255">
      <c r="B255" s="49" t="n"/>
      <c r="C255" s="49" t="n"/>
      <c r="D255" s="49" t="n"/>
      <c r="E255" s="49" t="n"/>
      <c r="F255" s="49" t="n"/>
      <c r="G255" s="49" t="n"/>
      <c r="H255" s="49" t="n"/>
      <c r="I255" s="49" t="n"/>
      <c r="J255" s="49" t="n"/>
      <c r="K255" s="49" t="n"/>
      <c r="L255" s="49" t="n"/>
      <c r="M255" s="49" t="n"/>
      <c r="N255" s="49" t="n"/>
      <c r="O255" s="49" t="n"/>
      <c r="P255" s="49" t="n"/>
      <c r="Q255" s="49" t="n"/>
      <c r="R255" s="50" t="n"/>
      <c r="S255" s="50" t="n"/>
    </row>
    <row r="256">
      <c r="B256" s="49" t="n"/>
      <c r="C256" s="49" t="n"/>
      <c r="D256" s="49" t="n"/>
      <c r="E256" s="49" t="n"/>
      <c r="F256" s="49" t="n"/>
      <c r="G256" s="49" t="n"/>
      <c r="H256" s="49" t="n"/>
      <c r="I256" s="49" t="n"/>
      <c r="J256" s="49" t="n"/>
      <c r="K256" s="49" t="n"/>
      <c r="L256" s="49" t="n"/>
      <c r="M256" s="49" t="n"/>
      <c r="N256" s="49" t="n"/>
      <c r="O256" s="49" t="n"/>
      <c r="P256" s="49" t="n"/>
      <c r="Q256" s="49" t="n"/>
      <c r="R256" s="50" t="n"/>
      <c r="S256" s="50" t="n"/>
    </row>
    <row r="257">
      <c r="B257" s="49" t="n"/>
      <c r="C257" s="49" t="n"/>
      <c r="D257" s="49" t="n"/>
      <c r="E257" s="49" t="n"/>
      <c r="F257" s="49" t="n"/>
      <c r="G257" s="49" t="n"/>
      <c r="H257" s="49" t="n"/>
      <c r="I257" s="49" t="n"/>
      <c r="J257" s="49" t="n"/>
      <c r="K257" s="49" t="n"/>
      <c r="L257" s="49" t="n"/>
      <c r="M257" s="49" t="n"/>
      <c r="N257" s="49" t="n"/>
      <c r="O257" s="49" t="n"/>
      <c r="P257" s="49" t="n"/>
      <c r="Q257" s="49" t="n"/>
      <c r="R257" s="50" t="n"/>
      <c r="S257" s="50" t="n"/>
    </row>
    <row r="258">
      <c r="B258" s="49" t="n"/>
      <c r="C258" s="49" t="n"/>
      <c r="D258" s="49" t="n"/>
      <c r="E258" s="49" t="n"/>
      <c r="F258" s="49" t="n"/>
      <c r="G258" s="49" t="n"/>
      <c r="H258" s="49" t="n"/>
      <c r="I258" s="49" t="n"/>
      <c r="J258" s="49" t="n"/>
      <c r="K258" s="49" t="n"/>
      <c r="L258" s="49" t="n"/>
      <c r="M258" s="49" t="n"/>
      <c r="N258" s="49" t="n"/>
      <c r="O258" s="49" t="n"/>
      <c r="P258" s="49" t="n"/>
      <c r="Q258" s="49" t="n"/>
      <c r="R258" s="50" t="n"/>
      <c r="S258" s="50" t="n"/>
    </row>
    <row r="259">
      <c r="B259" s="49" t="n"/>
      <c r="C259" s="49" t="n"/>
      <c r="D259" s="49" t="n"/>
      <c r="E259" s="49" t="n"/>
      <c r="F259" s="49" t="n"/>
      <c r="G259" s="49" t="n"/>
      <c r="H259" s="49" t="n"/>
      <c r="I259" s="49" t="n"/>
      <c r="J259" s="49" t="n"/>
      <c r="K259" s="49" t="n"/>
      <c r="L259" s="49" t="n"/>
      <c r="M259" s="49" t="n"/>
      <c r="N259" s="49" t="n"/>
      <c r="O259" s="49" t="n"/>
      <c r="P259" s="49" t="n"/>
      <c r="Q259" s="49" t="n"/>
      <c r="R259" s="50" t="n"/>
      <c r="S259" s="50" t="n"/>
    </row>
    <row r="260">
      <c r="B260" s="49" t="n"/>
      <c r="C260" s="49" t="n"/>
      <c r="D260" s="49" t="n"/>
      <c r="E260" s="49" t="n"/>
      <c r="F260" s="49" t="n"/>
      <c r="G260" s="49" t="n"/>
      <c r="H260" s="49" t="n"/>
      <c r="I260" s="49" t="n"/>
      <c r="J260" s="49" t="n"/>
      <c r="K260" s="49" t="n"/>
      <c r="L260" s="49" t="n"/>
      <c r="M260" s="49" t="n"/>
      <c r="N260" s="49" t="n"/>
      <c r="O260" s="49" t="n"/>
      <c r="P260" s="49" t="n"/>
      <c r="Q260" s="49" t="n"/>
      <c r="R260" s="50" t="n"/>
      <c r="S260" s="50" t="n"/>
    </row>
    <row r="261">
      <c r="B261" s="49" t="n"/>
      <c r="C261" s="49" t="n"/>
      <c r="D261" s="49" t="n"/>
      <c r="E261" s="49" t="n"/>
      <c r="F261" s="49" t="n"/>
      <c r="G261" s="49" t="n"/>
      <c r="H261" s="49" t="n"/>
      <c r="I261" s="49" t="n"/>
      <c r="J261" s="49" t="n"/>
      <c r="K261" s="49" t="n"/>
      <c r="L261" s="49" t="n"/>
      <c r="M261" s="49" t="n"/>
      <c r="N261" s="49" t="n"/>
      <c r="O261" s="49" t="n"/>
      <c r="P261" s="49" t="n"/>
      <c r="Q261" s="49" t="n"/>
      <c r="R261" s="50" t="n"/>
      <c r="S261" s="50" t="n"/>
    </row>
    <row r="262">
      <c r="B262" s="49" t="n"/>
      <c r="C262" s="49" t="n"/>
      <c r="D262" s="49" t="n"/>
      <c r="E262" s="49" t="n"/>
      <c r="F262" s="49" t="n"/>
      <c r="G262" s="49" t="n"/>
      <c r="H262" s="49" t="n"/>
      <c r="I262" s="49" t="n"/>
      <c r="J262" s="49" t="n"/>
      <c r="K262" s="49" t="n"/>
      <c r="L262" s="49" t="n"/>
      <c r="M262" s="49" t="n"/>
      <c r="N262" s="49" t="n"/>
      <c r="O262" s="49" t="n"/>
      <c r="P262" s="49" t="n"/>
      <c r="Q262" s="49" t="n"/>
      <c r="R262" s="50" t="n"/>
      <c r="S262" s="50" t="n"/>
    </row>
    <row r="263">
      <c r="B263" s="49" t="n"/>
      <c r="C263" s="49" t="n"/>
      <c r="D263" s="49" t="n"/>
      <c r="E263" s="49" t="n"/>
      <c r="F263" s="49" t="n"/>
      <c r="G263" s="49" t="n"/>
      <c r="H263" s="49" t="n"/>
      <c r="I263" s="49" t="n"/>
      <c r="J263" s="49" t="n"/>
      <c r="K263" s="49" t="n"/>
      <c r="L263" s="49" t="n"/>
      <c r="M263" s="49" t="n"/>
      <c r="N263" s="49" t="n"/>
      <c r="O263" s="49" t="n"/>
      <c r="P263" s="49" t="n"/>
      <c r="Q263" s="49" t="n"/>
      <c r="R263" s="50" t="n"/>
      <c r="S263" s="50" t="n"/>
    </row>
    <row r="264">
      <c r="B264" s="49" t="n"/>
      <c r="C264" s="49" t="n"/>
      <c r="D264" s="49" t="n"/>
      <c r="E264" s="49" t="n"/>
      <c r="F264" s="49" t="n"/>
      <c r="G264" s="49" t="n"/>
      <c r="H264" s="49" t="n"/>
      <c r="I264" s="49" t="n"/>
      <c r="J264" s="49" t="n"/>
      <c r="K264" s="49" t="n"/>
      <c r="L264" s="49" t="n"/>
      <c r="M264" s="49" t="n"/>
      <c r="N264" s="49" t="n"/>
      <c r="O264" s="49" t="n"/>
      <c r="P264" s="49" t="n"/>
      <c r="Q264" s="49" t="n"/>
      <c r="R264" s="50" t="n"/>
      <c r="S264" s="50" t="n"/>
    </row>
    <row r="265">
      <c r="B265" s="49" t="n"/>
      <c r="C265" s="49" t="n"/>
      <c r="D265" s="49" t="n"/>
      <c r="E265" s="49" t="n"/>
      <c r="F265" s="49" t="n"/>
      <c r="G265" s="49" t="n"/>
      <c r="H265" s="49" t="n"/>
      <c r="I265" s="49" t="n"/>
      <c r="J265" s="49" t="n"/>
      <c r="K265" s="49" t="n"/>
      <c r="L265" s="49" t="n"/>
      <c r="M265" s="49" t="n"/>
      <c r="N265" s="49" t="n"/>
      <c r="O265" s="49" t="n"/>
      <c r="P265" s="49" t="n"/>
      <c r="Q265" s="49" t="n"/>
      <c r="R265" s="50" t="n"/>
      <c r="S265" s="50" t="n"/>
    </row>
    <row r="266">
      <c r="B266" s="49" t="n"/>
      <c r="C266" s="49" t="n"/>
      <c r="D266" s="49" t="n"/>
      <c r="E266" s="49" t="n"/>
      <c r="F266" s="49" t="n"/>
      <c r="G266" s="49" t="n"/>
      <c r="H266" s="49" t="n"/>
      <c r="I266" s="49" t="n"/>
      <c r="J266" s="49" t="n"/>
      <c r="K266" s="49" t="n"/>
      <c r="L266" s="49" t="n"/>
      <c r="M266" s="49" t="n"/>
      <c r="N266" s="49" t="n"/>
      <c r="O266" s="49" t="n"/>
      <c r="P266" s="49" t="n"/>
      <c r="Q266" s="49" t="n"/>
      <c r="R266" s="50" t="n"/>
      <c r="S266" s="50" t="n"/>
    </row>
    <row r="267">
      <c r="B267" s="49" t="n"/>
      <c r="C267" s="49" t="n"/>
      <c r="D267" s="49" t="n"/>
      <c r="E267" s="49" t="n"/>
      <c r="F267" s="49" t="n"/>
      <c r="G267" s="49" t="n"/>
      <c r="H267" s="49" t="n"/>
      <c r="I267" s="49" t="n"/>
      <c r="J267" s="49" t="n"/>
      <c r="K267" s="49" t="n"/>
      <c r="L267" s="49" t="n"/>
      <c r="M267" s="49" t="n"/>
      <c r="N267" s="49" t="n"/>
      <c r="O267" s="49" t="n"/>
      <c r="P267" s="49" t="n"/>
      <c r="Q267" s="49" t="n"/>
      <c r="R267" s="50" t="n"/>
      <c r="S267" s="50" t="n"/>
    </row>
    <row r="268">
      <c r="B268" s="49" t="n"/>
      <c r="C268" s="49" t="n"/>
      <c r="D268" s="49" t="n"/>
      <c r="E268" s="49" t="n"/>
      <c r="F268" s="49" t="n"/>
      <c r="G268" s="49" t="n"/>
      <c r="H268" s="49" t="n"/>
      <c r="I268" s="49" t="n"/>
      <c r="J268" s="49" t="n"/>
      <c r="K268" s="49" t="n"/>
      <c r="L268" s="49" t="n"/>
      <c r="M268" s="49" t="n"/>
      <c r="N268" s="49" t="n"/>
      <c r="O268" s="49" t="n"/>
      <c r="P268" s="49" t="n"/>
      <c r="Q268" s="49" t="n"/>
      <c r="R268" s="50" t="n"/>
      <c r="S268" s="50" t="n"/>
    </row>
    <row r="269">
      <c r="B269" s="49" t="n"/>
      <c r="C269" s="49" t="n"/>
      <c r="D269" s="49" t="n"/>
      <c r="E269" s="49" t="n"/>
      <c r="F269" s="49" t="n"/>
      <c r="G269" s="49" t="n"/>
      <c r="H269" s="49" t="n"/>
      <c r="I269" s="49" t="n"/>
      <c r="J269" s="49" t="n"/>
      <c r="K269" s="49" t="n"/>
      <c r="L269" s="49" t="n"/>
      <c r="M269" s="49" t="n"/>
      <c r="N269" s="49" t="n"/>
      <c r="O269" s="49" t="n"/>
      <c r="P269" s="49" t="n"/>
      <c r="Q269" s="49" t="n"/>
      <c r="R269" s="50" t="n"/>
      <c r="S269" s="50" t="n"/>
    </row>
    <row r="270">
      <c r="B270" s="49" t="n"/>
      <c r="C270" s="49" t="n"/>
      <c r="D270" s="49" t="n"/>
      <c r="E270" s="49" t="n"/>
      <c r="F270" s="49" t="n"/>
      <c r="G270" s="49" t="n"/>
      <c r="H270" s="49" t="n"/>
      <c r="I270" s="49" t="n"/>
      <c r="J270" s="49" t="n"/>
      <c r="K270" s="49" t="n"/>
      <c r="L270" s="49" t="n"/>
      <c r="M270" s="49" t="n"/>
      <c r="N270" s="49" t="n"/>
      <c r="O270" s="49" t="n"/>
      <c r="P270" s="49" t="n"/>
      <c r="Q270" s="49" t="n"/>
      <c r="R270" s="50" t="n"/>
      <c r="S270" s="50" t="n"/>
    </row>
    <row r="271">
      <c r="B271" s="49" t="n"/>
      <c r="C271" s="49" t="n"/>
      <c r="D271" s="49" t="n"/>
      <c r="E271" s="49" t="n"/>
      <c r="F271" s="49" t="n"/>
      <c r="G271" s="49" t="n"/>
      <c r="H271" s="49" t="n"/>
      <c r="I271" s="49" t="n"/>
      <c r="J271" s="49" t="n"/>
      <c r="K271" s="49" t="n"/>
      <c r="L271" s="49" t="n"/>
      <c r="M271" s="49" t="n"/>
      <c r="N271" s="49" t="n"/>
      <c r="O271" s="49" t="n"/>
      <c r="P271" s="49" t="n"/>
      <c r="Q271" s="49" t="n"/>
      <c r="R271" s="50" t="n"/>
      <c r="S271" s="50" t="n"/>
    </row>
    <row r="272">
      <c r="B272" s="49" t="n"/>
      <c r="C272" s="49" t="n"/>
      <c r="D272" s="49" t="n"/>
      <c r="E272" s="49" t="n"/>
      <c r="F272" s="49" t="n"/>
      <c r="G272" s="49" t="n"/>
      <c r="H272" s="49" t="n"/>
      <c r="I272" s="49" t="n"/>
      <c r="J272" s="49" t="n"/>
      <c r="K272" s="49" t="n"/>
      <c r="L272" s="49" t="n"/>
      <c r="M272" s="49" t="n"/>
      <c r="N272" s="49" t="n"/>
      <c r="O272" s="49" t="n"/>
      <c r="P272" s="49" t="n"/>
      <c r="Q272" s="49" t="n"/>
      <c r="R272" s="50" t="n"/>
      <c r="S272" s="50" t="n"/>
    </row>
    <row r="273">
      <c r="B273" s="49" t="n"/>
      <c r="C273" s="49" t="n"/>
      <c r="D273" s="49" t="n"/>
      <c r="E273" s="49" t="n"/>
      <c r="F273" s="49" t="n"/>
      <c r="G273" s="49" t="n"/>
      <c r="H273" s="49" t="n"/>
      <c r="I273" s="49" t="n"/>
      <c r="J273" s="49" t="n"/>
      <c r="K273" s="49" t="n"/>
      <c r="L273" s="49" t="n"/>
      <c r="M273" s="49" t="n"/>
      <c r="N273" s="49" t="n"/>
      <c r="O273" s="49" t="n"/>
      <c r="P273" s="49" t="n"/>
      <c r="Q273" s="49" t="n"/>
      <c r="R273" s="50" t="n"/>
      <c r="S273" s="50" t="n"/>
    </row>
    <row r="274">
      <c r="B274" s="49" t="n"/>
      <c r="C274" s="49" t="n"/>
      <c r="D274" s="49" t="n"/>
      <c r="E274" s="49" t="n"/>
      <c r="F274" s="49" t="n"/>
      <c r="G274" s="49" t="n"/>
      <c r="H274" s="49" t="n"/>
      <c r="I274" s="49" t="n"/>
      <c r="J274" s="49" t="n"/>
      <c r="K274" s="49" t="n"/>
      <c r="L274" s="49" t="n"/>
      <c r="M274" s="49" t="n"/>
      <c r="N274" s="49" t="n"/>
      <c r="O274" s="49" t="n"/>
      <c r="P274" s="49" t="n"/>
      <c r="Q274" s="49" t="n"/>
      <c r="R274" s="50" t="n"/>
      <c r="S274" s="50" t="n"/>
    </row>
    <row r="275">
      <c r="B275" s="49" t="n"/>
      <c r="C275" s="49" t="n"/>
      <c r="D275" s="49" t="n"/>
      <c r="E275" s="49" t="n"/>
      <c r="F275" s="49" t="n"/>
      <c r="G275" s="49" t="n"/>
      <c r="H275" s="49" t="n"/>
      <c r="I275" s="49" t="n"/>
      <c r="J275" s="49" t="n"/>
      <c r="K275" s="49" t="n"/>
      <c r="L275" s="49" t="n"/>
      <c r="M275" s="49" t="n"/>
      <c r="N275" s="49" t="n"/>
      <c r="O275" s="49" t="n"/>
      <c r="P275" s="49" t="n"/>
      <c r="Q275" s="49" t="n"/>
      <c r="R275" s="50" t="n"/>
      <c r="S275" s="50" t="n"/>
    </row>
    <row r="276">
      <c r="B276" s="49" t="n"/>
      <c r="C276" s="49" t="n"/>
      <c r="D276" s="49" t="n"/>
      <c r="E276" s="49" t="n"/>
      <c r="F276" s="49" t="n"/>
      <c r="G276" s="49" t="n"/>
      <c r="H276" s="49" t="n"/>
      <c r="I276" s="49" t="n"/>
      <c r="J276" s="49" t="n"/>
      <c r="K276" s="49" t="n"/>
      <c r="L276" s="49" t="n"/>
      <c r="M276" s="49" t="n"/>
      <c r="N276" s="49" t="n"/>
      <c r="O276" s="49" t="n"/>
      <c r="P276" s="49" t="n"/>
      <c r="Q276" s="49" t="n"/>
      <c r="R276" s="50" t="n"/>
      <c r="S276" s="50" t="n"/>
    </row>
    <row r="277">
      <c r="B277" s="49" t="n"/>
      <c r="C277" s="49" t="n"/>
      <c r="D277" s="49" t="n"/>
      <c r="E277" s="49" t="n"/>
      <c r="F277" s="49" t="n"/>
      <c r="G277" s="49" t="n"/>
      <c r="H277" s="49" t="n"/>
      <c r="I277" s="49" t="n"/>
      <c r="J277" s="49" t="n"/>
      <c r="K277" s="49" t="n"/>
      <c r="L277" s="49" t="n"/>
      <c r="M277" s="49" t="n"/>
      <c r="N277" s="49" t="n"/>
      <c r="O277" s="49" t="n"/>
      <c r="P277" s="49" t="n"/>
      <c r="Q277" s="49" t="n"/>
      <c r="R277" s="50" t="n"/>
      <c r="S277" s="50" t="n"/>
    </row>
    <row r="278">
      <c r="B278" s="49" t="n"/>
      <c r="C278" s="49" t="n"/>
      <c r="D278" s="49" t="n"/>
      <c r="E278" s="49" t="n"/>
      <c r="F278" s="49" t="n"/>
      <c r="G278" s="49" t="n"/>
      <c r="H278" s="49" t="n"/>
      <c r="I278" s="49" t="n"/>
      <c r="J278" s="49" t="n"/>
      <c r="K278" s="49" t="n"/>
      <c r="L278" s="49" t="n"/>
      <c r="M278" s="49" t="n"/>
      <c r="N278" s="49" t="n"/>
      <c r="O278" s="49" t="n"/>
      <c r="P278" s="49" t="n"/>
      <c r="Q278" s="49" t="n"/>
      <c r="R278" s="50" t="n"/>
      <c r="S278" s="50" t="n"/>
    </row>
    <row r="279">
      <c r="B279" s="49" t="n"/>
      <c r="C279" s="49" t="n"/>
      <c r="D279" s="49" t="n"/>
      <c r="E279" s="49" t="n"/>
      <c r="F279" s="49" t="n"/>
      <c r="G279" s="49" t="n"/>
      <c r="H279" s="49" t="n"/>
      <c r="I279" s="49" t="n"/>
      <c r="J279" s="49" t="n"/>
      <c r="K279" s="49" t="n"/>
      <c r="L279" s="49" t="n"/>
      <c r="M279" s="49" t="n"/>
      <c r="N279" s="49" t="n"/>
      <c r="O279" s="49" t="n"/>
      <c r="P279" s="49" t="n"/>
      <c r="Q279" s="49" t="n"/>
      <c r="R279" s="50" t="n"/>
      <c r="S279" s="50" t="n"/>
    </row>
    <row r="280">
      <c r="B280" s="49" t="n"/>
      <c r="C280" s="49" t="n"/>
      <c r="D280" s="49" t="n"/>
      <c r="E280" s="49" t="n"/>
      <c r="F280" s="49" t="n"/>
      <c r="G280" s="49" t="n"/>
      <c r="H280" s="49" t="n"/>
      <c r="I280" s="49" t="n"/>
      <c r="J280" s="49" t="n"/>
      <c r="K280" s="49" t="n"/>
      <c r="L280" s="49" t="n"/>
      <c r="M280" s="49" t="n"/>
      <c r="N280" s="49" t="n"/>
      <c r="O280" s="49" t="n"/>
      <c r="P280" s="49" t="n"/>
      <c r="Q280" s="49" t="n"/>
      <c r="R280" s="50" t="n"/>
      <c r="S280" s="50" t="n"/>
    </row>
    <row r="281">
      <c r="B281" s="49" t="n"/>
      <c r="C281" s="49" t="n"/>
      <c r="D281" s="49" t="n"/>
      <c r="E281" s="49" t="n"/>
      <c r="F281" s="49" t="n"/>
      <c r="G281" s="49" t="n"/>
      <c r="H281" s="49" t="n"/>
      <c r="I281" s="49" t="n"/>
      <c r="J281" s="49" t="n"/>
      <c r="K281" s="49" t="n"/>
      <c r="L281" s="49" t="n"/>
      <c r="M281" s="49" t="n"/>
      <c r="N281" s="49" t="n"/>
      <c r="O281" s="49" t="n"/>
      <c r="P281" s="49" t="n"/>
      <c r="Q281" s="49" t="n"/>
      <c r="R281" s="50" t="n"/>
      <c r="S281" s="50" t="n"/>
    </row>
    <row r="282">
      <c r="B282" s="49" t="n"/>
      <c r="C282" s="49" t="n"/>
      <c r="D282" s="49" t="n"/>
      <c r="E282" s="49" t="n"/>
      <c r="F282" s="49" t="n"/>
      <c r="G282" s="49" t="n"/>
      <c r="H282" s="49" t="n"/>
      <c r="I282" s="49" t="n"/>
      <c r="J282" s="49" t="n"/>
      <c r="K282" s="49" t="n"/>
      <c r="L282" s="49" t="n"/>
      <c r="M282" s="49" t="n"/>
      <c r="N282" s="49" t="n"/>
      <c r="O282" s="49" t="n"/>
      <c r="P282" s="49" t="n"/>
      <c r="Q282" s="49" t="n"/>
      <c r="R282" s="50" t="n"/>
      <c r="S282" s="50" t="n"/>
    </row>
    <row r="283">
      <c r="B283" s="49" t="n"/>
      <c r="C283" s="49" t="n"/>
      <c r="D283" s="49" t="n"/>
      <c r="E283" s="49" t="n"/>
      <c r="F283" s="49" t="n"/>
      <c r="G283" s="49" t="n"/>
      <c r="H283" s="49" t="n"/>
      <c r="I283" s="49" t="n"/>
      <c r="J283" s="49" t="n"/>
      <c r="K283" s="49" t="n"/>
      <c r="L283" s="49" t="n"/>
      <c r="M283" s="49" t="n"/>
      <c r="N283" s="49" t="n"/>
      <c r="O283" s="49" t="n"/>
      <c r="P283" s="49" t="n"/>
      <c r="Q283" s="49" t="n"/>
      <c r="R283" s="50" t="n"/>
      <c r="S283" s="50" t="n"/>
    </row>
    <row r="284">
      <c r="B284" s="49" t="n"/>
      <c r="C284" s="49" t="n"/>
      <c r="D284" s="49" t="n"/>
      <c r="E284" s="49" t="n"/>
      <c r="F284" s="49" t="n"/>
      <c r="G284" s="49" t="n"/>
      <c r="H284" s="49" t="n"/>
      <c r="I284" s="49" t="n"/>
      <c r="J284" s="49" t="n"/>
      <c r="K284" s="49" t="n"/>
      <c r="L284" s="49" t="n"/>
      <c r="M284" s="49" t="n"/>
      <c r="N284" s="49" t="n"/>
      <c r="O284" s="49" t="n"/>
      <c r="P284" s="49" t="n"/>
      <c r="Q284" s="49" t="n"/>
      <c r="R284" s="50" t="n"/>
      <c r="S284" s="50" t="n"/>
    </row>
    <row r="285">
      <c r="B285" s="49" t="n"/>
      <c r="C285" s="49" t="n"/>
      <c r="D285" s="49" t="n"/>
      <c r="E285" s="49" t="n"/>
      <c r="F285" s="49" t="n"/>
      <c r="G285" s="49" t="n"/>
      <c r="H285" s="49" t="n"/>
      <c r="I285" s="49" t="n"/>
      <c r="J285" s="49" t="n"/>
      <c r="K285" s="49" t="n"/>
      <c r="L285" s="49" t="n"/>
      <c r="M285" s="49" t="n"/>
      <c r="N285" s="49" t="n"/>
      <c r="O285" s="49" t="n"/>
      <c r="P285" s="49" t="n"/>
      <c r="Q285" s="49" t="n"/>
      <c r="R285" s="50" t="n"/>
      <c r="S285" s="50" t="n"/>
    </row>
    <row r="286">
      <c r="B286" s="49" t="n"/>
      <c r="C286" s="49" t="n"/>
      <c r="D286" s="49" t="n"/>
      <c r="E286" s="49" t="n"/>
      <c r="F286" s="49" t="n"/>
      <c r="G286" s="49" t="n"/>
      <c r="H286" s="49" t="n"/>
      <c r="I286" s="49" t="n"/>
      <c r="J286" s="49" t="n"/>
      <c r="K286" s="49" t="n"/>
      <c r="L286" s="49" t="n"/>
      <c r="M286" s="49" t="n"/>
      <c r="N286" s="49" t="n"/>
      <c r="O286" s="49" t="n"/>
      <c r="P286" s="49" t="n"/>
      <c r="Q286" s="49" t="n"/>
      <c r="R286" s="50" t="n"/>
      <c r="S286" s="50" t="n"/>
    </row>
    <row r="287">
      <c r="B287" s="49" t="n"/>
      <c r="C287" s="49" t="n"/>
      <c r="D287" s="49" t="n"/>
      <c r="E287" s="49" t="n"/>
      <c r="F287" s="49" t="n"/>
      <c r="G287" s="49" t="n"/>
      <c r="H287" s="49" t="n"/>
      <c r="I287" s="49" t="n"/>
      <c r="J287" s="49" t="n"/>
      <c r="K287" s="49" t="n"/>
      <c r="L287" s="49" t="n"/>
      <c r="M287" s="49" t="n"/>
      <c r="N287" s="49" t="n"/>
      <c r="O287" s="49" t="n"/>
      <c r="P287" s="49" t="n"/>
      <c r="Q287" s="49" t="n"/>
      <c r="R287" s="50" t="n"/>
      <c r="S287" s="50" t="n"/>
    </row>
    <row r="288">
      <c r="B288" s="49" t="n"/>
      <c r="C288" s="49" t="n"/>
      <c r="D288" s="49" t="n"/>
      <c r="E288" s="49" t="n"/>
      <c r="F288" s="49" t="n"/>
      <c r="G288" s="49" t="n"/>
      <c r="H288" s="49" t="n"/>
      <c r="I288" s="49" t="n"/>
      <c r="J288" s="49" t="n"/>
      <c r="K288" s="49" t="n"/>
      <c r="L288" s="49" t="n"/>
      <c r="M288" s="49" t="n"/>
      <c r="N288" s="49" t="n"/>
      <c r="O288" s="49" t="n"/>
      <c r="P288" s="49" t="n"/>
      <c r="Q288" s="49" t="n"/>
      <c r="R288" s="50" t="n"/>
      <c r="S288" s="50" t="n"/>
    </row>
    <row r="289">
      <c r="B289" s="49" t="n"/>
      <c r="C289" s="49" t="n"/>
      <c r="D289" s="49" t="n"/>
      <c r="E289" s="49" t="n"/>
      <c r="F289" s="49" t="n"/>
      <c r="G289" s="49" t="n"/>
      <c r="H289" s="49" t="n"/>
      <c r="I289" s="49" t="n"/>
      <c r="J289" s="49" t="n"/>
      <c r="K289" s="49" t="n"/>
      <c r="L289" s="49" t="n"/>
      <c r="M289" s="49" t="n"/>
      <c r="N289" s="49" t="n"/>
      <c r="O289" s="49" t="n"/>
      <c r="P289" s="49" t="n"/>
      <c r="Q289" s="49" t="n"/>
      <c r="R289" s="50" t="n"/>
      <c r="S289" s="50" t="n"/>
    </row>
    <row r="290">
      <c r="B290" s="49" t="n"/>
      <c r="C290" s="49" t="n"/>
      <c r="D290" s="49" t="n"/>
      <c r="E290" s="49" t="n"/>
      <c r="F290" s="49" t="n"/>
      <c r="G290" s="49" t="n"/>
      <c r="H290" s="49" t="n"/>
      <c r="I290" s="49" t="n"/>
      <c r="J290" s="49" t="n"/>
      <c r="K290" s="49" t="n"/>
      <c r="L290" s="49" t="n"/>
      <c r="M290" s="49" t="n"/>
      <c r="N290" s="49" t="n"/>
      <c r="O290" s="49" t="n"/>
      <c r="P290" s="49" t="n"/>
      <c r="Q290" s="49" t="n"/>
      <c r="R290" s="50" t="n"/>
      <c r="S290" s="50" t="n"/>
    </row>
    <row r="291">
      <c r="B291" s="49" t="n"/>
      <c r="C291" s="49" t="n"/>
      <c r="D291" s="49" t="n"/>
      <c r="E291" s="49" t="n"/>
      <c r="F291" s="49" t="n"/>
      <c r="G291" s="49" t="n"/>
      <c r="H291" s="49" t="n"/>
      <c r="I291" s="49" t="n"/>
      <c r="J291" s="49" t="n"/>
      <c r="K291" s="49" t="n"/>
      <c r="L291" s="49" t="n"/>
      <c r="M291" s="49" t="n"/>
      <c r="N291" s="49" t="n"/>
      <c r="O291" s="49" t="n"/>
      <c r="P291" s="49" t="n"/>
      <c r="Q291" s="49" t="n"/>
      <c r="R291" s="50" t="n"/>
      <c r="S291" s="50" t="n"/>
    </row>
    <row r="292">
      <c r="B292" s="49" t="n"/>
      <c r="C292" s="49" t="n"/>
      <c r="D292" s="49" t="n"/>
      <c r="E292" s="49" t="n"/>
      <c r="F292" s="49" t="n"/>
      <c r="G292" s="49" t="n"/>
      <c r="H292" s="49" t="n"/>
      <c r="I292" s="49" t="n"/>
      <c r="J292" s="49" t="n"/>
      <c r="K292" s="49" t="n"/>
      <c r="L292" s="49" t="n"/>
      <c r="M292" s="49" t="n"/>
      <c r="N292" s="49" t="n"/>
      <c r="O292" s="49" t="n"/>
      <c r="P292" s="49" t="n"/>
      <c r="Q292" s="49" t="n"/>
      <c r="R292" s="50" t="n"/>
      <c r="S292" s="50" t="n"/>
    </row>
    <row r="293">
      <c r="B293" s="49" t="n"/>
      <c r="C293" s="49" t="n"/>
      <c r="D293" s="49" t="n"/>
      <c r="E293" s="49" t="n"/>
      <c r="F293" s="49" t="n"/>
      <c r="G293" s="49" t="n"/>
      <c r="H293" s="49" t="n"/>
      <c r="I293" s="49" t="n"/>
      <c r="J293" s="49" t="n"/>
      <c r="K293" s="49" t="n"/>
      <c r="L293" s="49" t="n"/>
      <c r="M293" s="49" t="n"/>
      <c r="N293" s="49" t="n"/>
      <c r="O293" s="49" t="n"/>
      <c r="P293" s="49" t="n"/>
      <c r="Q293" s="49" t="n"/>
      <c r="R293" s="50" t="n"/>
      <c r="S293" s="50" t="n"/>
    </row>
    <row r="294">
      <c r="B294" s="49" t="n"/>
      <c r="C294" s="49" t="n"/>
      <c r="D294" s="49" t="n"/>
      <c r="E294" s="49" t="n"/>
      <c r="F294" s="49" t="n"/>
      <c r="G294" s="49" t="n"/>
      <c r="H294" s="49" t="n"/>
      <c r="I294" s="49" t="n"/>
      <c r="J294" s="49" t="n"/>
      <c r="K294" s="49" t="n"/>
      <c r="L294" s="49" t="n"/>
      <c r="M294" s="49" t="n"/>
      <c r="N294" s="49" t="n"/>
      <c r="O294" s="49" t="n"/>
      <c r="P294" s="49" t="n"/>
      <c r="Q294" s="49" t="n"/>
      <c r="R294" s="50" t="n"/>
      <c r="S294" s="50" t="n"/>
    </row>
    <row r="295">
      <c r="B295" s="49" t="n"/>
      <c r="C295" s="49" t="n"/>
      <c r="D295" s="49" t="n"/>
      <c r="E295" s="49" t="n"/>
      <c r="F295" s="49" t="n"/>
      <c r="G295" s="49" t="n"/>
      <c r="H295" s="49" t="n"/>
      <c r="I295" s="49" t="n"/>
      <c r="J295" s="49" t="n"/>
      <c r="K295" s="49" t="n"/>
      <c r="L295" s="49" t="n"/>
      <c r="M295" s="49" t="n"/>
      <c r="N295" s="49" t="n"/>
      <c r="O295" s="49" t="n"/>
      <c r="P295" s="49" t="n"/>
      <c r="Q295" s="49" t="n"/>
      <c r="R295" s="50" t="n"/>
      <c r="S295" s="50" t="n"/>
    </row>
    <row r="296">
      <c r="B296" s="49" t="n"/>
      <c r="C296" s="49" t="n"/>
      <c r="D296" s="49" t="n"/>
      <c r="E296" s="49" t="n"/>
      <c r="F296" s="49" t="n"/>
      <c r="G296" s="49" t="n"/>
      <c r="H296" s="49" t="n"/>
      <c r="I296" s="49" t="n"/>
      <c r="J296" s="49" t="n"/>
      <c r="K296" s="49" t="n"/>
      <c r="L296" s="49" t="n"/>
      <c r="M296" s="49" t="n"/>
      <c r="N296" s="49" t="n"/>
      <c r="O296" s="49" t="n"/>
      <c r="P296" s="49" t="n"/>
      <c r="Q296" s="49" t="n"/>
      <c r="R296" s="50" t="n"/>
      <c r="S296" s="50" t="n"/>
    </row>
    <row r="297">
      <c r="B297" s="49" t="n"/>
      <c r="C297" s="49" t="n"/>
      <c r="D297" s="49" t="n"/>
      <c r="E297" s="49" t="n"/>
      <c r="F297" s="49" t="n"/>
      <c r="G297" s="49" t="n"/>
      <c r="H297" s="49" t="n"/>
      <c r="I297" s="49" t="n"/>
      <c r="J297" s="49" t="n"/>
      <c r="K297" s="49" t="n"/>
      <c r="L297" s="49" t="n"/>
      <c r="M297" s="49" t="n"/>
      <c r="N297" s="49" t="n"/>
      <c r="O297" s="49" t="n"/>
      <c r="P297" s="49" t="n"/>
      <c r="Q297" s="49" t="n"/>
      <c r="R297" s="50" t="n"/>
      <c r="S297" s="50" t="n"/>
    </row>
    <row r="298">
      <c r="B298" s="49" t="n"/>
      <c r="C298" s="49" t="n"/>
      <c r="D298" s="49" t="n"/>
      <c r="E298" s="49" t="n"/>
      <c r="F298" s="49" t="n"/>
      <c r="G298" s="49" t="n"/>
      <c r="H298" s="49" t="n"/>
      <c r="I298" s="49" t="n"/>
      <c r="J298" s="49" t="n"/>
      <c r="K298" s="49" t="n"/>
      <c r="L298" s="49" t="n"/>
      <c r="M298" s="49" t="n"/>
      <c r="N298" s="49" t="n"/>
      <c r="O298" s="49" t="n"/>
      <c r="P298" s="49" t="n"/>
      <c r="Q298" s="49" t="n"/>
      <c r="R298" s="50" t="n"/>
      <c r="S298" s="50" t="n"/>
    </row>
    <row r="299">
      <c r="B299" s="49" t="n"/>
      <c r="C299" s="49" t="n"/>
      <c r="D299" s="49" t="n"/>
      <c r="E299" s="49" t="n"/>
      <c r="F299" s="49" t="n"/>
      <c r="G299" s="49" t="n"/>
      <c r="H299" s="49" t="n"/>
      <c r="I299" s="49" t="n"/>
      <c r="J299" s="49" t="n"/>
      <c r="K299" s="49" t="n"/>
      <c r="L299" s="49" t="n"/>
      <c r="M299" s="49" t="n"/>
      <c r="N299" s="49" t="n"/>
      <c r="O299" s="49" t="n"/>
      <c r="P299" s="49" t="n"/>
      <c r="Q299" s="49" t="n"/>
      <c r="R299" s="50" t="n"/>
      <c r="S299" s="50" t="n"/>
    </row>
    <row r="300">
      <c r="B300" s="49" t="n"/>
      <c r="C300" s="49" t="n"/>
      <c r="D300" s="49" t="n"/>
      <c r="E300" s="49" t="n"/>
      <c r="F300" s="49" t="n"/>
      <c r="G300" s="49" t="n"/>
      <c r="H300" s="49" t="n"/>
      <c r="I300" s="49" t="n"/>
      <c r="J300" s="49" t="n"/>
      <c r="K300" s="49" t="n"/>
      <c r="L300" s="49" t="n"/>
      <c r="M300" s="49" t="n"/>
      <c r="N300" s="49" t="n"/>
      <c r="O300" s="49" t="n"/>
      <c r="P300" s="49" t="n"/>
      <c r="Q300" s="49" t="n"/>
      <c r="R300" s="50" t="n"/>
      <c r="S300" s="50" t="n"/>
    </row>
    <row r="301">
      <c r="B301" s="49" t="n"/>
      <c r="C301" s="49" t="n"/>
      <c r="D301" s="49" t="n"/>
      <c r="E301" s="49" t="n"/>
      <c r="F301" s="49" t="n"/>
      <c r="G301" s="49" t="n"/>
      <c r="H301" s="49" t="n"/>
      <c r="I301" s="49" t="n"/>
      <c r="J301" s="49" t="n"/>
      <c r="K301" s="49" t="n"/>
      <c r="L301" s="49" t="n"/>
      <c r="M301" s="49" t="n"/>
      <c r="N301" s="49" t="n"/>
      <c r="O301" s="49" t="n"/>
      <c r="P301" s="49" t="n"/>
      <c r="Q301" s="49" t="n"/>
      <c r="R301" s="50" t="n"/>
      <c r="S301" s="50" t="n"/>
    </row>
    <row r="302">
      <c r="B302" s="49" t="n"/>
      <c r="C302" s="49" t="n"/>
      <c r="D302" s="49" t="n"/>
      <c r="E302" s="49" t="n"/>
      <c r="F302" s="49" t="n"/>
      <c r="G302" s="49" t="n"/>
      <c r="H302" s="49" t="n"/>
      <c r="I302" s="49" t="n"/>
      <c r="J302" s="49" t="n"/>
      <c r="K302" s="49" t="n"/>
      <c r="L302" s="49" t="n"/>
      <c r="M302" s="49" t="n"/>
      <c r="N302" s="49" t="n"/>
      <c r="O302" s="49" t="n"/>
      <c r="P302" s="49" t="n"/>
      <c r="Q302" s="49" t="n"/>
      <c r="R302" s="50" t="n"/>
      <c r="S302" s="50" t="n"/>
    </row>
    <row r="303">
      <c r="B303" s="49" t="n"/>
      <c r="C303" s="49" t="n"/>
      <c r="D303" s="49" t="n"/>
      <c r="E303" s="49" t="n"/>
      <c r="F303" s="49" t="n"/>
      <c r="G303" s="49" t="n"/>
      <c r="H303" s="49" t="n"/>
      <c r="I303" s="49" t="n"/>
      <c r="J303" s="49" t="n"/>
      <c r="K303" s="49" t="n"/>
      <c r="L303" s="49" t="n"/>
      <c r="M303" s="49" t="n"/>
      <c r="N303" s="49" t="n"/>
      <c r="O303" s="49" t="n"/>
      <c r="P303" s="49" t="n"/>
      <c r="Q303" s="49" t="n"/>
      <c r="R303" s="50" t="n"/>
      <c r="S303" s="50" t="n"/>
    </row>
    <row r="304">
      <c r="B304" s="49" t="n"/>
      <c r="C304" s="49" t="n"/>
      <c r="D304" s="49" t="n"/>
      <c r="E304" s="49" t="n"/>
      <c r="F304" s="49" t="n"/>
      <c r="G304" s="49" t="n"/>
      <c r="H304" s="49" t="n"/>
      <c r="I304" s="49" t="n"/>
      <c r="J304" s="49" t="n"/>
      <c r="K304" s="49" t="n"/>
      <c r="L304" s="49" t="n"/>
      <c r="M304" s="49" t="n"/>
      <c r="N304" s="49" t="n"/>
      <c r="O304" s="49" t="n"/>
      <c r="P304" s="49" t="n"/>
      <c r="Q304" s="49" t="n"/>
      <c r="R304" s="50" t="n"/>
      <c r="S304" s="50" t="n"/>
    </row>
    <row r="305">
      <c r="B305" s="49" t="n"/>
      <c r="C305" s="49" t="n"/>
      <c r="D305" s="49" t="n"/>
      <c r="E305" s="49" t="n"/>
      <c r="F305" s="49" t="n"/>
      <c r="G305" s="49" t="n"/>
      <c r="H305" s="49" t="n"/>
      <c r="I305" s="49" t="n"/>
      <c r="J305" s="49" t="n"/>
      <c r="K305" s="49" t="n"/>
      <c r="L305" s="49" t="n"/>
      <c r="M305" s="49" t="n"/>
      <c r="N305" s="49" t="n"/>
      <c r="O305" s="49" t="n"/>
      <c r="P305" s="49" t="n"/>
      <c r="Q305" s="49" t="n"/>
      <c r="R305" s="50" t="n"/>
      <c r="S305" s="50" t="n"/>
    </row>
    <row r="306">
      <c r="B306" s="49" t="n"/>
      <c r="C306" s="49" t="n"/>
      <c r="D306" s="49" t="n"/>
      <c r="E306" s="49" t="n"/>
      <c r="F306" s="49" t="n"/>
      <c r="G306" s="49" t="n"/>
      <c r="H306" s="49" t="n"/>
      <c r="I306" s="49" t="n"/>
      <c r="J306" s="49" t="n"/>
      <c r="K306" s="49" t="n"/>
      <c r="L306" s="49" t="n"/>
      <c r="M306" s="49" t="n"/>
      <c r="N306" s="49" t="n"/>
      <c r="O306" s="49" t="n"/>
      <c r="P306" s="49" t="n"/>
      <c r="Q306" s="49" t="n"/>
      <c r="R306" s="50" t="n"/>
      <c r="S306" s="50" t="n"/>
    </row>
    <row r="307">
      <c r="B307" s="49" t="n"/>
      <c r="C307" s="49" t="n"/>
      <c r="D307" s="49" t="n"/>
      <c r="E307" s="49" t="n"/>
      <c r="F307" s="49" t="n"/>
      <c r="G307" s="49" t="n"/>
      <c r="H307" s="49" t="n"/>
      <c r="I307" s="49" t="n"/>
      <c r="J307" s="49" t="n"/>
      <c r="K307" s="49" t="n"/>
      <c r="L307" s="49" t="n"/>
      <c r="M307" s="49" t="n"/>
      <c r="N307" s="49" t="n"/>
      <c r="O307" s="49" t="n"/>
      <c r="P307" s="49" t="n"/>
      <c r="Q307" s="49" t="n"/>
      <c r="R307" s="50" t="n"/>
      <c r="S307" s="50" t="n"/>
    </row>
    <row r="308">
      <c r="B308" s="49" t="n"/>
      <c r="C308" s="49" t="n"/>
      <c r="D308" s="49" t="n"/>
      <c r="E308" s="49" t="n"/>
      <c r="F308" s="49" t="n"/>
      <c r="G308" s="49" t="n"/>
      <c r="H308" s="49" t="n"/>
      <c r="I308" s="49" t="n"/>
      <c r="J308" s="49" t="n"/>
      <c r="K308" s="49" t="n"/>
      <c r="L308" s="49" t="n"/>
      <c r="M308" s="49" t="n"/>
      <c r="N308" s="49" t="n"/>
      <c r="O308" s="49" t="n"/>
      <c r="P308" s="49" t="n"/>
      <c r="Q308" s="49" t="n"/>
      <c r="R308" s="50" t="n"/>
      <c r="S308" s="50" t="n"/>
    </row>
    <row r="309">
      <c r="B309" s="49" t="n"/>
      <c r="C309" s="49" t="n"/>
      <c r="D309" s="49" t="n"/>
      <c r="E309" s="49" t="n"/>
      <c r="F309" s="49" t="n"/>
      <c r="G309" s="49" t="n"/>
      <c r="H309" s="49" t="n"/>
      <c r="I309" s="49" t="n"/>
      <c r="J309" s="49" t="n"/>
      <c r="K309" s="49" t="n"/>
      <c r="L309" s="49" t="n"/>
      <c r="M309" s="49" t="n"/>
      <c r="N309" s="49" t="n"/>
      <c r="O309" s="49" t="n"/>
      <c r="P309" s="49" t="n"/>
      <c r="Q309" s="49" t="n"/>
      <c r="R309" s="50" t="n"/>
      <c r="S309" s="50" t="n"/>
    </row>
    <row r="310">
      <c r="B310" s="49" t="n"/>
      <c r="C310" s="49" t="n"/>
      <c r="D310" s="49" t="n"/>
      <c r="E310" s="49" t="n"/>
      <c r="F310" s="49" t="n"/>
      <c r="G310" s="49" t="n"/>
      <c r="H310" s="49" t="n"/>
      <c r="I310" s="49" t="n"/>
      <c r="J310" s="49" t="n"/>
      <c r="K310" s="49" t="n"/>
      <c r="L310" s="49" t="n"/>
      <c r="M310" s="49" t="n"/>
      <c r="N310" s="49" t="n"/>
      <c r="O310" s="49" t="n"/>
      <c r="P310" s="49" t="n"/>
      <c r="Q310" s="49" t="n"/>
      <c r="R310" s="50" t="n"/>
      <c r="S310" s="50" t="n"/>
    </row>
    <row r="311">
      <c r="B311" s="49" t="n"/>
      <c r="C311" s="49" t="n"/>
      <c r="D311" s="49" t="n"/>
      <c r="E311" s="49" t="n"/>
      <c r="F311" s="49" t="n"/>
      <c r="G311" s="49" t="n"/>
      <c r="H311" s="49" t="n"/>
      <c r="I311" s="49" t="n"/>
      <c r="J311" s="49" t="n"/>
      <c r="K311" s="49" t="n"/>
      <c r="L311" s="49" t="n"/>
      <c r="M311" s="49" t="n"/>
      <c r="N311" s="49" t="n"/>
      <c r="O311" s="49" t="n"/>
      <c r="P311" s="49" t="n"/>
      <c r="Q311" s="49" t="n"/>
      <c r="R311" s="50" t="n"/>
      <c r="S311" s="50" t="n"/>
    </row>
    <row r="312">
      <c r="B312" s="49" t="n"/>
      <c r="C312" s="49" t="n"/>
      <c r="D312" s="49" t="n"/>
      <c r="E312" s="49" t="n"/>
      <c r="F312" s="49" t="n"/>
      <c r="G312" s="49" t="n"/>
      <c r="H312" s="49" t="n"/>
      <c r="I312" s="49" t="n"/>
      <c r="J312" s="49" t="n"/>
      <c r="K312" s="49" t="n"/>
      <c r="L312" s="49" t="n"/>
      <c r="M312" s="49" t="n"/>
      <c r="N312" s="49" t="n"/>
      <c r="O312" s="49" t="n"/>
      <c r="P312" s="49" t="n"/>
      <c r="Q312" s="49" t="n"/>
      <c r="R312" s="50" t="n"/>
      <c r="S312" s="50" t="n"/>
    </row>
    <row r="313">
      <c r="B313" s="49" t="n"/>
      <c r="C313" s="49" t="n"/>
      <c r="D313" s="49" t="n"/>
      <c r="E313" s="49" t="n"/>
      <c r="F313" s="49" t="n"/>
      <c r="G313" s="49" t="n"/>
      <c r="H313" s="49" t="n"/>
      <c r="I313" s="49" t="n"/>
      <c r="J313" s="49" t="n"/>
      <c r="K313" s="49" t="n"/>
      <c r="L313" s="49" t="n"/>
      <c r="M313" s="49" t="n"/>
      <c r="N313" s="49" t="n"/>
      <c r="O313" s="49" t="n"/>
      <c r="P313" s="49" t="n"/>
      <c r="Q313" s="49" t="n"/>
      <c r="R313" s="50" t="n"/>
      <c r="S313" s="50" t="n"/>
    </row>
    <row r="314">
      <c r="B314" s="49" t="n"/>
      <c r="C314" s="49" t="n"/>
      <c r="D314" s="49" t="n"/>
      <c r="E314" s="49" t="n"/>
      <c r="F314" s="49" t="n"/>
      <c r="G314" s="49" t="n"/>
      <c r="H314" s="49" t="n"/>
      <c r="I314" s="49" t="n"/>
      <c r="J314" s="49" t="n"/>
      <c r="K314" s="49" t="n"/>
      <c r="L314" s="49" t="n"/>
      <c r="M314" s="49" t="n"/>
      <c r="N314" s="49" t="n"/>
      <c r="O314" s="49" t="n"/>
      <c r="P314" s="49" t="n"/>
      <c r="Q314" s="49" t="n"/>
      <c r="R314" s="50" t="n"/>
      <c r="S314" s="50" t="n"/>
    </row>
    <row r="315">
      <c r="B315" s="49" t="n"/>
      <c r="C315" s="49" t="n"/>
      <c r="D315" s="49" t="n"/>
      <c r="E315" s="49" t="n"/>
      <c r="F315" s="49" t="n"/>
      <c r="G315" s="49" t="n"/>
      <c r="H315" s="49" t="n"/>
      <c r="I315" s="49" t="n"/>
      <c r="J315" s="49" t="n"/>
      <c r="K315" s="49" t="n"/>
      <c r="L315" s="49" t="n"/>
      <c r="M315" s="49" t="n"/>
      <c r="N315" s="49" t="n"/>
      <c r="O315" s="49" t="n"/>
      <c r="P315" s="49" t="n"/>
      <c r="Q315" s="49" t="n"/>
      <c r="R315" s="50" t="n"/>
      <c r="S315" s="50" t="n"/>
    </row>
    <row r="316">
      <c r="B316" s="49" t="n"/>
      <c r="C316" s="49" t="n"/>
      <c r="D316" s="49" t="n"/>
      <c r="E316" s="49" t="n"/>
      <c r="F316" s="49" t="n"/>
      <c r="G316" s="49" t="n"/>
      <c r="H316" s="49" t="n"/>
      <c r="I316" s="49" t="n"/>
      <c r="J316" s="49" t="n"/>
      <c r="K316" s="49" t="n"/>
      <c r="L316" s="49" t="n"/>
      <c r="M316" s="49" t="n"/>
      <c r="N316" s="49" t="n"/>
      <c r="O316" s="49" t="n"/>
      <c r="P316" s="49" t="n"/>
      <c r="Q316" s="49" t="n"/>
      <c r="R316" s="50" t="n"/>
      <c r="S316" s="50" t="n"/>
    </row>
    <row r="317">
      <c r="B317" s="49" t="n"/>
      <c r="C317" s="49" t="n"/>
      <c r="D317" s="49" t="n"/>
      <c r="E317" s="49" t="n"/>
      <c r="F317" s="49" t="n"/>
      <c r="G317" s="49" t="n"/>
      <c r="H317" s="49" t="n"/>
      <c r="I317" s="49" t="n"/>
      <c r="J317" s="49" t="n"/>
      <c r="K317" s="49" t="n"/>
      <c r="L317" s="49" t="n"/>
      <c r="M317" s="49" t="n"/>
      <c r="N317" s="49" t="n"/>
      <c r="O317" s="49" t="n"/>
      <c r="P317" s="49" t="n"/>
      <c r="Q317" s="49" t="n"/>
      <c r="R317" s="50" t="n"/>
      <c r="S317" s="50" t="n"/>
    </row>
    <row r="318">
      <c r="B318" s="49" t="n"/>
      <c r="C318" s="49" t="n"/>
      <c r="D318" s="49" t="n"/>
      <c r="E318" s="49" t="n"/>
      <c r="F318" s="49" t="n"/>
      <c r="G318" s="49" t="n"/>
      <c r="H318" s="49" t="n"/>
      <c r="I318" s="49" t="n"/>
      <c r="J318" s="49" t="n"/>
      <c r="K318" s="49" t="n"/>
      <c r="L318" s="49" t="n"/>
      <c r="M318" s="49" t="n"/>
      <c r="N318" s="49" t="n"/>
      <c r="O318" s="49" t="n"/>
      <c r="P318" s="49" t="n"/>
      <c r="Q318" s="49" t="n"/>
      <c r="R318" s="50" t="n"/>
      <c r="S318" s="50" t="n"/>
    </row>
  </sheetData>
  <mergeCells count="11">
    <mergeCell ref="D8:E8"/>
    <mergeCell ref="B6:S6"/>
    <mergeCell ref="I8:S8"/>
    <mergeCell ref="B7:S7"/>
    <mergeCell ref="B11:C11"/>
    <mergeCell ref="B3:S3"/>
    <mergeCell ref="B5:S5"/>
    <mergeCell ref="B9:S9"/>
    <mergeCell ref="G8:H8"/>
    <mergeCell ref="B8:C8"/>
    <mergeCell ref="B4:S4"/>
  </mergeCells>
  <conditionalFormatting sqref="E10">
    <cfRule type="cellIs" priority="1" operator="greaterThan" dxfId="5">
      <formula>0</formula>
    </cfRule>
  </conditionalFormatting>
  <conditionalFormatting sqref="B18:B318">
    <cfRule type="expression" priority="2" dxfId="6">
      <formula>AND(LEN($B18&amp;$C18&amp;$D18&amp;$E18&amp;$F18&amp;$G18&amp;$H18&amp;$I18&amp;$J18&amp;$K18&amp;$L18&amp;$M18&amp;$N18&amp;$O18&amp;$P18&amp;$Q18&amp;$R18&amp;$S18)&gt;0,B18="")</formula>
    </cfRule>
  </conditionalFormatting>
  <conditionalFormatting sqref="C18:C318">
    <cfRule type="expression" priority="3" dxfId="6">
      <formula>AND(LEN($B18&amp;$C18&amp;$D18&amp;$E18&amp;$F18&amp;$G18&amp;$H18&amp;$I18&amp;$J18&amp;$K18&amp;$L18&amp;$M18&amp;$N18&amp;$O18&amp;$P18&amp;$Q18&amp;$R18&amp;$S18)&gt;0,C18="")</formula>
    </cfRule>
  </conditionalFormatting>
  <conditionalFormatting sqref="E18:E318">
    <cfRule type="expression" priority="4" dxfId="6">
      <formula>AND(LEN($B18&amp;$C18&amp;$D18&amp;$E18&amp;$F18&amp;$G18&amp;$H18&amp;$I18&amp;$J18&amp;$K18&amp;$L18&amp;$M18&amp;$N18&amp;$O18&amp;$P18&amp;$Q18&amp;$R18&amp;$S18)&gt;0,E18="")</formula>
    </cfRule>
  </conditionalFormatting>
  <conditionalFormatting sqref="F18:F318">
    <cfRule type="expression" priority="5" dxfId="6">
      <formula>AND(LEN($B18&amp;$C18&amp;$D18&amp;$E18&amp;$F18&amp;$G18&amp;$H18&amp;$I18&amp;$J18&amp;$K18&amp;$L18&amp;$M18&amp;$N18&amp;$O18&amp;$P18&amp;$Q18&amp;$R18&amp;$S18)&gt;0,F18="")</formula>
    </cfRule>
  </conditionalFormatting>
  <dataValidations count="19">
    <dataValidation sqref="E11" showDropDown="0" showInputMessage="1" showErrorMessage="1" allowBlank="1" errorTitle="Date" error="Enter a date (dd-mmm-yyyy)." promptTitle="Date" prompt="Date the owner confirmed the content" type="date" operator="greaterThan">
      <formula1>DATE(2026,1,1)</formula1>
    </dataValidation>
    <dataValidation sqref="B18:B318" showDropDown="0" showInputMessage="1" showErrorMessage="1" allowBlank="1" errorTitle="Party code" error="At most 30 characters." promptTitle="Party code" prompt="Yes. Code of the client, insurer, partner or payee Allowed: Free entry, up to 30 characters" type="textLength" operator="lessThanOrEqual">
      <formula1>30</formula1>
    </dataValidation>
    <dataValidation sqref="C18:C318" showDropDown="0" showInputMessage="1" showErrorMessage="1" allowBlank="1" errorTitle="TIN" error="At most 20 characters." promptTitle="TIN" prompt="Yes. Taxpayer identification number as registered Allowed: Free entry, up to 20 characters" type="textLength" operator="lessThanOrEqual">
      <formula1>20</formula1>
    </dataValidation>
    <dataValidation sqref="D18:D318" showDropDown="0" showInputMessage="1" showErrorMessage="1" allowBlank="1" errorTitle="Branch code" error="At most 5 characters." promptTitle="Branch code" prompt="No. TIN branch code (000 or 00000 for the head office) Allowed: Free entry, up to 5 characters" type="textLength" operator="lessThanOrEqual">
      <formula1>5</formula1>
    </dataValidation>
    <dataValidation sqref="E18:E318" showDropDown="0" showInputMessage="1" showErrorMessage="1" allowBlank="1" errorTitle="Payee class" error="Choose a value of the list Payee class (BIR) (sheet Reference lists)." promptTitle="Payee class" prompt="Yes. Individual or corporate (decides the WI or WC ATC and the alphalist name) Allowed: INDIVIDUAL, CORPORATE (list Payee class (BIR))" type="list" errorStyle="stop">
      <formula1>=LIST_TAX_PAYEE_CLASS</formula1>
    </dataValidation>
    <dataValidation sqref="F18:F318" showDropDown="0" showInputMessage="1" showErrorMessage="1" allowBlank="1" errorTitle="Registered name" error="At most 200 characters." promptTitle="Registered name" prompt="Yes. Name as registered with the BIR Allowed: Free entry, up to 200 characters" type="textLength" operator="lessThanOrEqual">
      <formula1>200</formula1>
    </dataValidation>
    <dataValidation sqref="G18:G318" showDropDown="0" showInputMessage="1" showErrorMessage="1" allowBlank="1" errorTitle="Last name" error="At most 60 characters." promptTitle="Last name" prompt="Conditional: individuals. Last name of an individual Allowed: Free entry, up to 60 characters" type="textLength" operator="lessThanOrEqual">
      <formula1>60</formula1>
    </dataValidation>
    <dataValidation sqref="H18:H318" showDropDown="0" showInputMessage="1" showErrorMessage="1" allowBlank="1" errorTitle="First name" error="At most 60 characters." promptTitle="First name" prompt="Conditional: individuals. First name of an individual Allowed: Free entry, up to 60 characters" type="textLength" operator="lessThanOrEqual">
      <formula1>60</formula1>
    </dataValidation>
    <dataValidation sqref="I18:I318" showDropDown="0" showInputMessage="1" showErrorMessage="1" allowBlank="1" errorTitle="Middle name" error="At most 60 characters." promptTitle="Middle name" prompt="No. Middle name of an individual Allowed: Free entry, up to 60 characters" type="textLength" operator="lessThanOrEqual">
      <formula1>60</formula1>
    </dataValidation>
    <dataValidation sqref="J18:J318" showDropDown="0" showInputMessage="1" showErrorMessage="1" allowBlank="1" errorTitle="Registered address" error="At most 300 characters." promptTitle="Registered address" prompt="No. Address as registered with the BIR Allowed: Free entry, up to 300 characters" type="textLength" operator="lessThanOrEqual">
      <formula1>300</formula1>
    </dataValidation>
    <dataValidation sqref="K18:K318" showDropDown="0" showInputMessage="1" showErrorMessage="1" allowBlank="1" errorTitle="ZIP code" error="At most 10 characters." promptTitle="ZIP code" prompt="No. ZIP code of the registered address Allowed: Free entry, up to 10 characters" type="textLength" operator="lessThanOrEqual">
      <formula1>10</formula1>
    </dataValidation>
    <dataValidation sqref="L18:L318" showDropDown="0" showInputMessage="1" showErrorMessage="1" allowBlank="1" errorTitle="VAT treatment" error="Choose a value of the list VAT treatment (sheet Reference lists)." promptTitle="VAT treatment" prompt="No. How a premium without VAT is classified on the VAT return Allowed: REGULAR, ZERO_RATED, EXEMPT (list VAT treatment)" type="list" errorStyle="stop">
      <formula1>=LIST_VAT_TREATMENT</formula1>
    </dataValidation>
    <dataValidation sqref="M18:M318" showDropDown="0" showInputMessage="1" showErrorMessage="1" allowBlank="1" errorTitle="Default ATC" error="At most 20 characters." promptTitle="Default ATC" prompt="No. Withholding tax code applied by default to payments to or from the party Allowed: Free entry, up to 20 characters" type="textLength" operator="lessThanOrEqual">
      <formula1>20</formula1>
    </dataValidation>
    <dataValidation sqref="N18:N318" showDropDown="0" showInputMessage="1" showErrorMessage="1" allowBlank="1" errorTitle="Withholding agent" error="Choose a value of the list Yes or no (sheet Reference lists)." promptTitle="Withholding agent" prompt="No. Y when the party withholds tax on its payments to BDOI (2307 expected); set by BIBS when Top withholding agent or Government payor is Y Allowed: Y or N" type="list" errorStyle="stop">
      <formula1>=LIST_YES_NO</formula1>
    </dataValidation>
    <dataValidation sqref="O18:O318" showDropDown="0" showInputMessage="1" showErrorMessage="1" allowBlank="1" errorTitle="Top withholding agent" error="Choose a value of the list Yes or no (sheet Reference lists)." promptTitle="Top withholding agent" prompt="No. Y when the BIR classifies the party as a top withholding agent Allowed: Y or N" type="list" errorStyle="stop">
      <formula1>=LIST_YES_NO</formula1>
    </dataValidation>
    <dataValidation sqref="P18:P318" showDropDown="0" showInputMessage="1" showErrorMessage="1" allowBlank="1" errorTitle="Government payor" error="Choose a value of the list Yes or no (sheet Reference lists)." promptTitle="Government payor" prompt="No. Y for a government office or company that withholds the final VAT and the final tax on its payments to BDOI Allowed: Y or N" type="list" errorStyle="stop">
      <formula1>=LIST_YES_NO</formula1>
    </dataValidation>
    <dataValidation sqref="Q18:Q318" showDropDown="0" showInputMessage="1" showErrorMessage="1" allowBlank="1" errorTitle="Tax exemption certificate no." error="At most 40 characters." promptTitle="Tax exemption certificate no." prompt="No. Number of the party's tax exemption certificate, when it has one Allowed: Free entry, up to 40 characters" type="textLength" operator="lessThanOrEqual">
      <formula1>40</formula1>
    </dataValidation>
    <dataValidation sqref="R18:R318" showDropDown="0" showInputMessage="1" showErrorMessage="1" allowBlank="1" errorTitle="Certificate valid from" error="Enter a date, for example 15-Jan-2028." promptTitle="Certificate valid from" prompt="Conditional: certificate number given. First day of the certificate Allowed: A date, for example 15-Jan-2028" type="date" operator="greaterThan">
      <formula1>DATE(1900,1,1)</formula1>
    </dataValidation>
    <dataValidation sqref="S18:S318" showDropDown="0" showInputMessage="1" showErrorMessage="1" allowBlank="1" errorTitle="Certificate valid to" error="Enter a date, for example 15-Jan-2028." promptTitle="Certificate valid to" prompt="Conditional: certificate number given. Last day of the certificate (not before the first day); a zero-rated or exempt invoice outside this period is flagged on the VAT worksheet Allowed: A date, for example 15-Jan-2028" type="date" operator="greaterThan">
      <formula1>DATE(1900,1,1)</formula1>
    </dataValidation>
  </dataValidations>
  <hyperlinks>
    <hyperlink ref="A2" location="'Start here'!A1"/>
    <hyperlink ref="S2" location="'Questions and comments'!A1"/>
    <hyperlink ref="B8" location="'D0-10 Tax codes'!A1"/>
    <hyperlink ref="D8" location="'R04 Insurers'!A1"/>
    <hyperlink ref="F8" location="'C01 Client master'!A1"/>
    <hyperlink ref="G8" location="'MD-01 Business partners'!A1"/>
    <hyperlink ref="I8" location="'UP-02 Payees (upload)'!A1"/>
    <hyperlink ref="E15" location="'Reference lists'!A387"/>
    <hyperlink ref="L15" location="'Reference lists'!A389"/>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1.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39"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ht="26" customHeight="1">
      <c r="A1" s="25" t="inlineStr">
        <is>
          <t>PM-06 Packages in force at go-live</t>
        </is>
      </c>
      <c r="J1" s="26" t="inlineStr">
        <is>
          <t>Step 48 of 52</t>
        </is>
      </c>
    </row>
    <row r="2">
      <c r="A2" s="27" t="inlineStr">
        <is>
          <t>← Back to Start here</t>
        </is>
      </c>
      <c r="B2" s="28" t="inlineStr">
        <is>
          <t>Step 48 of 52. Fill in one row per record below the column headers; the guide above each column says what to enter.</t>
        </is>
      </c>
      <c r="J2" s="29" t="inlineStr">
        <is>
          <t>Ask a question →</t>
        </is>
      </c>
    </row>
    <row r="3" outlineLevel="1" ht="15.5" customHeight="1">
      <c r="A3" s="30" t="inlineStr">
        <is>
          <t>Purpose</t>
        </is>
      </c>
      <c r="B3" s="31" t="inlineStr">
        <is>
          <t>For every package sold at go-live: its terms as they will be set up in BIBS through a package request (TSU) and a package version (MBS): rate scheme, dates, coverages, panel insurers and their terms</t>
        </is>
      </c>
    </row>
    <row r="4" outlineLevel="1" ht="15.5" customHeight="1">
      <c r="A4" s="30" t="inlineStr">
        <is>
          <t>Provided by</t>
        </is>
      </c>
      <c r="B4" s="31" t="inlineStr">
        <is>
          <t>TSU (prepares); Product Owner, MBS (approves)</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Upload on the configuration screen Client &amp; Policy › Product Maintenance › Products, approved by a second user</t>
        </is>
      </c>
    </row>
    <row r="7" outlineLevel="1" ht="15.5" customHeight="1">
      <c r="A7" s="30" t="inlineStr">
        <is>
          <t>Source</t>
        </is>
      </c>
      <c r="B7" s="31" t="inlineStr">
        <is>
          <t>Upload template of the configuration screen (the same columns, headers, mandatory flags and allowed values)</t>
        </is>
      </c>
    </row>
    <row r="8" outlineLevel="1" ht="26" customHeight="1">
      <c r="A8" s="30" t="inlineStr">
        <is>
          <t>Depends on</t>
        </is>
      </c>
      <c r="B8" s="53" t="inlineStr">
        <is>
          <t>PM-01 Product catalogue →</t>
        </is>
      </c>
      <c r="D8" s="53" t="inlineStr">
        <is>
          <t>PM-02 Coverages, perils and field rules →</t>
        </is>
      </c>
      <c r="E8" s="53" t="inlineStr">
        <is>
          <t>R04 Insurers →</t>
        </is>
      </c>
      <c r="F8" s="53" t="inlineStr">
        <is>
          <t>PM-03 Clause library →</t>
        </is>
      </c>
    </row>
    <row r="9" ht="26" customHeight="1">
      <c r="A9" s="34" t="inlineStr">
        <is>
          <t>Progress</t>
        </is>
      </c>
      <c r="B9" s="35" t="inlineStr">
        <is>
          <t>Rows entered</t>
        </is>
      </c>
      <c r="C9" s="36">
        <f>SUMPRODUCT(((ROW($B$17:$B$517)&gt;17)+($B$17&lt;&gt;"MTR30")&gt;0)*(LEN($B$17:$B$517&amp;$C$17:$C$517&amp;$D$17:$D$517&amp;$E$17:$E$517&amp;$F$17:$F$517&amp;$G$17:$G$517&amp;$H$17:$H$517&amp;$I$17:$I$517&amp;$J$17:$J$517)&gt;0))</f>
        <v/>
      </c>
      <c r="D9" s="35" t="inlineStr">
        <is>
          <t>Mandatory cells missing</t>
        </is>
      </c>
      <c r="E9" s="36">
        <f>SUMPRODUCT(((ROW($B$17:$B$517)&gt;17)+($B$17&lt;&gt;"MTR30")&gt;0)*(LEN($B$17:$B$517&amp;$C$17:$C$517&amp;$D$17:$D$517&amp;$E$17:$E$517&amp;$F$17:$F$517&amp;$G$17:$G$517&amp;$H$17:$H$517&amp;$I$17:$I$517&amp;$J$17:$J$517)&gt;0)*(($B$17:$B$517="")+($C$17:$C$517="")+($D$17:$D$517="")+($E$17:$E$517="")+($F$17:$F$517="")+($G$17:$G$517="")+($H$17:$H$517="")+($I$17:$I$517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17" customHeight="1">
      <c r="A12" s="41" t="inlineStr">
        <is>
          <t>Mandatory</t>
        </is>
      </c>
      <c r="B12" s="42" t="inlineStr">
        <is>
          <t>Yes</t>
        </is>
      </c>
      <c r="C12" s="42" t="inlineStr">
        <is>
          <t>Yes</t>
        </is>
      </c>
      <c r="D12" s="42" t="inlineStr">
        <is>
          <t>Yes</t>
        </is>
      </c>
      <c r="E12" s="42" t="inlineStr">
        <is>
          <t>Yes</t>
        </is>
      </c>
      <c r="F12" s="42" t="inlineStr">
        <is>
          <t>Yes</t>
        </is>
      </c>
      <c r="G12" s="42" t="inlineStr">
        <is>
          <t>Yes</t>
        </is>
      </c>
      <c r="H12" s="42" t="inlineStr">
        <is>
          <t>Yes</t>
        </is>
      </c>
      <c r="I12" s="42" t="inlineStr">
        <is>
          <t>Yes</t>
        </is>
      </c>
      <c r="J12" s="42" t="inlineStr">
        <is>
          <t>Yes</t>
        </is>
      </c>
    </row>
    <row r="13" ht="30" customHeight="1">
      <c r="A13" s="41" t="inlineStr">
        <is>
          <t>Format</t>
        </is>
      </c>
      <c r="B13" s="43" t="inlineStr">
        <is>
          <t>Text</t>
        </is>
      </c>
      <c r="C13" s="43" t="inlineStr">
        <is>
          <t>Text</t>
        </is>
      </c>
      <c r="D13" s="43" t="inlineStr">
        <is>
          <t>dd-MMM-yyyy; dd-MMM-yyyy; dd-MMM-yyyy; dd-MMM-yyyy</t>
        </is>
      </c>
      <c r="E13" s="43" t="inlineStr">
        <is>
          <t>Text</t>
        </is>
      </c>
      <c r="F13" s="43" t="inlineStr">
        <is>
          <t>Text</t>
        </is>
      </c>
      <c r="G13" s="43" t="inlineStr">
        <is>
          <t>One coverage per line</t>
        </is>
      </c>
      <c r="H13" s="43" t="inlineStr">
        <is>
          <t>One insurer per line</t>
        </is>
      </c>
      <c r="I13" s="43" t="inlineStr">
        <is>
          <t>One term per line</t>
        </is>
      </c>
      <c r="J13" s="43" t="inlineStr">
        <is>
          <t>Text</t>
        </is>
      </c>
    </row>
    <row r="14" ht="30" customHeight="1">
      <c r="A14" s="41" t="inlineStr">
        <is>
          <t>Allowed values</t>
        </is>
      </c>
      <c r="B14" s="51" t="inlineStr">
        <is>
          <t>Code of an existing product</t>
        </is>
      </c>
      <c r="C14" s="43" t="inlineStr">
        <is>
          <t>Free entry</t>
        </is>
      </c>
      <c r="D14" s="43" t="inlineStr">
        <is>
          <t>Free entry</t>
        </is>
      </c>
      <c r="E14" s="43" t="inlineStr">
        <is>
          <t>Free entry</t>
        </is>
      </c>
      <c r="F14" s="43" t="inlineStr">
        <is>
          <t>Free entry</t>
        </is>
      </c>
      <c r="G14" s="51" t="inlineStr">
        <is>
          <t>Codes of PM-02 Coverages, perils and field rules, column Code or field key (one or more)</t>
        </is>
      </c>
      <c r="H14" s="51" t="inlineStr">
        <is>
          <t>Codes of R04 Insurers, column insurer_code (one or more)</t>
        </is>
      </c>
      <c r="I14" s="51" t="inlineStr">
        <is>
          <t>Codes of PM-03 Clause library, column Clause code (one or more)</t>
        </is>
      </c>
      <c r="J14" s="43" t="inlineStr">
        <is>
          <t>Free entry</t>
        </is>
      </c>
    </row>
    <row r="15" ht="43" customHeight="1">
      <c r="A15" s="41" t="inlineStr">
        <is>
          <t>What to enter</t>
        </is>
      </c>
      <c r="B15" s="43" t="inlineStr">
        <is>
          <t>Risk code of the packaged product</t>
        </is>
      </c>
      <c r="C15" s="43" t="inlineStr">
        <is>
          <t>Name; Generic or Client-specific; client code</t>
        </is>
      </c>
      <c r="D15" s="43" t="inlineStr">
        <is>
          <t>Effective from; package start; package end; anniversary</t>
        </is>
      </c>
      <c r="E15" s="43" t="inlineStr">
        <is>
          <t>Rate %; minimum premium; commission %; TSI limit</t>
        </is>
      </c>
      <c r="F15" s="43" t="inlineStr">
        <is>
          <t>How the premium is computed</t>
        </is>
      </c>
      <c r="G15" s="43" t="inlineStr">
        <is>
          <t>Coverage; included Y/N; optional Y/N; limit; deductible</t>
        </is>
      </c>
      <c r="H15" s="43" t="inlineStr">
        <is>
          <t>Insurer; Panel, Lead or Participant; share %; rate %; minimum premium</t>
        </is>
      </c>
      <c r="I15" s="43" t="inlineStr">
        <is>
          <t>Insurer; coverage; limit; deductible; clauses separated by commas</t>
        </is>
      </c>
      <c r="J15" s="43" t="inlineStr">
        <is>
          <t>ManCom sign-off reference</t>
        </is>
      </c>
    </row>
    <row r="16" ht="32" customHeight="1">
      <c r="A16" s="44" t="inlineStr">
        <is>
          <t>Row</t>
        </is>
      </c>
      <c r="B16" s="45" t="inlineStr">
        <is>
          <t>Risk code *</t>
        </is>
      </c>
      <c r="C16" s="45" t="inlineStr">
        <is>
          <t>Package name / Scope / Client code *</t>
        </is>
      </c>
      <c r="D16" s="45" t="inlineStr">
        <is>
          <t>Effective from / Package start / Package end / Anniversary *</t>
        </is>
      </c>
      <c r="E16" s="45" t="inlineStr">
        <is>
          <t>Package rate % / Minimum premium / Commission % / Package TSI limit *</t>
        </is>
      </c>
      <c r="F16" s="45" t="inlineStr">
        <is>
          <t>Computation basis *</t>
        </is>
      </c>
      <c r="G16" s="45" t="inlineStr">
        <is>
          <t>Coverage code / Included / Optional / Limit / Deductible *</t>
        </is>
      </c>
      <c r="H16" s="45" t="inlineStr">
        <is>
          <t>Insurer code / Role / Share % / Rate % / Minimum premium *</t>
        </is>
      </c>
      <c r="I16" s="45" t="inlineStr">
        <is>
          <t>Insurer terms: insurer / coverage / limit / deductible / clauses *</t>
        </is>
      </c>
      <c r="J16" s="45" t="inlineStr">
        <is>
          <t>ManCom sign-off reference / Signed package slip *</t>
        </is>
      </c>
    </row>
    <row r="17" ht="30" customHeight="1">
      <c r="A17" s="46" t="inlineStr">
        <is>
          <t>Example – overwrite or delete</t>
        </is>
      </c>
      <c r="B17" s="47" t="inlineStr">
        <is>
          <t>MTR30</t>
        </is>
      </c>
      <c r="C17" s="47" t="inlineStr">
        <is>
          <t>Motor Fleet Plus; Generic</t>
        </is>
      </c>
      <c r="D17" s="47" t="inlineStr">
        <is>
          <t>01-Jan-2028; 01-Jan-2028; 31-Dec-2028; -</t>
        </is>
      </c>
      <c r="E17" s="47" t="inlineStr">
        <is>
          <t>1.2000; 5000.00; 15; 5000000.00</t>
        </is>
      </c>
      <c r="F17" s="47" t="inlineStr">
        <is>
          <t>Comprehensive rate on the vehicle value</t>
        </is>
      </c>
      <c r="G17" s="47" t="inlineStr">
        <is>
          <t>OD_THEFT; Y; N; -; 2000.00</t>
        </is>
      </c>
      <c r="H17" s="47" t="inlineStr">
        <is>
          <t>INS-MGIC; Panel; -; 1.2000; -</t>
        </is>
      </c>
      <c r="I17" s="47" t="inlineStr">
        <is>
          <t>INS-MGIC; OD_THEFT; -; 2000.00; FLEET_REPAIR</t>
        </is>
      </c>
      <c r="J17" s="47" t="inlineStr">
        <is>
          <t>MC-2026-017</t>
        </is>
      </c>
    </row>
    <row r="18">
      <c r="B18" s="49" t="n"/>
      <c r="C18" s="49" t="n"/>
      <c r="D18" s="49" t="n"/>
      <c r="E18" s="49" t="n"/>
      <c r="F18" s="49" t="n"/>
      <c r="G18" s="49" t="n"/>
      <c r="H18" s="49" t="n"/>
      <c r="I18" s="49" t="n"/>
      <c r="J18" s="49" t="n"/>
    </row>
    <row r="19">
      <c r="B19" s="49" t="n"/>
      <c r="C19" s="49" t="n"/>
      <c r="D19" s="49" t="n"/>
      <c r="E19" s="49" t="n"/>
      <c r="F19" s="49" t="n"/>
      <c r="G19" s="49" t="n"/>
      <c r="H19" s="49" t="n"/>
      <c r="I19" s="49" t="n"/>
      <c r="J19" s="49" t="n"/>
    </row>
    <row r="20">
      <c r="B20" s="49" t="n"/>
      <c r="C20" s="49" t="n"/>
      <c r="D20" s="49" t="n"/>
      <c r="E20" s="49" t="n"/>
      <c r="F20" s="49" t="n"/>
      <c r="G20" s="49" t="n"/>
      <c r="H20" s="49" t="n"/>
      <c r="I20" s="49" t="n"/>
      <c r="J20" s="49" t="n"/>
    </row>
    <row r="21">
      <c r="B21" s="49" t="n"/>
      <c r="C21" s="49" t="n"/>
      <c r="D21" s="49" t="n"/>
      <c r="E21" s="49" t="n"/>
      <c r="F21" s="49" t="n"/>
      <c r="G21" s="49" t="n"/>
      <c r="H21" s="49" t="n"/>
      <c r="I21" s="49" t="n"/>
      <c r="J21" s="49" t="n"/>
    </row>
    <row r="22">
      <c r="B22" s="49" t="n"/>
      <c r="C22" s="49" t="n"/>
      <c r="D22" s="49" t="n"/>
      <c r="E22" s="49" t="n"/>
      <c r="F22" s="49" t="n"/>
      <c r="G22" s="49" t="n"/>
      <c r="H22" s="49" t="n"/>
      <c r="I22" s="49" t="n"/>
      <c r="J22" s="49" t="n"/>
    </row>
    <row r="23">
      <c r="B23" s="49" t="n"/>
      <c r="C23" s="49" t="n"/>
      <c r="D23" s="49" t="n"/>
      <c r="E23" s="49" t="n"/>
      <c r="F23" s="49" t="n"/>
      <c r="G23" s="49" t="n"/>
      <c r="H23" s="49" t="n"/>
      <c r="I23" s="49" t="n"/>
      <c r="J23" s="49" t="n"/>
    </row>
    <row r="24">
      <c r="B24" s="49" t="n"/>
      <c r="C24" s="49" t="n"/>
      <c r="D24" s="49" t="n"/>
      <c r="E24" s="49" t="n"/>
      <c r="F24" s="49" t="n"/>
      <c r="G24" s="49" t="n"/>
      <c r="H24" s="49" t="n"/>
      <c r="I24" s="49" t="n"/>
      <c r="J24" s="49" t="n"/>
    </row>
    <row r="25">
      <c r="B25" s="49" t="n"/>
      <c r="C25" s="49" t="n"/>
      <c r="D25" s="49" t="n"/>
      <c r="E25" s="49" t="n"/>
      <c r="F25" s="49" t="n"/>
      <c r="G25" s="49" t="n"/>
      <c r="H25" s="49" t="n"/>
      <c r="I25" s="49" t="n"/>
      <c r="J25" s="49" t="n"/>
    </row>
    <row r="26">
      <c r="B26" s="49" t="n"/>
      <c r="C26" s="49" t="n"/>
      <c r="D26" s="49" t="n"/>
      <c r="E26" s="49" t="n"/>
      <c r="F26" s="49" t="n"/>
      <c r="G26" s="49" t="n"/>
      <c r="H26" s="49" t="n"/>
      <c r="I26" s="49" t="n"/>
      <c r="J26" s="49" t="n"/>
    </row>
    <row r="27">
      <c r="B27" s="49" t="n"/>
      <c r="C27" s="49" t="n"/>
      <c r="D27" s="49" t="n"/>
      <c r="E27" s="49" t="n"/>
      <c r="F27" s="49" t="n"/>
      <c r="G27" s="49" t="n"/>
      <c r="H27" s="49" t="n"/>
      <c r="I27" s="49" t="n"/>
      <c r="J27" s="49" t="n"/>
    </row>
    <row r="28">
      <c r="B28" s="49" t="n"/>
      <c r="C28" s="49" t="n"/>
      <c r="D28" s="49" t="n"/>
      <c r="E28" s="49" t="n"/>
      <c r="F28" s="49" t="n"/>
      <c r="G28" s="49" t="n"/>
      <c r="H28" s="49" t="n"/>
      <c r="I28" s="49" t="n"/>
      <c r="J28" s="49" t="n"/>
    </row>
    <row r="29">
      <c r="B29" s="49" t="n"/>
      <c r="C29" s="49" t="n"/>
      <c r="D29" s="49" t="n"/>
      <c r="E29" s="49" t="n"/>
      <c r="F29" s="49" t="n"/>
      <c r="G29" s="49" t="n"/>
      <c r="H29" s="49" t="n"/>
      <c r="I29" s="49" t="n"/>
      <c r="J29" s="49" t="n"/>
    </row>
    <row r="30">
      <c r="B30" s="49" t="n"/>
      <c r="C30" s="49" t="n"/>
      <c r="D30" s="49" t="n"/>
      <c r="E30" s="49" t="n"/>
      <c r="F30" s="49" t="n"/>
      <c r="G30" s="49" t="n"/>
      <c r="H30" s="49" t="n"/>
      <c r="I30" s="49" t="n"/>
      <c r="J30" s="49" t="n"/>
    </row>
    <row r="31">
      <c r="B31" s="49" t="n"/>
      <c r="C31" s="49" t="n"/>
      <c r="D31" s="49" t="n"/>
      <c r="E31" s="49" t="n"/>
      <c r="F31" s="49" t="n"/>
      <c r="G31" s="49" t="n"/>
      <c r="H31" s="49" t="n"/>
      <c r="I31" s="49" t="n"/>
      <c r="J31" s="49" t="n"/>
    </row>
    <row r="32">
      <c r="B32" s="49" t="n"/>
      <c r="C32" s="49" t="n"/>
      <c r="D32" s="49" t="n"/>
      <c r="E32" s="49" t="n"/>
      <c r="F32" s="49" t="n"/>
      <c r="G32" s="49" t="n"/>
      <c r="H32" s="49" t="n"/>
      <c r="I32" s="49" t="n"/>
      <c r="J32" s="49" t="n"/>
    </row>
    <row r="33">
      <c r="B33" s="49" t="n"/>
      <c r="C33" s="49" t="n"/>
      <c r="D33" s="49" t="n"/>
      <c r="E33" s="49" t="n"/>
      <c r="F33" s="49" t="n"/>
      <c r="G33" s="49" t="n"/>
      <c r="H33" s="49" t="n"/>
      <c r="I33" s="49" t="n"/>
      <c r="J33" s="49" t="n"/>
    </row>
    <row r="34">
      <c r="B34" s="49" t="n"/>
      <c r="C34" s="49" t="n"/>
      <c r="D34" s="49" t="n"/>
      <c r="E34" s="49" t="n"/>
      <c r="F34" s="49" t="n"/>
      <c r="G34" s="49" t="n"/>
      <c r="H34" s="49" t="n"/>
      <c r="I34" s="49" t="n"/>
      <c r="J34" s="49" t="n"/>
    </row>
    <row r="35">
      <c r="B35" s="49" t="n"/>
      <c r="C35" s="49" t="n"/>
      <c r="D35" s="49" t="n"/>
      <c r="E35" s="49" t="n"/>
      <c r="F35" s="49" t="n"/>
      <c r="G35" s="49" t="n"/>
      <c r="H35" s="49" t="n"/>
      <c r="I35" s="49" t="n"/>
      <c r="J35" s="49" t="n"/>
    </row>
    <row r="36">
      <c r="B36" s="49" t="n"/>
      <c r="C36" s="49" t="n"/>
      <c r="D36" s="49" t="n"/>
      <c r="E36" s="49" t="n"/>
      <c r="F36" s="49" t="n"/>
      <c r="G36" s="49" t="n"/>
      <c r="H36" s="49" t="n"/>
      <c r="I36" s="49" t="n"/>
      <c r="J36" s="49" t="n"/>
    </row>
    <row r="37">
      <c r="B37" s="49" t="n"/>
      <c r="C37" s="49" t="n"/>
      <c r="D37" s="49" t="n"/>
      <c r="E37" s="49" t="n"/>
      <c r="F37" s="49" t="n"/>
      <c r="G37" s="49" t="n"/>
      <c r="H37" s="49" t="n"/>
      <c r="I37" s="49" t="n"/>
      <c r="J37" s="49" t="n"/>
    </row>
    <row r="38">
      <c r="B38" s="49" t="n"/>
      <c r="C38" s="49" t="n"/>
      <c r="D38" s="49" t="n"/>
      <c r="E38" s="49" t="n"/>
      <c r="F38" s="49" t="n"/>
      <c r="G38" s="49" t="n"/>
      <c r="H38" s="49" t="n"/>
      <c r="I38" s="49" t="n"/>
      <c r="J38" s="49" t="n"/>
    </row>
    <row r="39">
      <c r="B39" s="49" t="n"/>
      <c r="C39" s="49" t="n"/>
      <c r="D39" s="49" t="n"/>
      <c r="E39" s="49" t="n"/>
      <c r="F39" s="49" t="n"/>
      <c r="G39" s="49" t="n"/>
      <c r="H39" s="49" t="n"/>
      <c r="I39" s="49" t="n"/>
      <c r="J39" s="49" t="n"/>
    </row>
    <row r="40">
      <c r="B40" s="49" t="n"/>
      <c r="C40" s="49" t="n"/>
      <c r="D40" s="49" t="n"/>
      <c r="E40" s="49" t="n"/>
      <c r="F40" s="49" t="n"/>
      <c r="G40" s="49" t="n"/>
      <c r="H40" s="49" t="n"/>
      <c r="I40" s="49" t="n"/>
      <c r="J40" s="49" t="n"/>
    </row>
    <row r="41">
      <c r="B41" s="49" t="n"/>
      <c r="C41" s="49" t="n"/>
      <c r="D41" s="49" t="n"/>
      <c r="E41" s="49" t="n"/>
      <c r="F41" s="49" t="n"/>
      <c r="G41" s="49" t="n"/>
      <c r="H41" s="49" t="n"/>
      <c r="I41" s="49" t="n"/>
      <c r="J41" s="49" t="n"/>
    </row>
    <row r="42">
      <c r="B42" s="49" t="n"/>
      <c r="C42" s="49" t="n"/>
      <c r="D42" s="49" t="n"/>
      <c r="E42" s="49" t="n"/>
      <c r="F42" s="49" t="n"/>
      <c r="G42" s="49" t="n"/>
      <c r="H42" s="49" t="n"/>
      <c r="I42" s="49" t="n"/>
      <c r="J42" s="49" t="n"/>
    </row>
    <row r="43">
      <c r="B43" s="49" t="n"/>
      <c r="C43" s="49" t="n"/>
      <c r="D43" s="49" t="n"/>
      <c r="E43" s="49" t="n"/>
      <c r="F43" s="49" t="n"/>
      <c r="G43" s="49" t="n"/>
      <c r="H43" s="49" t="n"/>
      <c r="I43" s="49" t="n"/>
      <c r="J43" s="49" t="n"/>
    </row>
    <row r="44">
      <c r="B44" s="49" t="n"/>
      <c r="C44" s="49" t="n"/>
      <c r="D44" s="49" t="n"/>
      <c r="E44" s="49" t="n"/>
      <c r="F44" s="49" t="n"/>
      <c r="G44" s="49" t="n"/>
      <c r="H44" s="49" t="n"/>
      <c r="I44" s="49" t="n"/>
      <c r="J44" s="49" t="n"/>
    </row>
    <row r="45">
      <c r="B45" s="49" t="n"/>
      <c r="C45" s="49" t="n"/>
      <c r="D45" s="49" t="n"/>
      <c r="E45" s="49" t="n"/>
      <c r="F45" s="49" t="n"/>
      <c r="G45" s="49" t="n"/>
      <c r="H45" s="49" t="n"/>
      <c r="I45" s="49" t="n"/>
      <c r="J45" s="49" t="n"/>
    </row>
    <row r="46">
      <c r="B46" s="49" t="n"/>
      <c r="C46" s="49" t="n"/>
      <c r="D46" s="49" t="n"/>
      <c r="E46" s="49" t="n"/>
      <c r="F46" s="49" t="n"/>
      <c r="G46" s="49" t="n"/>
      <c r="H46" s="49" t="n"/>
      <c r="I46" s="49" t="n"/>
      <c r="J46" s="49" t="n"/>
    </row>
    <row r="47">
      <c r="B47" s="49" t="n"/>
      <c r="C47" s="49" t="n"/>
      <c r="D47" s="49" t="n"/>
      <c r="E47" s="49" t="n"/>
      <c r="F47" s="49" t="n"/>
      <c r="G47" s="49" t="n"/>
      <c r="H47" s="49" t="n"/>
      <c r="I47" s="49" t="n"/>
      <c r="J47" s="49" t="n"/>
    </row>
    <row r="48">
      <c r="B48" s="49" t="n"/>
      <c r="C48" s="49" t="n"/>
      <c r="D48" s="49" t="n"/>
      <c r="E48" s="49" t="n"/>
      <c r="F48" s="49" t="n"/>
      <c r="G48" s="49" t="n"/>
      <c r="H48" s="49" t="n"/>
      <c r="I48" s="49" t="n"/>
      <c r="J48" s="49" t="n"/>
    </row>
    <row r="49">
      <c r="B49" s="49" t="n"/>
      <c r="C49" s="49" t="n"/>
      <c r="D49" s="49" t="n"/>
      <c r="E49" s="49" t="n"/>
      <c r="F49" s="49" t="n"/>
      <c r="G49" s="49" t="n"/>
      <c r="H49" s="49" t="n"/>
      <c r="I49" s="49" t="n"/>
      <c r="J49" s="49" t="n"/>
    </row>
    <row r="50">
      <c r="B50" s="49" t="n"/>
      <c r="C50" s="49" t="n"/>
      <c r="D50" s="49" t="n"/>
      <c r="E50" s="49" t="n"/>
      <c r="F50" s="49" t="n"/>
      <c r="G50" s="49" t="n"/>
      <c r="H50" s="49" t="n"/>
      <c r="I50" s="49" t="n"/>
      <c r="J50" s="49" t="n"/>
    </row>
    <row r="51">
      <c r="B51" s="49" t="n"/>
      <c r="C51" s="49" t="n"/>
      <c r="D51" s="49" t="n"/>
      <c r="E51" s="49" t="n"/>
      <c r="F51" s="49" t="n"/>
      <c r="G51" s="49" t="n"/>
      <c r="H51" s="49" t="n"/>
      <c r="I51" s="49" t="n"/>
      <c r="J51" s="49" t="n"/>
    </row>
    <row r="52">
      <c r="B52" s="49" t="n"/>
      <c r="C52" s="49" t="n"/>
      <c r="D52" s="49" t="n"/>
      <c r="E52" s="49" t="n"/>
      <c r="F52" s="49" t="n"/>
      <c r="G52" s="49" t="n"/>
      <c r="H52" s="49" t="n"/>
      <c r="I52" s="49" t="n"/>
      <c r="J52" s="49" t="n"/>
    </row>
    <row r="53">
      <c r="B53" s="49" t="n"/>
      <c r="C53" s="49" t="n"/>
      <c r="D53" s="49" t="n"/>
      <c r="E53" s="49" t="n"/>
      <c r="F53" s="49" t="n"/>
      <c r="G53" s="49" t="n"/>
      <c r="H53" s="49" t="n"/>
      <c r="I53" s="49" t="n"/>
      <c r="J53" s="49" t="n"/>
    </row>
    <row r="54">
      <c r="B54" s="49" t="n"/>
      <c r="C54" s="49" t="n"/>
      <c r="D54" s="49" t="n"/>
      <c r="E54" s="49" t="n"/>
      <c r="F54" s="49" t="n"/>
      <c r="G54" s="49" t="n"/>
      <c r="H54" s="49" t="n"/>
      <c r="I54" s="49" t="n"/>
      <c r="J54" s="49" t="n"/>
    </row>
    <row r="55">
      <c r="B55" s="49" t="n"/>
      <c r="C55" s="49" t="n"/>
      <c r="D55" s="49" t="n"/>
      <c r="E55" s="49" t="n"/>
      <c r="F55" s="49" t="n"/>
      <c r="G55" s="49" t="n"/>
      <c r="H55" s="49" t="n"/>
      <c r="I55" s="49" t="n"/>
      <c r="J55" s="49" t="n"/>
    </row>
    <row r="56">
      <c r="B56" s="49" t="n"/>
      <c r="C56" s="49" t="n"/>
      <c r="D56" s="49" t="n"/>
      <c r="E56" s="49" t="n"/>
      <c r="F56" s="49" t="n"/>
      <c r="G56" s="49" t="n"/>
      <c r="H56" s="49" t="n"/>
      <c r="I56" s="49" t="n"/>
      <c r="J56" s="49" t="n"/>
    </row>
    <row r="57">
      <c r="B57" s="49" t="n"/>
      <c r="C57" s="49" t="n"/>
      <c r="D57" s="49" t="n"/>
      <c r="E57" s="49" t="n"/>
      <c r="F57" s="49" t="n"/>
      <c r="G57" s="49" t="n"/>
      <c r="H57" s="49" t="n"/>
      <c r="I57" s="49" t="n"/>
      <c r="J57" s="49" t="n"/>
    </row>
    <row r="58">
      <c r="B58" s="49" t="n"/>
      <c r="C58" s="49" t="n"/>
      <c r="D58" s="49" t="n"/>
      <c r="E58" s="49" t="n"/>
      <c r="F58" s="49" t="n"/>
      <c r="G58" s="49" t="n"/>
      <c r="H58" s="49" t="n"/>
      <c r="I58" s="49" t="n"/>
      <c r="J58" s="49" t="n"/>
    </row>
    <row r="59">
      <c r="B59" s="49" t="n"/>
      <c r="C59" s="49" t="n"/>
      <c r="D59" s="49" t="n"/>
      <c r="E59" s="49" t="n"/>
      <c r="F59" s="49" t="n"/>
      <c r="G59" s="49" t="n"/>
      <c r="H59" s="49" t="n"/>
      <c r="I59" s="49" t="n"/>
      <c r="J59" s="49" t="n"/>
    </row>
    <row r="60">
      <c r="B60" s="49" t="n"/>
      <c r="C60" s="49" t="n"/>
      <c r="D60" s="49" t="n"/>
      <c r="E60" s="49" t="n"/>
      <c r="F60" s="49" t="n"/>
      <c r="G60" s="49" t="n"/>
      <c r="H60" s="49" t="n"/>
      <c r="I60" s="49" t="n"/>
      <c r="J60" s="49" t="n"/>
    </row>
    <row r="61">
      <c r="B61" s="49" t="n"/>
      <c r="C61" s="49" t="n"/>
      <c r="D61" s="49" t="n"/>
      <c r="E61" s="49" t="n"/>
      <c r="F61" s="49" t="n"/>
      <c r="G61" s="49" t="n"/>
      <c r="H61" s="49" t="n"/>
      <c r="I61" s="49" t="n"/>
      <c r="J61" s="49" t="n"/>
    </row>
    <row r="62">
      <c r="B62" s="49" t="n"/>
      <c r="C62" s="49" t="n"/>
      <c r="D62" s="49" t="n"/>
      <c r="E62" s="49" t="n"/>
      <c r="F62" s="49" t="n"/>
      <c r="G62" s="49" t="n"/>
      <c r="H62" s="49" t="n"/>
      <c r="I62" s="49" t="n"/>
      <c r="J62" s="49" t="n"/>
    </row>
    <row r="63">
      <c r="B63" s="49" t="n"/>
      <c r="C63" s="49" t="n"/>
      <c r="D63" s="49" t="n"/>
      <c r="E63" s="49" t="n"/>
      <c r="F63" s="49" t="n"/>
      <c r="G63" s="49" t="n"/>
      <c r="H63" s="49" t="n"/>
      <c r="I63" s="49" t="n"/>
      <c r="J63" s="49" t="n"/>
    </row>
    <row r="64">
      <c r="B64" s="49" t="n"/>
      <c r="C64" s="49" t="n"/>
      <c r="D64" s="49" t="n"/>
      <c r="E64" s="49" t="n"/>
      <c r="F64" s="49" t="n"/>
      <c r="G64" s="49" t="n"/>
      <c r="H64" s="49" t="n"/>
      <c r="I64" s="49" t="n"/>
      <c r="J64" s="49" t="n"/>
    </row>
    <row r="65">
      <c r="B65" s="49" t="n"/>
      <c r="C65" s="49" t="n"/>
      <c r="D65" s="49" t="n"/>
      <c r="E65" s="49" t="n"/>
      <c r="F65" s="49" t="n"/>
      <c r="G65" s="49" t="n"/>
      <c r="H65" s="49" t="n"/>
      <c r="I65" s="49" t="n"/>
      <c r="J65" s="49" t="n"/>
    </row>
    <row r="66">
      <c r="B66" s="49" t="n"/>
      <c r="C66" s="49" t="n"/>
      <c r="D66" s="49" t="n"/>
      <c r="E66" s="49" t="n"/>
      <c r="F66" s="49" t="n"/>
      <c r="G66" s="49" t="n"/>
      <c r="H66" s="49" t="n"/>
      <c r="I66" s="49" t="n"/>
      <c r="J66" s="49" t="n"/>
    </row>
    <row r="67">
      <c r="B67" s="49" t="n"/>
      <c r="C67" s="49" t="n"/>
      <c r="D67" s="49" t="n"/>
      <c r="E67" s="49" t="n"/>
      <c r="F67" s="49" t="n"/>
      <c r="G67" s="49" t="n"/>
      <c r="H67" s="49" t="n"/>
      <c r="I67" s="49" t="n"/>
      <c r="J67" s="49" t="n"/>
    </row>
    <row r="68">
      <c r="B68" s="49" t="n"/>
      <c r="C68" s="49" t="n"/>
      <c r="D68" s="49" t="n"/>
      <c r="E68" s="49" t="n"/>
      <c r="F68" s="49" t="n"/>
      <c r="G68" s="49" t="n"/>
      <c r="H68" s="49" t="n"/>
      <c r="I68" s="49" t="n"/>
      <c r="J68" s="49" t="n"/>
    </row>
    <row r="69">
      <c r="B69" s="49" t="n"/>
      <c r="C69" s="49" t="n"/>
      <c r="D69" s="49" t="n"/>
      <c r="E69" s="49" t="n"/>
      <c r="F69" s="49" t="n"/>
      <c r="G69" s="49" t="n"/>
      <c r="H69" s="49" t="n"/>
      <c r="I69" s="49" t="n"/>
      <c r="J69" s="49" t="n"/>
    </row>
    <row r="70">
      <c r="B70" s="49" t="n"/>
      <c r="C70" s="49" t="n"/>
      <c r="D70" s="49" t="n"/>
      <c r="E70" s="49" t="n"/>
      <c r="F70" s="49" t="n"/>
      <c r="G70" s="49" t="n"/>
      <c r="H70" s="49" t="n"/>
      <c r="I70" s="49" t="n"/>
      <c r="J70" s="49" t="n"/>
    </row>
    <row r="71">
      <c r="B71" s="49" t="n"/>
      <c r="C71" s="49" t="n"/>
      <c r="D71" s="49" t="n"/>
      <c r="E71" s="49" t="n"/>
      <c r="F71" s="49" t="n"/>
      <c r="G71" s="49" t="n"/>
      <c r="H71" s="49" t="n"/>
      <c r="I71" s="49" t="n"/>
      <c r="J71" s="49" t="n"/>
    </row>
    <row r="72">
      <c r="B72" s="49" t="n"/>
      <c r="C72" s="49" t="n"/>
      <c r="D72" s="49" t="n"/>
      <c r="E72" s="49" t="n"/>
      <c r="F72" s="49" t="n"/>
      <c r="G72" s="49" t="n"/>
      <c r="H72" s="49" t="n"/>
      <c r="I72" s="49" t="n"/>
      <c r="J72" s="49" t="n"/>
    </row>
    <row r="73">
      <c r="B73" s="49" t="n"/>
      <c r="C73" s="49" t="n"/>
      <c r="D73" s="49" t="n"/>
      <c r="E73" s="49" t="n"/>
      <c r="F73" s="49" t="n"/>
      <c r="G73" s="49" t="n"/>
      <c r="H73" s="49" t="n"/>
      <c r="I73" s="49" t="n"/>
      <c r="J73" s="49" t="n"/>
    </row>
    <row r="74">
      <c r="B74" s="49" t="n"/>
      <c r="C74" s="49" t="n"/>
      <c r="D74" s="49" t="n"/>
      <c r="E74" s="49" t="n"/>
      <c r="F74" s="49" t="n"/>
      <c r="G74" s="49" t="n"/>
      <c r="H74" s="49" t="n"/>
      <c r="I74" s="49" t="n"/>
      <c r="J74" s="49" t="n"/>
    </row>
    <row r="75">
      <c r="B75" s="49" t="n"/>
      <c r="C75" s="49" t="n"/>
      <c r="D75" s="49" t="n"/>
      <c r="E75" s="49" t="n"/>
      <c r="F75" s="49" t="n"/>
      <c r="G75" s="49" t="n"/>
      <c r="H75" s="49" t="n"/>
      <c r="I75" s="49" t="n"/>
      <c r="J75" s="49" t="n"/>
    </row>
    <row r="76">
      <c r="B76" s="49" t="n"/>
      <c r="C76" s="49" t="n"/>
      <c r="D76" s="49" t="n"/>
      <c r="E76" s="49" t="n"/>
      <c r="F76" s="49" t="n"/>
      <c r="G76" s="49" t="n"/>
      <c r="H76" s="49" t="n"/>
      <c r="I76" s="49" t="n"/>
      <c r="J76" s="49" t="n"/>
    </row>
    <row r="77">
      <c r="B77" s="49" t="n"/>
      <c r="C77" s="49" t="n"/>
      <c r="D77" s="49" t="n"/>
      <c r="E77" s="49" t="n"/>
      <c r="F77" s="49" t="n"/>
      <c r="G77" s="49" t="n"/>
      <c r="H77" s="49" t="n"/>
      <c r="I77" s="49" t="n"/>
      <c r="J77" s="49" t="n"/>
    </row>
    <row r="78">
      <c r="B78" s="49" t="n"/>
      <c r="C78" s="49" t="n"/>
      <c r="D78" s="49" t="n"/>
      <c r="E78" s="49" t="n"/>
      <c r="F78" s="49" t="n"/>
      <c r="G78" s="49" t="n"/>
      <c r="H78" s="49" t="n"/>
      <c r="I78" s="49" t="n"/>
      <c r="J78" s="49" t="n"/>
    </row>
    <row r="79">
      <c r="B79" s="49" t="n"/>
      <c r="C79" s="49" t="n"/>
      <c r="D79" s="49" t="n"/>
      <c r="E79" s="49" t="n"/>
      <c r="F79" s="49" t="n"/>
      <c r="G79" s="49" t="n"/>
      <c r="H79" s="49" t="n"/>
      <c r="I79" s="49" t="n"/>
      <c r="J79" s="49" t="n"/>
    </row>
    <row r="80">
      <c r="B80" s="49" t="n"/>
      <c r="C80" s="49" t="n"/>
      <c r="D80" s="49" t="n"/>
      <c r="E80" s="49" t="n"/>
      <c r="F80" s="49" t="n"/>
      <c r="G80" s="49" t="n"/>
      <c r="H80" s="49" t="n"/>
      <c r="I80" s="49" t="n"/>
      <c r="J80" s="49" t="n"/>
    </row>
    <row r="81">
      <c r="B81" s="49" t="n"/>
      <c r="C81" s="49" t="n"/>
      <c r="D81" s="49" t="n"/>
      <c r="E81" s="49" t="n"/>
      <c r="F81" s="49" t="n"/>
      <c r="G81" s="49" t="n"/>
      <c r="H81" s="49" t="n"/>
      <c r="I81" s="49" t="n"/>
      <c r="J81" s="49" t="n"/>
    </row>
    <row r="82">
      <c r="B82" s="49" t="n"/>
      <c r="C82" s="49" t="n"/>
      <c r="D82" s="49" t="n"/>
      <c r="E82" s="49" t="n"/>
      <c r="F82" s="49" t="n"/>
      <c r="G82" s="49" t="n"/>
      <c r="H82" s="49" t="n"/>
      <c r="I82" s="49" t="n"/>
      <c r="J82" s="49" t="n"/>
    </row>
    <row r="83">
      <c r="B83" s="49" t="n"/>
      <c r="C83" s="49" t="n"/>
      <c r="D83" s="49" t="n"/>
      <c r="E83" s="49" t="n"/>
      <c r="F83" s="49" t="n"/>
      <c r="G83" s="49" t="n"/>
      <c r="H83" s="49" t="n"/>
      <c r="I83" s="49" t="n"/>
      <c r="J83" s="49" t="n"/>
    </row>
    <row r="84">
      <c r="B84" s="49" t="n"/>
      <c r="C84" s="49" t="n"/>
      <c r="D84" s="49" t="n"/>
      <c r="E84" s="49" t="n"/>
      <c r="F84" s="49" t="n"/>
      <c r="G84" s="49" t="n"/>
      <c r="H84" s="49" t="n"/>
      <c r="I84" s="49" t="n"/>
      <c r="J84" s="49" t="n"/>
    </row>
    <row r="85">
      <c r="B85" s="49" t="n"/>
      <c r="C85" s="49" t="n"/>
      <c r="D85" s="49" t="n"/>
      <c r="E85" s="49" t="n"/>
      <c r="F85" s="49" t="n"/>
      <c r="G85" s="49" t="n"/>
      <c r="H85" s="49" t="n"/>
      <c r="I85" s="49" t="n"/>
      <c r="J85" s="49" t="n"/>
    </row>
    <row r="86">
      <c r="B86" s="49" t="n"/>
      <c r="C86" s="49" t="n"/>
      <c r="D86" s="49" t="n"/>
      <c r="E86" s="49" t="n"/>
      <c r="F86" s="49" t="n"/>
      <c r="G86" s="49" t="n"/>
      <c r="H86" s="49" t="n"/>
      <c r="I86" s="49" t="n"/>
      <c r="J86" s="49" t="n"/>
    </row>
    <row r="87">
      <c r="B87" s="49" t="n"/>
      <c r="C87" s="49" t="n"/>
      <c r="D87" s="49" t="n"/>
      <c r="E87" s="49" t="n"/>
      <c r="F87" s="49" t="n"/>
      <c r="G87" s="49" t="n"/>
      <c r="H87" s="49" t="n"/>
      <c r="I87" s="49" t="n"/>
      <c r="J87" s="49" t="n"/>
    </row>
    <row r="88">
      <c r="B88" s="49" t="n"/>
      <c r="C88" s="49" t="n"/>
      <c r="D88" s="49" t="n"/>
      <c r="E88" s="49" t="n"/>
      <c r="F88" s="49" t="n"/>
      <c r="G88" s="49" t="n"/>
      <c r="H88" s="49" t="n"/>
      <c r="I88" s="49" t="n"/>
      <c r="J88" s="49" t="n"/>
    </row>
    <row r="89">
      <c r="B89" s="49" t="n"/>
      <c r="C89" s="49" t="n"/>
      <c r="D89" s="49" t="n"/>
      <c r="E89" s="49" t="n"/>
      <c r="F89" s="49" t="n"/>
      <c r="G89" s="49" t="n"/>
      <c r="H89" s="49" t="n"/>
      <c r="I89" s="49" t="n"/>
      <c r="J89" s="49" t="n"/>
    </row>
    <row r="90">
      <c r="B90" s="49" t="n"/>
      <c r="C90" s="49" t="n"/>
      <c r="D90" s="49" t="n"/>
      <c r="E90" s="49" t="n"/>
      <c r="F90" s="49" t="n"/>
      <c r="G90" s="49" t="n"/>
      <c r="H90" s="49" t="n"/>
      <c r="I90" s="49" t="n"/>
      <c r="J90" s="49" t="n"/>
    </row>
    <row r="91">
      <c r="B91" s="49" t="n"/>
      <c r="C91" s="49" t="n"/>
      <c r="D91" s="49" t="n"/>
      <c r="E91" s="49" t="n"/>
      <c r="F91" s="49" t="n"/>
      <c r="G91" s="49" t="n"/>
      <c r="H91" s="49" t="n"/>
      <c r="I91" s="49" t="n"/>
      <c r="J91" s="49" t="n"/>
    </row>
    <row r="92">
      <c r="B92" s="49" t="n"/>
      <c r="C92" s="49" t="n"/>
      <c r="D92" s="49" t="n"/>
      <c r="E92" s="49" t="n"/>
      <c r="F92" s="49" t="n"/>
      <c r="G92" s="49" t="n"/>
      <c r="H92" s="49" t="n"/>
      <c r="I92" s="49" t="n"/>
      <c r="J92" s="49" t="n"/>
    </row>
    <row r="93">
      <c r="B93" s="49" t="n"/>
      <c r="C93" s="49" t="n"/>
      <c r="D93" s="49" t="n"/>
      <c r="E93" s="49" t="n"/>
      <c r="F93" s="49" t="n"/>
      <c r="G93" s="49" t="n"/>
      <c r="H93" s="49" t="n"/>
      <c r="I93" s="49" t="n"/>
      <c r="J93" s="49" t="n"/>
    </row>
    <row r="94">
      <c r="B94" s="49" t="n"/>
      <c r="C94" s="49" t="n"/>
      <c r="D94" s="49" t="n"/>
      <c r="E94" s="49" t="n"/>
      <c r="F94" s="49" t="n"/>
      <c r="G94" s="49" t="n"/>
      <c r="H94" s="49" t="n"/>
      <c r="I94" s="49" t="n"/>
      <c r="J94" s="49" t="n"/>
    </row>
    <row r="95">
      <c r="B95" s="49" t="n"/>
      <c r="C95" s="49" t="n"/>
      <c r="D95" s="49" t="n"/>
      <c r="E95" s="49" t="n"/>
      <c r="F95" s="49" t="n"/>
      <c r="G95" s="49" t="n"/>
      <c r="H95" s="49" t="n"/>
      <c r="I95" s="49" t="n"/>
      <c r="J95" s="49" t="n"/>
    </row>
    <row r="96">
      <c r="B96" s="49" t="n"/>
      <c r="C96" s="49" t="n"/>
      <c r="D96" s="49" t="n"/>
      <c r="E96" s="49" t="n"/>
      <c r="F96" s="49" t="n"/>
      <c r="G96" s="49" t="n"/>
      <c r="H96" s="49" t="n"/>
      <c r="I96" s="49" t="n"/>
      <c r="J96" s="49" t="n"/>
    </row>
    <row r="97">
      <c r="B97" s="49" t="n"/>
      <c r="C97" s="49" t="n"/>
      <c r="D97" s="49" t="n"/>
      <c r="E97" s="49" t="n"/>
      <c r="F97" s="49" t="n"/>
      <c r="G97" s="49" t="n"/>
      <c r="H97" s="49" t="n"/>
      <c r="I97" s="49" t="n"/>
      <c r="J97" s="49" t="n"/>
    </row>
    <row r="98">
      <c r="B98" s="49" t="n"/>
      <c r="C98" s="49" t="n"/>
      <c r="D98" s="49" t="n"/>
      <c r="E98" s="49" t="n"/>
      <c r="F98" s="49" t="n"/>
      <c r="G98" s="49" t="n"/>
      <c r="H98" s="49" t="n"/>
      <c r="I98" s="49" t="n"/>
      <c r="J98" s="49" t="n"/>
    </row>
    <row r="99">
      <c r="B99" s="49" t="n"/>
      <c r="C99" s="49" t="n"/>
      <c r="D99" s="49" t="n"/>
      <c r="E99" s="49" t="n"/>
      <c r="F99" s="49" t="n"/>
      <c r="G99" s="49" t="n"/>
      <c r="H99" s="49" t="n"/>
      <c r="I99" s="49" t="n"/>
      <c r="J99" s="49" t="n"/>
    </row>
    <row r="100">
      <c r="B100" s="49" t="n"/>
      <c r="C100" s="49" t="n"/>
      <c r="D100" s="49" t="n"/>
      <c r="E100" s="49" t="n"/>
      <c r="F100" s="49" t="n"/>
      <c r="G100" s="49" t="n"/>
      <c r="H100" s="49" t="n"/>
      <c r="I100" s="49" t="n"/>
      <c r="J100" s="49" t="n"/>
    </row>
    <row r="101">
      <c r="B101" s="49" t="n"/>
      <c r="C101" s="49" t="n"/>
      <c r="D101" s="49" t="n"/>
      <c r="E101" s="49" t="n"/>
      <c r="F101" s="49" t="n"/>
      <c r="G101" s="49" t="n"/>
      <c r="H101" s="49" t="n"/>
      <c r="I101" s="49" t="n"/>
      <c r="J101" s="49" t="n"/>
    </row>
    <row r="102">
      <c r="B102" s="49" t="n"/>
      <c r="C102" s="49" t="n"/>
      <c r="D102" s="49" t="n"/>
      <c r="E102" s="49" t="n"/>
      <c r="F102" s="49" t="n"/>
      <c r="G102" s="49" t="n"/>
      <c r="H102" s="49" t="n"/>
      <c r="I102" s="49" t="n"/>
      <c r="J102" s="49" t="n"/>
    </row>
    <row r="103">
      <c r="B103" s="49" t="n"/>
      <c r="C103" s="49" t="n"/>
      <c r="D103" s="49" t="n"/>
      <c r="E103" s="49" t="n"/>
      <c r="F103" s="49" t="n"/>
      <c r="G103" s="49" t="n"/>
      <c r="H103" s="49" t="n"/>
      <c r="I103" s="49" t="n"/>
      <c r="J103" s="49" t="n"/>
    </row>
    <row r="104">
      <c r="B104" s="49" t="n"/>
      <c r="C104" s="49" t="n"/>
      <c r="D104" s="49" t="n"/>
      <c r="E104" s="49" t="n"/>
      <c r="F104" s="49" t="n"/>
      <c r="G104" s="49" t="n"/>
      <c r="H104" s="49" t="n"/>
      <c r="I104" s="49" t="n"/>
      <c r="J104" s="49" t="n"/>
    </row>
    <row r="105">
      <c r="B105" s="49" t="n"/>
      <c r="C105" s="49" t="n"/>
      <c r="D105" s="49" t="n"/>
      <c r="E105" s="49" t="n"/>
      <c r="F105" s="49" t="n"/>
      <c r="G105" s="49" t="n"/>
      <c r="H105" s="49" t="n"/>
      <c r="I105" s="49" t="n"/>
      <c r="J105" s="49" t="n"/>
    </row>
    <row r="106">
      <c r="B106" s="49" t="n"/>
      <c r="C106" s="49" t="n"/>
      <c r="D106" s="49" t="n"/>
      <c r="E106" s="49" t="n"/>
      <c r="F106" s="49" t="n"/>
      <c r="G106" s="49" t="n"/>
      <c r="H106" s="49" t="n"/>
      <c r="I106" s="49" t="n"/>
      <c r="J106" s="49" t="n"/>
    </row>
    <row r="107">
      <c r="B107" s="49" t="n"/>
      <c r="C107" s="49" t="n"/>
      <c r="D107" s="49" t="n"/>
      <c r="E107" s="49" t="n"/>
      <c r="F107" s="49" t="n"/>
      <c r="G107" s="49" t="n"/>
      <c r="H107" s="49" t="n"/>
      <c r="I107" s="49" t="n"/>
      <c r="J107" s="49" t="n"/>
    </row>
    <row r="108">
      <c r="B108" s="49" t="n"/>
      <c r="C108" s="49" t="n"/>
      <c r="D108" s="49" t="n"/>
      <c r="E108" s="49" t="n"/>
      <c r="F108" s="49" t="n"/>
      <c r="G108" s="49" t="n"/>
      <c r="H108" s="49" t="n"/>
      <c r="I108" s="49" t="n"/>
      <c r="J108" s="49" t="n"/>
    </row>
    <row r="109">
      <c r="B109" s="49" t="n"/>
      <c r="C109" s="49" t="n"/>
      <c r="D109" s="49" t="n"/>
      <c r="E109" s="49" t="n"/>
      <c r="F109" s="49" t="n"/>
      <c r="G109" s="49" t="n"/>
      <c r="H109" s="49" t="n"/>
      <c r="I109" s="49" t="n"/>
      <c r="J109" s="49" t="n"/>
    </row>
    <row r="110">
      <c r="B110" s="49" t="n"/>
      <c r="C110" s="49" t="n"/>
      <c r="D110" s="49" t="n"/>
      <c r="E110" s="49" t="n"/>
      <c r="F110" s="49" t="n"/>
      <c r="G110" s="49" t="n"/>
      <c r="H110" s="49" t="n"/>
      <c r="I110" s="49" t="n"/>
      <c r="J110" s="49" t="n"/>
    </row>
    <row r="111">
      <c r="B111" s="49" t="n"/>
      <c r="C111" s="49" t="n"/>
      <c r="D111" s="49" t="n"/>
      <c r="E111" s="49" t="n"/>
      <c r="F111" s="49" t="n"/>
      <c r="G111" s="49" t="n"/>
      <c r="H111" s="49" t="n"/>
      <c r="I111" s="49" t="n"/>
      <c r="J111" s="49" t="n"/>
    </row>
    <row r="112">
      <c r="B112" s="49" t="n"/>
      <c r="C112" s="49" t="n"/>
      <c r="D112" s="49" t="n"/>
      <c r="E112" s="49" t="n"/>
      <c r="F112" s="49" t="n"/>
      <c r="G112" s="49" t="n"/>
      <c r="H112" s="49" t="n"/>
      <c r="I112" s="49" t="n"/>
      <c r="J112" s="49" t="n"/>
    </row>
    <row r="113">
      <c r="B113" s="49" t="n"/>
      <c r="C113" s="49" t="n"/>
      <c r="D113" s="49" t="n"/>
      <c r="E113" s="49" t="n"/>
      <c r="F113" s="49" t="n"/>
      <c r="G113" s="49" t="n"/>
      <c r="H113" s="49" t="n"/>
      <c r="I113" s="49" t="n"/>
      <c r="J113" s="49" t="n"/>
    </row>
    <row r="114">
      <c r="B114" s="49" t="n"/>
      <c r="C114" s="49" t="n"/>
      <c r="D114" s="49" t="n"/>
      <c r="E114" s="49" t="n"/>
      <c r="F114" s="49" t="n"/>
      <c r="G114" s="49" t="n"/>
      <c r="H114" s="49" t="n"/>
      <c r="I114" s="49" t="n"/>
      <c r="J114" s="49" t="n"/>
    </row>
    <row r="115">
      <c r="B115" s="49" t="n"/>
      <c r="C115" s="49" t="n"/>
      <c r="D115" s="49" t="n"/>
      <c r="E115" s="49" t="n"/>
      <c r="F115" s="49" t="n"/>
      <c r="G115" s="49" t="n"/>
      <c r="H115" s="49" t="n"/>
      <c r="I115" s="49" t="n"/>
      <c r="J115" s="49" t="n"/>
    </row>
    <row r="116">
      <c r="B116" s="49" t="n"/>
      <c r="C116" s="49" t="n"/>
      <c r="D116" s="49" t="n"/>
      <c r="E116" s="49" t="n"/>
      <c r="F116" s="49" t="n"/>
      <c r="G116" s="49" t="n"/>
      <c r="H116" s="49" t="n"/>
      <c r="I116" s="49" t="n"/>
      <c r="J116" s="49" t="n"/>
    </row>
    <row r="117">
      <c r="B117" s="49" t="n"/>
      <c r="C117" s="49" t="n"/>
      <c r="D117" s="49" t="n"/>
      <c r="E117" s="49" t="n"/>
      <c r="F117" s="49" t="n"/>
      <c r="G117" s="49" t="n"/>
      <c r="H117" s="49" t="n"/>
      <c r="I117" s="49" t="n"/>
      <c r="J117" s="49" t="n"/>
    </row>
    <row r="118">
      <c r="B118" s="49" t="n"/>
      <c r="C118" s="49" t="n"/>
      <c r="D118" s="49" t="n"/>
      <c r="E118" s="49" t="n"/>
      <c r="F118" s="49" t="n"/>
      <c r="G118" s="49" t="n"/>
      <c r="H118" s="49" t="n"/>
      <c r="I118" s="49" t="n"/>
      <c r="J118" s="49" t="n"/>
    </row>
    <row r="119">
      <c r="B119" s="49" t="n"/>
      <c r="C119" s="49" t="n"/>
      <c r="D119" s="49" t="n"/>
      <c r="E119" s="49" t="n"/>
      <c r="F119" s="49" t="n"/>
      <c r="G119" s="49" t="n"/>
      <c r="H119" s="49" t="n"/>
      <c r="I119" s="49" t="n"/>
      <c r="J119" s="49" t="n"/>
    </row>
    <row r="120">
      <c r="B120" s="49" t="n"/>
      <c r="C120" s="49" t="n"/>
      <c r="D120" s="49" t="n"/>
      <c r="E120" s="49" t="n"/>
      <c r="F120" s="49" t="n"/>
      <c r="G120" s="49" t="n"/>
      <c r="H120" s="49" t="n"/>
      <c r="I120" s="49" t="n"/>
      <c r="J120" s="49" t="n"/>
    </row>
    <row r="121">
      <c r="B121" s="49" t="n"/>
      <c r="C121" s="49" t="n"/>
      <c r="D121" s="49" t="n"/>
      <c r="E121" s="49" t="n"/>
      <c r="F121" s="49" t="n"/>
      <c r="G121" s="49" t="n"/>
      <c r="H121" s="49" t="n"/>
      <c r="I121" s="49" t="n"/>
      <c r="J121" s="49" t="n"/>
    </row>
    <row r="122">
      <c r="B122" s="49" t="n"/>
      <c r="C122" s="49" t="n"/>
      <c r="D122" s="49" t="n"/>
      <c r="E122" s="49" t="n"/>
      <c r="F122" s="49" t="n"/>
      <c r="G122" s="49" t="n"/>
      <c r="H122" s="49" t="n"/>
      <c r="I122" s="49" t="n"/>
      <c r="J122" s="49" t="n"/>
    </row>
    <row r="123">
      <c r="B123" s="49" t="n"/>
      <c r="C123" s="49" t="n"/>
      <c r="D123" s="49" t="n"/>
      <c r="E123" s="49" t="n"/>
      <c r="F123" s="49" t="n"/>
      <c r="G123" s="49" t="n"/>
      <c r="H123" s="49" t="n"/>
      <c r="I123" s="49" t="n"/>
      <c r="J123" s="49" t="n"/>
    </row>
    <row r="124">
      <c r="B124" s="49" t="n"/>
      <c r="C124" s="49" t="n"/>
      <c r="D124" s="49" t="n"/>
      <c r="E124" s="49" t="n"/>
      <c r="F124" s="49" t="n"/>
      <c r="G124" s="49" t="n"/>
      <c r="H124" s="49" t="n"/>
      <c r="I124" s="49" t="n"/>
      <c r="J124" s="49" t="n"/>
    </row>
    <row r="125">
      <c r="B125" s="49" t="n"/>
      <c r="C125" s="49" t="n"/>
      <c r="D125" s="49" t="n"/>
      <c r="E125" s="49" t="n"/>
      <c r="F125" s="49" t="n"/>
      <c r="G125" s="49" t="n"/>
      <c r="H125" s="49" t="n"/>
      <c r="I125" s="49" t="n"/>
      <c r="J125" s="49" t="n"/>
    </row>
    <row r="126">
      <c r="B126" s="49" t="n"/>
      <c r="C126" s="49" t="n"/>
      <c r="D126" s="49" t="n"/>
      <c r="E126" s="49" t="n"/>
      <c r="F126" s="49" t="n"/>
      <c r="G126" s="49" t="n"/>
      <c r="H126" s="49" t="n"/>
      <c r="I126" s="49" t="n"/>
      <c r="J126" s="49" t="n"/>
    </row>
    <row r="127">
      <c r="B127" s="49" t="n"/>
      <c r="C127" s="49" t="n"/>
      <c r="D127" s="49" t="n"/>
      <c r="E127" s="49" t="n"/>
      <c r="F127" s="49" t="n"/>
      <c r="G127" s="49" t="n"/>
      <c r="H127" s="49" t="n"/>
      <c r="I127" s="49" t="n"/>
      <c r="J127" s="49" t="n"/>
    </row>
    <row r="128">
      <c r="B128" s="49" t="n"/>
      <c r="C128" s="49" t="n"/>
      <c r="D128" s="49" t="n"/>
      <c r="E128" s="49" t="n"/>
      <c r="F128" s="49" t="n"/>
      <c r="G128" s="49" t="n"/>
      <c r="H128" s="49" t="n"/>
      <c r="I128" s="49" t="n"/>
      <c r="J128" s="49" t="n"/>
    </row>
    <row r="129">
      <c r="B129" s="49" t="n"/>
      <c r="C129" s="49" t="n"/>
      <c r="D129" s="49" t="n"/>
      <c r="E129" s="49" t="n"/>
      <c r="F129" s="49" t="n"/>
      <c r="G129" s="49" t="n"/>
      <c r="H129" s="49" t="n"/>
      <c r="I129" s="49" t="n"/>
      <c r="J129" s="49" t="n"/>
    </row>
    <row r="130">
      <c r="B130" s="49" t="n"/>
      <c r="C130" s="49" t="n"/>
      <c r="D130" s="49" t="n"/>
      <c r="E130" s="49" t="n"/>
      <c r="F130" s="49" t="n"/>
      <c r="G130" s="49" t="n"/>
      <c r="H130" s="49" t="n"/>
      <c r="I130" s="49" t="n"/>
      <c r="J130" s="49" t="n"/>
    </row>
    <row r="131">
      <c r="B131" s="49" t="n"/>
      <c r="C131" s="49" t="n"/>
      <c r="D131" s="49" t="n"/>
      <c r="E131" s="49" t="n"/>
      <c r="F131" s="49" t="n"/>
      <c r="G131" s="49" t="n"/>
      <c r="H131" s="49" t="n"/>
      <c r="I131" s="49" t="n"/>
      <c r="J131" s="49" t="n"/>
    </row>
    <row r="132">
      <c r="B132" s="49" t="n"/>
      <c r="C132" s="49" t="n"/>
      <c r="D132" s="49" t="n"/>
      <c r="E132" s="49" t="n"/>
      <c r="F132" s="49" t="n"/>
      <c r="G132" s="49" t="n"/>
      <c r="H132" s="49" t="n"/>
      <c r="I132" s="49" t="n"/>
      <c r="J132" s="49" t="n"/>
    </row>
    <row r="133">
      <c r="B133" s="49" t="n"/>
      <c r="C133" s="49" t="n"/>
      <c r="D133" s="49" t="n"/>
      <c r="E133" s="49" t="n"/>
      <c r="F133" s="49" t="n"/>
      <c r="G133" s="49" t="n"/>
      <c r="H133" s="49" t="n"/>
      <c r="I133" s="49" t="n"/>
      <c r="J133" s="49" t="n"/>
    </row>
    <row r="134">
      <c r="B134" s="49" t="n"/>
      <c r="C134" s="49" t="n"/>
      <c r="D134" s="49" t="n"/>
      <c r="E134" s="49" t="n"/>
      <c r="F134" s="49" t="n"/>
      <c r="G134" s="49" t="n"/>
      <c r="H134" s="49" t="n"/>
      <c r="I134" s="49" t="n"/>
      <c r="J134" s="49" t="n"/>
    </row>
    <row r="135">
      <c r="B135" s="49" t="n"/>
      <c r="C135" s="49" t="n"/>
      <c r="D135" s="49" t="n"/>
      <c r="E135" s="49" t="n"/>
      <c r="F135" s="49" t="n"/>
      <c r="G135" s="49" t="n"/>
      <c r="H135" s="49" t="n"/>
      <c r="I135" s="49" t="n"/>
      <c r="J135" s="49" t="n"/>
    </row>
    <row r="136">
      <c r="B136" s="49" t="n"/>
      <c r="C136" s="49" t="n"/>
      <c r="D136" s="49" t="n"/>
      <c r="E136" s="49" t="n"/>
      <c r="F136" s="49" t="n"/>
      <c r="G136" s="49" t="n"/>
      <c r="H136" s="49" t="n"/>
      <c r="I136" s="49" t="n"/>
      <c r="J136" s="49" t="n"/>
    </row>
    <row r="137">
      <c r="B137" s="49" t="n"/>
      <c r="C137" s="49" t="n"/>
      <c r="D137" s="49" t="n"/>
      <c r="E137" s="49" t="n"/>
      <c r="F137" s="49" t="n"/>
      <c r="G137" s="49" t="n"/>
      <c r="H137" s="49" t="n"/>
      <c r="I137" s="49" t="n"/>
      <c r="J137" s="49" t="n"/>
    </row>
    <row r="138">
      <c r="B138" s="49" t="n"/>
      <c r="C138" s="49" t="n"/>
      <c r="D138" s="49" t="n"/>
      <c r="E138" s="49" t="n"/>
      <c r="F138" s="49" t="n"/>
      <c r="G138" s="49" t="n"/>
      <c r="H138" s="49" t="n"/>
      <c r="I138" s="49" t="n"/>
      <c r="J138" s="49" t="n"/>
    </row>
    <row r="139">
      <c r="B139" s="49" t="n"/>
      <c r="C139" s="49" t="n"/>
      <c r="D139" s="49" t="n"/>
      <c r="E139" s="49" t="n"/>
      <c r="F139" s="49" t="n"/>
      <c r="G139" s="49" t="n"/>
      <c r="H139" s="49" t="n"/>
      <c r="I139" s="49" t="n"/>
      <c r="J139" s="49" t="n"/>
    </row>
    <row r="140">
      <c r="B140" s="49" t="n"/>
      <c r="C140" s="49" t="n"/>
      <c r="D140" s="49" t="n"/>
      <c r="E140" s="49" t="n"/>
      <c r="F140" s="49" t="n"/>
      <c r="G140" s="49" t="n"/>
      <c r="H140" s="49" t="n"/>
      <c r="I140" s="49" t="n"/>
      <c r="J140" s="49" t="n"/>
    </row>
    <row r="141">
      <c r="B141" s="49" t="n"/>
      <c r="C141" s="49" t="n"/>
      <c r="D141" s="49" t="n"/>
      <c r="E141" s="49" t="n"/>
      <c r="F141" s="49" t="n"/>
      <c r="G141" s="49" t="n"/>
      <c r="H141" s="49" t="n"/>
      <c r="I141" s="49" t="n"/>
      <c r="J141" s="49" t="n"/>
    </row>
    <row r="142">
      <c r="B142" s="49" t="n"/>
      <c r="C142" s="49" t="n"/>
      <c r="D142" s="49" t="n"/>
      <c r="E142" s="49" t="n"/>
      <c r="F142" s="49" t="n"/>
      <c r="G142" s="49" t="n"/>
      <c r="H142" s="49" t="n"/>
      <c r="I142" s="49" t="n"/>
      <c r="J142" s="49" t="n"/>
    </row>
    <row r="143">
      <c r="B143" s="49" t="n"/>
      <c r="C143" s="49" t="n"/>
      <c r="D143" s="49" t="n"/>
      <c r="E143" s="49" t="n"/>
      <c r="F143" s="49" t="n"/>
      <c r="G143" s="49" t="n"/>
      <c r="H143" s="49" t="n"/>
      <c r="I143" s="49" t="n"/>
      <c r="J143" s="49" t="n"/>
    </row>
    <row r="144">
      <c r="B144" s="49" t="n"/>
      <c r="C144" s="49" t="n"/>
      <c r="D144" s="49" t="n"/>
      <c r="E144" s="49" t="n"/>
      <c r="F144" s="49" t="n"/>
      <c r="G144" s="49" t="n"/>
      <c r="H144" s="49" t="n"/>
      <c r="I144" s="49" t="n"/>
      <c r="J144" s="49" t="n"/>
    </row>
    <row r="145">
      <c r="B145" s="49" t="n"/>
      <c r="C145" s="49" t="n"/>
      <c r="D145" s="49" t="n"/>
      <c r="E145" s="49" t="n"/>
      <c r="F145" s="49" t="n"/>
      <c r="G145" s="49" t="n"/>
      <c r="H145" s="49" t="n"/>
      <c r="I145" s="49" t="n"/>
      <c r="J145" s="49" t="n"/>
    </row>
    <row r="146">
      <c r="B146" s="49" t="n"/>
      <c r="C146" s="49" t="n"/>
      <c r="D146" s="49" t="n"/>
      <c r="E146" s="49" t="n"/>
      <c r="F146" s="49" t="n"/>
      <c r="G146" s="49" t="n"/>
      <c r="H146" s="49" t="n"/>
      <c r="I146" s="49" t="n"/>
      <c r="J146" s="49" t="n"/>
    </row>
    <row r="147">
      <c r="B147" s="49" t="n"/>
      <c r="C147" s="49" t="n"/>
      <c r="D147" s="49" t="n"/>
      <c r="E147" s="49" t="n"/>
      <c r="F147" s="49" t="n"/>
      <c r="G147" s="49" t="n"/>
      <c r="H147" s="49" t="n"/>
      <c r="I147" s="49" t="n"/>
      <c r="J147" s="49" t="n"/>
    </row>
    <row r="148">
      <c r="B148" s="49" t="n"/>
      <c r="C148" s="49" t="n"/>
      <c r="D148" s="49" t="n"/>
      <c r="E148" s="49" t="n"/>
      <c r="F148" s="49" t="n"/>
      <c r="G148" s="49" t="n"/>
      <c r="H148" s="49" t="n"/>
      <c r="I148" s="49" t="n"/>
      <c r="J148" s="49" t="n"/>
    </row>
    <row r="149">
      <c r="B149" s="49" t="n"/>
      <c r="C149" s="49" t="n"/>
      <c r="D149" s="49" t="n"/>
      <c r="E149" s="49" t="n"/>
      <c r="F149" s="49" t="n"/>
      <c r="G149" s="49" t="n"/>
      <c r="H149" s="49" t="n"/>
      <c r="I149" s="49" t="n"/>
      <c r="J149" s="49" t="n"/>
    </row>
    <row r="150">
      <c r="B150" s="49" t="n"/>
      <c r="C150" s="49" t="n"/>
      <c r="D150" s="49" t="n"/>
      <c r="E150" s="49" t="n"/>
      <c r="F150" s="49" t="n"/>
      <c r="G150" s="49" t="n"/>
      <c r="H150" s="49" t="n"/>
      <c r="I150" s="49" t="n"/>
      <c r="J150" s="49" t="n"/>
    </row>
    <row r="151">
      <c r="B151" s="49" t="n"/>
      <c r="C151" s="49" t="n"/>
      <c r="D151" s="49" t="n"/>
      <c r="E151" s="49" t="n"/>
      <c r="F151" s="49" t="n"/>
      <c r="G151" s="49" t="n"/>
      <c r="H151" s="49" t="n"/>
      <c r="I151" s="49" t="n"/>
      <c r="J151" s="49" t="n"/>
    </row>
    <row r="152">
      <c r="B152" s="49" t="n"/>
      <c r="C152" s="49" t="n"/>
      <c r="D152" s="49" t="n"/>
      <c r="E152" s="49" t="n"/>
      <c r="F152" s="49" t="n"/>
      <c r="G152" s="49" t="n"/>
      <c r="H152" s="49" t="n"/>
      <c r="I152" s="49" t="n"/>
      <c r="J152" s="49" t="n"/>
    </row>
    <row r="153">
      <c r="B153" s="49" t="n"/>
      <c r="C153" s="49" t="n"/>
      <c r="D153" s="49" t="n"/>
      <c r="E153" s="49" t="n"/>
      <c r="F153" s="49" t="n"/>
      <c r="G153" s="49" t="n"/>
      <c r="H153" s="49" t="n"/>
      <c r="I153" s="49" t="n"/>
      <c r="J153" s="49" t="n"/>
    </row>
    <row r="154">
      <c r="B154" s="49" t="n"/>
      <c r="C154" s="49" t="n"/>
      <c r="D154" s="49" t="n"/>
      <c r="E154" s="49" t="n"/>
      <c r="F154" s="49" t="n"/>
      <c r="G154" s="49" t="n"/>
      <c r="H154" s="49" t="n"/>
      <c r="I154" s="49" t="n"/>
      <c r="J154" s="49" t="n"/>
    </row>
    <row r="155">
      <c r="B155" s="49" t="n"/>
      <c r="C155" s="49" t="n"/>
      <c r="D155" s="49" t="n"/>
      <c r="E155" s="49" t="n"/>
      <c r="F155" s="49" t="n"/>
      <c r="G155" s="49" t="n"/>
      <c r="H155" s="49" t="n"/>
      <c r="I155" s="49" t="n"/>
      <c r="J155" s="49" t="n"/>
    </row>
    <row r="156">
      <c r="B156" s="49" t="n"/>
      <c r="C156" s="49" t="n"/>
      <c r="D156" s="49" t="n"/>
      <c r="E156" s="49" t="n"/>
      <c r="F156" s="49" t="n"/>
      <c r="G156" s="49" t="n"/>
      <c r="H156" s="49" t="n"/>
      <c r="I156" s="49" t="n"/>
      <c r="J156" s="49" t="n"/>
    </row>
    <row r="157">
      <c r="B157" s="49" t="n"/>
      <c r="C157" s="49" t="n"/>
      <c r="D157" s="49" t="n"/>
      <c r="E157" s="49" t="n"/>
      <c r="F157" s="49" t="n"/>
      <c r="G157" s="49" t="n"/>
      <c r="H157" s="49" t="n"/>
      <c r="I157" s="49" t="n"/>
      <c r="J157" s="49" t="n"/>
    </row>
    <row r="158">
      <c r="B158" s="49" t="n"/>
      <c r="C158" s="49" t="n"/>
      <c r="D158" s="49" t="n"/>
      <c r="E158" s="49" t="n"/>
      <c r="F158" s="49" t="n"/>
      <c r="G158" s="49" t="n"/>
      <c r="H158" s="49" t="n"/>
      <c r="I158" s="49" t="n"/>
      <c r="J158" s="49" t="n"/>
    </row>
    <row r="159">
      <c r="B159" s="49" t="n"/>
      <c r="C159" s="49" t="n"/>
      <c r="D159" s="49" t="n"/>
      <c r="E159" s="49" t="n"/>
      <c r="F159" s="49" t="n"/>
      <c r="G159" s="49" t="n"/>
      <c r="H159" s="49" t="n"/>
      <c r="I159" s="49" t="n"/>
      <c r="J159" s="49" t="n"/>
    </row>
    <row r="160">
      <c r="B160" s="49" t="n"/>
      <c r="C160" s="49" t="n"/>
      <c r="D160" s="49" t="n"/>
      <c r="E160" s="49" t="n"/>
      <c r="F160" s="49" t="n"/>
      <c r="G160" s="49" t="n"/>
      <c r="H160" s="49" t="n"/>
      <c r="I160" s="49" t="n"/>
      <c r="J160" s="49" t="n"/>
    </row>
    <row r="161">
      <c r="B161" s="49" t="n"/>
      <c r="C161" s="49" t="n"/>
      <c r="D161" s="49" t="n"/>
      <c r="E161" s="49" t="n"/>
      <c r="F161" s="49" t="n"/>
      <c r="G161" s="49" t="n"/>
      <c r="H161" s="49" t="n"/>
      <c r="I161" s="49" t="n"/>
      <c r="J161" s="49" t="n"/>
    </row>
    <row r="162">
      <c r="B162" s="49" t="n"/>
      <c r="C162" s="49" t="n"/>
      <c r="D162" s="49" t="n"/>
      <c r="E162" s="49" t="n"/>
      <c r="F162" s="49" t="n"/>
      <c r="G162" s="49" t="n"/>
      <c r="H162" s="49" t="n"/>
      <c r="I162" s="49" t="n"/>
      <c r="J162" s="49" t="n"/>
    </row>
    <row r="163">
      <c r="B163" s="49" t="n"/>
      <c r="C163" s="49" t="n"/>
      <c r="D163" s="49" t="n"/>
      <c r="E163" s="49" t="n"/>
      <c r="F163" s="49" t="n"/>
      <c r="G163" s="49" t="n"/>
      <c r="H163" s="49" t="n"/>
      <c r="I163" s="49" t="n"/>
      <c r="J163" s="49" t="n"/>
    </row>
    <row r="164">
      <c r="B164" s="49" t="n"/>
      <c r="C164" s="49" t="n"/>
      <c r="D164" s="49" t="n"/>
      <c r="E164" s="49" t="n"/>
      <c r="F164" s="49" t="n"/>
      <c r="G164" s="49" t="n"/>
      <c r="H164" s="49" t="n"/>
      <c r="I164" s="49" t="n"/>
      <c r="J164" s="49" t="n"/>
    </row>
    <row r="165">
      <c r="B165" s="49" t="n"/>
      <c r="C165" s="49" t="n"/>
      <c r="D165" s="49" t="n"/>
      <c r="E165" s="49" t="n"/>
      <c r="F165" s="49" t="n"/>
      <c r="G165" s="49" t="n"/>
      <c r="H165" s="49" t="n"/>
      <c r="I165" s="49" t="n"/>
      <c r="J165" s="49" t="n"/>
    </row>
    <row r="166">
      <c r="B166" s="49" t="n"/>
      <c r="C166" s="49" t="n"/>
      <c r="D166" s="49" t="n"/>
      <c r="E166" s="49" t="n"/>
      <c r="F166" s="49" t="n"/>
      <c r="G166" s="49" t="n"/>
      <c r="H166" s="49" t="n"/>
      <c r="I166" s="49" t="n"/>
      <c r="J166" s="49" t="n"/>
    </row>
    <row r="167">
      <c r="B167" s="49" t="n"/>
      <c r="C167" s="49" t="n"/>
      <c r="D167" s="49" t="n"/>
      <c r="E167" s="49" t="n"/>
      <c r="F167" s="49" t="n"/>
      <c r="G167" s="49" t="n"/>
      <c r="H167" s="49" t="n"/>
      <c r="I167" s="49" t="n"/>
      <c r="J167" s="49" t="n"/>
    </row>
    <row r="168">
      <c r="B168" s="49" t="n"/>
      <c r="C168" s="49" t="n"/>
      <c r="D168" s="49" t="n"/>
      <c r="E168" s="49" t="n"/>
      <c r="F168" s="49" t="n"/>
      <c r="G168" s="49" t="n"/>
      <c r="H168" s="49" t="n"/>
      <c r="I168" s="49" t="n"/>
      <c r="J168" s="49" t="n"/>
    </row>
    <row r="169">
      <c r="B169" s="49" t="n"/>
      <c r="C169" s="49" t="n"/>
      <c r="D169" s="49" t="n"/>
      <c r="E169" s="49" t="n"/>
      <c r="F169" s="49" t="n"/>
      <c r="G169" s="49" t="n"/>
      <c r="H169" s="49" t="n"/>
      <c r="I169" s="49" t="n"/>
      <c r="J169" s="49" t="n"/>
    </row>
    <row r="170">
      <c r="B170" s="49" t="n"/>
      <c r="C170" s="49" t="n"/>
      <c r="D170" s="49" t="n"/>
      <c r="E170" s="49" t="n"/>
      <c r="F170" s="49" t="n"/>
      <c r="G170" s="49" t="n"/>
      <c r="H170" s="49" t="n"/>
      <c r="I170" s="49" t="n"/>
      <c r="J170" s="49" t="n"/>
    </row>
    <row r="171">
      <c r="B171" s="49" t="n"/>
      <c r="C171" s="49" t="n"/>
      <c r="D171" s="49" t="n"/>
      <c r="E171" s="49" t="n"/>
      <c r="F171" s="49" t="n"/>
      <c r="G171" s="49" t="n"/>
      <c r="H171" s="49" t="n"/>
      <c r="I171" s="49" t="n"/>
      <c r="J171" s="49" t="n"/>
    </row>
    <row r="172">
      <c r="B172" s="49" t="n"/>
      <c r="C172" s="49" t="n"/>
      <c r="D172" s="49" t="n"/>
      <c r="E172" s="49" t="n"/>
      <c r="F172" s="49" t="n"/>
      <c r="G172" s="49" t="n"/>
      <c r="H172" s="49" t="n"/>
      <c r="I172" s="49" t="n"/>
      <c r="J172" s="49" t="n"/>
    </row>
    <row r="173">
      <c r="B173" s="49" t="n"/>
      <c r="C173" s="49" t="n"/>
      <c r="D173" s="49" t="n"/>
      <c r="E173" s="49" t="n"/>
      <c r="F173" s="49" t="n"/>
      <c r="G173" s="49" t="n"/>
      <c r="H173" s="49" t="n"/>
      <c r="I173" s="49" t="n"/>
      <c r="J173" s="49" t="n"/>
    </row>
    <row r="174">
      <c r="B174" s="49" t="n"/>
      <c r="C174" s="49" t="n"/>
      <c r="D174" s="49" t="n"/>
      <c r="E174" s="49" t="n"/>
      <c r="F174" s="49" t="n"/>
      <c r="G174" s="49" t="n"/>
      <c r="H174" s="49" t="n"/>
      <c r="I174" s="49" t="n"/>
      <c r="J174" s="49" t="n"/>
    </row>
    <row r="175">
      <c r="B175" s="49" t="n"/>
      <c r="C175" s="49" t="n"/>
      <c r="D175" s="49" t="n"/>
      <c r="E175" s="49" t="n"/>
      <c r="F175" s="49" t="n"/>
      <c r="G175" s="49" t="n"/>
      <c r="H175" s="49" t="n"/>
      <c r="I175" s="49" t="n"/>
      <c r="J175" s="49" t="n"/>
    </row>
    <row r="176">
      <c r="B176" s="49" t="n"/>
      <c r="C176" s="49" t="n"/>
      <c r="D176" s="49" t="n"/>
      <c r="E176" s="49" t="n"/>
      <c r="F176" s="49" t="n"/>
      <c r="G176" s="49" t="n"/>
      <c r="H176" s="49" t="n"/>
      <c r="I176" s="49" t="n"/>
      <c r="J176" s="49" t="n"/>
    </row>
    <row r="177">
      <c r="B177" s="49" t="n"/>
      <c r="C177" s="49" t="n"/>
      <c r="D177" s="49" t="n"/>
      <c r="E177" s="49" t="n"/>
      <c r="F177" s="49" t="n"/>
      <c r="G177" s="49" t="n"/>
      <c r="H177" s="49" t="n"/>
      <c r="I177" s="49" t="n"/>
      <c r="J177" s="49" t="n"/>
    </row>
    <row r="178">
      <c r="B178" s="49" t="n"/>
      <c r="C178" s="49" t="n"/>
      <c r="D178" s="49" t="n"/>
      <c r="E178" s="49" t="n"/>
      <c r="F178" s="49" t="n"/>
      <c r="G178" s="49" t="n"/>
      <c r="H178" s="49" t="n"/>
      <c r="I178" s="49" t="n"/>
      <c r="J178" s="49" t="n"/>
    </row>
    <row r="179">
      <c r="B179" s="49" t="n"/>
      <c r="C179" s="49" t="n"/>
      <c r="D179" s="49" t="n"/>
      <c r="E179" s="49" t="n"/>
      <c r="F179" s="49" t="n"/>
      <c r="G179" s="49" t="n"/>
      <c r="H179" s="49" t="n"/>
      <c r="I179" s="49" t="n"/>
      <c r="J179" s="49" t="n"/>
    </row>
    <row r="180">
      <c r="B180" s="49" t="n"/>
      <c r="C180" s="49" t="n"/>
      <c r="D180" s="49" t="n"/>
      <c r="E180" s="49" t="n"/>
      <c r="F180" s="49" t="n"/>
      <c r="G180" s="49" t="n"/>
      <c r="H180" s="49" t="n"/>
      <c r="I180" s="49" t="n"/>
      <c r="J180" s="49" t="n"/>
    </row>
    <row r="181">
      <c r="B181" s="49" t="n"/>
      <c r="C181" s="49" t="n"/>
      <c r="D181" s="49" t="n"/>
      <c r="E181" s="49" t="n"/>
      <c r="F181" s="49" t="n"/>
      <c r="G181" s="49" t="n"/>
      <c r="H181" s="49" t="n"/>
      <c r="I181" s="49" t="n"/>
      <c r="J181" s="49" t="n"/>
    </row>
    <row r="182">
      <c r="B182" s="49" t="n"/>
      <c r="C182" s="49" t="n"/>
      <c r="D182" s="49" t="n"/>
      <c r="E182" s="49" t="n"/>
      <c r="F182" s="49" t="n"/>
      <c r="G182" s="49" t="n"/>
      <c r="H182" s="49" t="n"/>
      <c r="I182" s="49" t="n"/>
      <c r="J182" s="49" t="n"/>
    </row>
    <row r="183">
      <c r="B183" s="49" t="n"/>
      <c r="C183" s="49" t="n"/>
      <c r="D183" s="49" t="n"/>
      <c r="E183" s="49" t="n"/>
      <c r="F183" s="49" t="n"/>
      <c r="G183" s="49" t="n"/>
      <c r="H183" s="49" t="n"/>
      <c r="I183" s="49" t="n"/>
      <c r="J183" s="49" t="n"/>
    </row>
    <row r="184">
      <c r="B184" s="49" t="n"/>
      <c r="C184" s="49" t="n"/>
      <c r="D184" s="49" t="n"/>
      <c r="E184" s="49" t="n"/>
      <c r="F184" s="49" t="n"/>
      <c r="G184" s="49" t="n"/>
      <c r="H184" s="49" t="n"/>
      <c r="I184" s="49" t="n"/>
      <c r="J184" s="49" t="n"/>
    </row>
    <row r="185">
      <c r="B185" s="49" t="n"/>
      <c r="C185" s="49" t="n"/>
      <c r="D185" s="49" t="n"/>
      <c r="E185" s="49" t="n"/>
      <c r="F185" s="49" t="n"/>
      <c r="G185" s="49" t="n"/>
      <c r="H185" s="49" t="n"/>
      <c r="I185" s="49" t="n"/>
      <c r="J185" s="49" t="n"/>
    </row>
    <row r="186">
      <c r="B186" s="49" t="n"/>
      <c r="C186" s="49" t="n"/>
      <c r="D186" s="49" t="n"/>
      <c r="E186" s="49" t="n"/>
      <c r="F186" s="49" t="n"/>
      <c r="G186" s="49" t="n"/>
      <c r="H186" s="49" t="n"/>
      <c r="I186" s="49" t="n"/>
      <c r="J186" s="49" t="n"/>
    </row>
    <row r="187">
      <c r="B187" s="49" t="n"/>
      <c r="C187" s="49" t="n"/>
      <c r="D187" s="49" t="n"/>
      <c r="E187" s="49" t="n"/>
      <c r="F187" s="49" t="n"/>
      <c r="G187" s="49" t="n"/>
      <c r="H187" s="49" t="n"/>
      <c r="I187" s="49" t="n"/>
      <c r="J187" s="49" t="n"/>
    </row>
    <row r="188">
      <c r="B188" s="49" t="n"/>
      <c r="C188" s="49" t="n"/>
      <c r="D188" s="49" t="n"/>
      <c r="E188" s="49" t="n"/>
      <c r="F188" s="49" t="n"/>
      <c r="G188" s="49" t="n"/>
      <c r="H188" s="49" t="n"/>
      <c r="I188" s="49" t="n"/>
      <c r="J188" s="49" t="n"/>
    </row>
    <row r="189">
      <c r="B189" s="49" t="n"/>
      <c r="C189" s="49" t="n"/>
      <c r="D189" s="49" t="n"/>
      <c r="E189" s="49" t="n"/>
      <c r="F189" s="49" t="n"/>
      <c r="G189" s="49" t="n"/>
      <c r="H189" s="49" t="n"/>
      <c r="I189" s="49" t="n"/>
      <c r="J189" s="49" t="n"/>
    </row>
    <row r="190">
      <c r="B190" s="49" t="n"/>
      <c r="C190" s="49" t="n"/>
      <c r="D190" s="49" t="n"/>
      <c r="E190" s="49" t="n"/>
      <c r="F190" s="49" t="n"/>
      <c r="G190" s="49" t="n"/>
      <c r="H190" s="49" t="n"/>
      <c r="I190" s="49" t="n"/>
      <c r="J190" s="49" t="n"/>
    </row>
    <row r="191">
      <c r="B191" s="49" t="n"/>
      <c r="C191" s="49" t="n"/>
      <c r="D191" s="49" t="n"/>
      <c r="E191" s="49" t="n"/>
      <c r="F191" s="49" t="n"/>
      <c r="G191" s="49" t="n"/>
      <c r="H191" s="49" t="n"/>
      <c r="I191" s="49" t="n"/>
      <c r="J191" s="49" t="n"/>
    </row>
    <row r="192">
      <c r="B192" s="49" t="n"/>
      <c r="C192" s="49" t="n"/>
      <c r="D192" s="49" t="n"/>
      <c r="E192" s="49" t="n"/>
      <c r="F192" s="49" t="n"/>
      <c r="G192" s="49" t="n"/>
      <c r="H192" s="49" t="n"/>
      <c r="I192" s="49" t="n"/>
      <c r="J192" s="49" t="n"/>
    </row>
    <row r="193">
      <c r="B193" s="49" t="n"/>
      <c r="C193" s="49" t="n"/>
      <c r="D193" s="49" t="n"/>
      <c r="E193" s="49" t="n"/>
      <c r="F193" s="49" t="n"/>
      <c r="G193" s="49" t="n"/>
      <c r="H193" s="49" t="n"/>
      <c r="I193" s="49" t="n"/>
      <c r="J193" s="49" t="n"/>
    </row>
    <row r="194">
      <c r="B194" s="49" t="n"/>
      <c r="C194" s="49" t="n"/>
      <c r="D194" s="49" t="n"/>
      <c r="E194" s="49" t="n"/>
      <c r="F194" s="49" t="n"/>
      <c r="G194" s="49" t="n"/>
      <c r="H194" s="49" t="n"/>
      <c r="I194" s="49" t="n"/>
      <c r="J194" s="49" t="n"/>
    </row>
    <row r="195">
      <c r="B195" s="49" t="n"/>
      <c r="C195" s="49" t="n"/>
      <c r="D195" s="49" t="n"/>
      <c r="E195" s="49" t="n"/>
      <c r="F195" s="49" t="n"/>
      <c r="G195" s="49" t="n"/>
      <c r="H195" s="49" t="n"/>
      <c r="I195" s="49" t="n"/>
      <c r="J195" s="49" t="n"/>
    </row>
    <row r="196">
      <c r="B196" s="49" t="n"/>
      <c r="C196" s="49" t="n"/>
      <c r="D196" s="49" t="n"/>
      <c r="E196" s="49" t="n"/>
      <c r="F196" s="49" t="n"/>
      <c r="G196" s="49" t="n"/>
      <c r="H196" s="49" t="n"/>
      <c r="I196" s="49" t="n"/>
      <c r="J196" s="49" t="n"/>
    </row>
    <row r="197">
      <c r="B197" s="49" t="n"/>
      <c r="C197" s="49" t="n"/>
      <c r="D197" s="49" t="n"/>
      <c r="E197" s="49" t="n"/>
      <c r="F197" s="49" t="n"/>
      <c r="G197" s="49" t="n"/>
      <c r="H197" s="49" t="n"/>
      <c r="I197" s="49" t="n"/>
      <c r="J197" s="49" t="n"/>
    </row>
    <row r="198">
      <c r="B198" s="49" t="n"/>
      <c r="C198" s="49" t="n"/>
      <c r="D198" s="49" t="n"/>
      <c r="E198" s="49" t="n"/>
      <c r="F198" s="49" t="n"/>
      <c r="G198" s="49" t="n"/>
      <c r="H198" s="49" t="n"/>
      <c r="I198" s="49" t="n"/>
      <c r="J198" s="49" t="n"/>
    </row>
    <row r="199">
      <c r="B199" s="49" t="n"/>
      <c r="C199" s="49" t="n"/>
      <c r="D199" s="49" t="n"/>
      <c r="E199" s="49" t="n"/>
      <c r="F199" s="49" t="n"/>
      <c r="G199" s="49" t="n"/>
      <c r="H199" s="49" t="n"/>
      <c r="I199" s="49" t="n"/>
      <c r="J199" s="49" t="n"/>
    </row>
    <row r="200">
      <c r="B200" s="49" t="n"/>
      <c r="C200" s="49" t="n"/>
      <c r="D200" s="49" t="n"/>
      <c r="E200" s="49" t="n"/>
      <c r="F200" s="49" t="n"/>
      <c r="G200" s="49" t="n"/>
      <c r="H200" s="49" t="n"/>
      <c r="I200" s="49" t="n"/>
      <c r="J200" s="49" t="n"/>
    </row>
    <row r="201">
      <c r="B201" s="49" t="n"/>
      <c r="C201" s="49" t="n"/>
      <c r="D201" s="49" t="n"/>
      <c r="E201" s="49" t="n"/>
      <c r="F201" s="49" t="n"/>
      <c r="G201" s="49" t="n"/>
      <c r="H201" s="49" t="n"/>
      <c r="I201" s="49" t="n"/>
      <c r="J201" s="49" t="n"/>
    </row>
    <row r="202">
      <c r="B202" s="49" t="n"/>
      <c r="C202" s="49" t="n"/>
      <c r="D202" s="49" t="n"/>
      <c r="E202" s="49" t="n"/>
      <c r="F202" s="49" t="n"/>
      <c r="G202" s="49" t="n"/>
      <c r="H202" s="49" t="n"/>
      <c r="I202" s="49" t="n"/>
      <c r="J202" s="49" t="n"/>
    </row>
    <row r="203">
      <c r="B203" s="49" t="n"/>
      <c r="C203" s="49" t="n"/>
      <c r="D203" s="49" t="n"/>
      <c r="E203" s="49" t="n"/>
      <c r="F203" s="49" t="n"/>
      <c r="G203" s="49" t="n"/>
      <c r="H203" s="49" t="n"/>
      <c r="I203" s="49" t="n"/>
      <c r="J203" s="49" t="n"/>
    </row>
    <row r="204">
      <c r="B204" s="49" t="n"/>
      <c r="C204" s="49" t="n"/>
      <c r="D204" s="49" t="n"/>
      <c r="E204" s="49" t="n"/>
      <c r="F204" s="49" t="n"/>
      <c r="G204" s="49" t="n"/>
      <c r="H204" s="49" t="n"/>
      <c r="I204" s="49" t="n"/>
      <c r="J204" s="49" t="n"/>
    </row>
    <row r="205">
      <c r="B205" s="49" t="n"/>
      <c r="C205" s="49" t="n"/>
      <c r="D205" s="49" t="n"/>
      <c r="E205" s="49" t="n"/>
      <c r="F205" s="49" t="n"/>
      <c r="G205" s="49" t="n"/>
      <c r="H205" s="49" t="n"/>
      <c r="I205" s="49" t="n"/>
      <c r="J205" s="49" t="n"/>
    </row>
    <row r="206">
      <c r="B206" s="49" t="n"/>
      <c r="C206" s="49" t="n"/>
      <c r="D206" s="49" t="n"/>
      <c r="E206" s="49" t="n"/>
      <c r="F206" s="49" t="n"/>
      <c r="G206" s="49" t="n"/>
      <c r="H206" s="49" t="n"/>
      <c r="I206" s="49" t="n"/>
      <c r="J206" s="49" t="n"/>
    </row>
    <row r="207">
      <c r="B207" s="49" t="n"/>
      <c r="C207" s="49" t="n"/>
      <c r="D207" s="49" t="n"/>
      <c r="E207" s="49" t="n"/>
      <c r="F207" s="49" t="n"/>
      <c r="G207" s="49" t="n"/>
      <c r="H207" s="49" t="n"/>
      <c r="I207" s="49" t="n"/>
      <c r="J207" s="49" t="n"/>
    </row>
    <row r="208">
      <c r="B208" s="49" t="n"/>
      <c r="C208" s="49" t="n"/>
      <c r="D208" s="49" t="n"/>
      <c r="E208" s="49" t="n"/>
      <c r="F208" s="49" t="n"/>
      <c r="G208" s="49" t="n"/>
      <c r="H208" s="49" t="n"/>
      <c r="I208" s="49" t="n"/>
      <c r="J208" s="49" t="n"/>
    </row>
    <row r="209">
      <c r="B209" s="49" t="n"/>
      <c r="C209" s="49" t="n"/>
      <c r="D209" s="49" t="n"/>
      <c r="E209" s="49" t="n"/>
      <c r="F209" s="49" t="n"/>
      <c r="G209" s="49" t="n"/>
      <c r="H209" s="49" t="n"/>
      <c r="I209" s="49" t="n"/>
      <c r="J209" s="49" t="n"/>
    </row>
    <row r="210">
      <c r="B210" s="49" t="n"/>
      <c r="C210" s="49" t="n"/>
      <c r="D210" s="49" t="n"/>
      <c r="E210" s="49" t="n"/>
      <c r="F210" s="49" t="n"/>
      <c r="G210" s="49" t="n"/>
      <c r="H210" s="49" t="n"/>
      <c r="I210" s="49" t="n"/>
      <c r="J210" s="49" t="n"/>
    </row>
    <row r="211">
      <c r="B211" s="49" t="n"/>
      <c r="C211" s="49" t="n"/>
      <c r="D211" s="49" t="n"/>
      <c r="E211" s="49" t="n"/>
      <c r="F211" s="49" t="n"/>
      <c r="G211" s="49" t="n"/>
      <c r="H211" s="49" t="n"/>
      <c r="I211" s="49" t="n"/>
      <c r="J211" s="49" t="n"/>
    </row>
    <row r="212">
      <c r="B212" s="49" t="n"/>
      <c r="C212" s="49" t="n"/>
      <c r="D212" s="49" t="n"/>
      <c r="E212" s="49" t="n"/>
      <c r="F212" s="49" t="n"/>
      <c r="G212" s="49" t="n"/>
      <c r="H212" s="49" t="n"/>
      <c r="I212" s="49" t="n"/>
      <c r="J212" s="49" t="n"/>
    </row>
    <row r="213">
      <c r="B213" s="49" t="n"/>
      <c r="C213" s="49" t="n"/>
      <c r="D213" s="49" t="n"/>
      <c r="E213" s="49" t="n"/>
      <c r="F213" s="49" t="n"/>
      <c r="G213" s="49" t="n"/>
      <c r="H213" s="49" t="n"/>
      <c r="I213" s="49" t="n"/>
      <c r="J213" s="49" t="n"/>
    </row>
    <row r="214">
      <c r="B214" s="49" t="n"/>
      <c r="C214" s="49" t="n"/>
      <c r="D214" s="49" t="n"/>
      <c r="E214" s="49" t="n"/>
      <c r="F214" s="49" t="n"/>
      <c r="G214" s="49" t="n"/>
      <c r="H214" s="49" t="n"/>
      <c r="I214" s="49" t="n"/>
      <c r="J214" s="49" t="n"/>
    </row>
    <row r="215">
      <c r="B215" s="49" t="n"/>
      <c r="C215" s="49" t="n"/>
      <c r="D215" s="49" t="n"/>
      <c r="E215" s="49" t="n"/>
      <c r="F215" s="49" t="n"/>
      <c r="G215" s="49" t="n"/>
      <c r="H215" s="49" t="n"/>
      <c r="I215" s="49" t="n"/>
      <c r="J215" s="49" t="n"/>
    </row>
    <row r="216">
      <c r="B216" s="49" t="n"/>
      <c r="C216" s="49" t="n"/>
      <c r="D216" s="49" t="n"/>
      <c r="E216" s="49" t="n"/>
      <c r="F216" s="49" t="n"/>
      <c r="G216" s="49" t="n"/>
      <c r="H216" s="49" t="n"/>
      <c r="I216" s="49" t="n"/>
      <c r="J216" s="49" t="n"/>
    </row>
    <row r="217">
      <c r="B217" s="49" t="n"/>
      <c r="C217" s="49" t="n"/>
      <c r="D217" s="49" t="n"/>
      <c r="E217" s="49" t="n"/>
      <c r="F217" s="49" t="n"/>
      <c r="G217" s="49" t="n"/>
      <c r="H217" s="49" t="n"/>
      <c r="I217" s="49" t="n"/>
      <c r="J217" s="49" t="n"/>
    </row>
    <row r="218">
      <c r="B218" s="49" t="n"/>
      <c r="C218" s="49" t="n"/>
      <c r="D218" s="49" t="n"/>
      <c r="E218" s="49" t="n"/>
      <c r="F218" s="49" t="n"/>
      <c r="G218" s="49" t="n"/>
      <c r="H218" s="49" t="n"/>
      <c r="I218" s="49" t="n"/>
      <c r="J218" s="49" t="n"/>
    </row>
    <row r="219">
      <c r="B219" s="49" t="n"/>
      <c r="C219" s="49" t="n"/>
      <c r="D219" s="49" t="n"/>
      <c r="E219" s="49" t="n"/>
      <c r="F219" s="49" t="n"/>
      <c r="G219" s="49" t="n"/>
      <c r="H219" s="49" t="n"/>
      <c r="I219" s="49" t="n"/>
      <c r="J219" s="49" t="n"/>
    </row>
    <row r="220">
      <c r="B220" s="49" t="n"/>
      <c r="C220" s="49" t="n"/>
      <c r="D220" s="49" t="n"/>
      <c r="E220" s="49" t="n"/>
      <c r="F220" s="49" t="n"/>
      <c r="G220" s="49" t="n"/>
      <c r="H220" s="49" t="n"/>
      <c r="I220" s="49" t="n"/>
      <c r="J220" s="49" t="n"/>
    </row>
    <row r="221">
      <c r="B221" s="49" t="n"/>
      <c r="C221" s="49" t="n"/>
      <c r="D221" s="49" t="n"/>
      <c r="E221" s="49" t="n"/>
      <c r="F221" s="49" t="n"/>
      <c r="G221" s="49" t="n"/>
      <c r="H221" s="49" t="n"/>
      <c r="I221" s="49" t="n"/>
      <c r="J221" s="49" t="n"/>
    </row>
    <row r="222">
      <c r="B222" s="49" t="n"/>
      <c r="C222" s="49" t="n"/>
      <c r="D222" s="49" t="n"/>
      <c r="E222" s="49" t="n"/>
      <c r="F222" s="49" t="n"/>
      <c r="G222" s="49" t="n"/>
      <c r="H222" s="49" t="n"/>
      <c r="I222" s="49" t="n"/>
      <c r="J222" s="49" t="n"/>
    </row>
    <row r="223">
      <c r="B223" s="49" t="n"/>
      <c r="C223" s="49" t="n"/>
      <c r="D223" s="49" t="n"/>
      <c r="E223" s="49" t="n"/>
      <c r="F223" s="49" t="n"/>
      <c r="G223" s="49" t="n"/>
      <c r="H223" s="49" t="n"/>
      <c r="I223" s="49" t="n"/>
      <c r="J223" s="49" t="n"/>
    </row>
    <row r="224">
      <c r="B224" s="49" t="n"/>
      <c r="C224" s="49" t="n"/>
      <c r="D224" s="49" t="n"/>
      <c r="E224" s="49" t="n"/>
      <c r="F224" s="49" t="n"/>
      <c r="G224" s="49" t="n"/>
      <c r="H224" s="49" t="n"/>
      <c r="I224" s="49" t="n"/>
      <c r="J224" s="49" t="n"/>
    </row>
    <row r="225">
      <c r="B225" s="49" t="n"/>
      <c r="C225" s="49" t="n"/>
      <c r="D225" s="49" t="n"/>
      <c r="E225" s="49" t="n"/>
      <c r="F225" s="49" t="n"/>
      <c r="G225" s="49" t="n"/>
      <c r="H225" s="49" t="n"/>
      <c r="I225" s="49" t="n"/>
      <c r="J225" s="49" t="n"/>
    </row>
    <row r="226">
      <c r="B226" s="49" t="n"/>
      <c r="C226" s="49" t="n"/>
      <c r="D226" s="49" t="n"/>
      <c r="E226" s="49" t="n"/>
      <c r="F226" s="49" t="n"/>
      <c r="G226" s="49" t="n"/>
      <c r="H226" s="49" t="n"/>
      <c r="I226" s="49" t="n"/>
      <c r="J226" s="49" t="n"/>
    </row>
    <row r="227">
      <c r="B227" s="49" t="n"/>
      <c r="C227" s="49" t="n"/>
      <c r="D227" s="49" t="n"/>
      <c r="E227" s="49" t="n"/>
      <c r="F227" s="49" t="n"/>
      <c r="G227" s="49" t="n"/>
      <c r="H227" s="49" t="n"/>
      <c r="I227" s="49" t="n"/>
      <c r="J227" s="49" t="n"/>
    </row>
    <row r="228">
      <c r="B228" s="49" t="n"/>
      <c r="C228" s="49" t="n"/>
      <c r="D228" s="49" t="n"/>
      <c r="E228" s="49" t="n"/>
      <c r="F228" s="49" t="n"/>
      <c r="G228" s="49" t="n"/>
      <c r="H228" s="49" t="n"/>
      <c r="I228" s="49" t="n"/>
      <c r="J228" s="49" t="n"/>
    </row>
    <row r="229">
      <c r="B229" s="49" t="n"/>
      <c r="C229" s="49" t="n"/>
      <c r="D229" s="49" t="n"/>
      <c r="E229" s="49" t="n"/>
      <c r="F229" s="49" t="n"/>
      <c r="G229" s="49" t="n"/>
      <c r="H229" s="49" t="n"/>
      <c r="I229" s="49" t="n"/>
      <c r="J229" s="49" t="n"/>
    </row>
    <row r="230">
      <c r="B230" s="49" t="n"/>
      <c r="C230" s="49" t="n"/>
      <c r="D230" s="49" t="n"/>
      <c r="E230" s="49" t="n"/>
      <c r="F230" s="49" t="n"/>
      <c r="G230" s="49" t="n"/>
      <c r="H230" s="49" t="n"/>
      <c r="I230" s="49" t="n"/>
      <c r="J230" s="49" t="n"/>
    </row>
    <row r="231">
      <c r="B231" s="49" t="n"/>
      <c r="C231" s="49" t="n"/>
      <c r="D231" s="49" t="n"/>
      <c r="E231" s="49" t="n"/>
      <c r="F231" s="49" t="n"/>
      <c r="G231" s="49" t="n"/>
      <c r="H231" s="49" t="n"/>
      <c r="I231" s="49" t="n"/>
      <c r="J231" s="49" t="n"/>
    </row>
    <row r="232">
      <c r="B232" s="49" t="n"/>
      <c r="C232" s="49" t="n"/>
      <c r="D232" s="49" t="n"/>
      <c r="E232" s="49" t="n"/>
      <c r="F232" s="49" t="n"/>
      <c r="G232" s="49" t="n"/>
      <c r="H232" s="49" t="n"/>
      <c r="I232" s="49" t="n"/>
      <c r="J232" s="49" t="n"/>
    </row>
    <row r="233">
      <c r="B233" s="49" t="n"/>
      <c r="C233" s="49" t="n"/>
      <c r="D233" s="49" t="n"/>
      <c r="E233" s="49" t="n"/>
      <c r="F233" s="49" t="n"/>
      <c r="G233" s="49" t="n"/>
      <c r="H233" s="49" t="n"/>
      <c r="I233" s="49" t="n"/>
      <c r="J233" s="49" t="n"/>
    </row>
    <row r="234">
      <c r="B234" s="49" t="n"/>
      <c r="C234" s="49" t="n"/>
      <c r="D234" s="49" t="n"/>
      <c r="E234" s="49" t="n"/>
      <c r="F234" s="49" t="n"/>
      <c r="G234" s="49" t="n"/>
      <c r="H234" s="49" t="n"/>
      <c r="I234" s="49" t="n"/>
      <c r="J234" s="49" t="n"/>
    </row>
    <row r="235">
      <c r="B235" s="49" t="n"/>
      <c r="C235" s="49" t="n"/>
      <c r="D235" s="49" t="n"/>
      <c r="E235" s="49" t="n"/>
      <c r="F235" s="49" t="n"/>
      <c r="G235" s="49" t="n"/>
      <c r="H235" s="49" t="n"/>
      <c r="I235" s="49" t="n"/>
      <c r="J235" s="49" t="n"/>
    </row>
    <row r="236">
      <c r="B236" s="49" t="n"/>
      <c r="C236" s="49" t="n"/>
      <c r="D236" s="49" t="n"/>
      <c r="E236" s="49" t="n"/>
      <c r="F236" s="49" t="n"/>
      <c r="G236" s="49" t="n"/>
      <c r="H236" s="49" t="n"/>
      <c r="I236" s="49" t="n"/>
      <c r="J236" s="49" t="n"/>
    </row>
    <row r="237">
      <c r="B237" s="49" t="n"/>
      <c r="C237" s="49" t="n"/>
      <c r="D237" s="49" t="n"/>
      <c r="E237" s="49" t="n"/>
      <c r="F237" s="49" t="n"/>
      <c r="G237" s="49" t="n"/>
      <c r="H237" s="49" t="n"/>
      <c r="I237" s="49" t="n"/>
      <c r="J237" s="49" t="n"/>
    </row>
    <row r="238">
      <c r="B238" s="49" t="n"/>
      <c r="C238" s="49" t="n"/>
      <c r="D238" s="49" t="n"/>
      <c r="E238" s="49" t="n"/>
      <c r="F238" s="49" t="n"/>
      <c r="G238" s="49" t="n"/>
      <c r="H238" s="49" t="n"/>
      <c r="I238" s="49" t="n"/>
      <c r="J238" s="49" t="n"/>
    </row>
    <row r="239">
      <c r="B239" s="49" t="n"/>
      <c r="C239" s="49" t="n"/>
      <c r="D239" s="49" t="n"/>
      <c r="E239" s="49" t="n"/>
      <c r="F239" s="49" t="n"/>
      <c r="G239" s="49" t="n"/>
      <c r="H239" s="49" t="n"/>
      <c r="I239" s="49" t="n"/>
      <c r="J239" s="49" t="n"/>
    </row>
    <row r="240">
      <c r="B240" s="49" t="n"/>
      <c r="C240" s="49" t="n"/>
      <c r="D240" s="49" t="n"/>
      <c r="E240" s="49" t="n"/>
      <c r="F240" s="49" t="n"/>
      <c r="G240" s="49" t="n"/>
      <c r="H240" s="49" t="n"/>
      <c r="I240" s="49" t="n"/>
      <c r="J240" s="49" t="n"/>
    </row>
    <row r="241">
      <c r="B241" s="49" t="n"/>
      <c r="C241" s="49" t="n"/>
      <c r="D241" s="49" t="n"/>
      <c r="E241" s="49" t="n"/>
      <c r="F241" s="49" t="n"/>
      <c r="G241" s="49" t="n"/>
      <c r="H241" s="49" t="n"/>
      <c r="I241" s="49" t="n"/>
      <c r="J241" s="49" t="n"/>
    </row>
    <row r="242">
      <c r="B242" s="49" t="n"/>
      <c r="C242" s="49" t="n"/>
      <c r="D242" s="49" t="n"/>
      <c r="E242" s="49" t="n"/>
      <c r="F242" s="49" t="n"/>
      <c r="G242" s="49" t="n"/>
      <c r="H242" s="49" t="n"/>
      <c r="I242" s="49" t="n"/>
      <c r="J242" s="49" t="n"/>
    </row>
    <row r="243">
      <c r="B243" s="49" t="n"/>
      <c r="C243" s="49" t="n"/>
      <c r="D243" s="49" t="n"/>
      <c r="E243" s="49" t="n"/>
      <c r="F243" s="49" t="n"/>
      <c r="G243" s="49" t="n"/>
      <c r="H243" s="49" t="n"/>
      <c r="I243" s="49" t="n"/>
      <c r="J243" s="49" t="n"/>
    </row>
    <row r="244">
      <c r="B244" s="49" t="n"/>
      <c r="C244" s="49" t="n"/>
      <c r="D244" s="49" t="n"/>
      <c r="E244" s="49" t="n"/>
      <c r="F244" s="49" t="n"/>
      <c r="G244" s="49" t="n"/>
      <c r="H244" s="49" t="n"/>
      <c r="I244" s="49" t="n"/>
      <c r="J244" s="49" t="n"/>
    </row>
    <row r="245">
      <c r="B245" s="49" t="n"/>
      <c r="C245" s="49" t="n"/>
      <c r="D245" s="49" t="n"/>
      <c r="E245" s="49" t="n"/>
      <c r="F245" s="49" t="n"/>
      <c r="G245" s="49" t="n"/>
      <c r="H245" s="49" t="n"/>
      <c r="I245" s="49" t="n"/>
      <c r="J245" s="49" t="n"/>
    </row>
    <row r="246">
      <c r="B246" s="49" t="n"/>
      <c r="C246" s="49" t="n"/>
      <c r="D246" s="49" t="n"/>
      <c r="E246" s="49" t="n"/>
      <c r="F246" s="49" t="n"/>
      <c r="G246" s="49" t="n"/>
      <c r="H246" s="49" t="n"/>
      <c r="I246" s="49" t="n"/>
      <c r="J246" s="49" t="n"/>
    </row>
    <row r="247">
      <c r="B247" s="49" t="n"/>
      <c r="C247" s="49" t="n"/>
      <c r="D247" s="49" t="n"/>
      <c r="E247" s="49" t="n"/>
      <c r="F247" s="49" t="n"/>
      <c r="G247" s="49" t="n"/>
      <c r="H247" s="49" t="n"/>
      <c r="I247" s="49" t="n"/>
      <c r="J247" s="49" t="n"/>
    </row>
    <row r="248">
      <c r="B248" s="49" t="n"/>
      <c r="C248" s="49" t="n"/>
      <c r="D248" s="49" t="n"/>
      <c r="E248" s="49" t="n"/>
      <c r="F248" s="49" t="n"/>
      <c r="G248" s="49" t="n"/>
      <c r="H248" s="49" t="n"/>
      <c r="I248" s="49" t="n"/>
      <c r="J248" s="49" t="n"/>
    </row>
    <row r="249">
      <c r="B249" s="49" t="n"/>
      <c r="C249" s="49" t="n"/>
      <c r="D249" s="49" t="n"/>
      <c r="E249" s="49" t="n"/>
      <c r="F249" s="49" t="n"/>
      <c r="G249" s="49" t="n"/>
      <c r="H249" s="49" t="n"/>
      <c r="I249" s="49" t="n"/>
      <c r="J249" s="49" t="n"/>
    </row>
    <row r="250">
      <c r="B250" s="49" t="n"/>
      <c r="C250" s="49" t="n"/>
      <c r="D250" s="49" t="n"/>
      <c r="E250" s="49" t="n"/>
      <c r="F250" s="49" t="n"/>
      <c r="G250" s="49" t="n"/>
      <c r="H250" s="49" t="n"/>
      <c r="I250" s="49" t="n"/>
      <c r="J250" s="49" t="n"/>
    </row>
    <row r="251">
      <c r="B251" s="49" t="n"/>
      <c r="C251" s="49" t="n"/>
      <c r="D251" s="49" t="n"/>
      <c r="E251" s="49" t="n"/>
      <c r="F251" s="49" t="n"/>
      <c r="G251" s="49" t="n"/>
      <c r="H251" s="49" t="n"/>
      <c r="I251" s="49" t="n"/>
      <c r="J251" s="49" t="n"/>
    </row>
    <row r="252">
      <c r="B252" s="49" t="n"/>
      <c r="C252" s="49" t="n"/>
      <c r="D252" s="49" t="n"/>
      <c r="E252" s="49" t="n"/>
      <c r="F252" s="49" t="n"/>
      <c r="G252" s="49" t="n"/>
      <c r="H252" s="49" t="n"/>
      <c r="I252" s="49" t="n"/>
      <c r="J252" s="49" t="n"/>
    </row>
    <row r="253">
      <c r="B253" s="49" t="n"/>
      <c r="C253" s="49" t="n"/>
      <c r="D253" s="49" t="n"/>
      <c r="E253" s="49" t="n"/>
      <c r="F253" s="49" t="n"/>
      <c r="G253" s="49" t="n"/>
      <c r="H253" s="49" t="n"/>
      <c r="I253" s="49" t="n"/>
      <c r="J253" s="49" t="n"/>
    </row>
    <row r="254">
      <c r="B254" s="49" t="n"/>
      <c r="C254" s="49" t="n"/>
      <c r="D254" s="49" t="n"/>
      <c r="E254" s="49" t="n"/>
      <c r="F254" s="49" t="n"/>
      <c r="G254" s="49" t="n"/>
      <c r="H254" s="49" t="n"/>
      <c r="I254" s="49" t="n"/>
      <c r="J254" s="49" t="n"/>
    </row>
    <row r="255">
      <c r="B255" s="49" t="n"/>
      <c r="C255" s="49" t="n"/>
      <c r="D255" s="49" t="n"/>
      <c r="E255" s="49" t="n"/>
      <c r="F255" s="49" t="n"/>
      <c r="G255" s="49" t="n"/>
      <c r="H255" s="49" t="n"/>
      <c r="I255" s="49" t="n"/>
      <c r="J255" s="49" t="n"/>
    </row>
    <row r="256">
      <c r="B256" s="49" t="n"/>
      <c r="C256" s="49" t="n"/>
      <c r="D256" s="49" t="n"/>
      <c r="E256" s="49" t="n"/>
      <c r="F256" s="49" t="n"/>
      <c r="G256" s="49" t="n"/>
      <c r="H256" s="49" t="n"/>
      <c r="I256" s="49" t="n"/>
      <c r="J256" s="49" t="n"/>
    </row>
    <row r="257">
      <c r="B257" s="49" t="n"/>
      <c r="C257" s="49" t="n"/>
      <c r="D257" s="49" t="n"/>
      <c r="E257" s="49" t="n"/>
      <c r="F257" s="49" t="n"/>
      <c r="G257" s="49" t="n"/>
      <c r="H257" s="49" t="n"/>
      <c r="I257" s="49" t="n"/>
      <c r="J257" s="49" t="n"/>
    </row>
    <row r="258">
      <c r="B258" s="49" t="n"/>
      <c r="C258" s="49" t="n"/>
      <c r="D258" s="49" t="n"/>
      <c r="E258" s="49" t="n"/>
      <c r="F258" s="49" t="n"/>
      <c r="G258" s="49" t="n"/>
      <c r="H258" s="49" t="n"/>
      <c r="I258" s="49" t="n"/>
      <c r="J258" s="49" t="n"/>
    </row>
    <row r="259">
      <c r="B259" s="49" t="n"/>
      <c r="C259" s="49" t="n"/>
      <c r="D259" s="49" t="n"/>
      <c r="E259" s="49" t="n"/>
      <c r="F259" s="49" t="n"/>
      <c r="G259" s="49" t="n"/>
      <c r="H259" s="49" t="n"/>
      <c r="I259" s="49" t="n"/>
      <c r="J259" s="49" t="n"/>
    </row>
    <row r="260">
      <c r="B260" s="49" t="n"/>
      <c r="C260" s="49" t="n"/>
      <c r="D260" s="49" t="n"/>
      <c r="E260" s="49" t="n"/>
      <c r="F260" s="49" t="n"/>
      <c r="G260" s="49" t="n"/>
      <c r="H260" s="49" t="n"/>
      <c r="I260" s="49" t="n"/>
      <c r="J260" s="49" t="n"/>
    </row>
    <row r="261">
      <c r="B261" s="49" t="n"/>
      <c r="C261" s="49" t="n"/>
      <c r="D261" s="49" t="n"/>
      <c r="E261" s="49" t="n"/>
      <c r="F261" s="49" t="n"/>
      <c r="G261" s="49" t="n"/>
      <c r="H261" s="49" t="n"/>
      <c r="I261" s="49" t="n"/>
      <c r="J261" s="49" t="n"/>
    </row>
    <row r="262">
      <c r="B262" s="49" t="n"/>
      <c r="C262" s="49" t="n"/>
      <c r="D262" s="49" t="n"/>
      <c r="E262" s="49" t="n"/>
      <c r="F262" s="49" t="n"/>
      <c r="G262" s="49" t="n"/>
      <c r="H262" s="49" t="n"/>
      <c r="I262" s="49" t="n"/>
      <c r="J262" s="49" t="n"/>
    </row>
    <row r="263">
      <c r="B263" s="49" t="n"/>
      <c r="C263" s="49" t="n"/>
      <c r="D263" s="49" t="n"/>
      <c r="E263" s="49" t="n"/>
      <c r="F263" s="49" t="n"/>
      <c r="G263" s="49" t="n"/>
      <c r="H263" s="49" t="n"/>
      <c r="I263" s="49" t="n"/>
      <c r="J263" s="49" t="n"/>
    </row>
    <row r="264">
      <c r="B264" s="49" t="n"/>
      <c r="C264" s="49" t="n"/>
      <c r="D264" s="49" t="n"/>
      <c r="E264" s="49" t="n"/>
      <c r="F264" s="49" t="n"/>
      <c r="G264" s="49" t="n"/>
      <c r="H264" s="49" t="n"/>
      <c r="I264" s="49" t="n"/>
      <c r="J264" s="49" t="n"/>
    </row>
    <row r="265">
      <c r="B265" s="49" t="n"/>
      <c r="C265" s="49" t="n"/>
      <c r="D265" s="49" t="n"/>
      <c r="E265" s="49" t="n"/>
      <c r="F265" s="49" t="n"/>
      <c r="G265" s="49" t="n"/>
      <c r="H265" s="49" t="n"/>
      <c r="I265" s="49" t="n"/>
      <c r="J265" s="49" t="n"/>
    </row>
    <row r="266">
      <c r="B266" s="49" t="n"/>
      <c r="C266" s="49" t="n"/>
      <c r="D266" s="49" t="n"/>
      <c r="E266" s="49" t="n"/>
      <c r="F266" s="49" t="n"/>
      <c r="G266" s="49" t="n"/>
      <c r="H266" s="49" t="n"/>
      <c r="I266" s="49" t="n"/>
      <c r="J266" s="49" t="n"/>
    </row>
    <row r="267">
      <c r="B267" s="49" t="n"/>
      <c r="C267" s="49" t="n"/>
      <c r="D267" s="49" t="n"/>
      <c r="E267" s="49" t="n"/>
      <c r="F267" s="49" t="n"/>
      <c r="G267" s="49" t="n"/>
      <c r="H267" s="49" t="n"/>
      <c r="I267" s="49" t="n"/>
      <c r="J267" s="49" t="n"/>
    </row>
    <row r="268">
      <c r="B268" s="49" t="n"/>
      <c r="C268" s="49" t="n"/>
      <c r="D268" s="49" t="n"/>
      <c r="E268" s="49" t="n"/>
      <c r="F268" s="49" t="n"/>
      <c r="G268" s="49" t="n"/>
      <c r="H268" s="49" t="n"/>
      <c r="I268" s="49" t="n"/>
      <c r="J268" s="49" t="n"/>
    </row>
    <row r="269">
      <c r="B269" s="49" t="n"/>
      <c r="C269" s="49" t="n"/>
      <c r="D269" s="49" t="n"/>
      <c r="E269" s="49" t="n"/>
      <c r="F269" s="49" t="n"/>
      <c r="G269" s="49" t="n"/>
      <c r="H269" s="49" t="n"/>
      <c r="I269" s="49" t="n"/>
      <c r="J269" s="49" t="n"/>
    </row>
    <row r="270">
      <c r="B270" s="49" t="n"/>
      <c r="C270" s="49" t="n"/>
      <c r="D270" s="49" t="n"/>
      <c r="E270" s="49" t="n"/>
      <c r="F270" s="49" t="n"/>
      <c r="G270" s="49" t="n"/>
      <c r="H270" s="49" t="n"/>
      <c r="I270" s="49" t="n"/>
      <c r="J270" s="49" t="n"/>
    </row>
    <row r="271">
      <c r="B271" s="49" t="n"/>
      <c r="C271" s="49" t="n"/>
      <c r="D271" s="49" t="n"/>
      <c r="E271" s="49" t="n"/>
      <c r="F271" s="49" t="n"/>
      <c r="G271" s="49" t="n"/>
      <c r="H271" s="49" t="n"/>
      <c r="I271" s="49" t="n"/>
      <c r="J271" s="49" t="n"/>
    </row>
    <row r="272">
      <c r="B272" s="49" t="n"/>
      <c r="C272" s="49" t="n"/>
      <c r="D272" s="49" t="n"/>
      <c r="E272" s="49" t="n"/>
      <c r="F272" s="49" t="n"/>
      <c r="G272" s="49" t="n"/>
      <c r="H272" s="49" t="n"/>
      <c r="I272" s="49" t="n"/>
      <c r="J272" s="49" t="n"/>
    </row>
    <row r="273">
      <c r="B273" s="49" t="n"/>
      <c r="C273" s="49" t="n"/>
      <c r="D273" s="49" t="n"/>
      <c r="E273" s="49" t="n"/>
      <c r="F273" s="49" t="n"/>
      <c r="G273" s="49" t="n"/>
      <c r="H273" s="49" t="n"/>
      <c r="I273" s="49" t="n"/>
      <c r="J273" s="49" t="n"/>
    </row>
    <row r="274">
      <c r="B274" s="49" t="n"/>
      <c r="C274" s="49" t="n"/>
      <c r="D274" s="49" t="n"/>
      <c r="E274" s="49" t="n"/>
      <c r="F274" s="49" t="n"/>
      <c r="G274" s="49" t="n"/>
      <c r="H274" s="49" t="n"/>
      <c r="I274" s="49" t="n"/>
      <c r="J274" s="49" t="n"/>
    </row>
    <row r="275">
      <c r="B275" s="49" t="n"/>
      <c r="C275" s="49" t="n"/>
      <c r="D275" s="49" t="n"/>
      <c r="E275" s="49" t="n"/>
      <c r="F275" s="49" t="n"/>
      <c r="G275" s="49" t="n"/>
      <c r="H275" s="49" t="n"/>
      <c r="I275" s="49" t="n"/>
      <c r="J275" s="49" t="n"/>
    </row>
    <row r="276">
      <c r="B276" s="49" t="n"/>
      <c r="C276" s="49" t="n"/>
      <c r="D276" s="49" t="n"/>
      <c r="E276" s="49" t="n"/>
      <c r="F276" s="49" t="n"/>
      <c r="G276" s="49" t="n"/>
      <c r="H276" s="49" t="n"/>
      <c r="I276" s="49" t="n"/>
      <c r="J276" s="49" t="n"/>
    </row>
    <row r="277">
      <c r="B277" s="49" t="n"/>
      <c r="C277" s="49" t="n"/>
      <c r="D277" s="49" t="n"/>
      <c r="E277" s="49" t="n"/>
      <c r="F277" s="49" t="n"/>
      <c r="G277" s="49" t="n"/>
      <c r="H277" s="49" t="n"/>
      <c r="I277" s="49" t="n"/>
      <c r="J277" s="49" t="n"/>
    </row>
    <row r="278">
      <c r="B278" s="49" t="n"/>
      <c r="C278" s="49" t="n"/>
      <c r="D278" s="49" t="n"/>
      <c r="E278" s="49" t="n"/>
      <c r="F278" s="49" t="n"/>
      <c r="G278" s="49" t="n"/>
      <c r="H278" s="49" t="n"/>
      <c r="I278" s="49" t="n"/>
      <c r="J278" s="49" t="n"/>
    </row>
    <row r="279">
      <c r="B279" s="49" t="n"/>
      <c r="C279" s="49" t="n"/>
      <c r="D279" s="49" t="n"/>
      <c r="E279" s="49" t="n"/>
      <c r="F279" s="49" t="n"/>
      <c r="G279" s="49" t="n"/>
      <c r="H279" s="49" t="n"/>
      <c r="I279" s="49" t="n"/>
      <c r="J279" s="49" t="n"/>
    </row>
    <row r="280">
      <c r="B280" s="49" t="n"/>
      <c r="C280" s="49" t="n"/>
      <c r="D280" s="49" t="n"/>
      <c r="E280" s="49" t="n"/>
      <c r="F280" s="49" t="n"/>
      <c r="G280" s="49" t="n"/>
      <c r="H280" s="49" t="n"/>
      <c r="I280" s="49" t="n"/>
      <c r="J280" s="49" t="n"/>
    </row>
    <row r="281">
      <c r="B281" s="49" t="n"/>
      <c r="C281" s="49" t="n"/>
      <c r="D281" s="49" t="n"/>
      <c r="E281" s="49" t="n"/>
      <c r="F281" s="49" t="n"/>
      <c r="G281" s="49" t="n"/>
      <c r="H281" s="49" t="n"/>
      <c r="I281" s="49" t="n"/>
      <c r="J281" s="49" t="n"/>
    </row>
    <row r="282">
      <c r="B282" s="49" t="n"/>
      <c r="C282" s="49" t="n"/>
      <c r="D282" s="49" t="n"/>
      <c r="E282" s="49" t="n"/>
      <c r="F282" s="49" t="n"/>
      <c r="G282" s="49" t="n"/>
      <c r="H282" s="49" t="n"/>
      <c r="I282" s="49" t="n"/>
      <c r="J282" s="49" t="n"/>
    </row>
    <row r="283">
      <c r="B283" s="49" t="n"/>
      <c r="C283" s="49" t="n"/>
      <c r="D283" s="49" t="n"/>
      <c r="E283" s="49" t="n"/>
      <c r="F283" s="49" t="n"/>
      <c r="G283" s="49" t="n"/>
      <c r="H283" s="49" t="n"/>
      <c r="I283" s="49" t="n"/>
      <c r="J283" s="49" t="n"/>
    </row>
    <row r="284">
      <c r="B284" s="49" t="n"/>
      <c r="C284" s="49" t="n"/>
      <c r="D284" s="49" t="n"/>
      <c r="E284" s="49" t="n"/>
      <c r="F284" s="49" t="n"/>
      <c r="G284" s="49" t="n"/>
      <c r="H284" s="49" t="n"/>
      <c r="I284" s="49" t="n"/>
      <c r="J284" s="49" t="n"/>
    </row>
    <row r="285">
      <c r="B285" s="49" t="n"/>
      <c r="C285" s="49" t="n"/>
      <c r="D285" s="49" t="n"/>
      <c r="E285" s="49" t="n"/>
      <c r="F285" s="49" t="n"/>
      <c r="G285" s="49" t="n"/>
      <c r="H285" s="49" t="n"/>
      <c r="I285" s="49" t="n"/>
      <c r="J285" s="49" t="n"/>
    </row>
    <row r="286">
      <c r="B286" s="49" t="n"/>
      <c r="C286" s="49" t="n"/>
      <c r="D286" s="49" t="n"/>
      <c r="E286" s="49" t="n"/>
      <c r="F286" s="49" t="n"/>
      <c r="G286" s="49" t="n"/>
      <c r="H286" s="49" t="n"/>
      <c r="I286" s="49" t="n"/>
      <c r="J286" s="49" t="n"/>
    </row>
    <row r="287">
      <c r="B287" s="49" t="n"/>
      <c r="C287" s="49" t="n"/>
      <c r="D287" s="49" t="n"/>
      <c r="E287" s="49" t="n"/>
      <c r="F287" s="49" t="n"/>
      <c r="G287" s="49" t="n"/>
      <c r="H287" s="49" t="n"/>
      <c r="I287" s="49" t="n"/>
      <c r="J287" s="49" t="n"/>
    </row>
    <row r="288">
      <c r="B288" s="49" t="n"/>
      <c r="C288" s="49" t="n"/>
      <c r="D288" s="49" t="n"/>
      <c r="E288" s="49" t="n"/>
      <c r="F288" s="49" t="n"/>
      <c r="G288" s="49" t="n"/>
      <c r="H288" s="49" t="n"/>
      <c r="I288" s="49" t="n"/>
      <c r="J288" s="49" t="n"/>
    </row>
    <row r="289">
      <c r="B289" s="49" t="n"/>
      <c r="C289" s="49" t="n"/>
      <c r="D289" s="49" t="n"/>
      <c r="E289" s="49" t="n"/>
      <c r="F289" s="49" t="n"/>
      <c r="G289" s="49" t="n"/>
      <c r="H289" s="49" t="n"/>
      <c r="I289" s="49" t="n"/>
      <c r="J289" s="49" t="n"/>
    </row>
    <row r="290">
      <c r="B290" s="49" t="n"/>
      <c r="C290" s="49" t="n"/>
      <c r="D290" s="49" t="n"/>
      <c r="E290" s="49" t="n"/>
      <c r="F290" s="49" t="n"/>
      <c r="G290" s="49" t="n"/>
      <c r="H290" s="49" t="n"/>
      <c r="I290" s="49" t="n"/>
      <c r="J290" s="49" t="n"/>
    </row>
    <row r="291">
      <c r="B291" s="49" t="n"/>
      <c r="C291" s="49" t="n"/>
      <c r="D291" s="49" t="n"/>
      <c r="E291" s="49" t="n"/>
      <c r="F291" s="49" t="n"/>
      <c r="G291" s="49" t="n"/>
      <c r="H291" s="49" t="n"/>
      <c r="I291" s="49" t="n"/>
      <c r="J291" s="49" t="n"/>
    </row>
    <row r="292">
      <c r="B292" s="49" t="n"/>
      <c r="C292" s="49" t="n"/>
      <c r="D292" s="49" t="n"/>
      <c r="E292" s="49" t="n"/>
      <c r="F292" s="49" t="n"/>
      <c r="G292" s="49" t="n"/>
      <c r="H292" s="49" t="n"/>
      <c r="I292" s="49" t="n"/>
      <c r="J292" s="49" t="n"/>
    </row>
    <row r="293">
      <c r="B293" s="49" t="n"/>
      <c r="C293" s="49" t="n"/>
      <c r="D293" s="49" t="n"/>
      <c r="E293" s="49" t="n"/>
      <c r="F293" s="49" t="n"/>
      <c r="G293" s="49" t="n"/>
      <c r="H293" s="49" t="n"/>
      <c r="I293" s="49" t="n"/>
      <c r="J293" s="49" t="n"/>
    </row>
    <row r="294">
      <c r="B294" s="49" t="n"/>
      <c r="C294" s="49" t="n"/>
      <c r="D294" s="49" t="n"/>
      <c r="E294" s="49" t="n"/>
      <c r="F294" s="49" t="n"/>
      <c r="G294" s="49" t="n"/>
      <c r="H294" s="49" t="n"/>
      <c r="I294" s="49" t="n"/>
      <c r="J294" s="49" t="n"/>
    </row>
    <row r="295">
      <c r="B295" s="49" t="n"/>
      <c r="C295" s="49" t="n"/>
      <c r="D295" s="49" t="n"/>
      <c r="E295" s="49" t="n"/>
      <c r="F295" s="49" t="n"/>
      <c r="G295" s="49" t="n"/>
      <c r="H295" s="49" t="n"/>
      <c r="I295" s="49" t="n"/>
      <c r="J295" s="49" t="n"/>
    </row>
    <row r="296">
      <c r="B296" s="49" t="n"/>
      <c r="C296" s="49" t="n"/>
      <c r="D296" s="49" t="n"/>
      <c r="E296" s="49" t="n"/>
      <c r="F296" s="49" t="n"/>
      <c r="G296" s="49" t="n"/>
      <c r="H296" s="49" t="n"/>
      <c r="I296" s="49" t="n"/>
      <c r="J296" s="49" t="n"/>
    </row>
    <row r="297">
      <c r="B297" s="49" t="n"/>
      <c r="C297" s="49" t="n"/>
      <c r="D297" s="49" t="n"/>
      <c r="E297" s="49" t="n"/>
      <c r="F297" s="49" t="n"/>
      <c r="G297" s="49" t="n"/>
      <c r="H297" s="49" t="n"/>
      <c r="I297" s="49" t="n"/>
      <c r="J297" s="49" t="n"/>
    </row>
    <row r="298">
      <c r="B298" s="49" t="n"/>
      <c r="C298" s="49" t="n"/>
      <c r="D298" s="49" t="n"/>
      <c r="E298" s="49" t="n"/>
      <c r="F298" s="49" t="n"/>
      <c r="G298" s="49" t="n"/>
      <c r="H298" s="49" t="n"/>
      <c r="I298" s="49" t="n"/>
      <c r="J298" s="49" t="n"/>
    </row>
    <row r="299">
      <c r="B299" s="49" t="n"/>
      <c r="C299" s="49" t="n"/>
      <c r="D299" s="49" t="n"/>
      <c r="E299" s="49" t="n"/>
      <c r="F299" s="49" t="n"/>
      <c r="G299" s="49" t="n"/>
      <c r="H299" s="49" t="n"/>
      <c r="I299" s="49" t="n"/>
      <c r="J299" s="49" t="n"/>
    </row>
    <row r="300">
      <c r="B300" s="49" t="n"/>
      <c r="C300" s="49" t="n"/>
      <c r="D300" s="49" t="n"/>
      <c r="E300" s="49" t="n"/>
      <c r="F300" s="49" t="n"/>
      <c r="G300" s="49" t="n"/>
      <c r="H300" s="49" t="n"/>
      <c r="I300" s="49" t="n"/>
      <c r="J300" s="49" t="n"/>
    </row>
    <row r="301">
      <c r="B301" s="49" t="n"/>
      <c r="C301" s="49" t="n"/>
      <c r="D301" s="49" t="n"/>
      <c r="E301" s="49" t="n"/>
      <c r="F301" s="49" t="n"/>
      <c r="G301" s="49" t="n"/>
      <c r="H301" s="49" t="n"/>
      <c r="I301" s="49" t="n"/>
      <c r="J301" s="49" t="n"/>
    </row>
    <row r="302">
      <c r="B302" s="49" t="n"/>
      <c r="C302" s="49" t="n"/>
      <c r="D302" s="49" t="n"/>
      <c r="E302" s="49" t="n"/>
      <c r="F302" s="49" t="n"/>
      <c r="G302" s="49" t="n"/>
      <c r="H302" s="49" t="n"/>
      <c r="I302" s="49" t="n"/>
      <c r="J302" s="49" t="n"/>
    </row>
    <row r="303">
      <c r="B303" s="49" t="n"/>
      <c r="C303" s="49" t="n"/>
      <c r="D303" s="49" t="n"/>
      <c r="E303" s="49" t="n"/>
      <c r="F303" s="49" t="n"/>
      <c r="G303" s="49" t="n"/>
      <c r="H303" s="49" t="n"/>
      <c r="I303" s="49" t="n"/>
      <c r="J303" s="49" t="n"/>
    </row>
    <row r="304">
      <c r="B304" s="49" t="n"/>
      <c r="C304" s="49" t="n"/>
      <c r="D304" s="49" t="n"/>
      <c r="E304" s="49" t="n"/>
      <c r="F304" s="49" t="n"/>
      <c r="G304" s="49" t="n"/>
      <c r="H304" s="49" t="n"/>
      <c r="I304" s="49" t="n"/>
      <c r="J304" s="49" t="n"/>
    </row>
    <row r="305">
      <c r="B305" s="49" t="n"/>
      <c r="C305" s="49" t="n"/>
      <c r="D305" s="49" t="n"/>
      <c r="E305" s="49" t="n"/>
      <c r="F305" s="49" t="n"/>
      <c r="G305" s="49" t="n"/>
      <c r="H305" s="49" t="n"/>
      <c r="I305" s="49" t="n"/>
      <c r="J305" s="49" t="n"/>
    </row>
    <row r="306">
      <c r="B306" s="49" t="n"/>
      <c r="C306" s="49" t="n"/>
      <c r="D306" s="49" t="n"/>
      <c r="E306" s="49" t="n"/>
      <c r="F306" s="49" t="n"/>
      <c r="G306" s="49" t="n"/>
      <c r="H306" s="49" t="n"/>
      <c r="I306" s="49" t="n"/>
      <c r="J306" s="49" t="n"/>
    </row>
    <row r="307">
      <c r="B307" s="49" t="n"/>
      <c r="C307" s="49" t="n"/>
      <c r="D307" s="49" t="n"/>
      <c r="E307" s="49" t="n"/>
      <c r="F307" s="49" t="n"/>
      <c r="G307" s="49" t="n"/>
      <c r="H307" s="49" t="n"/>
      <c r="I307" s="49" t="n"/>
      <c r="J307" s="49" t="n"/>
    </row>
    <row r="308">
      <c r="B308" s="49" t="n"/>
      <c r="C308" s="49" t="n"/>
      <c r="D308" s="49" t="n"/>
      <c r="E308" s="49" t="n"/>
      <c r="F308" s="49" t="n"/>
      <c r="G308" s="49" t="n"/>
      <c r="H308" s="49" t="n"/>
      <c r="I308" s="49" t="n"/>
      <c r="J308" s="49" t="n"/>
    </row>
    <row r="309">
      <c r="B309" s="49" t="n"/>
      <c r="C309" s="49" t="n"/>
      <c r="D309" s="49" t="n"/>
      <c r="E309" s="49" t="n"/>
      <c r="F309" s="49" t="n"/>
      <c r="G309" s="49" t="n"/>
      <c r="H309" s="49" t="n"/>
      <c r="I309" s="49" t="n"/>
      <c r="J309" s="49" t="n"/>
    </row>
    <row r="310">
      <c r="B310" s="49" t="n"/>
      <c r="C310" s="49" t="n"/>
      <c r="D310" s="49" t="n"/>
      <c r="E310" s="49" t="n"/>
      <c r="F310" s="49" t="n"/>
      <c r="G310" s="49" t="n"/>
      <c r="H310" s="49" t="n"/>
      <c r="I310" s="49" t="n"/>
      <c r="J310" s="49" t="n"/>
    </row>
    <row r="311">
      <c r="B311" s="49" t="n"/>
      <c r="C311" s="49" t="n"/>
      <c r="D311" s="49" t="n"/>
      <c r="E311" s="49" t="n"/>
      <c r="F311" s="49" t="n"/>
      <c r="G311" s="49" t="n"/>
      <c r="H311" s="49" t="n"/>
      <c r="I311" s="49" t="n"/>
      <c r="J311" s="49" t="n"/>
    </row>
    <row r="312">
      <c r="B312" s="49" t="n"/>
      <c r="C312" s="49" t="n"/>
      <c r="D312" s="49" t="n"/>
      <c r="E312" s="49" t="n"/>
      <c r="F312" s="49" t="n"/>
      <c r="G312" s="49" t="n"/>
      <c r="H312" s="49" t="n"/>
      <c r="I312" s="49" t="n"/>
      <c r="J312" s="49" t="n"/>
    </row>
    <row r="313">
      <c r="B313" s="49" t="n"/>
      <c r="C313" s="49" t="n"/>
      <c r="D313" s="49" t="n"/>
      <c r="E313" s="49" t="n"/>
      <c r="F313" s="49" t="n"/>
      <c r="G313" s="49" t="n"/>
      <c r="H313" s="49" t="n"/>
      <c r="I313" s="49" t="n"/>
      <c r="J313" s="49" t="n"/>
    </row>
    <row r="314">
      <c r="B314" s="49" t="n"/>
      <c r="C314" s="49" t="n"/>
      <c r="D314" s="49" t="n"/>
      <c r="E314" s="49" t="n"/>
      <c r="F314" s="49" t="n"/>
      <c r="G314" s="49" t="n"/>
      <c r="H314" s="49" t="n"/>
      <c r="I314" s="49" t="n"/>
      <c r="J314" s="49" t="n"/>
    </row>
    <row r="315">
      <c r="B315" s="49" t="n"/>
      <c r="C315" s="49" t="n"/>
      <c r="D315" s="49" t="n"/>
      <c r="E315" s="49" t="n"/>
      <c r="F315" s="49" t="n"/>
      <c r="G315" s="49" t="n"/>
      <c r="H315" s="49" t="n"/>
      <c r="I315" s="49" t="n"/>
      <c r="J315" s="49" t="n"/>
    </row>
    <row r="316">
      <c r="B316" s="49" t="n"/>
      <c r="C316" s="49" t="n"/>
      <c r="D316" s="49" t="n"/>
      <c r="E316" s="49" t="n"/>
      <c r="F316" s="49" t="n"/>
      <c r="G316" s="49" t="n"/>
      <c r="H316" s="49" t="n"/>
      <c r="I316" s="49" t="n"/>
      <c r="J316" s="49" t="n"/>
    </row>
    <row r="317">
      <c r="B317" s="49" t="n"/>
      <c r="C317" s="49" t="n"/>
      <c r="D317" s="49" t="n"/>
      <c r="E317" s="49" t="n"/>
      <c r="F317" s="49" t="n"/>
      <c r="G317" s="49" t="n"/>
      <c r="H317" s="49" t="n"/>
      <c r="I317" s="49" t="n"/>
      <c r="J317" s="49" t="n"/>
    </row>
    <row r="318">
      <c r="B318" s="49" t="n"/>
      <c r="C318" s="49" t="n"/>
      <c r="D318" s="49" t="n"/>
      <c r="E318" s="49" t="n"/>
      <c r="F318" s="49" t="n"/>
      <c r="G318" s="49" t="n"/>
      <c r="H318" s="49" t="n"/>
      <c r="I318" s="49" t="n"/>
      <c r="J318" s="49" t="n"/>
    </row>
    <row r="319">
      <c r="B319" s="49" t="n"/>
      <c r="C319" s="49" t="n"/>
      <c r="D319" s="49" t="n"/>
      <c r="E319" s="49" t="n"/>
      <c r="F319" s="49" t="n"/>
      <c r="G319" s="49" t="n"/>
      <c r="H319" s="49" t="n"/>
      <c r="I319" s="49" t="n"/>
      <c r="J319" s="49" t="n"/>
    </row>
    <row r="320">
      <c r="B320" s="49" t="n"/>
      <c r="C320" s="49" t="n"/>
      <c r="D320" s="49" t="n"/>
      <c r="E320" s="49" t="n"/>
      <c r="F320" s="49" t="n"/>
      <c r="G320" s="49" t="n"/>
      <c r="H320" s="49" t="n"/>
      <c r="I320" s="49" t="n"/>
      <c r="J320" s="49" t="n"/>
    </row>
    <row r="321">
      <c r="B321" s="49" t="n"/>
      <c r="C321" s="49" t="n"/>
      <c r="D321" s="49" t="n"/>
      <c r="E321" s="49" t="n"/>
      <c r="F321" s="49" t="n"/>
      <c r="G321" s="49" t="n"/>
      <c r="H321" s="49" t="n"/>
      <c r="I321" s="49" t="n"/>
      <c r="J321" s="49" t="n"/>
    </row>
    <row r="322">
      <c r="B322" s="49" t="n"/>
      <c r="C322" s="49" t="n"/>
      <c r="D322" s="49" t="n"/>
      <c r="E322" s="49" t="n"/>
      <c r="F322" s="49" t="n"/>
      <c r="G322" s="49" t="n"/>
      <c r="H322" s="49" t="n"/>
      <c r="I322" s="49" t="n"/>
      <c r="J322" s="49" t="n"/>
    </row>
    <row r="323">
      <c r="B323" s="49" t="n"/>
      <c r="C323" s="49" t="n"/>
      <c r="D323" s="49" t="n"/>
      <c r="E323" s="49" t="n"/>
      <c r="F323" s="49" t="n"/>
      <c r="G323" s="49" t="n"/>
      <c r="H323" s="49" t="n"/>
      <c r="I323" s="49" t="n"/>
      <c r="J323" s="49" t="n"/>
    </row>
    <row r="324">
      <c r="B324" s="49" t="n"/>
      <c r="C324" s="49" t="n"/>
      <c r="D324" s="49" t="n"/>
      <c r="E324" s="49" t="n"/>
      <c r="F324" s="49" t="n"/>
      <c r="G324" s="49" t="n"/>
      <c r="H324" s="49" t="n"/>
      <c r="I324" s="49" t="n"/>
      <c r="J324" s="49" t="n"/>
    </row>
    <row r="325">
      <c r="B325" s="49" t="n"/>
      <c r="C325" s="49" t="n"/>
      <c r="D325" s="49" t="n"/>
      <c r="E325" s="49" t="n"/>
      <c r="F325" s="49" t="n"/>
      <c r="G325" s="49" t="n"/>
      <c r="H325" s="49" t="n"/>
      <c r="I325" s="49" t="n"/>
      <c r="J325" s="49" t="n"/>
    </row>
    <row r="326">
      <c r="B326" s="49" t="n"/>
      <c r="C326" s="49" t="n"/>
      <c r="D326" s="49" t="n"/>
      <c r="E326" s="49" t="n"/>
      <c r="F326" s="49" t="n"/>
      <c r="G326" s="49" t="n"/>
      <c r="H326" s="49" t="n"/>
      <c r="I326" s="49" t="n"/>
      <c r="J326" s="49" t="n"/>
    </row>
    <row r="327">
      <c r="B327" s="49" t="n"/>
      <c r="C327" s="49" t="n"/>
      <c r="D327" s="49" t="n"/>
      <c r="E327" s="49" t="n"/>
      <c r="F327" s="49" t="n"/>
      <c r="G327" s="49" t="n"/>
      <c r="H327" s="49" t="n"/>
      <c r="I327" s="49" t="n"/>
      <c r="J327" s="49" t="n"/>
    </row>
    <row r="328">
      <c r="B328" s="49" t="n"/>
      <c r="C328" s="49" t="n"/>
      <c r="D328" s="49" t="n"/>
      <c r="E328" s="49" t="n"/>
      <c r="F328" s="49" t="n"/>
      <c r="G328" s="49" t="n"/>
      <c r="H328" s="49" t="n"/>
      <c r="I328" s="49" t="n"/>
      <c r="J328" s="49" t="n"/>
    </row>
    <row r="329">
      <c r="B329" s="49" t="n"/>
      <c r="C329" s="49" t="n"/>
      <c r="D329" s="49" t="n"/>
      <c r="E329" s="49" t="n"/>
      <c r="F329" s="49" t="n"/>
      <c r="G329" s="49" t="n"/>
      <c r="H329" s="49" t="n"/>
      <c r="I329" s="49" t="n"/>
      <c r="J329" s="49" t="n"/>
    </row>
    <row r="330">
      <c r="B330" s="49" t="n"/>
      <c r="C330" s="49" t="n"/>
      <c r="D330" s="49" t="n"/>
      <c r="E330" s="49" t="n"/>
      <c r="F330" s="49" t="n"/>
      <c r="G330" s="49" t="n"/>
      <c r="H330" s="49" t="n"/>
      <c r="I330" s="49" t="n"/>
      <c r="J330" s="49" t="n"/>
    </row>
    <row r="331">
      <c r="B331" s="49" t="n"/>
      <c r="C331" s="49" t="n"/>
      <c r="D331" s="49" t="n"/>
      <c r="E331" s="49" t="n"/>
      <c r="F331" s="49" t="n"/>
      <c r="G331" s="49" t="n"/>
      <c r="H331" s="49" t="n"/>
      <c r="I331" s="49" t="n"/>
      <c r="J331" s="49" t="n"/>
    </row>
    <row r="332">
      <c r="B332" s="49" t="n"/>
      <c r="C332" s="49" t="n"/>
      <c r="D332" s="49" t="n"/>
      <c r="E332" s="49" t="n"/>
      <c r="F332" s="49" t="n"/>
      <c r="G332" s="49" t="n"/>
      <c r="H332" s="49" t="n"/>
      <c r="I332" s="49" t="n"/>
      <c r="J332" s="49" t="n"/>
    </row>
    <row r="333">
      <c r="B333" s="49" t="n"/>
      <c r="C333" s="49" t="n"/>
      <c r="D333" s="49" t="n"/>
      <c r="E333" s="49" t="n"/>
      <c r="F333" s="49" t="n"/>
      <c r="G333" s="49" t="n"/>
      <c r="H333" s="49" t="n"/>
      <c r="I333" s="49" t="n"/>
      <c r="J333" s="49" t="n"/>
    </row>
    <row r="334">
      <c r="B334" s="49" t="n"/>
      <c r="C334" s="49" t="n"/>
      <c r="D334" s="49" t="n"/>
      <c r="E334" s="49" t="n"/>
      <c r="F334" s="49" t="n"/>
      <c r="G334" s="49" t="n"/>
      <c r="H334" s="49" t="n"/>
      <c r="I334" s="49" t="n"/>
      <c r="J334" s="49" t="n"/>
    </row>
    <row r="335">
      <c r="B335" s="49" t="n"/>
      <c r="C335" s="49" t="n"/>
      <c r="D335" s="49" t="n"/>
      <c r="E335" s="49" t="n"/>
      <c r="F335" s="49" t="n"/>
      <c r="G335" s="49" t="n"/>
      <c r="H335" s="49" t="n"/>
      <c r="I335" s="49" t="n"/>
      <c r="J335" s="49" t="n"/>
    </row>
    <row r="336">
      <c r="B336" s="49" t="n"/>
      <c r="C336" s="49" t="n"/>
      <c r="D336" s="49" t="n"/>
      <c r="E336" s="49" t="n"/>
      <c r="F336" s="49" t="n"/>
      <c r="G336" s="49" t="n"/>
      <c r="H336" s="49" t="n"/>
      <c r="I336" s="49" t="n"/>
      <c r="J336" s="49" t="n"/>
    </row>
    <row r="337">
      <c r="B337" s="49" t="n"/>
      <c r="C337" s="49" t="n"/>
      <c r="D337" s="49" t="n"/>
      <c r="E337" s="49" t="n"/>
      <c r="F337" s="49" t="n"/>
      <c r="G337" s="49" t="n"/>
      <c r="H337" s="49" t="n"/>
      <c r="I337" s="49" t="n"/>
      <c r="J337" s="49" t="n"/>
    </row>
    <row r="338">
      <c r="B338" s="49" t="n"/>
      <c r="C338" s="49" t="n"/>
      <c r="D338" s="49" t="n"/>
      <c r="E338" s="49" t="n"/>
      <c r="F338" s="49" t="n"/>
      <c r="G338" s="49" t="n"/>
      <c r="H338" s="49" t="n"/>
      <c r="I338" s="49" t="n"/>
      <c r="J338" s="49" t="n"/>
    </row>
    <row r="339">
      <c r="B339" s="49" t="n"/>
      <c r="C339" s="49" t="n"/>
      <c r="D339" s="49" t="n"/>
      <c r="E339" s="49" t="n"/>
      <c r="F339" s="49" t="n"/>
      <c r="G339" s="49" t="n"/>
      <c r="H339" s="49" t="n"/>
      <c r="I339" s="49" t="n"/>
      <c r="J339" s="49" t="n"/>
    </row>
    <row r="340">
      <c r="B340" s="49" t="n"/>
      <c r="C340" s="49" t="n"/>
      <c r="D340" s="49" t="n"/>
      <c r="E340" s="49" t="n"/>
      <c r="F340" s="49" t="n"/>
      <c r="G340" s="49" t="n"/>
      <c r="H340" s="49" t="n"/>
      <c r="I340" s="49" t="n"/>
      <c r="J340" s="49" t="n"/>
    </row>
    <row r="341">
      <c r="B341" s="49" t="n"/>
      <c r="C341" s="49" t="n"/>
      <c r="D341" s="49" t="n"/>
      <c r="E341" s="49" t="n"/>
      <c r="F341" s="49" t="n"/>
      <c r="G341" s="49" t="n"/>
      <c r="H341" s="49" t="n"/>
      <c r="I341" s="49" t="n"/>
      <c r="J341" s="49" t="n"/>
    </row>
    <row r="342">
      <c r="B342" s="49" t="n"/>
      <c r="C342" s="49" t="n"/>
      <c r="D342" s="49" t="n"/>
      <c r="E342" s="49" t="n"/>
      <c r="F342" s="49" t="n"/>
      <c r="G342" s="49" t="n"/>
      <c r="H342" s="49" t="n"/>
      <c r="I342" s="49" t="n"/>
      <c r="J342" s="49" t="n"/>
    </row>
    <row r="343">
      <c r="B343" s="49" t="n"/>
      <c r="C343" s="49" t="n"/>
      <c r="D343" s="49" t="n"/>
      <c r="E343" s="49" t="n"/>
      <c r="F343" s="49" t="n"/>
      <c r="G343" s="49" t="n"/>
      <c r="H343" s="49" t="n"/>
      <c r="I343" s="49" t="n"/>
      <c r="J343" s="49" t="n"/>
    </row>
    <row r="344">
      <c r="B344" s="49" t="n"/>
      <c r="C344" s="49" t="n"/>
      <c r="D344" s="49" t="n"/>
      <c r="E344" s="49" t="n"/>
      <c r="F344" s="49" t="n"/>
      <c r="G344" s="49" t="n"/>
      <c r="H344" s="49" t="n"/>
      <c r="I344" s="49" t="n"/>
      <c r="J344" s="49" t="n"/>
    </row>
    <row r="345">
      <c r="B345" s="49" t="n"/>
      <c r="C345" s="49" t="n"/>
      <c r="D345" s="49" t="n"/>
      <c r="E345" s="49" t="n"/>
      <c r="F345" s="49" t="n"/>
      <c r="G345" s="49" t="n"/>
      <c r="H345" s="49" t="n"/>
      <c r="I345" s="49" t="n"/>
      <c r="J345" s="49" t="n"/>
    </row>
    <row r="346">
      <c r="B346" s="49" t="n"/>
      <c r="C346" s="49" t="n"/>
      <c r="D346" s="49" t="n"/>
      <c r="E346" s="49" t="n"/>
      <c r="F346" s="49" t="n"/>
      <c r="G346" s="49" t="n"/>
      <c r="H346" s="49" t="n"/>
      <c r="I346" s="49" t="n"/>
      <c r="J346" s="49" t="n"/>
    </row>
    <row r="347">
      <c r="B347" s="49" t="n"/>
      <c r="C347" s="49" t="n"/>
      <c r="D347" s="49" t="n"/>
      <c r="E347" s="49" t="n"/>
      <c r="F347" s="49" t="n"/>
      <c r="G347" s="49" t="n"/>
      <c r="H347" s="49" t="n"/>
      <c r="I347" s="49" t="n"/>
      <c r="J347" s="49" t="n"/>
    </row>
    <row r="348">
      <c r="B348" s="49" t="n"/>
      <c r="C348" s="49" t="n"/>
      <c r="D348" s="49" t="n"/>
      <c r="E348" s="49" t="n"/>
      <c r="F348" s="49" t="n"/>
      <c r="G348" s="49" t="n"/>
      <c r="H348" s="49" t="n"/>
      <c r="I348" s="49" t="n"/>
      <c r="J348" s="49" t="n"/>
    </row>
    <row r="349">
      <c r="B349" s="49" t="n"/>
      <c r="C349" s="49" t="n"/>
      <c r="D349" s="49" t="n"/>
      <c r="E349" s="49" t="n"/>
      <c r="F349" s="49" t="n"/>
      <c r="G349" s="49" t="n"/>
      <c r="H349" s="49" t="n"/>
      <c r="I349" s="49" t="n"/>
      <c r="J349" s="49" t="n"/>
    </row>
    <row r="350">
      <c r="B350" s="49" t="n"/>
      <c r="C350" s="49" t="n"/>
      <c r="D350" s="49" t="n"/>
      <c r="E350" s="49" t="n"/>
      <c r="F350" s="49" t="n"/>
      <c r="G350" s="49" t="n"/>
      <c r="H350" s="49" t="n"/>
      <c r="I350" s="49" t="n"/>
      <c r="J350" s="49" t="n"/>
    </row>
    <row r="351">
      <c r="B351" s="49" t="n"/>
      <c r="C351" s="49" t="n"/>
      <c r="D351" s="49" t="n"/>
      <c r="E351" s="49" t="n"/>
      <c r="F351" s="49" t="n"/>
      <c r="G351" s="49" t="n"/>
      <c r="H351" s="49" t="n"/>
      <c r="I351" s="49" t="n"/>
      <c r="J351" s="49" t="n"/>
    </row>
    <row r="352">
      <c r="B352" s="49" t="n"/>
      <c r="C352" s="49" t="n"/>
      <c r="D352" s="49" t="n"/>
      <c r="E352" s="49" t="n"/>
      <c r="F352" s="49" t="n"/>
      <c r="G352" s="49" t="n"/>
      <c r="H352" s="49" t="n"/>
      <c r="I352" s="49" t="n"/>
      <c r="J352" s="49" t="n"/>
    </row>
    <row r="353">
      <c r="B353" s="49" t="n"/>
      <c r="C353" s="49" t="n"/>
      <c r="D353" s="49" t="n"/>
      <c r="E353" s="49" t="n"/>
      <c r="F353" s="49" t="n"/>
      <c r="G353" s="49" t="n"/>
      <c r="H353" s="49" t="n"/>
      <c r="I353" s="49" t="n"/>
      <c r="J353" s="49" t="n"/>
    </row>
    <row r="354">
      <c r="B354" s="49" t="n"/>
      <c r="C354" s="49" t="n"/>
      <c r="D354" s="49" t="n"/>
      <c r="E354" s="49" t="n"/>
      <c r="F354" s="49" t="n"/>
      <c r="G354" s="49" t="n"/>
      <c r="H354" s="49" t="n"/>
      <c r="I354" s="49" t="n"/>
      <c r="J354" s="49" t="n"/>
    </row>
    <row r="355">
      <c r="B355" s="49" t="n"/>
      <c r="C355" s="49" t="n"/>
      <c r="D355" s="49" t="n"/>
      <c r="E355" s="49" t="n"/>
      <c r="F355" s="49" t="n"/>
      <c r="G355" s="49" t="n"/>
      <c r="H355" s="49" t="n"/>
      <c r="I355" s="49" t="n"/>
      <c r="J355" s="49" t="n"/>
    </row>
    <row r="356">
      <c r="B356" s="49" t="n"/>
      <c r="C356" s="49" t="n"/>
      <c r="D356" s="49" t="n"/>
      <c r="E356" s="49" t="n"/>
      <c r="F356" s="49" t="n"/>
      <c r="G356" s="49" t="n"/>
      <c r="H356" s="49" t="n"/>
      <c r="I356" s="49" t="n"/>
      <c r="J356" s="49" t="n"/>
    </row>
    <row r="357">
      <c r="B357" s="49" t="n"/>
      <c r="C357" s="49" t="n"/>
      <c r="D357" s="49" t="n"/>
      <c r="E357" s="49" t="n"/>
      <c r="F357" s="49" t="n"/>
      <c r="G357" s="49" t="n"/>
      <c r="H357" s="49" t="n"/>
      <c r="I357" s="49" t="n"/>
      <c r="J357" s="49" t="n"/>
    </row>
    <row r="358">
      <c r="B358" s="49" t="n"/>
      <c r="C358" s="49" t="n"/>
      <c r="D358" s="49" t="n"/>
      <c r="E358" s="49" t="n"/>
      <c r="F358" s="49" t="n"/>
      <c r="G358" s="49" t="n"/>
      <c r="H358" s="49" t="n"/>
      <c r="I358" s="49" t="n"/>
      <c r="J358" s="49" t="n"/>
    </row>
    <row r="359">
      <c r="B359" s="49" t="n"/>
      <c r="C359" s="49" t="n"/>
      <c r="D359" s="49" t="n"/>
      <c r="E359" s="49" t="n"/>
      <c r="F359" s="49" t="n"/>
      <c r="G359" s="49" t="n"/>
      <c r="H359" s="49" t="n"/>
      <c r="I359" s="49" t="n"/>
      <c r="J359" s="49" t="n"/>
    </row>
    <row r="360">
      <c r="B360" s="49" t="n"/>
      <c r="C360" s="49" t="n"/>
      <c r="D360" s="49" t="n"/>
      <c r="E360" s="49" t="n"/>
      <c r="F360" s="49" t="n"/>
      <c r="G360" s="49" t="n"/>
      <c r="H360" s="49" t="n"/>
      <c r="I360" s="49" t="n"/>
      <c r="J360" s="49" t="n"/>
    </row>
    <row r="361">
      <c r="B361" s="49" t="n"/>
      <c r="C361" s="49" t="n"/>
      <c r="D361" s="49" t="n"/>
      <c r="E361" s="49" t="n"/>
      <c r="F361" s="49" t="n"/>
      <c r="G361" s="49" t="n"/>
      <c r="H361" s="49" t="n"/>
      <c r="I361" s="49" t="n"/>
      <c r="J361" s="49" t="n"/>
    </row>
    <row r="362">
      <c r="B362" s="49" t="n"/>
      <c r="C362" s="49" t="n"/>
      <c r="D362" s="49" t="n"/>
      <c r="E362" s="49" t="n"/>
      <c r="F362" s="49" t="n"/>
      <c r="G362" s="49" t="n"/>
      <c r="H362" s="49" t="n"/>
      <c r="I362" s="49" t="n"/>
      <c r="J362" s="49" t="n"/>
    </row>
    <row r="363">
      <c r="B363" s="49" t="n"/>
      <c r="C363" s="49" t="n"/>
      <c r="D363" s="49" t="n"/>
      <c r="E363" s="49" t="n"/>
      <c r="F363" s="49" t="n"/>
      <c r="G363" s="49" t="n"/>
      <c r="H363" s="49" t="n"/>
      <c r="I363" s="49" t="n"/>
      <c r="J363" s="49" t="n"/>
    </row>
    <row r="364">
      <c r="B364" s="49" t="n"/>
      <c r="C364" s="49" t="n"/>
      <c r="D364" s="49" t="n"/>
      <c r="E364" s="49" t="n"/>
      <c r="F364" s="49" t="n"/>
      <c r="G364" s="49" t="n"/>
      <c r="H364" s="49" t="n"/>
      <c r="I364" s="49" t="n"/>
      <c r="J364" s="49" t="n"/>
    </row>
    <row r="365">
      <c r="B365" s="49" t="n"/>
      <c r="C365" s="49" t="n"/>
      <c r="D365" s="49" t="n"/>
      <c r="E365" s="49" t="n"/>
      <c r="F365" s="49" t="n"/>
      <c r="G365" s="49" t="n"/>
      <c r="H365" s="49" t="n"/>
      <c r="I365" s="49" t="n"/>
      <c r="J365" s="49" t="n"/>
    </row>
    <row r="366">
      <c r="B366" s="49" t="n"/>
      <c r="C366" s="49" t="n"/>
      <c r="D366" s="49" t="n"/>
      <c r="E366" s="49" t="n"/>
      <c r="F366" s="49" t="n"/>
      <c r="G366" s="49" t="n"/>
      <c r="H366" s="49" t="n"/>
      <c r="I366" s="49" t="n"/>
      <c r="J366" s="49" t="n"/>
    </row>
    <row r="367">
      <c r="B367" s="49" t="n"/>
      <c r="C367" s="49" t="n"/>
      <c r="D367" s="49" t="n"/>
      <c r="E367" s="49" t="n"/>
      <c r="F367" s="49" t="n"/>
      <c r="G367" s="49" t="n"/>
      <c r="H367" s="49" t="n"/>
      <c r="I367" s="49" t="n"/>
      <c r="J367" s="49" t="n"/>
    </row>
    <row r="368">
      <c r="B368" s="49" t="n"/>
      <c r="C368" s="49" t="n"/>
      <c r="D368" s="49" t="n"/>
      <c r="E368" s="49" t="n"/>
      <c r="F368" s="49" t="n"/>
      <c r="G368" s="49" t="n"/>
      <c r="H368" s="49" t="n"/>
      <c r="I368" s="49" t="n"/>
      <c r="J368" s="49" t="n"/>
    </row>
    <row r="369">
      <c r="B369" s="49" t="n"/>
      <c r="C369" s="49" t="n"/>
      <c r="D369" s="49" t="n"/>
      <c r="E369" s="49" t="n"/>
      <c r="F369" s="49" t="n"/>
      <c r="G369" s="49" t="n"/>
      <c r="H369" s="49" t="n"/>
      <c r="I369" s="49" t="n"/>
      <c r="J369" s="49" t="n"/>
    </row>
    <row r="370">
      <c r="B370" s="49" t="n"/>
      <c r="C370" s="49" t="n"/>
      <c r="D370" s="49" t="n"/>
      <c r="E370" s="49" t="n"/>
      <c r="F370" s="49" t="n"/>
      <c r="G370" s="49" t="n"/>
      <c r="H370" s="49" t="n"/>
      <c r="I370" s="49" t="n"/>
      <c r="J370" s="49" t="n"/>
    </row>
    <row r="371">
      <c r="B371" s="49" t="n"/>
      <c r="C371" s="49" t="n"/>
      <c r="D371" s="49" t="n"/>
      <c r="E371" s="49" t="n"/>
      <c r="F371" s="49" t="n"/>
      <c r="G371" s="49" t="n"/>
      <c r="H371" s="49" t="n"/>
      <c r="I371" s="49" t="n"/>
      <c r="J371" s="49" t="n"/>
    </row>
    <row r="372">
      <c r="B372" s="49" t="n"/>
      <c r="C372" s="49" t="n"/>
      <c r="D372" s="49" t="n"/>
      <c r="E372" s="49" t="n"/>
      <c r="F372" s="49" t="n"/>
      <c r="G372" s="49" t="n"/>
      <c r="H372" s="49" t="n"/>
      <c r="I372" s="49" t="n"/>
      <c r="J372" s="49" t="n"/>
    </row>
    <row r="373">
      <c r="B373" s="49" t="n"/>
      <c r="C373" s="49" t="n"/>
      <c r="D373" s="49" t="n"/>
      <c r="E373" s="49" t="n"/>
      <c r="F373" s="49" t="n"/>
      <c r="G373" s="49" t="n"/>
      <c r="H373" s="49" t="n"/>
      <c r="I373" s="49" t="n"/>
      <c r="J373" s="49" t="n"/>
    </row>
    <row r="374">
      <c r="B374" s="49" t="n"/>
      <c r="C374" s="49" t="n"/>
      <c r="D374" s="49" t="n"/>
      <c r="E374" s="49" t="n"/>
      <c r="F374" s="49" t="n"/>
      <c r="G374" s="49" t="n"/>
      <c r="H374" s="49" t="n"/>
      <c r="I374" s="49" t="n"/>
      <c r="J374" s="49" t="n"/>
    </row>
    <row r="375">
      <c r="B375" s="49" t="n"/>
      <c r="C375" s="49" t="n"/>
      <c r="D375" s="49" t="n"/>
      <c r="E375" s="49" t="n"/>
      <c r="F375" s="49" t="n"/>
      <c r="G375" s="49" t="n"/>
      <c r="H375" s="49" t="n"/>
      <c r="I375" s="49" t="n"/>
      <c r="J375" s="49" t="n"/>
    </row>
    <row r="376">
      <c r="B376" s="49" t="n"/>
      <c r="C376" s="49" t="n"/>
      <c r="D376" s="49" t="n"/>
      <c r="E376" s="49" t="n"/>
      <c r="F376" s="49" t="n"/>
      <c r="G376" s="49" t="n"/>
      <c r="H376" s="49" t="n"/>
      <c r="I376" s="49" t="n"/>
      <c r="J376" s="49" t="n"/>
    </row>
    <row r="377">
      <c r="B377" s="49" t="n"/>
      <c r="C377" s="49" t="n"/>
      <c r="D377" s="49" t="n"/>
      <c r="E377" s="49" t="n"/>
      <c r="F377" s="49" t="n"/>
      <c r="G377" s="49" t="n"/>
      <c r="H377" s="49" t="n"/>
      <c r="I377" s="49" t="n"/>
      <c r="J377" s="49" t="n"/>
    </row>
    <row r="378">
      <c r="B378" s="49" t="n"/>
      <c r="C378" s="49" t="n"/>
      <c r="D378" s="49" t="n"/>
      <c r="E378" s="49" t="n"/>
      <c r="F378" s="49" t="n"/>
      <c r="G378" s="49" t="n"/>
      <c r="H378" s="49" t="n"/>
      <c r="I378" s="49" t="n"/>
      <c r="J378" s="49" t="n"/>
    </row>
    <row r="379">
      <c r="B379" s="49" t="n"/>
      <c r="C379" s="49" t="n"/>
      <c r="D379" s="49" t="n"/>
      <c r="E379" s="49" t="n"/>
      <c r="F379" s="49" t="n"/>
      <c r="G379" s="49" t="n"/>
      <c r="H379" s="49" t="n"/>
      <c r="I379" s="49" t="n"/>
      <c r="J379" s="49" t="n"/>
    </row>
    <row r="380">
      <c r="B380" s="49" t="n"/>
      <c r="C380" s="49" t="n"/>
      <c r="D380" s="49" t="n"/>
      <c r="E380" s="49" t="n"/>
      <c r="F380" s="49" t="n"/>
      <c r="G380" s="49" t="n"/>
      <c r="H380" s="49" t="n"/>
      <c r="I380" s="49" t="n"/>
      <c r="J380" s="49" t="n"/>
    </row>
    <row r="381">
      <c r="B381" s="49" t="n"/>
      <c r="C381" s="49" t="n"/>
      <c r="D381" s="49" t="n"/>
      <c r="E381" s="49" t="n"/>
      <c r="F381" s="49" t="n"/>
      <c r="G381" s="49" t="n"/>
      <c r="H381" s="49" t="n"/>
      <c r="I381" s="49" t="n"/>
      <c r="J381" s="49" t="n"/>
    </row>
    <row r="382">
      <c r="B382" s="49" t="n"/>
      <c r="C382" s="49" t="n"/>
      <c r="D382" s="49" t="n"/>
      <c r="E382" s="49" t="n"/>
      <c r="F382" s="49" t="n"/>
      <c r="G382" s="49" t="n"/>
      <c r="H382" s="49" t="n"/>
      <c r="I382" s="49" t="n"/>
      <c r="J382" s="49" t="n"/>
    </row>
    <row r="383">
      <c r="B383" s="49" t="n"/>
      <c r="C383" s="49" t="n"/>
      <c r="D383" s="49" t="n"/>
      <c r="E383" s="49" t="n"/>
      <c r="F383" s="49" t="n"/>
      <c r="G383" s="49" t="n"/>
      <c r="H383" s="49" t="n"/>
      <c r="I383" s="49" t="n"/>
      <c r="J383" s="49" t="n"/>
    </row>
    <row r="384">
      <c r="B384" s="49" t="n"/>
      <c r="C384" s="49" t="n"/>
      <c r="D384" s="49" t="n"/>
      <c r="E384" s="49" t="n"/>
      <c r="F384" s="49" t="n"/>
      <c r="G384" s="49" t="n"/>
      <c r="H384" s="49" t="n"/>
      <c r="I384" s="49" t="n"/>
      <c r="J384" s="49" t="n"/>
    </row>
    <row r="385">
      <c r="B385" s="49" t="n"/>
      <c r="C385" s="49" t="n"/>
      <c r="D385" s="49" t="n"/>
      <c r="E385" s="49" t="n"/>
      <c r="F385" s="49" t="n"/>
      <c r="G385" s="49" t="n"/>
      <c r="H385" s="49" t="n"/>
      <c r="I385" s="49" t="n"/>
      <c r="J385" s="49" t="n"/>
    </row>
    <row r="386">
      <c r="B386" s="49" t="n"/>
      <c r="C386" s="49" t="n"/>
      <c r="D386" s="49" t="n"/>
      <c r="E386" s="49" t="n"/>
      <c r="F386" s="49" t="n"/>
      <c r="G386" s="49" t="n"/>
      <c r="H386" s="49" t="n"/>
      <c r="I386" s="49" t="n"/>
      <c r="J386" s="49" t="n"/>
    </row>
    <row r="387">
      <c r="B387" s="49" t="n"/>
      <c r="C387" s="49" t="n"/>
      <c r="D387" s="49" t="n"/>
      <c r="E387" s="49" t="n"/>
      <c r="F387" s="49" t="n"/>
      <c r="G387" s="49" t="n"/>
      <c r="H387" s="49" t="n"/>
      <c r="I387" s="49" t="n"/>
      <c r="J387" s="49" t="n"/>
    </row>
    <row r="388">
      <c r="B388" s="49" t="n"/>
      <c r="C388" s="49" t="n"/>
      <c r="D388" s="49" t="n"/>
      <c r="E388" s="49" t="n"/>
      <c r="F388" s="49" t="n"/>
      <c r="G388" s="49" t="n"/>
      <c r="H388" s="49" t="n"/>
      <c r="I388" s="49" t="n"/>
      <c r="J388" s="49" t="n"/>
    </row>
    <row r="389">
      <c r="B389" s="49" t="n"/>
      <c r="C389" s="49" t="n"/>
      <c r="D389" s="49" t="n"/>
      <c r="E389" s="49" t="n"/>
      <c r="F389" s="49" t="n"/>
      <c r="G389" s="49" t="n"/>
      <c r="H389" s="49" t="n"/>
      <c r="I389" s="49" t="n"/>
      <c r="J389" s="49" t="n"/>
    </row>
    <row r="390">
      <c r="B390" s="49" t="n"/>
      <c r="C390" s="49" t="n"/>
      <c r="D390" s="49" t="n"/>
      <c r="E390" s="49" t="n"/>
      <c r="F390" s="49" t="n"/>
      <c r="G390" s="49" t="n"/>
      <c r="H390" s="49" t="n"/>
      <c r="I390" s="49" t="n"/>
      <c r="J390" s="49" t="n"/>
    </row>
    <row r="391">
      <c r="B391" s="49" t="n"/>
      <c r="C391" s="49" t="n"/>
      <c r="D391" s="49" t="n"/>
      <c r="E391" s="49" t="n"/>
      <c r="F391" s="49" t="n"/>
      <c r="G391" s="49" t="n"/>
      <c r="H391" s="49" t="n"/>
      <c r="I391" s="49" t="n"/>
      <c r="J391" s="49" t="n"/>
    </row>
    <row r="392">
      <c r="B392" s="49" t="n"/>
      <c r="C392" s="49" t="n"/>
      <c r="D392" s="49" t="n"/>
      <c r="E392" s="49" t="n"/>
      <c r="F392" s="49" t="n"/>
      <c r="G392" s="49" t="n"/>
      <c r="H392" s="49" t="n"/>
      <c r="I392" s="49" t="n"/>
      <c r="J392" s="49" t="n"/>
    </row>
    <row r="393">
      <c r="B393" s="49" t="n"/>
      <c r="C393" s="49" t="n"/>
      <c r="D393" s="49" t="n"/>
      <c r="E393" s="49" t="n"/>
      <c r="F393" s="49" t="n"/>
      <c r="G393" s="49" t="n"/>
      <c r="H393" s="49" t="n"/>
      <c r="I393" s="49" t="n"/>
      <c r="J393" s="49" t="n"/>
    </row>
    <row r="394">
      <c r="B394" s="49" t="n"/>
      <c r="C394" s="49" t="n"/>
      <c r="D394" s="49" t="n"/>
      <c r="E394" s="49" t="n"/>
      <c r="F394" s="49" t="n"/>
      <c r="G394" s="49" t="n"/>
      <c r="H394" s="49" t="n"/>
      <c r="I394" s="49" t="n"/>
      <c r="J394" s="49" t="n"/>
    </row>
    <row r="395">
      <c r="B395" s="49" t="n"/>
      <c r="C395" s="49" t="n"/>
      <c r="D395" s="49" t="n"/>
      <c r="E395" s="49" t="n"/>
      <c r="F395" s="49" t="n"/>
      <c r="G395" s="49" t="n"/>
      <c r="H395" s="49" t="n"/>
      <c r="I395" s="49" t="n"/>
      <c r="J395" s="49" t="n"/>
    </row>
    <row r="396">
      <c r="B396" s="49" t="n"/>
      <c r="C396" s="49" t="n"/>
      <c r="D396" s="49" t="n"/>
      <c r="E396" s="49" t="n"/>
      <c r="F396" s="49" t="n"/>
      <c r="G396" s="49" t="n"/>
      <c r="H396" s="49" t="n"/>
      <c r="I396" s="49" t="n"/>
      <c r="J396" s="49" t="n"/>
    </row>
    <row r="397">
      <c r="B397" s="49" t="n"/>
      <c r="C397" s="49" t="n"/>
      <c r="D397" s="49" t="n"/>
      <c r="E397" s="49" t="n"/>
      <c r="F397" s="49" t="n"/>
      <c r="G397" s="49" t="n"/>
      <c r="H397" s="49" t="n"/>
      <c r="I397" s="49" t="n"/>
      <c r="J397" s="49" t="n"/>
    </row>
    <row r="398">
      <c r="B398" s="49" t="n"/>
      <c r="C398" s="49" t="n"/>
      <c r="D398" s="49" t="n"/>
      <c r="E398" s="49" t="n"/>
      <c r="F398" s="49" t="n"/>
      <c r="G398" s="49" t="n"/>
      <c r="H398" s="49" t="n"/>
      <c r="I398" s="49" t="n"/>
      <c r="J398" s="49" t="n"/>
    </row>
    <row r="399">
      <c r="B399" s="49" t="n"/>
      <c r="C399" s="49" t="n"/>
      <c r="D399" s="49" t="n"/>
      <c r="E399" s="49" t="n"/>
      <c r="F399" s="49" t="n"/>
      <c r="G399" s="49" t="n"/>
      <c r="H399" s="49" t="n"/>
      <c r="I399" s="49" t="n"/>
      <c r="J399" s="49" t="n"/>
    </row>
    <row r="400">
      <c r="B400" s="49" t="n"/>
      <c r="C400" s="49" t="n"/>
      <c r="D400" s="49" t="n"/>
      <c r="E400" s="49" t="n"/>
      <c r="F400" s="49" t="n"/>
      <c r="G400" s="49" t="n"/>
      <c r="H400" s="49" t="n"/>
      <c r="I400" s="49" t="n"/>
      <c r="J400" s="49" t="n"/>
    </row>
    <row r="401">
      <c r="B401" s="49" t="n"/>
      <c r="C401" s="49" t="n"/>
      <c r="D401" s="49" t="n"/>
      <c r="E401" s="49" t="n"/>
      <c r="F401" s="49" t="n"/>
      <c r="G401" s="49" t="n"/>
      <c r="H401" s="49" t="n"/>
      <c r="I401" s="49" t="n"/>
      <c r="J401" s="49" t="n"/>
    </row>
    <row r="402">
      <c r="B402" s="49" t="n"/>
      <c r="C402" s="49" t="n"/>
      <c r="D402" s="49" t="n"/>
      <c r="E402" s="49" t="n"/>
      <c r="F402" s="49" t="n"/>
      <c r="G402" s="49" t="n"/>
      <c r="H402" s="49" t="n"/>
      <c r="I402" s="49" t="n"/>
      <c r="J402" s="49" t="n"/>
    </row>
    <row r="403">
      <c r="B403" s="49" t="n"/>
      <c r="C403" s="49" t="n"/>
      <c r="D403" s="49" t="n"/>
      <c r="E403" s="49" t="n"/>
      <c r="F403" s="49" t="n"/>
      <c r="G403" s="49" t="n"/>
      <c r="H403" s="49" t="n"/>
      <c r="I403" s="49" t="n"/>
      <c r="J403" s="49" t="n"/>
    </row>
    <row r="404">
      <c r="B404" s="49" t="n"/>
      <c r="C404" s="49" t="n"/>
      <c r="D404" s="49" t="n"/>
      <c r="E404" s="49" t="n"/>
      <c r="F404" s="49" t="n"/>
      <c r="G404" s="49" t="n"/>
      <c r="H404" s="49" t="n"/>
      <c r="I404" s="49" t="n"/>
      <c r="J404" s="49" t="n"/>
    </row>
    <row r="405">
      <c r="B405" s="49" t="n"/>
      <c r="C405" s="49" t="n"/>
      <c r="D405" s="49" t="n"/>
      <c r="E405" s="49" t="n"/>
      <c r="F405" s="49" t="n"/>
      <c r="G405" s="49" t="n"/>
      <c r="H405" s="49" t="n"/>
      <c r="I405" s="49" t="n"/>
      <c r="J405" s="49" t="n"/>
    </row>
    <row r="406">
      <c r="B406" s="49" t="n"/>
      <c r="C406" s="49" t="n"/>
      <c r="D406" s="49" t="n"/>
      <c r="E406" s="49" t="n"/>
      <c r="F406" s="49" t="n"/>
      <c r="G406" s="49" t="n"/>
      <c r="H406" s="49" t="n"/>
      <c r="I406" s="49" t="n"/>
      <c r="J406" s="49" t="n"/>
    </row>
    <row r="407">
      <c r="B407" s="49" t="n"/>
      <c r="C407" s="49" t="n"/>
      <c r="D407" s="49" t="n"/>
      <c r="E407" s="49" t="n"/>
      <c r="F407" s="49" t="n"/>
      <c r="G407" s="49" t="n"/>
      <c r="H407" s="49" t="n"/>
      <c r="I407" s="49" t="n"/>
      <c r="J407" s="49" t="n"/>
    </row>
    <row r="408">
      <c r="B408" s="49" t="n"/>
      <c r="C408" s="49" t="n"/>
      <c r="D408" s="49" t="n"/>
      <c r="E408" s="49" t="n"/>
      <c r="F408" s="49" t="n"/>
      <c r="G408" s="49" t="n"/>
      <c r="H408" s="49" t="n"/>
      <c r="I408" s="49" t="n"/>
      <c r="J408" s="49" t="n"/>
    </row>
    <row r="409">
      <c r="B409" s="49" t="n"/>
      <c r="C409" s="49" t="n"/>
      <c r="D409" s="49" t="n"/>
      <c r="E409" s="49" t="n"/>
      <c r="F409" s="49" t="n"/>
      <c r="G409" s="49" t="n"/>
      <c r="H409" s="49" t="n"/>
      <c r="I409" s="49" t="n"/>
      <c r="J409" s="49" t="n"/>
    </row>
    <row r="410">
      <c r="B410" s="49" t="n"/>
      <c r="C410" s="49" t="n"/>
      <c r="D410" s="49" t="n"/>
      <c r="E410" s="49" t="n"/>
      <c r="F410" s="49" t="n"/>
      <c r="G410" s="49" t="n"/>
      <c r="H410" s="49" t="n"/>
      <c r="I410" s="49" t="n"/>
      <c r="J410" s="49" t="n"/>
    </row>
    <row r="411">
      <c r="B411" s="49" t="n"/>
      <c r="C411" s="49" t="n"/>
      <c r="D411" s="49" t="n"/>
      <c r="E411" s="49" t="n"/>
      <c r="F411" s="49" t="n"/>
      <c r="G411" s="49" t="n"/>
      <c r="H411" s="49" t="n"/>
      <c r="I411" s="49" t="n"/>
      <c r="J411" s="49" t="n"/>
    </row>
    <row r="412">
      <c r="B412" s="49" t="n"/>
      <c r="C412" s="49" t="n"/>
      <c r="D412" s="49" t="n"/>
      <c r="E412" s="49" t="n"/>
      <c r="F412" s="49" t="n"/>
      <c r="G412" s="49" t="n"/>
      <c r="H412" s="49" t="n"/>
      <c r="I412" s="49" t="n"/>
      <c r="J412" s="49" t="n"/>
    </row>
    <row r="413">
      <c r="B413" s="49" t="n"/>
      <c r="C413" s="49" t="n"/>
      <c r="D413" s="49" t="n"/>
      <c r="E413" s="49" t="n"/>
      <c r="F413" s="49" t="n"/>
      <c r="G413" s="49" t="n"/>
      <c r="H413" s="49" t="n"/>
      <c r="I413" s="49" t="n"/>
      <c r="J413" s="49" t="n"/>
    </row>
    <row r="414">
      <c r="B414" s="49" t="n"/>
      <c r="C414" s="49" t="n"/>
      <c r="D414" s="49" t="n"/>
      <c r="E414" s="49" t="n"/>
      <c r="F414" s="49" t="n"/>
      <c r="G414" s="49" t="n"/>
      <c r="H414" s="49" t="n"/>
      <c r="I414" s="49" t="n"/>
      <c r="J414" s="49" t="n"/>
    </row>
    <row r="415">
      <c r="B415" s="49" t="n"/>
      <c r="C415" s="49" t="n"/>
      <c r="D415" s="49" t="n"/>
      <c r="E415" s="49" t="n"/>
      <c r="F415" s="49" t="n"/>
      <c r="G415" s="49" t="n"/>
      <c r="H415" s="49" t="n"/>
      <c r="I415" s="49" t="n"/>
      <c r="J415" s="49" t="n"/>
    </row>
    <row r="416">
      <c r="B416" s="49" t="n"/>
      <c r="C416" s="49" t="n"/>
      <c r="D416" s="49" t="n"/>
      <c r="E416" s="49" t="n"/>
      <c r="F416" s="49" t="n"/>
      <c r="G416" s="49" t="n"/>
      <c r="H416" s="49" t="n"/>
      <c r="I416" s="49" t="n"/>
      <c r="J416" s="49" t="n"/>
    </row>
    <row r="417">
      <c r="B417" s="49" t="n"/>
      <c r="C417" s="49" t="n"/>
      <c r="D417" s="49" t="n"/>
      <c r="E417" s="49" t="n"/>
      <c r="F417" s="49" t="n"/>
      <c r="G417" s="49" t="n"/>
      <c r="H417" s="49" t="n"/>
      <c r="I417" s="49" t="n"/>
      <c r="J417" s="49" t="n"/>
    </row>
    <row r="418">
      <c r="B418" s="49" t="n"/>
      <c r="C418" s="49" t="n"/>
      <c r="D418" s="49" t="n"/>
      <c r="E418" s="49" t="n"/>
      <c r="F418" s="49" t="n"/>
      <c r="G418" s="49" t="n"/>
      <c r="H418" s="49" t="n"/>
      <c r="I418" s="49" t="n"/>
      <c r="J418" s="49" t="n"/>
    </row>
    <row r="419">
      <c r="B419" s="49" t="n"/>
      <c r="C419" s="49" t="n"/>
      <c r="D419" s="49" t="n"/>
      <c r="E419" s="49" t="n"/>
      <c r="F419" s="49" t="n"/>
      <c r="G419" s="49" t="n"/>
      <c r="H419" s="49" t="n"/>
      <c r="I419" s="49" t="n"/>
      <c r="J419" s="49" t="n"/>
    </row>
    <row r="420">
      <c r="B420" s="49" t="n"/>
      <c r="C420" s="49" t="n"/>
      <c r="D420" s="49" t="n"/>
      <c r="E420" s="49" t="n"/>
      <c r="F420" s="49" t="n"/>
      <c r="G420" s="49" t="n"/>
      <c r="H420" s="49" t="n"/>
      <c r="I420" s="49" t="n"/>
      <c r="J420" s="49" t="n"/>
    </row>
    <row r="421">
      <c r="B421" s="49" t="n"/>
      <c r="C421" s="49" t="n"/>
      <c r="D421" s="49" t="n"/>
      <c r="E421" s="49" t="n"/>
      <c r="F421" s="49" t="n"/>
      <c r="G421" s="49" t="n"/>
      <c r="H421" s="49" t="n"/>
      <c r="I421" s="49" t="n"/>
      <c r="J421" s="49" t="n"/>
    </row>
    <row r="422">
      <c r="B422" s="49" t="n"/>
      <c r="C422" s="49" t="n"/>
      <c r="D422" s="49" t="n"/>
      <c r="E422" s="49" t="n"/>
      <c r="F422" s="49" t="n"/>
      <c r="G422" s="49" t="n"/>
      <c r="H422" s="49" t="n"/>
      <c r="I422" s="49" t="n"/>
      <c r="J422" s="49" t="n"/>
    </row>
    <row r="423">
      <c r="B423" s="49" t="n"/>
      <c r="C423" s="49" t="n"/>
      <c r="D423" s="49" t="n"/>
      <c r="E423" s="49" t="n"/>
      <c r="F423" s="49" t="n"/>
      <c r="G423" s="49" t="n"/>
      <c r="H423" s="49" t="n"/>
      <c r="I423" s="49" t="n"/>
      <c r="J423" s="49" t="n"/>
    </row>
    <row r="424">
      <c r="B424" s="49" t="n"/>
      <c r="C424" s="49" t="n"/>
      <c r="D424" s="49" t="n"/>
      <c r="E424" s="49" t="n"/>
      <c r="F424" s="49" t="n"/>
      <c r="G424" s="49" t="n"/>
      <c r="H424" s="49" t="n"/>
      <c r="I424" s="49" t="n"/>
      <c r="J424" s="49" t="n"/>
    </row>
    <row r="425">
      <c r="B425" s="49" t="n"/>
      <c r="C425" s="49" t="n"/>
      <c r="D425" s="49" t="n"/>
      <c r="E425" s="49" t="n"/>
      <c r="F425" s="49" t="n"/>
      <c r="G425" s="49" t="n"/>
      <c r="H425" s="49" t="n"/>
      <c r="I425" s="49" t="n"/>
      <c r="J425" s="49" t="n"/>
    </row>
    <row r="426">
      <c r="B426" s="49" t="n"/>
      <c r="C426" s="49" t="n"/>
      <c r="D426" s="49" t="n"/>
      <c r="E426" s="49" t="n"/>
      <c r="F426" s="49" t="n"/>
      <c r="G426" s="49" t="n"/>
      <c r="H426" s="49" t="n"/>
      <c r="I426" s="49" t="n"/>
      <c r="J426" s="49" t="n"/>
    </row>
    <row r="427">
      <c r="B427" s="49" t="n"/>
      <c r="C427" s="49" t="n"/>
      <c r="D427" s="49" t="n"/>
      <c r="E427" s="49" t="n"/>
      <c r="F427" s="49" t="n"/>
      <c r="G427" s="49" t="n"/>
      <c r="H427" s="49" t="n"/>
      <c r="I427" s="49" t="n"/>
      <c r="J427" s="49" t="n"/>
    </row>
    <row r="428">
      <c r="B428" s="49" t="n"/>
      <c r="C428" s="49" t="n"/>
      <c r="D428" s="49" t="n"/>
      <c r="E428" s="49" t="n"/>
      <c r="F428" s="49" t="n"/>
      <c r="G428" s="49" t="n"/>
      <c r="H428" s="49" t="n"/>
      <c r="I428" s="49" t="n"/>
      <c r="J428" s="49" t="n"/>
    </row>
    <row r="429">
      <c r="B429" s="49" t="n"/>
      <c r="C429" s="49" t="n"/>
      <c r="D429" s="49" t="n"/>
      <c r="E429" s="49" t="n"/>
      <c r="F429" s="49" t="n"/>
      <c r="G429" s="49" t="n"/>
      <c r="H429" s="49" t="n"/>
      <c r="I429" s="49" t="n"/>
      <c r="J429" s="49" t="n"/>
    </row>
    <row r="430">
      <c r="B430" s="49" t="n"/>
      <c r="C430" s="49" t="n"/>
      <c r="D430" s="49" t="n"/>
      <c r="E430" s="49" t="n"/>
      <c r="F430" s="49" t="n"/>
      <c r="G430" s="49" t="n"/>
      <c r="H430" s="49" t="n"/>
      <c r="I430" s="49" t="n"/>
      <c r="J430" s="49" t="n"/>
    </row>
    <row r="431">
      <c r="B431" s="49" t="n"/>
      <c r="C431" s="49" t="n"/>
      <c r="D431" s="49" t="n"/>
      <c r="E431" s="49" t="n"/>
      <c r="F431" s="49" t="n"/>
      <c r="G431" s="49" t="n"/>
      <c r="H431" s="49" t="n"/>
      <c r="I431" s="49" t="n"/>
      <c r="J431" s="49" t="n"/>
    </row>
    <row r="432">
      <c r="B432" s="49" t="n"/>
      <c r="C432" s="49" t="n"/>
      <c r="D432" s="49" t="n"/>
      <c r="E432" s="49" t="n"/>
      <c r="F432" s="49" t="n"/>
      <c r="G432" s="49" t="n"/>
      <c r="H432" s="49" t="n"/>
      <c r="I432" s="49" t="n"/>
      <c r="J432" s="49" t="n"/>
    </row>
    <row r="433">
      <c r="B433" s="49" t="n"/>
      <c r="C433" s="49" t="n"/>
      <c r="D433" s="49" t="n"/>
      <c r="E433" s="49" t="n"/>
      <c r="F433" s="49" t="n"/>
      <c r="G433" s="49" t="n"/>
      <c r="H433" s="49" t="n"/>
      <c r="I433" s="49" t="n"/>
      <c r="J433" s="49" t="n"/>
    </row>
    <row r="434">
      <c r="B434" s="49" t="n"/>
      <c r="C434" s="49" t="n"/>
      <c r="D434" s="49" t="n"/>
      <c r="E434" s="49" t="n"/>
      <c r="F434" s="49" t="n"/>
      <c r="G434" s="49" t="n"/>
      <c r="H434" s="49" t="n"/>
      <c r="I434" s="49" t="n"/>
      <c r="J434" s="49" t="n"/>
    </row>
    <row r="435">
      <c r="B435" s="49" t="n"/>
      <c r="C435" s="49" t="n"/>
      <c r="D435" s="49" t="n"/>
      <c r="E435" s="49" t="n"/>
      <c r="F435" s="49" t="n"/>
      <c r="G435" s="49" t="n"/>
      <c r="H435" s="49" t="n"/>
      <c r="I435" s="49" t="n"/>
      <c r="J435" s="49" t="n"/>
    </row>
    <row r="436">
      <c r="B436" s="49" t="n"/>
      <c r="C436" s="49" t="n"/>
      <c r="D436" s="49" t="n"/>
      <c r="E436" s="49" t="n"/>
      <c r="F436" s="49" t="n"/>
      <c r="G436" s="49" t="n"/>
      <c r="H436" s="49" t="n"/>
      <c r="I436" s="49" t="n"/>
      <c r="J436" s="49" t="n"/>
    </row>
    <row r="437">
      <c r="B437" s="49" t="n"/>
      <c r="C437" s="49" t="n"/>
      <c r="D437" s="49" t="n"/>
      <c r="E437" s="49" t="n"/>
      <c r="F437" s="49" t="n"/>
      <c r="G437" s="49" t="n"/>
      <c r="H437" s="49" t="n"/>
      <c r="I437" s="49" t="n"/>
      <c r="J437" s="49" t="n"/>
    </row>
    <row r="438">
      <c r="B438" s="49" t="n"/>
      <c r="C438" s="49" t="n"/>
      <c r="D438" s="49" t="n"/>
      <c r="E438" s="49" t="n"/>
      <c r="F438" s="49" t="n"/>
      <c r="G438" s="49" t="n"/>
      <c r="H438" s="49" t="n"/>
      <c r="I438" s="49" t="n"/>
      <c r="J438" s="49" t="n"/>
    </row>
    <row r="439">
      <c r="B439" s="49" t="n"/>
      <c r="C439" s="49" t="n"/>
      <c r="D439" s="49" t="n"/>
      <c r="E439" s="49" t="n"/>
      <c r="F439" s="49" t="n"/>
      <c r="G439" s="49" t="n"/>
      <c r="H439" s="49" t="n"/>
      <c r="I439" s="49" t="n"/>
      <c r="J439" s="49" t="n"/>
    </row>
    <row r="440">
      <c r="B440" s="49" t="n"/>
      <c r="C440" s="49" t="n"/>
      <c r="D440" s="49" t="n"/>
      <c r="E440" s="49" t="n"/>
      <c r="F440" s="49" t="n"/>
      <c r="G440" s="49" t="n"/>
      <c r="H440" s="49" t="n"/>
      <c r="I440" s="49" t="n"/>
      <c r="J440" s="49" t="n"/>
    </row>
    <row r="441">
      <c r="B441" s="49" t="n"/>
      <c r="C441" s="49" t="n"/>
      <c r="D441" s="49" t="n"/>
      <c r="E441" s="49" t="n"/>
      <c r="F441" s="49" t="n"/>
      <c r="G441" s="49" t="n"/>
      <c r="H441" s="49" t="n"/>
      <c r="I441" s="49" t="n"/>
      <c r="J441" s="49" t="n"/>
    </row>
    <row r="442">
      <c r="B442" s="49" t="n"/>
      <c r="C442" s="49" t="n"/>
      <c r="D442" s="49" t="n"/>
      <c r="E442" s="49" t="n"/>
      <c r="F442" s="49" t="n"/>
      <c r="G442" s="49" t="n"/>
      <c r="H442" s="49" t="n"/>
      <c r="I442" s="49" t="n"/>
      <c r="J442" s="49" t="n"/>
    </row>
    <row r="443">
      <c r="B443" s="49" t="n"/>
      <c r="C443" s="49" t="n"/>
      <c r="D443" s="49" t="n"/>
      <c r="E443" s="49" t="n"/>
      <c r="F443" s="49" t="n"/>
      <c r="G443" s="49" t="n"/>
      <c r="H443" s="49" t="n"/>
      <c r="I443" s="49" t="n"/>
      <c r="J443" s="49" t="n"/>
    </row>
    <row r="444">
      <c r="B444" s="49" t="n"/>
      <c r="C444" s="49" t="n"/>
      <c r="D444" s="49" t="n"/>
      <c r="E444" s="49" t="n"/>
      <c r="F444" s="49" t="n"/>
      <c r="G444" s="49" t="n"/>
      <c r="H444" s="49" t="n"/>
      <c r="I444" s="49" t="n"/>
      <c r="J444" s="49" t="n"/>
    </row>
    <row r="445">
      <c r="B445" s="49" t="n"/>
      <c r="C445" s="49" t="n"/>
      <c r="D445" s="49" t="n"/>
      <c r="E445" s="49" t="n"/>
      <c r="F445" s="49" t="n"/>
      <c r="G445" s="49" t="n"/>
      <c r="H445" s="49" t="n"/>
      <c r="I445" s="49" t="n"/>
      <c r="J445" s="49" t="n"/>
    </row>
    <row r="446">
      <c r="B446" s="49" t="n"/>
      <c r="C446" s="49" t="n"/>
      <c r="D446" s="49" t="n"/>
      <c r="E446" s="49" t="n"/>
      <c r="F446" s="49" t="n"/>
      <c r="G446" s="49" t="n"/>
      <c r="H446" s="49" t="n"/>
      <c r="I446" s="49" t="n"/>
      <c r="J446" s="49" t="n"/>
    </row>
    <row r="447">
      <c r="B447" s="49" t="n"/>
      <c r="C447" s="49" t="n"/>
      <c r="D447" s="49" t="n"/>
      <c r="E447" s="49" t="n"/>
      <c r="F447" s="49" t="n"/>
      <c r="G447" s="49" t="n"/>
      <c r="H447" s="49" t="n"/>
      <c r="I447" s="49" t="n"/>
      <c r="J447" s="49" t="n"/>
    </row>
    <row r="448">
      <c r="B448" s="49" t="n"/>
      <c r="C448" s="49" t="n"/>
      <c r="D448" s="49" t="n"/>
      <c r="E448" s="49" t="n"/>
      <c r="F448" s="49" t="n"/>
      <c r="G448" s="49" t="n"/>
      <c r="H448" s="49" t="n"/>
      <c r="I448" s="49" t="n"/>
      <c r="J448" s="49" t="n"/>
    </row>
    <row r="449">
      <c r="B449" s="49" t="n"/>
      <c r="C449" s="49" t="n"/>
      <c r="D449" s="49" t="n"/>
      <c r="E449" s="49" t="n"/>
      <c r="F449" s="49" t="n"/>
      <c r="G449" s="49" t="n"/>
      <c r="H449" s="49" t="n"/>
      <c r="I449" s="49" t="n"/>
      <c r="J449" s="49" t="n"/>
    </row>
    <row r="450">
      <c r="B450" s="49" t="n"/>
      <c r="C450" s="49" t="n"/>
      <c r="D450" s="49" t="n"/>
      <c r="E450" s="49" t="n"/>
      <c r="F450" s="49" t="n"/>
      <c r="G450" s="49" t="n"/>
      <c r="H450" s="49" t="n"/>
      <c r="I450" s="49" t="n"/>
      <c r="J450" s="49" t="n"/>
    </row>
    <row r="451">
      <c r="B451" s="49" t="n"/>
      <c r="C451" s="49" t="n"/>
      <c r="D451" s="49" t="n"/>
      <c r="E451" s="49" t="n"/>
      <c r="F451" s="49" t="n"/>
      <c r="G451" s="49" t="n"/>
      <c r="H451" s="49" t="n"/>
      <c r="I451" s="49" t="n"/>
      <c r="J451" s="49" t="n"/>
    </row>
    <row r="452">
      <c r="B452" s="49" t="n"/>
      <c r="C452" s="49" t="n"/>
      <c r="D452" s="49" t="n"/>
      <c r="E452" s="49" t="n"/>
      <c r="F452" s="49" t="n"/>
      <c r="G452" s="49" t="n"/>
      <c r="H452" s="49" t="n"/>
      <c r="I452" s="49" t="n"/>
      <c r="J452" s="49" t="n"/>
    </row>
    <row r="453">
      <c r="B453" s="49" t="n"/>
      <c r="C453" s="49" t="n"/>
      <c r="D453" s="49" t="n"/>
      <c r="E453" s="49" t="n"/>
      <c r="F453" s="49" t="n"/>
      <c r="G453" s="49" t="n"/>
      <c r="H453" s="49" t="n"/>
      <c r="I453" s="49" t="n"/>
      <c r="J453" s="49" t="n"/>
    </row>
    <row r="454">
      <c r="B454" s="49" t="n"/>
      <c r="C454" s="49" t="n"/>
      <c r="D454" s="49" t="n"/>
      <c r="E454" s="49" t="n"/>
      <c r="F454" s="49" t="n"/>
      <c r="G454" s="49" t="n"/>
      <c r="H454" s="49" t="n"/>
      <c r="I454" s="49" t="n"/>
      <c r="J454" s="49" t="n"/>
    </row>
    <row r="455">
      <c r="B455" s="49" t="n"/>
      <c r="C455" s="49" t="n"/>
      <c r="D455" s="49" t="n"/>
      <c r="E455" s="49" t="n"/>
      <c r="F455" s="49" t="n"/>
      <c r="G455" s="49" t="n"/>
      <c r="H455" s="49" t="n"/>
      <c r="I455" s="49" t="n"/>
      <c r="J455" s="49" t="n"/>
    </row>
    <row r="456">
      <c r="B456" s="49" t="n"/>
      <c r="C456" s="49" t="n"/>
      <c r="D456" s="49" t="n"/>
      <c r="E456" s="49" t="n"/>
      <c r="F456" s="49" t="n"/>
      <c r="G456" s="49" t="n"/>
      <c r="H456" s="49" t="n"/>
      <c r="I456" s="49" t="n"/>
      <c r="J456" s="49" t="n"/>
    </row>
    <row r="457">
      <c r="B457" s="49" t="n"/>
      <c r="C457" s="49" t="n"/>
      <c r="D457" s="49" t="n"/>
      <c r="E457" s="49" t="n"/>
      <c r="F457" s="49" t="n"/>
      <c r="G457" s="49" t="n"/>
      <c r="H457" s="49" t="n"/>
      <c r="I457" s="49" t="n"/>
      <c r="J457" s="49" t="n"/>
    </row>
    <row r="458">
      <c r="B458" s="49" t="n"/>
      <c r="C458" s="49" t="n"/>
      <c r="D458" s="49" t="n"/>
      <c r="E458" s="49" t="n"/>
      <c r="F458" s="49" t="n"/>
      <c r="G458" s="49" t="n"/>
      <c r="H458" s="49" t="n"/>
      <c r="I458" s="49" t="n"/>
      <c r="J458" s="49" t="n"/>
    </row>
    <row r="459">
      <c r="B459" s="49" t="n"/>
      <c r="C459" s="49" t="n"/>
      <c r="D459" s="49" t="n"/>
      <c r="E459" s="49" t="n"/>
      <c r="F459" s="49" t="n"/>
      <c r="G459" s="49" t="n"/>
      <c r="H459" s="49" t="n"/>
      <c r="I459" s="49" t="n"/>
      <c r="J459" s="49" t="n"/>
    </row>
    <row r="460">
      <c r="B460" s="49" t="n"/>
      <c r="C460" s="49" t="n"/>
      <c r="D460" s="49" t="n"/>
      <c r="E460" s="49" t="n"/>
      <c r="F460" s="49" t="n"/>
      <c r="G460" s="49" t="n"/>
      <c r="H460" s="49" t="n"/>
      <c r="I460" s="49" t="n"/>
      <c r="J460" s="49" t="n"/>
    </row>
    <row r="461">
      <c r="B461" s="49" t="n"/>
      <c r="C461" s="49" t="n"/>
      <c r="D461" s="49" t="n"/>
      <c r="E461" s="49" t="n"/>
      <c r="F461" s="49" t="n"/>
      <c r="G461" s="49" t="n"/>
      <c r="H461" s="49" t="n"/>
      <c r="I461" s="49" t="n"/>
      <c r="J461" s="49" t="n"/>
    </row>
    <row r="462">
      <c r="B462" s="49" t="n"/>
      <c r="C462" s="49" t="n"/>
      <c r="D462" s="49" t="n"/>
      <c r="E462" s="49" t="n"/>
      <c r="F462" s="49" t="n"/>
      <c r="G462" s="49" t="n"/>
      <c r="H462" s="49" t="n"/>
      <c r="I462" s="49" t="n"/>
      <c r="J462" s="49" t="n"/>
    </row>
    <row r="463">
      <c r="B463" s="49" t="n"/>
      <c r="C463" s="49" t="n"/>
      <c r="D463" s="49" t="n"/>
      <c r="E463" s="49" t="n"/>
      <c r="F463" s="49" t="n"/>
      <c r="G463" s="49" t="n"/>
      <c r="H463" s="49" t="n"/>
      <c r="I463" s="49" t="n"/>
      <c r="J463" s="49" t="n"/>
    </row>
    <row r="464">
      <c r="B464" s="49" t="n"/>
      <c r="C464" s="49" t="n"/>
      <c r="D464" s="49" t="n"/>
      <c r="E464" s="49" t="n"/>
      <c r="F464" s="49" t="n"/>
      <c r="G464" s="49" t="n"/>
      <c r="H464" s="49" t="n"/>
      <c r="I464" s="49" t="n"/>
      <c r="J464" s="49" t="n"/>
    </row>
    <row r="465">
      <c r="B465" s="49" t="n"/>
      <c r="C465" s="49" t="n"/>
      <c r="D465" s="49" t="n"/>
      <c r="E465" s="49" t="n"/>
      <c r="F465" s="49" t="n"/>
      <c r="G465" s="49" t="n"/>
      <c r="H465" s="49" t="n"/>
      <c r="I465" s="49" t="n"/>
      <c r="J465" s="49" t="n"/>
    </row>
    <row r="466">
      <c r="B466" s="49" t="n"/>
      <c r="C466" s="49" t="n"/>
      <c r="D466" s="49" t="n"/>
      <c r="E466" s="49" t="n"/>
      <c r="F466" s="49" t="n"/>
      <c r="G466" s="49" t="n"/>
      <c r="H466" s="49" t="n"/>
      <c r="I466" s="49" t="n"/>
      <c r="J466" s="49" t="n"/>
    </row>
    <row r="467">
      <c r="B467" s="49" t="n"/>
      <c r="C467" s="49" t="n"/>
      <c r="D467" s="49" t="n"/>
      <c r="E467" s="49" t="n"/>
      <c r="F467" s="49" t="n"/>
      <c r="G467" s="49" t="n"/>
      <c r="H467" s="49" t="n"/>
      <c r="I467" s="49" t="n"/>
      <c r="J467" s="49" t="n"/>
    </row>
    <row r="468">
      <c r="B468" s="49" t="n"/>
      <c r="C468" s="49" t="n"/>
      <c r="D468" s="49" t="n"/>
      <c r="E468" s="49" t="n"/>
      <c r="F468" s="49" t="n"/>
      <c r="G468" s="49" t="n"/>
      <c r="H468" s="49" t="n"/>
      <c r="I468" s="49" t="n"/>
      <c r="J468" s="49" t="n"/>
    </row>
    <row r="469">
      <c r="B469" s="49" t="n"/>
      <c r="C469" s="49" t="n"/>
      <c r="D469" s="49" t="n"/>
      <c r="E469" s="49" t="n"/>
      <c r="F469" s="49" t="n"/>
      <c r="G469" s="49" t="n"/>
      <c r="H469" s="49" t="n"/>
      <c r="I469" s="49" t="n"/>
      <c r="J469" s="49" t="n"/>
    </row>
    <row r="470">
      <c r="B470" s="49" t="n"/>
      <c r="C470" s="49" t="n"/>
      <c r="D470" s="49" t="n"/>
      <c r="E470" s="49" t="n"/>
      <c r="F470" s="49" t="n"/>
      <c r="G470" s="49" t="n"/>
      <c r="H470" s="49" t="n"/>
      <c r="I470" s="49" t="n"/>
      <c r="J470" s="49" t="n"/>
    </row>
    <row r="471">
      <c r="B471" s="49" t="n"/>
      <c r="C471" s="49" t="n"/>
      <c r="D471" s="49" t="n"/>
      <c r="E471" s="49" t="n"/>
      <c r="F471" s="49" t="n"/>
      <c r="G471" s="49" t="n"/>
      <c r="H471" s="49" t="n"/>
      <c r="I471" s="49" t="n"/>
      <c r="J471" s="49" t="n"/>
    </row>
    <row r="472">
      <c r="B472" s="49" t="n"/>
      <c r="C472" s="49" t="n"/>
      <c r="D472" s="49" t="n"/>
      <c r="E472" s="49" t="n"/>
      <c r="F472" s="49" t="n"/>
      <c r="G472" s="49" t="n"/>
      <c r="H472" s="49" t="n"/>
      <c r="I472" s="49" t="n"/>
      <c r="J472" s="49" t="n"/>
    </row>
    <row r="473">
      <c r="B473" s="49" t="n"/>
      <c r="C473" s="49" t="n"/>
      <c r="D473" s="49" t="n"/>
      <c r="E473" s="49" t="n"/>
      <c r="F473" s="49" t="n"/>
      <c r="G473" s="49" t="n"/>
      <c r="H473" s="49" t="n"/>
      <c r="I473" s="49" t="n"/>
      <c r="J473" s="49" t="n"/>
    </row>
    <row r="474">
      <c r="B474" s="49" t="n"/>
      <c r="C474" s="49" t="n"/>
      <c r="D474" s="49" t="n"/>
      <c r="E474" s="49" t="n"/>
      <c r="F474" s="49" t="n"/>
      <c r="G474" s="49" t="n"/>
      <c r="H474" s="49" t="n"/>
      <c r="I474" s="49" t="n"/>
      <c r="J474" s="49" t="n"/>
    </row>
    <row r="475">
      <c r="B475" s="49" t="n"/>
      <c r="C475" s="49" t="n"/>
      <c r="D475" s="49" t="n"/>
      <c r="E475" s="49" t="n"/>
      <c r="F475" s="49" t="n"/>
      <c r="G475" s="49" t="n"/>
      <c r="H475" s="49" t="n"/>
      <c r="I475" s="49" t="n"/>
      <c r="J475" s="49" t="n"/>
    </row>
    <row r="476">
      <c r="B476" s="49" t="n"/>
      <c r="C476" s="49" t="n"/>
      <c r="D476" s="49" t="n"/>
      <c r="E476" s="49" t="n"/>
      <c r="F476" s="49" t="n"/>
      <c r="G476" s="49" t="n"/>
      <c r="H476" s="49" t="n"/>
      <c r="I476" s="49" t="n"/>
      <c r="J476" s="49" t="n"/>
    </row>
    <row r="477">
      <c r="B477" s="49" t="n"/>
      <c r="C477" s="49" t="n"/>
      <c r="D477" s="49" t="n"/>
      <c r="E477" s="49" t="n"/>
      <c r="F477" s="49" t="n"/>
      <c r="G477" s="49" t="n"/>
      <c r="H477" s="49" t="n"/>
      <c r="I477" s="49" t="n"/>
      <c r="J477" s="49" t="n"/>
    </row>
    <row r="478">
      <c r="B478" s="49" t="n"/>
      <c r="C478" s="49" t="n"/>
      <c r="D478" s="49" t="n"/>
      <c r="E478" s="49" t="n"/>
      <c r="F478" s="49" t="n"/>
      <c r="G478" s="49" t="n"/>
      <c r="H478" s="49" t="n"/>
      <c r="I478" s="49" t="n"/>
      <c r="J478" s="49" t="n"/>
    </row>
    <row r="479">
      <c r="B479" s="49" t="n"/>
      <c r="C479" s="49" t="n"/>
      <c r="D479" s="49" t="n"/>
      <c r="E479" s="49" t="n"/>
      <c r="F479" s="49" t="n"/>
      <c r="G479" s="49" t="n"/>
      <c r="H479" s="49" t="n"/>
      <c r="I479" s="49" t="n"/>
      <c r="J479" s="49" t="n"/>
    </row>
    <row r="480">
      <c r="B480" s="49" t="n"/>
      <c r="C480" s="49" t="n"/>
      <c r="D480" s="49" t="n"/>
      <c r="E480" s="49" t="n"/>
      <c r="F480" s="49" t="n"/>
      <c r="G480" s="49" t="n"/>
      <c r="H480" s="49" t="n"/>
      <c r="I480" s="49" t="n"/>
      <c r="J480" s="49" t="n"/>
    </row>
    <row r="481">
      <c r="B481" s="49" t="n"/>
      <c r="C481" s="49" t="n"/>
      <c r="D481" s="49" t="n"/>
      <c r="E481" s="49" t="n"/>
      <c r="F481" s="49" t="n"/>
      <c r="G481" s="49" t="n"/>
      <c r="H481" s="49" t="n"/>
      <c r="I481" s="49" t="n"/>
      <c r="J481" s="49" t="n"/>
    </row>
    <row r="482">
      <c r="B482" s="49" t="n"/>
      <c r="C482" s="49" t="n"/>
      <c r="D482" s="49" t="n"/>
      <c r="E482" s="49" t="n"/>
      <c r="F482" s="49" t="n"/>
      <c r="G482" s="49" t="n"/>
      <c r="H482" s="49" t="n"/>
      <c r="I482" s="49" t="n"/>
      <c r="J482" s="49" t="n"/>
    </row>
    <row r="483">
      <c r="B483" s="49" t="n"/>
      <c r="C483" s="49" t="n"/>
      <c r="D483" s="49" t="n"/>
      <c r="E483" s="49" t="n"/>
      <c r="F483" s="49" t="n"/>
      <c r="G483" s="49" t="n"/>
      <c r="H483" s="49" t="n"/>
      <c r="I483" s="49" t="n"/>
      <c r="J483" s="49" t="n"/>
    </row>
    <row r="484">
      <c r="B484" s="49" t="n"/>
      <c r="C484" s="49" t="n"/>
      <c r="D484" s="49" t="n"/>
      <c r="E484" s="49" t="n"/>
      <c r="F484" s="49" t="n"/>
      <c r="G484" s="49" t="n"/>
      <c r="H484" s="49" t="n"/>
      <c r="I484" s="49" t="n"/>
      <c r="J484" s="49" t="n"/>
    </row>
    <row r="485">
      <c r="B485" s="49" t="n"/>
      <c r="C485" s="49" t="n"/>
      <c r="D485" s="49" t="n"/>
      <c r="E485" s="49" t="n"/>
      <c r="F485" s="49" t="n"/>
      <c r="G485" s="49" t="n"/>
      <c r="H485" s="49" t="n"/>
      <c r="I485" s="49" t="n"/>
      <c r="J485" s="49" t="n"/>
    </row>
    <row r="486">
      <c r="B486" s="49" t="n"/>
      <c r="C486" s="49" t="n"/>
      <c r="D486" s="49" t="n"/>
      <c r="E486" s="49" t="n"/>
      <c r="F486" s="49" t="n"/>
      <c r="G486" s="49" t="n"/>
      <c r="H486" s="49" t="n"/>
      <c r="I486" s="49" t="n"/>
      <c r="J486" s="49" t="n"/>
    </row>
    <row r="487">
      <c r="B487" s="49" t="n"/>
      <c r="C487" s="49" t="n"/>
      <c r="D487" s="49" t="n"/>
      <c r="E487" s="49" t="n"/>
      <c r="F487" s="49" t="n"/>
      <c r="G487" s="49" t="n"/>
      <c r="H487" s="49" t="n"/>
      <c r="I487" s="49" t="n"/>
      <c r="J487" s="49" t="n"/>
    </row>
    <row r="488">
      <c r="B488" s="49" t="n"/>
      <c r="C488" s="49" t="n"/>
      <c r="D488" s="49" t="n"/>
      <c r="E488" s="49" t="n"/>
      <c r="F488" s="49" t="n"/>
      <c r="G488" s="49" t="n"/>
      <c r="H488" s="49" t="n"/>
      <c r="I488" s="49" t="n"/>
      <c r="J488" s="49" t="n"/>
    </row>
    <row r="489">
      <c r="B489" s="49" t="n"/>
      <c r="C489" s="49" t="n"/>
      <c r="D489" s="49" t="n"/>
      <c r="E489" s="49" t="n"/>
      <c r="F489" s="49" t="n"/>
      <c r="G489" s="49" t="n"/>
      <c r="H489" s="49" t="n"/>
      <c r="I489" s="49" t="n"/>
      <c r="J489" s="49" t="n"/>
    </row>
    <row r="490">
      <c r="B490" s="49" t="n"/>
      <c r="C490" s="49" t="n"/>
      <c r="D490" s="49" t="n"/>
      <c r="E490" s="49" t="n"/>
      <c r="F490" s="49" t="n"/>
      <c r="G490" s="49" t="n"/>
      <c r="H490" s="49" t="n"/>
      <c r="I490" s="49" t="n"/>
      <c r="J490" s="49" t="n"/>
    </row>
    <row r="491">
      <c r="B491" s="49" t="n"/>
      <c r="C491" s="49" t="n"/>
      <c r="D491" s="49" t="n"/>
      <c r="E491" s="49" t="n"/>
      <c r="F491" s="49" t="n"/>
      <c r="G491" s="49" t="n"/>
      <c r="H491" s="49" t="n"/>
      <c r="I491" s="49" t="n"/>
      <c r="J491" s="49" t="n"/>
    </row>
    <row r="492">
      <c r="B492" s="49" t="n"/>
      <c r="C492" s="49" t="n"/>
      <c r="D492" s="49" t="n"/>
      <c r="E492" s="49" t="n"/>
      <c r="F492" s="49" t="n"/>
      <c r="G492" s="49" t="n"/>
      <c r="H492" s="49" t="n"/>
      <c r="I492" s="49" t="n"/>
      <c r="J492" s="49" t="n"/>
    </row>
    <row r="493">
      <c r="B493" s="49" t="n"/>
      <c r="C493" s="49" t="n"/>
      <c r="D493" s="49" t="n"/>
      <c r="E493" s="49" t="n"/>
      <c r="F493" s="49" t="n"/>
      <c r="G493" s="49" t="n"/>
      <c r="H493" s="49" t="n"/>
      <c r="I493" s="49" t="n"/>
      <c r="J493" s="49" t="n"/>
    </row>
    <row r="494">
      <c r="B494" s="49" t="n"/>
      <c r="C494" s="49" t="n"/>
      <c r="D494" s="49" t="n"/>
      <c r="E494" s="49" t="n"/>
      <c r="F494" s="49" t="n"/>
      <c r="G494" s="49" t="n"/>
      <c r="H494" s="49" t="n"/>
      <c r="I494" s="49" t="n"/>
      <c r="J494" s="49" t="n"/>
    </row>
    <row r="495">
      <c r="B495" s="49" t="n"/>
      <c r="C495" s="49" t="n"/>
      <c r="D495" s="49" t="n"/>
      <c r="E495" s="49" t="n"/>
      <c r="F495" s="49" t="n"/>
      <c r="G495" s="49" t="n"/>
      <c r="H495" s="49" t="n"/>
      <c r="I495" s="49" t="n"/>
      <c r="J495" s="49" t="n"/>
    </row>
    <row r="496">
      <c r="B496" s="49" t="n"/>
      <c r="C496" s="49" t="n"/>
      <c r="D496" s="49" t="n"/>
      <c r="E496" s="49" t="n"/>
      <c r="F496" s="49" t="n"/>
      <c r="G496" s="49" t="n"/>
      <c r="H496" s="49" t="n"/>
      <c r="I496" s="49" t="n"/>
      <c r="J496" s="49" t="n"/>
    </row>
    <row r="497">
      <c r="B497" s="49" t="n"/>
      <c r="C497" s="49" t="n"/>
      <c r="D497" s="49" t="n"/>
      <c r="E497" s="49" t="n"/>
      <c r="F497" s="49" t="n"/>
      <c r="G497" s="49" t="n"/>
      <c r="H497" s="49" t="n"/>
      <c r="I497" s="49" t="n"/>
      <c r="J497" s="49" t="n"/>
    </row>
    <row r="498">
      <c r="B498" s="49" t="n"/>
      <c r="C498" s="49" t="n"/>
      <c r="D498" s="49" t="n"/>
      <c r="E498" s="49" t="n"/>
      <c r="F498" s="49" t="n"/>
      <c r="G498" s="49" t="n"/>
      <c r="H498" s="49" t="n"/>
      <c r="I498" s="49" t="n"/>
      <c r="J498" s="49" t="n"/>
    </row>
    <row r="499">
      <c r="B499" s="49" t="n"/>
      <c r="C499" s="49" t="n"/>
      <c r="D499" s="49" t="n"/>
      <c r="E499" s="49" t="n"/>
      <c r="F499" s="49" t="n"/>
      <c r="G499" s="49" t="n"/>
      <c r="H499" s="49" t="n"/>
      <c r="I499" s="49" t="n"/>
      <c r="J499" s="49" t="n"/>
    </row>
    <row r="500">
      <c r="B500" s="49" t="n"/>
      <c r="C500" s="49" t="n"/>
      <c r="D500" s="49" t="n"/>
      <c r="E500" s="49" t="n"/>
      <c r="F500" s="49" t="n"/>
      <c r="G500" s="49" t="n"/>
      <c r="H500" s="49" t="n"/>
      <c r="I500" s="49" t="n"/>
      <c r="J500" s="49" t="n"/>
    </row>
    <row r="501">
      <c r="B501" s="49" t="n"/>
      <c r="C501" s="49" t="n"/>
      <c r="D501" s="49" t="n"/>
      <c r="E501" s="49" t="n"/>
      <c r="F501" s="49" t="n"/>
      <c r="G501" s="49" t="n"/>
      <c r="H501" s="49" t="n"/>
      <c r="I501" s="49" t="n"/>
      <c r="J501" s="49" t="n"/>
    </row>
    <row r="502">
      <c r="B502" s="49" t="n"/>
      <c r="C502" s="49" t="n"/>
      <c r="D502" s="49" t="n"/>
      <c r="E502" s="49" t="n"/>
      <c r="F502" s="49" t="n"/>
      <c r="G502" s="49" t="n"/>
      <c r="H502" s="49" t="n"/>
      <c r="I502" s="49" t="n"/>
      <c r="J502" s="49" t="n"/>
    </row>
    <row r="503">
      <c r="B503" s="49" t="n"/>
      <c r="C503" s="49" t="n"/>
      <c r="D503" s="49" t="n"/>
      <c r="E503" s="49" t="n"/>
      <c r="F503" s="49" t="n"/>
      <c r="G503" s="49" t="n"/>
      <c r="H503" s="49" t="n"/>
      <c r="I503" s="49" t="n"/>
      <c r="J503" s="49" t="n"/>
    </row>
    <row r="504">
      <c r="B504" s="49" t="n"/>
      <c r="C504" s="49" t="n"/>
      <c r="D504" s="49" t="n"/>
      <c r="E504" s="49" t="n"/>
      <c r="F504" s="49" t="n"/>
      <c r="G504" s="49" t="n"/>
      <c r="H504" s="49" t="n"/>
      <c r="I504" s="49" t="n"/>
      <c r="J504" s="49" t="n"/>
    </row>
    <row r="505">
      <c r="B505" s="49" t="n"/>
      <c r="C505" s="49" t="n"/>
      <c r="D505" s="49" t="n"/>
      <c r="E505" s="49" t="n"/>
      <c r="F505" s="49" t="n"/>
      <c r="G505" s="49" t="n"/>
      <c r="H505" s="49" t="n"/>
      <c r="I505" s="49" t="n"/>
      <c r="J505" s="49" t="n"/>
    </row>
    <row r="506">
      <c r="B506" s="49" t="n"/>
      <c r="C506" s="49" t="n"/>
      <c r="D506" s="49" t="n"/>
      <c r="E506" s="49" t="n"/>
      <c r="F506" s="49" t="n"/>
      <c r="G506" s="49" t="n"/>
      <c r="H506" s="49" t="n"/>
      <c r="I506" s="49" t="n"/>
      <c r="J506" s="49" t="n"/>
    </row>
    <row r="507">
      <c r="B507" s="49" t="n"/>
      <c r="C507" s="49" t="n"/>
      <c r="D507" s="49" t="n"/>
      <c r="E507" s="49" t="n"/>
      <c r="F507" s="49" t="n"/>
      <c r="G507" s="49" t="n"/>
      <c r="H507" s="49" t="n"/>
      <c r="I507" s="49" t="n"/>
      <c r="J507" s="49" t="n"/>
    </row>
    <row r="508">
      <c r="B508" s="49" t="n"/>
      <c r="C508" s="49" t="n"/>
      <c r="D508" s="49" t="n"/>
      <c r="E508" s="49" t="n"/>
      <c r="F508" s="49" t="n"/>
      <c r="G508" s="49" t="n"/>
      <c r="H508" s="49" t="n"/>
      <c r="I508" s="49" t="n"/>
      <c r="J508" s="49" t="n"/>
    </row>
    <row r="509">
      <c r="B509" s="49" t="n"/>
      <c r="C509" s="49" t="n"/>
      <c r="D509" s="49" t="n"/>
      <c r="E509" s="49" t="n"/>
      <c r="F509" s="49" t="n"/>
      <c r="G509" s="49" t="n"/>
      <c r="H509" s="49" t="n"/>
      <c r="I509" s="49" t="n"/>
      <c r="J509" s="49" t="n"/>
    </row>
    <row r="510">
      <c r="B510" s="49" t="n"/>
      <c r="C510" s="49" t="n"/>
      <c r="D510" s="49" t="n"/>
      <c r="E510" s="49" t="n"/>
      <c r="F510" s="49" t="n"/>
      <c r="G510" s="49" t="n"/>
      <c r="H510" s="49" t="n"/>
      <c r="I510" s="49" t="n"/>
      <c r="J510" s="49" t="n"/>
    </row>
    <row r="511">
      <c r="B511" s="49" t="n"/>
      <c r="C511" s="49" t="n"/>
      <c r="D511" s="49" t="n"/>
      <c r="E511" s="49" t="n"/>
      <c r="F511" s="49" t="n"/>
      <c r="G511" s="49" t="n"/>
      <c r="H511" s="49" t="n"/>
      <c r="I511" s="49" t="n"/>
      <c r="J511" s="49" t="n"/>
    </row>
    <row r="512">
      <c r="B512" s="49" t="n"/>
      <c r="C512" s="49" t="n"/>
      <c r="D512" s="49" t="n"/>
      <c r="E512" s="49" t="n"/>
      <c r="F512" s="49" t="n"/>
      <c r="G512" s="49" t="n"/>
      <c r="H512" s="49" t="n"/>
      <c r="I512" s="49" t="n"/>
      <c r="J512" s="49" t="n"/>
    </row>
    <row r="513">
      <c r="B513" s="49" t="n"/>
      <c r="C513" s="49" t="n"/>
      <c r="D513" s="49" t="n"/>
      <c r="E513" s="49" t="n"/>
      <c r="F513" s="49" t="n"/>
      <c r="G513" s="49" t="n"/>
      <c r="H513" s="49" t="n"/>
      <c r="I513" s="49" t="n"/>
      <c r="J513" s="49" t="n"/>
    </row>
    <row r="514">
      <c r="B514" s="49" t="n"/>
      <c r="C514" s="49" t="n"/>
      <c r="D514" s="49" t="n"/>
      <c r="E514" s="49" t="n"/>
      <c r="F514" s="49" t="n"/>
      <c r="G514" s="49" t="n"/>
      <c r="H514" s="49" t="n"/>
      <c r="I514" s="49" t="n"/>
      <c r="J514" s="49" t="n"/>
    </row>
    <row r="515">
      <c r="B515" s="49" t="n"/>
      <c r="C515" s="49" t="n"/>
      <c r="D515" s="49" t="n"/>
      <c r="E515" s="49" t="n"/>
      <c r="F515" s="49" t="n"/>
      <c r="G515" s="49" t="n"/>
      <c r="H515" s="49" t="n"/>
      <c r="I515" s="49" t="n"/>
      <c r="J515" s="49" t="n"/>
    </row>
    <row r="516">
      <c r="B516" s="49" t="n"/>
      <c r="C516" s="49" t="n"/>
      <c r="D516" s="49" t="n"/>
      <c r="E516" s="49" t="n"/>
      <c r="F516" s="49" t="n"/>
      <c r="G516" s="49" t="n"/>
      <c r="H516" s="49" t="n"/>
      <c r="I516" s="49" t="n"/>
      <c r="J516" s="49" t="n"/>
    </row>
    <row r="517">
      <c r="B517" s="49" t="n"/>
      <c r="C517" s="49" t="n"/>
      <c r="D517" s="49" t="n"/>
      <c r="E517" s="49" t="n"/>
      <c r="F517" s="49" t="n"/>
      <c r="G517" s="49" t="n"/>
      <c r="H517" s="49" t="n"/>
      <c r="I517" s="49" t="n"/>
      <c r="J517" s="49" t="n"/>
    </row>
  </sheetData>
  <mergeCells count="8">
    <mergeCell ref="B7:J7"/>
    <mergeCell ref="B3:J3"/>
    <mergeCell ref="B5:J5"/>
    <mergeCell ref="F8:J8"/>
    <mergeCell ref="B10:C10"/>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G17:G517">
    <cfRule type="expression" priority="7" dxfId="6">
      <formula>AND(LEN($B17&amp;$C17&amp;$D17&amp;$E17&amp;$F17&amp;$G17&amp;$H17&amp;$I17&amp;$J17)&gt;0,G17="")</formula>
    </cfRule>
  </conditionalFormatting>
  <conditionalFormatting sqref="H17:H517">
    <cfRule type="expression" priority="8" dxfId="6">
      <formula>AND(LEN($B17&amp;$C17&amp;$D17&amp;$E17&amp;$F17&amp;$G17&amp;$H17&amp;$I17&amp;$J17)&gt;0,H17="")</formula>
    </cfRule>
  </conditionalFormatting>
  <conditionalFormatting sqref="I17:I517">
    <cfRule type="expression" priority="9" dxfId="6">
      <formula>AND(LEN($B17&amp;$C17&amp;$D17&amp;$E17&amp;$F17&amp;$G17&amp;$H17&amp;$I17&amp;$J17)&gt;0,I17="")</formula>
    </cfRule>
  </conditionalFormatting>
  <conditionalFormatting sqref="J17:J517">
    <cfRule type="expression" priority="10"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isk code" error="The code is not in PM-01, column Risk code. Enter it there first, or keep it if it is a code BIBS already holds." promptTitle="Risk code" prompt="Yes. Risk code of the packaged product Allowed: Code of an existing product" type="list" errorStyle="warning">
      <formula1>=CODES_PM_01_RISK_CODE</formula1>
    </dataValidation>
    <dataValidation sqref="C17:C517" showDropDown="0" showInputMessage="1" showErrorMessage="0" allowBlank="1" promptTitle="Package name / Scope / Client co" prompt="Yes. Name; Generic or Client-specific; client code"/>
    <dataValidation sqref="D17:D517" showDropDown="0" showInputMessage="1" showErrorMessage="0" allowBlank="1" promptTitle="Effective from / Package start /" prompt="Yes. Effective from; package start; package end; anniversary"/>
    <dataValidation sqref="E17:E517" showDropDown="0" showInputMessage="1" showErrorMessage="0" allowBlank="1" promptTitle="Package rate % / Minimum premium" prompt="Yes. Rate %; minimum premium; commission %; TSI limit"/>
    <dataValidation sqref="F17:F517" showDropDown="0" showInputMessage="1" showErrorMessage="0" allowBlank="1" promptTitle="Computation basis" prompt="Yes. How the premium is computed"/>
    <dataValidation sqref="G17:G517" showDropDown="0" showInputMessage="1" showErrorMessage="0" allowBlank="1" promptTitle="Coverage code / Included / Optio" prompt="Yes. Coverage; included Y/N; optional Y/N; limit; deductible Allowed: Codes of PM-02 Coverages, perils and field rules, column Code or field key (one or more)"/>
    <dataValidation sqref="H17:H517" showDropDown="0" showInputMessage="1" showErrorMessage="0" allowBlank="1" promptTitle="Insurer code / Role / Share % / " prompt="Yes. Insurer; Panel, Lead or Participant; share %; rate %; minimum premium Allowed: Codes of R04 Insurers, column insurer_code (one or more)"/>
    <dataValidation sqref="I17:I517" showDropDown="0" showInputMessage="1" showErrorMessage="0" allowBlank="1" promptTitle="Insurer terms: insurer / coverag" prompt="Yes. Insurer; coverage; limit; deductible; clauses separated by commas Allowed: Codes of PM-03 Clause library, column Clause code (one or more)"/>
    <dataValidation sqref="J17:J517" showDropDown="0" showInputMessage="1" showErrorMessage="0" allowBlank="1" promptTitle="ManCom sign-off reference / Sign" prompt="Yes. ManCom sign-off reference"/>
  </dataValidations>
  <hyperlinks>
    <hyperlink ref="A2" location="'Start here'!A1"/>
    <hyperlink ref="J2" location="'Questions and comments'!A1"/>
    <hyperlink ref="B8" location="'PM-01 Product catalogue'!A1"/>
    <hyperlink ref="D8" location="'PM-02 Coverages and rules'!A1"/>
    <hyperlink ref="E8" location="'R04 Insurers'!A1"/>
    <hyperlink ref="F8" location="'PM-03 Clause library'!A1"/>
    <hyperlink ref="B14" location="'PM-01 Product catalogue'!H16"/>
    <hyperlink ref="G14" location="'PM-02 Coverages and rules'!D16"/>
    <hyperlink ref="H14" location="'R04 Insurers'!B19"/>
    <hyperlink ref="I14" location="'PM-03 Clause library'!B16"/>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2.xml><?xml version="1.0" encoding="utf-8"?>
<worksheet xmlns="http://schemas.openxmlformats.org/spreadsheetml/2006/main">
  <sheetPr>
    <tabColor rgb="00004EA8"/>
    <outlinePr summaryBelow="0" summaryRight="1"/>
    <pageSetUpPr fitToPage="1"/>
  </sheetPr>
  <dimension ref="A1:I218"/>
  <sheetViews>
    <sheetView showGridLines="0" tabSelected="0" zoomScale="90" workbookViewId="0">
      <pane xSplit="2" ySplit="17" topLeftCell="C18"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7" customWidth="1" min="3" max="3"/>
    <col width="26" customWidth="1" min="4" max="4"/>
    <col width="14" customWidth="1" min="5" max="5"/>
    <col width="26.81818181818182" customWidth="1" min="6" max="6"/>
    <col width="12" customWidth="1" min="7" max="7"/>
    <col width="25" customWidth="1" min="8" max="8"/>
    <col width="32" customWidth="1" min="9" max="9"/>
  </cols>
  <sheetData>
    <row r="1" ht="26" customHeight="1">
      <c r="A1" s="25" t="inlineStr">
        <is>
          <t>R06 Package code map (legacy package to BIBS package version)</t>
        </is>
      </c>
      <c r="I1" s="26" t="inlineStr">
        <is>
          <t>Step 49 of 52</t>
        </is>
      </c>
    </row>
    <row r="2">
      <c r="A2" s="27" t="inlineStr">
        <is>
          <t>← Back to Start here</t>
        </is>
      </c>
      <c r="B2" s="28" t="inlineStr">
        <is>
          <t>Step 49 of 52. Fill in one row per record below the column headers; the guide above each column says what to enter.</t>
        </is>
      </c>
      <c r="I2" s="29" t="inlineStr">
        <is>
          <t>Ask a question →</t>
        </is>
      </c>
    </row>
    <row r="3" outlineLevel="1" ht="28" customHeight="1">
      <c r="A3" s="30" t="inlineStr">
        <is>
          <t>Purpose</t>
        </is>
      </c>
      <c r="B3" s="31" t="inlineStr">
        <is>
          <t>One row per record of Package code map (legacy package and version to BIBS package version) as extracted from QPS (legacy packages); TSU (BIBS package versions). Key legacy_package_code, legacy_package_version, qualifier, qualifier_value. Sent as the file R06_template.csv (CSV, header row as below) with its control file (row count, count of distinct keys).</t>
        </is>
      </c>
    </row>
    <row r="4" outlineLevel="1" ht="15.5" customHeight="1">
      <c r="A4" s="30" t="inlineStr">
        <is>
          <t>Provided by</t>
        </is>
      </c>
      <c r="B4" s="31" t="inlineStr">
        <is>
          <t>TSU (to name); approved by Product Owner, MBS (approves); TSU (prepares); extracted by BDOI IT</t>
        </is>
      </c>
    </row>
    <row r="5" outlineLevel="1" ht="15.5" customHeight="1">
      <c r="A5" s="30" t="inlineStr">
        <is>
          <t>Due</t>
        </is>
      </c>
      <c r="B5" s="32" t="inlineStr">
        <is>
          <t>M5 (18 Jun 2027); final at T-7</t>
        </is>
      </c>
    </row>
    <row r="6" outlineLevel="1" ht="28" customHeight="1">
      <c r="A6" s="30" t="inlineStr">
        <is>
          <t>How it is loaded</t>
        </is>
      </c>
      <c r="B6" s="31" t="inlineStr">
        <is>
          <t>Migration Console: the file R06_template.csv (the header row as below) and its control file are received on Data Migration › Data Migration › Extracts and loaded by a batch of object R06; lands in: Renewal package map, used by the package check of the Renewal sanitation</t>
        </is>
      </c>
    </row>
    <row r="7" outlineLevel="1" ht="15.5" customHeight="1">
      <c r="A7" s="30" t="inlineStr">
        <is>
          <t>Source</t>
        </is>
      </c>
      <c r="B7" s="31" t="inlineStr">
        <is>
          <t>QPS (legacy packages); TSU (BIBS package versions)</t>
        </is>
      </c>
    </row>
    <row r="8" outlineLevel="1" ht="26" customHeight="1">
      <c r="A8" s="30" t="inlineStr">
        <is>
          <t>Depends on</t>
        </is>
      </c>
      <c r="B8" s="53" t="inlineStr">
        <is>
          <t>R05 Product lines, cover types, products and risk codes →</t>
        </is>
      </c>
      <c r="C8" s="53" t="inlineStr">
        <is>
          <t>PM-06 Packages in force at go-live →</t>
        </is>
      </c>
    </row>
    <row r="9" ht="26" customHeight="1">
      <c r="A9" s="34" t="inlineStr">
        <is>
          <t>Progress</t>
        </is>
      </c>
      <c r="B9" s="35" t="inlineStr">
        <is>
          <t>Rows entered</t>
        </is>
      </c>
      <c r="C9" s="36">
        <f>SUMPRODUCT(((ROW($B$18:$B$218)&gt;18)+($B$18&lt;&gt;"PKG-MC-PRIV")&gt;0)*(LEN($B$18:$B$218&amp;$C$18:$C$218&amp;$D$18:$D$218&amp;$E$18:$E$218&amp;$F$18:$F$218&amp;$G$18:$G$218&amp;$H$18:$H$218&amp;$I$18:$I$218)&gt;0))</f>
        <v/>
      </c>
      <c r="D9" s="35" t="inlineStr">
        <is>
          <t>Mandatory cells missing</t>
        </is>
      </c>
      <c r="E9" s="36">
        <f>SUMPRODUCT(((ROW($B$18:$B$218)&gt;18)+($B$18&lt;&gt;"PKG-MC-PRIV")&gt;0)*(LEN($B$18:$B$218&amp;$C$18:$C$218&amp;$D$18:$D$218&amp;$E$18:$E$218&amp;$F$18:$F$218&amp;$G$18:$G$218&amp;$H$18:$H$218&amp;$I$18:$I$218)&gt;0)*(($B$18:$B$218="")+($C$18:$C$218="")+($D$18:$D$218="")+($G$18:$G$218="")))</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43" customHeight="1">
      <c r="A12" s="41" t="inlineStr">
        <is>
          <t>Check when loaded</t>
        </is>
      </c>
      <c r="B12" s="43" t="inlineStr">
        <is>
          <t>Exists in the legacy package list</t>
        </is>
      </c>
      <c r="C12" s="43" t="inlineStr">
        <is>
          <t>0 or more</t>
        </is>
      </c>
      <c r="D12" s="43" t="inlineStr">
        <is>
          <t>Not blank</t>
        </is>
      </c>
      <c r="E12" s="43" t="inlineStr">
        <is>
          <t>In the list; one qualifier per entry</t>
        </is>
      </c>
      <c r="F12" s="43" t="inlineStr">
        <is>
          <t>Mandatory with a qualifier; bands of one legacy package do not overlap</t>
        </is>
      </c>
      <c r="G12" s="43" t="inlineStr">
        <is>
          <t>In the list</t>
        </is>
      </c>
      <c r="H12" s="43" t="inlineStr">
        <is>
          <t>Mandatory for MAP; active in Product Maintenance</t>
        </is>
      </c>
      <c r="I12" s="43" t="inlineStr">
        <is>
          <t>-</t>
        </is>
      </c>
    </row>
    <row r="13" ht="43" customHeight="1">
      <c r="A13" s="41" t="inlineStr">
        <is>
          <t>Mandatory</t>
        </is>
      </c>
      <c r="B13" s="42" t="inlineStr">
        <is>
          <t>Yes</t>
        </is>
      </c>
      <c r="C13" s="42" t="inlineStr">
        <is>
          <t>Yes</t>
        </is>
      </c>
      <c r="D13" s="42" t="inlineStr">
        <is>
          <t>Yes</t>
        </is>
      </c>
      <c r="E13" s="43" t="inlineStr">
        <is>
          <t>No</t>
        </is>
      </c>
      <c r="F13" s="43" t="inlineStr">
        <is>
          <t>Conditional: Mandatory with a qualifier; bands of one legacy package do not overlap</t>
        </is>
      </c>
      <c r="G13" s="42" t="inlineStr">
        <is>
          <t>Yes</t>
        </is>
      </c>
      <c r="H13" s="43" t="inlineStr">
        <is>
          <t>Conditional: Mandatory for MAP; active in Product Maintenance</t>
        </is>
      </c>
      <c r="I13" s="43" t="inlineStr">
        <is>
          <t>No</t>
        </is>
      </c>
    </row>
    <row r="14" ht="30" customHeight="1">
      <c r="A14" s="41" t="inlineStr">
        <is>
          <t>Format</t>
        </is>
      </c>
      <c r="B14" s="43" t="inlineStr">
        <is>
          <t>Code, up to 20; As stored in legacy</t>
        </is>
      </c>
      <c r="C14" s="43" t="inlineStr">
        <is>
          <t>Integer, up to 4; Digits</t>
        </is>
      </c>
      <c r="D14" s="43" t="inlineStr">
        <is>
          <t>Text, up to 200; Free text</t>
        </is>
      </c>
      <c r="E14" s="43" t="inlineStr">
        <is>
          <t>Code, up to 20; Upper case</t>
        </is>
      </c>
      <c r="F14" s="43" t="inlineStr">
        <is>
          <t>Text, up to 60; Code, or from-to amounts with a dot decimal</t>
        </is>
      </c>
      <c r="G14" s="43" t="inlineStr">
        <is>
          <t>Code, up to 6; Upper case</t>
        </is>
      </c>
      <c r="H14" s="43" t="inlineStr">
        <is>
          <t>Code, up to 40; As in BIBS</t>
        </is>
      </c>
      <c r="I14" s="43" t="inlineStr">
        <is>
          <t>Text, up to 250; Free text</t>
        </is>
      </c>
    </row>
    <row r="15" ht="56" customHeight="1">
      <c r="A15" s="41" t="inlineStr">
        <is>
          <t>Allowed values</t>
        </is>
      </c>
      <c r="B15" s="43" t="inlineStr">
        <is>
          <t>Free entry, up to 20 characters</t>
        </is>
      </c>
      <c r="C15" s="43" t="inlineStr">
        <is>
          <t>A whole number</t>
        </is>
      </c>
      <c r="D15" s="43" t="inlineStr">
        <is>
          <t>Free entry, up to 200 characters</t>
        </is>
      </c>
      <c r="E15" s="51" t="inlineStr">
        <is>
          <t>RISK_CODE, INSURER, SI_BAND (list R06 qualifier)</t>
        </is>
      </c>
      <c r="F15" s="43" t="inlineStr">
        <is>
          <t>Free entry, up to 60 characters</t>
        </is>
      </c>
      <c r="G15" s="51" t="inlineStr">
        <is>
          <t>MAP, REJECT (list R06 action)</t>
        </is>
      </c>
      <c r="H15" s="43" t="inlineStr">
        <is>
          <t>Active package versions in Product Maintenance</t>
        </is>
      </c>
      <c r="I15" s="43" t="inlineStr">
        <is>
          <t>Free entry, up to 250 characters</t>
        </is>
      </c>
    </row>
    <row r="16" ht="69" customHeight="1">
      <c r="A16" s="41" t="inlineStr">
        <is>
          <t>What to enter</t>
        </is>
      </c>
      <c r="B16" s="43" t="inlineStr">
        <is>
          <t>Legacy package code</t>
        </is>
      </c>
      <c r="C16" s="43" t="inlineStr">
        <is>
          <t>Version of the legacy package</t>
        </is>
      </c>
      <c r="D16" s="43" t="inlineStr">
        <is>
          <t>Package name in legacy</t>
        </is>
      </c>
      <c r="E16" s="43" t="inlineStr">
        <is>
          <t>Attribute that splits one legacy package into several BIBS packages</t>
        </is>
      </c>
      <c r="F16" s="43" t="inlineStr">
        <is>
          <t>Value of the qualifier (risk code, insurer code, or sum-insured band as from-to)</t>
        </is>
      </c>
      <c r="G16" s="43" t="inlineStr">
        <is>
          <t>MAP to a BIBS package version, or REJECT (no BIBS package)</t>
        </is>
      </c>
      <c r="H16" s="43" t="inlineStr">
        <is>
          <t>BIBS package version maintained by TSU</t>
        </is>
      </c>
      <c r="I16" s="43" t="inlineStr">
        <is>
          <t>Why the entry maps as it does</t>
        </is>
      </c>
    </row>
    <row r="17" ht="30" customHeight="1">
      <c r="A17" s="44" t="inlineStr">
        <is>
          <t>Row</t>
        </is>
      </c>
      <c r="B17" s="45" t="inlineStr">
        <is>
          <t>legacy_package_code *</t>
        </is>
      </c>
      <c r="C17" s="45" t="inlineStr">
        <is>
          <t>legacy_package_version *</t>
        </is>
      </c>
      <c r="D17" s="45" t="inlineStr">
        <is>
          <t>legacy_package_name *</t>
        </is>
      </c>
      <c r="E17" s="45" t="inlineStr">
        <is>
          <t>qualifier</t>
        </is>
      </c>
      <c r="F17" s="45" t="inlineStr">
        <is>
          <t>qualifier_value</t>
        </is>
      </c>
      <c r="G17" s="45" t="inlineStr">
        <is>
          <t>action *</t>
        </is>
      </c>
      <c r="H17" s="45" t="inlineStr">
        <is>
          <t>bibs_package_version</t>
        </is>
      </c>
      <c r="I17" s="45" t="inlineStr">
        <is>
          <t>remarks</t>
        </is>
      </c>
    </row>
    <row r="18" ht="18" customHeight="1">
      <c r="A18" s="46" t="inlineStr">
        <is>
          <t>Example – overwrite or delete</t>
        </is>
      </c>
      <c r="B18" s="47" t="inlineStr">
        <is>
          <t>PKG-MC-PRIV</t>
        </is>
      </c>
      <c r="C18" s="52" t="n">
        <v>3</v>
      </c>
      <c r="D18" s="47" t="inlineStr">
        <is>
          <t>Private Car Package 2027</t>
        </is>
      </c>
      <c r="E18" s="47" t="inlineStr">
        <is>
          <t>SI_BAND</t>
        </is>
      </c>
      <c r="F18" s="47" t="inlineStr">
        <is>
          <t>0.00-2000000.00</t>
        </is>
      </c>
      <c r="G18" s="47" t="inlineStr">
        <is>
          <t>MAP</t>
        </is>
      </c>
      <c r="H18" s="47" t="inlineStr">
        <is>
          <t>MC-PRIVATE-STD v1</t>
        </is>
      </c>
      <c r="I18" s="47" t="inlineStr">
        <is>
          <t>Sum insured up to 2,000,000.00</t>
        </is>
      </c>
    </row>
    <row r="19">
      <c r="B19" s="49" t="n"/>
      <c r="D19" s="49" t="n"/>
      <c r="E19" s="49" t="n"/>
      <c r="F19" s="49" t="n"/>
      <c r="G19" s="49" t="n"/>
      <c r="H19" s="49" t="n"/>
      <c r="I19" s="49" t="n"/>
    </row>
    <row r="20">
      <c r="B20" s="49" t="n"/>
      <c r="D20" s="49" t="n"/>
      <c r="E20" s="49" t="n"/>
      <c r="F20" s="49" t="n"/>
      <c r="G20" s="49" t="n"/>
      <c r="H20" s="49" t="n"/>
      <c r="I20" s="49" t="n"/>
    </row>
    <row r="21">
      <c r="B21" s="49" t="n"/>
      <c r="D21" s="49" t="n"/>
      <c r="E21" s="49" t="n"/>
      <c r="F21" s="49" t="n"/>
      <c r="G21" s="49" t="n"/>
      <c r="H21" s="49" t="n"/>
      <c r="I21" s="49" t="n"/>
    </row>
    <row r="22">
      <c r="B22" s="49" t="n"/>
      <c r="D22" s="49" t="n"/>
      <c r="E22" s="49" t="n"/>
      <c r="F22" s="49" t="n"/>
      <c r="G22" s="49" t="n"/>
      <c r="H22" s="49" t="n"/>
      <c r="I22" s="49" t="n"/>
    </row>
    <row r="23">
      <c r="B23" s="49" t="n"/>
      <c r="D23" s="49" t="n"/>
      <c r="E23" s="49" t="n"/>
      <c r="F23" s="49" t="n"/>
      <c r="G23" s="49" t="n"/>
      <c r="H23" s="49" t="n"/>
      <c r="I23" s="49" t="n"/>
    </row>
    <row r="24">
      <c r="B24" s="49" t="n"/>
      <c r="D24" s="49" t="n"/>
      <c r="E24" s="49" t="n"/>
      <c r="F24" s="49" t="n"/>
      <c r="G24" s="49" t="n"/>
      <c r="H24" s="49" t="n"/>
      <c r="I24" s="49" t="n"/>
    </row>
    <row r="25">
      <c r="B25" s="49" t="n"/>
      <c r="D25" s="49" t="n"/>
      <c r="E25" s="49" t="n"/>
      <c r="F25" s="49" t="n"/>
      <c r="G25" s="49" t="n"/>
      <c r="H25" s="49" t="n"/>
      <c r="I25" s="49" t="n"/>
    </row>
    <row r="26">
      <c r="B26" s="49" t="n"/>
      <c r="D26" s="49" t="n"/>
      <c r="E26" s="49" t="n"/>
      <c r="F26" s="49" t="n"/>
      <c r="G26" s="49" t="n"/>
      <c r="H26" s="49" t="n"/>
      <c r="I26" s="49" t="n"/>
    </row>
    <row r="27">
      <c r="B27" s="49" t="n"/>
      <c r="D27" s="49" t="n"/>
      <c r="E27" s="49" t="n"/>
      <c r="F27" s="49" t="n"/>
      <c r="G27" s="49" t="n"/>
      <c r="H27" s="49" t="n"/>
      <c r="I27" s="49" t="n"/>
    </row>
    <row r="28">
      <c r="B28" s="49" t="n"/>
      <c r="D28" s="49" t="n"/>
      <c r="E28" s="49" t="n"/>
      <c r="F28" s="49" t="n"/>
      <c r="G28" s="49" t="n"/>
      <c r="H28" s="49" t="n"/>
      <c r="I28" s="49" t="n"/>
    </row>
    <row r="29">
      <c r="B29" s="49" t="n"/>
      <c r="D29" s="49" t="n"/>
      <c r="E29" s="49" t="n"/>
      <c r="F29" s="49" t="n"/>
      <c r="G29" s="49" t="n"/>
      <c r="H29" s="49" t="n"/>
      <c r="I29" s="49" t="n"/>
    </row>
    <row r="30">
      <c r="B30" s="49" t="n"/>
      <c r="D30" s="49" t="n"/>
      <c r="E30" s="49" t="n"/>
      <c r="F30" s="49" t="n"/>
      <c r="G30" s="49" t="n"/>
      <c r="H30" s="49" t="n"/>
      <c r="I30" s="49" t="n"/>
    </row>
    <row r="31">
      <c r="B31" s="49" t="n"/>
      <c r="D31" s="49" t="n"/>
      <c r="E31" s="49" t="n"/>
      <c r="F31" s="49" t="n"/>
      <c r="G31" s="49" t="n"/>
      <c r="H31" s="49" t="n"/>
      <c r="I31" s="49" t="n"/>
    </row>
    <row r="32">
      <c r="B32" s="49" t="n"/>
      <c r="D32" s="49" t="n"/>
      <c r="E32" s="49" t="n"/>
      <c r="F32" s="49" t="n"/>
      <c r="G32" s="49" t="n"/>
      <c r="H32" s="49" t="n"/>
      <c r="I32" s="49" t="n"/>
    </row>
    <row r="33">
      <c r="B33" s="49" t="n"/>
      <c r="D33" s="49" t="n"/>
      <c r="E33" s="49" t="n"/>
      <c r="F33" s="49" t="n"/>
      <c r="G33" s="49" t="n"/>
      <c r="H33" s="49" t="n"/>
      <c r="I33" s="49" t="n"/>
    </row>
    <row r="34">
      <c r="B34" s="49" t="n"/>
      <c r="D34" s="49" t="n"/>
      <c r="E34" s="49" t="n"/>
      <c r="F34" s="49" t="n"/>
      <c r="G34" s="49" t="n"/>
      <c r="H34" s="49" t="n"/>
      <c r="I34" s="49" t="n"/>
    </row>
    <row r="35">
      <c r="B35" s="49" t="n"/>
      <c r="D35" s="49" t="n"/>
      <c r="E35" s="49" t="n"/>
      <c r="F35" s="49" t="n"/>
      <c r="G35" s="49" t="n"/>
      <c r="H35" s="49" t="n"/>
      <c r="I35" s="49" t="n"/>
    </row>
    <row r="36">
      <c r="B36" s="49" t="n"/>
      <c r="D36" s="49" t="n"/>
      <c r="E36" s="49" t="n"/>
      <c r="F36" s="49" t="n"/>
      <c r="G36" s="49" t="n"/>
      <c r="H36" s="49" t="n"/>
      <c r="I36" s="49" t="n"/>
    </row>
    <row r="37">
      <c r="B37" s="49" t="n"/>
      <c r="D37" s="49" t="n"/>
      <c r="E37" s="49" t="n"/>
      <c r="F37" s="49" t="n"/>
      <c r="G37" s="49" t="n"/>
      <c r="H37" s="49" t="n"/>
      <c r="I37" s="49" t="n"/>
    </row>
    <row r="38">
      <c r="B38" s="49" t="n"/>
      <c r="D38" s="49" t="n"/>
      <c r="E38" s="49" t="n"/>
      <c r="F38" s="49" t="n"/>
      <c r="G38" s="49" t="n"/>
      <c r="H38" s="49" t="n"/>
      <c r="I38" s="49" t="n"/>
    </row>
    <row r="39">
      <c r="B39" s="49" t="n"/>
      <c r="D39" s="49" t="n"/>
      <c r="E39" s="49" t="n"/>
      <c r="F39" s="49" t="n"/>
      <c r="G39" s="49" t="n"/>
      <c r="H39" s="49" t="n"/>
      <c r="I39" s="49" t="n"/>
    </row>
    <row r="40">
      <c r="B40" s="49" t="n"/>
      <c r="D40" s="49" t="n"/>
      <c r="E40" s="49" t="n"/>
      <c r="F40" s="49" t="n"/>
      <c r="G40" s="49" t="n"/>
      <c r="H40" s="49" t="n"/>
      <c r="I40" s="49" t="n"/>
    </row>
    <row r="41">
      <c r="B41" s="49" t="n"/>
      <c r="D41" s="49" t="n"/>
      <c r="E41" s="49" t="n"/>
      <c r="F41" s="49" t="n"/>
      <c r="G41" s="49" t="n"/>
      <c r="H41" s="49" t="n"/>
      <c r="I41" s="49" t="n"/>
    </row>
    <row r="42">
      <c r="B42" s="49" t="n"/>
      <c r="D42" s="49" t="n"/>
      <c r="E42" s="49" t="n"/>
      <c r="F42" s="49" t="n"/>
      <c r="G42" s="49" t="n"/>
      <c r="H42" s="49" t="n"/>
      <c r="I42" s="49" t="n"/>
    </row>
    <row r="43">
      <c r="B43" s="49" t="n"/>
      <c r="D43" s="49" t="n"/>
      <c r="E43" s="49" t="n"/>
      <c r="F43" s="49" t="n"/>
      <c r="G43" s="49" t="n"/>
      <c r="H43" s="49" t="n"/>
      <c r="I43" s="49" t="n"/>
    </row>
    <row r="44">
      <c r="B44" s="49" t="n"/>
      <c r="D44" s="49" t="n"/>
      <c r="E44" s="49" t="n"/>
      <c r="F44" s="49" t="n"/>
      <c r="G44" s="49" t="n"/>
      <c r="H44" s="49" t="n"/>
      <c r="I44" s="49" t="n"/>
    </row>
    <row r="45">
      <c r="B45" s="49" t="n"/>
      <c r="D45" s="49" t="n"/>
      <c r="E45" s="49" t="n"/>
      <c r="F45" s="49" t="n"/>
      <c r="G45" s="49" t="n"/>
      <c r="H45" s="49" t="n"/>
      <c r="I45" s="49" t="n"/>
    </row>
    <row r="46">
      <c r="B46" s="49" t="n"/>
      <c r="D46" s="49" t="n"/>
      <c r="E46" s="49" t="n"/>
      <c r="F46" s="49" t="n"/>
      <c r="G46" s="49" t="n"/>
      <c r="H46" s="49" t="n"/>
      <c r="I46" s="49" t="n"/>
    </row>
    <row r="47">
      <c r="B47" s="49" t="n"/>
      <c r="D47" s="49" t="n"/>
      <c r="E47" s="49" t="n"/>
      <c r="F47" s="49" t="n"/>
      <c r="G47" s="49" t="n"/>
      <c r="H47" s="49" t="n"/>
      <c r="I47" s="49" t="n"/>
    </row>
    <row r="48">
      <c r="B48" s="49" t="n"/>
      <c r="D48" s="49" t="n"/>
      <c r="E48" s="49" t="n"/>
      <c r="F48" s="49" t="n"/>
      <c r="G48" s="49" t="n"/>
      <c r="H48" s="49" t="n"/>
      <c r="I48" s="49" t="n"/>
    </row>
    <row r="49">
      <c r="B49" s="49" t="n"/>
      <c r="D49" s="49" t="n"/>
      <c r="E49" s="49" t="n"/>
      <c r="F49" s="49" t="n"/>
      <c r="G49" s="49" t="n"/>
      <c r="H49" s="49" t="n"/>
      <c r="I49" s="49" t="n"/>
    </row>
    <row r="50">
      <c r="B50" s="49" t="n"/>
      <c r="D50" s="49" t="n"/>
      <c r="E50" s="49" t="n"/>
      <c r="F50" s="49" t="n"/>
      <c r="G50" s="49" t="n"/>
      <c r="H50" s="49" t="n"/>
      <c r="I50" s="49" t="n"/>
    </row>
    <row r="51">
      <c r="B51" s="49" t="n"/>
      <c r="D51" s="49" t="n"/>
      <c r="E51" s="49" t="n"/>
      <c r="F51" s="49" t="n"/>
      <c r="G51" s="49" t="n"/>
      <c r="H51" s="49" t="n"/>
      <c r="I51" s="49" t="n"/>
    </row>
    <row r="52">
      <c r="B52" s="49" t="n"/>
      <c r="D52" s="49" t="n"/>
      <c r="E52" s="49" t="n"/>
      <c r="F52" s="49" t="n"/>
      <c r="G52" s="49" t="n"/>
      <c r="H52" s="49" t="n"/>
      <c r="I52" s="49" t="n"/>
    </row>
    <row r="53">
      <c r="B53" s="49" t="n"/>
      <c r="D53" s="49" t="n"/>
      <c r="E53" s="49" t="n"/>
      <c r="F53" s="49" t="n"/>
      <c r="G53" s="49" t="n"/>
      <c r="H53" s="49" t="n"/>
      <c r="I53" s="49" t="n"/>
    </row>
    <row r="54">
      <c r="B54" s="49" t="n"/>
      <c r="D54" s="49" t="n"/>
      <c r="E54" s="49" t="n"/>
      <c r="F54" s="49" t="n"/>
      <c r="G54" s="49" t="n"/>
      <c r="H54" s="49" t="n"/>
      <c r="I54" s="49" t="n"/>
    </row>
    <row r="55">
      <c r="B55" s="49" t="n"/>
      <c r="D55" s="49" t="n"/>
      <c r="E55" s="49" t="n"/>
      <c r="F55" s="49" t="n"/>
      <c r="G55" s="49" t="n"/>
      <c r="H55" s="49" t="n"/>
      <c r="I55" s="49" t="n"/>
    </row>
    <row r="56">
      <c r="B56" s="49" t="n"/>
      <c r="D56" s="49" t="n"/>
      <c r="E56" s="49" t="n"/>
      <c r="F56" s="49" t="n"/>
      <c r="G56" s="49" t="n"/>
      <c r="H56" s="49" t="n"/>
      <c r="I56" s="49" t="n"/>
    </row>
    <row r="57">
      <c r="B57" s="49" t="n"/>
      <c r="D57" s="49" t="n"/>
      <c r="E57" s="49" t="n"/>
      <c r="F57" s="49" t="n"/>
      <c r="G57" s="49" t="n"/>
      <c r="H57" s="49" t="n"/>
      <c r="I57" s="49" t="n"/>
    </row>
    <row r="58">
      <c r="B58" s="49" t="n"/>
      <c r="D58" s="49" t="n"/>
      <c r="E58" s="49" t="n"/>
      <c r="F58" s="49" t="n"/>
      <c r="G58" s="49" t="n"/>
      <c r="H58" s="49" t="n"/>
      <c r="I58" s="49" t="n"/>
    </row>
    <row r="59">
      <c r="B59" s="49" t="n"/>
      <c r="D59" s="49" t="n"/>
      <c r="E59" s="49" t="n"/>
      <c r="F59" s="49" t="n"/>
      <c r="G59" s="49" t="n"/>
      <c r="H59" s="49" t="n"/>
      <c r="I59" s="49" t="n"/>
    </row>
    <row r="60">
      <c r="B60" s="49" t="n"/>
      <c r="D60" s="49" t="n"/>
      <c r="E60" s="49" t="n"/>
      <c r="F60" s="49" t="n"/>
      <c r="G60" s="49" t="n"/>
      <c r="H60" s="49" t="n"/>
      <c r="I60" s="49" t="n"/>
    </row>
    <row r="61">
      <c r="B61" s="49" t="n"/>
      <c r="D61" s="49" t="n"/>
      <c r="E61" s="49" t="n"/>
      <c r="F61" s="49" t="n"/>
      <c r="G61" s="49" t="n"/>
      <c r="H61" s="49" t="n"/>
      <c r="I61" s="49" t="n"/>
    </row>
    <row r="62">
      <c r="B62" s="49" t="n"/>
      <c r="D62" s="49" t="n"/>
      <c r="E62" s="49" t="n"/>
      <c r="F62" s="49" t="n"/>
      <c r="G62" s="49" t="n"/>
      <c r="H62" s="49" t="n"/>
      <c r="I62" s="49" t="n"/>
    </row>
    <row r="63">
      <c r="B63" s="49" t="n"/>
      <c r="D63" s="49" t="n"/>
      <c r="E63" s="49" t="n"/>
      <c r="F63" s="49" t="n"/>
      <c r="G63" s="49" t="n"/>
      <c r="H63" s="49" t="n"/>
      <c r="I63" s="49" t="n"/>
    </row>
    <row r="64">
      <c r="B64" s="49" t="n"/>
      <c r="D64" s="49" t="n"/>
      <c r="E64" s="49" t="n"/>
      <c r="F64" s="49" t="n"/>
      <c r="G64" s="49" t="n"/>
      <c r="H64" s="49" t="n"/>
      <c r="I64" s="49" t="n"/>
    </row>
    <row r="65">
      <c r="B65" s="49" t="n"/>
      <c r="D65" s="49" t="n"/>
      <c r="E65" s="49" t="n"/>
      <c r="F65" s="49" t="n"/>
      <c r="G65" s="49" t="n"/>
      <c r="H65" s="49" t="n"/>
      <c r="I65" s="49" t="n"/>
    </row>
    <row r="66">
      <c r="B66" s="49" t="n"/>
      <c r="D66" s="49" t="n"/>
      <c r="E66" s="49" t="n"/>
      <c r="F66" s="49" t="n"/>
      <c r="G66" s="49" t="n"/>
      <c r="H66" s="49" t="n"/>
      <c r="I66" s="49" t="n"/>
    </row>
    <row r="67">
      <c r="B67" s="49" t="n"/>
      <c r="D67" s="49" t="n"/>
      <c r="E67" s="49" t="n"/>
      <c r="F67" s="49" t="n"/>
      <c r="G67" s="49" t="n"/>
      <c r="H67" s="49" t="n"/>
      <c r="I67" s="49" t="n"/>
    </row>
    <row r="68">
      <c r="B68" s="49" t="n"/>
      <c r="D68" s="49" t="n"/>
      <c r="E68" s="49" t="n"/>
      <c r="F68" s="49" t="n"/>
      <c r="G68" s="49" t="n"/>
      <c r="H68" s="49" t="n"/>
      <c r="I68" s="49" t="n"/>
    </row>
    <row r="69">
      <c r="B69" s="49" t="n"/>
      <c r="D69" s="49" t="n"/>
      <c r="E69" s="49" t="n"/>
      <c r="F69" s="49" t="n"/>
      <c r="G69" s="49" t="n"/>
      <c r="H69" s="49" t="n"/>
      <c r="I69" s="49" t="n"/>
    </row>
    <row r="70">
      <c r="B70" s="49" t="n"/>
      <c r="D70" s="49" t="n"/>
      <c r="E70" s="49" t="n"/>
      <c r="F70" s="49" t="n"/>
      <c r="G70" s="49" t="n"/>
      <c r="H70" s="49" t="n"/>
      <c r="I70" s="49" t="n"/>
    </row>
    <row r="71">
      <c r="B71" s="49" t="n"/>
      <c r="D71" s="49" t="n"/>
      <c r="E71" s="49" t="n"/>
      <c r="F71" s="49" t="n"/>
      <c r="G71" s="49" t="n"/>
      <c r="H71" s="49" t="n"/>
      <c r="I71" s="49" t="n"/>
    </row>
    <row r="72">
      <c r="B72" s="49" t="n"/>
      <c r="D72" s="49" t="n"/>
      <c r="E72" s="49" t="n"/>
      <c r="F72" s="49" t="n"/>
      <c r="G72" s="49" t="n"/>
      <c r="H72" s="49" t="n"/>
      <c r="I72" s="49" t="n"/>
    </row>
    <row r="73">
      <c r="B73" s="49" t="n"/>
      <c r="D73" s="49" t="n"/>
      <c r="E73" s="49" t="n"/>
      <c r="F73" s="49" t="n"/>
      <c r="G73" s="49" t="n"/>
      <c r="H73" s="49" t="n"/>
      <c r="I73" s="49" t="n"/>
    </row>
    <row r="74">
      <c r="B74" s="49" t="n"/>
      <c r="D74" s="49" t="n"/>
      <c r="E74" s="49" t="n"/>
      <c r="F74" s="49" t="n"/>
      <c r="G74" s="49" t="n"/>
      <c r="H74" s="49" t="n"/>
      <c r="I74" s="49" t="n"/>
    </row>
    <row r="75">
      <c r="B75" s="49" t="n"/>
      <c r="D75" s="49" t="n"/>
      <c r="E75" s="49" t="n"/>
      <c r="F75" s="49" t="n"/>
      <c r="G75" s="49" t="n"/>
      <c r="H75" s="49" t="n"/>
      <c r="I75" s="49" t="n"/>
    </row>
    <row r="76">
      <c r="B76" s="49" t="n"/>
      <c r="D76" s="49" t="n"/>
      <c r="E76" s="49" t="n"/>
      <c r="F76" s="49" t="n"/>
      <c r="G76" s="49" t="n"/>
      <c r="H76" s="49" t="n"/>
      <c r="I76" s="49" t="n"/>
    </row>
    <row r="77">
      <c r="B77" s="49" t="n"/>
      <c r="D77" s="49" t="n"/>
      <c r="E77" s="49" t="n"/>
      <c r="F77" s="49" t="n"/>
      <c r="G77" s="49" t="n"/>
      <c r="H77" s="49" t="n"/>
      <c r="I77" s="49" t="n"/>
    </row>
    <row r="78">
      <c r="B78" s="49" t="n"/>
      <c r="D78" s="49" t="n"/>
      <c r="E78" s="49" t="n"/>
      <c r="F78" s="49" t="n"/>
      <c r="G78" s="49" t="n"/>
      <c r="H78" s="49" t="n"/>
      <c r="I78" s="49" t="n"/>
    </row>
    <row r="79">
      <c r="B79" s="49" t="n"/>
      <c r="D79" s="49" t="n"/>
      <c r="E79" s="49" t="n"/>
      <c r="F79" s="49" t="n"/>
      <c r="G79" s="49" t="n"/>
      <c r="H79" s="49" t="n"/>
      <c r="I79" s="49" t="n"/>
    </row>
    <row r="80">
      <c r="B80" s="49" t="n"/>
      <c r="D80" s="49" t="n"/>
      <c r="E80" s="49" t="n"/>
      <c r="F80" s="49" t="n"/>
      <c r="G80" s="49" t="n"/>
      <c r="H80" s="49" t="n"/>
      <c r="I80" s="49" t="n"/>
    </row>
    <row r="81">
      <c r="B81" s="49" t="n"/>
      <c r="D81" s="49" t="n"/>
      <c r="E81" s="49" t="n"/>
      <c r="F81" s="49" t="n"/>
      <c r="G81" s="49" t="n"/>
      <c r="H81" s="49" t="n"/>
      <c r="I81" s="49" t="n"/>
    </row>
    <row r="82">
      <c r="B82" s="49" t="n"/>
      <c r="D82" s="49" t="n"/>
      <c r="E82" s="49" t="n"/>
      <c r="F82" s="49" t="n"/>
      <c r="G82" s="49" t="n"/>
      <c r="H82" s="49" t="n"/>
      <c r="I82" s="49" t="n"/>
    </row>
    <row r="83">
      <c r="B83" s="49" t="n"/>
      <c r="D83" s="49" t="n"/>
      <c r="E83" s="49" t="n"/>
      <c r="F83" s="49" t="n"/>
      <c r="G83" s="49" t="n"/>
      <c r="H83" s="49" t="n"/>
      <c r="I83" s="49" t="n"/>
    </row>
    <row r="84">
      <c r="B84" s="49" t="n"/>
      <c r="D84" s="49" t="n"/>
      <c r="E84" s="49" t="n"/>
      <c r="F84" s="49" t="n"/>
      <c r="G84" s="49" t="n"/>
      <c r="H84" s="49" t="n"/>
      <c r="I84" s="49" t="n"/>
    </row>
    <row r="85">
      <c r="B85" s="49" t="n"/>
      <c r="D85" s="49" t="n"/>
      <c r="E85" s="49" t="n"/>
      <c r="F85" s="49" t="n"/>
      <c r="G85" s="49" t="n"/>
      <c r="H85" s="49" t="n"/>
      <c r="I85" s="49" t="n"/>
    </row>
    <row r="86">
      <c r="B86" s="49" t="n"/>
      <c r="D86" s="49" t="n"/>
      <c r="E86" s="49" t="n"/>
      <c r="F86" s="49" t="n"/>
      <c r="G86" s="49" t="n"/>
      <c r="H86" s="49" t="n"/>
      <c r="I86" s="49" t="n"/>
    </row>
    <row r="87">
      <c r="B87" s="49" t="n"/>
      <c r="D87" s="49" t="n"/>
      <c r="E87" s="49" t="n"/>
      <c r="F87" s="49" t="n"/>
      <c r="G87" s="49" t="n"/>
      <c r="H87" s="49" t="n"/>
      <c r="I87" s="49" t="n"/>
    </row>
    <row r="88">
      <c r="B88" s="49" t="n"/>
      <c r="D88" s="49" t="n"/>
      <c r="E88" s="49" t="n"/>
      <c r="F88" s="49" t="n"/>
      <c r="G88" s="49" t="n"/>
      <c r="H88" s="49" t="n"/>
      <c r="I88" s="49" t="n"/>
    </row>
    <row r="89">
      <c r="B89" s="49" t="n"/>
      <c r="D89" s="49" t="n"/>
      <c r="E89" s="49" t="n"/>
      <c r="F89" s="49" t="n"/>
      <c r="G89" s="49" t="n"/>
      <c r="H89" s="49" t="n"/>
      <c r="I89" s="49" t="n"/>
    </row>
    <row r="90">
      <c r="B90" s="49" t="n"/>
      <c r="D90" s="49" t="n"/>
      <c r="E90" s="49" t="n"/>
      <c r="F90" s="49" t="n"/>
      <c r="G90" s="49" t="n"/>
      <c r="H90" s="49" t="n"/>
      <c r="I90" s="49" t="n"/>
    </row>
    <row r="91">
      <c r="B91" s="49" t="n"/>
      <c r="D91" s="49" t="n"/>
      <c r="E91" s="49" t="n"/>
      <c r="F91" s="49" t="n"/>
      <c r="G91" s="49" t="n"/>
      <c r="H91" s="49" t="n"/>
      <c r="I91" s="49" t="n"/>
    </row>
    <row r="92">
      <c r="B92" s="49" t="n"/>
      <c r="D92" s="49" t="n"/>
      <c r="E92" s="49" t="n"/>
      <c r="F92" s="49" t="n"/>
      <c r="G92" s="49" t="n"/>
      <c r="H92" s="49" t="n"/>
      <c r="I92" s="49" t="n"/>
    </row>
    <row r="93">
      <c r="B93" s="49" t="n"/>
      <c r="D93" s="49" t="n"/>
      <c r="E93" s="49" t="n"/>
      <c r="F93" s="49" t="n"/>
      <c r="G93" s="49" t="n"/>
      <c r="H93" s="49" t="n"/>
      <c r="I93" s="49" t="n"/>
    </row>
    <row r="94">
      <c r="B94" s="49" t="n"/>
      <c r="D94" s="49" t="n"/>
      <c r="E94" s="49" t="n"/>
      <c r="F94" s="49" t="n"/>
      <c r="G94" s="49" t="n"/>
      <c r="H94" s="49" t="n"/>
      <c r="I94" s="49" t="n"/>
    </row>
    <row r="95">
      <c r="B95" s="49" t="n"/>
      <c r="D95" s="49" t="n"/>
      <c r="E95" s="49" t="n"/>
      <c r="F95" s="49" t="n"/>
      <c r="G95" s="49" t="n"/>
      <c r="H95" s="49" t="n"/>
      <c r="I95" s="49" t="n"/>
    </row>
    <row r="96">
      <c r="B96" s="49" t="n"/>
      <c r="D96" s="49" t="n"/>
      <c r="E96" s="49" t="n"/>
      <c r="F96" s="49" t="n"/>
      <c r="G96" s="49" t="n"/>
      <c r="H96" s="49" t="n"/>
      <c r="I96" s="49" t="n"/>
    </row>
    <row r="97">
      <c r="B97" s="49" t="n"/>
      <c r="D97" s="49" t="n"/>
      <c r="E97" s="49" t="n"/>
      <c r="F97" s="49" t="n"/>
      <c r="G97" s="49" t="n"/>
      <c r="H97" s="49" t="n"/>
      <c r="I97" s="49" t="n"/>
    </row>
    <row r="98">
      <c r="B98" s="49" t="n"/>
      <c r="D98" s="49" t="n"/>
      <c r="E98" s="49" t="n"/>
      <c r="F98" s="49" t="n"/>
      <c r="G98" s="49" t="n"/>
      <c r="H98" s="49" t="n"/>
      <c r="I98" s="49" t="n"/>
    </row>
    <row r="99">
      <c r="B99" s="49" t="n"/>
      <c r="D99" s="49" t="n"/>
      <c r="E99" s="49" t="n"/>
      <c r="F99" s="49" t="n"/>
      <c r="G99" s="49" t="n"/>
      <c r="H99" s="49" t="n"/>
      <c r="I99" s="49" t="n"/>
    </row>
    <row r="100">
      <c r="B100" s="49" t="n"/>
      <c r="D100" s="49" t="n"/>
      <c r="E100" s="49" t="n"/>
      <c r="F100" s="49" t="n"/>
      <c r="G100" s="49" t="n"/>
      <c r="H100" s="49" t="n"/>
      <c r="I100" s="49" t="n"/>
    </row>
    <row r="101">
      <c r="B101" s="49" t="n"/>
      <c r="D101" s="49" t="n"/>
      <c r="E101" s="49" t="n"/>
      <c r="F101" s="49" t="n"/>
      <c r="G101" s="49" t="n"/>
      <c r="H101" s="49" t="n"/>
      <c r="I101" s="49" t="n"/>
    </row>
    <row r="102">
      <c r="B102" s="49" t="n"/>
      <c r="D102" s="49" t="n"/>
      <c r="E102" s="49" t="n"/>
      <c r="F102" s="49" t="n"/>
      <c r="G102" s="49" t="n"/>
      <c r="H102" s="49" t="n"/>
      <c r="I102" s="49" t="n"/>
    </row>
    <row r="103">
      <c r="B103" s="49" t="n"/>
      <c r="D103" s="49" t="n"/>
      <c r="E103" s="49" t="n"/>
      <c r="F103" s="49" t="n"/>
      <c r="G103" s="49" t="n"/>
      <c r="H103" s="49" t="n"/>
      <c r="I103" s="49" t="n"/>
    </row>
    <row r="104">
      <c r="B104" s="49" t="n"/>
      <c r="D104" s="49" t="n"/>
      <c r="E104" s="49" t="n"/>
      <c r="F104" s="49" t="n"/>
      <c r="G104" s="49" t="n"/>
      <c r="H104" s="49" t="n"/>
      <c r="I104" s="49" t="n"/>
    </row>
    <row r="105">
      <c r="B105" s="49" t="n"/>
      <c r="D105" s="49" t="n"/>
      <c r="E105" s="49" t="n"/>
      <c r="F105" s="49" t="n"/>
      <c r="G105" s="49" t="n"/>
      <c r="H105" s="49" t="n"/>
      <c r="I105" s="49" t="n"/>
    </row>
    <row r="106">
      <c r="B106" s="49" t="n"/>
      <c r="D106" s="49" t="n"/>
      <c r="E106" s="49" t="n"/>
      <c r="F106" s="49" t="n"/>
      <c r="G106" s="49" t="n"/>
      <c r="H106" s="49" t="n"/>
      <c r="I106" s="49" t="n"/>
    </row>
    <row r="107">
      <c r="B107" s="49" t="n"/>
      <c r="D107" s="49" t="n"/>
      <c r="E107" s="49" t="n"/>
      <c r="F107" s="49" t="n"/>
      <c r="G107" s="49" t="n"/>
      <c r="H107" s="49" t="n"/>
      <c r="I107" s="49" t="n"/>
    </row>
    <row r="108">
      <c r="B108" s="49" t="n"/>
      <c r="D108" s="49" t="n"/>
      <c r="E108" s="49" t="n"/>
      <c r="F108" s="49" t="n"/>
      <c r="G108" s="49" t="n"/>
      <c r="H108" s="49" t="n"/>
      <c r="I108" s="49" t="n"/>
    </row>
    <row r="109">
      <c r="B109" s="49" t="n"/>
      <c r="D109" s="49" t="n"/>
      <c r="E109" s="49" t="n"/>
      <c r="F109" s="49" t="n"/>
      <c r="G109" s="49" t="n"/>
      <c r="H109" s="49" t="n"/>
      <c r="I109" s="49" t="n"/>
    </row>
    <row r="110">
      <c r="B110" s="49" t="n"/>
      <c r="D110" s="49" t="n"/>
      <c r="E110" s="49" t="n"/>
      <c r="F110" s="49" t="n"/>
      <c r="G110" s="49" t="n"/>
      <c r="H110" s="49" t="n"/>
      <c r="I110" s="49" t="n"/>
    </row>
    <row r="111">
      <c r="B111" s="49" t="n"/>
      <c r="D111" s="49" t="n"/>
      <c r="E111" s="49" t="n"/>
      <c r="F111" s="49" t="n"/>
      <c r="G111" s="49" t="n"/>
      <c r="H111" s="49" t="n"/>
      <c r="I111" s="49" t="n"/>
    </row>
    <row r="112">
      <c r="B112" s="49" t="n"/>
      <c r="D112" s="49" t="n"/>
      <c r="E112" s="49" t="n"/>
      <c r="F112" s="49" t="n"/>
      <c r="G112" s="49" t="n"/>
      <c r="H112" s="49" t="n"/>
      <c r="I112" s="49" t="n"/>
    </row>
    <row r="113">
      <c r="B113" s="49" t="n"/>
      <c r="D113" s="49" t="n"/>
      <c r="E113" s="49" t="n"/>
      <c r="F113" s="49" t="n"/>
      <c r="G113" s="49" t="n"/>
      <c r="H113" s="49" t="n"/>
      <c r="I113" s="49" t="n"/>
    </row>
    <row r="114">
      <c r="B114" s="49" t="n"/>
      <c r="D114" s="49" t="n"/>
      <c r="E114" s="49" t="n"/>
      <c r="F114" s="49" t="n"/>
      <c r="G114" s="49" t="n"/>
      <c r="H114" s="49" t="n"/>
      <c r="I114" s="49" t="n"/>
    </row>
    <row r="115">
      <c r="B115" s="49" t="n"/>
      <c r="D115" s="49" t="n"/>
      <c r="E115" s="49" t="n"/>
      <c r="F115" s="49" t="n"/>
      <c r="G115" s="49" t="n"/>
      <c r="H115" s="49" t="n"/>
      <c r="I115" s="49" t="n"/>
    </row>
    <row r="116">
      <c r="B116" s="49" t="n"/>
      <c r="D116" s="49" t="n"/>
      <c r="E116" s="49" t="n"/>
      <c r="F116" s="49" t="n"/>
      <c r="G116" s="49" t="n"/>
      <c r="H116" s="49" t="n"/>
      <c r="I116" s="49" t="n"/>
    </row>
    <row r="117">
      <c r="B117" s="49" t="n"/>
      <c r="D117" s="49" t="n"/>
      <c r="E117" s="49" t="n"/>
      <c r="F117" s="49" t="n"/>
      <c r="G117" s="49" t="n"/>
      <c r="H117" s="49" t="n"/>
      <c r="I117" s="49" t="n"/>
    </row>
    <row r="118">
      <c r="B118" s="49" t="n"/>
      <c r="D118" s="49" t="n"/>
      <c r="E118" s="49" t="n"/>
      <c r="F118" s="49" t="n"/>
      <c r="G118" s="49" t="n"/>
      <c r="H118" s="49" t="n"/>
      <c r="I118" s="49" t="n"/>
    </row>
    <row r="119">
      <c r="B119" s="49" t="n"/>
      <c r="D119" s="49" t="n"/>
      <c r="E119" s="49" t="n"/>
      <c r="F119" s="49" t="n"/>
      <c r="G119" s="49" t="n"/>
      <c r="H119" s="49" t="n"/>
      <c r="I119" s="49" t="n"/>
    </row>
    <row r="120">
      <c r="B120" s="49" t="n"/>
      <c r="D120" s="49" t="n"/>
      <c r="E120" s="49" t="n"/>
      <c r="F120" s="49" t="n"/>
      <c r="G120" s="49" t="n"/>
      <c r="H120" s="49" t="n"/>
      <c r="I120" s="49" t="n"/>
    </row>
    <row r="121">
      <c r="B121" s="49" t="n"/>
      <c r="D121" s="49" t="n"/>
      <c r="E121" s="49" t="n"/>
      <c r="F121" s="49" t="n"/>
      <c r="G121" s="49" t="n"/>
      <c r="H121" s="49" t="n"/>
      <c r="I121" s="49" t="n"/>
    </row>
    <row r="122">
      <c r="B122" s="49" t="n"/>
      <c r="D122" s="49" t="n"/>
      <c r="E122" s="49" t="n"/>
      <c r="F122" s="49" t="n"/>
      <c r="G122" s="49" t="n"/>
      <c r="H122" s="49" t="n"/>
      <c r="I122" s="49" t="n"/>
    </row>
    <row r="123">
      <c r="B123" s="49" t="n"/>
      <c r="D123" s="49" t="n"/>
      <c r="E123" s="49" t="n"/>
      <c r="F123" s="49" t="n"/>
      <c r="G123" s="49" t="n"/>
      <c r="H123" s="49" t="n"/>
      <c r="I123" s="49" t="n"/>
    </row>
    <row r="124">
      <c r="B124" s="49" t="n"/>
      <c r="D124" s="49" t="n"/>
      <c r="E124" s="49" t="n"/>
      <c r="F124" s="49" t="n"/>
      <c r="G124" s="49" t="n"/>
      <c r="H124" s="49" t="n"/>
      <c r="I124" s="49" t="n"/>
    </row>
    <row r="125">
      <c r="B125" s="49" t="n"/>
      <c r="D125" s="49" t="n"/>
      <c r="E125" s="49" t="n"/>
      <c r="F125" s="49" t="n"/>
      <c r="G125" s="49" t="n"/>
      <c r="H125" s="49" t="n"/>
      <c r="I125" s="49" t="n"/>
    </row>
    <row r="126">
      <c r="B126" s="49" t="n"/>
      <c r="D126" s="49" t="n"/>
      <c r="E126" s="49" t="n"/>
      <c r="F126" s="49" t="n"/>
      <c r="G126" s="49" t="n"/>
      <c r="H126" s="49" t="n"/>
      <c r="I126" s="49" t="n"/>
    </row>
    <row r="127">
      <c r="B127" s="49" t="n"/>
      <c r="D127" s="49" t="n"/>
      <c r="E127" s="49" t="n"/>
      <c r="F127" s="49" t="n"/>
      <c r="G127" s="49" t="n"/>
      <c r="H127" s="49" t="n"/>
      <c r="I127" s="49" t="n"/>
    </row>
    <row r="128">
      <c r="B128" s="49" t="n"/>
      <c r="D128" s="49" t="n"/>
      <c r="E128" s="49" t="n"/>
      <c r="F128" s="49" t="n"/>
      <c r="G128" s="49" t="n"/>
      <c r="H128" s="49" t="n"/>
      <c r="I128" s="49" t="n"/>
    </row>
    <row r="129">
      <c r="B129" s="49" t="n"/>
      <c r="D129" s="49" t="n"/>
      <c r="E129" s="49" t="n"/>
      <c r="F129" s="49" t="n"/>
      <c r="G129" s="49" t="n"/>
      <c r="H129" s="49" t="n"/>
      <c r="I129" s="49" t="n"/>
    </row>
    <row r="130">
      <c r="B130" s="49" t="n"/>
      <c r="D130" s="49" t="n"/>
      <c r="E130" s="49" t="n"/>
      <c r="F130" s="49" t="n"/>
      <c r="G130" s="49" t="n"/>
      <c r="H130" s="49" t="n"/>
      <c r="I130" s="49" t="n"/>
    </row>
    <row r="131">
      <c r="B131" s="49" t="n"/>
      <c r="D131" s="49" t="n"/>
      <c r="E131" s="49" t="n"/>
      <c r="F131" s="49" t="n"/>
      <c r="G131" s="49" t="n"/>
      <c r="H131" s="49" t="n"/>
      <c r="I131" s="49" t="n"/>
    </row>
    <row r="132">
      <c r="B132" s="49" t="n"/>
      <c r="D132" s="49" t="n"/>
      <c r="E132" s="49" t="n"/>
      <c r="F132" s="49" t="n"/>
      <c r="G132" s="49" t="n"/>
      <c r="H132" s="49" t="n"/>
      <c r="I132" s="49" t="n"/>
    </row>
    <row r="133">
      <c r="B133" s="49" t="n"/>
      <c r="D133" s="49" t="n"/>
      <c r="E133" s="49" t="n"/>
      <c r="F133" s="49" t="n"/>
      <c r="G133" s="49" t="n"/>
      <c r="H133" s="49" t="n"/>
      <c r="I133" s="49" t="n"/>
    </row>
    <row r="134">
      <c r="B134" s="49" t="n"/>
      <c r="D134" s="49" t="n"/>
      <c r="E134" s="49" t="n"/>
      <c r="F134" s="49" t="n"/>
      <c r="G134" s="49" t="n"/>
      <c r="H134" s="49" t="n"/>
      <c r="I134" s="49" t="n"/>
    </row>
    <row r="135">
      <c r="B135" s="49" t="n"/>
      <c r="D135" s="49" t="n"/>
      <c r="E135" s="49" t="n"/>
      <c r="F135" s="49" t="n"/>
      <c r="G135" s="49" t="n"/>
      <c r="H135" s="49" t="n"/>
      <c r="I135" s="49" t="n"/>
    </row>
    <row r="136">
      <c r="B136" s="49" t="n"/>
      <c r="D136" s="49" t="n"/>
      <c r="E136" s="49" t="n"/>
      <c r="F136" s="49" t="n"/>
      <c r="G136" s="49" t="n"/>
      <c r="H136" s="49" t="n"/>
      <c r="I136" s="49" t="n"/>
    </row>
    <row r="137">
      <c r="B137" s="49" t="n"/>
      <c r="D137" s="49" t="n"/>
      <c r="E137" s="49" t="n"/>
      <c r="F137" s="49" t="n"/>
      <c r="G137" s="49" t="n"/>
      <c r="H137" s="49" t="n"/>
      <c r="I137" s="49" t="n"/>
    </row>
    <row r="138">
      <c r="B138" s="49" t="n"/>
      <c r="D138" s="49" t="n"/>
      <c r="E138" s="49" t="n"/>
      <c r="F138" s="49" t="n"/>
      <c r="G138" s="49" t="n"/>
      <c r="H138" s="49" t="n"/>
      <c r="I138" s="49" t="n"/>
    </row>
    <row r="139">
      <c r="B139" s="49" t="n"/>
      <c r="D139" s="49" t="n"/>
      <c r="E139" s="49" t="n"/>
      <c r="F139" s="49" t="n"/>
      <c r="G139" s="49" t="n"/>
      <c r="H139" s="49" t="n"/>
      <c r="I139" s="49" t="n"/>
    </row>
    <row r="140">
      <c r="B140" s="49" t="n"/>
      <c r="D140" s="49" t="n"/>
      <c r="E140" s="49" t="n"/>
      <c r="F140" s="49" t="n"/>
      <c r="G140" s="49" t="n"/>
      <c r="H140" s="49" t="n"/>
      <c r="I140" s="49" t="n"/>
    </row>
    <row r="141">
      <c r="B141" s="49" t="n"/>
      <c r="D141" s="49" t="n"/>
      <c r="E141" s="49" t="n"/>
      <c r="F141" s="49" t="n"/>
      <c r="G141" s="49" t="n"/>
      <c r="H141" s="49" t="n"/>
      <c r="I141" s="49" t="n"/>
    </row>
    <row r="142">
      <c r="B142" s="49" t="n"/>
      <c r="D142" s="49" t="n"/>
      <c r="E142" s="49" t="n"/>
      <c r="F142" s="49" t="n"/>
      <c r="G142" s="49" t="n"/>
      <c r="H142" s="49" t="n"/>
      <c r="I142" s="49" t="n"/>
    </row>
    <row r="143">
      <c r="B143" s="49" t="n"/>
      <c r="D143" s="49" t="n"/>
      <c r="E143" s="49" t="n"/>
      <c r="F143" s="49" t="n"/>
      <c r="G143" s="49" t="n"/>
      <c r="H143" s="49" t="n"/>
      <c r="I143" s="49" t="n"/>
    </row>
    <row r="144">
      <c r="B144" s="49" t="n"/>
      <c r="D144" s="49" t="n"/>
      <c r="E144" s="49" t="n"/>
      <c r="F144" s="49" t="n"/>
      <c r="G144" s="49" t="n"/>
      <c r="H144" s="49" t="n"/>
      <c r="I144" s="49" t="n"/>
    </row>
    <row r="145">
      <c r="B145" s="49" t="n"/>
      <c r="D145" s="49" t="n"/>
      <c r="E145" s="49" t="n"/>
      <c r="F145" s="49" t="n"/>
      <c r="G145" s="49" t="n"/>
      <c r="H145" s="49" t="n"/>
      <c r="I145" s="49" t="n"/>
    </row>
    <row r="146">
      <c r="B146" s="49" t="n"/>
      <c r="D146" s="49" t="n"/>
      <c r="E146" s="49" t="n"/>
      <c r="F146" s="49" t="n"/>
      <c r="G146" s="49" t="n"/>
      <c r="H146" s="49" t="n"/>
      <c r="I146" s="49" t="n"/>
    </row>
    <row r="147">
      <c r="B147" s="49" t="n"/>
      <c r="D147" s="49" t="n"/>
      <c r="E147" s="49" t="n"/>
      <c r="F147" s="49" t="n"/>
      <c r="G147" s="49" t="n"/>
      <c r="H147" s="49" t="n"/>
      <c r="I147" s="49" t="n"/>
    </row>
    <row r="148">
      <c r="B148" s="49" t="n"/>
      <c r="D148" s="49" t="n"/>
      <c r="E148" s="49" t="n"/>
      <c r="F148" s="49" t="n"/>
      <c r="G148" s="49" t="n"/>
      <c r="H148" s="49" t="n"/>
      <c r="I148" s="49" t="n"/>
    </row>
    <row r="149">
      <c r="B149" s="49" t="n"/>
      <c r="D149" s="49" t="n"/>
      <c r="E149" s="49" t="n"/>
      <c r="F149" s="49" t="n"/>
      <c r="G149" s="49" t="n"/>
      <c r="H149" s="49" t="n"/>
      <c r="I149" s="49" t="n"/>
    </row>
    <row r="150">
      <c r="B150" s="49" t="n"/>
      <c r="D150" s="49" t="n"/>
      <c r="E150" s="49" t="n"/>
      <c r="F150" s="49" t="n"/>
      <c r="G150" s="49" t="n"/>
      <c r="H150" s="49" t="n"/>
      <c r="I150" s="49" t="n"/>
    </row>
    <row r="151">
      <c r="B151" s="49" t="n"/>
      <c r="D151" s="49" t="n"/>
      <c r="E151" s="49" t="n"/>
      <c r="F151" s="49" t="n"/>
      <c r="G151" s="49" t="n"/>
      <c r="H151" s="49" t="n"/>
      <c r="I151" s="49" t="n"/>
    </row>
    <row r="152">
      <c r="B152" s="49" t="n"/>
      <c r="D152" s="49" t="n"/>
      <c r="E152" s="49" t="n"/>
      <c r="F152" s="49" t="n"/>
      <c r="G152" s="49" t="n"/>
      <c r="H152" s="49" t="n"/>
      <c r="I152" s="49" t="n"/>
    </row>
    <row r="153">
      <c r="B153" s="49" t="n"/>
      <c r="D153" s="49" t="n"/>
      <c r="E153" s="49" t="n"/>
      <c r="F153" s="49" t="n"/>
      <c r="G153" s="49" t="n"/>
      <c r="H153" s="49" t="n"/>
      <c r="I153" s="49" t="n"/>
    </row>
    <row r="154">
      <c r="B154" s="49" t="n"/>
      <c r="D154" s="49" t="n"/>
      <c r="E154" s="49" t="n"/>
      <c r="F154" s="49" t="n"/>
      <c r="G154" s="49" t="n"/>
      <c r="H154" s="49" t="n"/>
      <c r="I154" s="49" t="n"/>
    </row>
    <row r="155">
      <c r="B155" s="49" t="n"/>
      <c r="D155" s="49" t="n"/>
      <c r="E155" s="49" t="n"/>
      <c r="F155" s="49" t="n"/>
      <c r="G155" s="49" t="n"/>
      <c r="H155" s="49" t="n"/>
      <c r="I155" s="49" t="n"/>
    </row>
    <row r="156">
      <c r="B156" s="49" t="n"/>
      <c r="D156" s="49" t="n"/>
      <c r="E156" s="49" t="n"/>
      <c r="F156" s="49" t="n"/>
      <c r="G156" s="49" t="n"/>
      <c r="H156" s="49" t="n"/>
      <c r="I156" s="49" t="n"/>
    </row>
    <row r="157">
      <c r="B157" s="49" t="n"/>
      <c r="D157" s="49" t="n"/>
      <c r="E157" s="49" t="n"/>
      <c r="F157" s="49" t="n"/>
      <c r="G157" s="49" t="n"/>
      <c r="H157" s="49" t="n"/>
      <c r="I157" s="49" t="n"/>
    </row>
    <row r="158">
      <c r="B158" s="49" t="n"/>
      <c r="D158" s="49" t="n"/>
      <c r="E158" s="49" t="n"/>
      <c r="F158" s="49" t="n"/>
      <c r="G158" s="49" t="n"/>
      <c r="H158" s="49" t="n"/>
      <c r="I158" s="49" t="n"/>
    </row>
    <row r="159">
      <c r="B159" s="49" t="n"/>
      <c r="D159" s="49" t="n"/>
      <c r="E159" s="49" t="n"/>
      <c r="F159" s="49" t="n"/>
      <c r="G159" s="49" t="n"/>
      <c r="H159" s="49" t="n"/>
      <c r="I159" s="49" t="n"/>
    </row>
    <row r="160">
      <c r="B160" s="49" t="n"/>
      <c r="D160" s="49" t="n"/>
      <c r="E160" s="49" t="n"/>
      <c r="F160" s="49" t="n"/>
      <c r="G160" s="49" t="n"/>
      <c r="H160" s="49" t="n"/>
      <c r="I160" s="49" t="n"/>
    </row>
    <row r="161">
      <c r="B161" s="49" t="n"/>
      <c r="D161" s="49" t="n"/>
      <c r="E161" s="49" t="n"/>
      <c r="F161" s="49" t="n"/>
      <c r="G161" s="49" t="n"/>
      <c r="H161" s="49" t="n"/>
      <c r="I161" s="49" t="n"/>
    </row>
    <row r="162">
      <c r="B162" s="49" t="n"/>
      <c r="D162" s="49" t="n"/>
      <c r="E162" s="49" t="n"/>
      <c r="F162" s="49" t="n"/>
      <c r="G162" s="49" t="n"/>
      <c r="H162" s="49" t="n"/>
      <c r="I162" s="49" t="n"/>
    </row>
    <row r="163">
      <c r="B163" s="49" t="n"/>
      <c r="D163" s="49" t="n"/>
      <c r="E163" s="49" t="n"/>
      <c r="F163" s="49" t="n"/>
      <c r="G163" s="49" t="n"/>
      <c r="H163" s="49" t="n"/>
      <c r="I163" s="49" t="n"/>
    </row>
    <row r="164">
      <c r="B164" s="49" t="n"/>
      <c r="D164" s="49" t="n"/>
      <c r="E164" s="49" t="n"/>
      <c r="F164" s="49" t="n"/>
      <c r="G164" s="49" t="n"/>
      <c r="H164" s="49" t="n"/>
      <c r="I164" s="49" t="n"/>
    </row>
    <row r="165">
      <c r="B165" s="49" t="n"/>
      <c r="D165" s="49" t="n"/>
      <c r="E165" s="49" t="n"/>
      <c r="F165" s="49" t="n"/>
      <c r="G165" s="49" t="n"/>
      <c r="H165" s="49" t="n"/>
      <c r="I165" s="49" t="n"/>
    </row>
    <row r="166">
      <c r="B166" s="49" t="n"/>
      <c r="D166" s="49" t="n"/>
      <c r="E166" s="49" t="n"/>
      <c r="F166" s="49" t="n"/>
      <c r="G166" s="49" t="n"/>
      <c r="H166" s="49" t="n"/>
      <c r="I166" s="49" t="n"/>
    </row>
    <row r="167">
      <c r="B167" s="49" t="n"/>
      <c r="D167" s="49" t="n"/>
      <c r="E167" s="49" t="n"/>
      <c r="F167" s="49" t="n"/>
      <c r="G167" s="49" t="n"/>
      <c r="H167" s="49" t="n"/>
      <c r="I167" s="49" t="n"/>
    </row>
    <row r="168">
      <c r="B168" s="49" t="n"/>
      <c r="D168" s="49" t="n"/>
      <c r="E168" s="49" t="n"/>
      <c r="F168" s="49" t="n"/>
      <c r="G168" s="49" t="n"/>
      <c r="H168" s="49" t="n"/>
      <c r="I168" s="49" t="n"/>
    </row>
    <row r="169">
      <c r="B169" s="49" t="n"/>
      <c r="D169" s="49" t="n"/>
      <c r="E169" s="49" t="n"/>
      <c r="F169" s="49" t="n"/>
      <c r="G169" s="49" t="n"/>
      <c r="H169" s="49" t="n"/>
      <c r="I169" s="49" t="n"/>
    </row>
    <row r="170">
      <c r="B170" s="49" t="n"/>
      <c r="D170" s="49" t="n"/>
      <c r="E170" s="49" t="n"/>
      <c r="F170" s="49" t="n"/>
      <c r="G170" s="49" t="n"/>
      <c r="H170" s="49" t="n"/>
      <c r="I170" s="49" t="n"/>
    </row>
    <row r="171">
      <c r="B171" s="49" t="n"/>
      <c r="D171" s="49" t="n"/>
      <c r="E171" s="49" t="n"/>
      <c r="F171" s="49" t="n"/>
      <c r="G171" s="49" t="n"/>
      <c r="H171" s="49" t="n"/>
      <c r="I171" s="49" t="n"/>
    </row>
    <row r="172">
      <c r="B172" s="49" t="n"/>
      <c r="D172" s="49" t="n"/>
      <c r="E172" s="49" t="n"/>
      <c r="F172" s="49" t="n"/>
      <c r="G172" s="49" t="n"/>
      <c r="H172" s="49" t="n"/>
      <c r="I172" s="49" t="n"/>
    </row>
    <row r="173">
      <c r="B173" s="49" t="n"/>
      <c r="D173" s="49" t="n"/>
      <c r="E173" s="49" t="n"/>
      <c r="F173" s="49" t="n"/>
      <c r="G173" s="49" t="n"/>
      <c r="H173" s="49" t="n"/>
      <c r="I173" s="49" t="n"/>
    </row>
    <row r="174">
      <c r="B174" s="49" t="n"/>
      <c r="D174" s="49" t="n"/>
      <c r="E174" s="49" t="n"/>
      <c r="F174" s="49" t="n"/>
      <c r="G174" s="49" t="n"/>
      <c r="H174" s="49" t="n"/>
      <c r="I174" s="49" t="n"/>
    </row>
    <row r="175">
      <c r="B175" s="49" t="n"/>
      <c r="D175" s="49" t="n"/>
      <c r="E175" s="49" t="n"/>
      <c r="F175" s="49" t="n"/>
      <c r="G175" s="49" t="n"/>
      <c r="H175" s="49" t="n"/>
      <c r="I175" s="49" t="n"/>
    </row>
    <row r="176">
      <c r="B176" s="49" t="n"/>
      <c r="D176" s="49" t="n"/>
      <c r="E176" s="49" t="n"/>
      <c r="F176" s="49" t="n"/>
      <c r="G176" s="49" t="n"/>
      <c r="H176" s="49" t="n"/>
      <c r="I176" s="49" t="n"/>
    </row>
    <row r="177">
      <c r="B177" s="49" t="n"/>
      <c r="D177" s="49" t="n"/>
      <c r="E177" s="49" t="n"/>
      <c r="F177" s="49" t="n"/>
      <c r="G177" s="49" t="n"/>
      <c r="H177" s="49" t="n"/>
      <c r="I177" s="49" t="n"/>
    </row>
    <row r="178">
      <c r="B178" s="49" t="n"/>
      <c r="D178" s="49" t="n"/>
      <c r="E178" s="49" t="n"/>
      <c r="F178" s="49" t="n"/>
      <c r="G178" s="49" t="n"/>
      <c r="H178" s="49" t="n"/>
      <c r="I178" s="49" t="n"/>
    </row>
    <row r="179">
      <c r="B179" s="49" t="n"/>
      <c r="D179" s="49" t="n"/>
      <c r="E179" s="49" t="n"/>
      <c r="F179" s="49" t="n"/>
      <c r="G179" s="49" t="n"/>
      <c r="H179" s="49" t="n"/>
      <c r="I179" s="49" t="n"/>
    </row>
    <row r="180">
      <c r="B180" s="49" t="n"/>
      <c r="D180" s="49" t="n"/>
      <c r="E180" s="49" t="n"/>
      <c r="F180" s="49" t="n"/>
      <c r="G180" s="49" t="n"/>
      <c r="H180" s="49" t="n"/>
      <c r="I180" s="49" t="n"/>
    </row>
    <row r="181">
      <c r="B181" s="49" t="n"/>
      <c r="D181" s="49" t="n"/>
      <c r="E181" s="49" t="n"/>
      <c r="F181" s="49" t="n"/>
      <c r="G181" s="49" t="n"/>
      <c r="H181" s="49" t="n"/>
      <c r="I181" s="49" t="n"/>
    </row>
    <row r="182">
      <c r="B182" s="49" t="n"/>
      <c r="D182" s="49" t="n"/>
      <c r="E182" s="49" t="n"/>
      <c r="F182" s="49" t="n"/>
      <c r="G182" s="49" t="n"/>
      <c r="H182" s="49" t="n"/>
      <c r="I182" s="49" t="n"/>
    </row>
    <row r="183">
      <c r="B183" s="49" t="n"/>
      <c r="D183" s="49" t="n"/>
      <c r="E183" s="49" t="n"/>
      <c r="F183" s="49" t="n"/>
      <c r="G183" s="49" t="n"/>
      <c r="H183" s="49" t="n"/>
      <c r="I183" s="49" t="n"/>
    </row>
    <row r="184">
      <c r="B184" s="49" t="n"/>
      <c r="D184" s="49" t="n"/>
      <c r="E184" s="49" t="n"/>
      <c r="F184" s="49" t="n"/>
      <c r="G184" s="49" t="n"/>
      <c r="H184" s="49" t="n"/>
      <c r="I184" s="49" t="n"/>
    </row>
    <row r="185">
      <c r="B185" s="49" t="n"/>
      <c r="D185" s="49" t="n"/>
      <c r="E185" s="49" t="n"/>
      <c r="F185" s="49" t="n"/>
      <c r="G185" s="49" t="n"/>
      <c r="H185" s="49" t="n"/>
      <c r="I185" s="49" t="n"/>
    </row>
    <row r="186">
      <c r="B186" s="49" t="n"/>
      <c r="D186" s="49" t="n"/>
      <c r="E186" s="49" t="n"/>
      <c r="F186" s="49" t="n"/>
      <c r="G186" s="49" t="n"/>
      <c r="H186" s="49" t="n"/>
      <c r="I186" s="49" t="n"/>
    </row>
    <row r="187">
      <c r="B187" s="49" t="n"/>
      <c r="D187" s="49" t="n"/>
      <c r="E187" s="49" t="n"/>
      <c r="F187" s="49" t="n"/>
      <c r="G187" s="49" t="n"/>
      <c r="H187" s="49" t="n"/>
      <c r="I187" s="49" t="n"/>
    </row>
    <row r="188">
      <c r="B188" s="49" t="n"/>
      <c r="D188" s="49" t="n"/>
      <c r="E188" s="49" t="n"/>
      <c r="F188" s="49" t="n"/>
      <c r="G188" s="49" t="n"/>
      <c r="H188" s="49" t="n"/>
      <c r="I188" s="49" t="n"/>
    </row>
    <row r="189">
      <c r="B189" s="49" t="n"/>
      <c r="D189" s="49" t="n"/>
      <c r="E189" s="49" t="n"/>
      <c r="F189" s="49" t="n"/>
      <c r="G189" s="49" t="n"/>
      <c r="H189" s="49" t="n"/>
      <c r="I189" s="49" t="n"/>
    </row>
    <row r="190">
      <c r="B190" s="49" t="n"/>
      <c r="D190" s="49" t="n"/>
      <c r="E190" s="49" t="n"/>
      <c r="F190" s="49" t="n"/>
      <c r="G190" s="49" t="n"/>
      <c r="H190" s="49" t="n"/>
      <c r="I190" s="49" t="n"/>
    </row>
    <row r="191">
      <c r="B191" s="49" t="n"/>
      <c r="D191" s="49" t="n"/>
      <c r="E191" s="49" t="n"/>
      <c r="F191" s="49" t="n"/>
      <c r="G191" s="49" t="n"/>
      <c r="H191" s="49" t="n"/>
      <c r="I191" s="49" t="n"/>
    </row>
    <row r="192">
      <c r="B192" s="49" t="n"/>
      <c r="D192" s="49" t="n"/>
      <c r="E192" s="49" t="n"/>
      <c r="F192" s="49" t="n"/>
      <c r="G192" s="49" t="n"/>
      <c r="H192" s="49" t="n"/>
      <c r="I192" s="49" t="n"/>
    </row>
    <row r="193">
      <c r="B193" s="49" t="n"/>
      <c r="D193" s="49" t="n"/>
      <c r="E193" s="49" t="n"/>
      <c r="F193" s="49" t="n"/>
      <c r="G193" s="49" t="n"/>
      <c r="H193" s="49" t="n"/>
      <c r="I193" s="49" t="n"/>
    </row>
    <row r="194">
      <c r="B194" s="49" t="n"/>
      <c r="D194" s="49" t="n"/>
      <c r="E194" s="49" t="n"/>
      <c r="F194" s="49" t="n"/>
      <c r="G194" s="49" t="n"/>
      <c r="H194" s="49" t="n"/>
      <c r="I194" s="49" t="n"/>
    </row>
    <row r="195">
      <c r="B195" s="49" t="n"/>
      <c r="D195" s="49" t="n"/>
      <c r="E195" s="49" t="n"/>
      <c r="F195" s="49" t="n"/>
      <c r="G195" s="49" t="n"/>
      <c r="H195" s="49" t="n"/>
      <c r="I195" s="49" t="n"/>
    </row>
    <row r="196">
      <c r="B196" s="49" t="n"/>
      <c r="D196" s="49" t="n"/>
      <c r="E196" s="49" t="n"/>
      <c r="F196" s="49" t="n"/>
      <c r="G196" s="49" t="n"/>
      <c r="H196" s="49" t="n"/>
      <c r="I196" s="49" t="n"/>
    </row>
    <row r="197">
      <c r="B197" s="49" t="n"/>
      <c r="D197" s="49" t="n"/>
      <c r="E197" s="49" t="n"/>
      <c r="F197" s="49" t="n"/>
      <c r="G197" s="49" t="n"/>
      <c r="H197" s="49" t="n"/>
      <c r="I197" s="49" t="n"/>
    </row>
    <row r="198">
      <c r="B198" s="49" t="n"/>
      <c r="D198" s="49" t="n"/>
      <c r="E198" s="49" t="n"/>
      <c r="F198" s="49" t="n"/>
      <c r="G198" s="49" t="n"/>
      <c r="H198" s="49" t="n"/>
      <c r="I198" s="49" t="n"/>
    </row>
    <row r="199">
      <c r="B199" s="49" t="n"/>
      <c r="D199" s="49" t="n"/>
      <c r="E199" s="49" t="n"/>
      <c r="F199" s="49" t="n"/>
      <c r="G199" s="49" t="n"/>
      <c r="H199" s="49" t="n"/>
      <c r="I199" s="49" t="n"/>
    </row>
    <row r="200">
      <c r="B200" s="49" t="n"/>
      <c r="D200" s="49" t="n"/>
      <c r="E200" s="49" t="n"/>
      <c r="F200" s="49" t="n"/>
      <c r="G200" s="49" t="n"/>
      <c r="H200" s="49" t="n"/>
      <c r="I200" s="49" t="n"/>
    </row>
    <row r="201">
      <c r="B201" s="49" t="n"/>
      <c r="D201" s="49" t="n"/>
      <c r="E201" s="49" t="n"/>
      <c r="F201" s="49" t="n"/>
      <c r="G201" s="49" t="n"/>
      <c r="H201" s="49" t="n"/>
      <c r="I201" s="49" t="n"/>
    </row>
    <row r="202">
      <c r="B202" s="49" t="n"/>
      <c r="D202" s="49" t="n"/>
      <c r="E202" s="49" t="n"/>
      <c r="F202" s="49" t="n"/>
      <c r="G202" s="49" t="n"/>
      <c r="H202" s="49" t="n"/>
      <c r="I202" s="49" t="n"/>
    </row>
    <row r="203">
      <c r="B203" s="49" t="n"/>
      <c r="D203" s="49" t="n"/>
      <c r="E203" s="49" t="n"/>
      <c r="F203" s="49" t="n"/>
      <c r="G203" s="49" t="n"/>
      <c r="H203" s="49" t="n"/>
      <c r="I203" s="49" t="n"/>
    </row>
    <row r="204">
      <c r="B204" s="49" t="n"/>
      <c r="D204" s="49" t="n"/>
      <c r="E204" s="49" t="n"/>
      <c r="F204" s="49" t="n"/>
      <c r="G204" s="49" t="n"/>
      <c r="H204" s="49" t="n"/>
      <c r="I204" s="49" t="n"/>
    </row>
    <row r="205">
      <c r="B205" s="49" t="n"/>
      <c r="D205" s="49" t="n"/>
      <c r="E205" s="49" t="n"/>
      <c r="F205" s="49" t="n"/>
      <c r="G205" s="49" t="n"/>
      <c r="H205" s="49" t="n"/>
      <c r="I205" s="49" t="n"/>
    </row>
    <row r="206">
      <c r="B206" s="49" t="n"/>
      <c r="D206" s="49" t="n"/>
      <c r="E206" s="49" t="n"/>
      <c r="F206" s="49" t="n"/>
      <c r="G206" s="49" t="n"/>
      <c r="H206" s="49" t="n"/>
      <c r="I206" s="49" t="n"/>
    </row>
    <row r="207">
      <c r="B207" s="49" t="n"/>
      <c r="D207" s="49" t="n"/>
      <c r="E207" s="49" t="n"/>
      <c r="F207" s="49" t="n"/>
      <c r="G207" s="49" t="n"/>
      <c r="H207" s="49" t="n"/>
      <c r="I207" s="49" t="n"/>
    </row>
    <row r="208">
      <c r="B208" s="49" t="n"/>
      <c r="D208" s="49" t="n"/>
      <c r="E208" s="49" t="n"/>
      <c r="F208" s="49" t="n"/>
      <c r="G208" s="49" t="n"/>
      <c r="H208" s="49" t="n"/>
      <c r="I208" s="49" t="n"/>
    </row>
    <row r="209">
      <c r="B209" s="49" t="n"/>
      <c r="D209" s="49" t="n"/>
      <c r="E209" s="49" t="n"/>
      <c r="F209" s="49" t="n"/>
      <c r="G209" s="49" t="n"/>
      <c r="H209" s="49" t="n"/>
      <c r="I209" s="49" t="n"/>
    </row>
    <row r="210">
      <c r="B210" s="49" t="n"/>
      <c r="D210" s="49" t="n"/>
      <c r="E210" s="49" t="n"/>
      <c r="F210" s="49" t="n"/>
      <c r="G210" s="49" t="n"/>
      <c r="H210" s="49" t="n"/>
      <c r="I210" s="49" t="n"/>
    </row>
    <row r="211">
      <c r="B211" s="49" t="n"/>
      <c r="D211" s="49" t="n"/>
      <c r="E211" s="49" t="n"/>
      <c r="F211" s="49" t="n"/>
      <c r="G211" s="49" t="n"/>
      <c r="H211" s="49" t="n"/>
      <c r="I211" s="49" t="n"/>
    </row>
    <row r="212">
      <c r="B212" s="49" t="n"/>
      <c r="D212" s="49" t="n"/>
      <c r="E212" s="49" t="n"/>
      <c r="F212" s="49" t="n"/>
      <c r="G212" s="49" t="n"/>
      <c r="H212" s="49" t="n"/>
      <c r="I212" s="49" t="n"/>
    </row>
    <row r="213">
      <c r="B213" s="49" t="n"/>
      <c r="D213" s="49" t="n"/>
      <c r="E213" s="49" t="n"/>
      <c r="F213" s="49" t="n"/>
      <c r="G213" s="49" t="n"/>
      <c r="H213" s="49" t="n"/>
      <c r="I213" s="49" t="n"/>
    </row>
    <row r="214">
      <c r="B214" s="49" t="n"/>
      <c r="D214" s="49" t="n"/>
      <c r="E214" s="49" t="n"/>
      <c r="F214" s="49" t="n"/>
      <c r="G214" s="49" t="n"/>
      <c r="H214" s="49" t="n"/>
      <c r="I214" s="49" t="n"/>
    </row>
    <row r="215">
      <c r="B215" s="49" t="n"/>
      <c r="D215" s="49" t="n"/>
      <c r="E215" s="49" t="n"/>
      <c r="F215" s="49" t="n"/>
      <c r="G215" s="49" t="n"/>
      <c r="H215" s="49" t="n"/>
      <c r="I215" s="49" t="n"/>
    </row>
    <row r="216">
      <c r="B216" s="49" t="n"/>
      <c r="D216" s="49" t="n"/>
      <c r="E216" s="49" t="n"/>
      <c r="F216" s="49" t="n"/>
      <c r="G216" s="49" t="n"/>
      <c r="H216" s="49" t="n"/>
      <c r="I216" s="49" t="n"/>
    </row>
    <row r="217">
      <c r="B217" s="49" t="n"/>
      <c r="D217" s="49" t="n"/>
      <c r="E217" s="49" t="n"/>
      <c r="F217" s="49" t="n"/>
      <c r="G217" s="49" t="n"/>
      <c r="H217" s="49" t="n"/>
      <c r="I217" s="49" t="n"/>
    </row>
    <row r="218">
      <c r="B218" s="49" t="n"/>
      <c r="D218" s="49" t="n"/>
      <c r="E218" s="49" t="n"/>
      <c r="F218" s="49" t="n"/>
      <c r="G218" s="49" t="n"/>
      <c r="H218" s="49" t="n"/>
      <c r="I218" s="49" t="n"/>
    </row>
  </sheetData>
  <mergeCells count="7">
    <mergeCell ref="B7:I7"/>
    <mergeCell ref="B6:I6"/>
    <mergeCell ref="C8:I8"/>
    <mergeCell ref="B10:C10"/>
    <mergeCell ref="B3:I3"/>
    <mergeCell ref="B5:I5"/>
    <mergeCell ref="B4:I4"/>
  </mergeCells>
  <conditionalFormatting sqref="E9">
    <cfRule type="cellIs" priority="1" operator="greaterThan" dxfId="5">
      <formula>0</formula>
    </cfRule>
  </conditionalFormatting>
  <conditionalFormatting sqref="B18:B218">
    <cfRule type="expression" priority="2" dxfId="6">
      <formula>AND(LEN($B18&amp;$C18&amp;$D18&amp;$E18&amp;$F18&amp;$G18&amp;$H18&amp;$I18)&gt;0,B18="")</formula>
    </cfRule>
  </conditionalFormatting>
  <conditionalFormatting sqref="C18:C218">
    <cfRule type="expression" priority="3" dxfId="6">
      <formula>AND(LEN($B18&amp;$C18&amp;$D18&amp;$E18&amp;$F18&amp;$G18&amp;$H18&amp;$I18)&gt;0,C18="")</formula>
    </cfRule>
  </conditionalFormatting>
  <conditionalFormatting sqref="D18:D218">
    <cfRule type="expression" priority="4" dxfId="6">
      <formula>AND(LEN($B18&amp;$C18&amp;$D18&amp;$E18&amp;$F18&amp;$G18&amp;$H18&amp;$I18)&gt;0,D18="")</formula>
    </cfRule>
  </conditionalFormatting>
  <conditionalFormatting sqref="G18:G218">
    <cfRule type="expression" priority="5" dxfId="6">
      <formula>AND(LEN($B18&amp;$C18&amp;$D18&amp;$E18&amp;$F18&amp;$G18&amp;$H18&amp;$I18)&gt;0,G18="")</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8:B218" showDropDown="0" showInputMessage="1" showErrorMessage="1" allowBlank="1" errorTitle="legacy_package_code" error="At most 20 characters." promptTitle="legacy_package_code" prompt="Yes. Legacy package code Allowed: Free entry, up to 20 characters" type="textLength" operator="lessThanOrEqual">
      <formula1>20</formula1>
    </dataValidation>
    <dataValidation sqref="C18:C218" showDropDown="0" showInputMessage="1" showErrorMessage="1" allowBlank="1" errorTitle="legacy_package_version" error="Enter a whole number." promptTitle="legacy_package_version" prompt="Yes. Version of the legacy package Allowed: A whole number" type="whole" operator="greaterThanOrEqual">
      <formula1>-1E+15</formula1>
    </dataValidation>
    <dataValidation sqref="D18:D218" showDropDown="0" showInputMessage="1" showErrorMessage="1" allowBlank="1" errorTitle="legacy_package_name" error="At most 200 characters." promptTitle="legacy_package_name" prompt="Yes. Package name in legacy Allowed: Free entry, up to 200 characters" type="textLength" operator="lessThanOrEqual">
      <formula1>200</formula1>
    </dataValidation>
    <dataValidation sqref="E18:E218" showDropDown="0" showInputMessage="1" showErrorMessage="1" allowBlank="1" errorTitle="qualifier" error="Choose a value of the list R06 qualifier (sheet Reference lists)." promptTitle="qualifier" prompt="No. Attribute that splits one legacy package into several BIBS packages Allowed: RISK_CODE, INSURER, SI_BAND (list R06 qualifier)" type="list" errorStyle="stop">
      <formula1>=LIST_R06_QUALIFIER</formula1>
    </dataValidation>
    <dataValidation sqref="F18:F218" showDropDown="0" showInputMessage="1" showErrorMessage="1" allowBlank="1" errorTitle="qualifier_value" error="At most 60 characters." promptTitle="qualifier_value" prompt="Conditional: Mandatory with a qualifier; bands of one legacy package do not overlap. Value of the qualifier (risk code, insurer code, or sum-insured band as from-to) Allowed: Free entry, up to 60 characters" type="textLength" operator="lessThanOrEqual">
      <formula1>60</formula1>
    </dataValidation>
    <dataValidation sqref="G18:G218" showDropDown="0" showInputMessage="1" showErrorMessage="1" allowBlank="1" errorTitle="action" error="Choose a value of the list R06 action (sheet Reference lists)." promptTitle="action" prompt="Yes. MAP to a BIBS package version, or REJECT (no BIBS package) Allowed: MAP, REJECT (list R06 action)" type="list" errorStyle="stop">
      <formula1>=LIST_R06_ACTION</formula1>
    </dataValidation>
    <dataValidation sqref="H18:H218" showDropDown="0" showInputMessage="1" showErrorMessage="1" allowBlank="1" errorTitle="bibs_package_version" error="At most 40 characters." promptTitle="bibs_package_version" prompt="Conditional: Mandatory for MAP; active in Product Maintenance. BIBS package version maintained by TSU Allowed: Active package versions in Product Maintenance" type="textLength" operator="lessThanOrEqual">
      <formula1>40</formula1>
    </dataValidation>
    <dataValidation sqref="I18:I218" showDropDown="0" showInputMessage="1" showErrorMessage="1" allowBlank="1" errorTitle="remarks" error="At most 250 characters." promptTitle="remarks" prompt="No. Why the entry maps as it does Allowed: Free entry, up to 250 characters" type="textLength" operator="lessThanOrEqual">
      <formula1>250</formula1>
    </dataValidation>
  </dataValidations>
  <hyperlinks>
    <hyperlink ref="A2" location="'Start here'!A1"/>
    <hyperlink ref="I2" location="'Questions and comments'!A1"/>
    <hyperlink ref="B8" location="'R05 Product lines, cover types,'!A1"/>
    <hyperlink ref="C8" location="'PM-06 Packages'!A1"/>
    <hyperlink ref="E15" location="'Reference lists'!A512"/>
    <hyperlink ref="G15" location="'Reference lists'!A515"/>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8" customWidth="1" min="3" max="3"/>
    <col width="40" customWidth="1" min="4" max="4"/>
    <col width="26" customWidth="1" min="5" max="5"/>
    <col width="19" customWidth="1" min="6" max="6"/>
    <col width="12" customWidth="1" min="7" max="7"/>
  </cols>
  <sheetData>
    <row r="1" ht="26" customHeight="1">
      <c r="A1" s="25" t="inlineStr">
        <is>
          <t>PM-08 Document templates</t>
        </is>
      </c>
      <c r="G1" s="26" t="inlineStr">
        <is>
          <t>Step 50 of 52</t>
        </is>
      </c>
    </row>
    <row r="2">
      <c r="A2" s="27" t="inlineStr">
        <is>
          <t>← Back to Start here</t>
        </is>
      </c>
      <c r="B2" s="28" t="inlineStr">
        <is>
          <t>Step 50 of 52. Fill in one row per record below the column headers; the guide above each column says what to enter.</t>
        </is>
      </c>
      <c r="G2" s="29" t="inlineStr">
        <is>
          <t>Ask a question →</t>
        </is>
      </c>
    </row>
    <row r="3" outlineLevel="1" ht="28" customHeight="1">
      <c r="A3" s="30" t="inlineStr">
        <is>
          <t>Purpose</t>
        </is>
      </c>
      <c r="B3" s="31" t="inlineStr">
        <is>
          <t>The texts of the package documents: Package Request Form, quotation slip, comparative table, package slip, package advisory and package renewal advisory, with the merge fields each may use</t>
        </is>
      </c>
    </row>
    <row r="4" outlineLevel="1" ht="15.5" customHeight="1">
      <c r="A4" s="30" t="inlineStr">
        <is>
          <t>Provided by</t>
        </is>
      </c>
      <c r="B4" s="31" t="inlineStr">
        <is>
          <t>TSU and MBS (texts); Business Administrator (maintenance)</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Setup &amp; Administration › Broking Setup › Document Templates, approved by a second user</t>
        </is>
      </c>
    </row>
    <row r="7" outlineLevel="1" ht="15.5" customHeight="1">
      <c r="A7" s="30" t="inlineStr">
        <is>
          <t>Source</t>
        </is>
      </c>
      <c r="B7" s="31" t="inlineStr">
        <is>
          <t>Upload template of the configuration screen (the same columns, headers, mandatory flags and allowed values)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SUMPRODUCT(((ROW($B$17:$B$517)&gt;17)+($B$17&lt;&gt;"PKG_ADVISORY")&gt;0)*(LEN($B$17:$B$517&amp;$C$17:$C$517&amp;$D$17:$D$517&amp;$E$17:$E$517&amp;$F$17:$F$517)&gt;0))</f>
        <v/>
      </c>
      <c r="D9" s="35" t="inlineStr">
        <is>
          <t>Mandatory cells missing</t>
        </is>
      </c>
      <c r="E9" s="36">
        <f>SUMPRODUCT(((ROW($B$17:$B$517)&gt;17)+($B$17&lt;&gt;"PKG_ADVISORY")&gt;0)*(LEN($B$17:$B$517&amp;$C$17:$C$517&amp;$D$17:$D$517&amp;$E$17:$E$517&amp;$F$17:$F$517)&gt;0)*(($B$17:$B$517="")+($C$17:$C$517="")+($D$17:$D$517="")+($F$17:$F$517="")))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row>
    <row r="13" ht="30" customHeight="1">
      <c r="A13" s="41" t="inlineStr">
        <is>
          <t>Format</t>
        </is>
      </c>
      <c r="B13" s="43" t="inlineStr">
        <is>
          <t>Code from the drop-down</t>
        </is>
      </c>
      <c r="C13" s="43" t="inlineStr">
        <is>
          <t>Text</t>
        </is>
      </c>
      <c r="D13" s="43" t="inlineStr">
        <is>
          <t>Text</t>
        </is>
      </c>
      <c r="E13" s="43" t="inlineStr">
        <is>
          <t>Text</t>
        </is>
      </c>
      <c r="F13" s="43" t="inlineStr">
        <is>
          <t>Date dd-MMM-yyyy, e.g. 15-Jan-2026</t>
        </is>
      </c>
    </row>
    <row r="14" ht="56" customHeight="1">
      <c r="A14" s="41" t="inlineStr">
        <is>
          <t>Allowed values</t>
        </is>
      </c>
      <c r="B14" s="51" t="inlineStr">
        <is>
          <t>List Template (PM-08): 6 values, see Reference lists</t>
        </is>
      </c>
      <c r="C14" s="43" t="inlineStr">
        <is>
          <t>Free entry</t>
        </is>
      </c>
      <c r="D14" s="43" t="inlineStr">
        <is>
          <t>Free entry</t>
        </is>
      </c>
      <c r="E14" s="43" t="inlineStr">
        <is>
          <t>Free entry</t>
        </is>
      </c>
      <c r="F14" s="43" t="inlineStr">
        <is>
          <t>A date, for example 15-Jan-2028</t>
        </is>
      </c>
    </row>
    <row r="15" ht="30" customHeight="1">
      <c r="A15" s="41" t="inlineStr">
        <is>
          <t>What to enter</t>
        </is>
      </c>
      <c r="B15" s="43" t="inlineStr">
        <is>
          <t>Package document template</t>
        </is>
      </c>
      <c r="C15" s="43" t="inlineStr">
        <is>
          <t>Title of the document</t>
        </is>
      </c>
      <c r="D15" s="43" t="inlineStr">
        <is>
          <t>Text with merge fields in double braces</t>
        </is>
      </c>
      <c r="E15" s="43" t="inlineStr">
        <is>
          <t>Merge fields of the text, for reference</t>
        </is>
      </c>
      <c r="F15" s="43" t="inlineStr">
        <is>
          <t>First day of use of the version</t>
        </is>
      </c>
    </row>
    <row r="16" ht="30" customHeight="1">
      <c r="A16" s="44" t="inlineStr">
        <is>
          <t>Row</t>
        </is>
      </c>
      <c r="B16" s="45" t="inlineStr">
        <is>
          <t>Template *</t>
        </is>
      </c>
      <c r="C16" s="45" t="inlineStr">
        <is>
          <t>Title *</t>
        </is>
      </c>
      <c r="D16" s="45" t="inlineStr">
        <is>
          <t>Text *</t>
        </is>
      </c>
      <c r="E16" s="45" t="inlineStr">
        <is>
          <t>Merge fields used</t>
        </is>
      </c>
      <c r="F16" s="45" t="inlineStr">
        <is>
          <t>Effective from *</t>
        </is>
      </c>
    </row>
    <row r="17" ht="43" customHeight="1">
      <c r="A17" s="46" t="inlineStr">
        <is>
          <t>Example – overwrite or delete</t>
        </is>
      </c>
      <c r="B17" s="47" t="inlineStr">
        <is>
          <t>PKG_ADVISORY</t>
        </is>
      </c>
      <c r="C17" s="47" t="inlineStr">
        <is>
          <t>Package advisory</t>
        </is>
      </c>
      <c r="D17" s="47" t="inlineStr">
        <is>
          <t>This is to advise that the package {{productCode}} - {{productName}} is available.</t>
        </is>
      </c>
      <c r="E17" s="47" t="inlineStr">
        <is>
          <t>productCode, productName</t>
        </is>
      </c>
      <c r="F17" s="48" t="n">
        <v>46753</v>
      </c>
    </row>
    <row r="18">
      <c r="B18" s="49" t="n"/>
      <c r="C18" s="49" t="n"/>
      <c r="D18" s="49" t="n"/>
      <c r="E18" s="49" t="n"/>
      <c r="F18" s="50" t="n"/>
    </row>
    <row r="19">
      <c r="B19" s="49" t="n"/>
      <c r="C19" s="49" t="n"/>
      <c r="D19" s="49" t="n"/>
      <c r="E19" s="49" t="n"/>
      <c r="F19" s="50" t="n"/>
    </row>
    <row r="20">
      <c r="B20" s="49" t="n"/>
      <c r="C20" s="49" t="n"/>
      <c r="D20" s="49" t="n"/>
      <c r="E20" s="49" t="n"/>
      <c r="F20" s="50" t="n"/>
    </row>
    <row r="21">
      <c r="B21" s="49" t="n"/>
      <c r="C21" s="49" t="n"/>
      <c r="D21" s="49" t="n"/>
      <c r="E21" s="49" t="n"/>
      <c r="F21" s="50" t="n"/>
    </row>
    <row r="22">
      <c r="B22" s="49" t="n"/>
      <c r="C22" s="49" t="n"/>
      <c r="D22" s="49" t="n"/>
      <c r="E22" s="49" t="n"/>
      <c r="F22" s="50" t="n"/>
    </row>
    <row r="23">
      <c r="B23" s="49" t="n"/>
      <c r="C23" s="49" t="n"/>
      <c r="D23" s="49" t="n"/>
      <c r="E23" s="49" t="n"/>
      <c r="F23" s="50" t="n"/>
    </row>
    <row r="24">
      <c r="B24" s="49" t="n"/>
      <c r="C24" s="49" t="n"/>
      <c r="D24" s="49" t="n"/>
      <c r="E24" s="49" t="n"/>
      <c r="F24" s="50" t="n"/>
    </row>
    <row r="25">
      <c r="B25" s="49" t="n"/>
      <c r="C25" s="49" t="n"/>
      <c r="D25" s="49" t="n"/>
      <c r="E25" s="49" t="n"/>
      <c r="F25" s="50" t="n"/>
    </row>
    <row r="26">
      <c r="B26" s="49" t="n"/>
      <c r="C26" s="49" t="n"/>
      <c r="D26" s="49" t="n"/>
      <c r="E26" s="49" t="n"/>
      <c r="F26" s="50" t="n"/>
    </row>
    <row r="27">
      <c r="B27" s="49" t="n"/>
      <c r="C27" s="49" t="n"/>
      <c r="D27" s="49" t="n"/>
      <c r="E27" s="49" t="n"/>
      <c r="F27" s="50" t="n"/>
    </row>
    <row r="28">
      <c r="B28" s="49" t="n"/>
      <c r="C28" s="49" t="n"/>
      <c r="D28" s="49" t="n"/>
      <c r="E28" s="49" t="n"/>
      <c r="F28" s="50" t="n"/>
    </row>
    <row r="29">
      <c r="B29" s="49" t="n"/>
      <c r="C29" s="49" t="n"/>
      <c r="D29" s="49" t="n"/>
      <c r="E29" s="49" t="n"/>
      <c r="F29" s="50" t="n"/>
    </row>
    <row r="30">
      <c r="B30" s="49" t="n"/>
      <c r="C30" s="49" t="n"/>
      <c r="D30" s="49" t="n"/>
      <c r="E30" s="49" t="n"/>
      <c r="F30" s="50" t="n"/>
    </row>
    <row r="31">
      <c r="B31" s="49" t="n"/>
      <c r="C31" s="49" t="n"/>
      <c r="D31" s="49" t="n"/>
      <c r="E31" s="49" t="n"/>
      <c r="F31" s="50" t="n"/>
    </row>
    <row r="32">
      <c r="B32" s="49" t="n"/>
      <c r="C32" s="49" t="n"/>
      <c r="D32" s="49" t="n"/>
      <c r="E32" s="49" t="n"/>
      <c r="F32" s="50" t="n"/>
    </row>
    <row r="33">
      <c r="B33" s="49" t="n"/>
      <c r="C33" s="49" t="n"/>
      <c r="D33" s="49" t="n"/>
      <c r="E33" s="49" t="n"/>
      <c r="F33" s="50" t="n"/>
    </row>
    <row r="34">
      <c r="B34" s="49" t="n"/>
      <c r="C34" s="49" t="n"/>
      <c r="D34" s="49" t="n"/>
      <c r="E34" s="49" t="n"/>
      <c r="F34" s="50" t="n"/>
    </row>
    <row r="35">
      <c r="B35" s="49" t="n"/>
      <c r="C35" s="49" t="n"/>
      <c r="D35" s="49" t="n"/>
      <c r="E35" s="49" t="n"/>
      <c r="F35" s="50" t="n"/>
    </row>
    <row r="36">
      <c r="B36" s="49" t="n"/>
      <c r="C36" s="49" t="n"/>
      <c r="D36" s="49" t="n"/>
      <c r="E36" s="49" t="n"/>
      <c r="F36" s="50" t="n"/>
    </row>
    <row r="37">
      <c r="B37" s="49" t="n"/>
      <c r="C37" s="49" t="n"/>
      <c r="D37" s="49" t="n"/>
      <c r="E37" s="49" t="n"/>
      <c r="F37" s="50" t="n"/>
    </row>
    <row r="38">
      <c r="B38" s="49" t="n"/>
      <c r="C38" s="49" t="n"/>
      <c r="D38" s="49" t="n"/>
      <c r="E38" s="49" t="n"/>
      <c r="F38" s="50" t="n"/>
    </row>
    <row r="39">
      <c r="B39" s="49" t="n"/>
      <c r="C39" s="49" t="n"/>
      <c r="D39" s="49" t="n"/>
      <c r="E39" s="49" t="n"/>
      <c r="F39" s="50" t="n"/>
    </row>
    <row r="40">
      <c r="B40" s="49" t="n"/>
      <c r="C40" s="49" t="n"/>
      <c r="D40" s="49" t="n"/>
      <c r="E40" s="49" t="n"/>
      <c r="F40" s="50" t="n"/>
    </row>
    <row r="41">
      <c r="B41" s="49" t="n"/>
      <c r="C41" s="49" t="n"/>
      <c r="D41" s="49" t="n"/>
      <c r="E41" s="49" t="n"/>
      <c r="F41" s="50" t="n"/>
    </row>
    <row r="42">
      <c r="B42" s="49" t="n"/>
      <c r="C42" s="49" t="n"/>
      <c r="D42" s="49" t="n"/>
      <c r="E42" s="49" t="n"/>
      <c r="F42" s="50" t="n"/>
    </row>
    <row r="43">
      <c r="B43" s="49" t="n"/>
      <c r="C43" s="49" t="n"/>
      <c r="D43" s="49" t="n"/>
      <c r="E43" s="49" t="n"/>
      <c r="F43" s="50" t="n"/>
    </row>
    <row r="44">
      <c r="B44" s="49" t="n"/>
      <c r="C44" s="49" t="n"/>
      <c r="D44" s="49" t="n"/>
      <c r="E44" s="49" t="n"/>
      <c r="F44" s="50" t="n"/>
    </row>
    <row r="45">
      <c r="B45" s="49" t="n"/>
      <c r="C45" s="49" t="n"/>
      <c r="D45" s="49" t="n"/>
      <c r="E45" s="49" t="n"/>
      <c r="F45" s="50" t="n"/>
    </row>
    <row r="46">
      <c r="B46" s="49" t="n"/>
      <c r="C46" s="49" t="n"/>
      <c r="D46" s="49" t="n"/>
      <c r="E46" s="49" t="n"/>
      <c r="F46" s="50" t="n"/>
    </row>
    <row r="47">
      <c r="B47" s="49" t="n"/>
      <c r="C47" s="49" t="n"/>
      <c r="D47" s="49" t="n"/>
      <c r="E47" s="49" t="n"/>
      <c r="F47" s="50" t="n"/>
    </row>
    <row r="48">
      <c r="B48" s="49" t="n"/>
      <c r="C48" s="49" t="n"/>
      <c r="D48" s="49" t="n"/>
      <c r="E48" s="49" t="n"/>
      <c r="F48" s="50" t="n"/>
    </row>
    <row r="49">
      <c r="B49" s="49" t="n"/>
      <c r="C49" s="49" t="n"/>
      <c r="D49" s="49" t="n"/>
      <c r="E49" s="49" t="n"/>
      <c r="F49" s="50" t="n"/>
    </row>
    <row r="50">
      <c r="B50" s="49" t="n"/>
      <c r="C50" s="49" t="n"/>
      <c r="D50" s="49" t="n"/>
      <c r="E50" s="49" t="n"/>
      <c r="F50" s="50" t="n"/>
    </row>
    <row r="51">
      <c r="B51" s="49" t="n"/>
      <c r="C51" s="49" t="n"/>
      <c r="D51" s="49" t="n"/>
      <c r="E51" s="49" t="n"/>
      <c r="F51" s="50" t="n"/>
    </row>
    <row r="52">
      <c r="B52" s="49" t="n"/>
      <c r="C52" s="49" t="n"/>
      <c r="D52" s="49" t="n"/>
      <c r="E52" s="49" t="n"/>
      <c r="F52" s="50" t="n"/>
    </row>
    <row r="53">
      <c r="B53" s="49" t="n"/>
      <c r="C53" s="49" t="n"/>
      <c r="D53" s="49" t="n"/>
      <c r="E53" s="49" t="n"/>
      <c r="F53" s="50" t="n"/>
    </row>
    <row r="54">
      <c r="B54" s="49" t="n"/>
      <c r="C54" s="49" t="n"/>
      <c r="D54" s="49" t="n"/>
      <c r="E54" s="49" t="n"/>
      <c r="F54" s="50" t="n"/>
    </row>
    <row r="55">
      <c r="B55" s="49" t="n"/>
      <c r="C55" s="49" t="n"/>
      <c r="D55" s="49" t="n"/>
      <c r="E55" s="49" t="n"/>
      <c r="F55" s="50" t="n"/>
    </row>
    <row r="56">
      <c r="B56" s="49" t="n"/>
      <c r="C56" s="49" t="n"/>
      <c r="D56" s="49" t="n"/>
      <c r="E56" s="49" t="n"/>
      <c r="F56" s="50" t="n"/>
    </row>
    <row r="57">
      <c r="B57" s="49" t="n"/>
      <c r="C57" s="49" t="n"/>
      <c r="D57" s="49" t="n"/>
      <c r="E57" s="49" t="n"/>
      <c r="F57" s="50" t="n"/>
    </row>
    <row r="58">
      <c r="B58" s="49" t="n"/>
      <c r="C58" s="49" t="n"/>
      <c r="D58" s="49" t="n"/>
      <c r="E58" s="49" t="n"/>
      <c r="F58" s="50" t="n"/>
    </row>
    <row r="59">
      <c r="B59" s="49" t="n"/>
      <c r="C59" s="49" t="n"/>
      <c r="D59" s="49" t="n"/>
      <c r="E59" s="49" t="n"/>
      <c r="F59" s="50" t="n"/>
    </row>
    <row r="60">
      <c r="B60" s="49" t="n"/>
      <c r="C60" s="49" t="n"/>
      <c r="D60" s="49" t="n"/>
      <c r="E60" s="49" t="n"/>
      <c r="F60" s="50" t="n"/>
    </row>
    <row r="61">
      <c r="B61" s="49" t="n"/>
      <c r="C61" s="49" t="n"/>
      <c r="D61" s="49" t="n"/>
      <c r="E61" s="49" t="n"/>
      <c r="F61" s="50" t="n"/>
    </row>
    <row r="62">
      <c r="B62" s="49" t="n"/>
      <c r="C62" s="49" t="n"/>
      <c r="D62" s="49" t="n"/>
      <c r="E62" s="49" t="n"/>
      <c r="F62" s="50" t="n"/>
    </row>
    <row r="63">
      <c r="B63" s="49" t="n"/>
      <c r="C63" s="49" t="n"/>
      <c r="D63" s="49" t="n"/>
      <c r="E63" s="49" t="n"/>
      <c r="F63" s="50" t="n"/>
    </row>
    <row r="64">
      <c r="B64" s="49" t="n"/>
      <c r="C64" s="49" t="n"/>
      <c r="D64" s="49" t="n"/>
      <c r="E64" s="49" t="n"/>
      <c r="F64" s="50" t="n"/>
    </row>
    <row r="65">
      <c r="B65" s="49" t="n"/>
      <c r="C65" s="49" t="n"/>
      <c r="D65" s="49" t="n"/>
      <c r="E65" s="49" t="n"/>
      <c r="F65" s="50" t="n"/>
    </row>
    <row r="66">
      <c r="B66" s="49" t="n"/>
      <c r="C66" s="49" t="n"/>
      <c r="D66" s="49" t="n"/>
      <c r="E66" s="49" t="n"/>
      <c r="F66" s="50" t="n"/>
    </row>
    <row r="67">
      <c r="B67" s="49" t="n"/>
      <c r="C67" s="49" t="n"/>
      <c r="D67" s="49" t="n"/>
      <c r="E67" s="49" t="n"/>
      <c r="F67" s="50" t="n"/>
    </row>
    <row r="68">
      <c r="B68" s="49" t="n"/>
      <c r="C68" s="49" t="n"/>
      <c r="D68" s="49" t="n"/>
      <c r="E68" s="49" t="n"/>
      <c r="F68" s="50" t="n"/>
    </row>
    <row r="69">
      <c r="B69" s="49" t="n"/>
      <c r="C69" s="49" t="n"/>
      <c r="D69" s="49" t="n"/>
      <c r="E69" s="49" t="n"/>
      <c r="F69" s="50" t="n"/>
    </row>
    <row r="70">
      <c r="B70" s="49" t="n"/>
      <c r="C70" s="49" t="n"/>
      <c r="D70" s="49" t="n"/>
      <c r="E70" s="49" t="n"/>
      <c r="F70" s="50" t="n"/>
    </row>
    <row r="71">
      <c r="B71" s="49" t="n"/>
      <c r="C71" s="49" t="n"/>
      <c r="D71" s="49" t="n"/>
      <c r="E71" s="49" t="n"/>
      <c r="F71" s="50" t="n"/>
    </row>
    <row r="72">
      <c r="B72" s="49" t="n"/>
      <c r="C72" s="49" t="n"/>
      <c r="D72" s="49" t="n"/>
      <c r="E72" s="49" t="n"/>
      <c r="F72" s="50" t="n"/>
    </row>
    <row r="73">
      <c r="B73" s="49" t="n"/>
      <c r="C73" s="49" t="n"/>
      <c r="D73" s="49" t="n"/>
      <c r="E73" s="49" t="n"/>
      <c r="F73" s="50" t="n"/>
    </row>
    <row r="74">
      <c r="B74" s="49" t="n"/>
      <c r="C74" s="49" t="n"/>
      <c r="D74" s="49" t="n"/>
      <c r="E74" s="49" t="n"/>
      <c r="F74" s="50" t="n"/>
    </row>
    <row r="75">
      <c r="B75" s="49" t="n"/>
      <c r="C75" s="49" t="n"/>
      <c r="D75" s="49" t="n"/>
      <c r="E75" s="49" t="n"/>
      <c r="F75" s="50" t="n"/>
    </row>
    <row r="76">
      <c r="B76" s="49" t="n"/>
      <c r="C76" s="49" t="n"/>
      <c r="D76" s="49" t="n"/>
      <c r="E76" s="49" t="n"/>
      <c r="F76" s="50" t="n"/>
    </row>
    <row r="77">
      <c r="B77" s="49" t="n"/>
      <c r="C77" s="49" t="n"/>
      <c r="D77" s="49" t="n"/>
      <c r="E77" s="49" t="n"/>
      <c r="F77" s="50" t="n"/>
    </row>
    <row r="78">
      <c r="B78" s="49" t="n"/>
      <c r="C78" s="49" t="n"/>
      <c r="D78" s="49" t="n"/>
      <c r="E78" s="49" t="n"/>
      <c r="F78" s="50" t="n"/>
    </row>
    <row r="79">
      <c r="B79" s="49" t="n"/>
      <c r="C79" s="49" t="n"/>
      <c r="D79" s="49" t="n"/>
      <c r="E79" s="49" t="n"/>
      <c r="F79" s="50" t="n"/>
    </row>
    <row r="80">
      <c r="B80" s="49" t="n"/>
      <c r="C80" s="49" t="n"/>
      <c r="D80" s="49" t="n"/>
      <c r="E80" s="49" t="n"/>
      <c r="F80" s="50" t="n"/>
    </row>
    <row r="81">
      <c r="B81" s="49" t="n"/>
      <c r="C81" s="49" t="n"/>
      <c r="D81" s="49" t="n"/>
      <c r="E81" s="49" t="n"/>
      <c r="F81" s="50" t="n"/>
    </row>
    <row r="82">
      <c r="B82" s="49" t="n"/>
      <c r="C82" s="49" t="n"/>
      <c r="D82" s="49" t="n"/>
      <c r="E82" s="49" t="n"/>
      <c r="F82" s="50" t="n"/>
    </row>
    <row r="83">
      <c r="B83" s="49" t="n"/>
      <c r="C83" s="49" t="n"/>
      <c r="D83" s="49" t="n"/>
      <c r="E83" s="49" t="n"/>
      <c r="F83" s="50" t="n"/>
    </row>
    <row r="84">
      <c r="B84" s="49" t="n"/>
      <c r="C84" s="49" t="n"/>
      <c r="D84" s="49" t="n"/>
      <c r="E84" s="49" t="n"/>
      <c r="F84" s="50" t="n"/>
    </row>
    <row r="85">
      <c r="B85" s="49" t="n"/>
      <c r="C85" s="49" t="n"/>
      <c r="D85" s="49" t="n"/>
      <c r="E85" s="49" t="n"/>
      <c r="F85" s="50" t="n"/>
    </row>
    <row r="86">
      <c r="B86" s="49" t="n"/>
      <c r="C86" s="49" t="n"/>
      <c r="D86" s="49" t="n"/>
      <c r="E86" s="49" t="n"/>
      <c r="F86" s="50" t="n"/>
    </row>
    <row r="87">
      <c r="B87" s="49" t="n"/>
      <c r="C87" s="49" t="n"/>
      <c r="D87" s="49" t="n"/>
      <c r="E87" s="49" t="n"/>
      <c r="F87" s="50" t="n"/>
    </row>
    <row r="88">
      <c r="B88" s="49" t="n"/>
      <c r="C88" s="49" t="n"/>
      <c r="D88" s="49" t="n"/>
      <c r="E88" s="49" t="n"/>
      <c r="F88" s="50" t="n"/>
    </row>
    <row r="89">
      <c r="B89" s="49" t="n"/>
      <c r="C89" s="49" t="n"/>
      <c r="D89" s="49" t="n"/>
      <c r="E89" s="49" t="n"/>
      <c r="F89" s="50" t="n"/>
    </row>
    <row r="90">
      <c r="B90" s="49" t="n"/>
      <c r="C90" s="49" t="n"/>
      <c r="D90" s="49" t="n"/>
      <c r="E90" s="49" t="n"/>
      <c r="F90" s="50" t="n"/>
    </row>
    <row r="91">
      <c r="B91" s="49" t="n"/>
      <c r="C91" s="49" t="n"/>
      <c r="D91" s="49" t="n"/>
      <c r="E91" s="49" t="n"/>
      <c r="F91" s="50" t="n"/>
    </row>
    <row r="92">
      <c r="B92" s="49" t="n"/>
      <c r="C92" s="49" t="n"/>
      <c r="D92" s="49" t="n"/>
      <c r="E92" s="49" t="n"/>
      <c r="F92" s="50" t="n"/>
    </row>
    <row r="93">
      <c r="B93" s="49" t="n"/>
      <c r="C93" s="49" t="n"/>
      <c r="D93" s="49" t="n"/>
      <c r="E93" s="49" t="n"/>
      <c r="F93" s="50" t="n"/>
    </row>
    <row r="94">
      <c r="B94" s="49" t="n"/>
      <c r="C94" s="49" t="n"/>
      <c r="D94" s="49" t="n"/>
      <c r="E94" s="49" t="n"/>
      <c r="F94" s="50" t="n"/>
    </row>
    <row r="95">
      <c r="B95" s="49" t="n"/>
      <c r="C95" s="49" t="n"/>
      <c r="D95" s="49" t="n"/>
      <c r="E95" s="49" t="n"/>
      <c r="F95" s="50" t="n"/>
    </row>
    <row r="96">
      <c r="B96" s="49" t="n"/>
      <c r="C96" s="49" t="n"/>
      <c r="D96" s="49" t="n"/>
      <c r="E96" s="49" t="n"/>
      <c r="F96" s="50" t="n"/>
    </row>
    <row r="97">
      <c r="B97" s="49" t="n"/>
      <c r="C97" s="49" t="n"/>
      <c r="D97" s="49" t="n"/>
      <c r="E97" s="49" t="n"/>
      <c r="F97" s="50" t="n"/>
    </row>
    <row r="98">
      <c r="B98" s="49" t="n"/>
      <c r="C98" s="49" t="n"/>
      <c r="D98" s="49" t="n"/>
      <c r="E98" s="49" t="n"/>
      <c r="F98" s="50" t="n"/>
    </row>
    <row r="99">
      <c r="B99" s="49" t="n"/>
      <c r="C99" s="49" t="n"/>
      <c r="D99" s="49" t="n"/>
      <c r="E99" s="49" t="n"/>
      <c r="F99" s="50" t="n"/>
    </row>
    <row r="100">
      <c r="B100" s="49" t="n"/>
      <c r="C100" s="49" t="n"/>
      <c r="D100" s="49" t="n"/>
      <c r="E100" s="49" t="n"/>
      <c r="F100" s="50" t="n"/>
    </row>
    <row r="101">
      <c r="B101" s="49" t="n"/>
      <c r="C101" s="49" t="n"/>
      <c r="D101" s="49" t="n"/>
      <c r="E101" s="49" t="n"/>
      <c r="F101" s="50" t="n"/>
    </row>
    <row r="102">
      <c r="B102" s="49" t="n"/>
      <c r="C102" s="49" t="n"/>
      <c r="D102" s="49" t="n"/>
      <c r="E102" s="49" t="n"/>
      <c r="F102" s="50" t="n"/>
    </row>
    <row r="103">
      <c r="B103" s="49" t="n"/>
      <c r="C103" s="49" t="n"/>
      <c r="D103" s="49" t="n"/>
      <c r="E103" s="49" t="n"/>
      <c r="F103" s="50" t="n"/>
    </row>
    <row r="104">
      <c r="B104" s="49" t="n"/>
      <c r="C104" s="49" t="n"/>
      <c r="D104" s="49" t="n"/>
      <c r="E104" s="49" t="n"/>
      <c r="F104" s="50" t="n"/>
    </row>
    <row r="105">
      <c r="B105" s="49" t="n"/>
      <c r="C105" s="49" t="n"/>
      <c r="D105" s="49" t="n"/>
      <c r="E105" s="49" t="n"/>
      <c r="F105" s="50" t="n"/>
    </row>
    <row r="106">
      <c r="B106" s="49" t="n"/>
      <c r="C106" s="49" t="n"/>
      <c r="D106" s="49" t="n"/>
      <c r="E106" s="49" t="n"/>
      <c r="F106" s="50" t="n"/>
    </row>
    <row r="107">
      <c r="B107" s="49" t="n"/>
      <c r="C107" s="49" t="n"/>
      <c r="D107" s="49" t="n"/>
      <c r="E107" s="49" t="n"/>
      <c r="F107" s="50" t="n"/>
    </row>
    <row r="108">
      <c r="B108" s="49" t="n"/>
      <c r="C108" s="49" t="n"/>
      <c r="D108" s="49" t="n"/>
      <c r="E108" s="49" t="n"/>
      <c r="F108" s="50" t="n"/>
    </row>
    <row r="109">
      <c r="B109" s="49" t="n"/>
      <c r="C109" s="49" t="n"/>
      <c r="D109" s="49" t="n"/>
      <c r="E109" s="49" t="n"/>
      <c r="F109" s="50" t="n"/>
    </row>
    <row r="110">
      <c r="B110" s="49" t="n"/>
      <c r="C110" s="49" t="n"/>
      <c r="D110" s="49" t="n"/>
      <c r="E110" s="49" t="n"/>
      <c r="F110" s="50" t="n"/>
    </row>
    <row r="111">
      <c r="B111" s="49" t="n"/>
      <c r="C111" s="49" t="n"/>
      <c r="D111" s="49" t="n"/>
      <c r="E111" s="49" t="n"/>
      <c r="F111" s="50" t="n"/>
    </row>
    <row r="112">
      <c r="B112" s="49" t="n"/>
      <c r="C112" s="49" t="n"/>
      <c r="D112" s="49" t="n"/>
      <c r="E112" s="49" t="n"/>
      <c r="F112" s="50" t="n"/>
    </row>
    <row r="113">
      <c r="B113" s="49" t="n"/>
      <c r="C113" s="49" t="n"/>
      <c r="D113" s="49" t="n"/>
      <c r="E113" s="49" t="n"/>
      <c r="F113" s="50" t="n"/>
    </row>
    <row r="114">
      <c r="B114" s="49" t="n"/>
      <c r="C114" s="49" t="n"/>
      <c r="D114" s="49" t="n"/>
      <c r="E114" s="49" t="n"/>
      <c r="F114" s="50" t="n"/>
    </row>
    <row r="115">
      <c r="B115" s="49" t="n"/>
      <c r="C115" s="49" t="n"/>
      <c r="D115" s="49" t="n"/>
      <c r="E115" s="49" t="n"/>
      <c r="F115" s="50" t="n"/>
    </row>
    <row r="116">
      <c r="B116" s="49" t="n"/>
      <c r="C116" s="49" t="n"/>
      <c r="D116" s="49" t="n"/>
      <c r="E116" s="49" t="n"/>
      <c r="F116" s="50" t="n"/>
    </row>
    <row r="117">
      <c r="B117" s="49" t="n"/>
      <c r="C117" s="49" t="n"/>
      <c r="D117" s="49" t="n"/>
      <c r="E117" s="49" t="n"/>
      <c r="F117" s="50" t="n"/>
    </row>
    <row r="118">
      <c r="B118" s="49" t="n"/>
      <c r="C118" s="49" t="n"/>
      <c r="D118" s="49" t="n"/>
      <c r="E118" s="49" t="n"/>
      <c r="F118" s="50" t="n"/>
    </row>
    <row r="119">
      <c r="B119" s="49" t="n"/>
      <c r="C119" s="49" t="n"/>
      <c r="D119" s="49" t="n"/>
      <c r="E119" s="49" t="n"/>
      <c r="F119" s="50" t="n"/>
    </row>
    <row r="120">
      <c r="B120" s="49" t="n"/>
      <c r="C120" s="49" t="n"/>
      <c r="D120" s="49" t="n"/>
      <c r="E120" s="49" t="n"/>
      <c r="F120" s="50" t="n"/>
    </row>
    <row r="121">
      <c r="B121" s="49" t="n"/>
      <c r="C121" s="49" t="n"/>
      <c r="D121" s="49" t="n"/>
      <c r="E121" s="49" t="n"/>
      <c r="F121" s="50" t="n"/>
    </row>
    <row r="122">
      <c r="B122" s="49" t="n"/>
      <c r="C122" s="49" t="n"/>
      <c r="D122" s="49" t="n"/>
      <c r="E122" s="49" t="n"/>
      <c r="F122" s="50" t="n"/>
    </row>
    <row r="123">
      <c r="B123" s="49" t="n"/>
      <c r="C123" s="49" t="n"/>
      <c r="D123" s="49" t="n"/>
      <c r="E123" s="49" t="n"/>
      <c r="F123" s="50" t="n"/>
    </row>
    <row r="124">
      <c r="B124" s="49" t="n"/>
      <c r="C124" s="49" t="n"/>
      <c r="D124" s="49" t="n"/>
      <c r="E124" s="49" t="n"/>
      <c r="F124" s="50" t="n"/>
    </row>
    <row r="125">
      <c r="B125" s="49" t="n"/>
      <c r="C125" s="49" t="n"/>
      <c r="D125" s="49" t="n"/>
      <c r="E125" s="49" t="n"/>
      <c r="F125" s="50" t="n"/>
    </row>
    <row r="126">
      <c r="B126" s="49" t="n"/>
      <c r="C126" s="49" t="n"/>
      <c r="D126" s="49" t="n"/>
      <c r="E126" s="49" t="n"/>
      <c r="F126" s="50" t="n"/>
    </row>
    <row r="127">
      <c r="B127" s="49" t="n"/>
      <c r="C127" s="49" t="n"/>
      <c r="D127" s="49" t="n"/>
      <c r="E127" s="49" t="n"/>
      <c r="F127" s="50" t="n"/>
    </row>
    <row r="128">
      <c r="B128" s="49" t="n"/>
      <c r="C128" s="49" t="n"/>
      <c r="D128" s="49" t="n"/>
      <c r="E128" s="49" t="n"/>
      <c r="F128" s="50" t="n"/>
    </row>
    <row r="129">
      <c r="B129" s="49" t="n"/>
      <c r="C129" s="49" t="n"/>
      <c r="D129" s="49" t="n"/>
      <c r="E129" s="49" t="n"/>
      <c r="F129" s="50" t="n"/>
    </row>
    <row r="130">
      <c r="B130" s="49" t="n"/>
      <c r="C130" s="49" t="n"/>
      <c r="D130" s="49" t="n"/>
      <c r="E130" s="49" t="n"/>
      <c r="F130" s="50" t="n"/>
    </row>
    <row r="131">
      <c r="B131" s="49" t="n"/>
      <c r="C131" s="49" t="n"/>
      <c r="D131" s="49" t="n"/>
      <c r="E131" s="49" t="n"/>
      <c r="F131" s="50" t="n"/>
    </row>
    <row r="132">
      <c r="B132" s="49" t="n"/>
      <c r="C132" s="49" t="n"/>
      <c r="D132" s="49" t="n"/>
      <c r="E132" s="49" t="n"/>
      <c r="F132" s="50" t="n"/>
    </row>
    <row r="133">
      <c r="B133" s="49" t="n"/>
      <c r="C133" s="49" t="n"/>
      <c r="D133" s="49" t="n"/>
      <c r="E133" s="49" t="n"/>
      <c r="F133" s="50" t="n"/>
    </row>
    <row r="134">
      <c r="B134" s="49" t="n"/>
      <c r="C134" s="49" t="n"/>
      <c r="D134" s="49" t="n"/>
      <c r="E134" s="49" t="n"/>
      <c r="F134" s="50" t="n"/>
    </row>
    <row r="135">
      <c r="B135" s="49" t="n"/>
      <c r="C135" s="49" t="n"/>
      <c r="D135" s="49" t="n"/>
      <c r="E135" s="49" t="n"/>
      <c r="F135" s="50" t="n"/>
    </row>
    <row r="136">
      <c r="B136" s="49" t="n"/>
      <c r="C136" s="49" t="n"/>
      <c r="D136" s="49" t="n"/>
      <c r="E136" s="49" t="n"/>
      <c r="F136" s="50" t="n"/>
    </row>
    <row r="137">
      <c r="B137" s="49" t="n"/>
      <c r="C137" s="49" t="n"/>
      <c r="D137" s="49" t="n"/>
      <c r="E137" s="49" t="n"/>
      <c r="F137" s="50" t="n"/>
    </row>
    <row r="138">
      <c r="B138" s="49" t="n"/>
      <c r="C138" s="49" t="n"/>
      <c r="D138" s="49" t="n"/>
      <c r="E138" s="49" t="n"/>
      <c r="F138" s="50" t="n"/>
    </row>
    <row r="139">
      <c r="B139" s="49" t="n"/>
      <c r="C139" s="49" t="n"/>
      <c r="D139" s="49" t="n"/>
      <c r="E139" s="49" t="n"/>
      <c r="F139" s="50" t="n"/>
    </row>
    <row r="140">
      <c r="B140" s="49" t="n"/>
      <c r="C140" s="49" t="n"/>
      <c r="D140" s="49" t="n"/>
      <c r="E140" s="49" t="n"/>
      <c r="F140" s="50" t="n"/>
    </row>
    <row r="141">
      <c r="B141" s="49" t="n"/>
      <c r="C141" s="49" t="n"/>
      <c r="D141" s="49" t="n"/>
      <c r="E141" s="49" t="n"/>
      <c r="F141" s="50" t="n"/>
    </row>
    <row r="142">
      <c r="B142" s="49" t="n"/>
      <c r="C142" s="49" t="n"/>
      <c r="D142" s="49" t="n"/>
      <c r="E142" s="49" t="n"/>
      <c r="F142" s="50" t="n"/>
    </row>
    <row r="143">
      <c r="B143" s="49" t="n"/>
      <c r="C143" s="49" t="n"/>
      <c r="D143" s="49" t="n"/>
      <c r="E143" s="49" t="n"/>
      <c r="F143" s="50" t="n"/>
    </row>
    <row r="144">
      <c r="B144" s="49" t="n"/>
      <c r="C144" s="49" t="n"/>
      <c r="D144" s="49" t="n"/>
      <c r="E144" s="49" t="n"/>
      <c r="F144" s="50" t="n"/>
    </row>
    <row r="145">
      <c r="B145" s="49" t="n"/>
      <c r="C145" s="49" t="n"/>
      <c r="D145" s="49" t="n"/>
      <c r="E145" s="49" t="n"/>
      <c r="F145" s="50" t="n"/>
    </row>
    <row r="146">
      <c r="B146" s="49" t="n"/>
      <c r="C146" s="49" t="n"/>
      <c r="D146" s="49" t="n"/>
      <c r="E146" s="49" t="n"/>
      <c r="F146" s="50" t="n"/>
    </row>
    <row r="147">
      <c r="B147" s="49" t="n"/>
      <c r="C147" s="49" t="n"/>
      <c r="D147" s="49" t="n"/>
      <c r="E147" s="49" t="n"/>
      <c r="F147" s="50" t="n"/>
    </row>
    <row r="148">
      <c r="B148" s="49" t="n"/>
      <c r="C148" s="49" t="n"/>
      <c r="D148" s="49" t="n"/>
      <c r="E148" s="49" t="n"/>
      <c r="F148" s="50" t="n"/>
    </row>
    <row r="149">
      <c r="B149" s="49" t="n"/>
      <c r="C149" s="49" t="n"/>
      <c r="D149" s="49" t="n"/>
      <c r="E149" s="49" t="n"/>
      <c r="F149" s="50" t="n"/>
    </row>
    <row r="150">
      <c r="B150" s="49" t="n"/>
      <c r="C150" s="49" t="n"/>
      <c r="D150" s="49" t="n"/>
      <c r="E150" s="49" t="n"/>
      <c r="F150" s="50" t="n"/>
    </row>
    <row r="151">
      <c r="B151" s="49" t="n"/>
      <c r="C151" s="49" t="n"/>
      <c r="D151" s="49" t="n"/>
      <c r="E151" s="49" t="n"/>
      <c r="F151" s="50" t="n"/>
    </row>
    <row r="152">
      <c r="B152" s="49" t="n"/>
      <c r="C152" s="49" t="n"/>
      <c r="D152" s="49" t="n"/>
      <c r="E152" s="49" t="n"/>
      <c r="F152" s="50" t="n"/>
    </row>
    <row r="153">
      <c r="B153" s="49" t="n"/>
      <c r="C153" s="49" t="n"/>
      <c r="D153" s="49" t="n"/>
      <c r="E153" s="49" t="n"/>
      <c r="F153" s="50" t="n"/>
    </row>
    <row r="154">
      <c r="B154" s="49" t="n"/>
      <c r="C154" s="49" t="n"/>
      <c r="D154" s="49" t="n"/>
      <c r="E154" s="49" t="n"/>
      <c r="F154" s="50" t="n"/>
    </row>
    <row r="155">
      <c r="B155" s="49" t="n"/>
      <c r="C155" s="49" t="n"/>
      <c r="D155" s="49" t="n"/>
      <c r="E155" s="49" t="n"/>
      <c r="F155" s="50" t="n"/>
    </row>
    <row r="156">
      <c r="B156" s="49" t="n"/>
      <c r="C156" s="49" t="n"/>
      <c r="D156" s="49" t="n"/>
      <c r="E156" s="49" t="n"/>
      <c r="F156" s="50" t="n"/>
    </row>
    <row r="157">
      <c r="B157" s="49" t="n"/>
      <c r="C157" s="49" t="n"/>
      <c r="D157" s="49" t="n"/>
      <c r="E157" s="49" t="n"/>
      <c r="F157" s="50" t="n"/>
    </row>
    <row r="158">
      <c r="B158" s="49" t="n"/>
      <c r="C158" s="49" t="n"/>
      <c r="D158" s="49" t="n"/>
      <c r="E158" s="49" t="n"/>
      <c r="F158" s="50" t="n"/>
    </row>
    <row r="159">
      <c r="B159" s="49" t="n"/>
      <c r="C159" s="49" t="n"/>
      <c r="D159" s="49" t="n"/>
      <c r="E159" s="49" t="n"/>
      <c r="F159" s="50" t="n"/>
    </row>
    <row r="160">
      <c r="B160" s="49" t="n"/>
      <c r="C160" s="49" t="n"/>
      <c r="D160" s="49" t="n"/>
      <c r="E160" s="49" t="n"/>
      <c r="F160" s="50" t="n"/>
    </row>
    <row r="161">
      <c r="B161" s="49" t="n"/>
      <c r="C161" s="49" t="n"/>
      <c r="D161" s="49" t="n"/>
      <c r="E161" s="49" t="n"/>
      <c r="F161" s="50" t="n"/>
    </row>
    <row r="162">
      <c r="B162" s="49" t="n"/>
      <c r="C162" s="49" t="n"/>
      <c r="D162" s="49" t="n"/>
      <c r="E162" s="49" t="n"/>
      <c r="F162" s="50" t="n"/>
    </row>
    <row r="163">
      <c r="B163" s="49" t="n"/>
      <c r="C163" s="49" t="n"/>
      <c r="D163" s="49" t="n"/>
      <c r="E163" s="49" t="n"/>
      <c r="F163" s="50" t="n"/>
    </row>
    <row r="164">
      <c r="B164" s="49" t="n"/>
      <c r="C164" s="49" t="n"/>
      <c r="D164" s="49" t="n"/>
      <c r="E164" s="49" t="n"/>
      <c r="F164" s="50" t="n"/>
    </row>
    <row r="165">
      <c r="B165" s="49" t="n"/>
      <c r="C165" s="49" t="n"/>
      <c r="D165" s="49" t="n"/>
      <c r="E165" s="49" t="n"/>
      <c r="F165" s="50" t="n"/>
    </row>
    <row r="166">
      <c r="B166" s="49" t="n"/>
      <c r="C166" s="49" t="n"/>
      <c r="D166" s="49" t="n"/>
      <c r="E166" s="49" t="n"/>
      <c r="F166" s="50" t="n"/>
    </row>
    <row r="167">
      <c r="B167" s="49" t="n"/>
      <c r="C167" s="49" t="n"/>
      <c r="D167" s="49" t="n"/>
      <c r="E167" s="49" t="n"/>
      <c r="F167" s="50" t="n"/>
    </row>
    <row r="168">
      <c r="B168" s="49" t="n"/>
      <c r="C168" s="49" t="n"/>
      <c r="D168" s="49" t="n"/>
      <c r="E168" s="49" t="n"/>
      <c r="F168" s="50" t="n"/>
    </row>
    <row r="169">
      <c r="B169" s="49" t="n"/>
      <c r="C169" s="49" t="n"/>
      <c r="D169" s="49" t="n"/>
      <c r="E169" s="49" t="n"/>
      <c r="F169" s="50" t="n"/>
    </row>
    <row r="170">
      <c r="B170" s="49" t="n"/>
      <c r="C170" s="49" t="n"/>
      <c r="D170" s="49" t="n"/>
      <c r="E170" s="49" t="n"/>
      <c r="F170" s="50" t="n"/>
    </row>
    <row r="171">
      <c r="B171" s="49" t="n"/>
      <c r="C171" s="49" t="n"/>
      <c r="D171" s="49" t="n"/>
      <c r="E171" s="49" t="n"/>
      <c r="F171" s="50" t="n"/>
    </row>
    <row r="172">
      <c r="B172" s="49" t="n"/>
      <c r="C172" s="49" t="n"/>
      <c r="D172" s="49" t="n"/>
      <c r="E172" s="49" t="n"/>
      <c r="F172" s="50" t="n"/>
    </row>
    <row r="173">
      <c r="B173" s="49" t="n"/>
      <c r="C173" s="49" t="n"/>
      <c r="D173" s="49" t="n"/>
      <c r="E173" s="49" t="n"/>
      <c r="F173" s="50" t="n"/>
    </row>
    <row r="174">
      <c r="B174" s="49" t="n"/>
      <c r="C174" s="49" t="n"/>
      <c r="D174" s="49" t="n"/>
      <c r="E174" s="49" t="n"/>
      <c r="F174" s="50" t="n"/>
    </row>
    <row r="175">
      <c r="B175" s="49" t="n"/>
      <c r="C175" s="49" t="n"/>
      <c r="D175" s="49" t="n"/>
      <c r="E175" s="49" t="n"/>
      <c r="F175" s="50" t="n"/>
    </row>
    <row r="176">
      <c r="B176" s="49" t="n"/>
      <c r="C176" s="49" t="n"/>
      <c r="D176" s="49" t="n"/>
      <c r="E176" s="49" t="n"/>
      <c r="F176" s="50" t="n"/>
    </row>
    <row r="177">
      <c r="B177" s="49" t="n"/>
      <c r="C177" s="49" t="n"/>
      <c r="D177" s="49" t="n"/>
      <c r="E177" s="49" t="n"/>
      <c r="F177" s="50" t="n"/>
    </row>
    <row r="178">
      <c r="B178" s="49" t="n"/>
      <c r="C178" s="49" t="n"/>
      <c r="D178" s="49" t="n"/>
      <c r="E178" s="49" t="n"/>
      <c r="F178" s="50" t="n"/>
    </row>
    <row r="179">
      <c r="B179" s="49" t="n"/>
      <c r="C179" s="49" t="n"/>
      <c r="D179" s="49" t="n"/>
      <c r="E179" s="49" t="n"/>
      <c r="F179" s="50" t="n"/>
    </row>
    <row r="180">
      <c r="B180" s="49" t="n"/>
      <c r="C180" s="49" t="n"/>
      <c r="D180" s="49" t="n"/>
      <c r="E180" s="49" t="n"/>
      <c r="F180" s="50" t="n"/>
    </row>
    <row r="181">
      <c r="B181" s="49" t="n"/>
      <c r="C181" s="49" t="n"/>
      <c r="D181" s="49" t="n"/>
      <c r="E181" s="49" t="n"/>
      <c r="F181" s="50" t="n"/>
    </row>
    <row r="182">
      <c r="B182" s="49" t="n"/>
      <c r="C182" s="49" t="n"/>
      <c r="D182" s="49" t="n"/>
      <c r="E182" s="49" t="n"/>
      <c r="F182" s="50" t="n"/>
    </row>
    <row r="183">
      <c r="B183" s="49" t="n"/>
      <c r="C183" s="49" t="n"/>
      <c r="D183" s="49" t="n"/>
      <c r="E183" s="49" t="n"/>
      <c r="F183" s="50" t="n"/>
    </row>
    <row r="184">
      <c r="B184" s="49" t="n"/>
      <c r="C184" s="49" t="n"/>
      <c r="D184" s="49" t="n"/>
      <c r="E184" s="49" t="n"/>
      <c r="F184" s="50" t="n"/>
    </row>
    <row r="185">
      <c r="B185" s="49" t="n"/>
      <c r="C185" s="49" t="n"/>
      <c r="D185" s="49" t="n"/>
      <c r="E185" s="49" t="n"/>
      <c r="F185" s="50" t="n"/>
    </row>
    <row r="186">
      <c r="B186" s="49" t="n"/>
      <c r="C186" s="49" t="n"/>
      <c r="D186" s="49" t="n"/>
      <c r="E186" s="49" t="n"/>
      <c r="F186" s="50" t="n"/>
    </row>
    <row r="187">
      <c r="B187" s="49" t="n"/>
      <c r="C187" s="49" t="n"/>
      <c r="D187" s="49" t="n"/>
      <c r="E187" s="49" t="n"/>
      <c r="F187" s="50" t="n"/>
    </row>
    <row r="188">
      <c r="B188" s="49" t="n"/>
      <c r="C188" s="49" t="n"/>
      <c r="D188" s="49" t="n"/>
      <c r="E188" s="49" t="n"/>
      <c r="F188" s="50" t="n"/>
    </row>
    <row r="189">
      <c r="B189" s="49" t="n"/>
      <c r="C189" s="49" t="n"/>
      <c r="D189" s="49" t="n"/>
      <c r="E189" s="49" t="n"/>
      <c r="F189" s="50" t="n"/>
    </row>
    <row r="190">
      <c r="B190" s="49" t="n"/>
      <c r="C190" s="49" t="n"/>
      <c r="D190" s="49" t="n"/>
      <c r="E190" s="49" t="n"/>
      <c r="F190" s="50" t="n"/>
    </row>
    <row r="191">
      <c r="B191" s="49" t="n"/>
      <c r="C191" s="49" t="n"/>
      <c r="D191" s="49" t="n"/>
      <c r="E191" s="49" t="n"/>
      <c r="F191" s="50" t="n"/>
    </row>
    <row r="192">
      <c r="B192" s="49" t="n"/>
      <c r="C192" s="49" t="n"/>
      <c r="D192" s="49" t="n"/>
      <c r="E192" s="49" t="n"/>
      <c r="F192" s="50" t="n"/>
    </row>
    <row r="193">
      <c r="B193" s="49" t="n"/>
      <c r="C193" s="49" t="n"/>
      <c r="D193" s="49" t="n"/>
      <c r="E193" s="49" t="n"/>
      <c r="F193" s="50" t="n"/>
    </row>
    <row r="194">
      <c r="B194" s="49" t="n"/>
      <c r="C194" s="49" t="n"/>
      <c r="D194" s="49" t="n"/>
      <c r="E194" s="49" t="n"/>
      <c r="F194" s="50" t="n"/>
    </row>
    <row r="195">
      <c r="B195" s="49" t="n"/>
      <c r="C195" s="49" t="n"/>
      <c r="D195" s="49" t="n"/>
      <c r="E195" s="49" t="n"/>
      <c r="F195" s="50" t="n"/>
    </row>
    <row r="196">
      <c r="B196" s="49" t="n"/>
      <c r="C196" s="49" t="n"/>
      <c r="D196" s="49" t="n"/>
      <c r="E196" s="49" t="n"/>
      <c r="F196" s="50" t="n"/>
    </row>
    <row r="197">
      <c r="B197" s="49" t="n"/>
      <c r="C197" s="49" t="n"/>
      <c r="D197" s="49" t="n"/>
      <c r="E197" s="49" t="n"/>
      <c r="F197" s="50" t="n"/>
    </row>
    <row r="198">
      <c r="B198" s="49" t="n"/>
      <c r="C198" s="49" t="n"/>
      <c r="D198" s="49" t="n"/>
      <c r="E198" s="49" t="n"/>
      <c r="F198" s="50" t="n"/>
    </row>
    <row r="199">
      <c r="B199" s="49" t="n"/>
      <c r="C199" s="49" t="n"/>
      <c r="D199" s="49" t="n"/>
      <c r="E199" s="49" t="n"/>
      <c r="F199" s="50" t="n"/>
    </row>
    <row r="200">
      <c r="B200" s="49" t="n"/>
      <c r="C200" s="49" t="n"/>
      <c r="D200" s="49" t="n"/>
      <c r="E200" s="49" t="n"/>
      <c r="F200" s="50" t="n"/>
    </row>
    <row r="201">
      <c r="B201" s="49" t="n"/>
      <c r="C201" s="49" t="n"/>
      <c r="D201" s="49" t="n"/>
      <c r="E201" s="49" t="n"/>
      <c r="F201" s="50" t="n"/>
    </row>
    <row r="202">
      <c r="B202" s="49" t="n"/>
      <c r="C202" s="49" t="n"/>
      <c r="D202" s="49" t="n"/>
      <c r="E202" s="49" t="n"/>
      <c r="F202" s="50" t="n"/>
    </row>
    <row r="203">
      <c r="B203" s="49" t="n"/>
      <c r="C203" s="49" t="n"/>
      <c r="D203" s="49" t="n"/>
      <c r="E203" s="49" t="n"/>
      <c r="F203" s="50" t="n"/>
    </row>
    <row r="204">
      <c r="B204" s="49" t="n"/>
      <c r="C204" s="49" t="n"/>
      <c r="D204" s="49" t="n"/>
      <c r="E204" s="49" t="n"/>
      <c r="F204" s="50" t="n"/>
    </row>
    <row r="205">
      <c r="B205" s="49" t="n"/>
      <c r="C205" s="49" t="n"/>
      <c r="D205" s="49" t="n"/>
      <c r="E205" s="49" t="n"/>
      <c r="F205" s="50" t="n"/>
    </row>
    <row r="206">
      <c r="B206" s="49" t="n"/>
      <c r="C206" s="49" t="n"/>
      <c r="D206" s="49" t="n"/>
      <c r="E206" s="49" t="n"/>
      <c r="F206" s="50" t="n"/>
    </row>
    <row r="207">
      <c r="B207" s="49" t="n"/>
      <c r="C207" s="49" t="n"/>
      <c r="D207" s="49" t="n"/>
      <c r="E207" s="49" t="n"/>
      <c r="F207" s="50" t="n"/>
    </row>
    <row r="208">
      <c r="B208" s="49" t="n"/>
      <c r="C208" s="49" t="n"/>
      <c r="D208" s="49" t="n"/>
      <c r="E208" s="49" t="n"/>
      <c r="F208" s="50" t="n"/>
    </row>
    <row r="209">
      <c r="B209" s="49" t="n"/>
      <c r="C209" s="49" t="n"/>
      <c r="D209" s="49" t="n"/>
      <c r="E209" s="49" t="n"/>
      <c r="F209" s="50" t="n"/>
    </row>
    <row r="210">
      <c r="B210" s="49" t="n"/>
      <c r="C210" s="49" t="n"/>
      <c r="D210" s="49" t="n"/>
      <c r="E210" s="49" t="n"/>
      <c r="F210" s="50" t="n"/>
    </row>
    <row r="211">
      <c r="B211" s="49" t="n"/>
      <c r="C211" s="49" t="n"/>
      <c r="D211" s="49" t="n"/>
      <c r="E211" s="49" t="n"/>
      <c r="F211" s="50" t="n"/>
    </row>
    <row r="212">
      <c r="B212" s="49" t="n"/>
      <c r="C212" s="49" t="n"/>
      <c r="D212" s="49" t="n"/>
      <c r="E212" s="49" t="n"/>
      <c r="F212" s="50" t="n"/>
    </row>
    <row r="213">
      <c r="B213" s="49" t="n"/>
      <c r="C213" s="49" t="n"/>
      <c r="D213" s="49" t="n"/>
      <c r="E213" s="49" t="n"/>
      <c r="F213" s="50" t="n"/>
    </row>
    <row r="214">
      <c r="B214" s="49" t="n"/>
      <c r="C214" s="49" t="n"/>
      <c r="D214" s="49" t="n"/>
      <c r="E214" s="49" t="n"/>
      <c r="F214" s="50" t="n"/>
    </row>
    <row r="215">
      <c r="B215" s="49" t="n"/>
      <c r="C215" s="49" t="n"/>
      <c r="D215" s="49" t="n"/>
      <c r="E215" s="49" t="n"/>
      <c r="F215" s="50" t="n"/>
    </row>
    <row r="216">
      <c r="B216" s="49" t="n"/>
      <c r="C216" s="49" t="n"/>
      <c r="D216" s="49" t="n"/>
      <c r="E216" s="49" t="n"/>
      <c r="F216" s="50" t="n"/>
    </row>
    <row r="217">
      <c r="B217" s="49" t="n"/>
      <c r="C217" s="49" t="n"/>
      <c r="D217" s="49" t="n"/>
      <c r="E217" s="49" t="n"/>
      <c r="F217" s="50" t="n"/>
    </row>
    <row r="218">
      <c r="B218" s="49" t="n"/>
      <c r="C218" s="49" t="n"/>
      <c r="D218" s="49" t="n"/>
      <c r="E218" s="49" t="n"/>
      <c r="F218" s="50" t="n"/>
    </row>
    <row r="219">
      <c r="B219" s="49" t="n"/>
      <c r="C219" s="49" t="n"/>
      <c r="D219" s="49" t="n"/>
      <c r="E219" s="49" t="n"/>
      <c r="F219" s="50" t="n"/>
    </row>
    <row r="220">
      <c r="B220" s="49" t="n"/>
      <c r="C220" s="49" t="n"/>
      <c r="D220" s="49" t="n"/>
      <c r="E220" s="49" t="n"/>
      <c r="F220" s="50" t="n"/>
    </row>
    <row r="221">
      <c r="B221" s="49" t="n"/>
      <c r="C221" s="49" t="n"/>
      <c r="D221" s="49" t="n"/>
      <c r="E221" s="49" t="n"/>
      <c r="F221" s="50" t="n"/>
    </row>
    <row r="222">
      <c r="B222" s="49" t="n"/>
      <c r="C222" s="49" t="n"/>
      <c r="D222" s="49" t="n"/>
      <c r="E222" s="49" t="n"/>
      <c r="F222" s="50" t="n"/>
    </row>
    <row r="223">
      <c r="B223" s="49" t="n"/>
      <c r="C223" s="49" t="n"/>
      <c r="D223" s="49" t="n"/>
      <c r="E223" s="49" t="n"/>
      <c r="F223" s="50" t="n"/>
    </row>
    <row r="224">
      <c r="B224" s="49" t="n"/>
      <c r="C224" s="49" t="n"/>
      <c r="D224" s="49" t="n"/>
      <c r="E224" s="49" t="n"/>
      <c r="F224" s="50" t="n"/>
    </row>
    <row r="225">
      <c r="B225" s="49" t="n"/>
      <c r="C225" s="49" t="n"/>
      <c r="D225" s="49" t="n"/>
      <c r="E225" s="49" t="n"/>
      <c r="F225" s="50" t="n"/>
    </row>
    <row r="226">
      <c r="B226" s="49" t="n"/>
      <c r="C226" s="49" t="n"/>
      <c r="D226" s="49" t="n"/>
      <c r="E226" s="49" t="n"/>
      <c r="F226" s="50" t="n"/>
    </row>
    <row r="227">
      <c r="B227" s="49" t="n"/>
      <c r="C227" s="49" t="n"/>
      <c r="D227" s="49" t="n"/>
      <c r="E227" s="49" t="n"/>
      <c r="F227" s="50" t="n"/>
    </row>
    <row r="228">
      <c r="B228" s="49" t="n"/>
      <c r="C228" s="49" t="n"/>
      <c r="D228" s="49" t="n"/>
      <c r="E228" s="49" t="n"/>
      <c r="F228" s="50" t="n"/>
    </row>
    <row r="229">
      <c r="B229" s="49" t="n"/>
      <c r="C229" s="49" t="n"/>
      <c r="D229" s="49" t="n"/>
      <c r="E229" s="49" t="n"/>
      <c r="F229" s="50" t="n"/>
    </row>
    <row r="230">
      <c r="B230" s="49" t="n"/>
      <c r="C230" s="49" t="n"/>
      <c r="D230" s="49" t="n"/>
      <c r="E230" s="49" t="n"/>
      <c r="F230" s="50" t="n"/>
    </row>
    <row r="231">
      <c r="B231" s="49" t="n"/>
      <c r="C231" s="49" t="n"/>
      <c r="D231" s="49" t="n"/>
      <c r="E231" s="49" t="n"/>
      <c r="F231" s="50" t="n"/>
    </row>
    <row r="232">
      <c r="B232" s="49" t="n"/>
      <c r="C232" s="49" t="n"/>
      <c r="D232" s="49" t="n"/>
      <c r="E232" s="49" t="n"/>
      <c r="F232" s="50" t="n"/>
    </row>
    <row r="233">
      <c r="B233" s="49" t="n"/>
      <c r="C233" s="49" t="n"/>
      <c r="D233" s="49" t="n"/>
      <c r="E233" s="49" t="n"/>
      <c r="F233" s="50" t="n"/>
    </row>
    <row r="234">
      <c r="B234" s="49" t="n"/>
      <c r="C234" s="49" t="n"/>
      <c r="D234" s="49" t="n"/>
      <c r="E234" s="49" t="n"/>
      <c r="F234" s="50" t="n"/>
    </row>
    <row r="235">
      <c r="B235" s="49" t="n"/>
      <c r="C235" s="49" t="n"/>
      <c r="D235" s="49" t="n"/>
      <c r="E235" s="49" t="n"/>
      <c r="F235" s="50" t="n"/>
    </row>
    <row r="236">
      <c r="B236" s="49" t="n"/>
      <c r="C236" s="49" t="n"/>
      <c r="D236" s="49" t="n"/>
      <c r="E236" s="49" t="n"/>
      <c r="F236" s="50" t="n"/>
    </row>
    <row r="237">
      <c r="B237" s="49" t="n"/>
      <c r="C237" s="49" t="n"/>
      <c r="D237" s="49" t="n"/>
      <c r="E237" s="49" t="n"/>
      <c r="F237" s="50" t="n"/>
    </row>
    <row r="238">
      <c r="B238" s="49" t="n"/>
      <c r="C238" s="49" t="n"/>
      <c r="D238" s="49" t="n"/>
      <c r="E238" s="49" t="n"/>
      <c r="F238" s="50" t="n"/>
    </row>
    <row r="239">
      <c r="B239" s="49" t="n"/>
      <c r="C239" s="49" t="n"/>
      <c r="D239" s="49" t="n"/>
      <c r="E239" s="49" t="n"/>
      <c r="F239" s="50" t="n"/>
    </row>
    <row r="240">
      <c r="B240" s="49" t="n"/>
      <c r="C240" s="49" t="n"/>
      <c r="D240" s="49" t="n"/>
      <c r="E240" s="49" t="n"/>
      <c r="F240" s="50" t="n"/>
    </row>
    <row r="241">
      <c r="B241" s="49" t="n"/>
      <c r="C241" s="49" t="n"/>
      <c r="D241" s="49" t="n"/>
      <c r="E241" s="49" t="n"/>
      <c r="F241" s="50" t="n"/>
    </row>
    <row r="242">
      <c r="B242" s="49" t="n"/>
      <c r="C242" s="49" t="n"/>
      <c r="D242" s="49" t="n"/>
      <c r="E242" s="49" t="n"/>
      <c r="F242" s="50" t="n"/>
    </row>
    <row r="243">
      <c r="B243" s="49" t="n"/>
      <c r="C243" s="49" t="n"/>
      <c r="D243" s="49" t="n"/>
      <c r="E243" s="49" t="n"/>
      <c r="F243" s="50" t="n"/>
    </row>
    <row r="244">
      <c r="B244" s="49" t="n"/>
      <c r="C244" s="49" t="n"/>
      <c r="D244" s="49" t="n"/>
      <c r="E244" s="49" t="n"/>
      <c r="F244" s="50" t="n"/>
    </row>
    <row r="245">
      <c r="B245" s="49" t="n"/>
      <c r="C245" s="49" t="n"/>
      <c r="D245" s="49" t="n"/>
      <c r="E245" s="49" t="n"/>
      <c r="F245" s="50" t="n"/>
    </row>
    <row r="246">
      <c r="B246" s="49" t="n"/>
      <c r="C246" s="49" t="n"/>
      <c r="D246" s="49" t="n"/>
      <c r="E246" s="49" t="n"/>
      <c r="F246" s="50" t="n"/>
    </row>
    <row r="247">
      <c r="B247" s="49" t="n"/>
      <c r="C247" s="49" t="n"/>
      <c r="D247" s="49" t="n"/>
      <c r="E247" s="49" t="n"/>
      <c r="F247" s="50" t="n"/>
    </row>
    <row r="248">
      <c r="B248" s="49" t="n"/>
      <c r="C248" s="49" t="n"/>
      <c r="D248" s="49" t="n"/>
      <c r="E248" s="49" t="n"/>
      <c r="F248" s="50" t="n"/>
    </row>
    <row r="249">
      <c r="B249" s="49" t="n"/>
      <c r="C249" s="49" t="n"/>
      <c r="D249" s="49" t="n"/>
      <c r="E249" s="49" t="n"/>
      <c r="F249" s="50" t="n"/>
    </row>
    <row r="250">
      <c r="B250" s="49" t="n"/>
      <c r="C250" s="49" t="n"/>
      <c r="D250" s="49" t="n"/>
      <c r="E250" s="49" t="n"/>
      <c r="F250" s="50" t="n"/>
    </row>
    <row r="251">
      <c r="B251" s="49" t="n"/>
      <c r="C251" s="49" t="n"/>
      <c r="D251" s="49" t="n"/>
      <c r="E251" s="49" t="n"/>
      <c r="F251" s="50" t="n"/>
    </row>
    <row r="252">
      <c r="B252" s="49" t="n"/>
      <c r="C252" s="49" t="n"/>
      <c r="D252" s="49" t="n"/>
      <c r="E252" s="49" t="n"/>
      <c r="F252" s="50" t="n"/>
    </row>
    <row r="253">
      <c r="B253" s="49" t="n"/>
      <c r="C253" s="49" t="n"/>
      <c r="D253" s="49" t="n"/>
      <c r="E253" s="49" t="n"/>
      <c r="F253" s="50" t="n"/>
    </row>
    <row r="254">
      <c r="B254" s="49" t="n"/>
      <c r="C254" s="49" t="n"/>
      <c r="D254" s="49" t="n"/>
      <c r="E254" s="49" t="n"/>
      <c r="F254" s="50" t="n"/>
    </row>
    <row r="255">
      <c r="B255" s="49" t="n"/>
      <c r="C255" s="49" t="n"/>
      <c r="D255" s="49" t="n"/>
      <c r="E255" s="49" t="n"/>
      <c r="F255" s="50" t="n"/>
    </row>
    <row r="256">
      <c r="B256" s="49" t="n"/>
      <c r="C256" s="49" t="n"/>
      <c r="D256" s="49" t="n"/>
      <c r="E256" s="49" t="n"/>
      <c r="F256" s="50" t="n"/>
    </row>
    <row r="257">
      <c r="B257" s="49" t="n"/>
      <c r="C257" s="49" t="n"/>
      <c r="D257" s="49" t="n"/>
      <c r="E257" s="49" t="n"/>
      <c r="F257" s="50" t="n"/>
    </row>
    <row r="258">
      <c r="B258" s="49" t="n"/>
      <c r="C258" s="49" t="n"/>
      <c r="D258" s="49" t="n"/>
      <c r="E258" s="49" t="n"/>
      <c r="F258" s="50" t="n"/>
    </row>
    <row r="259">
      <c r="B259" s="49" t="n"/>
      <c r="C259" s="49" t="n"/>
      <c r="D259" s="49" t="n"/>
      <c r="E259" s="49" t="n"/>
      <c r="F259" s="50" t="n"/>
    </row>
    <row r="260">
      <c r="B260" s="49" t="n"/>
      <c r="C260" s="49" t="n"/>
      <c r="D260" s="49" t="n"/>
      <c r="E260" s="49" t="n"/>
      <c r="F260" s="50" t="n"/>
    </row>
    <row r="261">
      <c r="B261" s="49" t="n"/>
      <c r="C261" s="49" t="n"/>
      <c r="D261" s="49" t="n"/>
      <c r="E261" s="49" t="n"/>
      <c r="F261" s="50" t="n"/>
    </row>
    <row r="262">
      <c r="B262" s="49" t="n"/>
      <c r="C262" s="49" t="n"/>
      <c r="D262" s="49" t="n"/>
      <c r="E262" s="49" t="n"/>
      <c r="F262" s="50" t="n"/>
    </row>
    <row r="263">
      <c r="B263" s="49" t="n"/>
      <c r="C263" s="49" t="n"/>
      <c r="D263" s="49" t="n"/>
      <c r="E263" s="49" t="n"/>
      <c r="F263" s="50" t="n"/>
    </row>
    <row r="264">
      <c r="B264" s="49" t="n"/>
      <c r="C264" s="49" t="n"/>
      <c r="D264" s="49" t="n"/>
      <c r="E264" s="49" t="n"/>
      <c r="F264" s="50" t="n"/>
    </row>
    <row r="265">
      <c r="B265" s="49" t="n"/>
      <c r="C265" s="49" t="n"/>
      <c r="D265" s="49" t="n"/>
      <c r="E265" s="49" t="n"/>
      <c r="F265" s="50" t="n"/>
    </row>
    <row r="266">
      <c r="B266" s="49" t="n"/>
      <c r="C266" s="49" t="n"/>
      <c r="D266" s="49" t="n"/>
      <c r="E266" s="49" t="n"/>
      <c r="F266" s="50" t="n"/>
    </row>
    <row r="267">
      <c r="B267" s="49" t="n"/>
      <c r="C267" s="49" t="n"/>
      <c r="D267" s="49" t="n"/>
      <c r="E267" s="49" t="n"/>
      <c r="F267" s="50" t="n"/>
    </row>
    <row r="268">
      <c r="B268" s="49" t="n"/>
      <c r="C268" s="49" t="n"/>
      <c r="D268" s="49" t="n"/>
      <c r="E268" s="49" t="n"/>
      <c r="F268" s="50" t="n"/>
    </row>
    <row r="269">
      <c r="B269" s="49" t="n"/>
      <c r="C269" s="49" t="n"/>
      <c r="D269" s="49" t="n"/>
      <c r="E269" s="49" t="n"/>
      <c r="F269" s="50" t="n"/>
    </row>
    <row r="270">
      <c r="B270" s="49" t="n"/>
      <c r="C270" s="49" t="n"/>
      <c r="D270" s="49" t="n"/>
      <c r="E270" s="49" t="n"/>
      <c r="F270" s="50" t="n"/>
    </row>
    <row r="271">
      <c r="B271" s="49" t="n"/>
      <c r="C271" s="49" t="n"/>
      <c r="D271" s="49" t="n"/>
      <c r="E271" s="49" t="n"/>
      <c r="F271" s="50" t="n"/>
    </row>
    <row r="272">
      <c r="B272" s="49" t="n"/>
      <c r="C272" s="49" t="n"/>
      <c r="D272" s="49" t="n"/>
      <c r="E272" s="49" t="n"/>
      <c r="F272" s="50" t="n"/>
    </row>
    <row r="273">
      <c r="B273" s="49" t="n"/>
      <c r="C273" s="49" t="n"/>
      <c r="D273" s="49" t="n"/>
      <c r="E273" s="49" t="n"/>
      <c r="F273" s="50" t="n"/>
    </row>
    <row r="274">
      <c r="B274" s="49" t="n"/>
      <c r="C274" s="49" t="n"/>
      <c r="D274" s="49" t="n"/>
      <c r="E274" s="49" t="n"/>
      <c r="F274" s="50" t="n"/>
    </row>
    <row r="275">
      <c r="B275" s="49" t="n"/>
      <c r="C275" s="49" t="n"/>
      <c r="D275" s="49" t="n"/>
      <c r="E275" s="49" t="n"/>
      <c r="F275" s="50" t="n"/>
    </row>
    <row r="276">
      <c r="B276" s="49" t="n"/>
      <c r="C276" s="49" t="n"/>
      <c r="D276" s="49" t="n"/>
      <c r="E276" s="49" t="n"/>
      <c r="F276" s="50" t="n"/>
    </row>
    <row r="277">
      <c r="B277" s="49" t="n"/>
      <c r="C277" s="49" t="n"/>
      <c r="D277" s="49" t="n"/>
      <c r="E277" s="49" t="n"/>
      <c r="F277" s="50" t="n"/>
    </row>
    <row r="278">
      <c r="B278" s="49" t="n"/>
      <c r="C278" s="49" t="n"/>
      <c r="D278" s="49" t="n"/>
      <c r="E278" s="49" t="n"/>
      <c r="F278" s="50" t="n"/>
    </row>
    <row r="279">
      <c r="B279" s="49" t="n"/>
      <c r="C279" s="49" t="n"/>
      <c r="D279" s="49" t="n"/>
      <c r="E279" s="49" t="n"/>
      <c r="F279" s="50" t="n"/>
    </row>
    <row r="280">
      <c r="B280" s="49" t="n"/>
      <c r="C280" s="49" t="n"/>
      <c r="D280" s="49" t="n"/>
      <c r="E280" s="49" t="n"/>
      <c r="F280" s="50" t="n"/>
    </row>
    <row r="281">
      <c r="B281" s="49" t="n"/>
      <c r="C281" s="49" t="n"/>
      <c r="D281" s="49" t="n"/>
      <c r="E281" s="49" t="n"/>
      <c r="F281" s="50" t="n"/>
    </row>
    <row r="282">
      <c r="B282" s="49" t="n"/>
      <c r="C282" s="49" t="n"/>
      <c r="D282" s="49" t="n"/>
      <c r="E282" s="49" t="n"/>
      <c r="F282" s="50" t="n"/>
    </row>
    <row r="283">
      <c r="B283" s="49" t="n"/>
      <c r="C283" s="49" t="n"/>
      <c r="D283" s="49" t="n"/>
      <c r="E283" s="49" t="n"/>
      <c r="F283" s="50" t="n"/>
    </row>
    <row r="284">
      <c r="B284" s="49" t="n"/>
      <c r="C284" s="49" t="n"/>
      <c r="D284" s="49" t="n"/>
      <c r="E284" s="49" t="n"/>
      <c r="F284" s="50" t="n"/>
    </row>
    <row r="285">
      <c r="B285" s="49" t="n"/>
      <c r="C285" s="49" t="n"/>
      <c r="D285" s="49" t="n"/>
      <c r="E285" s="49" t="n"/>
      <c r="F285" s="50" t="n"/>
    </row>
    <row r="286">
      <c r="B286" s="49" t="n"/>
      <c r="C286" s="49" t="n"/>
      <c r="D286" s="49" t="n"/>
      <c r="E286" s="49" t="n"/>
      <c r="F286" s="50" t="n"/>
    </row>
    <row r="287">
      <c r="B287" s="49" t="n"/>
      <c r="C287" s="49" t="n"/>
      <c r="D287" s="49" t="n"/>
      <c r="E287" s="49" t="n"/>
      <c r="F287" s="50" t="n"/>
    </row>
    <row r="288">
      <c r="B288" s="49" t="n"/>
      <c r="C288" s="49" t="n"/>
      <c r="D288" s="49" t="n"/>
      <c r="E288" s="49" t="n"/>
      <c r="F288" s="50" t="n"/>
    </row>
    <row r="289">
      <c r="B289" s="49" t="n"/>
      <c r="C289" s="49" t="n"/>
      <c r="D289" s="49" t="n"/>
      <c r="E289" s="49" t="n"/>
      <c r="F289" s="50" t="n"/>
    </row>
    <row r="290">
      <c r="B290" s="49" t="n"/>
      <c r="C290" s="49" t="n"/>
      <c r="D290" s="49" t="n"/>
      <c r="E290" s="49" t="n"/>
      <c r="F290" s="50" t="n"/>
    </row>
    <row r="291">
      <c r="B291" s="49" t="n"/>
      <c r="C291" s="49" t="n"/>
      <c r="D291" s="49" t="n"/>
      <c r="E291" s="49" t="n"/>
      <c r="F291" s="50" t="n"/>
    </row>
    <row r="292">
      <c r="B292" s="49" t="n"/>
      <c r="C292" s="49" t="n"/>
      <c r="D292" s="49" t="n"/>
      <c r="E292" s="49" t="n"/>
      <c r="F292" s="50" t="n"/>
    </row>
    <row r="293">
      <c r="B293" s="49" t="n"/>
      <c r="C293" s="49" t="n"/>
      <c r="D293" s="49" t="n"/>
      <c r="E293" s="49" t="n"/>
      <c r="F293" s="50" t="n"/>
    </row>
    <row r="294">
      <c r="B294" s="49" t="n"/>
      <c r="C294" s="49" t="n"/>
      <c r="D294" s="49" t="n"/>
      <c r="E294" s="49" t="n"/>
      <c r="F294" s="50" t="n"/>
    </row>
    <row r="295">
      <c r="B295" s="49" t="n"/>
      <c r="C295" s="49" t="n"/>
      <c r="D295" s="49" t="n"/>
      <c r="E295" s="49" t="n"/>
      <c r="F295" s="50" t="n"/>
    </row>
    <row r="296">
      <c r="B296" s="49" t="n"/>
      <c r="C296" s="49" t="n"/>
      <c r="D296" s="49" t="n"/>
      <c r="E296" s="49" t="n"/>
      <c r="F296" s="50" t="n"/>
    </row>
    <row r="297">
      <c r="B297" s="49" t="n"/>
      <c r="C297" s="49" t="n"/>
      <c r="D297" s="49" t="n"/>
      <c r="E297" s="49" t="n"/>
      <c r="F297" s="50" t="n"/>
    </row>
    <row r="298">
      <c r="B298" s="49" t="n"/>
      <c r="C298" s="49" t="n"/>
      <c r="D298" s="49" t="n"/>
      <c r="E298" s="49" t="n"/>
      <c r="F298" s="50" t="n"/>
    </row>
    <row r="299">
      <c r="B299" s="49" t="n"/>
      <c r="C299" s="49" t="n"/>
      <c r="D299" s="49" t="n"/>
      <c r="E299" s="49" t="n"/>
      <c r="F299" s="50" t="n"/>
    </row>
    <row r="300">
      <c r="B300" s="49" t="n"/>
      <c r="C300" s="49" t="n"/>
      <c r="D300" s="49" t="n"/>
      <c r="E300" s="49" t="n"/>
      <c r="F300" s="50" t="n"/>
    </row>
    <row r="301">
      <c r="B301" s="49" t="n"/>
      <c r="C301" s="49" t="n"/>
      <c r="D301" s="49" t="n"/>
      <c r="E301" s="49" t="n"/>
      <c r="F301" s="50" t="n"/>
    </row>
    <row r="302">
      <c r="B302" s="49" t="n"/>
      <c r="C302" s="49" t="n"/>
      <c r="D302" s="49" t="n"/>
      <c r="E302" s="49" t="n"/>
      <c r="F302" s="50" t="n"/>
    </row>
    <row r="303">
      <c r="B303" s="49" t="n"/>
      <c r="C303" s="49" t="n"/>
      <c r="D303" s="49" t="n"/>
      <c r="E303" s="49" t="n"/>
      <c r="F303" s="50" t="n"/>
    </row>
    <row r="304">
      <c r="B304" s="49" t="n"/>
      <c r="C304" s="49" t="n"/>
      <c r="D304" s="49" t="n"/>
      <c r="E304" s="49" t="n"/>
      <c r="F304" s="50" t="n"/>
    </row>
    <row r="305">
      <c r="B305" s="49" t="n"/>
      <c r="C305" s="49" t="n"/>
      <c r="D305" s="49" t="n"/>
      <c r="E305" s="49" t="n"/>
      <c r="F305" s="50" t="n"/>
    </row>
    <row r="306">
      <c r="B306" s="49" t="n"/>
      <c r="C306" s="49" t="n"/>
      <c r="D306" s="49" t="n"/>
      <c r="E306" s="49" t="n"/>
      <c r="F306" s="50" t="n"/>
    </row>
    <row r="307">
      <c r="B307" s="49" t="n"/>
      <c r="C307" s="49" t="n"/>
      <c r="D307" s="49" t="n"/>
      <c r="E307" s="49" t="n"/>
      <c r="F307" s="50" t="n"/>
    </row>
    <row r="308">
      <c r="B308" s="49" t="n"/>
      <c r="C308" s="49" t="n"/>
      <c r="D308" s="49" t="n"/>
      <c r="E308" s="49" t="n"/>
      <c r="F308" s="50" t="n"/>
    </row>
    <row r="309">
      <c r="B309" s="49" t="n"/>
      <c r="C309" s="49" t="n"/>
      <c r="D309" s="49" t="n"/>
      <c r="E309" s="49" t="n"/>
      <c r="F309" s="50" t="n"/>
    </row>
    <row r="310">
      <c r="B310" s="49" t="n"/>
      <c r="C310" s="49" t="n"/>
      <c r="D310" s="49" t="n"/>
      <c r="E310" s="49" t="n"/>
      <c r="F310" s="50" t="n"/>
    </row>
    <row r="311">
      <c r="B311" s="49" t="n"/>
      <c r="C311" s="49" t="n"/>
      <c r="D311" s="49" t="n"/>
      <c r="E311" s="49" t="n"/>
      <c r="F311" s="50" t="n"/>
    </row>
    <row r="312">
      <c r="B312" s="49" t="n"/>
      <c r="C312" s="49" t="n"/>
      <c r="D312" s="49" t="n"/>
      <c r="E312" s="49" t="n"/>
      <c r="F312" s="50" t="n"/>
    </row>
    <row r="313">
      <c r="B313" s="49" t="n"/>
      <c r="C313" s="49" t="n"/>
      <c r="D313" s="49" t="n"/>
      <c r="E313" s="49" t="n"/>
      <c r="F313" s="50" t="n"/>
    </row>
    <row r="314">
      <c r="B314" s="49" t="n"/>
      <c r="C314" s="49" t="n"/>
      <c r="D314" s="49" t="n"/>
      <c r="E314" s="49" t="n"/>
      <c r="F314" s="50" t="n"/>
    </row>
    <row r="315">
      <c r="B315" s="49" t="n"/>
      <c r="C315" s="49" t="n"/>
      <c r="D315" s="49" t="n"/>
      <c r="E315" s="49" t="n"/>
      <c r="F315" s="50" t="n"/>
    </row>
    <row r="316">
      <c r="B316" s="49" t="n"/>
      <c r="C316" s="49" t="n"/>
      <c r="D316" s="49" t="n"/>
      <c r="E316" s="49" t="n"/>
      <c r="F316" s="50" t="n"/>
    </row>
    <row r="317">
      <c r="B317" s="49" t="n"/>
      <c r="C317" s="49" t="n"/>
      <c r="D317" s="49" t="n"/>
      <c r="E317" s="49" t="n"/>
      <c r="F317" s="50" t="n"/>
    </row>
    <row r="318">
      <c r="B318" s="49" t="n"/>
      <c r="C318" s="49" t="n"/>
      <c r="D318" s="49" t="n"/>
      <c r="E318" s="49" t="n"/>
      <c r="F318" s="50" t="n"/>
    </row>
    <row r="319">
      <c r="B319" s="49" t="n"/>
      <c r="C319" s="49" t="n"/>
      <c r="D319" s="49" t="n"/>
      <c r="E319" s="49" t="n"/>
      <c r="F319" s="50" t="n"/>
    </row>
    <row r="320">
      <c r="B320" s="49" t="n"/>
      <c r="C320" s="49" t="n"/>
      <c r="D320" s="49" t="n"/>
      <c r="E320" s="49" t="n"/>
      <c r="F320" s="50" t="n"/>
    </row>
    <row r="321">
      <c r="B321" s="49" t="n"/>
      <c r="C321" s="49" t="n"/>
      <c r="D321" s="49" t="n"/>
      <c r="E321" s="49" t="n"/>
      <c r="F321" s="50" t="n"/>
    </row>
    <row r="322">
      <c r="B322" s="49" t="n"/>
      <c r="C322" s="49" t="n"/>
      <c r="D322" s="49" t="n"/>
      <c r="E322" s="49" t="n"/>
      <c r="F322" s="50" t="n"/>
    </row>
    <row r="323">
      <c r="B323" s="49" t="n"/>
      <c r="C323" s="49" t="n"/>
      <c r="D323" s="49" t="n"/>
      <c r="E323" s="49" t="n"/>
      <c r="F323" s="50" t="n"/>
    </row>
    <row r="324">
      <c r="B324" s="49" t="n"/>
      <c r="C324" s="49" t="n"/>
      <c r="D324" s="49" t="n"/>
      <c r="E324" s="49" t="n"/>
      <c r="F324" s="50" t="n"/>
    </row>
    <row r="325">
      <c r="B325" s="49" t="n"/>
      <c r="C325" s="49" t="n"/>
      <c r="D325" s="49" t="n"/>
      <c r="E325" s="49" t="n"/>
      <c r="F325" s="50" t="n"/>
    </row>
    <row r="326">
      <c r="B326" s="49" t="n"/>
      <c r="C326" s="49" t="n"/>
      <c r="D326" s="49" t="n"/>
      <c r="E326" s="49" t="n"/>
      <c r="F326" s="50" t="n"/>
    </row>
    <row r="327">
      <c r="B327" s="49" t="n"/>
      <c r="C327" s="49" t="n"/>
      <c r="D327" s="49" t="n"/>
      <c r="E327" s="49" t="n"/>
      <c r="F327" s="50" t="n"/>
    </row>
    <row r="328">
      <c r="B328" s="49" t="n"/>
      <c r="C328" s="49" t="n"/>
      <c r="D328" s="49" t="n"/>
      <c r="E328" s="49" t="n"/>
      <c r="F328" s="50" t="n"/>
    </row>
    <row r="329">
      <c r="B329" s="49" t="n"/>
      <c r="C329" s="49" t="n"/>
      <c r="D329" s="49" t="n"/>
      <c r="E329" s="49" t="n"/>
      <c r="F329" s="50" t="n"/>
    </row>
    <row r="330">
      <c r="B330" s="49" t="n"/>
      <c r="C330" s="49" t="n"/>
      <c r="D330" s="49" t="n"/>
      <c r="E330" s="49" t="n"/>
      <c r="F330" s="50" t="n"/>
    </row>
    <row r="331">
      <c r="B331" s="49" t="n"/>
      <c r="C331" s="49" t="n"/>
      <c r="D331" s="49" t="n"/>
      <c r="E331" s="49" t="n"/>
      <c r="F331" s="50" t="n"/>
    </row>
    <row r="332">
      <c r="B332" s="49" t="n"/>
      <c r="C332" s="49" t="n"/>
      <c r="D332" s="49" t="n"/>
      <c r="E332" s="49" t="n"/>
      <c r="F332" s="50" t="n"/>
    </row>
    <row r="333">
      <c r="B333" s="49" t="n"/>
      <c r="C333" s="49" t="n"/>
      <c r="D333" s="49" t="n"/>
      <c r="E333" s="49" t="n"/>
      <c r="F333" s="50" t="n"/>
    </row>
    <row r="334">
      <c r="B334" s="49" t="n"/>
      <c r="C334" s="49" t="n"/>
      <c r="D334" s="49" t="n"/>
      <c r="E334" s="49" t="n"/>
      <c r="F334" s="50" t="n"/>
    </row>
    <row r="335">
      <c r="B335" s="49" t="n"/>
      <c r="C335" s="49" t="n"/>
      <c r="D335" s="49" t="n"/>
      <c r="E335" s="49" t="n"/>
      <c r="F335" s="50" t="n"/>
    </row>
    <row r="336">
      <c r="B336" s="49" t="n"/>
      <c r="C336" s="49" t="n"/>
      <c r="D336" s="49" t="n"/>
      <c r="E336" s="49" t="n"/>
      <c r="F336" s="50" t="n"/>
    </row>
    <row r="337">
      <c r="B337" s="49" t="n"/>
      <c r="C337" s="49" t="n"/>
      <c r="D337" s="49" t="n"/>
      <c r="E337" s="49" t="n"/>
      <c r="F337" s="50" t="n"/>
    </row>
    <row r="338">
      <c r="B338" s="49" t="n"/>
      <c r="C338" s="49" t="n"/>
      <c r="D338" s="49" t="n"/>
      <c r="E338" s="49" t="n"/>
      <c r="F338" s="50" t="n"/>
    </row>
    <row r="339">
      <c r="B339" s="49" t="n"/>
      <c r="C339" s="49" t="n"/>
      <c r="D339" s="49" t="n"/>
      <c r="E339" s="49" t="n"/>
      <c r="F339" s="50" t="n"/>
    </row>
    <row r="340">
      <c r="B340" s="49" t="n"/>
      <c r="C340" s="49" t="n"/>
      <c r="D340" s="49" t="n"/>
      <c r="E340" s="49" t="n"/>
      <c r="F340" s="50" t="n"/>
    </row>
    <row r="341">
      <c r="B341" s="49" t="n"/>
      <c r="C341" s="49" t="n"/>
      <c r="D341" s="49" t="n"/>
      <c r="E341" s="49" t="n"/>
      <c r="F341" s="50" t="n"/>
    </row>
    <row r="342">
      <c r="B342" s="49" t="n"/>
      <c r="C342" s="49" t="n"/>
      <c r="D342" s="49" t="n"/>
      <c r="E342" s="49" t="n"/>
      <c r="F342" s="50" t="n"/>
    </row>
    <row r="343">
      <c r="B343" s="49" t="n"/>
      <c r="C343" s="49" t="n"/>
      <c r="D343" s="49" t="n"/>
      <c r="E343" s="49" t="n"/>
      <c r="F343" s="50" t="n"/>
    </row>
    <row r="344">
      <c r="B344" s="49" t="n"/>
      <c r="C344" s="49" t="n"/>
      <c r="D344" s="49" t="n"/>
      <c r="E344" s="49" t="n"/>
      <c r="F344" s="50" t="n"/>
    </row>
    <row r="345">
      <c r="B345" s="49" t="n"/>
      <c r="C345" s="49" t="n"/>
      <c r="D345" s="49" t="n"/>
      <c r="E345" s="49" t="n"/>
      <c r="F345" s="50" t="n"/>
    </row>
    <row r="346">
      <c r="B346" s="49" t="n"/>
      <c r="C346" s="49" t="n"/>
      <c r="D346" s="49" t="n"/>
      <c r="E346" s="49" t="n"/>
      <c r="F346" s="50" t="n"/>
    </row>
    <row r="347">
      <c r="B347" s="49" t="n"/>
      <c r="C347" s="49" t="n"/>
      <c r="D347" s="49" t="n"/>
      <c r="E347" s="49" t="n"/>
      <c r="F347" s="50" t="n"/>
    </row>
    <row r="348">
      <c r="B348" s="49" t="n"/>
      <c r="C348" s="49" t="n"/>
      <c r="D348" s="49" t="n"/>
      <c r="E348" s="49" t="n"/>
      <c r="F348" s="50" t="n"/>
    </row>
    <row r="349">
      <c r="B349" s="49" t="n"/>
      <c r="C349" s="49" t="n"/>
      <c r="D349" s="49" t="n"/>
      <c r="E349" s="49" t="n"/>
      <c r="F349" s="50" t="n"/>
    </row>
    <row r="350">
      <c r="B350" s="49" t="n"/>
      <c r="C350" s="49" t="n"/>
      <c r="D350" s="49" t="n"/>
      <c r="E350" s="49" t="n"/>
      <c r="F350" s="50" t="n"/>
    </row>
    <row r="351">
      <c r="B351" s="49" t="n"/>
      <c r="C351" s="49" t="n"/>
      <c r="D351" s="49" t="n"/>
      <c r="E351" s="49" t="n"/>
      <c r="F351" s="50" t="n"/>
    </row>
    <row r="352">
      <c r="B352" s="49" t="n"/>
      <c r="C352" s="49" t="n"/>
      <c r="D352" s="49" t="n"/>
      <c r="E352" s="49" t="n"/>
      <c r="F352" s="50" t="n"/>
    </row>
    <row r="353">
      <c r="B353" s="49" t="n"/>
      <c r="C353" s="49" t="n"/>
      <c r="D353" s="49" t="n"/>
      <c r="E353" s="49" t="n"/>
      <c r="F353" s="50" t="n"/>
    </row>
    <row r="354">
      <c r="B354" s="49" t="n"/>
      <c r="C354" s="49" t="n"/>
      <c r="D354" s="49" t="n"/>
      <c r="E354" s="49" t="n"/>
      <c r="F354" s="50" t="n"/>
    </row>
    <row r="355">
      <c r="B355" s="49" t="n"/>
      <c r="C355" s="49" t="n"/>
      <c r="D355" s="49" t="n"/>
      <c r="E355" s="49" t="n"/>
      <c r="F355" s="50" t="n"/>
    </row>
    <row r="356">
      <c r="B356" s="49" t="n"/>
      <c r="C356" s="49" t="n"/>
      <c r="D356" s="49" t="n"/>
      <c r="E356" s="49" t="n"/>
      <c r="F356" s="50" t="n"/>
    </row>
    <row r="357">
      <c r="B357" s="49" t="n"/>
      <c r="C357" s="49" t="n"/>
      <c r="D357" s="49" t="n"/>
      <c r="E357" s="49" t="n"/>
      <c r="F357" s="50" t="n"/>
    </row>
    <row r="358">
      <c r="B358" s="49" t="n"/>
      <c r="C358" s="49" t="n"/>
      <c r="D358" s="49" t="n"/>
      <c r="E358" s="49" t="n"/>
      <c r="F358" s="50" t="n"/>
    </row>
    <row r="359">
      <c r="B359" s="49" t="n"/>
      <c r="C359" s="49" t="n"/>
      <c r="D359" s="49" t="n"/>
      <c r="E359" s="49" t="n"/>
      <c r="F359" s="50" t="n"/>
    </row>
    <row r="360">
      <c r="B360" s="49" t="n"/>
      <c r="C360" s="49" t="n"/>
      <c r="D360" s="49" t="n"/>
      <c r="E360" s="49" t="n"/>
      <c r="F360" s="50" t="n"/>
    </row>
    <row r="361">
      <c r="B361" s="49" t="n"/>
      <c r="C361" s="49" t="n"/>
      <c r="D361" s="49" t="n"/>
      <c r="E361" s="49" t="n"/>
      <c r="F361" s="50" t="n"/>
    </row>
    <row r="362">
      <c r="B362" s="49" t="n"/>
      <c r="C362" s="49" t="n"/>
      <c r="D362" s="49" t="n"/>
      <c r="E362" s="49" t="n"/>
      <c r="F362" s="50" t="n"/>
    </row>
    <row r="363">
      <c r="B363" s="49" t="n"/>
      <c r="C363" s="49" t="n"/>
      <c r="D363" s="49" t="n"/>
      <c r="E363" s="49" t="n"/>
      <c r="F363" s="50" t="n"/>
    </row>
    <row r="364">
      <c r="B364" s="49" t="n"/>
      <c r="C364" s="49" t="n"/>
      <c r="D364" s="49" t="n"/>
      <c r="E364" s="49" t="n"/>
      <c r="F364" s="50" t="n"/>
    </row>
    <row r="365">
      <c r="B365" s="49" t="n"/>
      <c r="C365" s="49" t="n"/>
      <c r="D365" s="49" t="n"/>
      <c r="E365" s="49" t="n"/>
      <c r="F365" s="50" t="n"/>
    </row>
    <row r="366">
      <c r="B366" s="49" t="n"/>
      <c r="C366" s="49" t="n"/>
      <c r="D366" s="49" t="n"/>
      <c r="E366" s="49" t="n"/>
      <c r="F366" s="50" t="n"/>
    </row>
    <row r="367">
      <c r="B367" s="49" t="n"/>
      <c r="C367" s="49" t="n"/>
      <c r="D367" s="49" t="n"/>
      <c r="E367" s="49" t="n"/>
      <c r="F367" s="50" t="n"/>
    </row>
    <row r="368">
      <c r="B368" s="49" t="n"/>
      <c r="C368" s="49" t="n"/>
      <c r="D368" s="49" t="n"/>
      <c r="E368" s="49" t="n"/>
      <c r="F368" s="50" t="n"/>
    </row>
    <row r="369">
      <c r="B369" s="49" t="n"/>
      <c r="C369" s="49" t="n"/>
      <c r="D369" s="49" t="n"/>
      <c r="E369" s="49" t="n"/>
      <c r="F369" s="50" t="n"/>
    </row>
    <row r="370">
      <c r="B370" s="49" t="n"/>
      <c r="C370" s="49" t="n"/>
      <c r="D370" s="49" t="n"/>
      <c r="E370" s="49" t="n"/>
      <c r="F370" s="50" t="n"/>
    </row>
    <row r="371">
      <c r="B371" s="49" t="n"/>
      <c r="C371" s="49" t="n"/>
      <c r="D371" s="49" t="n"/>
      <c r="E371" s="49" t="n"/>
      <c r="F371" s="50" t="n"/>
    </row>
    <row r="372">
      <c r="B372" s="49" t="n"/>
      <c r="C372" s="49" t="n"/>
      <c r="D372" s="49" t="n"/>
      <c r="E372" s="49" t="n"/>
      <c r="F372" s="50" t="n"/>
    </row>
    <row r="373">
      <c r="B373" s="49" t="n"/>
      <c r="C373" s="49" t="n"/>
      <c r="D373" s="49" t="n"/>
      <c r="E373" s="49" t="n"/>
      <c r="F373" s="50" t="n"/>
    </row>
    <row r="374">
      <c r="B374" s="49" t="n"/>
      <c r="C374" s="49" t="n"/>
      <c r="D374" s="49" t="n"/>
      <c r="E374" s="49" t="n"/>
      <c r="F374" s="50" t="n"/>
    </row>
    <row r="375">
      <c r="B375" s="49" t="n"/>
      <c r="C375" s="49" t="n"/>
      <c r="D375" s="49" t="n"/>
      <c r="E375" s="49" t="n"/>
      <c r="F375" s="50" t="n"/>
    </row>
    <row r="376">
      <c r="B376" s="49" t="n"/>
      <c r="C376" s="49" t="n"/>
      <c r="D376" s="49" t="n"/>
      <c r="E376" s="49" t="n"/>
      <c r="F376" s="50" t="n"/>
    </row>
    <row r="377">
      <c r="B377" s="49" t="n"/>
      <c r="C377" s="49" t="n"/>
      <c r="D377" s="49" t="n"/>
      <c r="E377" s="49" t="n"/>
      <c r="F377" s="50" t="n"/>
    </row>
    <row r="378">
      <c r="B378" s="49" t="n"/>
      <c r="C378" s="49" t="n"/>
      <c r="D378" s="49" t="n"/>
      <c r="E378" s="49" t="n"/>
      <c r="F378" s="50" t="n"/>
    </row>
    <row r="379">
      <c r="B379" s="49" t="n"/>
      <c r="C379" s="49" t="n"/>
      <c r="D379" s="49" t="n"/>
      <c r="E379" s="49" t="n"/>
      <c r="F379" s="50" t="n"/>
    </row>
    <row r="380">
      <c r="B380" s="49" t="n"/>
      <c r="C380" s="49" t="n"/>
      <c r="D380" s="49" t="n"/>
      <c r="E380" s="49" t="n"/>
      <c r="F380" s="50" t="n"/>
    </row>
    <row r="381">
      <c r="B381" s="49" t="n"/>
      <c r="C381" s="49" t="n"/>
      <c r="D381" s="49" t="n"/>
      <c r="E381" s="49" t="n"/>
      <c r="F381" s="50" t="n"/>
    </row>
    <row r="382">
      <c r="B382" s="49" t="n"/>
      <c r="C382" s="49" t="n"/>
      <c r="D382" s="49" t="n"/>
      <c r="E382" s="49" t="n"/>
      <c r="F382" s="50" t="n"/>
    </row>
    <row r="383">
      <c r="B383" s="49" t="n"/>
      <c r="C383" s="49" t="n"/>
      <c r="D383" s="49" t="n"/>
      <c r="E383" s="49" t="n"/>
      <c r="F383" s="50" t="n"/>
    </row>
    <row r="384">
      <c r="B384" s="49" t="n"/>
      <c r="C384" s="49" t="n"/>
      <c r="D384" s="49" t="n"/>
      <c r="E384" s="49" t="n"/>
      <c r="F384" s="50" t="n"/>
    </row>
    <row r="385">
      <c r="B385" s="49" t="n"/>
      <c r="C385" s="49" t="n"/>
      <c r="D385" s="49" t="n"/>
      <c r="E385" s="49" t="n"/>
      <c r="F385" s="50" t="n"/>
    </row>
    <row r="386">
      <c r="B386" s="49" t="n"/>
      <c r="C386" s="49" t="n"/>
      <c r="D386" s="49" t="n"/>
      <c r="E386" s="49" t="n"/>
      <c r="F386" s="50" t="n"/>
    </row>
    <row r="387">
      <c r="B387" s="49" t="n"/>
      <c r="C387" s="49" t="n"/>
      <c r="D387" s="49" t="n"/>
      <c r="E387" s="49" t="n"/>
      <c r="F387" s="50" t="n"/>
    </row>
    <row r="388">
      <c r="B388" s="49" t="n"/>
      <c r="C388" s="49" t="n"/>
      <c r="D388" s="49" t="n"/>
      <c r="E388" s="49" t="n"/>
      <c r="F388" s="50" t="n"/>
    </row>
    <row r="389">
      <c r="B389" s="49" t="n"/>
      <c r="C389" s="49" t="n"/>
      <c r="D389" s="49" t="n"/>
      <c r="E389" s="49" t="n"/>
      <c r="F389" s="50" t="n"/>
    </row>
    <row r="390">
      <c r="B390" s="49" t="n"/>
      <c r="C390" s="49" t="n"/>
      <c r="D390" s="49" t="n"/>
      <c r="E390" s="49" t="n"/>
      <c r="F390" s="50" t="n"/>
    </row>
    <row r="391">
      <c r="B391" s="49" t="n"/>
      <c r="C391" s="49" t="n"/>
      <c r="D391" s="49" t="n"/>
      <c r="E391" s="49" t="n"/>
      <c r="F391" s="50" t="n"/>
    </row>
    <row r="392">
      <c r="B392" s="49" t="n"/>
      <c r="C392" s="49" t="n"/>
      <c r="D392" s="49" t="n"/>
      <c r="E392" s="49" t="n"/>
      <c r="F392" s="50" t="n"/>
    </row>
    <row r="393">
      <c r="B393" s="49" t="n"/>
      <c r="C393" s="49" t="n"/>
      <c r="D393" s="49" t="n"/>
      <c r="E393" s="49" t="n"/>
      <c r="F393" s="50" t="n"/>
    </row>
    <row r="394">
      <c r="B394" s="49" t="n"/>
      <c r="C394" s="49" t="n"/>
      <c r="D394" s="49" t="n"/>
      <c r="E394" s="49" t="n"/>
      <c r="F394" s="50" t="n"/>
    </row>
    <row r="395">
      <c r="B395" s="49" t="n"/>
      <c r="C395" s="49" t="n"/>
      <c r="D395" s="49" t="n"/>
      <c r="E395" s="49" t="n"/>
      <c r="F395" s="50" t="n"/>
    </row>
    <row r="396">
      <c r="B396" s="49" t="n"/>
      <c r="C396" s="49" t="n"/>
      <c r="D396" s="49" t="n"/>
      <c r="E396" s="49" t="n"/>
      <c r="F396" s="50" t="n"/>
    </row>
    <row r="397">
      <c r="B397" s="49" t="n"/>
      <c r="C397" s="49" t="n"/>
      <c r="D397" s="49" t="n"/>
      <c r="E397" s="49" t="n"/>
      <c r="F397" s="50" t="n"/>
    </row>
    <row r="398">
      <c r="B398" s="49" t="n"/>
      <c r="C398" s="49" t="n"/>
      <c r="D398" s="49" t="n"/>
      <c r="E398" s="49" t="n"/>
      <c r="F398" s="50" t="n"/>
    </row>
    <row r="399">
      <c r="B399" s="49" t="n"/>
      <c r="C399" s="49" t="n"/>
      <c r="D399" s="49" t="n"/>
      <c r="E399" s="49" t="n"/>
      <c r="F399" s="50" t="n"/>
    </row>
    <row r="400">
      <c r="B400" s="49" t="n"/>
      <c r="C400" s="49" t="n"/>
      <c r="D400" s="49" t="n"/>
      <c r="E400" s="49" t="n"/>
      <c r="F400" s="50" t="n"/>
    </row>
    <row r="401">
      <c r="B401" s="49" t="n"/>
      <c r="C401" s="49" t="n"/>
      <c r="D401" s="49" t="n"/>
      <c r="E401" s="49" t="n"/>
      <c r="F401" s="50" t="n"/>
    </row>
    <row r="402">
      <c r="B402" s="49" t="n"/>
      <c r="C402" s="49" t="n"/>
      <c r="D402" s="49" t="n"/>
      <c r="E402" s="49" t="n"/>
      <c r="F402" s="50" t="n"/>
    </row>
    <row r="403">
      <c r="B403" s="49" t="n"/>
      <c r="C403" s="49" t="n"/>
      <c r="D403" s="49" t="n"/>
      <c r="E403" s="49" t="n"/>
      <c r="F403" s="50" t="n"/>
    </row>
    <row r="404">
      <c r="B404" s="49" t="n"/>
      <c r="C404" s="49" t="n"/>
      <c r="D404" s="49" t="n"/>
      <c r="E404" s="49" t="n"/>
      <c r="F404" s="50" t="n"/>
    </row>
    <row r="405">
      <c r="B405" s="49" t="n"/>
      <c r="C405" s="49" t="n"/>
      <c r="D405" s="49" t="n"/>
      <c r="E405" s="49" t="n"/>
      <c r="F405" s="50" t="n"/>
    </row>
    <row r="406">
      <c r="B406" s="49" t="n"/>
      <c r="C406" s="49" t="n"/>
      <c r="D406" s="49" t="n"/>
      <c r="E406" s="49" t="n"/>
      <c r="F406" s="50" t="n"/>
    </row>
    <row r="407">
      <c r="B407" s="49" t="n"/>
      <c r="C407" s="49" t="n"/>
      <c r="D407" s="49" t="n"/>
      <c r="E407" s="49" t="n"/>
      <c r="F407" s="50" t="n"/>
    </row>
    <row r="408">
      <c r="B408" s="49" t="n"/>
      <c r="C408" s="49" t="n"/>
      <c r="D408" s="49" t="n"/>
      <c r="E408" s="49" t="n"/>
      <c r="F408" s="50" t="n"/>
    </row>
    <row r="409">
      <c r="B409" s="49" t="n"/>
      <c r="C409" s="49" t="n"/>
      <c r="D409" s="49" t="n"/>
      <c r="E409" s="49" t="n"/>
      <c r="F409" s="50" t="n"/>
    </row>
    <row r="410">
      <c r="B410" s="49" t="n"/>
      <c r="C410" s="49" t="n"/>
      <c r="D410" s="49" t="n"/>
      <c r="E410" s="49" t="n"/>
      <c r="F410" s="50" t="n"/>
    </row>
    <row r="411">
      <c r="B411" s="49" t="n"/>
      <c r="C411" s="49" t="n"/>
      <c r="D411" s="49" t="n"/>
      <c r="E411" s="49" t="n"/>
      <c r="F411" s="50" t="n"/>
    </row>
    <row r="412">
      <c r="B412" s="49" t="n"/>
      <c r="C412" s="49" t="n"/>
      <c r="D412" s="49" t="n"/>
      <c r="E412" s="49" t="n"/>
      <c r="F412" s="50" t="n"/>
    </row>
    <row r="413">
      <c r="B413" s="49" t="n"/>
      <c r="C413" s="49" t="n"/>
      <c r="D413" s="49" t="n"/>
      <c r="E413" s="49" t="n"/>
      <c r="F413" s="50" t="n"/>
    </row>
    <row r="414">
      <c r="B414" s="49" t="n"/>
      <c r="C414" s="49" t="n"/>
      <c r="D414" s="49" t="n"/>
      <c r="E414" s="49" t="n"/>
      <c r="F414" s="50" t="n"/>
    </row>
    <row r="415">
      <c r="B415" s="49" t="n"/>
      <c r="C415" s="49" t="n"/>
      <c r="D415" s="49" t="n"/>
      <c r="E415" s="49" t="n"/>
      <c r="F415" s="50" t="n"/>
    </row>
    <row r="416">
      <c r="B416" s="49" t="n"/>
      <c r="C416" s="49" t="n"/>
      <c r="D416" s="49" t="n"/>
      <c r="E416" s="49" t="n"/>
      <c r="F416" s="50" t="n"/>
    </row>
    <row r="417">
      <c r="B417" s="49" t="n"/>
      <c r="C417" s="49" t="n"/>
      <c r="D417" s="49" t="n"/>
      <c r="E417" s="49" t="n"/>
      <c r="F417" s="50" t="n"/>
    </row>
    <row r="418">
      <c r="B418" s="49" t="n"/>
      <c r="C418" s="49" t="n"/>
      <c r="D418" s="49" t="n"/>
      <c r="E418" s="49" t="n"/>
      <c r="F418" s="50" t="n"/>
    </row>
    <row r="419">
      <c r="B419" s="49" t="n"/>
      <c r="C419" s="49" t="n"/>
      <c r="D419" s="49" t="n"/>
      <c r="E419" s="49" t="n"/>
      <c r="F419" s="50" t="n"/>
    </row>
    <row r="420">
      <c r="B420" s="49" t="n"/>
      <c r="C420" s="49" t="n"/>
      <c r="D420" s="49" t="n"/>
      <c r="E420" s="49" t="n"/>
      <c r="F420" s="50" t="n"/>
    </row>
    <row r="421">
      <c r="B421" s="49" t="n"/>
      <c r="C421" s="49" t="n"/>
      <c r="D421" s="49" t="n"/>
      <c r="E421" s="49" t="n"/>
      <c r="F421" s="50" t="n"/>
    </row>
    <row r="422">
      <c r="B422" s="49" t="n"/>
      <c r="C422" s="49" t="n"/>
      <c r="D422" s="49" t="n"/>
      <c r="E422" s="49" t="n"/>
      <c r="F422" s="50" t="n"/>
    </row>
    <row r="423">
      <c r="B423" s="49" t="n"/>
      <c r="C423" s="49" t="n"/>
      <c r="D423" s="49" t="n"/>
      <c r="E423" s="49" t="n"/>
      <c r="F423" s="50" t="n"/>
    </row>
    <row r="424">
      <c r="B424" s="49" t="n"/>
      <c r="C424" s="49" t="n"/>
      <c r="D424" s="49" t="n"/>
      <c r="E424" s="49" t="n"/>
      <c r="F424" s="50" t="n"/>
    </row>
    <row r="425">
      <c r="B425" s="49" t="n"/>
      <c r="C425" s="49" t="n"/>
      <c r="D425" s="49" t="n"/>
      <c r="E425" s="49" t="n"/>
      <c r="F425" s="50" t="n"/>
    </row>
    <row r="426">
      <c r="B426" s="49" t="n"/>
      <c r="C426" s="49" t="n"/>
      <c r="D426" s="49" t="n"/>
      <c r="E426" s="49" t="n"/>
      <c r="F426" s="50" t="n"/>
    </row>
    <row r="427">
      <c r="B427" s="49" t="n"/>
      <c r="C427" s="49" t="n"/>
      <c r="D427" s="49" t="n"/>
      <c r="E427" s="49" t="n"/>
      <c r="F427" s="50" t="n"/>
    </row>
    <row r="428">
      <c r="B428" s="49" t="n"/>
      <c r="C428" s="49" t="n"/>
      <c r="D428" s="49" t="n"/>
      <c r="E428" s="49" t="n"/>
      <c r="F428" s="50" t="n"/>
    </row>
    <row r="429">
      <c r="B429" s="49" t="n"/>
      <c r="C429" s="49" t="n"/>
      <c r="D429" s="49" t="n"/>
      <c r="E429" s="49" t="n"/>
      <c r="F429" s="50" t="n"/>
    </row>
    <row r="430">
      <c r="B430" s="49" t="n"/>
      <c r="C430" s="49" t="n"/>
      <c r="D430" s="49" t="n"/>
      <c r="E430" s="49" t="n"/>
      <c r="F430" s="50" t="n"/>
    </row>
    <row r="431">
      <c r="B431" s="49" t="n"/>
      <c r="C431" s="49" t="n"/>
      <c r="D431" s="49" t="n"/>
      <c r="E431" s="49" t="n"/>
      <c r="F431" s="50" t="n"/>
    </row>
    <row r="432">
      <c r="B432" s="49" t="n"/>
      <c r="C432" s="49" t="n"/>
      <c r="D432" s="49" t="n"/>
      <c r="E432" s="49" t="n"/>
      <c r="F432" s="50" t="n"/>
    </row>
    <row r="433">
      <c r="B433" s="49" t="n"/>
      <c r="C433" s="49" t="n"/>
      <c r="D433" s="49" t="n"/>
      <c r="E433" s="49" t="n"/>
      <c r="F433" s="50" t="n"/>
    </row>
    <row r="434">
      <c r="B434" s="49" t="n"/>
      <c r="C434" s="49" t="n"/>
      <c r="D434" s="49" t="n"/>
      <c r="E434" s="49" t="n"/>
      <c r="F434" s="50" t="n"/>
    </row>
    <row r="435">
      <c r="B435" s="49" t="n"/>
      <c r="C435" s="49" t="n"/>
      <c r="D435" s="49" t="n"/>
      <c r="E435" s="49" t="n"/>
      <c r="F435" s="50" t="n"/>
    </row>
    <row r="436">
      <c r="B436" s="49" t="n"/>
      <c r="C436" s="49" t="n"/>
      <c r="D436" s="49" t="n"/>
      <c r="E436" s="49" t="n"/>
      <c r="F436" s="50" t="n"/>
    </row>
    <row r="437">
      <c r="B437" s="49" t="n"/>
      <c r="C437" s="49" t="n"/>
      <c r="D437" s="49" t="n"/>
      <c r="E437" s="49" t="n"/>
      <c r="F437" s="50" t="n"/>
    </row>
    <row r="438">
      <c r="B438" s="49" t="n"/>
      <c r="C438" s="49" t="n"/>
      <c r="D438" s="49" t="n"/>
      <c r="E438" s="49" t="n"/>
      <c r="F438" s="50" t="n"/>
    </row>
    <row r="439">
      <c r="B439" s="49" t="n"/>
      <c r="C439" s="49" t="n"/>
      <c r="D439" s="49" t="n"/>
      <c r="E439" s="49" t="n"/>
      <c r="F439" s="50" t="n"/>
    </row>
    <row r="440">
      <c r="B440" s="49" t="n"/>
      <c r="C440" s="49" t="n"/>
      <c r="D440" s="49" t="n"/>
      <c r="E440" s="49" t="n"/>
      <c r="F440" s="50" t="n"/>
    </row>
    <row r="441">
      <c r="B441" s="49" t="n"/>
      <c r="C441" s="49" t="n"/>
      <c r="D441" s="49" t="n"/>
      <c r="E441" s="49" t="n"/>
      <c r="F441" s="50" t="n"/>
    </row>
    <row r="442">
      <c r="B442" s="49" t="n"/>
      <c r="C442" s="49" t="n"/>
      <c r="D442" s="49" t="n"/>
      <c r="E442" s="49" t="n"/>
      <c r="F442" s="50" t="n"/>
    </row>
    <row r="443">
      <c r="B443" s="49" t="n"/>
      <c r="C443" s="49" t="n"/>
      <c r="D443" s="49" t="n"/>
      <c r="E443" s="49" t="n"/>
      <c r="F443" s="50" t="n"/>
    </row>
    <row r="444">
      <c r="B444" s="49" t="n"/>
      <c r="C444" s="49" t="n"/>
      <c r="D444" s="49" t="n"/>
      <c r="E444" s="49" t="n"/>
      <c r="F444" s="50" t="n"/>
    </row>
    <row r="445">
      <c r="B445" s="49" t="n"/>
      <c r="C445" s="49" t="n"/>
      <c r="D445" s="49" t="n"/>
      <c r="E445" s="49" t="n"/>
      <c r="F445" s="50" t="n"/>
    </row>
    <row r="446">
      <c r="B446" s="49" t="n"/>
      <c r="C446" s="49" t="n"/>
      <c r="D446" s="49" t="n"/>
      <c r="E446" s="49" t="n"/>
      <c r="F446" s="50" t="n"/>
    </row>
    <row r="447">
      <c r="B447" s="49" t="n"/>
      <c r="C447" s="49" t="n"/>
      <c r="D447" s="49" t="n"/>
      <c r="E447" s="49" t="n"/>
      <c r="F447" s="50" t="n"/>
    </row>
    <row r="448">
      <c r="B448" s="49" t="n"/>
      <c r="C448" s="49" t="n"/>
      <c r="D448" s="49" t="n"/>
      <c r="E448" s="49" t="n"/>
      <c r="F448" s="50" t="n"/>
    </row>
    <row r="449">
      <c r="B449" s="49" t="n"/>
      <c r="C449" s="49" t="n"/>
      <c r="D449" s="49" t="n"/>
      <c r="E449" s="49" t="n"/>
      <c r="F449" s="50" t="n"/>
    </row>
    <row r="450">
      <c r="B450" s="49" t="n"/>
      <c r="C450" s="49" t="n"/>
      <c r="D450" s="49" t="n"/>
      <c r="E450" s="49" t="n"/>
      <c r="F450" s="50" t="n"/>
    </row>
    <row r="451">
      <c r="B451" s="49" t="n"/>
      <c r="C451" s="49" t="n"/>
      <c r="D451" s="49" t="n"/>
      <c r="E451" s="49" t="n"/>
      <c r="F451" s="50" t="n"/>
    </row>
    <row r="452">
      <c r="B452" s="49" t="n"/>
      <c r="C452" s="49" t="n"/>
      <c r="D452" s="49" t="n"/>
      <c r="E452" s="49" t="n"/>
      <c r="F452" s="50" t="n"/>
    </row>
    <row r="453">
      <c r="B453" s="49" t="n"/>
      <c r="C453" s="49" t="n"/>
      <c r="D453" s="49" t="n"/>
      <c r="E453" s="49" t="n"/>
      <c r="F453" s="50" t="n"/>
    </row>
    <row r="454">
      <c r="B454" s="49" t="n"/>
      <c r="C454" s="49" t="n"/>
      <c r="D454" s="49" t="n"/>
      <c r="E454" s="49" t="n"/>
      <c r="F454" s="50" t="n"/>
    </row>
    <row r="455">
      <c r="B455" s="49" t="n"/>
      <c r="C455" s="49" t="n"/>
      <c r="D455" s="49" t="n"/>
      <c r="E455" s="49" t="n"/>
      <c r="F455" s="50" t="n"/>
    </row>
    <row r="456">
      <c r="B456" s="49" t="n"/>
      <c r="C456" s="49" t="n"/>
      <c r="D456" s="49" t="n"/>
      <c r="E456" s="49" t="n"/>
      <c r="F456" s="50" t="n"/>
    </row>
    <row r="457">
      <c r="B457" s="49" t="n"/>
      <c r="C457" s="49" t="n"/>
      <c r="D457" s="49" t="n"/>
      <c r="E457" s="49" t="n"/>
      <c r="F457" s="50" t="n"/>
    </row>
    <row r="458">
      <c r="B458" s="49" t="n"/>
      <c r="C458" s="49" t="n"/>
      <c r="D458" s="49" t="n"/>
      <c r="E458" s="49" t="n"/>
      <c r="F458" s="50" t="n"/>
    </row>
    <row r="459">
      <c r="B459" s="49" t="n"/>
      <c r="C459" s="49" t="n"/>
      <c r="D459" s="49" t="n"/>
      <c r="E459" s="49" t="n"/>
      <c r="F459" s="50" t="n"/>
    </row>
    <row r="460">
      <c r="B460" s="49" t="n"/>
      <c r="C460" s="49" t="n"/>
      <c r="D460" s="49" t="n"/>
      <c r="E460" s="49" t="n"/>
      <c r="F460" s="50" t="n"/>
    </row>
    <row r="461">
      <c r="B461" s="49" t="n"/>
      <c r="C461" s="49" t="n"/>
      <c r="D461" s="49" t="n"/>
      <c r="E461" s="49" t="n"/>
      <c r="F461" s="50" t="n"/>
    </row>
    <row r="462">
      <c r="B462" s="49" t="n"/>
      <c r="C462" s="49" t="n"/>
      <c r="D462" s="49" t="n"/>
      <c r="E462" s="49" t="n"/>
      <c r="F462" s="50" t="n"/>
    </row>
    <row r="463">
      <c r="B463" s="49" t="n"/>
      <c r="C463" s="49" t="n"/>
      <c r="D463" s="49" t="n"/>
      <c r="E463" s="49" t="n"/>
      <c r="F463" s="50" t="n"/>
    </row>
    <row r="464">
      <c r="B464" s="49" t="n"/>
      <c r="C464" s="49" t="n"/>
      <c r="D464" s="49" t="n"/>
      <c r="E464" s="49" t="n"/>
      <c r="F464" s="50" t="n"/>
    </row>
    <row r="465">
      <c r="B465" s="49" t="n"/>
      <c r="C465" s="49" t="n"/>
      <c r="D465" s="49" t="n"/>
      <c r="E465" s="49" t="n"/>
      <c r="F465" s="50" t="n"/>
    </row>
    <row r="466">
      <c r="B466" s="49" t="n"/>
      <c r="C466" s="49" t="n"/>
      <c r="D466" s="49" t="n"/>
      <c r="E466" s="49" t="n"/>
      <c r="F466" s="50" t="n"/>
    </row>
    <row r="467">
      <c r="B467" s="49" t="n"/>
      <c r="C467" s="49" t="n"/>
      <c r="D467" s="49" t="n"/>
      <c r="E467" s="49" t="n"/>
      <c r="F467" s="50" t="n"/>
    </row>
    <row r="468">
      <c r="B468" s="49" t="n"/>
      <c r="C468" s="49" t="n"/>
      <c r="D468" s="49" t="n"/>
      <c r="E468" s="49" t="n"/>
      <c r="F468" s="50" t="n"/>
    </row>
    <row r="469">
      <c r="B469" s="49" t="n"/>
      <c r="C469" s="49" t="n"/>
      <c r="D469" s="49" t="n"/>
      <c r="E469" s="49" t="n"/>
      <c r="F469" s="50" t="n"/>
    </row>
    <row r="470">
      <c r="B470" s="49" t="n"/>
      <c r="C470" s="49" t="n"/>
      <c r="D470" s="49" t="n"/>
      <c r="E470" s="49" t="n"/>
      <c r="F470" s="50" t="n"/>
    </row>
    <row r="471">
      <c r="B471" s="49" t="n"/>
      <c r="C471" s="49" t="n"/>
      <c r="D471" s="49" t="n"/>
      <c r="E471" s="49" t="n"/>
      <c r="F471" s="50" t="n"/>
    </row>
    <row r="472">
      <c r="B472" s="49" t="n"/>
      <c r="C472" s="49" t="n"/>
      <c r="D472" s="49" t="n"/>
      <c r="E472" s="49" t="n"/>
      <c r="F472" s="50" t="n"/>
    </row>
    <row r="473">
      <c r="B473" s="49" t="n"/>
      <c r="C473" s="49" t="n"/>
      <c r="D473" s="49" t="n"/>
      <c r="E473" s="49" t="n"/>
      <c r="F473" s="50" t="n"/>
    </row>
    <row r="474">
      <c r="B474" s="49" t="n"/>
      <c r="C474" s="49" t="n"/>
      <c r="D474" s="49" t="n"/>
      <c r="E474" s="49" t="n"/>
      <c r="F474" s="50" t="n"/>
    </row>
    <row r="475">
      <c r="B475" s="49" t="n"/>
      <c r="C475" s="49" t="n"/>
      <c r="D475" s="49" t="n"/>
      <c r="E475" s="49" t="n"/>
      <c r="F475" s="50" t="n"/>
    </row>
    <row r="476">
      <c r="B476" s="49" t="n"/>
      <c r="C476" s="49" t="n"/>
      <c r="D476" s="49" t="n"/>
      <c r="E476" s="49" t="n"/>
      <c r="F476" s="50" t="n"/>
    </row>
    <row r="477">
      <c r="B477" s="49" t="n"/>
      <c r="C477" s="49" t="n"/>
      <c r="D477" s="49" t="n"/>
      <c r="E477" s="49" t="n"/>
      <c r="F477" s="50" t="n"/>
    </row>
    <row r="478">
      <c r="B478" s="49" t="n"/>
      <c r="C478" s="49" t="n"/>
      <c r="D478" s="49" t="n"/>
      <c r="E478" s="49" t="n"/>
      <c r="F478" s="50" t="n"/>
    </row>
    <row r="479">
      <c r="B479" s="49" t="n"/>
      <c r="C479" s="49" t="n"/>
      <c r="D479" s="49" t="n"/>
      <c r="E479" s="49" t="n"/>
      <c r="F479" s="50" t="n"/>
    </row>
    <row r="480">
      <c r="B480" s="49" t="n"/>
      <c r="C480" s="49" t="n"/>
      <c r="D480" s="49" t="n"/>
      <c r="E480" s="49" t="n"/>
      <c r="F480" s="50" t="n"/>
    </row>
    <row r="481">
      <c r="B481" s="49" t="n"/>
      <c r="C481" s="49" t="n"/>
      <c r="D481" s="49" t="n"/>
      <c r="E481" s="49" t="n"/>
      <c r="F481" s="50" t="n"/>
    </row>
    <row r="482">
      <c r="B482" s="49" t="n"/>
      <c r="C482" s="49" t="n"/>
      <c r="D482" s="49" t="n"/>
      <c r="E482" s="49" t="n"/>
      <c r="F482" s="50" t="n"/>
    </row>
    <row r="483">
      <c r="B483" s="49" t="n"/>
      <c r="C483" s="49" t="n"/>
      <c r="D483" s="49" t="n"/>
      <c r="E483" s="49" t="n"/>
      <c r="F483" s="50" t="n"/>
    </row>
    <row r="484">
      <c r="B484" s="49" t="n"/>
      <c r="C484" s="49" t="n"/>
      <c r="D484" s="49" t="n"/>
      <c r="E484" s="49" t="n"/>
      <c r="F484" s="50" t="n"/>
    </row>
    <row r="485">
      <c r="B485" s="49" t="n"/>
      <c r="C485" s="49" t="n"/>
      <c r="D485" s="49" t="n"/>
      <c r="E485" s="49" t="n"/>
      <c r="F485" s="50" t="n"/>
    </row>
    <row r="486">
      <c r="B486" s="49" t="n"/>
      <c r="C486" s="49" t="n"/>
      <c r="D486" s="49" t="n"/>
      <c r="E486" s="49" t="n"/>
      <c r="F486" s="50" t="n"/>
    </row>
    <row r="487">
      <c r="B487" s="49" t="n"/>
      <c r="C487" s="49" t="n"/>
      <c r="D487" s="49" t="n"/>
      <c r="E487" s="49" t="n"/>
      <c r="F487" s="50" t="n"/>
    </row>
    <row r="488">
      <c r="B488" s="49" t="n"/>
      <c r="C488" s="49" t="n"/>
      <c r="D488" s="49" t="n"/>
      <c r="E488" s="49" t="n"/>
      <c r="F488" s="50" t="n"/>
    </row>
    <row r="489">
      <c r="B489" s="49" t="n"/>
      <c r="C489" s="49" t="n"/>
      <c r="D489" s="49" t="n"/>
      <c r="E489" s="49" t="n"/>
      <c r="F489" s="50" t="n"/>
    </row>
    <row r="490">
      <c r="B490" s="49" t="n"/>
      <c r="C490" s="49" t="n"/>
      <c r="D490" s="49" t="n"/>
      <c r="E490" s="49" t="n"/>
      <c r="F490" s="50" t="n"/>
    </row>
    <row r="491">
      <c r="B491" s="49" t="n"/>
      <c r="C491" s="49" t="n"/>
      <c r="D491" s="49" t="n"/>
      <c r="E491" s="49" t="n"/>
      <c r="F491" s="50" t="n"/>
    </row>
    <row r="492">
      <c r="B492" s="49" t="n"/>
      <c r="C492" s="49" t="n"/>
      <c r="D492" s="49" t="n"/>
      <c r="E492" s="49" t="n"/>
      <c r="F492" s="50" t="n"/>
    </row>
    <row r="493">
      <c r="B493" s="49" t="n"/>
      <c r="C493" s="49" t="n"/>
      <c r="D493" s="49" t="n"/>
      <c r="E493" s="49" t="n"/>
      <c r="F493" s="50" t="n"/>
    </row>
    <row r="494">
      <c r="B494" s="49" t="n"/>
      <c r="C494" s="49" t="n"/>
      <c r="D494" s="49" t="n"/>
      <c r="E494" s="49" t="n"/>
      <c r="F494" s="50" t="n"/>
    </row>
    <row r="495">
      <c r="B495" s="49" t="n"/>
      <c r="C495" s="49" t="n"/>
      <c r="D495" s="49" t="n"/>
      <c r="E495" s="49" t="n"/>
      <c r="F495" s="50" t="n"/>
    </row>
    <row r="496">
      <c r="B496" s="49" t="n"/>
      <c r="C496" s="49" t="n"/>
      <c r="D496" s="49" t="n"/>
      <c r="E496" s="49" t="n"/>
      <c r="F496" s="50" t="n"/>
    </row>
    <row r="497">
      <c r="B497" s="49" t="n"/>
      <c r="C497" s="49" t="n"/>
      <c r="D497" s="49" t="n"/>
      <c r="E497" s="49" t="n"/>
      <c r="F497" s="50" t="n"/>
    </row>
    <row r="498">
      <c r="B498" s="49" t="n"/>
      <c r="C498" s="49" t="n"/>
      <c r="D498" s="49" t="n"/>
      <c r="E498" s="49" t="n"/>
      <c r="F498" s="50" t="n"/>
    </row>
    <row r="499">
      <c r="B499" s="49" t="n"/>
      <c r="C499" s="49" t="n"/>
      <c r="D499" s="49" t="n"/>
      <c r="E499" s="49" t="n"/>
      <c r="F499" s="50" t="n"/>
    </row>
    <row r="500">
      <c r="B500" s="49" t="n"/>
      <c r="C500" s="49" t="n"/>
      <c r="D500" s="49" t="n"/>
      <c r="E500" s="49" t="n"/>
      <c r="F500" s="50" t="n"/>
    </row>
    <row r="501">
      <c r="B501" s="49" t="n"/>
      <c r="C501" s="49" t="n"/>
      <c r="D501" s="49" t="n"/>
      <c r="E501" s="49" t="n"/>
      <c r="F501" s="50" t="n"/>
    </row>
    <row r="502">
      <c r="B502" s="49" t="n"/>
      <c r="C502" s="49" t="n"/>
      <c r="D502" s="49" t="n"/>
      <c r="E502" s="49" t="n"/>
      <c r="F502" s="50" t="n"/>
    </row>
    <row r="503">
      <c r="B503" s="49" t="n"/>
      <c r="C503" s="49" t="n"/>
      <c r="D503" s="49" t="n"/>
      <c r="E503" s="49" t="n"/>
      <c r="F503" s="50" t="n"/>
    </row>
    <row r="504">
      <c r="B504" s="49" t="n"/>
      <c r="C504" s="49" t="n"/>
      <c r="D504" s="49" t="n"/>
      <c r="E504" s="49" t="n"/>
      <c r="F504" s="50" t="n"/>
    </row>
    <row r="505">
      <c r="B505" s="49" t="n"/>
      <c r="C505" s="49" t="n"/>
      <c r="D505" s="49" t="n"/>
      <c r="E505" s="49" t="n"/>
      <c r="F505" s="50" t="n"/>
    </row>
    <row r="506">
      <c r="B506" s="49" t="n"/>
      <c r="C506" s="49" t="n"/>
      <c r="D506" s="49" t="n"/>
      <c r="E506" s="49" t="n"/>
      <c r="F506" s="50" t="n"/>
    </row>
    <row r="507">
      <c r="B507" s="49" t="n"/>
      <c r="C507" s="49" t="n"/>
      <c r="D507" s="49" t="n"/>
      <c r="E507" s="49" t="n"/>
      <c r="F507" s="50" t="n"/>
    </row>
    <row r="508">
      <c r="B508" s="49" t="n"/>
      <c r="C508" s="49" t="n"/>
      <c r="D508" s="49" t="n"/>
      <c r="E508" s="49" t="n"/>
      <c r="F508" s="50" t="n"/>
    </row>
    <row r="509">
      <c r="B509" s="49" t="n"/>
      <c r="C509" s="49" t="n"/>
      <c r="D509" s="49" t="n"/>
      <c r="E509" s="49" t="n"/>
      <c r="F509" s="50" t="n"/>
    </row>
    <row r="510">
      <c r="B510" s="49" t="n"/>
      <c r="C510" s="49" t="n"/>
      <c r="D510" s="49" t="n"/>
      <c r="E510" s="49" t="n"/>
      <c r="F510" s="50" t="n"/>
    </row>
    <row r="511">
      <c r="B511" s="49" t="n"/>
      <c r="C511" s="49" t="n"/>
      <c r="D511" s="49" t="n"/>
      <c r="E511" s="49" t="n"/>
      <c r="F511" s="50" t="n"/>
    </row>
    <row r="512">
      <c r="B512" s="49" t="n"/>
      <c r="C512" s="49" t="n"/>
      <c r="D512" s="49" t="n"/>
      <c r="E512" s="49" t="n"/>
      <c r="F512" s="50" t="n"/>
    </row>
    <row r="513">
      <c r="B513" s="49" t="n"/>
      <c r="C513" s="49" t="n"/>
      <c r="D513" s="49" t="n"/>
      <c r="E513" s="49" t="n"/>
      <c r="F513" s="50" t="n"/>
    </row>
    <row r="514">
      <c r="B514" s="49" t="n"/>
      <c r="C514" s="49" t="n"/>
      <c r="D514" s="49" t="n"/>
      <c r="E514" s="49" t="n"/>
      <c r="F514" s="50" t="n"/>
    </row>
    <row r="515">
      <c r="B515" s="49" t="n"/>
      <c r="C515" s="49" t="n"/>
      <c r="D515" s="49" t="n"/>
      <c r="E515" s="49" t="n"/>
      <c r="F515" s="50" t="n"/>
    </row>
    <row r="516">
      <c r="B516" s="49" t="n"/>
      <c r="C516" s="49" t="n"/>
      <c r="D516" s="49" t="n"/>
      <c r="E516" s="49" t="n"/>
      <c r="F516" s="50" t="n"/>
    </row>
    <row r="517">
      <c r="B517" s="49" t="n"/>
      <c r="C517" s="49" t="n"/>
      <c r="D517" s="49" t="n"/>
      <c r="E517" s="49" t="n"/>
      <c r="F517" s="50"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emplate" error="Choose a value of the list Template (PM-08) (sheet Reference lists)." promptTitle="Template" prompt="Yes. Package document template Allowed: List Template (PM-08): 6 values, see Reference lists" type="list" errorStyle="stop">
      <formula1>=LIST_PM_08_TEMPLATE</formula1>
    </dataValidation>
    <dataValidation sqref="C17:C517" showDropDown="0" showInputMessage="1" showErrorMessage="0" allowBlank="1" promptTitle="Title" prompt="Yes. Title of the document"/>
    <dataValidation sqref="D17:D517" showDropDown="0" showInputMessage="1" showErrorMessage="0" allowBlank="1" promptTitle="Text" prompt="Yes. Text with merge fields in double braces"/>
    <dataValidation sqref="E17:E517" showDropDown="0" showInputMessage="1" showErrorMessage="0" allowBlank="1" promptTitle="Merge fields used" prompt="No. Merge fields of the text, for reference"/>
    <dataValidation sqref="F17:F517" showDropDown="0" showInputMessage="1" showErrorMessage="1" allowBlank="1" errorTitle="Effective from" error="Enter a date, for example 15-Jan-2028." promptTitle="Effective from" prompt="Yes. First day of use of the version Allowed: A date, for example 15-Jan-2028" type="date" operator="greaterThan">
      <formula1>DATE(1900,1,1)</formula1>
    </dataValidation>
  </dataValidations>
  <hyperlinks>
    <hyperlink ref="A2" location="'Start here'!A1"/>
    <hyperlink ref="G2" location="'Questions and comments'!A1"/>
    <hyperlink ref="B14" location="'Reference lists'!A519"/>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4.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3" customWidth="1" min="3" max="3"/>
    <col width="17" customWidth="1" min="4" max="4"/>
    <col width="17" customWidth="1" min="5" max="5"/>
    <col width="16" customWidth="1" min="6" max="6"/>
    <col width="12" customWidth="1" min="7" max="7"/>
  </cols>
  <sheetData>
    <row r="1" ht="26" customHeight="1">
      <c r="A1" s="25" t="inlineStr">
        <is>
          <t>UA-05 Password, session and sign-in parameters</t>
        </is>
      </c>
      <c r="G1" s="26" t="inlineStr">
        <is>
          <t>Step 51 of 52</t>
        </is>
      </c>
    </row>
    <row r="2">
      <c r="A2" s="27" t="inlineStr">
        <is>
          <t>← Back to Start here</t>
        </is>
      </c>
      <c r="B2" s="28" t="inlineStr">
        <is>
          <t>Step 51 of 52. Fill in one row per record below the column headers; the guide above each column says what to enter.</t>
        </is>
      </c>
      <c r="G2" s="29" t="inlineStr">
        <is>
          <t>Ask a question →</t>
        </is>
      </c>
    </row>
    <row r="3" outlineLevel="1" ht="28" customHeight="1">
      <c r="A3" s="30" t="inlineStr">
        <is>
          <t>Purpose</t>
        </is>
      </c>
      <c r="B3" s="31" t="inlineStr">
        <is>
          <t>The values of the sign-in, password, session and access-request parameters, as delivered and as BDOI Information Security wants them</t>
        </is>
      </c>
    </row>
    <row r="4" outlineLevel="1" ht="15.5" customHeight="1">
      <c r="A4" s="30" t="inlineStr">
        <is>
          <t>Provided by</t>
        </is>
      </c>
      <c r="B4" s="31" t="inlineStr">
        <is>
          <t>BDOI Information Security; BDOI IT for the sign-in mode</t>
        </is>
      </c>
    </row>
    <row r="5" outlineLevel="1" ht="15.5" customHeight="1">
      <c r="A5" s="30" t="inlineStr">
        <is>
          <t>Due</t>
        </is>
      </c>
      <c r="B5" s="32" t="inlineStr">
        <is>
          <t>16-Jul-2027 – Values for UAT</t>
        </is>
      </c>
    </row>
    <row r="6" outlineLevel="1" ht="15.5" customHeight="1">
      <c r="A6" s="30" t="inlineStr">
        <is>
          <t>How it is loaded</t>
        </is>
      </c>
      <c r="B6" s="31" t="inlineStr">
        <is>
          <t>Upload on the configuration screen Setup &amp; Administration › Administration › System Parameters, approved by a second user</t>
        </is>
      </c>
    </row>
    <row r="7" outlineLevel="1" ht="15.5" customHeight="1">
      <c r="A7" s="30" t="inlineStr">
        <is>
          <t>Source</t>
        </is>
      </c>
      <c r="B7" s="31" t="inlineStr">
        <is>
          <t>Upload template of the configuration screen (the same columns, headers, mandatory flags and allowed values)</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SUMPRODUCT(((ROW($B$17:$B$517)&gt;17)+($B$17&lt;&gt;"PASSWORD_MAX_AGE_DAYS")&gt;0)*(LEN($B$17:$B$517&amp;$C$17:$C$517&amp;$D$17:$D$517&amp;$E$17:$E$517&amp;$F$17:$F$517)&gt;0))</f>
        <v/>
      </c>
      <c r="D9" s="35" t="inlineStr">
        <is>
          <t>Mandatory cells missing</t>
        </is>
      </c>
      <c r="E9" s="36">
        <f>SUMPRODUCT(((ROW($B$17:$B$517)&gt;17)+($B$17&lt;&gt;"PASSWORD_MAX_AGE_DAYS")&gt;0)*(LEN($B$17:$B$517&amp;$C$17:$C$517&amp;$D$17:$D$517&amp;$E$17:$E$517&amp;$F$17:$F$517)&gt;0)*(($B$17:$B$517="")+($F$17:$F$517="")))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3" t="inlineStr">
        <is>
          <t>No</t>
        </is>
      </c>
      <c r="D12" s="43" t="inlineStr">
        <is>
          <t>No</t>
        </is>
      </c>
      <c r="E12" s="43" t="inlineStr">
        <is>
          <t>No</t>
        </is>
      </c>
      <c r="F12" s="42" t="inlineStr">
        <is>
          <t>Yes</t>
        </is>
      </c>
    </row>
    <row r="13" ht="17" customHeight="1">
      <c r="A13" s="41" t="inlineStr">
        <is>
          <t>Format</t>
        </is>
      </c>
      <c r="B13" s="43" t="inlineStr">
        <is>
          <t>Code from the drop-down</t>
        </is>
      </c>
      <c r="C13" s="43" t="inlineStr">
        <is>
          <t>Text</t>
        </is>
      </c>
      <c r="D13" s="43" t="inlineStr">
        <is>
          <t>Same type and range</t>
        </is>
      </c>
      <c r="E13" s="43" t="inlineStr">
        <is>
          <t>Text</t>
        </is>
      </c>
      <c r="F13" s="43" t="inlineStr">
        <is>
          <t>Text</t>
        </is>
      </c>
    </row>
    <row r="14" ht="43" customHeight="1">
      <c r="A14" s="41" t="inlineStr">
        <is>
          <t>Allowed values</t>
        </is>
      </c>
      <c r="B14" s="51" t="inlineStr">
        <is>
          <t>List Parameter (UA-05): 17 values, see Reference lists</t>
        </is>
      </c>
      <c r="C14" s="43" t="inlineStr">
        <is>
          <t>Free entry</t>
        </is>
      </c>
      <c r="D14" s="43" t="inlineStr">
        <is>
          <t>Free entry</t>
        </is>
      </c>
      <c r="E14" s="43" t="inlineStr">
        <is>
          <t>Free entry</t>
        </is>
      </c>
      <c r="F14" s="43" t="inlineStr">
        <is>
          <t>Free entry</t>
        </is>
      </c>
    </row>
    <row r="15" ht="43" customHeight="1">
      <c r="A15" s="41" t="inlineStr">
        <is>
          <t>What to enter</t>
        </is>
      </c>
      <c r="B15" s="43" t="inlineStr">
        <is>
          <t>One row per parameter</t>
        </is>
      </c>
      <c r="C15" s="43" t="inlineStr">
        <is>
          <t>The value proposed with the system; blank = no value</t>
        </is>
      </c>
      <c r="D15" s="43" t="inlineStr">
        <is>
          <t>The value wanted; blank = no value</t>
        </is>
      </c>
      <c r="E15" s="43" t="inlineStr">
        <is>
          <t>Policy reference or reason</t>
        </is>
      </c>
      <c r="F15" s="43" t="inlineStr">
        <is>
          <t>Information Security or IT approver of the value</t>
        </is>
      </c>
    </row>
    <row r="16" ht="30" customHeight="1">
      <c r="A16" s="44" t="inlineStr">
        <is>
          <t>Row</t>
        </is>
      </c>
      <c r="B16" s="45" t="inlineStr">
        <is>
          <t>Parameter *</t>
        </is>
      </c>
      <c r="C16" s="45" t="inlineStr">
        <is>
          <t>Value as delivered</t>
        </is>
      </c>
      <c r="D16" s="45" t="inlineStr">
        <is>
          <t>Value wanted</t>
        </is>
      </c>
      <c r="E16" s="45" t="inlineStr">
        <is>
          <t>Reason</t>
        </is>
      </c>
      <c r="F16" s="45" t="inlineStr">
        <is>
          <t>Approved by *</t>
        </is>
      </c>
    </row>
    <row r="17" ht="18" customHeight="1">
      <c r="A17" s="46" t="inlineStr">
        <is>
          <t>Example – overwrite or delete</t>
        </is>
      </c>
      <c r="B17" s="47" t="inlineStr">
        <is>
          <t>PASSWORD_MAX_AGE_DAYS</t>
        </is>
      </c>
      <c r="C17" s="47" t="inlineStr">
        <is>
          <t>90</t>
        </is>
      </c>
      <c r="D17" s="47" t="inlineStr">
        <is>
          <t>90</t>
        </is>
      </c>
      <c r="E17" s="47" t="inlineStr">
        <is>
          <t>Password policy</t>
        </is>
      </c>
      <c r="F17" s="47" t="inlineStr">
        <is>
          <t>Ramon Dizon</t>
        </is>
      </c>
    </row>
    <row r="18">
      <c r="B18" s="49" t="n"/>
      <c r="C18" s="49" t="n"/>
      <c r="D18" s="49" t="n"/>
      <c r="E18" s="49" t="n"/>
      <c r="F18" s="49" t="n"/>
    </row>
    <row r="19">
      <c r="B19" s="49" t="n"/>
      <c r="C19" s="49" t="n"/>
      <c r="D19" s="49" t="n"/>
      <c r="E19" s="49" t="n"/>
      <c r="F19" s="49" t="n"/>
    </row>
    <row r="20">
      <c r="B20" s="49" t="n"/>
      <c r="C20" s="49" t="n"/>
      <c r="D20" s="49" t="n"/>
      <c r="E20" s="49" t="n"/>
      <c r="F20" s="49" t="n"/>
    </row>
    <row r="21">
      <c r="B21" s="49" t="n"/>
      <c r="C21" s="49" t="n"/>
      <c r="D21" s="49" t="n"/>
      <c r="E21" s="49" t="n"/>
      <c r="F21" s="49" t="n"/>
    </row>
    <row r="22">
      <c r="B22" s="49" t="n"/>
      <c r="C22" s="49" t="n"/>
      <c r="D22" s="49" t="n"/>
      <c r="E22" s="49" t="n"/>
      <c r="F22" s="49" t="n"/>
    </row>
    <row r="23">
      <c r="B23" s="49" t="n"/>
      <c r="C23" s="49" t="n"/>
      <c r="D23" s="49" t="n"/>
      <c r="E23" s="49" t="n"/>
      <c r="F23" s="49" t="n"/>
    </row>
    <row r="24">
      <c r="B24" s="49" t="n"/>
      <c r="C24" s="49" t="n"/>
      <c r="D24" s="49" t="n"/>
      <c r="E24" s="49" t="n"/>
      <c r="F24" s="49" t="n"/>
    </row>
    <row r="25">
      <c r="B25" s="49" t="n"/>
      <c r="C25" s="49" t="n"/>
      <c r="D25" s="49" t="n"/>
      <c r="E25" s="49" t="n"/>
      <c r="F25" s="49" t="n"/>
    </row>
    <row r="26">
      <c r="B26" s="49" t="n"/>
      <c r="C26" s="49" t="n"/>
      <c r="D26" s="49" t="n"/>
      <c r="E26" s="49" t="n"/>
      <c r="F26" s="49" t="n"/>
    </row>
    <row r="27">
      <c r="B27" s="49" t="n"/>
      <c r="C27" s="49" t="n"/>
      <c r="D27" s="49" t="n"/>
      <c r="E27" s="49" t="n"/>
      <c r="F27" s="49" t="n"/>
    </row>
    <row r="28">
      <c r="B28" s="49" t="n"/>
      <c r="C28" s="49" t="n"/>
      <c r="D28" s="49" t="n"/>
      <c r="E28" s="49" t="n"/>
      <c r="F28" s="49" t="n"/>
    </row>
    <row r="29">
      <c r="B29" s="49" t="n"/>
      <c r="C29" s="49" t="n"/>
      <c r="D29" s="49" t="n"/>
      <c r="E29" s="49" t="n"/>
      <c r="F29" s="49" t="n"/>
    </row>
    <row r="30">
      <c r="B30" s="49" t="n"/>
      <c r="C30" s="49" t="n"/>
      <c r="D30" s="49" t="n"/>
      <c r="E30" s="49" t="n"/>
      <c r="F30" s="49" t="n"/>
    </row>
    <row r="31">
      <c r="B31" s="49" t="n"/>
      <c r="C31" s="49" t="n"/>
      <c r="D31" s="49" t="n"/>
      <c r="E31" s="49" t="n"/>
      <c r="F31" s="49" t="n"/>
    </row>
    <row r="32">
      <c r="B32" s="49" t="n"/>
      <c r="C32" s="49" t="n"/>
      <c r="D32" s="49" t="n"/>
      <c r="E32" s="49" t="n"/>
      <c r="F32" s="49" t="n"/>
    </row>
    <row r="33">
      <c r="B33" s="49" t="n"/>
      <c r="C33" s="49" t="n"/>
      <c r="D33" s="49" t="n"/>
      <c r="E33" s="49" t="n"/>
      <c r="F33" s="49" t="n"/>
    </row>
    <row r="34">
      <c r="B34" s="49" t="n"/>
      <c r="C34" s="49" t="n"/>
      <c r="D34" s="49" t="n"/>
      <c r="E34" s="49" t="n"/>
      <c r="F34" s="49" t="n"/>
    </row>
    <row r="35">
      <c r="B35" s="49" t="n"/>
      <c r="C35" s="49" t="n"/>
      <c r="D35" s="49" t="n"/>
      <c r="E35" s="49" t="n"/>
      <c r="F35" s="49" t="n"/>
    </row>
    <row r="36">
      <c r="B36" s="49" t="n"/>
      <c r="C36" s="49" t="n"/>
      <c r="D36" s="49" t="n"/>
      <c r="E36" s="49" t="n"/>
      <c r="F36" s="49" t="n"/>
    </row>
    <row r="37">
      <c r="B37" s="49" t="n"/>
      <c r="C37" s="49" t="n"/>
      <c r="D37" s="49" t="n"/>
      <c r="E37" s="49" t="n"/>
      <c r="F37" s="49" t="n"/>
    </row>
    <row r="38">
      <c r="B38" s="49" t="n"/>
      <c r="C38" s="49" t="n"/>
      <c r="D38" s="49" t="n"/>
      <c r="E38" s="49" t="n"/>
      <c r="F38" s="49" t="n"/>
    </row>
    <row r="39">
      <c r="B39" s="49" t="n"/>
      <c r="C39" s="49" t="n"/>
      <c r="D39" s="49" t="n"/>
      <c r="E39" s="49" t="n"/>
      <c r="F39" s="49" t="n"/>
    </row>
    <row r="40">
      <c r="B40" s="49" t="n"/>
      <c r="C40" s="49" t="n"/>
      <c r="D40" s="49" t="n"/>
      <c r="E40" s="49" t="n"/>
      <c r="F40" s="49" t="n"/>
    </row>
    <row r="41">
      <c r="B41" s="49" t="n"/>
      <c r="C41" s="49" t="n"/>
      <c r="D41" s="49" t="n"/>
      <c r="E41" s="49" t="n"/>
      <c r="F41" s="49" t="n"/>
    </row>
    <row r="42">
      <c r="B42" s="49" t="n"/>
      <c r="C42" s="49" t="n"/>
      <c r="D42" s="49" t="n"/>
      <c r="E42" s="49" t="n"/>
      <c r="F42" s="49" t="n"/>
    </row>
    <row r="43">
      <c r="B43" s="49" t="n"/>
      <c r="C43" s="49" t="n"/>
      <c r="D43" s="49" t="n"/>
      <c r="E43" s="49" t="n"/>
      <c r="F43" s="49" t="n"/>
    </row>
    <row r="44">
      <c r="B44" s="49" t="n"/>
      <c r="C44" s="49" t="n"/>
      <c r="D44" s="49" t="n"/>
      <c r="E44" s="49" t="n"/>
      <c r="F44" s="49" t="n"/>
    </row>
    <row r="45">
      <c r="B45" s="49" t="n"/>
      <c r="C45" s="49" t="n"/>
      <c r="D45" s="49" t="n"/>
      <c r="E45" s="49" t="n"/>
      <c r="F45" s="49" t="n"/>
    </row>
    <row r="46">
      <c r="B46" s="49" t="n"/>
      <c r="C46" s="49" t="n"/>
      <c r="D46" s="49" t="n"/>
      <c r="E46" s="49" t="n"/>
      <c r="F46" s="49" t="n"/>
    </row>
    <row r="47">
      <c r="B47" s="49" t="n"/>
      <c r="C47" s="49" t="n"/>
      <c r="D47" s="49" t="n"/>
      <c r="E47" s="49" t="n"/>
      <c r="F47" s="49" t="n"/>
    </row>
    <row r="48">
      <c r="B48" s="49" t="n"/>
      <c r="C48" s="49" t="n"/>
      <c r="D48" s="49" t="n"/>
      <c r="E48" s="49" t="n"/>
      <c r="F48" s="49" t="n"/>
    </row>
    <row r="49">
      <c r="B49" s="49" t="n"/>
      <c r="C49" s="49" t="n"/>
      <c r="D49" s="49" t="n"/>
      <c r="E49" s="49" t="n"/>
      <c r="F49" s="49" t="n"/>
    </row>
    <row r="50">
      <c r="B50" s="49" t="n"/>
      <c r="C50" s="49" t="n"/>
      <c r="D50" s="49" t="n"/>
      <c r="E50" s="49" t="n"/>
      <c r="F50" s="49" t="n"/>
    </row>
    <row r="51">
      <c r="B51" s="49" t="n"/>
      <c r="C51" s="49" t="n"/>
      <c r="D51" s="49" t="n"/>
      <c r="E51" s="49" t="n"/>
      <c r="F51" s="49" t="n"/>
    </row>
    <row r="52">
      <c r="B52" s="49" t="n"/>
      <c r="C52" s="49" t="n"/>
      <c r="D52" s="49" t="n"/>
      <c r="E52" s="49" t="n"/>
      <c r="F52" s="49" t="n"/>
    </row>
    <row r="53">
      <c r="B53" s="49" t="n"/>
      <c r="C53" s="49" t="n"/>
      <c r="D53" s="49" t="n"/>
      <c r="E53" s="49" t="n"/>
      <c r="F53" s="49" t="n"/>
    </row>
    <row r="54">
      <c r="B54" s="49" t="n"/>
      <c r="C54" s="49" t="n"/>
      <c r="D54" s="49" t="n"/>
      <c r="E54" s="49" t="n"/>
      <c r="F54" s="49" t="n"/>
    </row>
    <row r="55">
      <c r="B55" s="49" t="n"/>
      <c r="C55" s="49" t="n"/>
      <c r="D55" s="49" t="n"/>
      <c r="E55" s="49" t="n"/>
      <c r="F55" s="49" t="n"/>
    </row>
    <row r="56">
      <c r="B56" s="49" t="n"/>
      <c r="C56" s="49" t="n"/>
      <c r="D56" s="49" t="n"/>
      <c r="E56" s="49" t="n"/>
      <c r="F56" s="49" t="n"/>
    </row>
    <row r="57">
      <c r="B57" s="49" t="n"/>
      <c r="C57" s="49" t="n"/>
      <c r="D57" s="49" t="n"/>
      <c r="E57" s="49" t="n"/>
      <c r="F57" s="49" t="n"/>
    </row>
    <row r="58">
      <c r="B58" s="49" t="n"/>
      <c r="C58" s="49" t="n"/>
      <c r="D58" s="49" t="n"/>
      <c r="E58" s="49" t="n"/>
      <c r="F58" s="49" t="n"/>
    </row>
    <row r="59">
      <c r="B59" s="49" t="n"/>
      <c r="C59" s="49" t="n"/>
      <c r="D59" s="49" t="n"/>
      <c r="E59" s="49" t="n"/>
      <c r="F59" s="49" t="n"/>
    </row>
    <row r="60">
      <c r="B60" s="49" t="n"/>
      <c r="C60" s="49" t="n"/>
      <c r="D60" s="49" t="n"/>
      <c r="E60" s="49" t="n"/>
      <c r="F60" s="49" t="n"/>
    </row>
    <row r="61">
      <c r="B61" s="49" t="n"/>
      <c r="C61" s="49" t="n"/>
      <c r="D61" s="49" t="n"/>
      <c r="E61" s="49" t="n"/>
      <c r="F61" s="49" t="n"/>
    </row>
    <row r="62">
      <c r="B62" s="49" t="n"/>
      <c r="C62" s="49" t="n"/>
      <c r="D62" s="49" t="n"/>
      <c r="E62" s="49" t="n"/>
      <c r="F62" s="49" t="n"/>
    </row>
    <row r="63">
      <c r="B63" s="49" t="n"/>
      <c r="C63" s="49" t="n"/>
      <c r="D63" s="49" t="n"/>
      <c r="E63" s="49" t="n"/>
      <c r="F63" s="49" t="n"/>
    </row>
    <row r="64">
      <c r="B64" s="49" t="n"/>
      <c r="C64" s="49" t="n"/>
      <c r="D64" s="49" t="n"/>
      <c r="E64" s="49" t="n"/>
      <c r="F64" s="49" t="n"/>
    </row>
    <row r="65">
      <c r="B65" s="49" t="n"/>
      <c r="C65" s="49" t="n"/>
      <c r="D65" s="49" t="n"/>
      <c r="E65" s="49" t="n"/>
      <c r="F65" s="49" t="n"/>
    </row>
    <row r="66">
      <c r="B66" s="49" t="n"/>
      <c r="C66" s="49" t="n"/>
      <c r="D66" s="49" t="n"/>
      <c r="E66" s="49" t="n"/>
      <c r="F66" s="49" t="n"/>
    </row>
    <row r="67">
      <c r="B67" s="49" t="n"/>
      <c r="C67" s="49" t="n"/>
      <c r="D67" s="49" t="n"/>
      <c r="E67" s="49" t="n"/>
      <c r="F67" s="49" t="n"/>
    </row>
    <row r="68">
      <c r="B68" s="49" t="n"/>
      <c r="C68" s="49" t="n"/>
      <c r="D68" s="49" t="n"/>
      <c r="E68" s="49" t="n"/>
      <c r="F68" s="49" t="n"/>
    </row>
    <row r="69">
      <c r="B69" s="49" t="n"/>
      <c r="C69" s="49" t="n"/>
      <c r="D69" s="49" t="n"/>
      <c r="E69" s="49" t="n"/>
      <c r="F69" s="49" t="n"/>
    </row>
    <row r="70">
      <c r="B70" s="49" t="n"/>
      <c r="C70" s="49" t="n"/>
      <c r="D70" s="49" t="n"/>
      <c r="E70" s="49" t="n"/>
      <c r="F70" s="49" t="n"/>
    </row>
    <row r="71">
      <c r="B71" s="49" t="n"/>
      <c r="C71" s="49" t="n"/>
      <c r="D71" s="49" t="n"/>
      <c r="E71" s="49" t="n"/>
      <c r="F71" s="49" t="n"/>
    </row>
    <row r="72">
      <c r="B72" s="49" t="n"/>
      <c r="C72" s="49" t="n"/>
      <c r="D72" s="49" t="n"/>
      <c r="E72" s="49" t="n"/>
      <c r="F72" s="49" t="n"/>
    </row>
    <row r="73">
      <c r="B73" s="49" t="n"/>
      <c r="C73" s="49" t="n"/>
      <c r="D73" s="49" t="n"/>
      <c r="E73" s="49" t="n"/>
      <c r="F73" s="49" t="n"/>
    </row>
    <row r="74">
      <c r="B74" s="49" t="n"/>
      <c r="C74" s="49" t="n"/>
      <c r="D74" s="49" t="n"/>
      <c r="E74" s="49" t="n"/>
      <c r="F74" s="49" t="n"/>
    </row>
    <row r="75">
      <c r="B75" s="49" t="n"/>
      <c r="C75" s="49" t="n"/>
      <c r="D75" s="49" t="n"/>
      <c r="E75" s="49" t="n"/>
      <c r="F75" s="49" t="n"/>
    </row>
    <row r="76">
      <c r="B76" s="49" t="n"/>
      <c r="C76" s="49" t="n"/>
      <c r="D76" s="49" t="n"/>
      <c r="E76" s="49" t="n"/>
      <c r="F76" s="49" t="n"/>
    </row>
    <row r="77">
      <c r="B77" s="49" t="n"/>
      <c r="C77" s="49" t="n"/>
      <c r="D77" s="49" t="n"/>
      <c r="E77" s="49" t="n"/>
      <c r="F77" s="49" t="n"/>
    </row>
    <row r="78">
      <c r="B78" s="49" t="n"/>
      <c r="C78" s="49" t="n"/>
      <c r="D78" s="49" t="n"/>
      <c r="E78" s="49" t="n"/>
      <c r="F78" s="49" t="n"/>
    </row>
    <row r="79">
      <c r="B79" s="49" t="n"/>
      <c r="C79" s="49" t="n"/>
      <c r="D79" s="49" t="n"/>
      <c r="E79" s="49" t="n"/>
      <c r="F79" s="49" t="n"/>
    </row>
    <row r="80">
      <c r="B80" s="49" t="n"/>
      <c r="C80" s="49" t="n"/>
      <c r="D80" s="49" t="n"/>
      <c r="E80" s="49" t="n"/>
      <c r="F80" s="49" t="n"/>
    </row>
    <row r="81">
      <c r="B81" s="49" t="n"/>
      <c r="C81" s="49" t="n"/>
      <c r="D81" s="49" t="n"/>
      <c r="E81" s="49" t="n"/>
      <c r="F81" s="49" t="n"/>
    </row>
    <row r="82">
      <c r="B82" s="49" t="n"/>
      <c r="C82" s="49" t="n"/>
      <c r="D82" s="49" t="n"/>
      <c r="E82" s="49" t="n"/>
      <c r="F82" s="49" t="n"/>
    </row>
    <row r="83">
      <c r="B83" s="49" t="n"/>
      <c r="C83" s="49" t="n"/>
      <c r="D83" s="49" t="n"/>
      <c r="E83" s="49" t="n"/>
      <c r="F83" s="49" t="n"/>
    </row>
    <row r="84">
      <c r="B84" s="49" t="n"/>
      <c r="C84" s="49" t="n"/>
      <c r="D84" s="49" t="n"/>
      <c r="E84" s="49" t="n"/>
      <c r="F84" s="49" t="n"/>
    </row>
    <row r="85">
      <c r="B85" s="49" t="n"/>
      <c r="C85" s="49" t="n"/>
      <c r="D85" s="49" t="n"/>
      <c r="E85" s="49" t="n"/>
      <c r="F85" s="49" t="n"/>
    </row>
    <row r="86">
      <c r="B86" s="49" t="n"/>
      <c r="C86" s="49" t="n"/>
      <c r="D86" s="49" t="n"/>
      <c r="E86" s="49" t="n"/>
      <c r="F86" s="49" t="n"/>
    </row>
    <row r="87">
      <c r="B87" s="49" t="n"/>
      <c r="C87" s="49" t="n"/>
      <c r="D87" s="49" t="n"/>
      <c r="E87" s="49" t="n"/>
      <c r="F87" s="49" t="n"/>
    </row>
    <row r="88">
      <c r="B88" s="49" t="n"/>
      <c r="C88" s="49" t="n"/>
      <c r="D88" s="49" t="n"/>
      <c r="E88" s="49" t="n"/>
      <c r="F88" s="49" t="n"/>
    </row>
    <row r="89">
      <c r="B89" s="49" t="n"/>
      <c r="C89" s="49" t="n"/>
      <c r="D89" s="49" t="n"/>
      <c r="E89" s="49" t="n"/>
      <c r="F89" s="49" t="n"/>
    </row>
    <row r="90">
      <c r="B90" s="49" t="n"/>
      <c r="C90" s="49" t="n"/>
      <c r="D90" s="49" t="n"/>
      <c r="E90" s="49" t="n"/>
      <c r="F90" s="49" t="n"/>
    </row>
    <row r="91">
      <c r="B91" s="49" t="n"/>
      <c r="C91" s="49" t="n"/>
      <c r="D91" s="49" t="n"/>
      <c r="E91" s="49" t="n"/>
      <c r="F91" s="49" t="n"/>
    </row>
    <row r="92">
      <c r="B92" s="49" t="n"/>
      <c r="C92" s="49" t="n"/>
      <c r="D92" s="49" t="n"/>
      <c r="E92" s="49" t="n"/>
      <c r="F92" s="49" t="n"/>
    </row>
    <row r="93">
      <c r="B93" s="49" t="n"/>
      <c r="C93" s="49" t="n"/>
      <c r="D93" s="49" t="n"/>
      <c r="E93" s="49" t="n"/>
      <c r="F93" s="49" t="n"/>
    </row>
    <row r="94">
      <c r="B94" s="49" t="n"/>
      <c r="C94" s="49" t="n"/>
      <c r="D94" s="49" t="n"/>
      <c r="E94" s="49" t="n"/>
      <c r="F94" s="49" t="n"/>
    </row>
    <row r="95">
      <c r="B95" s="49" t="n"/>
      <c r="C95" s="49" t="n"/>
      <c r="D95" s="49" t="n"/>
      <c r="E95" s="49" t="n"/>
      <c r="F95" s="49" t="n"/>
    </row>
    <row r="96">
      <c r="B96" s="49" t="n"/>
      <c r="C96" s="49" t="n"/>
      <c r="D96" s="49" t="n"/>
      <c r="E96" s="49" t="n"/>
      <c r="F96" s="49" t="n"/>
    </row>
    <row r="97">
      <c r="B97" s="49" t="n"/>
      <c r="C97" s="49" t="n"/>
      <c r="D97" s="49" t="n"/>
      <c r="E97" s="49" t="n"/>
      <c r="F97" s="49" t="n"/>
    </row>
    <row r="98">
      <c r="B98" s="49" t="n"/>
      <c r="C98" s="49" t="n"/>
      <c r="D98" s="49" t="n"/>
      <c r="E98" s="49" t="n"/>
      <c r="F98" s="49" t="n"/>
    </row>
    <row r="99">
      <c r="B99" s="49" t="n"/>
      <c r="C99" s="49" t="n"/>
      <c r="D99" s="49" t="n"/>
      <c r="E99" s="49" t="n"/>
      <c r="F99" s="49" t="n"/>
    </row>
    <row r="100">
      <c r="B100" s="49" t="n"/>
      <c r="C100" s="49" t="n"/>
      <c r="D100" s="49" t="n"/>
      <c r="E100" s="49" t="n"/>
      <c r="F100" s="49" t="n"/>
    </row>
    <row r="101">
      <c r="B101" s="49" t="n"/>
      <c r="C101" s="49" t="n"/>
      <c r="D101" s="49" t="n"/>
      <c r="E101" s="49" t="n"/>
      <c r="F101" s="49" t="n"/>
    </row>
    <row r="102">
      <c r="B102" s="49" t="n"/>
      <c r="C102" s="49" t="n"/>
      <c r="D102" s="49" t="n"/>
      <c r="E102" s="49" t="n"/>
      <c r="F102" s="49" t="n"/>
    </row>
    <row r="103">
      <c r="B103" s="49" t="n"/>
      <c r="C103" s="49" t="n"/>
      <c r="D103" s="49" t="n"/>
      <c r="E103" s="49" t="n"/>
      <c r="F103" s="49" t="n"/>
    </row>
    <row r="104">
      <c r="B104" s="49" t="n"/>
      <c r="C104" s="49" t="n"/>
      <c r="D104" s="49" t="n"/>
      <c r="E104" s="49" t="n"/>
      <c r="F104" s="49" t="n"/>
    </row>
    <row r="105">
      <c r="B105" s="49" t="n"/>
      <c r="C105" s="49" t="n"/>
      <c r="D105" s="49" t="n"/>
      <c r="E105" s="49" t="n"/>
      <c r="F105" s="49" t="n"/>
    </row>
    <row r="106">
      <c r="B106" s="49" t="n"/>
      <c r="C106" s="49" t="n"/>
      <c r="D106" s="49" t="n"/>
      <c r="E106" s="49" t="n"/>
      <c r="F106" s="49" t="n"/>
    </row>
    <row r="107">
      <c r="B107" s="49" t="n"/>
      <c r="C107" s="49" t="n"/>
      <c r="D107" s="49" t="n"/>
      <c r="E107" s="49" t="n"/>
      <c r="F107" s="49" t="n"/>
    </row>
    <row r="108">
      <c r="B108" s="49" t="n"/>
      <c r="C108" s="49" t="n"/>
      <c r="D108" s="49" t="n"/>
      <c r="E108" s="49" t="n"/>
      <c r="F108" s="49" t="n"/>
    </row>
    <row r="109">
      <c r="B109" s="49" t="n"/>
      <c r="C109" s="49" t="n"/>
      <c r="D109" s="49" t="n"/>
      <c r="E109" s="49" t="n"/>
      <c r="F109" s="49" t="n"/>
    </row>
    <row r="110">
      <c r="B110" s="49" t="n"/>
      <c r="C110" s="49" t="n"/>
      <c r="D110" s="49" t="n"/>
      <c r="E110" s="49" t="n"/>
      <c r="F110" s="49" t="n"/>
    </row>
    <row r="111">
      <c r="B111" s="49" t="n"/>
      <c r="C111" s="49" t="n"/>
      <c r="D111" s="49" t="n"/>
      <c r="E111" s="49" t="n"/>
      <c r="F111" s="49" t="n"/>
    </row>
    <row r="112">
      <c r="B112" s="49" t="n"/>
      <c r="C112" s="49" t="n"/>
      <c r="D112" s="49" t="n"/>
      <c r="E112" s="49" t="n"/>
      <c r="F112" s="49" t="n"/>
    </row>
    <row r="113">
      <c r="B113" s="49" t="n"/>
      <c r="C113" s="49" t="n"/>
      <c r="D113" s="49" t="n"/>
      <c r="E113" s="49" t="n"/>
      <c r="F113" s="49" t="n"/>
    </row>
    <row r="114">
      <c r="B114" s="49" t="n"/>
      <c r="C114" s="49" t="n"/>
      <c r="D114" s="49" t="n"/>
      <c r="E114" s="49" t="n"/>
      <c r="F114" s="49" t="n"/>
    </row>
    <row r="115">
      <c r="B115" s="49" t="n"/>
      <c r="C115" s="49" t="n"/>
      <c r="D115" s="49" t="n"/>
      <c r="E115" s="49" t="n"/>
      <c r="F115" s="49" t="n"/>
    </row>
    <row r="116">
      <c r="B116" s="49" t="n"/>
      <c r="C116" s="49" t="n"/>
      <c r="D116" s="49" t="n"/>
      <c r="E116" s="49" t="n"/>
      <c r="F116" s="49" t="n"/>
    </row>
    <row r="117">
      <c r="B117" s="49" t="n"/>
      <c r="C117" s="49" t="n"/>
      <c r="D117" s="49" t="n"/>
      <c r="E117" s="49" t="n"/>
      <c r="F117" s="49" t="n"/>
    </row>
    <row r="118">
      <c r="B118" s="49" t="n"/>
      <c r="C118" s="49" t="n"/>
      <c r="D118" s="49" t="n"/>
      <c r="E118" s="49" t="n"/>
      <c r="F118" s="49" t="n"/>
    </row>
    <row r="119">
      <c r="B119" s="49" t="n"/>
      <c r="C119" s="49" t="n"/>
      <c r="D119" s="49" t="n"/>
      <c r="E119" s="49" t="n"/>
      <c r="F119" s="49" t="n"/>
    </row>
    <row r="120">
      <c r="B120" s="49" t="n"/>
      <c r="C120" s="49" t="n"/>
      <c r="D120" s="49" t="n"/>
      <c r="E120" s="49" t="n"/>
      <c r="F120" s="49" t="n"/>
    </row>
    <row r="121">
      <c r="B121" s="49" t="n"/>
      <c r="C121" s="49" t="n"/>
      <c r="D121" s="49" t="n"/>
      <c r="E121" s="49" t="n"/>
      <c r="F121" s="49" t="n"/>
    </row>
    <row r="122">
      <c r="B122" s="49" t="n"/>
      <c r="C122" s="49" t="n"/>
      <c r="D122" s="49" t="n"/>
      <c r="E122" s="49" t="n"/>
      <c r="F122" s="49" t="n"/>
    </row>
    <row r="123">
      <c r="B123" s="49" t="n"/>
      <c r="C123" s="49" t="n"/>
      <c r="D123" s="49" t="n"/>
      <c r="E123" s="49" t="n"/>
      <c r="F123" s="49" t="n"/>
    </row>
    <row r="124">
      <c r="B124" s="49" t="n"/>
      <c r="C124" s="49" t="n"/>
      <c r="D124" s="49" t="n"/>
      <c r="E124" s="49" t="n"/>
      <c r="F124" s="49" t="n"/>
    </row>
    <row r="125">
      <c r="B125" s="49" t="n"/>
      <c r="C125" s="49" t="n"/>
      <c r="D125" s="49" t="n"/>
      <c r="E125" s="49" t="n"/>
      <c r="F125" s="49" t="n"/>
    </row>
    <row r="126">
      <c r="B126" s="49" t="n"/>
      <c r="C126" s="49" t="n"/>
      <c r="D126" s="49" t="n"/>
      <c r="E126" s="49" t="n"/>
      <c r="F126" s="49" t="n"/>
    </row>
    <row r="127">
      <c r="B127" s="49" t="n"/>
      <c r="C127" s="49" t="n"/>
      <c r="D127" s="49" t="n"/>
      <c r="E127" s="49" t="n"/>
      <c r="F127" s="49" t="n"/>
    </row>
    <row r="128">
      <c r="B128" s="49" t="n"/>
      <c r="C128" s="49" t="n"/>
      <c r="D128" s="49" t="n"/>
      <c r="E128" s="49" t="n"/>
      <c r="F128" s="49" t="n"/>
    </row>
    <row r="129">
      <c r="B129" s="49" t="n"/>
      <c r="C129" s="49" t="n"/>
      <c r="D129" s="49" t="n"/>
      <c r="E129" s="49" t="n"/>
      <c r="F129" s="49" t="n"/>
    </row>
    <row r="130">
      <c r="B130" s="49" t="n"/>
      <c r="C130" s="49" t="n"/>
      <c r="D130" s="49" t="n"/>
      <c r="E130" s="49" t="n"/>
      <c r="F130" s="49" t="n"/>
    </row>
    <row r="131">
      <c r="B131" s="49" t="n"/>
      <c r="C131" s="49" t="n"/>
      <c r="D131" s="49" t="n"/>
      <c r="E131" s="49" t="n"/>
      <c r="F131" s="49" t="n"/>
    </row>
    <row r="132">
      <c r="B132" s="49" t="n"/>
      <c r="C132" s="49" t="n"/>
      <c r="D132" s="49" t="n"/>
      <c r="E132" s="49" t="n"/>
      <c r="F132" s="49" t="n"/>
    </row>
    <row r="133">
      <c r="B133" s="49" t="n"/>
      <c r="C133" s="49" t="n"/>
      <c r="D133" s="49" t="n"/>
      <c r="E133" s="49" t="n"/>
      <c r="F133" s="49" t="n"/>
    </row>
    <row r="134">
      <c r="B134" s="49" t="n"/>
      <c r="C134" s="49" t="n"/>
      <c r="D134" s="49" t="n"/>
      <c r="E134" s="49" t="n"/>
      <c r="F134" s="49" t="n"/>
    </row>
    <row r="135">
      <c r="B135" s="49" t="n"/>
      <c r="C135" s="49" t="n"/>
      <c r="D135" s="49" t="n"/>
      <c r="E135" s="49" t="n"/>
      <c r="F135" s="49" t="n"/>
    </row>
    <row r="136">
      <c r="B136" s="49" t="n"/>
      <c r="C136" s="49" t="n"/>
      <c r="D136" s="49" t="n"/>
      <c r="E136" s="49" t="n"/>
      <c r="F136" s="49" t="n"/>
    </row>
    <row r="137">
      <c r="B137" s="49" t="n"/>
      <c r="C137" s="49" t="n"/>
      <c r="D137" s="49" t="n"/>
      <c r="E137" s="49" t="n"/>
      <c r="F137" s="49" t="n"/>
    </row>
    <row r="138">
      <c r="B138" s="49" t="n"/>
      <c r="C138" s="49" t="n"/>
      <c r="D138" s="49" t="n"/>
      <c r="E138" s="49" t="n"/>
      <c r="F138" s="49" t="n"/>
    </row>
    <row r="139">
      <c r="B139" s="49" t="n"/>
      <c r="C139" s="49" t="n"/>
      <c r="D139" s="49" t="n"/>
      <c r="E139" s="49" t="n"/>
      <c r="F139" s="49" t="n"/>
    </row>
    <row r="140">
      <c r="B140" s="49" t="n"/>
      <c r="C140" s="49" t="n"/>
      <c r="D140" s="49" t="n"/>
      <c r="E140" s="49" t="n"/>
      <c r="F140" s="49" t="n"/>
    </row>
    <row r="141">
      <c r="B141" s="49" t="n"/>
      <c r="C141" s="49" t="n"/>
      <c r="D141" s="49" t="n"/>
      <c r="E141" s="49" t="n"/>
      <c r="F141" s="49" t="n"/>
    </row>
    <row r="142">
      <c r="B142" s="49" t="n"/>
      <c r="C142" s="49" t="n"/>
      <c r="D142" s="49" t="n"/>
      <c r="E142" s="49" t="n"/>
      <c r="F142" s="49" t="n"/>
    </row>
    <row r="143">
      <c r="B143" s="49" t="n"/>
      <c r="C143" s="49" t="n"/>
      <c r="D143" s="49" t="n"/>
      <c r="E143" s="49" t="n"/>
      <c r="F143" s="49" t="n"/>
    </row>
    <row r="144">
      <c r="B144" s="49" t="n"/>
      <c r="C144" s="49" t="n"/>
      <c r="D144" s="49" t="n"/>
      <c r="E144" s="49" t="n"/>
      <c r="F144" s="49" t="n"/>
    </row>
    <row r="145">
      <c r="B145" s="49" t="n"/>
      <c r="C145" s="49" t="n"/>
      <c r="D145" s="49" t="n"/>
      <c r="E145" s="49" t="n"/>
      <c r="F145" s="49" t="n"/>
    </row>
    <row r="146">
      <c r="B146" s="49" t="n"/>
      <c r="C146" s="49" t="n"/>
      <c r="D146" s="49" t="n"/>
      <c r="E146" s="49" t="n"/>
      <c r="F146" s="49" t="n"/>
    </row>
    <row r="147">
      <c r="B147" s="49" t="n"/>
      <c r="C147" s="49" t="n"/>
      <c r="D147" s="49" t="n"/>
      <c r="E147" s="49" t="n"/>
      <c r="F147" s="49" t="n"/>
    </row>
    <row r="148">
      <c r="B148" s="49" t="n"/>
      <c r="C148" s="49" t="n"/>
      <c r="D148" s="49" t="n"/>
      <c r="E148" s="49" t="n"/>
      <c r="F148" s="49" t="n"/>
    </row>
    <row r="149">
      <c r="B149" s="49" t="n"/>
      <c r="C149" s="49" t="n"/>
      <c r="D149" s="49" t="n"/>
      <c r="E149" s="49" t="n"/>
      <c r="F149" s="49" t="n"/>
    </row>
    <row r="150">
      <c r="B150" s="49" t="n"/>
      <c r="C150" s="49" t="n"/>
      <c r="D150" s="49" t="n"/>
      <c r="E150" s="49" t="n"/>
      <c r="F150" s="49" t="n"/>
    </row>
    <row r="151">
      <c r="B151" s="49" t="n"/>
      <c r="C151" s="49" t="n"/>
      <c r="D151" s="49" t="n"/>
      <c r="E151" s="49" t="n"/>
      <c r="F151" s="49" t="n"/>
    </row>
    <row r="152">
      <c r="B152" s="49" t="n"/>
      <c r="C152" s="49" t="n"/>
      <c r="D152" s="49" t="n"/>
      <c r="E152" s="49" t="n"/>
      <c r="F152" s="49" t="n"/>
    </row>
    <row r="153">
      <c r="B153" s="49" t="n"/>
      <c r="C153" s="49" t="n"/>
      <c r="D153" s="49" t="n"/>
      <c r="E153" s="49" t="n"/>
      <c r="F153" s="49" t="n"/>
    </row>
    <row r="154">
      <c r="B154" s="49" t="n"/>
      <c r="C154" s="49" t="n"/>
      <c r="D154" s="49" t="n"/>
      <c r="E154" s="49" t="n"/>
      <c r="F154" s="49" t="n"/>
    </row>
    <row r="155">
      <c r="B155" s="49" t="n"/>
      <c r="C155" s="49" t="n"/>
      <c r="D155" s="49" t="n"/>
      <c r="E155" s="49" t="n"/>
      <c r="F155" s="49" t="n"/>
    </row>
    <row r="156">
      <c r="B156" s="49" t="n"/>
      <c r="C156" s="49" t="n"/>
      <c r="D156" s="49" t="n"/>
      <c r="E156" s="49" t="n"/>
      <c r="F156" s="49" t="n"/>
    </row>
    <row r="157">
      <c r="B157" s="49" t="n"/>
      <c r="C157" s="49" t="n"/>
      <c r="D157" s="49" t="n"/>
      <c r="E157" s="49" t="n"/>
      <c r="F157" s="49" t="n"/>
    </row>
    <row r="158">
      <c r="B158" s="49" t="n"/>
      <c r="C158" s="49" t="n"/>
      <c r="D158" s="49" t="n"/>
      <c r="E158" s="49" t="n"/>
      <c r="F158" s="49" t="n"/>
    </row>
    <row r="159">
      <c r="B159" s="49" t="n"/>
      <c r="C159" s="49" t="n"/>
      <c r="D159" s="49" t="n"/>
      <c r="E159" s="49" t="n"/>
      <c r="F159" s="49" t="n"/>
    </row>
    <row r="160">
      <c r="B160" s="49" t="n"/>
      <c r="C160" s="49" t="n"/>
      <c r="D160" s="49" t="n"/>
      <c r="E160" s="49" t="n"/>
      <c r="F160" s="49" t="n"/>
    </row>
    <row r="161">
      <c r="B161" s="49" t="n"/>
      <c r="C161" s="49" t="n"/>
      <c r="D161" s="49" t="n"/>
      <c r="E161" s="49" t="n"/>
      <c r="F161" s="49" t="n"/>
    </row>
    <row r="162">
      <c r="B162" s="49" t="n"/>
      <c r="C162" s="49" t="n"/>
      <c r="D162" s="49" t="n"/>
      <c r="E162" s="49" t="n"/>
      <c r="F162" s="49" t="n"/>
    </row>
    <row r="163">
      <c r="B163" s="49" t="n"/>
      <c r="C163" s="49" t="n"/>
      <c r="D163" s="49" t="n"/>
      <c r="E163" s="49" t="n"/>
      <c r="F163" s="49" t="n"/>
    </row>
    <row r="164">
      <c r="B164" s="49" t="n"/>
      <c r="C164" s="49" t="n"/>
      <c r="D164" s="49" t="n"/>
      <c r="E164" s="49" t="n"/>
      <c r="F164" s="49" t="n"/>
    </row>
    <row r="165">
      <c r="B165" s="49" t="n"/>
      <c r="C165" s="49" t="n"/>
      <c r="D165" s="49" t="n"/>
      <c r="E165" s="49" t="n"/>
      <c r="F165" s="49" t="n"/>
    </row>
    <row r="166">
      <c r="B166" s="49" t="n"/>
      <c r="C166" s="49" t="n"/>
      <c r="D166" s="49" t="n"/>
      <c r="E166" s="49" t="n"/>
      <c r="F166" s="49" t="n"/>
    </row>
    <row r="167">
      <c r="B167" s="49" t="n"/>
      <c r="C167" s="49" t="n"/>
      <c r="D167" s="49" t="n"/>
      <c r="E167" s="49" t="n"/>
      <c r="F167" s="49" t="n"/>
    </row>
    <row r="168">
      <c r="B168" s="49" t="n"/>
      <c r="C168" s="49" t="n"/>
      <c r="D168" s="49" t="n"/>
      <c r="E168" s="49" t="n"/>
      <c r="F168" s="49" t="n"/>
    </row>
    <row r="169">
      <c r="B169" s="49" t="n"/>
      <c r="C169" s="49" t="n"/>
      <c r="D169" s="49" t="n"/>
      <c r="E169" s="49" t="n"/>
      <c r="F169" s="49" t="n"/>
    </row>
    <row r="170">
      <c r="B170" s="49" t="n"/>
      <c r="C170" s="49" t="n"/>
      <c r="D170" s="49" t="n"/>
      <c r="E170" s="49" t="n"/>
      <c r="F170" s="49" t="n"/>
    </row>
    <row r="171">
      <c r="B171" s="49" t="n"/>
      <c r="C171" s="49" t="n"/>
      <c r="D171" s="49" t="n"/>
      <c r="E171" s="49" t="n"/>
      <c r="F171" s="49" t="n"/>
    </row>
    <row r="172">
      <c r="B172" s="49" t="n"/>
      <c r="C172" s="49" t="n"/>
      <c r="D172" s="49" t="n"/>
      <c r="E172" s="49" t="n"/>
      <c r="F172" s="49" t="n"/>
    </row>
    <row r="173">
      <c r="B173" s="49" t="n"/>
      <c r="C173" s="49" t="n"/>
      <c r="D173" s="49" t="n"/>
      <c r="E173" s="49" t="n"/>
      <c r="F173" s="49" t="n"/>
    </row>
    <row r="174">
      <c r="B174" s="49" t="n"/>
      <c r="C174" s="49" t="n"/>
      <c r="D174" s="49" t="n"/>
      <c r="E174" s="49" t="n"/>
      <c r="F174" s="49" t="n"/>
    </row>
    <row r="175">
      <c r="B175" s="49" t="n"/>
      <c r="C175" s="49" t="n"/>
      <c r="D175" s="49" t="n"/>
      <c r="E175" s="49" t="n"/>
      <c r="F175" s="49" t="n"/>
    </row>
    <row r="176">
      <c r="B176" s="49" t="n"/>
      <c r="C176" s="49" t="n"/>
      <c r="D176" s="49" t="n"/>
      <c r="E176" s="49" t="n"/>
      <c r="F176" s="49" t="n"/>
    </row>
    <row r="177">
      <c r="B177" s="49" t="n"/>
      <c r="C177" s="49" t="n"/>
      <c r="D177" s="49" t="n"/>
      <c r="E177" s="49" t="n"/>
      <c r="F177" s="49" t="n"/>
    </row>
    <row r="178">
      <c r="B178" s="49" t="n"/>
      <c r="C178" s="49" t="n"/>
      <c r="D178" s="49" t="n"/>
      <c r="E178" s="49" t="n"/>
      <c r="F178" s="49" t="n"/>
    </row>
    <row r="179">
      <c r="B179" s="49" t="n"/>
      <c r="C179" s="49" t="n"/>
      <c r="D179" s="49" t="n"/>
      <c r="E179" s="49" t="n"/>
      <c r="F179" s="49" t="n"/>
    </row>
    <row r="180">
      <c r="B180" s="49" t="n"/>
      <c r="C180" s="49" t="n"/>
      <c r="D180" s="49" t="n"/>
      <c r="E180" s="49" t="n"/>
      <c r="F180" s="49" t="n"/>
    </row>
    <row r="181">
      <c r="B181" s="49" t="n"/>
      <c r="C181" s="49" t="n"/>
      <c r="D181" s="49" t="n"/>
      <c r="E181" s="49" t="n"/>
      <c r="F181" s="49" t="n"/>
    </row>
    <row r="182">
      <c r="B182" s="49" t="n"/>
      <c r="C182" s="49" t="n"/>
      <c r="D182" s="49" t="n"/>
      <c r="E182" s="49" t="n"/>
      <c r="F182" s="49" t="n"/>
    </row>
    <row r="183">
      <c r="B183" s="49" t="n"/>
      <c r="C183" s="49" t="n"/>
      <c r="D183" s="49" t="n"/>
      <c r="E183" s="49" t="n"/>
      <c r="F183" s="49" t="n"/>
    </row>
    <row r="184">
      <c r="B184" s="49" t="n"/>
      <c r="C184" s="49" t="n"/>
      <c r="D184" s="49" t="n"/>
      <c r="E184" s="49" t="n"/>
      <c r="F184" s="49" t="n"/>
    </row>
    <row r="185">
      <c r="B185" s="49" t="n"/>
      <c r="C185" s="49" t="n"/>
      <c r="D185" s="49" t="n"/>
      <c r="E185" s="49" t="n"/>
      <c r="F185" s="49" t="n"/>
    </row>
    <row r="186">
      <c r="B186" s="49" t="n"/>
      <c r="C186" s="49" t="n"/>
      <c r="D186" s="49" t="n"/>
      <c r="E186" s="49" t="n"/>
      <c r="F186" s="49" t="n"/>
    </row>
    <row r="187">
      <c r="B187" s="49" t="n"/>
      <c r="C187" s="49" t="n"/>
      <c r="D187" s="49" t="n"/>
      <c r="E187" s="49" t="n"/>
      <c r="F187" s="49" t="n"/>
    </row>
    <row r="188">
      <c r="B188" s="49" t="n"/>
      <c r="C188" s="49" t="n"/>
      <c r="D188" s="49" t="n"/>
      <c r="E188" s="49" t="n"/>
      <c r="F188" s="49" t="n"/>
    </row>
    <row r="189">
      <c r="B189" s="49" t="n"/>
      <c r="C189" s="49" t="n"/>
      <c r="D189" s="49" t="n"/>
      <c r="E189" s="49" t="n"/>
      <c r="F189" s="49" t="n"/>
    </row>
    <row r="190">
      <c r="B190" s="49" t="n"/>
      <c r="C190" s="49" t="n"/>
      <c r="D190" s="49" t="n"/>
      <c r="E190" s="49" t="n"/>
      <c r="F190" s="49" t="n"/>
    </row>
    <row r="191">
      <c r="B191" s="49" t="n"/>
      <c r="C191" s="49" t="n"/>
      <c r="D191" s="49" t="n"/>
      <c r="E191" s="49" t="n"/>
      <c r="F191" s="49" t="n"/>
    </row>
    <row r="192">
      <c r="B192" s="49" t="n"/>
      <c r="C192" s="49" t="n"/>
      <c r="D192" s="49" t="n"/>
      <c r="E192" s="49" t="n"/>
      <c r="F192" s="49" t="n"/>
    </row>
    <row r="193">
      <c r="B193" s="49" t="n"/>
      <c r="C193" s="49" t="n"/>
      <c r="D193" s="49" t="n"/>
      <c r="E193" s="49" t="n"/>
      <c r="F193" s="49" t="n"/>
    </row>
    <row r="194">
      <c r="B194" s="49" t="n"/>
      <c r="C194" s="49" t="n"/>
      <c r="D194" s="49" t="n"/>
      <c r="E194" s="49" t="n"/>
      <c r="F194" s="49" t="n"/>
    </row>
    <row r="195">
      <c r="B195" s="49" t="n"/>
      <c r="C195" s="49" t="n"/>
      <c r="D195" s="49" t="n"/>
      <c r="E195" s="49" t="n"/>
      <c r="F195" s="49" t="n"/>
    </row>
    <row r="196">
      <c r="B196" s="49" t="n"/>
      <c r="C196" s="49" t="n"/>
      <c r="D196" s="49" t="n"/>
      <c r="E196" s="49" t="n"/>
      <c r="F196" s="49" t="n"/>
    </row>
    <row r="197">
      <c r="B197" s="49" t="n"/>
      <c r="C197" s="49" t="n"/>
      <c r="D197" s="49" t="n"/>
      <c r="E197" s="49" t="n"/>
      <c r="F197" s="49" t="n"/>
    </row>
    <row r="198">
      <c r="B198" s="49" t="n"/>
      <c r="C198" s="49" t="n"/>
      <c r="D198" s="49" t="n"/>
      <c r="E198" s="49" t="n"/>
      <c r="F198" s="49" t="n"/>
    </row>
    <row r="199">
      <c r="B199" s="49" t="n"/>
      <c r="C199" s="49" t="n"/>
      <c r="D199" s="49" t="n"/>
      <c r="E199" s="49" t="n"/>
      <c r="F199" s="49" t="n"/>
    </row>
    <row r="200">
      <c r="B200" s="49" t="n"/>
      <c r="C200" s="49" t="n"/>
      <c r="D200" s="49" t="n"/>
      <c r="E200" s="49" t="n"/>
      <c r="F200" s="49" t="n"/>
    </row>
    <row r="201">
      <c r="B201" s="49" t="n"/>
      <c r="C201" s="49" t="n"/>
      <c r="D201" s="49" t="n"/>
      <c r="E201" s="49" t="n"/>
      <c r="F201" s="49" t="n"/>
    </row>
    <row r="202">
      <c r="B202" s="49" t="n"/>
      <c r="C202" s="49" t="n"/>
      <c r="D202" s="49" t="n"/>
      <c r="E202" s="49" t="n"/>
      <c r="F202" s="49" t="n"/>
    </row>
    <row r="203">
      <c r="B203" s="49" t="n"/>
      <c r="C203" s="49" t="n"/>
      <c r="D203" s="49" t="n"/>
      <c r="E203" s="49" t="n"/>
      <c r="F203" s="49" t="n"/>
    </row>
    <row r="204">
      <c r="B204" s="49" t="n"/>
      <c r="C204" s="49" t="n"/>
      <c r="D204" s="49" t="n"/>
      <c r="E204" s="49" t="n"/>
      <c r="F204" s="49" t="n"/>
    </row>
    <row r="205">
      <c r="B205" s="49" t="n"/>
      <c r="C205" s="49" t="n"/>
      <c r="D205" s="49" t="n"/>
      <c r="E205" s="49" t="n"/>
      <c r="F205" s="49" t="n"/>
    </row>
    <row r="206">
      <c r="B206" s="49" t="n"/>
      <c r="C206" s="49" t="n"/>
      <c r="D206" s="49" t="n"/>
      <c r="E206" s="49" t="n"/>
      <c r="F206" s="49" t="n"/>
    </row>
    <row r="207">
      <c r="B207" s="49" t="n"/>
      <c r="C207" s="49" t="n"/>
      <c r="D207" s="49" t="n"/>
      <c r="E207" s="49" t="n"/>
      <c r="F207" s="49" t="n"/>
    </row>
    <row r="208">
      <c r="B208" s="49" t="n"/>
      <c r="C208" s="49" t="n"/>
      <c r="D208" s="49" t="n"/>
      <c r="E208" s="49" t="n"/>
      <c r="F208" s="49" t="n"/>
    </row>
    <row r="209">
      <c r="B209" s="49" t="n"/>
      <c r="C209" s="49" t="n"/>
      <c r="D209" s="49" t="n"/>
      <c r="E209" s="49" t="n"/>
      <c r="F209" s="49" t="n"/>
    </row>
    <row r="210">
      <c r="B210" s="49" t="n"/>
      <c r="C210" s="49" t="n"/>
      <c r="D210" s="49" t="n"/>
      <c r="E210" s="49" t="n"/>
      <c r="F210" s="49" t="n"/>
    </row>
    <row r="211">
      <c r="B211" s="49" t="n"/>
      <c r="C211" s="49" t="n"/>
      <c r="D211" s="49" t="n"/>
      <c r="E211" s="49" t="n"/>
      <c r="F211" s="49" t="n"/>
    </row>
    <row r="212">
      <c r="B212" s="49" t="n"/>
      <c r="C212" s="49" t="n"/>
      <c r="D212" s="49" t="n"/>
      <c r="E212" s="49" t="n"/>
      <c r="F212" s="49" t="n"/>
    </row>
    <row r="213">
      <c r="B213" s="49" t="n"/>
      <c r="C213" s="49" t="n"/>
      <c r="D213" s="49" t="n"/>
      <c r="E213" s="49" t="n"/>
      <c r="F213" s="49" t="n"/>
    </row>
    <row r="214">
      <c r="B214" s="49" t="n"/>
      <c r="C214" s="49" t="n"/>
      <c r="D214" s="49" t="n"/>
      <c r="E214" s="49" t="n"/>
      <c r="F214" s="49" t="n"/>
    </row>
    <row r="215">
      <c r="B215" s="49" t="n"/>
      <c r="C215" s="49" t="n"/>
      <c r="D215" s="49" t="n"/>
      <c r="E215" s="49" t="n"/>
      <c r="F215" s="49" t="n"/>
    </row>
    <row r="216">
      <c r="B216" s="49" t="n"/>
      <c r="C216" s="49" t="n"/>
      <c r="D216" s="49" t="n"/>
      <c r="E216" s="49" t="n"/>
      <c r="F216" s="49" t="n"/>
    </row>
    <row r="217">
      <c r="B217" s="49" t="n"/>
      <c r="C217" s="49" t="n"/>
      <c r="D217" s="49" t="n"/>
      <c r="E217" s="49" t="n"/>
      <c r="F217" s="49" t="n"/>
    </row>
    <row r="218">
      <c r="B218" s="49" t="n"/>
      <c r="C218" s="49" t="n"/>
      <c r="D218" s="49" t="n"/>
      <c r="E218" s="49" t="n"/>
      <c r="F218" s="49" t="n"/>
    </row>
    <row r="219">
      <c r="B219" s="49" t="n"/>
      <c r="C219" s="49" t="n"/>
      <c r="D219" s="49" t="n"/>
      <c r="E219" s="49" t="n"/>
      <c r="F219" s="49" t="n"/>
    </row>
    <row r="220">
      <c r="B220" s="49" t="n"/>
      <c r="C220" s="49" t="n"/>
      <c r="D220" s="49" t="n"/>
      <c r="E220" s="49" t="n"/>
      <c r="F220" s="49" t="n"/>
    </row>
    <row r="221">
      <c r="B221" s="49" t="n"/>
      <c r="C221" s="49" t="n"/>
      <c r="D221" s="49" t="n"/>
      <c r="E221" s="49" t="n"/>
      <c r="F221" s="49" t="n"/>
    </row>
    <row r="222">
      <c r="B222" s="49" t="n"/>
      <c r="C222" s="49" t="n"/>
      <c r="D222" s="49" t="n"/>
      <c r="E222" s="49" t="n"/>
      <c r="F222" s="49" t="n"/>
    </row>
    <row r="223">
      <c r="B223" s="49" t="n"/>
      <c r="C223" s="49" t="n"/>
      <c r="D223" s="49" t="n"/>
      <c r="E223" s="49" t="n"/>
      <c r="F223" s="49" t="n"/>
    </row>
    <row r="224">
      <c r="B224" s="49" t="n"/>
      <c r="C224" s="49" t="n"/>
      <c r="D224" s="49" t="n"/>
      <c r="E224" s="49" t="n"/>
      <c r="F224" s="49" t="n"/>
    </row>
    <row r="225">
      <c r="B225" s="49" t="n"/>
      <c r="C225" s="49" t="n"/>
      <c r="D225" s="49" t="n"/>
      <c r="E225" s="49" t="n"/>
      <c r="F225" s="49" t="n"/>
    </row>
    <row r="226">
      <c r="B226" s="49" t="n"/>
      <c r="C226" s="49" t="n"/>
      <c r="D226" s="49" t="n"/>
      <c r="E226" s="49" t="n"/>
      <c r="F226" s="49" t="n"/>
    </row>
    <row r="227">
      <c r="B227" s="49" t="n"/>
      <c r="C227" s="49" t="n"/>
      <c r="D227" s="49" t="n"/>
      <c r="E227" s="49" t="n"/>
      <c r="F227" s="49" t="n"/>
    </row>
    <row r="228">
      <c r="B228" s="49" t="n"/>
      <c r="C228" s="49" t="n"/>
      <c r="D228" s="49" t="n"/>
      <c r="E228" s="49" t="n"/>
      <c r="F228" s="49" t="n"/>
    </row>
    <row r="229">
      <c r="B229" s="49" t="n"/>
      <c r="C229" s="49" t="n"/>
      <c r="D229" s="49" t="n"/>
      <c r="E229" s="49" t="n"/>
      <c r="F229" s="49" t="n"/>
    </row>
    <row r="230">
      <c r="B230" s="49" t="n"/>
      <c r="C230" s="49" t="n"/>
      <c r="D230" s="49" t="n"/>
      <c r="E230" s="49" t="n"/>
      <c r="F230" s="49" t="n"/>
    </row>
    <row r="231">
      <c r="B231" s="49" t="n"/>
      <c r="C231" s="49" t="n"/>
      <c r="D231" s="49" t="n"/>
      <c r="E231" s="49" t="n"/>
      <c r="F231" s="49" t="n"/>
    </row>
    <row r="232">
      <c r="B232" s="49" t="n"/>
      <c r="C232" s="49" t="n"/>
      <c r="D232" s="49" t="n"/>
      <c r="E232" s="49" t="n"/>
      <c r="F232" s="49" t="n"/>
    </row>
    <row r="233">
      <c r="B233" s="49" t="n"/>
      <c r="C233" s="49" t="n"/>
      <c r="D233" s="49" t="n"/>
      <c r="E233" s="49" t="n"/>
      <c r="F233" s="49" t="n"/>
    </row>
    <row r="234">
      <c r="B234" s="49" t="n"/>
      <c r="C234" s="49" t="n"/>
      <c r="D234" s="49" t="n"/>
      <c r="E234" s="49" t="n"/>
      <c r="F234" s="49" t="n"/>
    </row>
    <row r="235">
      <c r="B235" s="49" t="n"/>
      <c r="C235" s="49" t="n"/>
      <c r="D235" s="49" t="n"/>
      <c r="E235" s="49" t="n"/>
      <c r="F235" s="49" t="n"/>
    </row>
    <row r="236">
      <c r="B236" s="49" t="n"/>
      <c r="C236" s="49" t="n"/>
      <c r="D236" s="49" t="n"/>
      <c r="E236" s="49" t="n"/>
      <c r="F236" s="49" t="n"/>
    </row>
    <row r="237">
      <c r="B237" s="49" t="n"/>
      <c r="C237" s="49" t="n"/>
      <c r="D237" s="49" t="n"/>
      <c r="E237" s="49" t="n"/>
      <c r="F237" s="49" t="n"/>
    </row>
    <row r="238">
      <c r="B238" s="49" t="n"/>
      <c r="C238" s="49" t="n"/>
      <c r="D238" s="49" t="n"/>
      <c r="E238" s="49" t="n"/>
      <c r="F238" s="49" t="n"/>
    </row>
    <row r="239">
      <c r="B239" s="49" t="n"/>
      <c r="C239" s="49" t="n"/>
      <c r="D239" s="49" t="n"/>
      <c r="E239" s="49" t="n"/>
      <c r="F239" s="49" t="n"/>
    </row>
    <row r="240">
      <c r="B240" s="49" t="n"/>
      <c r="C240" s="49" t="n"/>
      <c r="D240" s="49" t="n"/>
      <c r="E240" s="49" t="n"/>
      <c r="F240" s="49" t="n"/>
    </row>
    <row r="241">
      <c r="B241" s="49" t="n"/>
      <c r="C241" s="49" t="n"/>
      <c r="D241" s="49" t="n"/>
      <c r="E241" s="49" t="n"/>
      <c r="F241" s="49" t="n"/>
    </row>
    <row r="242">
      <c r="B242" s="49" t="n"/>
      <c r="C242" s="49" t="n"/>
      <c r="D242" s="49" t="n"/>
      <c r="E242" s="49" t="n"/>
      <c r="F242" s="49" t="n"/>
    </row>
    <row r="243">
      <c r="B243" s="49" t="n"/>
      <c r="C243" s="49" t="n"/>
      <c r="D243" s="49" t="n"/>
      <c r="E243" s="49" t="n"/>
      <c r="F243" s="49" t="n"/>
    </row>
    <row r="244">
      <c r="B244" s="49" t="n"/>
      <c r="C244" s="49" t="n"/>
      <c r="D244" s="49" t="n"/>
      <c r="E244" s="49" t="n"/>
      <c r="F244" s="49" t="n"/>
    </row>
    <row r="245">
      <c r="B245" s="49" t="n"/>
      <c r="C245" s="49" t="n"/>
      <c r="D245" s="49" t="n"/>
      <c r="E245" s="49" t="n"/>
      <c r="F245" s="49" t="n"/>
    </row>
    <row r="246">
      <c r="B246" s="49" t="n"/>
      <c r="C246" s="49" t="n"/>
      <c r="D246" s="49" t="n"/>
      <c r="E246" s="49" t="n"/>
      <c r="F246" s="49" t="n"/>
    </row>
    <row r="247">
      <c r="B247" s="49" t="n"/>
      <c r="C247" s="49" t="n"/>
      <c r="D247" s="49" t="n"/>
      <c r="E247" s="49" t="n"/>
      <c r="F247" s="49" t="n"/>
    </row>
    <row r="248">
      <c r="B248" s="49" t="n"/>
      <c r="C248" s="49" t="n"/>
      <c r="D248" s="49" t="n"/>
      <c r="E248" s="49" t="n"/>
      <c r="F248" s="49" t="n"/>
    </row>
    <row r="249">
      <c r="B249" s="49" t="n"/>
      <c r="C249" s="49" t="n"/>
      <c r="D249" s="49" t="n"/>
      <c r="E249" s="49" t="n"/>
      <c r="F249" s="49" t="n"/>
    </row>
    <row r="250">
      <c r="B250" s="49" t="n"/>
      <c r="C250" s="49" t="n"/>
      <c r="D250" s="49" t="n"/>
      <c r="E250" s="49" t="n"/>
      <c r="F250" s="49" t="n"/>
    </row>
    <row r="251">
      <c r="B251" s="49" t="n"/>
      <c r="C251" s="49" t="n"/>
      <c r="D251" s="49" t="n"/>
      <c r="E251" s="49" t="n"/>
      <c r="F251" s="49" t="n"/>
    </row>
    <row r="252">
      <c r="B252" s="49" t="n"/>
      <c r="C252" s="49" t="n"/>
      <c r="D252" s="49" t="n"/>
      <c r="E252" s="49" t="n"/>
      <c r="F252" s="49" t="n"/>
    </row>
    <row r="253">
      <c r="B253" s="49" t="n"/>
      <c r="C253" s="49" t="n"/>
      <c r="D253" s="49" t="n"/>
      <c r="E253" s="49" t="n"/>
      <c r="F253" s="49" t="n"/>
    </row>
    <row r="254">
      <c r="B254" s="49" t="n"/>
      <c r="C254" s="49" t="n"/>
      <c r="D254" s="49" t="n"/>
      <c r="E254" s="49" t="n"/>
      <c r="F254" s="49" t="n"/>
    </row>
    <row r="255">
      <c r="B255" s="49" t="n"/>
      <c r="C255" s="49" t="n"/>
      <c r="D255" s="49" t="n"/>
      <c r="E255" s="49" t="n"/>
      <c r="F255" s="49" t="n"/>
    </row>
    <row r="256">
      <c r="B256" s="49" t="n"/>
      <c r="C256" s="49" t="n"/>
      <c r="D256" s="49" t="n"/>
      <c r="E256" s="49" t="n"/>
      <c r="F256" s="49" t="n"/>
    </row>
    <row r="257">
      <c r="B257" s="49" t="n"/>
      <c r="C257" s="49" t="n"/>
      <c r="D257" s="49" t="n"/>
      <c r="E257" s="49" t="n"/>
      <c r="F257" s="49" t="n"/>
    </row>
    <row r="258">
      <c r="B258" s="49" t="n"/>
      <c r="C258" s="49" t="n"/>
      <c r="D258" s="49" t="n"/>
      <c r="E258" s="49" t="n"/>
      <c r="F258" s="49" t="n"/>
    </row>
    <row r="259">
      <c r="B259" s="49" t="n"/>
      <c r="C259" s="49" t="n"/>
      <c r="D259" s="49" t="n"/>
      <c r="E259" s="49" t="n"/>
      <c r="F259" s="49" t="n"/>
    </row>
    <row r="260">
      <c r="B260" s="49" t="n"/>
      <c r="C260" s="49" t="n"/>
      <c r="D260" s="49" t="n"/>
      <c r="E260" s="49" t="n"/>
      <c r="F260" s="49" t="n"/>
    </row>
    <row r="261">
      <c r="B261" s="49" t="n"/>
      <c r="C261" s="49" t="n"/>
      <c r="D261" s="49" t="n"/>
      <c r="E261" s="49" t="n"/>
      <c r="F261" s="49" t="n"/>
    </row>
    <row r="262">
      <c r="B262" s="49" t="n"/>
      <c r="C262" s="49" t="n"/>
      <c r="D262" s="49" t="n"/>
      <c r="E262" s="49" t="n"/>
      <c r="F262" s="49" t="n"/>
    </row>
    <row r="263">
      <c r="B263" s="49" t="n"/>
      <c r="C263" s="49" t="n"/>
      <c r="D263" s="49" t="n"/>
      <c r="E263" s="49" t="n"/>
      <c r="F263" s="49" t="n"/>
    </row>
    <row r="264">
      <c r="B264" s="49" t="n"/>
      <c r="C264" s="49" t="n"/>
      <c r="D264" s="49" t="n"/>
      <c r="E264" s="49" t="n"/>
      <c r="F264" s="49" t="n"/>
    </row>
    <row r="265">
      <c r="B265" s="49" t="n"/>
      <c r="C265" s="49" t="n"/>
      <c r="D265" s="49" t="n"/>
      <c r="E265" s="49" t="n"/>
      <c r="F265" s="49" t="n"/>
    </row>
    <row r="266">
      <c r="B266" s="49" t="n"/>
      <c r="C266" s="49" t="n"/>
      <c r="D266" s="49" t="n"/>
      <c r="E266" s="49" t="n"/>
      <c r="F266" s="49" t="n"/>
    </row>
    <row r="267">
      <c r="B267" s="49" t="n"/>
      <c r="C267" s="49" t="n"/>
      <c r="D267" s="49" t="n"/>
      <c r="E267" s="49" t="n"/>
      <c r="F267" s="49" t="n"/>
    </row>
    <row r="268">
      <c r="B268" s="49" t="n"/>
      <c r="C268" s="49" t="n"/>
      <c r="D268" s="49" t="n"/>
      <c r="E268" s="49" t="n"/>
      <c r="F268" s="49" t="n"/>
    </row>
    <row r="269">
      <c r="B269" s="49" t="n"/>
      <c r="C269" s="49" t="n"/>
      <c r="D269" s="49" t="n"/>
      <c r="E269" s="49" t="n"/>
      <c r="F269" s="49" t="n"/>
    </row>
    <row r="270">
      <c r="B270" s="49" t="n"/>
      <c r="C270" s="49" t="n"/>
      <c r="D270" s="49" t="n"/>
      <c r="E270" s="49" t="n"/>
      <c r="F270" s="49" t="n"/>
    </row>
    <row r="271">
      <c r="B271" s="49" t="n"/>
      <c r="C271" s="49" t="n"/>
      <c r="D271" s="49" t="n"/>
      <c r="E271" s="49" t="n"/>
      <c r="F271" s="49" t="n"/>
    </row>
    <row r="272">
      <c r="B272" s="49" t="n"/>
      <c r="C272" s="49" t="n"/>
      <c r="D272" s="49" t="n"/>
      <c r="E272" s="49" t="n"/>
      <c r="F272" s="49" t="n"/>
    </row>
    <row r="273">
      <c r="B273" s="49" t="n"/>
      <c r="C273" s="49" t="n"/>
      <c r="D273" s="49" t="n"/>
      <c r="E273" s="49" t="n"/>
      <c r="F273" s="49" t="n"/>
    </row>
    <row r="274">
      <c r="B274" s="49" t="n"/>
      <c r="C274" s="49" t="n"/>
      <c r="D274" s="49" t="n"/>
      <c r="E274" s="49" t="n"/>
      <c r="F274" s="49" t="n"/>
    </row>
    <row r="275">
      <c r="B275" s="49" t="n"/>
      <c r="C275" s="49" t="n"/>
      <c r="D275" s="49" t="n"/>
      <c r="E275" s="49" t="n"/>
      <c r="F275" s="49" t="n"/>
    </row>
    <row r="276">
      <c r="B276" s="49" t="n"/>
      <c r="C276" s="49" t="n"/>
      <c r="D276" s="49" t="n"/>
      <c r="E276" s="49" t="n"/>
      <c r="F276" s="49" t="n"/>
    </row>
    <row r="277">
      <c r="B277" s="49" t="n"/>
      <c r="C277" s="49" t="n"/>
      <c r="D277" s="49" t="n"/>
      <c r="E277" s="49" t="n"/>
      <c r="F277" s="49" t="n"/>
    </row>
    <row r="278">
      <c r="B278" s="49" t="n"/>
      <c r="C278" s="49" t="n"/>
      <c r="D278" s="49" t="n"/>
      <c r="E278" s="49" t="n"/>
      <c r="F278" s="49" t="n"/>
    </row>
    <row r="279">
      <c r="B279" s="49" t="n"/>
      <c r="C279" s="49" t="n"/>
      <c r="D279" s="49" t="n"/>
      <c r="E279" s="49" t="n"/>
      <c r="F279" s="49" t="n"/>
    </row>
    <row r="280">
      <c r="B280" s="49" t="n"/>
      <c r="C280" s="49" t="n"/>
      <c r="D280" s="49" t="n"/>
      <c r="E280" s="49" t="n"/>
      <c r="F280" s="49" t="n"/>
    </row>
    <row r="281">
      <c r="B281" s="49" t="n"/>
      <c r="C281" s="49" t="n"/>
      <c r="D281" s="49" t="n"/>
      <c r="E281" s="49" t="n"/>
      <c r="F281" s="49" t="n"/>
    </row>
    <row r="282">
      <c r="B282" s="49" t="n"/>
      <c r="C282" s="49" t="n"/>
      <c r="D282" s="49" t="n"/>
      <c r="E282" s="49" t="n"/>
      <c r="F282" s="49" t="n"/>
    </row>
    <row r="283">
      <c r="B283" s="49" t="n"/>
      <c r="C283" s="49" t="n"/>
      <c r="D283" s="49" t="n"/>
      <c r="E283" s="49" t="n"/>
      <c r="F283" s="49" t="n"/>
    </row>
    <row r="284">
      <c r="B284" s="49" t="n"/>
      <c r="C284" s="49" t="n"/>
      <c r="D284" s="49" t="n"/>
      <c r="E284" s="49" t="n"/>
      <c r="F284" s="49" t="n"/>
    </row>
    <row r="285">
      <c r="B285" s="49" t="n"/>
      <c r="C285" s="49" t="n"/>
      <c r="D285" s="49" t="n"/>
      <c r="E285" s="49" t="n"/>
      <c r="F285" s="49" t="n"/>
    </row>
    <row r="286">
      <c r="B286" s="49" t="n"/>
      <c r="C286" s="49" t="n"/>
      <c r="D286" s="49" t="n"/>
      <c r="E286" s="49" t="n"/>
      <c r="F286" s="49" t="n"/>
    </row>
    <row r="287">
      <c r="B287" s="49" t="n"/>
      <c r="C287" s="49" t="n"/>
      <c r="D287" s="49" t="n"/>
      <c r="E287" s="49" t="n"/>
      <c r="F287" s="49" t="n"/>
    </row>
    <row r="288">
      <c r="B288" s="49" t="n"/>
      <c r="C288" s="49" t="n"/>
      <c r="D288" s="49" t="n"/>
      <c r="E288" s="49" t="n"/>
      <c r="F288" s="49" t="n"/>
    </row>
    <row r="289">
      <c r="B289" s="49" t="n"/>
      <c r="C289" s="49" t="n"/>
      <c r="D289" s="49" t="n"/>
      <c r="E289" s="49" t="n"/>
      <c r="F289" s="49" t="n"/>
    </row>
    <row r="290">
      <c r="B290" s="49" t="n"/>
      <c r="C290" s="49" t="n"/>
      <c r="D290" s="49" t="n"/>
      <c r="E290" s="49" t="n"/>
      <c r="F290" s="49" t="n"/>
    </row>
    <row r="291">
      <c r="B291" s="49" t="n"/>
      <c r="C291" s="49" t="n"/>
      <c r="D291" s="49" t="n"/>
      <c r="E291" s="49" t="n"/>
      <c r="F291" s="49" t="n"/>
    </row>
    <row r="292">
      <c r="B292" s="49" t="n"/>
      <c r="C292" s="49" t="n"/>
      <c r="D292" s="49" t="n"/>
      <c r="E292" s="49" t="n"/>
      <c r="F292" s="49" t="n"/>
    </row>
    <row r="293">
      <c r="B293" s="49" t="n"/>
      <c r="C293" s="49" t="n"/>
      <c r="D293" s="49" t="n"/>
      <c r="E293" s="49" t="n"/>
      <c r="F293" s="49" t="n"/>
    </row>
    <row r="294">
      <c r="B294" s="49" t="n"/>
      <c r="C294" s="49" t="n"/>
      <c r="D294" s="49" t="n"/>
      <c r="E294" s="49" t="n"/>
      <c r="F294" s="49" t="n"/>
    </row>
    <row r="295">
      <c r="B295" s="49" t="n"/>
      <c r="C295" s="49" t="n"/>
      <c r="D295" s="49" t="n"/>
      <c r="E295" s="49" t="n"/>
      <c r="F295" s="49" t="n"/>
    </row>
    <row r="296">
      <c r="B296" s="49" t="n"/>
      <c r="C296" s="49" t="n"/>
      <c r="D296" s="49" t="n"/>
      <c r="E296" s="49" t="n"/>
      <c r="F296" s="49" t="n"/>
    </row>
    <row r="297">
      <c r="B297" s="49" t="n"/>
      <c r="C297" s="49" t="n"/>
      <c r="D297" s="49" t="n"/>
      <c r="E297" s="49" t="n"/>
      <c r="F297" s="49" t="n"/>
    </row>
    <row r="298">
      <c r="B298" s="49" t="n"/>
      <c r="C298" s="49" t="n"/>
      <c r="D298" s="49" t="n"/>
      <c r="E298" s="49" t="n"/>
      <c r="F298" s="49" t="n"/>
    </row>
    <row r="299">
      <c r="B299" s="49" t="n"/>
      <c r="C299" s="49" t="n"/>
      <c r="D299" s="49" t="n"/>
      <c r="E299" s="49" t="n"/>
      <c r="F299" s="49" t="n"/>
    </row>
    <row r="300">
      <c r="B300" s="49" t="n"/>
      <c r="C300" s="49" t="n"/>
      <c r="D300" s="49" t="n"/>
      <c r="E300" s="49" t="n"/>
      <c r="F300" s="49" t="n"/>
    </row>
    <row r="301">
      <c r="B301" s="49" t="n"/>
      <c r="C301" s="49" t="n"/>
      <c r="D301" s="49" t="n"/>
      <c r="E301" s="49" t="n"/>
      <c r="F301" s="49" t="n"/>
    </row>
    <row r="302">
      <c r="B302" s="49" t="n"/>
      <c r="C302" s="49" t="n"/>
      <c r="D302" s="49" t="n"/>
      <c r="E302" s="49" t="n"/>
      <c r="F302" s="49" t="n"/>
    </row>
    <row r="303">
      <c r="B303" s="49" t="n"/>
      <c r="C303" s="49" t="n"/>
      <c r="D303" s="49" t="n"/>
      <c r="E303" s="49" t="n"/>
      <c r="F303" s="49" t="n"/>
    </row>
    <row r="304">
      <c r="B304" s="49" t="n"/>
      <c r="C304" s="49" t="n"/>
      <c r="D304" s="49" t="n"/>
      <c r="E304" s="49" t="n"/>
      <c r="F304" s="49" t="n"/>
    </row>
    <row r="305">
      <c r="B305" s="49" t="n"/>
      <c r="C305" s="49" t="n"/>
      <c r="D305" s="49" t="n"/>
      <c r="E305" s="49" t="n"/>
      <c r="F305" s="49" t="n"/>
    </row>
    <row r="306">
      <c r="B306" s="49" t="n"/>
      <c r="C306" s="49" t="n"/>
      <c r="D306" s="49" t="n"/>
      <c r="E306" s="49" t="n"/>
      <c r="F306" s="49" t="n"/>
    </row>
    <row r="307">
      <c r="B307" s="49" t="n"/>
      <c r="C307" s="49" t="n"/>
      <c r="D307" s="49" t="n"/>
      <c r="E307" s="49" t="n"/>
      <c r="F307" s="49" t="n"/>
    </row>
    <row r="308">
      <c r="B308" s="49" t="n"/>
      <c r="C308" s="49" t="n"/>
      <c r="D308" s="49" t="n"/>
      <c r="E308" s="49" t="n"/>
      <c r="F308" s="49" t="n"/>
    </row>
    <row r="309">
      <c r="B309" s="49" t="n"/>
      <c r="C309" s="49" t="n"/>
      <c r="D309" s="49" t="n"/>
      <c r="E309" s="49" t="n"/>
      <c r="F309" s="49" t="n"/>
    </row>
    <row r="310">
      <c r="B310" s="49" t="n"/>
      <c r="C310" s="49" t="n"/>
      <c r="D310" s="49" t="n"/>
      <c r="E310" s="49" t="n"/>
      <c r="F310" s="49" t="n"/>
    </row>
    <row r="311">
      <c r="B311" s="49" t="n"/>
      <c r="C311" s="49" t="n"/>
      <c r="D311" s="49" t="n"/>
      <c r="E311" s="49" t="n"/>
      <c r="F311" s="49" t="n"/>
    </row>
    <row r="312">
      <c r="B312" s="49" t="n"/>
      <c r="C312" s="49" t="n"/>
      <c r="D312" s="49" t="n"/>
      <c r="E312" s="49" t="n"/>
      <c r="F312" s="49" t="n"/>
    </row>
    <row r="313">
      <c r="B313" s="49" t="n"/>
      <c r="C313" s="49" t="n"/>
      <c r="D313" s="49" t="n"/>
      <c r="E313" s="49" t="n"/>
      <c r="F313" s="49" t="n"/>
    </row>
    <row r="314">
      <c r="B314" s="49" t="n"/>
      <c r="C314" s="49" t="n"/>
      <c r="D314" s="49" t="n"/>
      <c r="E314" s="49" t="n"/>
      <c r="F314" s="49" t="n"/>
    </row>
    <row r="315">
      <c r="B315" s="49" t="n"/>
      <c r="C315" s="49" t="n"/>
      <c r="D315" s="49" t="n"/>
      <c r="E315" s="49" t="n"/>
      <c r="F315" s="49" t="n"/>
    </row>
    <row r="316">
      <c r="B316" s="49" t="n"/>
      <c r="C316" s="49" t="n"/>
      <c r="D316" s="49" t="n"/>
      <c r="E316" s="49" t="n"/>
      <c r="F316" s="49" t="n"/>
    </row>
    <row r="317">
      <c r="B317" s="49" t="n"/>
      <c r="C317" s="49" t="n"/>
      <c r="D317" s="49" t="n"/>
      <c r="E317" s="49" t="n"/>
      <c r="F317" s="49" t="n"/>
    </row>
    <row r="318">
      <c r="B318" s="49" t="n"/>
      <c r="C318" s="49" t="n"/>
      <c r="D318" s="49" t="n"/>
      <c r="E318" s="49" t="n"/>
      <c r="F318" s="49" t="n"/>
    </row>
    <row r="319">
      <c r="B319" s="49" t="n"/>
      <c r="C319" s="49" t="n"/>
      <c r="D319" s="49" t="n"/>
      <c r="E319" s="49" t="n"/>
      <c r="F319" s="49" t="n"/>
    </row>
    <row r="320">
      <c r="B320" s="49" t="n"/>
      <c r="C320" s="49" t="n"/>
      <c r="D320" s="49" t="n"/>
      <c r="E320" s="49" t="n"/>
      <c r="F320" s="49" t="n"/>
    </row>
    <row r="321">
      <c r="B321" s="49" t="n"/>
      <c r="C321" s="49" t="n"/>
      <c r="D321" s="49" t="n"/>
      <c r="E321" s="49" t="n"/>
      <c r="F321" s="49" t="n"/>
    </row>
    <row r="322">
      <c r="B322" s="49" t="n"/>
      <c r="C322" s="49" t="n"/>
      <c r="D322" s="49" t="n"/>
      <c r="E322" s="49" t="n"/>
      <c r="F322" s="49" t="n"/>
    </row>
    <row r="323">
      <c r="B323" s="49" t="n"/>
      <c r="C323" s="49" t="n"/>
      <c r="D323" s="49" t="n"/>
      <c r="E323" s="49" t="n"/>
      <c r="F323" s="49" t="n"/>
    </row>
    <row r="324">
      <c r="B324" s="49" t="n"/>
      <c r="C324" s="49" t="n"/>
      <c r="D324" s="49" t="n"/>
      <c r="E324" s="49" t="n"/>
      <c r="F324" s="49" t="n"/>
    </row>
    <row r="325">
      <c r="B325" s="49" t="n"/>
      <c r="C325" s="49" t="n"/>
      <c r="D325" s="49" t="n"/>
      <c r="E325" s="49" t="n"/>
      <c r="F325" s="49" t="n"/>
    </row>
    <row r="326">
      <c r="B326" s="49" t="n"/>
      <c r="C326" s="49" t="n"/>
      <c r="D326" s="49" t="n"/>
      <c r="E326" s="49" t="n"/>
      <c r="F326" s="49" t="n"/>
    </row>
    <row r="327">
      <c r="B327" s="49" t="n"/>
      <c r="C327" s="49" t="n"/>
      <c r="D327" s="49" t="n"/>
      <c r="E327" s="49" t="n"/>
      <c r="F327" s="49" t="n"/>
    </row>
    <row r="328">
      <c r="B328" s="49" t="n"/>
      <c r="C328" s="49" t="n"/>
      <c r="D328" s="49" t="n"/>
      <c r="E328" s="49" t="n"/>
      <c r="F328" s="49" t="n"/>
    </row>
    <row r="329">
      <c r="B329" s="49" t="n"/>
      <c r="C329" s="49" t="n"/>
      <c r="D329" s="49" t="n"/>
      <c r="E329" s="49" t="n"/>
      <c r="F329" s="49" t="n"/>
    </row>
    <row r="330">
      <c r="B330" s="49" t="n"/>
      <c r="C330" s="49" t="n"/>
      <c r="D330" s="49" t="n"/>
      <c r="E330" s="49" t="n"/>
      <c r="F330" s="49" t="n"/>
    </row>
    <row r="331">
      <c r="B331" s="49" t="n"/>
      <c r="C331" s="49" t="n"/>
      <c r="D331" s="49" t="n"/>
      <c r="E331" s="49" t="n"/>
      <c r="F331" s="49" t="n"/>
    </row>
    <row r="332">
      <c r="B332" s="49" t="n"/>
      <c r="C332" s="49" t="n"/>
      <c r="D332" s="49" t="n"/>
      <c r="E332" s="49" t="n"/>
      <c r="F332" s="49" t="n"/>
    </row>
    <row r="333">
      <c r="B333" s="49" t="n"/>
      <c r="C333" s="49" t="n"/>
      <c r="D333" s="49" t="n"/>
      <c r="E333" s="49" t="n"/>
      <c r="F333" s="49" t="n"/>
    </row>
    <row r="334">
      <c r="B334" s="49" t="n"/>
      <c r="C334" s="49" t="n"/>
      <c r="D334" s="49" t="n"/>
      <c r="E334" s="49" t="n"/>
      <c r="F334" s="49" t="n"/>
    </row>
    <row r="335">
      <c r="B335" s="49" t="n"/>
      <c r="C335" s="49" t="n"/>
      <c r="D335" s="49" t="n"/>
      <c r="E335" s="49" t="n"/>
      <c r="F335" s="49" t="n"/>
    </row>
    <row r="336">
      <c r="B336" s="49" t="n"/>
      <c r="C336" s="49" t="n"/>
      <c r="D336" s="49" t="n"/>
      <c r="E336" s="49" t="n"/>
      <c r="F336" s="49" t="n"/>
    </row>
    <row r="337">
      <c r="B337" s="49" t="n"/>
      <c r="C337" s="49" t="n"/>
      <c r="D337" s="49" t="n"/>
      <c r="E337" s="49" t="n"/>
      <c r="F337" s="49" t="n"/>
    </row>
    <row r="338">
      <c r="B338" s="49" t="n"/>
      <c r="C338" s="49" t="n"/>
      <c r="D338" s="49" t="n"/>
      <c r="E338" s="49" t="n"/>
      <c r="F338" s="49" t="n"/>
    </row>
    <row r="339">
      <c r="B339" s="49" t="n"/>
      <c r="C339" s="49" t="n"/>
      <c r="D339" s="49" t="n"/>
      <c r="E339" s="49" t="n"/>
      <c r="F339" s="49" t="n"/>
    </row>
    <row r="340">
      <c r="B340" s="49" t="n"/>
      <c r="C340" s="49" t="n"/>
      <c r="D340" s="49" t="n"/>
      <c r="E340" s="49" t="n"/>
      <c r="F340" s="49" t="n"/>
    </row>
    <row r="341">
      <c r="B341" s="49" t="n"/>
      <c r="C341" s="49" t="n"/>
      <c r="D341" s="49" t="n"/>
      <c r="E341" s="49" t="n"/>
      <c r="F341" s="49" t="n"/>
    </row>
    <row r="342">
      <c r="B342" s="49" t="n"/>
      <c r="C342" s="49" t="n"/>
      <c r="D342" s="49" t="n"/>
      <c r="E342" s="49" t="n"/>
      <c r="F342" s="49" t="n"/>
    </row>
    <row r="343">
      <c r="B343" s="49" t="n"/>
      <c r="C343" s="49" t="n"/>
      <c r="D343" s="49" t="n"/>
      <c r="E343" s="49" t="n"/>
      <c r="F343" s="49" t="n"/>
    </row>
    <row r="344">
      <c r="B344" s="49" t="n"/>
      <c r="C344" s="49" t="n"/>
      <c r="D344" s="49" t="n"/>
      <c r="E344" s="49" t="n"/>
      <c r="F344" s="49" t="n"/>
    </row>
    <row r="345">
      <c r="B345" s="49" t="n"/>
      <c r="C345" s="49" t="n"/>
      <c r="D345" s="49" t="n"/>
      <c r="E345" s="49" t="n"/>
      <c r="F345" s="49" t="n"/>
    </row>
    <row r="346">
      <c r="B346" s="49" t="n"/>
      <c r="C346" s="49" t="n"/>
      <c r="D346" s="49" t="n"/>
      <c r="E346" s="49" t="n"/>
      <c r="F346" s="49" t="n"/>
    </row>
    <row r="347">
      <c r="B347" s="49" t="n"/>
      <c r="C347" s="49" t="n"/>
      <c r="D347" s="49" t="n"/>
      <c r="E347" s="49" t="n"/>
      <c r="F347" s="49" t="n"/>
    </row>
    <row r="348">
      <c r="B348" s="49" t="n"/>
      <c r="C348" s="49" t="n"/>
      <c r="D348" s="49" t="n"/>
      <c r="E348" s="49" t="n"/>
      <c r="F348" s="49" t="n"/>
    </row>
    <row r="349">
      <c r="B349" s="49" t="n"/>
      <c r="C349" s="49" t="n"/>
      <c r="D349" s="49" t="n"/>
      <c r="E349" s="49" t="n"/>
      <c r="F349" s="49" t="n"/>
    </row>
    <row r="350">
      <c r="B350" s="49" t="n"/>
      <c r="C350" s="49" t="n"/>
      <c r="D350" s="49" t="n"/>
      <c r="E350" s="49" t="n"/>
      <c r="F350" s="49" t="n"/>
    </row>
    <row r="351">
      <c r="B351" s="49" t="n"/>
      <c r="C351" s="49" t="n"/>
      <c r="D351" s="49" t="n"/>
      <c r="E351" s="49" t="n"/>
      <c r="F351" s="49" t="n"/>
    </row>
    <row r="352">
      <c r="B352" s="49" t="n"/>
      <c r="C352" s="49" t="n"/>
      <c r="D352" s="49" t="n"/>
      <c r="E352" s="49" t="n"/>
      <c r="F352" s="49" t="n"/>
    </row>
    <row r="353">
      <c r="B353" s="49" t="n"/>
      <c r="C353" s="49" t="n"/>
      <c r="D353" s="49" t="n"/>
      <c r="E353" s="49" t="n"/>
      <c r="F353" s="49" t="n"/>
    </row>
    <row r="354">
      <c r="B354" s="49" t="n"/>
      <c r="C354" s="49" t="n"/>
      <c r="D354" s="49" t="n"/>
      <c r="E354" s="49" t="n"/>
      <c r="F354" s="49" t="n"/>
    </row>
    <row r="355">
      <c r="B355" s="49" t="n"/>
      <c r="C355" s="49" t="n"/>
      <c r="D355" s="49" t="n"/>
      <c r="E355" s="49" t="n"/>
      <c r="F355" s="49" t="n"/>
    </row>
    <row r="356">
      <c r="B356" s="49" t="n"/>
      <c r="C356" s="49" t="n"/>
      <c r="D356" s="49" t="n"/>
      <c r="E356" s="49" t="n"/>
      <c r="F356" s="49" t="n"/>
    </row>
    <row r="357">
      <c r="B357" s="49" t="n"/>
      <c r="C357" s="49" t="n"/>
      <c r="D357" s="49" t="n"/>
      <c r="E357" s="49" t="n"/>
      <c r="F357" s="49" t="n"/>
    </row>
    <row r="358">
      <c r="B358" s="49" t="n"/>
      <c r="C358" s="49" t="n"/>
      <c r="D358" s="49" t="n"/>
      <c r="E358" s="49" t="n"/>
      <c r="F358" s="49" t="n"/>
    </row>
    <row r="359">
      <c r="B359" s="49" t="n"/>
      <c r="C359" s="49" t="n"/>
      <c r="D359" s="49" t="n"/>
      <c r="E359" s="49" t="n"/>
      <c r="F359" s="49" t="n"/>
    </row>
    <row r="360">
      <c r="B360" s="49" t="n"/>
      <c r="C360" s="49" t="n"/>
      <c r="D360" s="49" t="n"/>
      <c r="E360" s="49" t="n"/>
      <c r="F360" s="49" t="n"/>
    </row>
    <row r="361">
      <c r="B361" s="49" t="n"/>
      <c r="C361" s="49" t="n"/>
      <c r="D361" s="49" t="n"/>
      <c r="E361" s="49" t="n"/>
      <c r="F361" s="49" t="n"/>
    </row>
    <row r="362">
      <c r="B362" s="49" t="n"/>
      <c r="C362" s="49" t="n"/>
      <c r="D362" s="49" t="n"/>
      <c r="E362" s="49" t="n"/>
      <c r="F362" s="49" t="n"/>
    </row>
    <row r="363">
      <c r="B363" s="49" t="n"/>
      <c r="C363" s="49" t="n"/>
      <c r="D363" s="49" t="n"/>
      <c r="E363" s="49" t="n"/>
      <c r="F363" s="49" t="n"/>
    </row>
    <row r="364">
      <c r="B364" s="49" t="n"/>
      <c r="C364" s="49" t="n"/>
      <c r="D364" s="49" t="n"/>
      <c r="E364" s="49" t="n"/>
      <c r="F364" s="49" t="n"/>
    </row>
    <row r="365">
      <c r="B365" s="49" t="n"/>
      <c r="C365" s="49" t="n"/>
      <c r="D365" s="49" t="n"/>
      <c r="E365" s="49" t="n"/>
      <c r="F365" s="49" t="n"/>
    </row>
    <row r="366">
      <c r="B366" s="49" t="n"/>
      <c r="C366" s="49" t="n"/>
      <c r="D366" s="49" t="n"/>
      <c r="E366" s="49" t="n"/>
      <c r="F366" s="49" t="n"/>
    </row>
    <row r="367">
      <c r="B367" s="49" t="n"/>
      <c r="C367" s="49" t="n"/>
      <c r="D367" s="49" t="n"/>
      <c r="E367" s="49" t="n"/>
      <c r="F367" s="49" t="n"/>
    </row>
    <row r="368">
      <c r="B368" s="49" t="n"/>
      <c r="C368" s="49" t="n"/>
      <c r="D368" s="49" t="n"/>
      <c r="E368" s="49" t="n"/>
      <c r="F368" s="49" t="n"/>
    </row>
    <row r="369">
      <c r="B369" s="49" t="n"/>
      <c r="C369" s="49" t="n"/>
      <c r="D369" s="49" t="n"/>
      <c r="E369" s="49" t="n"/>
      <c r="F369" s="49" t="n"/>
    </row>
    <row r="370">
      <c r="B370" s="49" t="n"/>
      <c r="C370" s="49" t="n"/>
      <c r="D370" s="49" t="n"/>
      <c r="E370" s="49" t="n"/>
      <c r="F370" s="49" t="n"/>
    </row>
    <row r="371">
      <c r="B371" s="49" t="n"/>
      <c r="C371" s="49" t="n"/>
      <c r="D371" s="49" t="n"/>
      <c r="E371" s="49" t="n"/>
      <c r="F371" s="49" t="n"/>
    </row>
    <row r="372">
      <c r="B372" s="49" t="n"/>
      <c r="C372" s="49" t="n"/>
      <c r="D372" s="49" t="n"/>
      <c r="E372" s="49" t="n"/>
      <c r="F372" s="49" t="n"/>
    </row>
    <row r="373">
      <c r="B373" s="49" t="n"/>
      <c r="C373" s="49" t="n"/>
      <c r="D373" s="49" t="n"/>
      <c r="E373" s="49" t="n"/>
      <c r="F373" s="49" t="n"/>
    </row>
    <row r="374">
      <c r="B374" s="49" t="n"/>
      <c r="C374" s="49" t="n"/>
      <c r="D374" s="49" t="n"/>
      <c r="E374" s="49" t="n"/>
      <c r="F374" s="49" t="n"/>
    </row>
    <row r="375">
      <c r="B375" s="49" t="n"/>
      <c r="C375" s="49" t="n"/>
      <c r="D375" s="49" t="n"/>
      <c r="E375" s="49" t="n"/>
      <c r="F375" s="49" t="n"/>
    </row>
    <row r="376">
      <c r="B376" s="49" t="n"/>
      <c r="C376" s="49" t="n"/>
      <c r="D376" s="49" t="n"/>
      <c r="E376" s="49" t="n"/>
      <c r="F376" s="49" t="n"/>
    </row>
    <row r="377">
      <c r="B377" s="49" t="n"/>
      <c r="C377" s="49" t="n"/>
      <c r="D377" s="49" t="n"/>
      <c r="E377" s="49" t="n"/>
      <c r="F377" s="49" t="n"/>
    </row>
    <row r="378">
      <c r="B378" s="49" t="n"/>
      <c r="C378" s="49" t="n"/>
      <c r="D378" s="49" t="n"/>
      <c r="E378" s="49" t="n"/>
      <c r="F378" s="49" t="n"/>
    </row>
    <row r="379">
      <c r="B379" s="49" t="n"/>
      <c r="C379" s="49" t="n"/>
      <c r="D379" s="49" t="n"/>
      <c r="E379" s="49" t="n"/>
      <c r="F379" s="49" t="n"/>
    </row>
    <row r="380">
      <c r="B380" s="49" t="n"/>
      <c r="C380" s="49" t="n"/>
      <c r="D380" s="49" t="n"/>
      <c r="E380" s="49" t="n"/>
      <c r="F380" s="49" t="n"/>
    </row>
    <row r="381">
      <c r="B381" s="49" t="n"/>
      <c r="C381" s="49" t="n"/>
      <c r="D381" s="49" t="n"/>
      <c r="E381" s="49" t="n"/>
      <c r="F381" s="49" t="n"/>
    </row>
    <row r="382">
      <c r="B382" s="49" t="n"/>
      <c r="C382" s="49" t="n"/>
      <c r="D382" s="49" t="n"/>
      <c r="E382" s="49" t="n"/>
      <c r="F382" s="49" t="n"/>
    </row>
    <row r="383">
      <c r="B383" s="49" t="n"/>
      <c r="C383" s="49" t="n"/>
      <c r="D383" s="49" t="n"/>
      <c r="E383" s="49" t="n"/>
      <c r="F383" s="49" t="n"/>
    </row>
    <row r="384">
      <c r="B384" s="49" t="n"/>
      <c r="C384" s="49" t="n"/>
      <c r="D384" s="49" t="n"/>
      <c r="E384" s="49" t="n"/>
      <c r="F384" s="49" t="n"/>
    </row>
    <row r="385">
      <c r="B385" s="49" t="n"/>
      <c r="C385" s="49" t="n"/>
      <c r="D385" s="49" t="n"/>
      <c r="E385" s="49" t="n"/>
      <c r="F385" s="49" t="n"/>
    </row>
    <row r="386">
      <c r="B386" s="49" t="n"/>
      <c r="C386" s="49" t="n"/>
      <c r="D386" s="49" t="n"/>
      <c r="E386" s="49" t="n"/>
      <c r="F386" s="49" t="n"/>
    </row>
    <row r="387">
      <c r="B387" s="49" t="n"/>
      <c r="C387" s="49" t="n"/>
      <c r="D387" s="49" t="n"/>
      <c r="E387" s="49" t="n"/>
      <c r="F387" s="49" t="n"/>
    </row>
    <row r="388">
      <c r="B388" s="49" t="n"/>
      <c r="C388" s="49" t="n"/>
      <c r="D388" s="49" t="n"/>
      <c r="E388" s="49" t="n"/>
      <c r="F388" s="49" t="n"/>
    </row>
    <row r="389">
      <c r="B389" s="49" t="n"/>
      <c r="C389" s="49" t="n"/>
      <c r="D389" s="49" t="n"/>
      <c r="E389" s="49" t="n"/>
      <c r="F389" s="49" t="n"/>
    </row>
    <row r="390">
      <c r="B390" s="49" t="n"/>
      <c r="C390" s="49" t="n"/>
      <c r="D390" s="49" t="n"/>
      <c r="E390" s="49" t="n"/>
      <c r="F390" s="49" t="n"/>
    </row>
    <row r="391">
      <c r="B391" s="49" t="n"/>
      <c r="C391" s="49" t="n"/>
      <c r="D391" s="49" t="n"/>
      <c r="E391" s="49" t="n"/>
      <c r="F391" s="49" t="n"/>
    </row>
    <row r="392">
      <c r="B392" s="49" t="n"/>
      <c r="C392" s="49" t="n"/>
      <c r="D392" s="49" t="n"/>
      <c r="E392" s="49" t="n"/>
      <c r="F392" s="49" t="n"/>
    </row>
    <row r="393">
      <c r="B393" s="49" t="n"/>
      <c r="C393" s="49" t="n"/>
      <c r="D393" s="49" t="n"/>
      <c r="E393" s="49" t="n"/>
      <c r="F393" s="49" t="n"/>
    </row>
    <row r="394">
      <c r="B394" s="49" t="n"/>
      <c r="C394" s="49" t="n"/>
      <c r="D394" s="49" t="n"/>
      <c r="E394" s="49" t="n"/>
      <c r="F394" s="49" t="n"/>
    </row>
    <row r="395">
      <c r="B395" s="49" t="n"/>
      <c r="C395" s="49" t="n"/>
      <c r="D395" s="49" t="n"/>
      <c r="E395" s="49" t="n"/>
      <c r="F395" s="49" t="n"/>
    </row>
    <row r="396">
      <c r="B396" s="49" t="n"/>
      <c r="C396" s="49" t="n"/>
      <c r="D396" s="49" t="n"/>
      <c r="E396" s="49" t="n"/>
      <c r="F396" s="49" t="n"/>
    </row>
    <row r="397">
      <c r="B397" s="49" t="n"/>
      <c r="C397" s="49" t="n"/>
      <c r="D397" s="49" t="n"/>
      <c r="E397" s="49" t="n"/>
      <c r="F397" s="49" t="n"/>
    </row>
    <row r="398">
      <c r="B398" s="49" t="n"/>
      <c r="C398" s="49" t="n"/>
      <c r="D398" s="49" t="n"/>
      <c r="E398" s="49" t="n"/>
      <c r="F398" s="49" t="n"/>
    </row>
    <row r="399">
      <c r="B399" s="49" t="n"/>
      <c r="C399" s="49" t="n"/>
      <c r="D399" s="49" t="n"/>
      <c r="E399" s="49" t="n"/>
      <c r="F399" s="49" t="n"/>
    </row>
    <row r="400">
      <c r="B400" s="49" t="n"/>
      <c r="C400" s="49" t="n"/>
      <c r="D400" s="49" t="n"/>
      <c r="E400" s="49" t="n"/>
      <c r="F400" s="49" t="n"/>
    </row>
    <row r="401">
      <c r="B401" s="49" t="n"/>
      <c r="C401" s="49" t="n"/>
      <c r="D401" s="49" t="n"/>
      <c r="E401" s="49" t="n"/>
      <c r="F401" s="49" t="n"/>
    </row>
    <row r="402">
      <c r="B402" s="49" t="n"/>
      <c r="C402" s="49" t="n"/>
      <c r="D402" s="49" t="n"/>
      <c r="E402" s="49" t="n"/>
      <c r="F402" s="49" t="n"/>
    </row>
    <row r="403">
      <c r="B403" s="49" t="n"/>
      <c r="C403" s="49" t="n"/>
      <c r="D403" s="49" t="n"/>
      <c r="E403" s="49" t="n"/>
      <c r="F403" s="49" t="n"/>
    </row>
    <row r="404">
      <c r="B404" s="49" t="n"/>
      <c r="C404" s="49" t="n"/>
      <c r="D404" s="49" t="n"/>
      <c r="E404" s="49" t="n"/>
      <c r="F404" s="49" t="n"/>
    </row>
    <row r="405">
      <c r="B405" s="49" t="n"/>
      <c r="C405" s="49" t="n"/>
      <c r="D405" s="49" t="n"/>
      <c r="E405" s="49" t="n"/>
      <c r="F405" s="49" t="n"/>
    </row>
    <row r="406">
      <c r="B406" s="49" t="n"/>
      <c r="C406" s="49" t="n"/>
      <c r="D406" s="49" t="n"/>
      <c r="E406" s="49" t="n"/>
      <c r="F406" s="49" t="n"/>
    </row>
    <row r="407">
      <c r="B407" s="49" t="n"/>
      <c r="C407" s="49" t="n"/>
      <c r="D407" s="49" t="n"/>
      <c r="E407" s="49" t="n"/>
      <c r="F407" s="49" t="n"/>
    </row>
    <row r="408">
      <c r="B408" s="49" t="n"/>
      <c r="C408" s="49" t="n"/>
      <c r="D408" s="49" t="n"/>
      <c r="E408" s="49" t="n"/>
      <c r="F408" s="49" t="n"/>
    </row>
    <row r="409">
      <c r="B409" s="49" t="n"/>
      <c r="C409" s="49" t="n"/>
      <c r="D409" s="49" t="n"/>
      <c r="E409" s="49" t="n"/>
      <c r="F409" s="49" t="n"/>
    </row>
    <row r="410">
      <c r="B410" s="49" t="n"/>
      <c r="C410" s="49" t="n"/>
      <c r="D410" s="49" t="n"/>
      <c r="E410" s="49" t="n"/>
      <c r="F410" s="49" t="n"/>
    </row>
    <row r="411">
      <c r="B411" s="49" t="n"/>
      <c r="C411" s="49" t="n"/>
      <c r="D411" s="49" t="n"/>
      <c r="E411" s="49" t="n"/>
      <c r="F411" s="49" t="n"/>
    </row>
    <row r="412">
      <c r="B412" s="49" t="n"/>
      <c r="C412" s="49" t="n"/>
      <c r="D412" s="49" t="n"/>
      <c r="E412" s="49" t="n"/>
      <c r="F412" s="49" t="n"/>
    </row>
    <row r="413">
      <c r="B413" s="49" t="n"/>
      <c r="C413" s="49" t="n"/>
      <c r="D413" s="49" t="n"/>
      <c r="E413" s="49" t="n"/>
      <c r="F413" s="49" t="n"/>
    </row>
    <row r="414">
      <c r="B414" s="49" t="n"/>
      <c r="C414" s="49" t="n"/>
      <c r="D414" s="49" t="n"/>
      <c r="E414" s="49" t="n"/>
      <c r="F414" s="49" t="n"/>
    </row>
    <row r="415">
      <c r="B415" s="49" t="n"/>
      <c r="C415" s="49" t="n"/>
      <c r="D415" s="49" t="n"/>
      <c r="E415" s="49" t="n"/>
      <c r="F415" s="49" t="n"/>
    </row>
    <row r="416">
      <c r="B416" s="49" t="n"/>
      <c r="C416" s="49" t="n"/>
      <c r="D416" s="49" t="n"/>
      <c r="E416" s="49" t="n"/>
      <c r="F416" s="49" t="n"/>
    </row>
    <row r="417">
      <c r="B417" s="49" t="n"/>
      <c r="C417" s="49" t="n"/>
      <c r="D417" s="49" t="n"/>
      <c r="E417" s="49" t="n"/>
      <c r="F417" s="49" t="n"/>
    </row>
    <row r="418">
      <c r="B418" s="49" t="n"/>
      <c r="C418" s="49" t="n"/>
      <c r="D418" s="49" t="n"/>
      <c r="E418" s="49" t="n"/>
      <c r="F418" s="49" t="n"/>
    </row>
    <row r="419">
      <c r="B419" s="49" t="n"/>
      <c r="C419" s="49" t="n"/>
      <c r="D419" s="49" t="n"/>
      <c r="E419" s="49" t="n"/>
      <c r="F419" s="49" t="n"/>
    </row>
    <row r="420">
      <c r="B420" s="49" t="n"/>
      <c r="C420" s="49" t="n"/>
      <c r="D420" s="49" t="n"/>
      <c r="E420" s="49" t="n"/>
      <c r="F420" s="49" t="n"/>
    </row>
    <row r="421">
      <c r="B421" s="49" t="n"/>
      <c r="C421" s="49" t="n"/>
      <c r="D421" s="49" t="n"/>
      <c r="E421" s="49" t="n"/>
      <c r="F421" s="49" t="n"/>
    </row>
    <row r="422">
      <c r="B422" s="49" t="n"/>
      <c r="C422" s="49" t="n"/>
      <c r="D422" s="49" t="n"/>
      <c r="E422" s="49" t="n"/>
      <c r="F422" s="49" t="n"/>
    </row>
    <row r="423">
      <c r="B423" s="49" t="n"/>
      <c r="C423" s="49" t="n"/>
      <c r="D423" s="49" t="n"/>
      <c r="E423" s="49" t="n"/>
      <c r="F423" s="49" t="n"/>
    </row>
    <row r="424">
      <c r="B424" s="49" t="n"/>
      <c r="C424" s="49" t="n"/>
      <c r="D424" s="49" t="n"/>
      <c r="E424" s="49" t="n"/>
      <c r="F424" s="49" t="n"/>
    </row>
    <row r="425">
      <c r="B425" s="49" t="n"/>
      <c r="C425" s="49" t="n"/>
      <c r="D425" s="49" t="n"/>
      <c r="E425" s="49" t="n"/>
      <c r="F425" s="49" t="n"/>
    </row>
    <row r="426">
      <c r="B426" s="49" t="n"/>
      <c r="C426" s="49" t="n"/>
      <c r="D426" s="49" t="n"/>
      <c r="E426" s="49" t="n"/>
      <c r="F426" s="49" t="n"/>
    </row>
    <row r="427">
      <c r="B427" s="49" t="n"/>
      <c r="C427" s="49" t="n"/>
      <c r="D427" s="49" t="n"/>
      <c r="E427" s="49" t="n"/>
      <c r="F427" s="49" t="n"/>
    </row>
    <row r="428">
      <c r="B428" s="49" t="n"/>
      <c r="C428" s="49" t="n"/>
      <c r="D428" s="49" t="n"/>
      <c r="E428" s="49" t="n"/>
      <c r="F428" s="49" t="n"/>
    </row>
    <row r="429">
      <c r="B429" s="49" t="n"/>
      <c r="C429" s="49" t="n"/>
      <c r="D429" s="49" t="n"/>
      <c r="E429" s="49" t="n"/>
      <c r="F429" s="49" t="n"/>
    </row>
    <row r="430">
      <c r="B430" s="49" t="n"/>
      <c r="C430" s="49" t="n"/>
      <c r="D430" s="49" t="n"/>
      <c r="E430" s="49" t="n"/>
      <c r="F430" s="49" t="n"/>
    </row>
    <row r="431">
      <c r="B431" s="49" t="n"/>
      <c r="C431" s="49" t="n"/>
      <c r="D431" s="49" t="n"/>
      <c r="E431" s="49" t="n"/>
      <c r="F431" s="49" t="n"/>
    </row>
    <row r="432">
      <c r="B432" s="49" t="n"/>
      <c r="C432" s="49" t="n"/>
      <c r="D432" s="49" t="n"/>
      <c r="E432" s="49" t="n"/>
      <c r="F432" s="49" t="n"/>
    </row>
    <row r="433">
      <c r="B433" s="49" t="n"/>
      <c r="C433" s="49" t="n"/>
      <c r="D433" s="49" t="n"/>
      <c r="E433" s="49" t="n"/>
      <c r="F433" s="49" t="n"/>
    </row>
    <row r="434">
      <c r="B434" s="49" t="n"/>
      <c r="C434" s="49" t="n"/>
      <c r="D434" s="49" t="n"/>
      <c r="E434" s="49" t="n"/>
      <c r="F434" s="49" t="n"/>
    </row>
    <row r="435">
      <c r="B435" s="49" t="n"/>
      <c r="C435" s="49" t="n"/>
      <c r="D435" s="49" t="n"/>
      <c r="E435" s="49" t="n"/>
      <c r="F435" s="49" t="n"/>
    </row>
    <row r="436">
      <c r="B436" s="49" t="n"/>
      <c r="C436" s="49" t="n"/>
      <c r="D436" s="49" t="n"/>
      <c r="E436" s="49" t="n"/>
      <c r="F436" s="49" t="n"/>
    </row>
    <row r="437">
      <c r="B437" s="49" t="n"/>
      <c r="C437" s="49" t="n"/>
      <c r="D437" s="49" t="n"/>
      <c r="E437" s="49" t="n"/>
      <c r="F437" s="49" t="n"/>
    </row>
    <row r="438">
      <c r="B438" s="49" t="n"/>
      <c r="C438" s="49" t="n"/>
      <c r="D438" s="49" t="n"/>
      <c r="E438" s="49" t="n"/>
      <c r="F438" s="49" t="n"/>
    </row>
    <row r="439">
      <c r="B439" s="49" t="n"/>
      <c r="C439" s="49" t="n"/>
      <c r="D439" s="49" t="n"/>
      <c r="E439" s="49" t="n"/>
      <c r="F439" s="49" t="n"/>
    </row>
    <row r="440">
      <c r="B440" s="49" t="n"/>
      <c r="C440" s="49" t="n"/>
      <c r="D440" s="49" t="n"/>
      <c r="E440" s="49" t="n"/>
      <c r="F440" s="49" t="n"/>
    </row>
    <row r="441">
      <c r="B441" s="49" t="n"/>
      <c r="C441" s="49" t="n"/>
      <c r="D441" s="49" t="n"/>
      <c r="E441" s="49" t="n"/>
      <c r="F441" s="49" t="n"/>
    </row>
    <row r="442">
      <c r="B442" s="49" t="n"/>
      <c r="C442" s="49" t="n"/>
      <c r="D442" s="49" t="n"/>
      <c r="E442" s="49" t="n"/>
      <c r="F442" s="49" t="n"/>
    </row>
    <row r="443">
      <c r="B443" s="49" t="n"/>
      <c r="C443" s="49" t="n"/>
      <c r="D443" s="49" t="n"/>
      <c r="E443" s="49" t="n"/>
      <c r="F443" s="49" t="n"/>
    </row>
    <row r="444">
      <c r="B444" s="49" t="n"/>
      <c r="C444" s="49" t="n"/>
      <c r="D444" s="49" t="n"/>
      <c r="E444" s="49" t="n"/>
      <c r="F444" s="49" t="n"/>
    </row>
    <row r="445">
      <c r="B445" s="49" t="n"/>
      <c r="C445" s="49" t="n"/>
      <c r="D445" s="49" t="n"/>
      <c r="E445" s="49" t="n"/>
      <c r="F445" s="49" t="n"/>
    </row>
    <row r="446">
      <c r="B446" s="49" t="n"/>
      <c r="C446" s="49" t="n"/>
      <c r="D446" s="49" t="n"/>
      <c r="E446" s="49" t="n"/>
      <c r="F446" s="49" t="n"/>
    </row>
    <row r="447">
      <c r="B447" s="49" t="n"/>
      <c r="C447" s="49" t="n"/>
      <c r="D447" s="49" t="n"/>
      <c r="E447" s="49" t="n"/>
      <c r="F447" s="49" t="n"/>
    </row>
    <row r="448">
      <c r="B448" s="49" t="n"/>
      <c r="C448" s="49" t="n"/>
      <c r="D448" s="49" t="n"/>
      <c r="E448" s="49" t="n"/>
      <c r="F448" s="49" t="n"/>
    </row>
    <row r="449">
      <c r="B449" s="49" t="n"/>
      <c r="C449" s="49" t="n"/>
      <c r="D449" s="49" t="n"/>
      <c r="E449" s="49" t="n"/>
      <c r="F449" s="49" t="n"/>
    </row>
    <row r="450">
      <c r="B450" s="49" t="n"/>
      <c r="C450" s="49" t="n"/>
      <c r="D450" s="49" t="n"/>
      <c r="E450" s="49" t="n"/>
      <c r="F450" s="49" t="n"/>
    </row>
    <row r="451">
      <c r="B451" s="49" t="n"/>
      <c r="C451" s="49" t="n"/>
      <c r="D451" s="49" t="n"/>
      <c r="E451" s="49" t="n"/>
      <c r="F451" s="49" t="n"/>
    </row>
    <row r="452">
      <c r="B452" s="49" t="n"/>
      <c r="C452" s="49" t="n"/>
      <c r="D452" s="49" t="n"/>
      <c r="E452" s="49" t="n"/>
      <c r="F452" s="49" t="n"/>
    </row>
    <row r="453">
      <c r="B453" s="49" t="n"/>
      <c r="C453" s="49" t="n"/>
      <c r="D453" s="49" t="n"/>
      <c r="E453" s="49" t="n"/>
      <c r="F453" s="49" t="n"/>
    </row>
    <row r="454">
      <c r="B454" s="49" t="n"/>
      <c r="C454" s="49" t="n"/>
      <c r="D454" s="49" t="n"/>
      <c r="E454" s="49" t="n"/>
      <c r="F454" s="49" t="n"/>
    </row>
    <row r="455">
      <c r="B455" s="49" t="n"/>
      <c r="C455" s="49" t="n"/>
      <c r="D455" s="49" t="n"/>
      <c r="E455" s="49" t="n"/>
      <c r="F455" s="49" t="n"/>
    </row>
    <row r="456">
      <c r="B456" s="49" t="n"/>
      <c r="C456" s="49" t="n"/>
      <c r="D456" s="49" t="n"/>
      <c r="E456" s="49" t="n"/>
      <c r="F456" s="49" t="n"/>
    </row>
    <row r="457">
      <c r="B457" s="49" t="n"/>
      <c r="C457" s="49" t="n"/>
      <c r="D457" s="49" t="n"/>
      <c r="E457" s="49" t="n"/>
      <c r="F457" s="49" t="n"/>
    </row>
    <row r="458">
      <c r="B458" s="49" t="n"/>
      <c r="C458" s="49" t="n"/>
      <c r="D458" s="49" t="n"/>
      <c r="E458" s="49" t="n"/>
      <c r="F458" s="49" t="n"/>
    </row>
    <row r="459">
      <c r="B459" s="49" t="n"/>
      <c r="C459" s="49" t="n"/>
      <c r="D459" s="49" t="n"/>
      <c r="E459" s="49" t="n"/>
      <c r="F459" s="49" t="n"/>
    </row>
    <row r="460">
      <c r="B460" s="49" t="n"/>
      <c r="C460" s="49" t="n"/>
      <c r="D460" s="49" t="n"/>
      <c r="E460" s="49" t="n"/>
      <c r="F460" s="49" t="n"/>
    </row>
    <row r="461">
      <c r="B461" s="49" t="n"/>
      <c r="C461" s="49" t="n"/>
      <c r="D461" s="49" t="n"/>
      <c r="E461" s="49" t="n"/>
      <c r="F461" s="49" t="n"/>
    </row>
    <row r="462">
      <c r="B462" s="49" t="n"/>
      <c r="C462" s="49" t="n"/>
      <c r="D462" s="49" t="n"/>
      <c r="E462" s="49" t="n"/>
      <c r="F462" s="49" t="n"/>
    </row>
    <row r="463">
      <c r="B463" s="49" t="n"/>
      <c r="C463" s="49" t="n"/>
      <c r="D463" s="49" t="n"/>
      <c r="E463" s="49" t="n"/>
      <c r="F463" s="49" t="n"/>
    </row>
    <row r="464">
      <c r="B464" s="49" t="n"/>
      <c r="C464" s="49" t="n"/>
      <c r="D464" s="49" t="n"/>
      <c r="E464" s="49" t="n"/>
      <c r="F464" s="49" t="n"/>
    </row>
    <row r="465">
      <c r="B465" s="49" t="n"/>
      <c r="C465" s="49" t="n"/>
      <c r="D465" s="49" t="n"/>
      <c r="E465" s="49" t="n"/>
      <c r="F465" s="49" t="n"/>
    </row>
    <row r="466">
      <c r="B466" s="49" t="n"/>
      <c r="C466" s="49" t="n"/>
      <c r="D466" s="49" t="n"/>
      <c r="E466" s="49" t="n"/>
      <c r="F466" s="49" t="n"/>
    </row>
    <row r="467">
      <c r="B467" s="49" t="n"/>
      <c r="C467" s="49" t="n"/>
      <c r="D467" s="49" t="n"/>
      <c r="E467" s="49" t="n"/>
      <c r="F467" s="49" t="n"/>
    </row>
    <row r="468">
      <c r="B468" s="49" t="n"/>
      <c r="C468" s="49" t="n"/>
      <c r="D468" s="49" t="n"/>
      <c r="E468" s="49" t="n"/>
      <c r="F468" s="49" t="n"/>
    </row>
    <row r="469">
      <c r="B469" s="49" t="n"/>
      <c r="C469" s="49" t="n"/>
      <c r="D469" s="49" t="n"/>
      <c r="E469" s="49" t="n"/>
      <c r="F469" s="49" t="n"/>
    </row>
    <row r="470">
      <c r="B470" s="49" t="n"/>
      <c r="C470" s="49" t="n"/>
      <c r="D470" s="49" t="n"/>
      <c r="E470" s="49" t="n"/>
      <c r="F470" s="49" t="n"/>
    </row>
    <row r="471">
      <c r="B471" s="49" t="n"/>
      <c r="C471" s="49" t="n"/>
      <c r="D471" s="49" t="n"/>
      <c r="E471" s="49" t="n"/>
      <c r="F471" s="49" t="n"/>
    </row>
    <row r="472">
      <c r="B472" s="49" t="n"/>
      <c r="C472" s="49" t="n"/>
      <c r="D472" s="49" t="n"/>
      <c r="E472" s="49" t="n"/>
      <c r="F472" s="49" t="n"/>
    </row>
    <row r="473">
      <c r="B473" s="49" t="n"/>
      <c r="C473" s="49" t="n"/>
      <c r="D473" s="49" t="n"/>
      <c r="E473" s="49" t="n"/>
      <c r="F473" s="49" t="n"/>
    </row>
    <row r="474">
      <c r="B474" s="49" t="n"/>
      <c r="C474" s="49" t="n"/>
      <c r="D474" s="49" t="n"/>
      <c r="E474" s="49" t="n"/>
      <c r="F474" s="49" t="n"/>
    </row>
    <row r="475">
      <c r="B475" s="49" t="n"/>
      <c r="C475" s="49" t="n"/>
      <c r="D475" s="49" t="n"/>
      <c r="E475" s="49" t="n"/>
      <c r="F475" s="49" t="n"/>
    </row>
    <row r="476">
      <c r="B476" s="49" t="n"/>
      <c r="C476" s="49" t="n"/>
      <c r="D476" s="49" t="n"/>
      <c r="E476" s="49" t="n"/>
      <c r="F476" s="49" t="n"/>
    </row>
    <row r="477">
      <c r="B477" s="49" t="n"/>
      <c r="C477" s="49" t="n"/>
      <c r="D477" s="49" t="n"/>
      <c r="E477" s="49" t="n"/>
      <c r="F477" s="49" t="n"/>
    </row>
    <row r="478">
      <c r="B478" s="49" t="n"/>
      <c r="C478" s="49" t="n"/>
      <c r="D478" s="49" t="n"/>
      <c r="E478" s="49" t="n"/>
      <c r="F478" s="49" t="n"/>
    </row>
    <row r="479">
      <c r="B479" s="49" t="n"/>
      <c r="C479" s="49" t="n"/>
      <c r="D479" s="49" t="n"/>
      <c r="E479" s="49" t="n"/>
      <c r="F479" s="49" t="n"/>
    </row>
    <row r="480">
      <c r="B480" s="49" t="n"/>
      <c r="C480" s="49" t="n"/>
      <c r="D480" s="49" t="n"/>
      <c r="E480" s="49" t="n"/>
      <c r="F480" s="49" t="n"/>
    </row>
    <row r="481">
      <c r="B481" s="49" t="n"/>
      <c r="C481" s="49" t="n"/>
      <c r="D481" s="49" t="n"/>
      <c r="E481" s="49" t="n"/>
      <c r="F481" s="49" t="n"/>
    </row>
    <row r="482">
      <c r="B482" s="49" t="n"/>
      <c r="C482" s="49" t="n"/>
      <c r="D482" s="49" t="n"/>
      <c r="E482" s="49" t="n"/>
      <c r="F482" s="49" t="n"/>
    </row>
    <row r="483">
      <c r="B483" s="49" t="n"/>
      <c r="C483" s="49" t="n"/>
      <c r="D483" s="49" t="n"/>
      <c r="E483" s="49" t="n"/>
      <c r="F483" s="49" t="n"/>
    </row>
    <row r="484">
      <c r="B484" s="49" t="n"/>
      <c r="C484" s="49" t="n"/>
      <c r="D484" s="49" t="n"/>
      <c r="E484" s="49" t="n"/>
      <c r="F484" s="49" t="n"/>
    </row>
    <row r="485">
      <c r="B485" s="49" t="n"/>
      <c r="C485" s="49" t="n"/>
      <c r="D485" s="49" t="n"/>
      <c r="E485" s="49" t="n"/>
      <c r="F485" s="49" t="n"/>
    </row>
    <row r="486">
      <c r="B486" s="49" t="n"/>
      <c r="C486" s="49" t="n"/>
      <c r="D486" s="49" t="n"/>
      <c r="E486" s="49" t="n"/>
      <c r="F486" s="49" t="n"/>
    </row>
    <row r="487">
      <c r="B487" s="49" t="n"/>
      <c r="C487" s="49" t="n"/>
      <c r="D487" s="49" t="n"/>
      <c r="E487" s="49" t="n"/>
      <c r="F487" s="49" t="n"/>
    </row>
    <row r="488">
      <c r="B488" s="49" t="n"/>
      <c r="C488" s="49" t="n"/>
      <c r="D488" s="49" t="n"/>
      <c r="E488" s="49" t="n"/>
      <c r="F488" s="49" t="n"/>
    </row>
    <row r="489">
      <c r="B489" s="49" t="n"/>
      <c r="C489" s="49" t="n"/>
      <c r="D489" s="49" t="n"/>
      <c r="E489" s="49" t="n"/>
      <c r="F489" s="49" t="n"/>
    </row>
    <row r="490">
      <c r="B490" s="49" t="n"/>
      <c r="C490" s="49" t="n"/>
      <c r="D490" s="49" t="n"/>
      <c r="E490" s="49" t="n"/>
      <c r="F490" s="49" t="n"/>
    </row>
    <row r="491">
      <c r="B491" s="49" t="n"/>
      <c r="C491" s="49" t="n"/>
      <c r="D491" s="49" t="n"/>
      <c r="E491" s="49" t="n"/>
      <c r="F491" s="49" t="n"/>
    </row>
    <row r="492">
      <c r="B492" s="49" t="n"/>
      <c r="C492" s="49" t="n"/>
      <c r="D492" s="49" t="n"/>
      <c r="E492" s="49" t="n"/>
      <c r="F492" s="49" t="n"/>
    </row>
    <row r="493">
      <c r="B493" s="49" t="n"/>
      <c r="C493" s="49" t="n"/>
      <c r="D493" s="49" t="n"/>
      <c r="E493" s="49" t="n"/>
      <c r="F493" s="49" t="n"/>
    </row>
    <row r="494">
      <c r="B494" s="49" t="n"/>
      <c r="C494" s="49" t="n"/>
      <c r="D494" s="49" t="n"/>
      <c r="E494" s="49" t="n"/>
      <c r="F494" s="49" t="n"/>
    </row>
    <row r="495">
      <c r="B495" s="49" t="n"/>
      <c r="C495" s="49" t="n"/>
      <c r="D495" s="49" t="n"/>
      <c r="E495" s="49" t="n"/>
      <c r="F495" s="49" t="n"/>
    </row>
    <row r="496">
      <c r="B496" s="49" t="n"/>
      <c r="C496" s="49" t="n"/>
      <c r="D496" s="49" t="n"/>
      <c r="E496" s="49" t="n"/>
      <c r="F496" s="49" t="n"/>
    </row>
    <row r="497">
      <c r="B497" s="49" t="n"/>
      <c r="C497" s="49" t="n"/>
      <c r="D497" s="49" t="n"/>
      <c r="E497" s="49" t="n"/>
      <c r="F497" s="49" t="n"/>
    </row>
    <row r="498">
      <c r="B498" s="49" t="n"/>
      <c r="C498" s="49" t="n"/>
      <c r="D498" s="49" t="n"/>
      <c r="E498" s="49" t="n"/>
      <c r="F498" s="49" t="n"/>
    </row>
    <row r="499">
      <c r="B499" s="49" t="n"/>
      <c r="C499" s="49" t="n"/>
      <c r="D499" s="49" t="n"/>
      <c r="E499" s="49" t="n"/>
      <c r="F499" s="49" t="n"/>
    </row>
    <row r="500">
      <c r="B500" s="49" t="n"/>
      <c r="C500" s="49" t="n"/>
      <c r="D500" s="49" t="n"/>
      <c r="E500" s="49" t="n"/>
      <c r="F500" s="49" t="n"/>
    </row>
    <row r="501">
      <c r="B501" s="49" t="n"/>
      <c r="C501" s="49" t="n"/>
      <c r="D501" s="49" t="n"/>
      <c r="E501" s="49" t="n"/>
      <c r="F501" s="49" t="n"/>
    </row>
    <row r="502">
      <c r="B502" s="49" t="n"/>
      <c r="C502" s="49" t="n"/>
      <c r="D502" s="49" t="n"/>
      <c r="E502" s="49" t="n"/>
      <c r="F502" s="49" t="n"/>
    </row>
    <row r="503">
      <c r="B503" s="49" t="n"/>
      <c r="C503" s="49" t="n"/>
      <c r="D503" s="49" t="n"/>
      <c r="E503" s="49" t="n"/>
      <c r="F503" s="49" t="n"/>
    </row>
    <row r="504">
      <c r="B504" s="49" t="n"/>
      <c r="C504" s="49" t="n"/>
      <c r="D504" s="49" t="n"/>
      <c r="E504" s="49" t="n"/>
      <c r="F504" s="49" t="n"/>
    </row>
    <row r="505">
      <c r="B505" s="49" t="n"/>
      <c r="C505" s="49" t="n"/>
      <c r="D505" s="49" t="n"/>
      <c r="E505" s="49" t="n"/>
      <c r="F505" s="49" t="n"/>
    </row>
    <row r="506">
      <c r="B506" s="49" t="n"/>
      <c r="C506" s="49" t="n"/>
      <c r="D506" s="49" t="n"/>
      <c r="E506" s="49" t="n"/>
      <c r="F506" s="49" t="n"/>
    </row>
    <row r="507">
      <c r="B507" s="49" t="n"/>
      <c r="C507" s="49" t="n"/>
      <c r="D507" s="49" t="n"/>
      <c r="E507" s="49" t="n"/>
      <c r="F507" s="49" t="n"/>
    </row>
    <row r="508">
      <c r="B508" s="49" t="n"/>
      <c r="C508" s="49" t="n"/>
      <c r="D508" s="49" t="n"/>
      <c r="E508" s="49" t="n"/>
      <c r="F508" s="49" t="n"/>
    </row>
    <row r="509">
      <c r="B509" s="49" t="n"/>
      <c r="C509" s="49" t="n"/>
      <c r="D509" s="49" t="n"/>
      <c r="E509" s="49" t="n"/>
      <c r="F509" s="49" t="n"/>
    </row>
    <row r="510">
      <c r="B510" s="49" t="n"/>
      <c r="C510" s="49" t="n"/>
      <c r="D510" s="49" t="n"/>
      <c r="E510" s="49" t="n"/>
      <c r="F510" s="49" t="n"/>
    </row>
    <row r="511">
      <c r="B511" s="49" t="n"/>
      <c r="C511" s="49" t="n"/>
      <c r="D511" s="49" t="n"/>
      <c r="E511" s="49" t="n"/>
      <c r="F511" s="49" t="n"/>
    </row>
    <row r="512">
      <c r="B512" s="49" t="n"/>
      <c r="C512" s="49" t="n"/>
      <c r="D512" s="49" t="n"/>
      <c r="E512" s="49" t="n"/>
      <c r="F512" s="49" t="n"/>
    </row>
    <row r="513">
      <c r="B513" s="49" t="n"/>
      <c r="C513" s="49" t="n"/>
      <c r="D513" s="49" t="n"/>
      <c r="E513" s="49" t="n"/>
      <c r="F513" s="49" t="n"/>
    </row>
    <row r="514">
      <c r="B514" s="49" t="n"/>
      <c r="C514" s="49" t="n"/>
      <c r="D514" s="49" t="n"/>
      <c r="E514" s="49" t="n"/>
      <c r="F514" s="49" t="n"/>
    </row>
    <row r="515">
      <c r="B515" s="49" t="n"/>
      <c r="C515" s="49" t="n"/>
      <c r="D515" s="49" t="n"/>
      <c r="E515" s="49" t="n"/>
      <c r="F515" s="49" t="n"/>
    </row>
    <row r="516">
      <c r="B516" s="49" t="n"/>
      <c r="C516" s="49" t="n"/>
      <c r="D516" s="49" t="n"/>
      <c r="E516" s="49" t="n"/>
      <c r="F516" s="49" t="n"/>
    </row>
    <row r="517">
      <c r="B517" s="49" t="n"/>
      <c r="C517" s="49" t="n"/>
      <c r="D517" s="49" t="n"/>
      <c r="E517" s="49" t="n"/>
      <c r="F517" s="49"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F17:F517">
    <cfRule type="expression" priority="3"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Parameter" error="Choose a value of the list Parameter (UA-05) (sheet Reference lists)." promptTitle="Parameter" prompt="Yes. One row per parameter Allowed: List Parameter (UA-05): 17 values, see Reference lists" type="list" errorStyle="stop">
      <formula1>=LIST_UA_05_PARAMETER</formula1>
    </dataValidation>
    <dataValidation sqref="C17:C517" showDropDown="0" showInputMessage="1" showErrorMessage="0" allowBlank="1" promptTitle="Value as delivered" prompt="No. The value proposed with the system; blank = no value"/>
    <dataValidation sqref="D17:D517" showDropDown="0" showInputMessage="1" showErrorMessage="0" allowBlank="1" promptTitle="Value wanted" prompt="No. The value wanted; blank = no value"/>
    <dataValidation sqref="E17:E517" showDropDown="0" showInputMessage="1" showErrorMessage="0" allowBlank="1" promptTitle="Reason" prompt="No. Policy reference or reason"/>
    <dataValidation sqref="F17:F517" showDropDown="0" showInputMessage="1" showErrorMessage="0" allowBlank="1" promptTitle="Approved by" prompt="Yes. Information Security or IT approver of the value"/>
  </dataValidations>
  <hyperlinks>
    <hyperlink ref="A2" location="'Start here'!A1"/>
    <hyperlink ref="G2" location="'Questions and comments'!A1"/>
    <hyperlink ref="B14" location="'Reference lists'!A307"/>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5.xml><?xml version="1.0" encoding="utf-8"?>
<worksheet xmlns="http://schemas.openxmlformats.org/spreadsheetml/2006/main">
  <sheetPr>
    <tabColor rgb="00004EA8"/>
    <outlinePr summaryBelow="0" summaryRight="1"/>
    <pageSetUpPr fitToPage="1"/>
  </sheetPr>
  <dimension ref="A1:M3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24" customWidth="1" min="4" max="4"/>
    <col width="15" customWidth="1" min="5" max="5"/>
    <col width="14" customWidth="1" min="6" max="6"/>
    <col width="24" customWidth="1" min="7" max="7"/>
    <col width="22.72727272727273" customWidth="1" min="8" max="8"/>
    <col width="16" customWidth="1" min="9" max="9"/>
    <col width="15" customWidth="1" min="10" max="10"/>
    <col width="22.72727272727273" customWidth="1" min="11" max="11"/>
    <col width="14" customWidth="1" min="12" max="12"/>
    <col width="18" customWidth="1" min="13" max="13"/>
  </cols>
  <sheetData>
    <row r="1" ht="26" customHeight="1">
      <c r="A1" s="25" t="inlineStr">
        <is>
          <t>UP-03 Watchlist entries (sanctions, PEP and internal lists)</t>
        </is>
      </c>
      <c r="M1" s="26" t="inlineStr">
        <is>
          <t>Step 52 of 52</t>
        </is>
      </c>
    </row>
    <row r="2">
      <c r="A2" s="27" t="inlineStr">
        <is>
          <t>← Back to Start here</t>
        </is>
      </c>
      <c r="B2" s="28" t="inlineStr">
        <is>
          <t>Step 52 of 52. Fill in one row per record below the column headers; the guide above each column says what to enter.</t>
        </is>
      </c>
      <c r="M2" s="29" t="inlineStr">
        <is>
          <t>Ask a question →</t>
        </is>
      </c>
    </row>
    <row r="3" outlineLevel="1" ht="15.5" customHeight="1">
      <c r="A3" s="30" t="inlineStr">
        <is>
          <t>Purpose</t>
        </is>
      </c>
      <c r="B3" s="31" t="inlineStr">
        <is>
          <t>One row per listed person or entity of a sanctions, PEP or internal list that BIBS screens clients against; the BDO negative list and the lists BDOI keeps itself. A known reference changes the entry, a new one adds it; aliases are separated by semicolons.</t>
        </is>
      </c>
    </row>
    <row r="4" outlineLevel="1" ht="15.5" customHeight="1">
      <c r="A4" s="30" t="inlineStr">
        <is>
          <t>Provided by</t>
        </is>
      </c>
      <c r="B4" s="31" t="inlineStr">
        <is>
          <t>Compliance (Chief Compliance Officer)</t>
        </is>
      </c>
    </row>
    <row r="5" outlineLevel="1" ht="15.5" customHeight="1">
      <c r="A5" s="30" t="inlineStr">
        <is>
          <t>Due</t>
        </is>
      </c>
      <c r="B5" s="32" t="inlineStr">
        <is>
          <t>16-Jul-2027 – Values for UAT</t>
        </is>
      </c>
    </row>
    <row r="6" outlineLevel="1" ht="15.5" customHeight="1">
      <c r="A6" s="30" t="inlineStr">
        <is>
          <t>How it is loaded</t>
        </is>
      </c>
      <c r="B6" s="31" t="inlineStr">
        <is>
          <t>Screen upload: Setup &amp; Administration › Compliance Setup › List Sources and Runs, action Upload List File for the list source; the changes wait for a Compliance checker before screening uses them</t>
        </is>
      </c>
    </row>
    <row r="7" outlineLevel="1" ht="15.5" customHeight="1">
      <c r="A7" s="30" t="inlineStr">
        <is>
          <t>Source</t>
        </is>
      </c>
      <c r="B7" s="31" t="inlineStr">
        <is>
          <t>Platform upload definition (column layout as the screen loads it)</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$317)&gt;17)+($B$17&lt;&gt;"UNSC-0001")&gt;0)*(LEN($B$17:$B$317&amp;$C$17:$C$317&amp;$D$17:$D$317&amp;$E$17:$E$317&amp;$F$17:$F$317&amp;$G$17:$G$317&amp;$H$17:$H$317&amp;$I$17:$I$317&amp;$J$17:$J$317&amp;$K$17:$K$317&amp;$L$17:$L$317&amp;$M$17:$M$317)&gt;0))</f>
        <v/>
      </c>
      <c r="D9" s="35" t="inlineStr">
        <is>
          <t>Mandatory cells missing</t>
        </is>
      </c>
      <c r="E9" s="36">
        <f>SUMPRODUCT(((ROW($B$17:$B$317)&gt;17)+($B$17&lt;&gt;"UNSC-0001")&gt;0)*(LEN($B$17:$B$317&amp;$C$17:$C$317&amp;$D$17:$D$317&amp;$E$17:$E$317&amp;$F$17:$F$317&amp;$G$17:$G$317&amp;$H$17:$H$317&amp;$I$17:$I$317&amp;$J$17:$J$317&amp;$K$17:$K$317&amp;$L$17:$L$317&amp;$M$17:$M$317)&gt;0)*(($B$17:$B$317="")+($C$17:$C$317="")+($D$17:$D$317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row>
    <row r="12" ht="17" customHeight="1">
      <c r="A12" s="41" t="inlineStr">
        <is>
          <t>Mandatory</t>
        </is>
      </c>
      <c r="B12" s="42" t="inlineStr">
        <is>
          <t>Yes</t>
        </is>
      </c>
      <c r="C12" s="42" t="inlineStr">
        <is>
          <t>Yes</t>
        </is>
      </c>
      <c r="D12" s="42" t="inlineStr">
        <is>
          <t>Yes</t>
        </is>
      </c>
      <c r="E12" s="43" t="inlineStr">
        <is>
          <t>No</t>
        </is>
      </c>
      <c r="F12" s="43" t="inlineStr">
        <is>
          <t>No</t>
        </is>
      </c>
      <c r="G12" s="43" t="inlineStr">
        <is>
          <t>No</t>
        </is>
      </c>
      <c r="H12" s="43" t="inlineStr">
        <is>
          <t>No</t>
        </is>
      </c>
      <c r="I12" s="43" t="inlineStr">
        <is>
          <t>No</t>
        </is>
      </c>
      <c r="J12" s="43" t="inlineStr">
        <is>
          <t>No</t>
        </is>
      </c>
      <c r="K12" s="43" t="inlineStr">
        <is>
          <t>No</t>
        </is>
      </c>
      <c r="L12" s="43" t="inlineStr">
        <is>
          <t>No</t>
        </is>
      </c>
      <c r="M12" s="43" t="inlineStr">
        <is>
          <t>No</t>
        </is>
      </c>
    </row>
    <row r="13" ht="30" customHeight="1">
      <c r="A13" s="41" t="inlineStr">
        <is>
          <t>Format</t>
        </is>
      </c>
      <c r="B13" s="43" t="inlineStr">
        <is>
          <t>Text</t>
        </is>
      </c>
      <c r="C13" s="43" t="inlineStr">
        <is>
          <t>Text</t>
        </is>
      </c>
      <c r="D13" s="43" t="inlineStr">
        <is>
          <t>Text</t>
        </is>
      </c>
      <c r="E13" s="43" t="inlineStr">
        <is>
          <t>Text</t>
        </is>
      </c>
      <c r="F13" s="43" t="inlineStr">
        <is>
          <t>Text</t>
        </is>
      </c>
      <c r="G13" s="43" t="inlineStr">
        <is>
          <t>Text; several names separated by ;</t>
        </is>
      </c>
      <c r="H13" s="43" t="inlineStr">
        <is>
          <t>Date yyyy-MM-dd, e.g. 1970-02-28, or an Excel date</t>
        </is>
      </c>
      <c r="I13" s="43" t="inlineStr">
        <is>
          <t>Text</t>
        </is>
      </c>
      <c r="J13" s="43" t="inlineStr">
        <is>
          <t>Text</t>
        </is>
      </c>
      <c r="K13" s="43" t="inlineStr">
        <is>
          <t>Date yyyy-MM-dd, e.g. 2026-01-15, or an Excel date</t>
        </is>
      </c>
      <c r="L13" s="43" t="inlineStr">
        <is>
          <t>Text</t>
        </is>
      </c>
      <c r="M13" s="43" t="inlineStr">
        <is>
          <t>Text</t>
        </is>
      </c>
    </row>
    <row r="14" ht="56" customHeight="1">
      <c r="A14" s="41" t="inlineStr">
        <is>
          <t>Allowed values</t>
        </is>
      </c>
      <c r="B14" s="43" t="inlineStr">
        <is>
          <t>Free entry</t>
        </is>
      </c>
      <c r="C14" s="51" t="inlineStr">
        <is>
          <t>INDIVIDUAL, ENTITY (list Entity Type (UP-03))</t>
        </is>
      </c>
      <c r="D14" s="43" t="inlineStr">
        <is>
          <t>Free entry</t>
        </is>
      </c>
      <c r="E14" s="43" t="inlineStr">
        <is>
          <t>Free entry</t>
        </is>
      </c>
      <c r="F14" s="43" t="inlineStr">
        <is>
          <t>Free entry</t>
        </is>
      </c>
      <c r="G14" s="43" t="inlineStr">
        <is>
          <t>Free entry</t>
        </is>
      </c>
      <c r="H14" s="43" t="inlineStr">
        <is>
          <t>Free entry</t>
        </is>
      </c>
      <c r="I14" s="43" t="inlineStr">
        <is>
          <t>Free entry</t>
        </is>
      </c>
      <c r="J14" s="43" t="inlineStr">
        <is>
          <t>Free entry</t>
        </is>
      </c>
      <c r="K14" s="43" t="inlineStr">
        <is>
          <t>Free entry</t>
        </is>
      </c>
      <c r="L14" s="51" t="inlineStr">
        <is>
          <t>SANCTION, PEP, INTERNAL (list List Type (UP-03))</t>
        </is>
      </c>
      <c r="M14" s="43" t="inlineStr">
        <is>
          <t>Free entry</t>
        </is>
      </c>
    </row>
    <row r="15" ht="43" customHeight="1">
      <c r="A15" s="41" t="inlineStr">
        <is>
          <t>What to enter</t>
        </is>
      </c>
      <c r="B15" s="43" t="inlineStr">
        <is>
          <t>Reference of the record in the source list</t>
        </is>
      </c>
      <c r="C15" s="43" t="inlineStr">
        <is>
          <t>A listed person or an entity</t>
        </is>
      </c>
      <c r="D15" s="43" t="inlineStr">
        <is>
          <t>Name as listed</t>
        </is>
      </c>
      <c r="E15" s="43" t="inlineStr">
        <is>
          <t>First name of a person</t>
        </is>
      </c>
      <c r="F15" s="43" t="inlineStr">
        <is>
          <t>Last name of a person</t>
        </is>
      </c>
      <c r="G15" s="43" t="inlineStr">
        <is>
          <t>Other names of the record</t>
        </is>
      </c>
      <c r="H15" s="43" t="inlineStr">
        <is>
          <t>Birth date of a person</t>
        </is>
      </c>
      <c r="I15" s="43" t="inlineStr">
        <is>
          <t>Nationality</t>
        </is>
      </c>
      <c r="J15" s="43" t="inlineStr">
        <is>
          <t>Identification numbers</t>
        </is>
      </c>
      <c r="K15" s="43" t="inlineStr">
        <is>
          <t>Date the record was listed</t>
        </is>
      </c>
      <c r="L15" s="43" t="inlineStr">
        <is>
          <t>Kind of list; blank for the source's kind</t>
        </is>
      </c>
      <c r="M15" s="43" t="inlineStr">
        <is>
          <t>Remarks</t>
        </is>
      </c>
    </row>
    <row r="16" ht="30" customHeight="1">
      <c r="A16" s="44" t="inlineStr">
        <is>
          <t>Row</t>
        </is>
      </c>
      <c r="B16" s="45" t="inlineStr">
        <is>
          <t>Reference *</t>
        </is>
      </c>
      <c r="C16" s="45" t="inlineStr">
        <is>
          <t>Entity Type *</t>
        </is>
      </c>
      <c r="D16" s="45" t="inlineStr">
        <is>
          <t>Primary Name *</t>
        </is>
      </c>
      <c r="E16" s="45" t="inlineStr">
        <is>
          <t>First Name</t>
        </is>
      </c>
      <c r="F16" s="45" t="inlineStr">
        <is>
          <t>Last Name</t>
        </is>
      </c>
      <c r="G16" s="45" t="inlineStr">
        <is>
          <t>Aliases</t>
        </is>
      </c>
      <c r="H16" s="45" t="inlineStr">
        <is>
          <t>Birth Date</t>
        </is>
      </c>
      <c r="I16" s="45" t="inlineStr">
        <is>
          <t>Nationality</t>
        </is>
      </c>
      <c r="J16" s="45" t="inlineStr">
        <is>
          <t>ID Numbers</t>
        </is>
      </c>
      <c r="K16" s="45" t="inlineStr">
        <is>
          <t>Listed On</t>
        </is>
      </c>
      <c r="L16" s="45" t="inlineStr">
        <is>
          <t>List Type</t>
        </is>
      </c>
      <c r="M16" s="45" t="inlineStr">
        <is>
          <t>Remarks</t>
        </is>
      </c>
    </row>
    <row r="17" ht="18" customHeight="1">
      <c r="A17" s="46" t="inlineStr">
        <is>
          <t>Example – overwrite or delete</t>
        </is>
      </c>
      <c r="B17" s="47" t="inlineStr">
        <is>
          <t>UNSC-0001</t>
        </is>
      </c>
      <c r="C17" s="47" t="inlineStr">
        <is>
          <t>INDIVIDUAL</t>
        </is>
      </c>
      <c r="D17" s="47" t="inlineStr">
        <is>
          <t>Dela Cruz, Juan Listed</t>
        </is>
      </c>
      <c r="E17" s="47" t="inlineStr">
        <is>
          <t>Juan</t>
        </is>
      </c>
      <c r="F17" s="47" t="inlineStr">
        <is>
          <t>Dela Cruz</t>
        </is>
      </c>
      <c r="G17" s="47" t="inlineStr">
        <is>
          <t>Juanito DC; J. D. Cruz</t>
        </is>
      </c>
      <c r="H17" s="47" t="inlineStr">
        <is>
          <t>1970-02-28</t>
        </is>
      </c>
      <c r="I17" s="47" t="inlineStr">
        <is>
          <t>Filipino</t>
        </is>
      </c>
      <c r="J17" s="47" t="inlineStr">
        <is>
          <t>P1234567</t>
        </is>
      </c>
      <c r="K17" s="47" t="inlineStr">
        <is>
          <t>2026-01-15</t>
        </is>
      </c>
      <c r="L17" s="47" t="n"/>
      <c r="M17" s="47" t="inlineStr">
        <is>
          <t>Advisory 2026-01</t>
        </is>
      </c>
    </row>
    <row r="18">
      <c r="B18" s="49" t="n"/>
      <c r="C18" s="49" t="n"/>
      <c r="D18" s="49" t="n"/>
      <c r="E18" s="49" t="n"/>
      <c r="F18" s="49" t="n"/>
      <c r="G18" s="49" t="n"/>
      <c r="H18" s="49" t="n"/>
      <c r="I18" s="49" t="n"/>
      <c r="J18" s="49" t="n"/>
      <c r="K18" s="49" t="n"/>
      <c r="L18" s="49" t="n"/>
      <c r="M18" s="49" t="n"/>
    </row>
    <row r="19">
      <c r="B19" s="49" t="n"/>
      <c r="C19" s="49" t="n"/>
      <c r="D19" s="49" t="n"/>
      <c r="E19" s="49" t="n"/>
      <c r="F19" s="49" t="n"/>
      <c r="G19" s="49" t="n"/>
      <c r="H19" s="49" t="n"/>
      <c r="I19" s="49" t="n"/>
      <c r="J19" s="49" t="n"/>
      <c r="K19" s="49" t="n"/>
      <c r="L19" s="49" t="n"/>
      <c r="M19" s="49" t="n"/>
    </row>
    <row r="20">
      <c r="B20" s="49" t="n"/>
      <c r="C20" s="49" t="n"/>
      <c r="D20" s="49" t="n"/>
      <c r="E20" s="49" t="n"/>
      <c r="F20" s="49" t="n"/>
      <c r="G20" s="49" t="n"/>
      <c r="H20" s="49" t="n"/>
      <c r="I20" s="49" t="n"/>
      <c r="J20" s="49" t="n"/>
      <c r="K20" s="49" t="n"/>
      <c r="L20" s="49" t="n"/>
      <c r="M20" s="49" t="n"/>
    </row>
    <row r="21">
      <c r="B21" s="49" t="n"/>
      <c r="C21" s="49" t="n"/>
      <c r="D21" s="49" t="n"/>
      <c r="E21" s="49" t="n"/>
      <c r="F21" s="49" t="n"/>
      <c r="G21" s="49" t="n"/>
      <c r="H21" s="49" t="n"/>
      <c r="I21" s="49" t="n"/>
      <c r="J21" s="49" t="n"/>
      <c r="K21" s="49" t="n"/>
      <c r="L21" s="49" t="n"/>
      <c r="M21" s="49" t="n"/>
    </row>
    <row r="22">
      <c r="B22" s="49" t="n"/>
      <c r="C22" s="49" t="n"/>
      <c r="D22" s="49" t="n"/>
      <c r="E22" s="49" t="n"/>
      <c r="F22" s="49" t="n"/>
      <c r="G22" s="49" t="n"/>
      <c r="H22" s="49" t="n"/>
      <c r="I22" s="49" t="n"/>
      <c r="J22" s="49" t="n"/>
      <c r="K22" s="49" t="n"/>
      <c r="L22" s="49" t="n"/>
      <c r="M22" s="49" t="n"/>
    </row>
    <row r="23">
      <c r="B23" s="49" t="n"/>
      <c r="C23" s="49" t="n"/>
      <c r="D23" s="49" t="n"/>
      <c r="E23" s="49" t="n"/>
      <c r="F23" s="49" t="n"/>
      <c r="G23" s="49" t="n"/>
      <c r="H23" s="49" t="n"/>
      <c r="I23" s="49" t="n"/>
      <c r="J23" s="49" t="n"/>
      <c r="K23" s="49" t="n"/>
      <c r="L23" s="49" t="n"/>
      <c r="M23" s="49" t="n"/>
    </row>
    <row r="24">
      <c r="B24" s="49" t="n"/>
      <c r="C24" s="49" t="n"/>
      <c r="D24" s="49" t="n"/>
      <c r="E24" s="49" t="n"/>
      <c r="F24" s="49" t="n"/>
      <c r="G24" s="49" t="n"/>
      <c r="H24" s="49" t="n"/>
      <c r="I24" s="49" t="n"/>
      <c r="J24" s="49" t="n"/>
      <c r="K24" s="49" t="n"/>
      <c r="L24" s="49" t="n"/>
      <c r="M24" s="49" t="n"/>
    </row>
    <row r="25">
      <c r="B25" s="49" t="n"/>
      <c r="C25" s="49" t="n"/>
      <c r="D25" s="49" t="n"/>
      <c r="E25" s="49" t="n"/>
      <c r="F25" s="49" t="n"/>
      <c r="G25" s="49" t="n"/>
      <c r="H25" s="49" t="n"/>
      <c r="I25" s="49" t="n"/>
      <c r="J25" s="49" t="n"/>
      <c r="K25" s="49" t="n"/>
      <c r="L25" s="49" t="n"/>
      <c r="M25" s="49" t="n"/>
    </row>
    <row r="26">
      <c r="B26" s="49" t="n"/>
      <c r="C26" s="49" t="n"/>
      <c r="D26" s="49" t="n"/>
      <c r="E26" s="49" t="n"/>
      <c r="F26" s="49" t="n"/>
      <c r="G26" s="49" t="n"/>
      <c r="H26" s="49" t="n"/>
      <c r="I26" s="49" t="n"/>
      <c r="J26" s="49" t="n"/>
      <c r="K26" s="49" t="n"/>
      <c r="L26" s="49" t="n"/>
      <c r="M26" s="49" t="n"/>
    </row>
    <row r="27">
      <c r="B27" s="49" t="n"/>
      <c r="C27" s="49" t="n"/>
      <c r="D27" s="49" t="n"/>
      <c r="E27" s="49" t="n"/>
      <c r="F27" s="49" t="n"/>
      <c r="G27" s="49" t="n"/>
      <c r="H27" s="49" t="n"/>
      <c r="I27" s="49" t="n"/>
      <c r="J27" s="49" t="n"/>
      <c r="K27" s="49" t="n"/>
      <c r="L27" s="49" t="n"/>
      <c r="M27" s="49" t="n"/>
    </row>
    <row r="28">
      <c r="B28" s="49" t="n"/>
      <c r="C28" s="49" t="n"/>
      <c r="D28" s="49" t="n"/>
      <c r="E28" s="49" t="n"/>
      <c r="F28" s="49" t="n"/>
      <c r="G28" s="49" t="n"/>
      <c r="H28" s="49" t="n"/>
      <c r="I28" s="49" t="n"/>
      <c r="J28" s="49" t="n"/>
      <c r="K28" s="49" t="n"/>
      <c r="L28" s="49" t="n"/>
      <c r="M28" s="49" t="n"/>
    </row>
    <row r="29">
      <c r="B29" s="49" t="n"/>
      <c r="C29" s="49" t="n"/>
      <c r="D29" s="49" t="n"/>
      <c r="E29" s="49" t="n"/>
      <c r="F29" s="49" t="n"/>
      <c r="G29" s="49" t="n"/>
      <c r="H29" s="49" t="n"/>
      <c r="I29" s="49" t="n"/>
      <c r="J29" s="49" t="n"/>
      <c r="K29" s="49" t="n"/>
      <c r="L29" s="49" t="n"/>
      <c r="M29" s="49" t="n"/>
    </row>
    <row r="30">
      <c r="B30" s="49" t="n"/>
      <c r="C30" s="49" t="n"/>
      <c r="D30" s="49" t="n"/>
      <c r="E30" s="49" t="n"/>
      <c r="F30" s="49" t="n"/>
      <c r="G30" s="49" t="n"/>
      <c r="H30" s="49" t="n"/>
      <c r="I30" s="49" t="n"/>
      <c r="J30" s="49" t="n"/>
      <c r="K30" s="49" t="n"/>
      <c r="L30" s="49" t="n"/>
      <c r="M30" s="49" t="n"/>
    </row>
    <row r="31">
      <c r="B31" s="49" t="n"/>
      <c r="C31" s="49" t="n"/>
      <c r="D31" s="49" t="n"/>
      <c r="E31" s="49" t="n"/>
      <c r="F31" s="49" t="n"/>
      <c r="G31" s="49" t="n"/>
      <c r="H31" s="49" t="n"/>
      <c r="I31" s="49" t="n"/>
      <c r="J31" s="49" t="n"/>
      <c r="K31" s="49" t="n"/>
      <c r="L31" s="49" t="n"/>
      <c r="M31" s="49" t="n"/>
    </row>
    <row r="32">
      <c r="B32" s="49" t="n"/>
      <c r="C32" s="49" t="n"/>
      <c r="D32" s="49" t="n"/>
      <c r="E32" s="49" t="n"/>
      <c r="F32" s="49" t="n"/>
      <c r="G32" s="49" t="n"/>
      <c r="H32" s="49" t="n"/>
      <c r="I32" s="49" t="n"/>
      <c r="J32" s="49" t="n"/>
      <c r="K32" s="49" t="n"/>
      <c r="L32" s="49" t="n"/>
      <c r="M32" s="49" t="n"/>
    </row>
    <row r="33">
      <c r="B33" s="49" t="n"/>
      <c r="C33" s="49" t="n"/>
      <c r="D33" s="49" t="n"/>
      <c r="E33" s="49" t="n"/>
      <c r="F33" s="49" t="n"/>
      <c r="G33" s="49" t="n"/>
      <c r="H33" s="49" t="n"/>
      <c r="I33" s="49" t="n"/>
      <c r="J33" s="49" t="n"/>
      <c r="K33" s="49" t="n"/>
      <c r="L33" s="49" t="n"/>
      <c r="M33" s="49" t="n"/>
    </row>
    <row r="34">
      <c r="B34" s="49" t="n"/>
      <c r="C34" s="49" t="n"/>
      <c r="D34" s="49" t="n"/>
      <c r="E34" s="49" t="n"/>
      <c r="F34" s="49" t="n"/>
      <c r="G34" s="49" t="n"/>
      <c r="H34" s="49" t="n"/>
      <c r="I34" s="49" t="n"/>
      <c r="J34" s="49" t="n"/>
      <c r="K34" s="49" t="n"/>
      <c r="L34" s="49" t="n"/>
      <c r="M34" s="49" t="n"/>
    </row>
    <row r="35">
      <c r="B35" s="49" t="n"/>
      <c r="C35" s="49" t="n"/>
      <c r="D35" s="49" t="n"/>
      <c r="E35" s="49" t="n"/>
      <c r="F35" s="49" t="n"/>
      <c r="G35" s="49" t="n"/>
      <c r="H35" s="49" t="n"/>
      <c r="I35" s="49" t="n"/>
      <c r="J35" s="49" t="n"/>
      <c r="K35" s="49" t="n"/>
      <c r="L35" s="49" t="n"/>
      <c r="M35" s="49" t="n"/>
    </row>
    <row r="36">
      <c r="B36" s="49" t="n"/>
      <c r="C36" s="49" t="n"/>
      <c r="D36" s="49" t="n"/>
      <c r="E36" s="49" t="n"/>
      <c r="F36" s="49" t="n"/>
      <c r="G36" s="49" t="n"/>
      <c r="H36" s="49" t="n"/>
      <c r="I36" s="49" t="n"/>
      <c r="J36" s="49" t="n"/>
      <c r="K36" s="49" t="n"/>
      <c r="L36" s="49" t="n"/>
      <c r="M36" s="49" t="n"/>
    </row>
    <row r="37">
      <c r="B37" s="49" t="n"/>
      <c r="C37" s="49" t="n"/>
      <c r="D37" s="49" t="n"/>
      <c r="E37" s="49" t="n"/>
      <c r="F37" s="49" t="n"/>
      <c r="G37" s="49" t="n"/>
      <c r="H37" s="49" t="n"/>
      <c r="I37" s="49" t="n"/>
      <c r="J37" s="49" t="n"/>
      <c r="K37" s="49" t="n"/>
      <c r="L37" s="49" t="n"/>
      <c r="M37" s="49" t="n"/>
    </row>
    <row r="38">
      <c r="B38" s="49" t="n"/>
      <c r="C38" s="49" t="n"/>
      <c r="D38" s="49" t="n"/>
      <c r="E38" s="49" t="n"/>
      <c r="F38" s="49" t="n"/>
      <c r="G38" s="49" t="n"/>
      <c r="H38" s="49" t="n"/>
      <c r="I38" s="49" t="n"/>
      <c r="J38" s="49" t="n"/>
      <c r="K38" s="49" t="n"/>
      <c r="L38" s="49" t="n"/>
      <c r="M38" s="49" t="n"/>
    </row>
    <row r="39">
      <c r="B39" s="49" t="n"/>
      <c r="C39" s="49" t="n"/>
      <c r="D39" s="49" t="n"/>
      <c r="E39" s="49" t="n"/>
      <c r="F39" s="49" t="n"/>
      <c r="G39" s="49" t="n"/>
      <c r="H39" s="49" t="n"/>
      <c r="I39" s="49" t="n"/>
      <c r="J39" s="49" t="n"/>
      <c r="K39" s="49" t="n"/>
      <c r="L39" s="49" t="n"/>
      <c r="M39" s="49" t="n"/>
    </row>
    <row r="40">
      <c r="B40" s="49" t="n"/>
      <c r="C40" s="49" t="n"/>
      <c r="D40" s="49" t="n"/>
      <c r="E40" s="49" t="n"/>
      <c r="F40" s="49" t="n"/>
      <c r="G40" s="49" t="n"/>
      <c r="H40" s="49" t="n"/>
      <c r="I40" s="49" t="n"/>
      <c r="J40" s="49" t="n"/>
      <c r="K40" s="49" t="n"/>
      <c r="L40" s="49" t="n"/>
      <c r="M40" s="49" t="n"/>
    </row>
    <row r="41">
      <c r="B41" s="49" t="n"/>
      <c r="C41" s="49" t="n"/>
      <c r="D41" s="49" t="n"/>
      <c r="E41" s="49" t="n"/>
      <c r="F41" s="49" t="n"/>
      <c r="G41" s="49" t="n"/>
      <c r="H41" s="49" t="n"/>
      <c r="I41" s="49" t="n"/>
      <c r="J41" s="49" t="n"/>
      <c r="K41" s="49" t="n"/>
      <c r="L41" s="49" t="n"/>
      <c r="M41" s="49" t="n"/>
    </row>
    <row r="42">
      <c r="B42" s="49" t="n"/>
      <c r="C42" s="49" t="n"/>
      <c r="D42" s="49" t="n"/>
      <c r="E42" s="49" t="n"/>
      <c r="F42" s="49" t="n"/>
      <c r="G42" s="49" t="n"/>
      <c r="H42" s="49" t="n"/>
      <c r="I42" s="49" t="n"/>
      <c r="J42" s="49" t="n"/>
      <c r="K42" s="49" t="n"/>
      <c r="L42" s="49" t="n"/>
      <c r="M42" s="49" t="n"/>
    </row>
    <row r="43">
      <c r="B43" s="49" t="n"/>
      <c r="C43" s="49" t="n"/>
      <c r="D43" s="49" t="n"/>
      <c r="E43" s="49" t="n"/>
      <c r="F43" s="49" t="n"/>
      <c r="G43" s="49" t="n"/>
      <c r="H43" s="49" t="n"/>
      <c r="I43" s="49" t="n"/>
      <c r="J43" s="49" t="n"/>
      <c r="K43" s="49" t="n"/>
      <c r="L43" s="49" t="n"/>
      <c r="M43" s="49" t="n"/>
    </row>
    <row r="44">
      <c r="B44" s="49" t="n"/>
      <c r="C44" s="49" t="n"/>
      <c r="D44" s="49" t="n"/>
      <c r="E44" s="49" t="n"/>
      <c r="F44" s="49" t="n"/>
      <c r="G44" s="49" t="n"/>
      <c r="H44" s="49" t="n"/>
      <c r="I44" s="49" t="n"/>
      <c r="J44" s="49" t="n"/>
      <c r="K44" s="49" t="n"/>
      <c r="L44" s="49" t="n"/>
      <c r="M44" s="49" t="n"/>
    </row>
    <row r="45">
      <c r="B45" s="49" t="n"/>
      <c r="C45" s="49" t="n"/>
      <c r="D45" s="49" t="n"/>
      <c r="E45" s="49" t="n"/>
      <c r="F45" s="49" t="n"/>
      <c r="G45" s="49" t="n"/>
      <c r="H45" s="49" t="n"/>
      <c r="I45" s="49" t="n"/>
      <c r="J45" s="49" t="n"/>
      <c r="K45" s="49" t="n"/>
      <c r="L45" s="49" t="n"/>
      <c r="M45" s="49" t="n"/>
    </row>
    <row r="46">
      <c r="B46" s="49" t="n"/>
      <c r="C46" s="49" t="n"/>
      <c r="D46" s="49" t="n"/>
      <c r="E46" s="49" t="n"/>
      <c r="F46" s="49" t="n"/>
      <c r="G46" s="49" t="n"/>
      <c r="H46" s="49" t="n"/>
      <c r="I46" s="49" t="n"/>
      <c r="J46" s="49" t="n"/>
      <c r="K46" s="49" t="n"/>
      <c r="L46" s="49" t="n"/>
      <c r="M46" s="49" t="n"/>
    </row>
    <row r="47">
      <c r="B47" s="49" t="n"/>
      <c r="C47" s="49" t="n"/>
      <c r="D47" s="49" t="n"/>
      <c r="E47" s="49" t="n"/>
      <c r="F47" s="49" t="n"/>
      <c r="G47" s="49" t="n"/>
      <c r="H47" s="49" t="n"/>
      <c r="I47" s="49" t="n"/>
      <c r="J47" s="49" t="n"/>
      <c r="K47" s="49" t="n"/>
      <c r="L47" s="49" t="n"/>
      <c r="M47" s="49" t="n"/>
    </row>
    <row r="48">
      <c r="B48" s="49" t="n"/>
      <c r="C48" s="49" t="n"/>
      <c r="D48" s="49" t="n"/>
      <c r="E48" s="49" t="n"/>
      <c r="F48" s="49" t="n"/>
      <c r="G48" s="49" t="n"/>
      <c r="H48" s="49" t="n"/>
      <c r="I48" s="49" t="n"/>
      <c r="J48" s="49" t="n"/>
      <c r="K48" s="49" t="n"/>
      <c r="L48" s="49" t="n"/>
      <c r="M48" s="49" t="n"/>
    </row>
    <row r="49">
      <c r="B49" s="49" t="n"/>
      <c r="C49" s="49" t="n"/>
      <c r="D49" s="49" t="n"/>
      <c r="E49" s="49" t="n"/>
      <c r="F49" s="49" t="n"/>
      <c r="G49" s="49" t="n"/>
      <c r="H49" s="49" t="n"/>
      <c r="I49" s="49" t="n"/>
      <c r="J49" s="49" t="n"/>
      <c r="K49" s="49" t="n"/>
      <c r="L49" s="49" t="n"/>
      <c r="M49" s="49" t="n"/>
    </row>
    <row r="50">
      <c r="B50" s="49" t="n"/>
      <c r="C50" s="49" t="n"/>
      <c r="D50" s="49" t="n"/>
      <c r="E50" s="49" t="n"/>
      <c r="F50" s="49" t="n"/>
      <c r="G50" s="49" t="n"/>
      <c r="H50" s="49" t="n"/>
      <c r="I50" s="49" t="n"/>
      <c r="J50" s="49" t="n"/>
      <c r="K50" s="49" t="n"/>
      <c r="L50" s="49" t="n"/>
      <c r="M50" s="49" t="n"/>
    </row>
    <row r="51">
      <c r="B51" s="49" t="n"/>
      <c r="C51" s="49" t="n"/>
      <c r="D51" s="49" t="n"/>
      <c r="E51" s="49" t="n"/>
      <c r="F51" s="49" t="n"/>
      <c r="G51" s="49" t="n"/>
      <c r="H51" s="49" t="n"/>
      <c r="I51" s="49" t="n"/>
      <c r="J51" s="49" t="n"/>
      <c r="K51" s="49" t="n"/>
      <c r="L51" s="49" t="n"/>
      <c r="M51" s="49" t="n"/>
    </row>
    <row r="52">
      <c r="B52" s="49" t="n"/>
      <c r="C52" s="49" t="n"/>
      <c r="D52" s="49" t="n"/>
      <c r="E52" s="49" t="n"/>
      <c r="F52" s="49" t="n"/>
      <c r="G52" s="49" t="n"/>
      <c r="H52" s="49" t="n"/>
      <c r="I52" s="49" t="n"/>
      <c r="J52" s="49" t="n"/>
      <c r="K52" s="49" t="n"/>
      <c r="L52" s="49" t="n"/>
      <c r="M52" s="49" t="n"/>
    </row>
    <row r="53">
      <c r="B53" s="49" t="n"/>
      <c r="C53" s="49" t="n"/>
      <c r="D53" s="49" t="n"/>
      <c r="E53" s="49" t="n"/>
      <c r="F53" s="49" t="n"/>
      <c r="G53" s="49" t="n"/>
      <c r="H53" s="49" t="n"/>
      <c r="I53" s="49" t="n"/>
      <c r="J53" s="49" t="n"/>
      <c r="K53" s="49" t="n"/>
      <c r="L53" s="49" t="n"/>
      <c r="M53" s="49" t="n"/>
    </row>
    <row r="54">
      <c r="B54" s="49" t="n"/>
      <c r="C54" s="49" t="n"/>
      <c r="D54" s="49" t="n"/>
      <c r="E54" s="49" t="n"/>
      <c r="F54" s="49" t="n"/>
      <c r="G54" s="49" t="n"/>
      <c r="H54" s="49" t="n"/>
      <c r="I54" s="49" t="n"/>
      <c r="J54" s="49" t="n"/>
      <c r="K54" s="49" t="n"/>
      <c r="L54" s="49" t="n"/>
      <c r="M54" s="49" t="n"/>
    </row>
    <row r="55">
      <c r="B55" s="49" t="n"/>
      <c r="C55" s="49" t="n"/>
      <c r="D55" s="49" t="n"/>
      <c r="E55" s="49" t="n"/>
      <c r="F55" s="49" t="n"/>
      <c r="G55" s="49" t="n"/>
      <c r="H55" s="49" t="n"/>
      <c r="I55" s="49" t="n"/>
      <c r="J55" s="49" t="n"/>
      <c r="K55" s="49" t="n"/>
      <c r="L55" s="49" t="n"/>
      <c r="M55" s="49" t="n"/>
    </row>
    <row r="56">
      <c r="B56" s="49" t="n"/>
      <c r="C56" s="49" t="n"/>
      <c r="D56" s="49" t="n"/>
      <c r="E56" s="49" t="n"/>
      <c r="F56" s="49" t="n"/>
      <c r="G56" s="49" t="n"/>
      <c r="H56" s="49" t="n"/>
      <c r="I56" s="49" t="n"/>
      <c r="J56" s="49" t="n"/>
      <c r="K56" s="49" t="n"/>
      <c r="L56" s="49" t="n"/>
      <c r="M56" s="49" t="n"/>
    </row>
    <row r="57">
      <c r="B57" s="49" t="n"/>
      <c r="C57" s="49" t="n"/>
      <c r="D57" s="49" t="n"/>
      <c r="E57" s="49" t="n"/>
      <c r="F57" s="49" t="n"/>
      <c r="G57" s="49" t="n"/>
      <c r="H57" s="49" t="n"/>
      <c r="I57" s="49" t="n"/>
      <c r="J57" s="49" t="n"/>
      <c r="K57" s="49" t="n"/>
      <c r="L57" s="49" t="n"/>
      <c r="M57" s="49" t="n"/>
    </row>
    <row r="58">
      <c r="B58" s="49" t="n"/>
      <c r="C58" s="49" t="n"/>
      <c r="D58" s="49" t="n"/>
      <c r="E58" s="49" t="n"/>
      <c r="F58" s="49" t="n"/>
      <c r="G58" s="49" t="n"/>
      <c r="H58" s="49" t="n"/>
      <c r="I58" s="49" t="n"/>
      <c r="J58" s="49" t="n"/>
      <c r="K58" s="49" t="n"/>
      <c r="L58" s="49" t="n"/>
      <c r="M58" s="49" t="n"/>
    </row>
    <row r="59">
      <c r="B59" s="49" t="n"/>
      <c r="C59" s="49" t="n"/>
      <c r="D59" s="49" t="n"/>
      <c r="E59" s="49" t="n"/>
      <c r="F59" s="49" t="n"/>
      <c r="G59" s="49" t="n"/>
      <c r="H59" s="49" t="n"/>
      <c r="I59" s="49" t="n"/>
      <c r="J59" s="49" t="n"/>
      <c r="K59" s="49" t="n"/>
      <c r="L59" s="49" t="n"/>
      <c r="M59" s="49" t="n"/>
    </row>
    <row r="60">
      <c r="B60" s="49" t="n"/>
      <c r="C60" s="49" t="n"/>
      <c r="D60" s="49" t="n"/>
      <c r="E60" s="49" t="n"/>
      <c r="F60" s="49" t="n"/>
      <c r="G60" s="49" t="n"/>
      <c r="H60" s="49" t="n"/>
      <c r="I60" s="49" t="n"/>
      <c r="J60" s="49" t="n"/>
      <c r="K60" s="49" t="n"/>
      <c r="L60" s="49" t="n"/>
      <c r="M60" s="49" t="n"/>
    </row>
    <row r="61">
      <c r="B61" s="49" t="n"/>
      <c r="C61" s="49" t="n"/>
      <c r="D61" s="49" t="n"/>
      <c r="E61" s="49" t="n"/>
      <c r="F61" s="49" t="n"/>
      <c r="G61" s="49" t="n"/>
      <c r="H61" s="49" t="n"/>
      <c r="I61" s="49" t="n"/>
      <c r="J61" s="49" t="n"/>
      <c r="K61" s="49" t="n"/>
      <c r="L61" s="49" t="n"/>
      <c r="M61" s="49" t="n"/>
    </row>
    <row r="62">
      <c r="B62" s="49" t="n"/>
      <c r="C62" s="49" t="n"/>
      <c r="D62" s="49" t="n"/>
      <c r="E62" s="49" t="n"/>
      <c r="F62" s="49" t="n"/>
      <c r="G62" s="49" t="n"/>
      <c r="H62" s="49" t="n"/>
      <c r="I62" s="49" t="n"/>
      <c r="J62" s="49" t="n"/>
      <c r="K62" s="49" t="n"/>
      <c r="L62" s="49" t="n"/>
      <c r="M62" s="49" t="n"/>
    </row>
    <row r="63">
      <c r="B63" s="49" t="n"/>
      <c r="C63" s="49" t="n"/>
      <c r="D63" s="49" t="n"/>
      <c r="E63" s="49" t="n"/>
      <c r="F63" s="49" t="n"/>
      <c r="G63" s="49" t="n"/>
      <c r="H63" s="49" t="n"/>
      <c r="I63" s="49" t="n"/>
      <c r="J63" s="49" t="n"/>
      <c r="K63" s="49" t="n"/>
      <c r="L63" s="49" t="n"/>
      <c r="M63" s="49" t="n"/>
    </row>
    <row r="64">
      <c r="B64" s="49" t="n"/>
      <c r="C64" s="49" t="n"/>
      <c r="D64" s="49" t="n"/>
      <c r="E64" s="49" t="n"/>
      <c r="F64" s="49" t="n"/>
      <c r="G64" s="49" t="n"/>
      <c r="H64" s="49" t="n"/>
      <c r="I64" s="49" t="n"/>
      <c r="J64" s="49" t="n"/>
      <c r="K64" s="49" t="n"/>
      <c r="L64" s="49" t="n"/>
      <c r="M64" s="49" t="n"/>
    </row>
    <row r="65">
      <c r="B65" s="49" t="n"/>
      <c r="C65" s="49" t="n"/>
      <c r="D65" s="49" t="n"/>
      <c r="E65" s="49" t="n"/>
      <c r="F65" s="49" t="n"/>
      <c r="G65" s="49" t="n"/>
      <c r="H65" s="49" t="n"/>
      <c r="I65" s="49" t="n"/>
      <c r="J65" s="49" t="n"/>
      <c r="K65" s="49" t="n"/>
      <c r="L65" s="49" t="n"/>
      <c r="M65" s="49" t="n"/>
    </row>
    <row r="66">
      <c r="B66" s="49" t="n"/>
      <c r="C66" s="49" t="n"/>
      <c r="D66" s="49" t="n"/>
      <c r="E66" s="49" t="n"/>
      <c r="F66" s="49" t="n"/>
      <c r="G66" s="49" t="n"/>
      <c r="H66" s="49" t="n"/>
      <c r="I66" s="49" t="n"/>
      <c r="J66" s="49" t="n"/>
      <c r="K66" s="49" t="n"/>
      <c r="L66" s="49" t="n"/>
      <c r="M66" s="49" t="n"/>
    </row>
    <row r="67">
      <c r="B67" s="49" t="n"/>
      <c r="C67" s="49" t="n"/>
      <c r="D67" s="49" t="n"/>
      <c r="E67" s="49" t="n"/>
      <c r="F67" s="49" t="n"/>
      <c r="G67" s="49" t="n"/>
      <c r="H67" s="49" t="n"/>
      <c r="I67" s="49" t="n"/>
      <c r="J67" s="49" t="n"/>
      <c r="K67" s="49" t="n"/>
      <c r="L67" s="49" t="n"/>
      <c r="M67" s="49" t="n"/>
    </row>
    <row r="68">
      <c r="B68" s="49" t="n"/>
      <c r="C68" s="49" t="n"/>
      <c r="D68" s="49" t="n"/>
      <c r="E68" s="49" t="n"/>
      <c r="F68" s="49" t="n"/>
      <c r="G68" s="49" t="n"/>
      <c r="H68" s="49" t="n"/>
      <c r="I68" s="49" t="n"/>
      <c r="J68" s="49" t="n"/>
      <c r="K68" s="49" t="n"/>
      <c r="L68" s="49" t="n"/>
      <c r="M68" s="49" t="n"/>
    </row>
    <row r="69">
      <c r="B69" s="49" t="n"/>
      <c r="C69" s="49" t="n"/>
      <c r="D69" s="49" t="n"/>
      <c r="E69" s="49" t="n"/>
      <c r="F69" s="49" t="n"/>
      <c r="G69" s="49" t="n"/>
      <c r="H69" s="49" t="n"/>
      <c r="I69" s="49" t="n"/>
      <c r="J69" s="49" t="n"/>
      <c r="K69" s="49" t="n"/>
      <c r="L69" s="49" t="n"/>
      <c r="M69" s="49" t="n"/>
    </row>
    <row r="70">
      <c r="B70" s="49" t="n"/>
      <c r="C70" s="49" t="n"/>
      <c r="D70" s="49" t="n"/>
      <c r="E70" s="49" t="n"/>
      <c r="F70" s="49" t="n"/>
      <c r="G70" s="49" t="n"/>
      <c r="H70" s="49" t="n"/>
      <c r="I70" s="49" t="n"/>
      <c r="J70" s="49" t="n"/>
      <c r="K70" s="49" t="n"/>
      <c r="L70" s="49" t="n"/>
      <c r="M70" s="49" t="n"/>
    </row>
    <row r="71">
      <c r="B71" s="49" t="n"/>
      <c r="C71" s="49" t="n"/>
      <c r="D71" s="49" t="n"/>
      <c r="E71" s="49" t="n"/>
      <c r="F71" s="49" t="n"/>
      <c r="G71" s="49" t="n"/>
      <c r="H71" s="49" t="n"/>
      <c r="I71" s="49" t="n"/>
      <c r="J71" s="49" t="n"/>
      <c r="K71" s="49" t="n"/>
      <c r="L71" s="49" t="n"/>
      <c r="M71" s="49" t="n"/>
    </row>
    <row r="72">
      <c r="B72" s="49" t="n"/>
      <c r="C72" s="49" t="n"/>
      <c r="D72" s="49" t="n"/>
      <c r="E72" s="49" t="n"/>
      <c r="F72" s="49" t="n"/>
      <c r="G72" s="49" t="n"/>
      <c r="H72" s="49" t="n"/>
      <c r="I72" s="49" t="n"/>
      <c r="J72" s="49" t="n"/>
      <c r="K72" s="49" t="n"/>
      <c r="L72" s="49" t="n"/>
      <c r="M72" s="49" t="n"/>
    </row>
    <row r="73">
      <c r="B73" s="49" t="n"/>
      <c r="C73" s="49" t="n"/>
      <c r="D73" s="49" t="n"/>
      <c r="E73" s="49" t="n"/>
      <c r="F73" s="49" t="n"/>
      <c r="G73" s="49" t="n"/>
      <c r="H73" s="49" t="n"/>
      <c r="I73" s="49" t="n"/>
      <c r="J73" s="49" t="n"/>
      <c r="K73" s="49" t="n"/>
      <c r="L73" s="49" t="n"/>
      <c r="M73" s="49" t="n"/>
    </row>
    <row r="74">
      <c r="B74" s="49" t="n"/>
      <c r="C74" s="49" t="n"/>
      <c r="D74" s="49" t="n"/>
      <c r="E74" s="49" t="n"/>
      <c r="F74" s="49" t="n"/>
      <c r="G74" s="49" t="n"/>
      <c r="H74" s="49" t="n"/>
      <c r="I74" s="49" t="n"/>
      <c r="J74" s="49" t="n"/>
      <c r="K74" s="49" t="n"/>
      <c r="L74" s="49" t="n"/>
      <c r="M74" s="49" t="n"/>
    </row>
    <row r="75">
      <c r="B75" s="49" t="n"/>
      <c r="C75" s="49" t="n"/>
      <c r="D75" s="49" t="n"/>
      <c r="E75" s="49" t="n"/>
      <c r="F75" s="49" t="n"/>
      <c r="G75" s="49" t="n"/>
      <c r="H75" s="49" t="n"/>
      <c r="I75" s="49" t="n"/>
      <c r="J75" s="49" t="n"/>
      <c r="K75" s="49" t="n"/>
      <c r="L75" s="49" t="n"/>
      <c r="M75" s="49" t="n"/>
    </row>
    <row r="76">
      <c r="B76" s="49" t="n"/>
      <c r="C76" s="49" t="n"/>
      <c r="D76" s="49" t="n"/>
      <c r="E76" s="49" t="n"/>
      <c r="F76" s="49" t="n"/>
      <c r="G76" s="49" t="n"/>
      <c r="H76" s="49" t="n"/>
      <c r="I76" s="49" t="n"/>
      <c r="J76" s="49" t="n"/>
      <c r="K76" s="49" t="n"/>
      <c r="L76" s="49" t="n"/>
      <c r="M76" s="49" t="n"/>
    </row>
    <row r="77">
      <c r="B77" s="49" t="n"/>
      <c r="C77" s="49" t="n"/>
      <c r="D77" s="49" t="n"/>
      <c r="E77" s="49" t="n"/>
      <c r="F77" s="49" t="n"/>
      <c r="G77" s="49" t="n"/>
      <c r="H77" s="49" t="n"/>
      <c r="I77" s="49" t="n"/>
      <c r="J77" s="49" t="n"/>
      <c r="K77" s="49" t="n"/>
      <c r="L77" s="49" t="n"/>
      <c r="M77" s="49" t="n"/>
    </row>
    <row r="78">
      <c r="B78" s="49" t="n"/>
      <c r="C78" s="49" t="n"/>
      <c r="D78" s="49" t="n"/>
      <c r="E78" s="49" t="n"/>
      <c r="F78" s="49" t="n"/>
      <c r="G78" s="49" t="n"/>
      <c r="H78" s="49" t="n"/>
      <c r="I78" s="49" t="n"/>
      <c r="J78" s="49" t="n"/>
      <c r="K78" s="49" t="n"/>
      <c r="L78" s="49" t="n"/>
      <c r="M78" s="49" t="n"/>
    </row>
    <row r="79">
      <c r="B79" s="49" t="n"/>
      <c r="C79" s="49" t="n"/>
      <c r="D79" s="49" t="n"/>
      <c r="E79" s="49" t="n"/>
      <c r="F79" s="49" t="n"/>
      <c r="G79" s="49" t="n"/>
      <c r="H79" s="49" t="n"/>
      <c r="I79" s="49" t="n"/>
      <c r="J79" s="49" t="n"/>
      <c r="K79" s="49" t="n"/>
      <c r="L79" s="49" t="n"/>
      <c r="M79" s="49" t="n"/>
    </row>
    <row r="80">
      <c r="B80" s="49" t="n"/>
      <c r="C80" s="49" t="n"/>
      <c r="D80" s="49" t="n"/>
      <c r="E80" s="49" t="n"/>
      <c r="F80" s="49" t="n"/>
      <c r="G80" s="49" t="n"/>
      <c r="H80" s="49" t="n"/>
      <c r="I80" s="49" t="n"/>
      <c r="J80" s="49" t="n"/>
      <c r="K80" s="49" t="n"/>
      <c r="L80" s="49" t="n"/>
      <c r="M80" s="49" t="n"/>
    </row>
    <row r="81">
      <c r="B81" s="49" t="n"/>
      <c r="C81" s="49" t="n"/>
      <c r="D81" s="49" t="n"/>
      <c r="E81" s="49" t="n"/>
      <c r="F81" s="49" t="n"/>
      <c r="G81" s="49" t="n"/>
      <c r="H81" s="49" t="n"/>
      <c r="I81" s="49" t="n"/>
      <c r="J81" s="49" t="n"/>
      <c r="K81" s="49" t="n"/>
      <c r="L81" s="49" t="n"/>
      <c r="M81" s="49" t="n"/>
    </row>
    <row r="82">
      <c r="B82" s="49" t="n"/>
      <c r="C82" s="49" t="n"/>
      <c r="D82" s="49" t="n"/>
      <c r="E82" s="49" t="n"/>
      <c r="F82" s="49" t="n"/>
      <c r="G82" s="49" t="n"/>
      <c r="H82" s="49" t="n"/>
      <c r="I82" s="49" t="n"/>
      <c r="J82" s="49" t="n"/>
      <c r="K82" s="49" t="n"/>
      <c r="L82" s="49" t="n"/>
      <c r="M82" s="49" t="n"/>
    </row>
    <row r="83">
      <c r="B83" s="49" t="n"/>
      <c r="C83" s="49" t="n"/>
      <c r="D83" s="49" t="n"/>
      <c r="E83" s="49" t="n"/>
      <c r="F83" s="49" t="n"/>
      <c r="G83" s="49" t="n"/>
      <c r="H83" s="49" t="n"/>
      <c r="I83" s="49" t="n"/>
      <c r="J83" s="49" t="n"/>
      <c r="K83" s="49" t="n"/>
      <c r="L83" s="49" t="n"/>
      <c r="M83" s="49" t="n"/>
    </row>
    <row r="84">
      <c r="B84" s="49" t="n"/>
      <c r="C84" s="49" t="n"/>
      <c r="D84" s="49" t="n"/>
      <c r="E84" s="49" t="n"/>
      <c r="F84" s="49" t="n"/>
      <c r="G84" s="49" t="n"/>
      <c r="H84" s="49" t="n"/>
      <c r="I84" s="49" t="n"/>
      <c r="J84" s="49" t="n"/>
      <c r="K84" s="49" t="n"/>
      <c r="L84" s="49" t="n"/>
      <c r="M84" s="49" t="n"/>
    </row>
    <row r="85">
      <c r="B85" s="49" t="n"/>
      <c r="C85" s="49" t="n"/>
      <c r="D85" s="49" t="n"/>
      <c r="E85" s="49" t="n"/>
      <c r="F85" s="49" t="n"/>
      <c r="G85" s="49" t="n"/>
      <c r="H85" s="49" t="n"/>
      <c r="I85" s="49" t="n"/>
      <c r="J85" s="49" t="n"/>
      <c r="K85" s="49" t="n"/>
      <c r="L85" s="49" t="n"/>
      <c r="M85" s="49" t="n"/>
    </row>
    <row r="86">
      <c r="B86" s="49" t="n"/>
      <c r="C86" s="49" t="n"/>
      <c r="D86" s="49" t="n"/>
      <c r="E86" s="49" t="n"/>
      <c r="F86" s="49" t="n"/>
      <c r="G86" s="49" t="n"/>
      <c r="H86" s="49" t="n"/>
      <c r="I86" s="49" t="n"/>
      <c r="J86" s="49" t="n"/>
      <c r="K86" s="49" t="n"/>
      <c r="L86" s="49" t="n"/>
      <c r="M86" s="49" t="n"/>
    </row>
    <row r="87">
      <c r="B87" s="49" t="n"/>
      <c r="C87" s="49" t="n"/>
      <c r="D87" s="49" t="n"/>
      <c r="E87" s="49" t="n"/>
      <c r="F87" s="49" t="n"/>
      <c r="G87" s="49" t="n"/>
      <c r="H87" s="49" t="n"/>
      <c r="I87" s="49" t="n"/>
      <c r="J87" s="49" t="n"/>
      <c r="K87" s="49" t="n"/>
      <c r="L87" s="49" t="n"/>
      <c r="M87" s="49" t="n"/>
    </row>
    <row r="88">
      <c r="B88" s="49" t="n"/>
      <c r="C88" s="49" t="n"/>
      <c r="D88" s="49" t="n"/>
      <c r="E88" s="49" t="n"/>
      <c r="F88" s="49" t="n"/>
      <c r="G88" s="49" t="n"/>
      <c r="H88" s="49" t="n"/>
      <c r="I88" s="49" t="n"/>
      <c r="J88" s="49" t="n"/>
      <c r="K88" s="49" t="n"/>
      <c r="L88" s="49" t="n"/>
      <c r="M88" s="49" t="n"/>
    </row>
    <row r="89">
      <c r="B89" s="49" t="n"/>
      <c r="C89" s="49" t="n"/>
      <c r="D89" s="49" t="n"/>
      <c r="E89" s="49" t="n"/>
      <c r="F89" s="49" t="n"/>
      <c r="G89" s="49" t="n"/>
      <c r="H89" s="49" t="n"/>
      <c r="I89" s="49" t="n"/>
      <c r="J89" s="49" t="n"/>
      <c r="K89" s="49" t="n"/>
      <c r="L89" s="49" t="n"/>
      <c r="M89" s="49" t="n"/>
    </row>
    <row r="90">
      <c r="B90" s="49" t="n"/>
      <c r="C90" s="49" t="n"/>
      <c r="D90" s="49" t="n"/>
      <c r="E90" s="49" t="n"/>
      <c r="F90" s="49" t="n"/>
      <c r="G90" s="49" t="n"/>
      <c r="H90" s="49" t="n"/>
      <c r="I90" s="49" t="n"/>
      <c r="J90" s="49" t="n"/>
      <c r="K90" s="49" t="n"/>
      <c r="L90" s="49" t="n"/>
      <c r="M90" s="49" t="n"/>
    </row>
    <row r="91">
      <c r="B91" s="49" t="n"/>
      <c r="C91" s="49" t="n"/>
      <c r="D91" s="49" t="n"/>
      <c r="E91" s="49" t="n"/>
      <c r="F91" s="49" t="n"/>
      <c r="G91" s="49" t="n"/>
      <c r="H91" s="49" t="n"/>
      <c r="I91" s="49" t="n"/>
      <c r="J91" s="49" t="n"/>
      <c r="K91" s="49" t="n"/>
      <c r="L91" s="49" t="n"/>
      <c r="M91" s="49" t="n"/>
    </row>
    <row r="92">
      <c r="B92" s="49" t="n"/>
      <c r="C92" s="49" t="n"/>
      <c r="D92" s="49" t="n"/>
      <c r="E92" s="49" t="n"/>
      <c r="F92" s="49" t="n"/>
      <c r="G92" s="49" t="n"/>
      <c r="H92" s="49" t="n"/>
      <c r="I92" s="49" t="n"/>
      <c r="J92" s="49" t="n"/>
      <c r="K92" s="49" t="n"/>
      <c r="L92" s="49" t="n"/>
      <c r="M92" s="49" t="n"/>
    </row>
    <row r="93">
      <c r="B93" s="49" t="n"/>
      <c r="C93" s="49" t="n"/>
      <c r="D93" s="49" t="n"/>
      <c r="E93" s="49" t="n"/>
      <c r="F93" s="49" t="n"/>
      <c r="G93" s="49" t="n"/>
      <c r="H93" s="49" t="n"/>
      <c r="I93" s="49" t="n"/>
      <c r="J93" s="49" t="n"/>
      <c r="K93" s="49" t="n"/>
      <c r="L93" s="49" t="n"/>
      <c r="M93" s="49" t="n"/>
    </row>
    <row r="94">
      <c r="B94" s="49" t="n"/>
      <c r="C94" s="49" t="n"/>
      <c r="D94" s="49" t="n"/>
      <c r="E94" s="49" t="n"/>
      <c r="F94" s="49" t="n"/>
      <c r="G94" s="49" t="n"/>
      <c r="H94" s="49" t="n"/>
      <c r="I94" s="49" t="n"/>
      <c r="J94" s="49" t="n"/>
      <c r="K94" s="49" t="n"/>
      <c r="L94" s="49" t="n"/>
      <c r="M94" s="49" t="n"/>
    </row>
    <row r="95">
      <c r="B95" s="49" t="n"/>
      <c r="C95" s="49" t="n"/>
      <c r="D95" s="49" t="n"/>
      <c r="E95" s="49" t="n"/>
      <c r="F95" s="49" t="n"/>
      <c r="G95" s="49" t="n"/>
      <c r="H95" s="49" t="n"/>
      <c r="I95" s="49" t="n"/>
      <c r="J95" s="49" t="n"/>
      <c r="K95" s="49" t="n"/>
      <c r="L95" s="49" t="n"/>
      <c r="M95" s="49" t="n"/>
    </row>
    <row r="96">
      <c r="B96" s="49" t="n"/>
      <c r="C96" s="49" t="n"/>
      <c r="D96" s="49" t="n"/>
      <c r="E96" s="49" t="n"/>
      <c r="F96" s="49" t="n"/>
      <c r="G96" s="49" t="n"/>
      <c r="H96" s="49" t="n"/>
      <c r="I96" s="49" t="n"/>
      <c r="J96" s="49" t="n"/>
      <c r="K96" s="49" t="n"/>
      <c r="L96" s="49" t="n"/>
      <c r="M96" s="49" t="n"/>
    </row>
    <row r="97">
      <c r="B97" s="49" t="n"/>
      <c r="C97" s="49" t="n"/>
      <c r="D97" s="49" t="n"/>
      <c r="E97" s="49" t="n"/>
      <c r="F97" s="49" t="n"/>
      <c r="G97" s="49" t="n"/>
      <c r="H97" s="49" t="n"/>
      <c r="I97" s="49" t="n"/>
      <c r="J97" s="49" t="n"/>
      <c r="K97" s="49" t="n"/>
      <c r="L97" s="49" t="n"/>
      <c r="M97" s="49" t="n"/>
    </row>
    <row r="98">
      <c r="B98" s="49" t="n"/>
      <c r="C98" s="49" t="n"/>
      <c r="D98" s="49" t="n"/>
      <c r="E98" s="49" t="n"/>
      <c r="F98" s="49" t="n"/>
      <c r="G98" s="49" t="n"/>
      <c r="H98" s="49" t="n"/>
      <c r="I98" s="49" t="n"/>
      <c r="J98" s="49" t="n"/>
      <c r="K98" s="49" t="n"/>
      <c r="L98" s="49" t="n"/>
      <c r="M98" s="49" t="n"/>
    </row>
    <row r="99">
      <c r="B99" s="49" t="n"/>
      <c r="C99" s="49" t="n"/>
      <c r="D99" s="49" t="n"/>
      <c r="E99" s="49" t="n"/>
      <c r="F99" s="49" t="n"/>
      <c r="G99" s="49" t="n"/>
      <c r="H99" s="49" t="n"/>
      <c r="I99" s="49" t="n"/>
      <c r="J99" s="49" t="n"/>
      <c r="K99" s="49" t="n"/>
      <c r="L99" s="49" t="n"/>
      <c r="M99" s="49" t="n"/>
    </row>
    <row r="100">
      <c r="B100" s="49" t="n"/>
      <c r="C100" s="49" t="n"/>
      <c r="D100" s="49" t="n"/>
      <c r="E100" s="49" t="n"/>
      <c r="F100" s="49" t="n"/>
      <c r="G100" s="49" t="n"/>
      <c r="H100" s="49" t="n"/>
      <c r="I100" s="49" t="n"/>
      <c r="J100" s="49" t="n"/>
      <c r="K100" s="49" t="n"/>
      <c r="L100" s="49" t="n"/>
      <c r="M100" s="49" t="n"/>
    </row>
    <row r="101">
      <c r="B101" s="49" t="n"/>
      <c r="C101" s="49" t="n"/>
      <c r="D101" s="49" t="n"/>
      <c r="E101" s="49" t="n"/>
      <c r="F101" s="49" t="n"/>
      <c r="G101" s="49" t="n"/>
      <c r="H101" s="49" t="n"/>
      <c r="I101" s="49" t="n"/>
      <c r="J101" s="49" t="n"/>
      <c r="K101" s="49" t="n"/>
      <c r="L101" s="49" t="n"/>
      <c r="M101" s="49" t="n"/>
    </row>
    <row r="102">
      <c r="B102" s="49" t="n"/>
      <c r="C102" s="49" t="n"/>
      <c r="D102" s="49" t="n"/>
      <c r="E102" s="49" t="n"/>
      <c r="F102" s="49" t="n"/>
      <c r="G102" s="49" t="n"/>
      <c r="H102" s="49" t="n"/>
      <c r="I102" s="49" t="n"/>
      <c r="J102" s="49" t="n"/>
      <c r="K102" s="49" t="n"/>
      <c r="L102" s="49" t="n"/>
      <c r="M102" s="49" t="n"/>
    </row>
    <row r="103">
      <c r="B103" s="49" t="n"/>
      <c r="C103" s="49" t="n"/>
      <c r="D103" s="49" t="n"/>
      <c r="E103" s="49" t="n"/>
      <c r="F103" s="49" t="n"/>
      <c r="G103" s="49" t="n"/>
      <c r="H103" s="49" t="n"/>
      <c r="I103" s="49" t="n"/>
      <c r="J103" s="49" t="n"/>
      <c r="K103" s="49" t="n"/>
      <c r="L103" s="49" t="n"/>
      <c r="M103" s="49" t="n"/>
    </row>
    <row r="104">
      <c r="B104" s="49" t="n"/>
      <c r="C104" s="49" t="n"/>
      <c r="D104" s="49" t="n"/>
      <c r="E104" s="49" t="n"/>
      <c r="F104" s="49" t="n"/>
      <c r="G104" s="49" t="n"/>
      <c r="H104" s="49" t="n"/>
      <c r="I104" s="49" t="n"/>
      <c r="J104" s="49" t="n"/>
      <c r="K104" s="49" t="n"/>
      <c r="L104" s="49" t="n"/>
      <c r="M104" s="49" t="n"/>
    </row>
    <row r="105">
      <c r="B105" s="49" t="n"/>
      <c r="C105" s="49" t="n"/>
      <c r="D105" s="49" t="n"/>
      <c r="E105" s="49" t="n"/>
      <c r="F105" s="49" t="n"/>
      <c r="G105" s="49" t="n"/>
      <c r="H105" s="49" t="n"/>
      <c r="I105" s="49" t="n"/>
      <c r="J105" s="49" t="n"/>
      <c r="K105" s="49" t="n"/>
      <c r="L105" s="49" t="n"/>
      <c r="M105" s="49" t="n"/>
    </row>
    <row r="106">
      <c r="B106" s="49" t="n"/>
      <c r="C106" s="49" t="n"/>
      <c r="D106" s="49" t="n"/>
      <c r="E106" s="49" t="n"/>
      <c r="F106" s="49" t="n"/>
      <c r="G106" s="49" t="n"/>
      <c r="H106" s="49" t="n"/>
      <c r="I106" s="49" t="n"/>
      <c r="J106" s="49" t="n"/>
      <c r="K106" s="49" t="n"/>
      <c r="L106" s="49" t="n"/>
      <c r="M106" s="49" t="n"/>
    </row>
    <row r="107">
      <c r="B107" s="49" t="n"/>
      <c r="C107" s="49" t="n"/>
      <c r="D107" s="49" t="n"/>
      <c r="E107" s="49" t="n"/>
      <c r="F107" s="49" t="n"/>
      <c r="G107" s="49" t="n"/>
      <c r="H107" s="49" t="n"/>
      <c r="I107" s="49" t="n"/>
      <c r="J107" s="49" t="n"/>
      <c r="K107" s="49" t="n"/>
      <c r="L107" s="49" t="n"/>
      <c r="M107" s="49" t="n"/>
    </row>
    <row r="108">
      <c r="B108" s="49" t="n"/>
      <c r="C108" s="49" t="n"/>
      <c r="D108" s="49" t="n"/>
      <c r="E108" s="49" t="n"/>
      <c r="F108" s="49" t="n"/>
      <c r="G108" s="49" t="n"/>
      <c r="H108" s="49" t="n"/>
      <c r="I108" s="49" t="n"/>
      <c r="J108" s="49" t="n"/>
      <c r="K108" s="49" t="n"/>
      <c r="L108" s="49" t="n"/>
      <c r="M108" s="49" t="n"/>
    </row>
    <row r="109">
      <c r="B109" s="49" t="n"/>
      <c r="C109" s="49" t="n"/>
      <c r="D109" s="49" t="n"/>
      <c r="E109" s="49" t="n"/>
      <c r="F109" s="49" t="n"/>
      <c r="G109" s="49" t="n"/>
      <c r="H109" s="49" t="n"/>
      <c r="I109" s="49" t="n"/>
      <c r="J109" s="49" t="n"/>
      <c r="K109" s="49" t="n"/>
      <c r="L109" s="49" t="n"/>
      <c r="M109" s="49" t="n"/>
    </row>
    <row r="110">
      <c r="B110" s="49" t="n"/>
      <c r="C110" s="49" t="n"/>
      <c r="D110" s="49" t="n"/>
      <c r="E110" s="49" t="n"/>
      <c r="F110" s="49" t="n"/>
      <c r="G110" s="49" t="n"/>
      <c r="H110" s="49" t="n"/>
      <c r="I110" s="49" t="n"/>
      <c r="J110" s="49" t="n"/>
      <c r="K110" s="49" t="n"/>
      <c r="L110" s="49" t="n"/>
      <c r="M110" s="49" t="n"/>
    </row>
    <row r="111">
      <c r="B111" s="49" t="n"/>
      <c r="C111" s="49" t="n"/>
      <c r="D111" s="49" t="n"/>
      <c r="E111" s="49" t="n"/>
      <c r="F111" s="49" t="n"/>
      <c r="G111" s="49" t="n"/>
      <c r="H111" s="49" t="n"/>
      <c r="I111" s="49" t="n"/>
      <c r="J111" s="49" t="n"/>
      <c r="K111" s="49" t="n"/>
      <c r="L111" s="49" t="n"/>
      <c r="M111" s="49" t="n"/>
    </row>
    <row r="112">
      <c r="B112" s="49" t="n"/>
      <c r="C112" s="49" t="n"/>
      <c r="D112" s="49" t="n"/>
      <c r="E112" s="49" t="n"/>
      <c r="F112" s="49" t="n"/>
      <c r="G112" s="49" t="n"/>
      <c r="H112" s="49" t="n"/>
      <c r="I112" s="49" t="n"/>
      <c r="J112" s="49" t="n"/>
      <c r="K112" s="49" t="n"/>
      <c r="L112" s="49" t="n"/>
      <c r="M112" s="49" t="n"/>
    </row>
    <row r="113">
      <c r="B113" s="49" t="n"/>
      <c r="C113" s="49" t="n"/>
      <c r="D113" s="49" t="n"/>
      <c r="E113" s="49" t="n"/>
      <c r="F113" s="49" t="n"/>
      <c r="G113" s="49" t="n"/>
      <c r="H113" s="49" t="n"/>
      <c r="I113" s="49" t="n"/>
      <c r="J113" s="49" t="n"/>
      <c r="K113" s="49" t="n"/>
      <c r="L113" s="49" t="n"/>
      <c r="M113" s="49" t="n"/>
    </row>
    <row r="114">
      <c r="B114" s="49" t="n"/>
      <c r="C114" s="49" t="n"/>
      <c r="D114" s="49" t="n"/>
      <c r="E114" s="49" t="n"/>
      <c r="F114" s="49" t="n"/>
      <c r="G114" s="49" t="n"/>
      <c r="H114" s="49" t="n"/>
      <c r="I114" s="49" t="n"/>
      <c r="J114" s="49" t="n"/>
      <c r="K114" s="49" t="n"/>
      <c r="L114" s="49" t="n"/>
      <c r="M114" s="49" t="n"/>
    </row>
    <row r="115">
      <c r="B115" s="49" t="n"/>
      <c r="C115" s="49" t="n"/>
      <c r="D115" s="49" t="n"/>
      <c r="E115" s="49" t="n"/>
      <c r="F115" s="49" t="n"/>
      <c r="G115" s="49" t="n"/>
      <c r="H115" s="49" t="n"/>
      <c r="I115" s="49" t="n"/>
      <c r="J115" s="49" t="n"/>
      <c r="K115" s="49" t="n"/>
      <c r="L115" s="49" t="n"/>
      <c r="M115" s="49" t="n"/>
    </row>
    <row r="116">
      <c r="B116" s="49" t="n"/>
      <c r="C116" s="49" t="n"/>
      <c r="D116" s="49" t="n"/>
      <c r="E116" s="49" t="n"/>
      <c r="F116" s="49" t="n"/>
      <c r="G116" s="49" t="n"/>
      <c r="H116" s="49" t="n"/>
      <c r="I116" s="49" t="n"/>
      <c r="J116" s="49" t="n"/>
      <c r="K116" s="49" t="n"/>
      <c r="L116" s="49" t="n"/>
      <c r="M116" s="49" t="n"/>
    </row>
    <row r="117">
      <c r="B117" s="49" t="n"/>
      <c r="C117" s="49" t="n"/>
      <c r="D117" s="49" t="n"/>
      <c r="E117" s="49" t="n"/>
      <c r="F117" s="49" t="n"/>
      <c r="G117" s="49" t="n"/>
      <c r="H117" s="49" t="n"/>
      <c r="I117" s="49" t="n"/>
      <c r="J117" s="49" t="n"/>
      <c r="K117" s="49" t="n"/>
      <c r="L117" s="49" t="n"/>
      <c r="M117" s="49" t="n"/>
    </row>
    <row r="118">
      <c r="B118" s="49" t="n"/>
      <c r="C118" s="49" t="n"/>
      <c r="D118" s="49" t="n"/>
      <c r="E118" s="49" t="n"/>
      <c r="F118" s="49" t="n"/>
      <c r="G118" s="49" t="n"/>
      <c r="H118" s="49" t="n"/>
      <c r="I118" s="49" t="n"/>
      <c r="J118" s="49" t="n"/>
      <c r="K118" s="49" t="n"/>
      <c r="L118" s="49" t="n"/>
      <c r="M118" s="49" t="n"/>
    </row>
    <row r="119">
      <c r="B119" s="49" t="n"/>
      <c r="C119" s="49" t="n"/>
      <c r="D119" s="49" t="n"/>
      <c r="E119" s="49" t="n"/>
      <c r="F119" s="49" t="n"/>
      <c r="G119" s="49" t="n"/>
      <c r="H119" s="49" t="n"/>
      <c r="I119" s="49" t="n"/>
      <c r="J119" s="49" t="n"/>
      <c r="K119" s="49" t="n"/>
      <c r="L119" s="49" t="n"/>
      <c r="M119" s="49" t="n"/>
    </row>
    <row r="120">
      <c r="B120" s="49" t="n"/>
      <c r="C120" s="49" t="n"/>
      <c r="D120" s="49" t="n"/>
      <c r="E120" s="49" t="n"/>
      <c r="F120" s="49" t="n"/>
      <c r="G120" s="49" t="n"/>
      <c r="H120" s="49" t="n"/>
      <c r="I120" s="49" t="n"/>
      <c r="J120" s="49" t="n"/>
      <c r="K120" s="49" t="n"/>
      <c r="L120" s="49" t="n"/>
      <c r="M120" s="49" t="n"/>
    </row>
    <row r="121">
      <c r="B121" s="49" t="n"/>
      <c r="C121" s="49" t="n"/>
      <c r="D121" s="49" t="n"/>
      <c r="E121" s="49" t="n"/>
      <c r="F121" s="49" t="n"/>
      <c r="G121" s="49" t="n"/>
      <c r="H121" s="49" t="n"/>
      <c r="I121" s="49" t="n"/>
      <c r="J121" s="49" t="n"/>
      <c r="K121" s="49" t="n"/>
      <c r="L121" s="49" t="n"/>
      <c r="M121" s="49" t="n"/>
    </row>
    <row r="122">
      <c r="B122" s="49" t="n"/>
      <c r="C122" s="49" t="n"/>
      <c r="D122" s="49" t="n"/>
      <c r="E122" s="49" t="n"/>
      <c r="F122" s="49" t="n"/>
      <c r="G122" s="49" t="n"/>
      <c r="H122" s="49" t="n"/>
      <c r="I122" s="49" t="n"/>
      <c r="J122" s="49" t="n"/>
      <c r="K122" s="49" t="n"/>
      <c r="L122" s="49" t="n"/>
      <c r="M122" s="49" t="n"/>
    </row>
    <row r="123">
      <c r="B123" s="49" t="n"/>
      <c r="C123" s="49" t="n"/>
      <c r="D123" s="49" t="n"/>
      <c r="E123" s="49" t="n"/>
      <c r="F123" s="49" t="n"/>
      <c r="G123" s="49" t="n"/>
      <c r="H123" s="49" t="n"/>
      <c r="I123" s="49" t="n"/>
      <c r="J123" s="49" t="n"/>
      <c r="K123" s="49" t="n"/>
      <c r="L123" s="49" t="n"/>
      <c r="M123" s="49" t="n"/>
    </row>
    <row r="124">
      <c r="B124" s="49" t="n"/>
      <c r="C124" s="49" t="n"/>
      <c r="D124" s="49" t="n"/>
      <c r="E124" s="49" t="n"/>
      <c r="F124" s="49" t="n"/>
      <c r="G124" s="49" t="n"/>
      <c r="H124" s="49" t="n"/>
      <c r="I124" s="49" t="n"/>
      <c r="J124" s="49" t="n"/>
      <c r="K124" s="49" t="n"/>
      <c r="L124" s="49" t="n"/>
      <c r="M124" s="49" t="n"/>
    </row>
    <row r="125">
      <c r="B125" s="49" t="n"/>
      <c r="C125" s="49" t="n"/>
      <c r="D125" s="49" t="n"/>
      <c r="E125" s="49" t="n"/>
      <c r="F125" s="49" t="n"/>
      <c r="G125" s="49" t="n"/>
      <c r="H125" s="49" t="n"/>
      <c r="I125" s="49" t="n"/>
      <c r="J125" s="49" t="n"/>
      <c r="K125" s="49" t="n"/>
      <c r="L125" s="49" t="n"/>
      <c r="M125" s="49" t="n"/>
    </row>
    <row r="126">
      <c r="B126" s="49" t="n"/>
      <c r="C126" s="49" t="n"/>
      <c r="D126" s="49" t="n"/>
      <c r="E126" s="49" t="n"/>
      <c r="F126" s="49" t="n"/>
      <c r="G126" s="49" t="n"/>
      <c r="H126" s="49" t="n"/>
      <c r="I126" s="49" t="n"/>
      <c r="J126" s="49" t="n"/>
      <c r="K126" s="49" t="n"/>
      <c r="L126" s="49" t="n"/>
      <c r="M126" s="49" t="n"/>
    </row>
    <row r="127">
      <c r="B127" s="49" t="n"/>
      <c r="C127" s="49" t="n"/>
      <c r="D127" s="49" t="n"/>
      <c r="E127" s="49" t="n"/>
      <c r="F127" s="49" t="n"/>
      <c r="G127" s="49" t="n"/>
      <c r="H127" s="49" t="n"/>
      <c r="I127" s="49" t="n"/>
      <c r="J127" s="49" t="n"/>
      <c r="K127" s="49" t="n"/>
      <c r="L127" s="49" t="n"/>
      <c r="M127" s="49" t="n"/>
    </row>
    <row r="128">
      <c r="B128" s="49" t="n"/>
      <c r="C128" s="49" t="n"/>
      <c r="D128" s="49" t="n"/>
      <c r="E128" s="49" t="n"/>
      <c r="F128" s="49" t="n"/>
      <c r="G128" s="49" t="n"/>
      <c r="H128" s="49" t="n"/>
      <c r="I128" s="49" t="n"/>
      <c r="J128" s="49" t="n"/>
      <c r="K128" s="49" t="n"/>
      <c r="L128" s="49" t="n"/>
      <c r="M128" s="49" t="n"/>
    </row>
    <row r="129">
      <c r="B129" s="49" t="n"/>
      <c r="C129" s="49" t="n"/>
      <c r="D129" s="49" t="n"/>
      <c r="E129" s="49" t="n"/>
      <c r="F129" s="49" t="n"/>
      <c r="G129" s="49" t="n"/>
      <c r="H129" s="49" t="n"/>
      <c r="I129" s="49" t="n"/>
      <c r="J129" s="49" t="n"/>
      <c r="K129" s="49" t="n"/>
      <c r="L129" s="49" t="n"/>
      <c r="M129" s="49" t="n"/>
    </row>
    <row r="130">
      <c r="B130" s="49" t="n"/>
      <c r="C130" s="49" t="n"/>
      <c r="D130" s="49" t="n"/>
      <c r="E130" s="49" t="n"/>
      <c r="F130" s="49" t="n"/>
      <c r="G130" s="49" t="n"/>
      <c r="H130" s="49" t="n"/>
      <c r="I130" s="49" t="n"/>
      <c r="J130" s="49" t="n"/>
      <c r="K130" s="49" t="n"/>
      <c r="L130" s="49" t="n"/>
      <c r="M130" s="49" t="n"/>
    </row>
    <row r="131">
      <c r="B131" s="49" t="n"/>
      <c r="C131" s="49" t="n"/>
      <c r="D131" s="49" t="n"/>
      <c r="E131" s="49" t="n"/>
      <c r="F131" s="49" t="n"/>
      <c r="G131" s="49" t="n"/>
      <c r="H131" s="49" t="n"/>
      <c r="I131" s="49" t="n"/>
      <c r="J131" s="49" t="n"/>
      <c r="K131" s="49" t="n"/>
      <c r="L131" s="49" t="n"/>
      <c r="M131" s="49" t="n"/>
    </row>
    <row r="132">
      <c r="B132" s="49" t="n"/>
      <c r="C132" s="49" t="n"/>
      <c r="D132" s="49" t="n"/>
      <c r="E132" s="49" t="n"/>
      <c r="F132" s="49" t="n"/>
      <c r="G132" s="49" t="n"/>
      <c r="H132" s="49" t="n"/>
      <c r="I132" s="49" t="n"/>
      <c r="J132" s="49" t="n"/>
      <c r="K132" s="49" t="n"/>
      <c r="L132" s="49" t="n"/>
      <c r="M132" s="49" t="n"/>
    </row>
    <row r="133">
      <c r="B133" s="49" t="n"/>
      <c r="C133" s="49" t="n"/>
      <c r="D133" s="49" t="n"/>
      <c r="E133" s="49" t="n"/>
      <c r="F133" s="49" t="n"/>
      <c r="G133" s="49" t="n"/>
      <c r="H133" s="49" t="n"/>
      <c r="I133" s="49" t="n"/>
      <c r="J133" s="49" t="n"/>
      <c r="K133" s="49" t="n"/>
      <c r="L133" s="49" t="n"/>
      <c r="M133" s="49" t="n"/>
    </row>
    <row r="134">
      <c r="B134" s="49" t="n"/>
      <c r="C134" s="49" t="n"/>
      <c r="D134" s="49" t="n"/>
      <c r="E134" s="49" t="n"/>
      <c r="F134" s="49" t="n"/>
      <c r="G134" s="49" t="n"/>
      <c r="H134" s="49" t="n"/>
      <c r="I134" s="49" t="n"/>
      <c r="J134" s="49" t="n"/>
      <c r="K134" s="49" t="n"/>
      <c r="L134" s="49" t="n"/>
      <c r="M134" s="49" t="n"/>
    </row>
    <row r="135">
      <c r="B135" s="49" t="n"/>
      <c r="C135" s="49" t="n"/>
      <c r="D135" s="49" t="n"/>
      <c r="E135" s="49" t="n"/>
      <c r="F135" s="49" t="n"/>
      <c r="G135" s="49" t="n"/>
      <c r="H135" s="49" t="n"/>
      <c r="I135" s="49" t="n"/>
      <c r="J135" s="49" t="n"/>
      <c r="K135" s="49" t="n"/>
      <c r="L135" s="49" t="n"/>
      <c r="M135" s="49" t="n"/>
    </row>
    <row r="136">
      <c r="B136" s="49" t="n"/>
      <c r="C136" s="49" t="n"/>
      <c r="D136" s="49" t="n"/>
      <c r="E136" s="49" t="n"/>
      <c r="F136" s="49" t="n"/>
      <c r="G136" s="49" t="n"/>
      <c r="H136" s="49" t="n"/>
      <c r="I136" s="49" t="n"/>
      <c r="J136" s="49" t="n"/>
      <c r="K136" s="49" t="n"/>
      <c r="L136" s="49" t="n"/>
      <c r="M136" s="49" t="n"/>
    </row>
    <row r="137">
      <c r="B137" s="49" t="n"/>
      <c r="C137" s="49" t="n"/>
      <c r="D137" s="49" t="n"/>
      <c r="E137" s="49" t="n"/>
      <c r="F137" s="49" t="n"/>
      <c r="G137" s="49" t="n"/>
      <c r="H137" s="49" t="n"/>
      <c r="I137" s="49" t="n"/>
      <c r="J137" s="49" t="n"/>
      <c r="K137" s="49" t="n"/>
      <c r="L137" s="49" t="n"/>
      <c r="M137" s="49" t="n"/>
    </row>
    <row r="138">
      <c r="B138" s="49" t="n"/>
      <c r="C138" s="49" t="n"/>
      <c r="D138" s="49" t="n"/>
      <c r="E138" s="49" t="n"/>
      <c r="F138" s="49" t="n"/>
      <c r="G138" s="49" t="n"/>
      <c r="H138" s="49" t="n"/>
      <c r="I138" s="49" t="n"/>
      <c r="J138" s="49" t="n"/>
      <c r="K138" s="49" t="n"/>
      <c r="L138" s="49" t="n"/>
      <c r="M138" s="49" t="n"/>
    </row>
    <row r="139">
      <c r="B139" s="49" t="n"/>
      <c r="C139" s="49" t="n"/>
      <c r="D139" s="49" t="n"/>
      <c r="E139" s="49" t="n"/>
      <c r="F139" s="49" t="n"/>
      <c r="G139" s="49" t="n"/>
      <c r="H139" s="49" t="n"/>
      <c r="I139" s="49" t="n"/>
      <c r="J139" s="49" t="n"/>
      <c r="K139" s="49" t="n"/>
      <c r="L139" s="49" t="n"/>
      <c r="M139" s="49" t="n"/>
    </row>
    <row r="140">
      <c r="B140" s="49" t="n"/>
      <c r="C140" s="49" t="n"/>
      <c r="D140" s="49" t="n"/>
      <c r="E140" s="49" t="n"/>
      <c r="F140" s="49" t="n"/>
      <c r="G140" s="49" t="n"/>
      <c r="H140" s="49" t="n"/>
      <c r="I140" s="49" t="n"/>
      <c r="J140" s="49" t="n"/>
      <c r="K140" s="49" t="n"/>
      <c r="L140" s="49" t="n"/>
      <c r="M140" s="49" t="n"/>
    </row>
    <row r="141">
      <c r="B141" s="49" t="n"/>
      <c r="C141" s="49" t="n"/>
      <c r="D141" s="49" t="n"/>
      <c r="E141" s="49" t="n"/>
      <c r="F141" s="49" t="n"/>
      <c r="G141" s="49" t="n"/>
      <c r="H141" s="49" t="n"/>
      <c r="I141" s="49" t="n"/>
      <c r="J141" s="49" t="n"/>
      <c r="K141" s="49" t="n"/>
      <c r="L141" s="49" t="n"/>
      <c r="M141" s="49" t="n"/>
    </row>
    <row r="142">
      <c r="B142" s="49" t="n"/>
      <c r="C142" s="49" t="n"/>
      <c r="D142" s="49" t="n"/>
      <c r="E142" s="49" t="n"/>
      <c r="F142" s="49" t="n"/>
      <c r="G142" s="49" t="n"/>
      <c r="H142" s="49" t="n"/>
      <c r="I142" s="49" t="n"/>
      <c r="J142" s="49" t="n"/>
      <c r="K142" s="49" t="n"/>
      <c r="L142" s="49" t="n"/>
      <c r="M142" s="49" t="n"/>
    </row>
    <row r="143">
      <c r="B143" s="49" t="n"/>
      <c r="C143" s="49" t="n"/>
      <c r="D143" s="49" t="n"/>
      <c r="E143" s="49" t="n"/>
      <c r="F143" s="49" t="n"/>
      <c r="G143" s="49" t="n"/>
      <c r="H143" s="49" t="n"/>
      <c r="I143" s="49" t="n"/>
      <c r="J143" s="49" t="n"/>
      <c r="K143" s="49" t="n"/>
      <c r="L143" s="49" t="n"/>
      <c r="M143" s="49" t="n"/>
    </row>
    <row r="144">
      <c r="B144" s="49" t="n"/>
      <c r="C144" s="49" t="n"/>
      <c r="D144" s="49" t="n"/>
      <c r="E144" s="49" t="n"/>
      <c r="F144" s="49" t="n"/>
      <c r="G144" s="49" t="n"/>
      <c r="H144" s="49" t="n"/>
      <c r="I144" s="49" t="n"/>
      <c r="J144" s="49" t="n"/>
      <c r="K144" s="49" t="n"/>
      <c r="L144" s="49" t="n"/>
      <c r="M144" s="49" t="n"/>
    </row>
    <row r="145">
      <c r="B145" s="49" t="n"/>
      <c r="C145" s="49" t="n"/>
      <c r="D145" s="49" t="n"/>
      <c r="E145" s="49" t="n"/>
      <c r="F145" s="49" t="n"/>
      <c r="G145" s="49" t="n"/>
      <c r="H145" s="49" t="n"/>
      <c r="I145" s="49" t="n"/>
      <c r="J145" s="49" t="n"/>
      <c r="K145" s="49" t="n"/>
      <c r="L145" s="49" t="n"/>
      <c r="M145" s="49" t="n"/>
    </row>
    <row r="146">
      <c r="B146" s="49" t="n"/>
      <c r="C146" s="49" t="n"/>
      <c r="D146" s="49" t="n"/>
      <c r="E146" s="49" t="n"/>
      <c r="F146" s="49" t="n"/>
      <c r="G146" s="49" t="n"/>
      <c r="H146" s="49" t="n"/>
      <c r="I146" s="49" t="n"/>
      <c r="J146" s="49" t="n"/>
      <c r="K146" s="49" t="n"/>
      <c r="L146" s="49" t="n"/>
      <c r="M146" s="49" t="n"/>
    </row>
    <row r="147">
      <c r="B147" s="49" t="n"/>
      <c r="C147" s="49" t="n"/>
      <c r="D147" s="49" t="n"/>
      <c r="E147" s="49" t="n"/>
      <c r="F147" s="49" t="n"/>
      <c r="G147" s="49" t="n"/>
      <c r="H147" s="49" t="n"/>
      <c r="I147" s="49" t="n"/>
      <c r="J147" s="49" t="n"/>
      <c r="K147" s="49" t="n"/>
      <c r="L147" s="49" t="n"/>
      <c r="M147" s="49" t="n"/>
    </row>
    <row r="148">
      <c r="B148" s="49" t="n"/>
      <c r="C148" s="49" t="n"/>
      <c r="D148" s="49" t="n"/>
      <c r="E148" s="49" t="n"/>
      <c r="F148" s="49" t="n"/>
      <c r="G148" s="49" t="n"/>
      <c r="H148" s="49" t="n"/>
      <c r="I148" s="49" t="n"/>
      <c r="J148" s="49" t="n"/>
      <c r="K148" s="49" t="n"/>
      <c r="L148" s="49" t="n"/>
      <c r="M148" s="49" t="n"/>
    </row>
    <row r="149">
      <c r="B149" s="49" t="n"/>
      <c r="C149" s="49" t="n"/>
      <c r="D149" s="49" t="n"/>
      <c r="E149" s="49" t="n"/>
      <c r="F149" s="49" t="n"/>
      <c r="G149" s="49" t="n"/>
      <c r="H149" s="49" t="n"/>
      <c r="I149" s="49" t="n"/>
      <c r="J149" s="49" t="n"/>
      <c r="K149" s="49" t="n"/>
      <c r="L149" s="49" t="n"/>
      <c r="M149" s="49" t="n"/>
    </row>
    <row r="150">
      <c r="B150" s="49" t="n"/>
      <c r="C150" s="49" t="n"/>
      <c r="D150" s="49" t="n"/>
      <c r="E150" s="49" t="n"/>
      <c r="F150" s="49" t="n"/>
      <c r="G150" s="49" t="n"/>
      <c r="H150" s="49" t="n"/>
      <c r="I150" s="49" t="n"/>
      <c r="J150" s="49" t="n"/>
      <c r="K150" s="49" t="n"/>
      <c r="L150" s="49" t="n"/>
      <c r="M150" s="49" t="n"/>
    </row>
    <row r="151">
      <c r="B151" s="49" t="n"/>
      <c r="C151" s="49" t="n"/>
      <c r="D151" s="49" t="n"/>
      <c r="E151" s="49" t="n"/>
      <c r="F151" s="49" t="n"/>
      <c r="G151" s="49" t="n"/>
      <c r="H151" s="49" t="n"/>
      <c r="I151" s="49" t="n"/>
      <c r="J151" s="49" t="n"/>
      <c r="K151" s="49" t="n"/>
      <c r="L151" s="49" t="n"/>
      <c r="M151" s="49" t="n"/>
    </row>
    <row r="152">
      <c r="B152" s="49" t="n"/>
      <c r="C152" s="49" t="n"/>
      <c r="D152" s="49" t="n"/>
      <c r="E152" s="49" t="n"/>
      <c r="F152" s="49" t="n"/>
      <c r="G152" s="49" t="n"/>
      <c r="H152" s="49" t="n"/>
      <c r="I152" s="49" t="n"/>
      <c r="J152" s="49" t="n"/>
      <c r="K152" s="49" t="n"/>
      <c r="L152" s="49" t="n"/>
      <c r="M152" s="49" t="n"/>
    </row>
    <row r="153">
      <c r="B153" s="49" t="n"/>
      <c r="C153" s="49" t="n"/>
      <c r="D153" s="49" t="n"/>
      <c r="E153" s="49" t="n"/>
      <c r="F153" s="49" t="n"/>
      <c r="G153" s="49" t="n"/>
      <c r="H153" s="49" t="n"/>
      <c r="I153" s="49" t="n"/>
      <c r="J153" s="49" t="n"/>
      <c r="K153" s="49" t="n"/>
      <c r="L153" s="49" t="n"/>
      <c r="M153" s="49" t="n"/>
    </row>
    <row r="154">
      <c r="B154" s="49" t="n"/>
      <c r="C154" s="49" t="n"/>
      <c r="D154" s="49" t="n"/>
      <c r="E154" s="49" t="n"/>
      <c r="F154" s="49" t="n"/>
      <c r="G154" s="49" t="n"/>
      <c r="H154" s="49" t="n"/>
      <c r="I154" s="49" t="n"/>
      <c r="J154" s="49" t="n"/>
      <c r="K154" s="49" t="n"/>
      <c r="L154" s="49" t="n"/>
      <c r="M154" s="49" t="n"/>
    </row>
    <row r="155">
      <c r="B155" s="49" t="n"/>
      <c r="C155" s="49" t="n"/>
      <c r="D155" s="49" t="n"/>
      <c r="E155" s="49" t="n"/>
      <c r="F155" s="49" t="n"/>
      <c r="G155" s="49" t="n"/>
      <c r="H155" s="49" t="n"/>
      <c r="I155" s="49" t="n"/>
      <c r="J155" s="49" t="n"/>
      <c r="K155" s="49" t="n"/>
      <c r="L155" s="49" t="n"/>
      <c r="M155" s="49" t="n"/>
    </row>
    <row r="156">
      <c r="B156" s="49" t="n"/>
      <c r="C156" s="49" t="n"/>
      <c r="D156" s="49" t="n"/>
      <c r="E156" s="49" t="n"/>
      <c r="F156" s="49" t="n"/>
      <c r="G156" s="49" t="n"/>
      <c r="H156" s="49" t="n"/>
      <c r="I156" s="49" t="n"/>
      <c r="J156" s="49" t="n"/>
      <c r="K156" s="49" t="n"/>
      <c r="L156" s="49" t="n"/>
      <c r="M156" s="49" t="n"/>
    </row>
    <row r="157">
      <c r="B157" s="49" t="n"/>
      <c r="C157" s="49" t="n"/>
      <c r="D157" s="49" t="n"/>
      <c r="E157" s="49" t="n"/>
      <c r="F157" s="49" t="n"/>
      <c r="G157" s="49" t="n"/>
      <c r="H157" s="49" t="n"/>
      <c r="I157" s="49" t="n"/>
      <c r="J157" s="49" t="n"/>
      <c r="K157" s="49" t="n"/>
      <c r="L157" s="49" t="n"/>
      <c r="M157" s="49" t="n"/>
    </row>
    <row r="158">
      <c r="B158" s="49" t="n"/>
      <c r="C158" s="49" t="n"/>
      <c r="D158" s="49" t="n"/>
      <c r="E158" s="49" t="n"/>
      <c r="F158" s="49" t="n"/>
      <c r="G158" s="49" t="n"/>
      <c r="H158" s="49" t="n"/>
      <c r="I158" s="49" t="n"/>
      <c r="J158" s="49" t="n"/>
      <c r="K158" s="49" t="n"/>
      <c r="L158" s="49" t="n"/>
      <c r="M158" s="49" t="n"/>
    </row>
    <row r="159">
      <c r="B159" s="49" t="n"/>
      <c r="C159" s="49" t="n"/>
      <c r="D159" s="49" t="n"/>
      <c r="E159" s="49" t="n"/>
      <c r="F159" s="49" t="n"/>
      <c r="G159" s="49" t="n"/>
      <c r="H159" s="49" t="n"/>
      <c r="I159" s="49" t="n"/>
      <c r="J159" s="49" t="n"/>
      <c r="K159" s="49" t="n"/>
      <c r="L159" s="49" t="n"/>
      <c r="M159" s="49" t="n"/>
    </row>
    <row r="160">
      <c r="B160" s="49" t="n"/>
      <c r="C160" s="49" t="n"/>
      <c r="D160" s="49" t="n"/>
      <c r="E160" s="49" t="n"/>
      <c r="F160" s="49" t="n"/>
      <c r="G160" s="49" t="n"/>
      <c r="H160" s="49" t="n"/>
      <c r="I160" s="49" t="n"/>
      <c r="J160" s="49" t="n"/>
      <c r="K160" s="49" t="n"/>
      <c r="L160" s="49" t="n"/>
      <c r="M160" s="49" t="n"/>
    </row>
    <row r="161">
      <c r="B161" s="49" t="n"/>
      <c r="C161" s="49" t="n"/>
      <c r="D161" s="49" t="n"/>
      <c r="E161" s="49" t="n"/>
      <c r="F161" s="49" t="n"/>
      <c r="G161" s="49" t="n"/>
      <c r="H161" s="49" t="n"/>
      <c r="I161" s="49" t="n"/>
      <c r="J161" s="49" t="n"/>
      <c r="K161" s="49" t="n"/>
      <c r="L161" s="49" t="n"/>
      <c r="M161" s="49" t="n"/>
    </row>
    <row r="162">
      <c r="B162" s="49" t="n"/>
      <c r="C162" s="49" t="n"/>
      <c r="D162" s="49" t="n"/>
      <c r="E162" s="49" t="n"/>
      <c r="F162" s="49" t="n"/>
      <c r="G162" s="49" t="n"/>
      <c r="H162" s="49" t="n"/>
      <c r="I162" s="49" t="n"/>
      <c r="J162" s="49" t="n"/>
      <c r="K162" s="49" t="n"/>
      <c r="L162" s="49" t="n"/>
      <c r="M162" s="49" t="n"/>
    </row>
    <row r="163">
      <c r="B163" s="49" t="n"/>
      <c r="C163" s="49" t="n"/>
      <c r="D163" s="49" t="n"/>
      <c r="E163" s="49" t="n"/>
      <c r="F163" s="49" t="n"/>
      <c r="G163" s="49" t="n"/>
      <c r="H163" s="49" t="n"/>
      <c r="I163" s="49" t="n"/>
      <c r="J163" s="49" t="n"/>
      <c r="K163" s="49" t="n"/>
      <c r="L163" s="49" t="n"/>
      <c r="M163" s="49" t="n"/>
    </row>
    <row r="164">
      <c r="B164" s="49" t="n"/>
      <c r="C164" s="49" t="n"/>
      <c r="D164" s="49" t="n"/>
      <c r="E164" s="49" t="n"/>
      <c r="F164" s="49" t="n"/>
      <c r="G164" s="49" t="n"/>
      <c r="H164" s="49" t="n"/>
      <c r="I164" s="49" t="n"/>
      <c r="J164" s="49" t="n"/>
      <c r="K164" s="49" t="n"/>
      <c r="L164" s="49" t="n"/>
      <c r="M164" s="49" t="n"/>
    </row>
    <row r="165">
      <c r="B165" s="49" t="n"/>
      <c r="C165" s="49" t="n"/>
      <c r="D165" s="49" t="n"/>
      <c r="E165" s="49" t="n"/>
      <c r="F165" s="49" t="n"/>
      <c r="G165" s="49" t="n"/>
      <c r="H165" s="49" t="n"/>
      <c r="I165" s="49" t="n"/>
      <c r="J165" s="49" t="n"/>
      <c r="K165" s="49" t="n"/>
      <c r="L165" s="49" t="n"/>
      <c r="M165" s="49" t="n"/>
    </row>
    <row r="166">
      <c r="B166" s="49" t="n"/>
      <c r="C166" s="49" t="n"/>
      <c r="D166" s="49" t="n"/>
      <c r="E166" s="49" t="n"/>
      <c r="F166" s="49" t="n"/>
      <c r="G166" s="49" t="n"/>
      <c r="H166" s="49" t="n"/>
      <c r="I166" s="49" t="n"/>
      <c r="J166" s="49" t="n"/>
      <c r="K166" s="49" t="n"/>
      <c r="L166" s="49" t="n"/>
      <c r="M166" s="49" t="n"/>
    </row>
    <row r="167">
      <c r="B167" s="49" t="n"/>
      <c r="C167" s="49" t="n"/>
      <c r="D167" s="49" t="n"/>
      <c r="E167" s="49" t="n"/>
      <c r="F167" s="49" t="n"/>
      <c r="G167" s="49" t="n"/>
      <c r="H167" s="49" t="n"/>
      <c r="I167" s="49" t="n"/>
      <c r="J167" s="49" t="n"/>
      <c r="K167" s="49" t="n"/>
      <c r="L167" s="49" t="n"/>
      <c r="M167" s="49" t="n"/>
    </row>
    <row r="168">
      <c r="B168" s="49" t="n"/>
      <c r="C168" s="49" t="n"/>
      <c r="D168" s="49" t="n"/>
      <c r="E168" s="49" t="n"/>
      <c r="F168" s="49" t="n"/>
      <c r="G168" s="49" t="n"/>
      <c r="H168" s="49" t="n"/>
      <c r="I168" s="49" t="n"/>
      <c r="J168" s="49" t="n"/>
      <c r="K168" s="49" t="n"/>
      <c r="L168" s="49" t="n"/>
      <c r="M168" s="49" t="n"/>
    </row>
    <row r="169">
      <c r="B169" s="49" t="n"/>
      <c r="C169" s="49" t="n"/>
      <c r="D169" s="49" t="n"/>
      <c r="E169" s="49" t="n"/>
      <c r="F169" s="49" t="n"/>
      <c r="G169" s="49" t="n"/>
      <c r="H169" s="49" t="n"/>
      <c r="I169" s="49" t="n"/>
      <c r="J169" s="49" t="n"/>
      <c r="K169" s="49" t="n"/>
      <c r="L169" s="49" t="n"/>
      <c r="M169" s="49" t="n"/>
    </row>
    <row r="170">
      <c r="B170" s="49" t="n"/>
      <c r="C170" s="49" t="n"/>
      <c r="D170" s="49" t="n"/>
      <c r="E170" s="49" t="n"/>
      <c r="F170" s="49" t="n"/>
      <c r="G170" s="49" t="n"/>
      <c r="H170" s="49" t="n"/>
      <c r="I170" s="49" t="n"/>
      <c r="J170" s="49" t="n"/>
      <c r="K170" s="49" t="n"/>
      <c r="L170" s="49" t="n"/>
      <c r="M170" s="49" t="n"/>
    </row>
    <row r="171">
      <c r="B171" s="49" t="n"/>
      <c r="C171" s="49" t="n"/>
      <c r="D171" s="49" t="n"/>
      <c r="E171" s="49" t="n"/>
      <c r="F171" s="49" t="n"/>
      <c r="G171" s="49" t="n"/>
      <c r="H171" s="49" t="n"/>
      <c r="I171" s="49" t="n"/>
      <c r="J171" s="49" t="n"/>
      <c r="K171" s="49" t="n"/>
      <c r="L171" s="49" t="n"/>
      <c r="M171" s="49" t="n"/>
    </row>
    <row r="172">
      <c r="B172" s="49" t="n"/>
      <c r="C172" s="49" t="n"/>
      <c r="D172" s="49" t="n"/>
      <c r="E172" s="49" t="n"/>
      <c r="F172" s="49" t="n"/>
      <c r="G172" s="49" t="n"/>
      <c r="H172" s="49" t="n"/>
      <c r="I172" s="49" t="n"/>
      <c r="J172" s="49" t="n"/>
      <c r="K172" s="49" t="n"/>
      <c r="L172" s="49" t="n"/>
      <c r="M172" s="49" t="n"/>
    </row>
    <row r="173">
      <c r="B173" s="49" t="n"/>
      <c r="C173" s="49" t="n"/>
      <c r="D173" s="49" t="n"/>
      <c r="E173" s="49" t="n"/>
      <c r="F173" s="49" t="n"/>
      <c r="G173" s="49" t="n"/>
      <c r="H173" s="49" t="n"/>
      <c r="I173" s="49" t="n"/>
      <c r="J173" s="49" t="n"/>
      <c r="K173" s="49" t="n"/>
      <c r="L173" s="49" t="n"/>
      <c r="M173" s="49" t="n"/>
    </row>
    <row r="174">
      <c r="B174" s="49" t="n"/>
      <c r="C174" s="49" t="n"/>
      <c r="D174" s="49" t="n"/>
      <c r="E174" s="49" t="n"/>
      <c r="F174" s="49" t="n"/>
      <c r="G174" s="49" t="n"/>
      <c r="H174" s="49" t="n"/>
      <c r="I174" s="49" t="n"/>
      <c r="J174" s="49" t="n"/>
      <c r="K174" s="49" t="n"/>
      <c r="L174" s="49" t="n"/>
      <c r="M174" s="49" t="n"/>
    </row>
    <row r="175">
      <c r="B175" s="49" t="n"/>
      <c r="C175" s="49" t="n"/>
      <c r="D175" s="49" t="n"/>
      <c r="E175" s="49" t="n"/>
      <c r="F175" s="49" t="n"/>
      <c r="G175" s="49" t="n"/>
      <c r="H175" s="49" t="n"/>
      <c r="I175" s="49" t="n"/>
      <c r="J175" s="49" t="n"/>
      <c r="K175" s="49" t="n"/>
      <c r="L175" s="49" t="n"/>
      <c r="M175" s="49" t="n"/>
    </row>
    <row r="176">
      <c r="B176" s="49" t="n"/>
      <c r="C176" s="49" t="n"/>
      <c r="D176" s="49" t="n"/>
      <c r="E176" s="49" t="n"/>
      <c r="F176" s="49" t="n"/>
      <c r="G176" s="49" t="n"/>
      <c r="H176" s="49" t="n"/>
      <c r="I176" s="49" t="n"/>
      <c r="J176" s="49" t="n"/>
      <c r="K176" s="49" t="n"/>
      <c r="L176" s="49" t="n"/>
      <c r="M176" s="49" t="n"/>
    </row>
    <row r="177">
      <c r="B177" s="49" t="n"/>
      <c r="C177" s="49" t="n"/>
      <c r="D177" s="49" t="n"/>
      <c r="E177" s="49" t="n"/>
      <c r="F177" s="49" t="n"/>
      <c r="G177" s="49" t="n"/>
      <c r="H177" s="49" t="n"/>
      <c r="I177" s="49" t="n"/>
      <c r="J177" s="49" t="n"/>
      <c r="K177" s="49" t="n"/>
      <c r="L177" s="49" t="n"/>
      <c r="M177" s="49" t="n"/>
    </row>
    <row r="178">
      <c r="B178" s="49" t="n"/>
      <c r="C178" s="49" t="n"/>
      <c r="D178" s="49" t="n"/>
      <c r="E178" s="49" t="n"/>
      <c r="F178" s="49" t="n"/>
      <c r="G178" s="49" t="n"/>
      <c r="H178" s="49" t="n"/>
      <c r="I178" s="49" t="n"/>
      <c r="J178" s="49" t="n"/>
      <c r="K178" s="49" t="n"/>
      <c r="L178" s="49" t="n"/>
      <c r="M178" s="49" t="n"/>
    </row>
    <row r="179">
      <c r="B179" s="49" t="n"/>
      <c r="C179" s="49" t="n"/>
      <c r="D179" s="49" t="n"/>
      <c r="E179" s="49" t="n"/>
      <c r="F179" s="49" t="n"/>
      <c r="G179" s="49" t="n"/>
      <c r="H179" s="49" t="n"/>
      <c r="I179" s="49" t="n"/>
      <c r="J179" s="49" t="n"/>
      <c r="K179" s="49" t="n"/>
      <c r="L179" s="49" t="n"/>
      <c r="M179" s="49" t="n"/>
    </row>
    <row r="180">
      <c r="B180" s="49" t="n"/>
      <c r="C180" s="49" t="n"/>
      <c r="D180" s="49" t="n"/>
      <c r="E180" s="49" t="n"/>
      <c r="F180" s="49" t="n"/>
      <c r="G180" s="49" t="n"/>
      <c r="H180" s="49" t="n"/>
      <c r="I180" s="49" t="n"/>
      <c r="J180" s="49" t="n"/>
      <c r="K180" s="49" t="n"/>
      <c r="L180" s="49" t="n"/>
      <c r="M180" s="49" t="n"/>
    </row>
    <row r="181">
      <c r="B181" s="49" t="n"/>
      <c r="C181" s="49" t="n"/>
      <c r="D181" s="49" t="n"/>
      <c r="E181" s="49" t="n"/>
      <c r="F181" s="49" t="n"/>
      <c r="G181" s="49" t="n"/>
      <c r="H181" s="49" t="n"/>
      <c r="I181" s="49" t="n"/>
      <c r="J181" s="49" t="n"/>
      <c r="K181" s="49" t="n"/>
      <c r="L181" s="49" t="n"/>
      <c r="M181" s="49" t="n"/>
    </row>
    <row r="182">
      <c r="B182" s="49" t="n"/>
      <c r="C182" s="49" t="n"/>
      <c r="D182" s="49" t="n"/>
      <c r="E182" s="49" t="n"/>
      <c r="F182" s="49" t="n"/>
      <c r="G182" s="49" t="n"/>
      <c r="H182" s="49" t="n"/>
      <c r="I182" s="49" t="n"/>
      <c r="J182" s="49" t="n"/>
      <c r="K182" s="49" t="n"/>
      <c r="L182" s="49" t="n"/>
      <c r="M182" s="49" t="n"/>
    </row>
    <row r="183">
      <c r="B183" s="49" t="n"/>
      <c r="C183" s="49" t="n"/>
      <c r="D183" s="49" t="n"/>
      <c r="E183" s="49" t="n"/>
      <c r="F183" s="49" t="n"/>
      <c r="G183" s="49" t="n"/>
      <c r="H183" s="49" t="n"/>
      <c r="I183" s="49" t="n"/>
      <c r="J183" s="49" t="n"/>
      <c r="K183" s="49" t="n"/>
      <c r="L183" s="49" t="n"/>
      <c r="M183" s="49" t="n"/>
    </row>
    <row r="184">
      <c r="B184" s="49" t="n"/>
      <c r="C184" s="49" t="n"/>
      <c r="D184" s="49" t="n"/>
      <c r="E184" s="49" t="n"/>
      <c r="F184" s="49" t="n"/>
      <c r="G184" s="49" t="n"/>
      <c r="H184" s="49" t="n"/>
      <c r="I184" s="49" t="n"/>
      <c r="J184" s="49" t="n"/>
      <c r="K184" s="49" t="n"/>
      <c r="L184" s="49" t="n"/>
      <c r="M184" s="49" t="n"/>
    </row>
    <row r="185">
      <c r="B185" s="49" t="n"/>
      <c r="C185" s="49" t="n"/>
      <c r="D185" s="49" t="n"/>
      <c r="E185" s="49" t="n"/>
      <c r="F185" s="49" t="n"/>
      <c r="G185" s="49" t="n"/>
      <c r="H185" s="49" t="n"/>
      <c r="I185" s="49" t="n"/>
      <c r="J185" s="49" t="n"/>
      <c r="K185" s="49" t="n"/>
      <c r="L185" s="49" t="n"/>
      <c r="M185" s="49" t="n"/>
    </row>
    <row r="186">
      <c r="B186" s="49" t="n"/>
      <c r="C186" s="49" t="n"/>
      <c r="D186" s="49" t="n"/>
      <c r="E186" s="49" t="n"/>
      <c r="F186" s="49" t="n"/>
      <c r="G186" s="49" t="n"/>
      <c r="H186" s="49" t="n"/>
      <c r="I186" s="49" t="n"/>
      <c r="J186" s="49" t="n"/>
      <c r="K186" s="49" t="n"/>
      <c r="L186" s="49" t="n"/>
      <c r="M186" s="49" t="n"/>
    </row>
    <row r="187">
      <c r="B187" s="49" t="n"/>
      <c r="C187" s="49" t="n"/>
      <c r="D187" s="49" t="n"/>
      <c r="E187" s="49" t="n"/>
      <c r="F187" s="49" t="n"/>
      <c r="G187" s="49" t="n"/>
      <c r="H187" s="49" t="n"/>
      <c r="I187" s="49" t="n"/>
      <c r="J187" s="49" t="n"/>
      <c r="K187" s="49" t="n"/>
      <c r="L187" s="49" t="n"/>
      <c r="M187" s="49" t="n"/>
    </row>
    <row r="188">
      <c r="B188" s="49" t="n"/>
      <c r="C188" s="49" t="n"/>
      <c r="D188" s="49" t="n"/>
      <c r="E188" s="49" t="n"/>
      <c r="F188" s="49" t="n"/>
      <c r="G188" s="49" t="n"/>
      <c r="H188" s="49" t="n"/>
      <c r="I188" s="49" t="n"/>
      <c r="J188" s="49" t="n"/>
      <c r="K188" s="49" t="n"/>
      <c r="L188" s="49" t="n"/>
      <c r="M188" s="49" t="n"/>
    </row>
    <row r="189">
      <c r="B189" s="49" t="n"/>
      <c r="C189" s="49" t="n"/>
      <c r="D189" s="49" t="n"/>
      <c r="E189" s="49" t="n"/>
      <c r="F189" s="49" t="n"/>
      <c r="G189" s="49" t="n"/>
      <c r="H189" s="49" t="n"/>
      <c r="I189" s="49" t="n"/>
      <c r="J189" s="49" t="n"/>
      <c r="K189" s="49" t="n"/>
      <c r="L189" s="49" t="n"/>
      <c r="M189" s="49" t="n"/>
    </row>
    <row r="190">
      <c r="B190" s="49" t="n"/>
      <c r="C190" s="49" t="n"/>
      <c r="D190" s="49" t="n"/>
      <c r="E190" s="49" t="n"/>
      <c r="F190" s="49" t="n"/>
      <c r="G190" s="49" t="n"/>
      <c r="H190" s="49" t="n"/>
      <c r="I190" s="49" t="n"/>
      <c r="J190" s="49" t="n"/>
      <c r="K190" s="49" t="n"/>
      <c r="L190" s="49" t="n"/>
      <c r="M190" s="49" t="n"/>
    </row>
    <row r="191">
      <c r="B191" s="49" t="n"/>
      <c r="C191" s="49" t="n"/>
      <c r="D191" s="49" t="n"/>
      <c r="E191" s="49" t="n"/>
      <c r="F191" s="49" t="n"/>
      <c r="G191" s="49" t="n"/>
      <c r="H191" s="49" t="n"/>
      <c r="I191" s="49" t="n"/>
      <c r="J191" s="49" t="n"/>
      <c r="K191" s="49" t="n"/>
      <c r="L191" s="49" t="n"/>
      <c r="M191" s="49" t="n"/>
    </row>
    <row r="192">
      <c r="B192" s="49" t="n"/>
      <c r="C192" s="49" t="n"/>
      <c r="D192" s="49" t="n"/>
      <c r="E192" s="49" t="n"/>
      <c r="F192" s="49" t="n"/>
      <c r="G192" s="49" t="n"/>
      <c r="H192" s="49" t="n"/>
      <c r="I192" s="49" t="n"/>
      <c r="J192" s="49" t="n"/>
      <c r="K192" s="49" t="n"/>
      <c r="L192" s="49" t="n"/>
      <c r="M192" s="49" t="n"/>
    </row>
    <row r="193">
      <c r="B193" s="49" t="n"/>
      <c r="C193" s="49" t="n"/>
      <c r="D193" s="49" t="n"/>
      <c r="E193" s="49" t="n"/>
      <c r="F193" s="49" t="n"/>
      <c r="G193" s="49" t="n"/>
      <c r="H193" s="49" t="n"/>
      <c r="I193" s="49" t="n"/>
      <c r="J193" s="49" t="n"/>
      <c r="K193" s="49" t="n"/>
      <c r="L193" s="49" t="n"/>
      <c r="M193" s="49" t="n"/>
    </row>
    <row r="194">
      <c r="B194" s="49" t="n"/>
      <c r="C194" s="49" t="n"/>
      <c r="D194" s="49" t="n"/>
      <c r="E194" s="49" t="n"/>
      <c r="F194" s="49" t="n"/>
      <c r="G194" s="49" t="n"/>
      <c r="H194" s="49" t="n"/>
      <c r="I194" s="49" t="n"/>
      <c r="J194" s="49" t="n"/>
      <c r="K194" s="49" t="n"/>
      <c r="L194" s="49" t="n"/>
      <c r="M194" s="49" t="n"/>
    </row>
    <row r="195">
      <c r="B195" s="49" t="n"/>
      <c r="C195" s="49" t="n"/>
      <c r="D195" s="49" t="n"/>
      <c r="E195" s="49" t="n"/>
      <c r="F195" s="49" t="n"/>
      <c r="G195" s="49" t="n"/>
      <c r="H195" s="49" t="n"/>
      <c r="I195" s="49" t="n"/>
      <c r="J195" s="49" t="n"/>
      <c r="K195" s="49" t="n"/>
      <c r="L195" s="49" t="n"/>
      <c r="M195" s="49" t="n"/>
    </row>
    <row r="196">
      <c r="B196" s="49" t="n"/>
      <c r="C196" s="49" t="n"/>
      <c r="D196" s="49" t="n"/>
      <c r="E196" s="49" t="n"/>
      <c r="F196" s="49" t="n"/>
      <c r="G196" s="49" t="n"/>
      <c r="H196" s="49" t="n"/>
      <c r="I196" s="49" t="n"/>
      <c r="J196" s="49" t="n"/>
      <c r="K196" s="49" t="n"/>
      <c r="L196" s="49" t="n"/>
      <c r="M196" s="49" t="n"/>
    </row>
    <row r="197">
      <c r="B197" s="49" t="n"/>
      <c r="C197" s="49" t="n"/>
      <c r="D197" s="49" t="n"/>
      <c r="E197" s="49" t="n"/>
      <c r="F197" s="49" t="n"/>
      <c r="G197" s="49" t="n"/>
      <c r="H197" s="49" t="n"/>
      <c r="I197" s="49" t="n"/>
      <c r="J197" s="49" t="n"/>
      <c r="K197" s="49" t="n"/>
      <c r="L197" s="49" t="n"/>
      <c r="M197" s="49" t="n"/>
    </row>
    <row r="198">
      <c r="B198" s="49" t="n"/>
      <c r="C198" s="49" t="n"/>
      <c r="D198" s="49" t="n"/>
      <c r="E198" s="49" t="n"/>
      <c r="F198" s="49" t="n"/>
      <c r="G198" s="49" t="n"/>
      <c r="H198" s="49" t="n"/>
      <c r="I198" s="49" t="n"/>
      <c r="J198" s="49" t="n"/>
      <c r="K198" s="49" t="n"/>
      <c r="L198" s="49" t="n"/>
      <c r="M198" s="49" t="n"/>
    </row>
    <row r="199">
      <c r="B199" s="49" t="n"/>
      <c r="C199" s="49" t="n"/>
      <c r="D199" s="49" t="n"/>
      <c r="E199" s="49" t="n"/>
      <c r="F199" s="49" t="n"/>
      <c r="G199" s="49" t="n"/>
      <c r="H199" s="49" t="n"/>
      <c r="I199" s="49" t="n"/>
      <c r="J199" s="49" t="n"/>
      <c r="K199" s="49" t="n"/>
      <c r="L199" s="49" t="n"/>
      <c r="M199" s="49" t="n"/>
    </row>
    <row r="200">
      <c r="B200" s="49" t="n"/>
      <c r="C200" s="49" t="n"/>
      <c r="D200" s="49" t="n"/>
      <c r="E200" s="49" t="n"/>
      <c r="F200" s="49" t="n"/>
      <c r="G200" s="49" t="n"/>
      <c r="H200" s="49" t="n"/>
      <c r="I200" s="49" t="n"/>
      <c r="J200" s="49" t="n"/>
      <c r="K200" s="49" t="n"/>
      <c r="L200" s="49" t="n"/>
      <c r="M200" s="49" t="n"/>
    </row>
    <row r="201">
      <c r="B201" s="49" t="n"/>
      <c r="C201" s="49" t="n"/>
      <c r="D201" s="49" t="n"/>
      <c r="E201" s="49" t="n"/>
      <c r="F201" s="49" t="n"/>
      <c r="G201" s="49" t="n"/>
      <c r="H201" s="49" t="n"/>
      <c r="I201" s="49" t="n"/>
      <c r="J201" s="49" t="n"/>
      <c r="K201" s="49" t="n"/>
      <c r="L201" s="49" t="n"/>
      <c r="M201" s="49" t="n"/>
    </row>
    <row r="202">
      <c r="B202" s="49" t="n"/>
      <c r="C202" s="49" t="n"/>
      <c r="D202" s="49" t="n"/>
      <c r="E202" s="49" t="n"/>
      <c r="F202" s="49" t="n"/>
      <c r="G202" s="49" t="n"/>
      <c r="H202" s="49" t="n"/>
      <c r="I202" s="49" t="n"/>
      <c r="J202" s="49" t="n"/>
      <c r="K202" s="49" t="n"/>
      <c r="L202" s="49" t="n"/>
      <c r="M202" s="49" t="n"/>
    </row>
    <row r="203">
      <c r="B203" s="49" t="n"/>
      <c r="C203" s="49" t="n"/>
      <c r="D203" s="49" t="n"/>
      <c r="E203" s="49" t="n"/>
      <c r="F203" s="49" t="n"/>
      <c r="G203" s="49" t="n"/>
      <c r="H203" s="49" t="n"/>
      <c r="I203" s="49" t="n"/>
      <c r="J203" s="49" t="n"/>
      <c r="K203" s="49" t="n"/>
      <c r="L203" s="49" t="n"/>
      <c r="M203" s="49" t="n"/>
    </row>
    <row r="204">
      <c r="B204" s="49" t="n"/>
      <c r="C204" s="49" t="n"/>
      <c r="D204" s="49" t="n"/>
      <c r="E204" s="49" t="n"/>
      <c r="F204" s="49" t="n"/>
      <c r="G204" s="49" t="n"/>
      <c r="H204" s="49" t="n"/>
      <c r="I204" s="49" t="n"/>
      <c r="J204" s="49" t="n"/>
      <c r="K204" s="49" t="n"/>
      <c r="L204" s="49" t="n"/>
      <c r="M204" s="49" t="n"/>
    </row>
    <row r="205">
      <c r="B205" s="49" t="n"/>
      <c r="C205" s="49" t="n"/>
      <c r="D205" s="49" t="n"/>
      <c r="E205" s="49" t="n"/>
      <c r="F205" s="49" t="n"/>
      <c r="G205" s="49" t="n"/>
      <c r="H205" s="49" t="n"/>
      <c r="I205" s="49" t="n"/>
      <c r="J205" s="49" t="n"/>
      <c r="K205" s="49" t="n"/>
      <c r="L205" s="49" t="n"/>
      <c r="M205" s="49" t="n"/>
    </row>
    <row r="206">
      <c r="B206" s="49" t="n"/>
      <c r="C206" s="49" t="n"/>
      <c r="D206" s="49" t="n"/>
      <c r="E206" s="49" t="n"/>
      <c r="F206" s="49" t="n"/>
      <c r="G206" s="49" t="n"/>
      <c r="H206" s="49" t="n"/>
      <c r="I206" s="49" t="n"/>
      <c r="J206" s="49" t="n"/>
      <c r="K206" s="49" t="n"/>
      <c r="L206" s="49" t="n"/>
      <c r="M206" s="49" t="n"/>
    </row>
    <row r="207">
      <c r="B207" s="49" t="n"/>
      <c r="C207" s="49" t="n"/>
      <c r="D207" s="49" t="n"/>
      <c r="E207" s="49" t="n"/>
      <c r="F207" s="49" t="n"/>
      <c r="G207" s="49" t="n"/>
      <c r="H207" s="49" t="n"/>
      <c r="I207" s="49" t="n"/>
      <c r="J207" s="49" t="n"/>
      <c r="K207" s="49" t="n"/>
      <c r="L207" s="49" t="n"/>
      <c r="M207" s="49" t="n"/>
    </row>
    <row r="208">
      <c r="B208" s="49" t="n"/>
      <c r="C208" s="49" t="n"/>
      <c r="D208" s="49" t="n"/>
      <c r="E208" s="49" t="n"/>
      <c r="F208" s="49" t="n"/>
      <c r="G208" s="49" t="n"/>
      <c r="H208" s="49" t="n"/>
      <c r="I208" s="49" t="n"/>
      <c r="J208" s="49" t="n"/>
      <c r="K208" s="49" t="n"/>
      <c r="L208" s="49" t="n"/>
      <c r="M208" s="49" t="n"/>
    </row>
    <row r="209">
      <c r="B209" s="49" t="n"/>
      <c r="C209" s="49" t="n"/>
      <c r="D209" s="49" t="n"/>
      <c r="E209" s="49" t="n"/>
      <c r="F209" s="49" t="n"/>
      <c r="G209" s="49" t="n"/>
      <c r="H209" s="49" t="n"/>
      <c r="I209" s="49" t="n"/>
      <c r="J209" s="49" t="n"/>
      <c r="K209" s="49" t="n"/>
      <c r="L209" s="49" t="n"/>
      <c r="M209" s="49" t="n"/>
    </row>
    <row r="210">
      <c r="B210" s="49" t="n"/>
      <c r="C210" s="49" t="n"/>
      <c r="D210" s="49" t="n"/>
      <c r="E210" s="49" t="n"/>
      <c r="F210" s="49" t="n"/>
      <c r="G210" s="49" t="n"/>
      <c r="H210" s="49" t="n"/>
      <c r="I210" s="49" t="n"/>
      <c r="J210" s="49" t="n"/>
      <c r="K210" s="49" t="n"/>
      <c r="L210" s="49" t="n"/>
      <c r="M210" s="49" t="n"/>
    </row>
    <row r="211">
      <c r="B211" s="49" t="n"/>
      <c r="C211" s="49" t="n"/>
      <c r="D211" s="49" t="n"/>
      <c r="E211" s="49" t="n"/>
      <c r="F211" s="49" t="n"/>
      <c r="G211" s="49" t="n"/>
      <c r="H211" s="49" t="n"/>
      <c r="I211" s="49" t="n"/>
      <c r="J211" s="49" t="n"/>
      <c r="K211" s="49" t="n"/>
      <c r="L211" s="49" t="n"/>
      <c r="M211" s="49" t="n"/>
    </row>
    <row r="212">
      <c r="B212" s="49" t="n"/>
      <c r="C212" s="49" t="n"/>
      <c r="D212" s="49" t="n"/>
      <c r="E212" s="49" t="n"/>
      <c r="F212" s="49" t="n"/>
      <c r="G212" s="49" t="n"/>
      <c r="H212" s="49" t="n"/>
      <c r="I212" s="49" t="n"/>
      <c r="J212" s="49" t="n"/>
      <c r="K212" s="49" t="n"/>
      <c r="L212" s="49" t="n"/>
      <c r="M212" s="49" t="n"/>
    </row>
    <row r="213">
      <c r="B213" s="49" t="n"/>
      <c r="C213" s="49" t="n"/>
      <c r="D213" s="49" t="n"/>
      <c r="E213" s="49" t="n"/>
      <c r="F213" s="49" t="n"/>
      <c r="G213" s="49" t="n"/>
      <c r="H213" s="49" t="n"/>
      <c r="I213" s="49" t="n"/>
      <c r="J213" s="49" t="n"/>
      <c r="K213" s="49" t="n"/>
      <c r="L213" s="49" t="n"/>
      <c r="M213" s="49" t="n"/>
    </row>
    <row r="214">
      <c r="B214" s="49" t="n"/>
      <c r="C214" s="49" t="n"/>
      <c r="D214" s="49" t="n"/>
      <c r="E214" s="49" t="n"/>
      <c r="F214" s="49" t="n"/>
      <c r="G214" s="49" t="n"/>
      <c r="H214" s="49" t="n"/>
      <c r="I214" s="49" t="n"/>
      <c r="J214" s="49" t="n"/>
      <c r="K214" s="49" t="n"/>
      <c r="L214" s="49" t="n"/>
      <c r="M214" s="49" t="n"/>
    </row>
    <row r="215">
      <c r="B215" s="49" t="n"/>
      <c r="C215" s="49" t="n"/>
      <c r="D215" s="49" t="n"/>
      <c r="E215" s="49" t="n"/>
      <c r="F215" s="49" t="n"/>
      <c r="G215" s="49" t="n"/>
      <c r="H215" s="49" t="n"/>
      <c r="I215" s="49" t="n"/>
      <c r="J215" s="49" t="n"/>
      <c r="K215" s="49" t="n"/>
      <c r="L215" s="49" t="n"/>
      <c r="M215" s="49" t="n"/>
    </row>
    <row r="216">
      <c r="B216" s="49" t="n"/>
      <c r="C216" s="49" t="n"/>
      <c r="D216" s="49" t="n"/>
      <c r="E216" s="49" t="n"/>
      <c r="F216" s="49" t="n"/>
      <c r="G216" s="49" t="n"/>
      <c r="H216" s="49" t="n"/>
      <c r="I216" s="49" t="n"/>
      <c r="J216" s="49" t="n"/>
      <c r="K216" s="49" t="n"/>
      <c r="L216" s="49" t="n"/>
      <c r="M216" s="49" t="n"/>
    </row>
    <row r="217">
      <c r="B217" s="49" t="n"/>
      <c r="C217" s="49" t="n"/>
      <c r="D217" s="49" t="n"/>
      <c r="E217" s="49" t="n"/>
      <c r="F217" s="49" t="n"/>
      <c r="G217" s="49" t="n"/>
      <c r="H217" s="49" t="n"/>
      <c r="I217" s="49" t="n"/>
      <c r="J217" s="49" t="n"/>
      <c r="K217" s="49" t="n"/>
      <c r="L217" s="49" t="n"/>
      <c r="M217" s="49" t="n"/>
    </row>
    <row r="218">
      <c r="B218" s="49" t="n"/>
      <c r="C218" s="49" t="n"/>
      <c r="D218" s="49" t="n"/>
      <c r="E218" s="49" t="n"/>
      <c r="F218" s="49" t="n"/>
      <c r="G218" s="49" t="n"/>
      <c r="H218" s="49" t="n"/>
      <c r="I218" s="49" t="n"/>
      <c r="J218" s="49" t="n"/>
      <c r="K218" s="49" t="n"/>
      <c r="L218" s="49" t="n"/>
      <c r="M218" s="49" t="n"/>
    </row>
    <row r="219">
      <c r="B219" s="49" t="n"/>
      <c r="C219" s="49" t="n"/>
      <c r="D219" s="49" t="n"/>
      <c r="E219" s="49" t="n"/>
      <c r="F219" s="49" t="n"/>
      <c r="G219" s="49" t="n"/>
      <c r="H219" s="49" t="n"/>
      <c r="I219" s="49" t="n"/>
      <c r="J219" s="49" t="n"/>
      <c r="K219" s="49" t="n"/>
      <c r="L219" s="49" t="n"/>
      <c r="M219" s="49" t="n"/>
    </row>
    <row r="220">
      <c r="B220" s="49" t="n"/>
      <c r="C220" s="49" t="n"/>
      <c r="D220" s="49" t="n"/>
      <c r="E220" s="49" t="n"/>
      <c r="F220" s="49" t="n"/>
      <c r="G220" s="49" t="n"/>
      <c r="H220" s="49" t="n"/>
      <c r="I220" s="49" t="n"/>
      <c r="J220" s="49" t="n"/>
      <c r="K220" s="49" t="n"/>
      <c r="L220" s="49" t="n"/>
      <c r="M220" s="49" t="n"/>
    </row>
    <row r="221">
      <c r="B221" s="49" t="n"/>
      <c r="C221" s="49" t="n"/>
      <c r="D221" s="49" t="n"/>
      <c r="E221" s="49" t="n"/>
      <c r="F221" s="49" t="n"/>
      <c r="G221" s="49" t="n"/>
      <c r="H221" s="49" t="n"/>
      <c r="I221" s="49" t="n"/>
      <c r="J221" s="49" t="n"/>
      <c r="K221" s="49" t="n"/>
      <c r="L221" s="49" t="n"/>
      <c r="M221" s="49" t="n"/>
    </row>
    <row r="222">
      <c r="B222" s="49" t="n"/>
      <c r="C222" s="49" t="n"/>
      <c r="D222" s="49" t="n"/>
      <c r="E222" s="49" t="n"/>
      <c r="F222" s="49" t="n"/>
      <c r="G222" s="49" t="n"/>
      <c r="H222" s="49" t="n"/>
      <c r="I222" s="49" t="n"/>
      <c r="J222" s="49" t="n"/>
      <c r="K222" s="49" t="n"/>
      <c r="L222" s="49" t="n"/>
      <c r="M222" s="49" t="n"/>
    </row>
    <row r="223">
      <c r="B223" s="49" t="n"/>
      <c r="C223" s="49" t="n"/>
      <c r="D223" s="49" t="n"/>
      <c r="E223" s="49" t="n"/>
      <c r="F223" s="49" t="n"/>
      <c r="G223" s="49" t="n"/>
      <c r="H223" s="49" t="n"/>
      <c r="I223" s="49" t="n"/>
      <c r="J223" s="49" t="n"/>
      <c r="K223" s="49" t="n"/>
      <c r="L223" s="49" t="n"/>
      <c r="M223" s="49" t="n"/>
    </row>
    <row r="224">
      <c r="B224" s="49" t="n"/>
      <c r="C224" s="49" t="n"/>
      <c r="D224" s="49" t="n"/>
      <c r="E224" s="49" t="n"/>
      <c r="F224" s="49" t="n"/>
      <c r="G224" s="49" t="n"/>
      <c r="H224" s="49" t="n"/>
      <c r="I224" s="49" t="n"/>
      <c r="J224" s="49" t="n"/>
      <c r="K224" s="49" t="n"/>
      <c r="L224" s="49" t="n"/>
      <c r="M224" s="49" t="n"/>
    </row>
    <row r="225">
      <c r="B225" s="49" t="n"/>
      <c r="C225" s="49" t="n"/>
      <c r="D225" s="49" t="n"/>
      <c r="E225" s="49" t="n"/>
      <c r="F225" s="49" t="n"/>
      <c r="G225" s="49" t="n"/>
      <c r="H225" s="49" t="n"/>
      <c r="I225" s="49" t="n"/>
      <c r="J225" s="49" t="n"/>
      <c r="K225" s="49" t="n"/>
      <c r="L225" s="49" t="n"/>
      <c r="M225" s="49" t="n"/>
    </row>
    <row r="226">
      <c r="B226" s="49" t="n"/>
      <c r="C226" s="49" t="n"/>
      <c r="D226" s="49" t="n"/>
      <c r="E226" s="49" t="n"/>
      <c r="F226" s="49" t="n"/>
      <c r="G226" s="49" t="n"/>
      <c r="H226" s="49" t="n"/>
      <c r="I226" s="49" t="n"/>
      <c r="J226" s="49" t="n"/>
      <c r="K226" s="49" t="n"/>
      <c r="L226" s="49" t="n"/>
      <c r="M226" s="49" t="n"/>
    </row>
    <row r="227">
      <c r="B227" s="49" t="n"/>
      <c r="C227" s="49" t="n"/>
      <c r="D227" s="49" t="n"/>
      <c r="E227" s="49" t="n"/>
      <c r="F227" s="49" t="n"/>
      <c r="G227" s="49" t="n"/>
      <c r="H227" s="49" t="n"/>
      <c r="I227" s="49" t="n"/>
      <c r="J227" s="49" t="n"/>
      <c r="K227" s="49" t="n"/>
      <c r="L227" s="49" t="n"/>
      <c r="M227" s="49" t="n"/>
    </row>
    <row r="228">
      <c r="B228" s="49" t="n"/>
      <c r="C228" s="49" t="n"/>
      <c r="D228" s="49" t="n"/>
      <c r="E228" s="49" t="n"/>
      <c r="F228" s="49" t="n"/>
      <c r="G228" s="49" t="n"/>
      <c r="H228" s="49" t="n"/>
      <c r="I228" s="49" t="n"/>
      <c r="J228" s="49" t="n"/>
      <c r="K228" s="49" t="n"/>
      <c r="L228" s="49" t="n"/>
      <c r="M228" s="49" t="n"/>
    </row>
    <row r="229">
      <c r="B229" s="49" t="n"/>
      <c r="C229" s="49" t="n"/>
      <c r="D229" s="49" t="n"/>
      <c r="E229" s="49" t="n"/>
      <c r="F229" s="49" t="n"/>
      <c r="G229" s="49" t="n"/>
      <c r="H229" s="49" t="n"/>
      <c r="I229" s="49" t="n"/>
      <c r="J229" s="49" t="n"/>
      <c r="K229" s="49" t="n"/>
      <c r="L229" s="49" t="n"/>
      <c r="M229" s="49" t="n"/>
    </row>
    <row r="230">
      <c r="B230" s="49" t="n"/>
      <c r="C230" s="49" t="n"/>
      <c r="D230" s="49" t="n"/>
      <c r="E230" s="49" t="n"/>
      <c r="F230" s="49" t="n"/>
      <c r="G230" s="49" t="n"/>
      <c r="H230" s="49" t="n"/>
      <c r="I230" s="49" t="n"/>
      <c r="J230" s="49" t="n"/>
      <c r="K230" s="49" t="n"/>
      <c r="L230" s="49" t="n"/>
      <c r="M230" s="49" t="n"/>
    </row>
    <row r="231">
      <c r="B231" s="49" t="n"/>
      <c r="C231" s="49" t="n"/>
      <c r="D231" s="49" t="n"/>
      <c r="E231" s="49" t="n"/>
      <c r="F231" s="49" t="n"/>
      <c r="G231" s="49" t="n"/>
      <c r="H231" s="49" t="n"/>
      <c r="I231" s="49" t="n"/>
      <c r="J231" s="49" t="n"/>
      <c r="K231" s="49" t="n"/>
      <c r="L231" s="49" t="n"/>
      <c r="M231" s="49" t="n"/>
    </row>
    <row r="232">
      <c r="B232" s="49" t="n"/>
      <c r="C232" s="49" t="n"/>
      <c r="D232" s="49" t="n"/>
      <c r="E232" s="49" t="n"/>
      <c r="F232" s="49" t="n"/>
      <c r="G232" s="49" t="n"/>
      <c r="H232" s="49" t="n"/>
      <c r="I232" s="49" t="n"/>
      <c r="J232" s="49" t="n"/>
      <c r="K232" s="49" t="n"/>
      <c r="L232" s="49" t="n"/>
      <c r="M232" s="49" t="n"/>
    </row>
    <row r="233">
      <c r="B233" s="49" t="n"/>
      <c r="C233" s="49" t="n"/>
      <c r="D233" s="49" t="n"/>
      <c r="E233" s="49" t="n"/>
      <c r="F233" s="49" t="n"/>
      <c r="G233" s="49" t="n"/>
      <c r="H233" s="49" t="n"/>
      <c r="I233" s="49" t="n"/>
      <c r="J233" s="49" t="n"/>
      <c r="K233" s="49" t="n"/>
      <c r="L233" s="49" t="n"/>
      <c r="M233" s="49" t="n"/>
    </row>
    <row r="234">
      <c r="B234" s="49" t="n"/>
      <c r="C234" s="49" t="n"/>
      <c r="D234" s="49" t="n"/>
      <c r="E234" s="49" t="n"/>
      <c r="F234" s="49" t="n"/>
      <c r="G234" s="49" t="n"/>
      <c r="H234" s="49" t="n"/>
      <c r="I234" s="49" t="n"/>
      <c r="J234" s="49" t="n"/>
      <c r="K234" s="49" t="n"/>
      <c r="L234" s="49" t="n"/>
      <c r="M234" s="49" t="n"/>
    </row>
    <row r="235">
      <c r="B235" s="49" t="n"/>
      <c r="C235" s="49" t="n"/>
      <c r="D235" s="49" t="n"/>
      <c r="E235" s="49" t="n"/>
      <c r="F235" s="49" t="n"/>
      <c r="G235" s="49" t="n"/>
      <c r="H235" s="49" t="n"/>
      <c r="I235" s="49" t="n"/>
      <c r="J235" s="49" t="n"/>
      <c r="K235" s="49" t="n"/>
      <c r="L235" s="49" t="n"/>
      <c r="M235" s="49" t="n"/>
    </row>
    <row r="236">
      <c r="B236" s="49" t="n"/>
      <c r="C236" s="49" t="n"/>
      <c r="D236" s="49" t="n"/>
      <c r="E236" s="49" t="n"/>
      <c r="F236" s="49" t="n"/>
      <c r="G236" s="49" t="n"/>
      <c r="H236" s="49" t="n"/>
      <c r="I236" s="49" t="n"/>
      <c r="J236" s="49" t="n"/>
      <c r="K236" s="49" t="n"/>
      <c r="L236" s="49" t="n"/>
      <c r="M236" s="49" t="n"/>
    </row>
    <row r="237">
      <c r="B237" s="49" t="n"/>
      <c r="C237" s="49" t="n"/>
      <c r="D237" s="49" t="n"/>
      <c r="E237" s="49" t="n"/>
      <c r="F237" s="49" t="n"/>
      <c r="G237" s="49" t="n"/>
      <c r="H237" s="49" t="n"/>
      <c r="I237" s="49" t="n"/>
      <c r="J237" s="49" t="n"/>
      <c r="K237" s="49" t="n"/>
      <c r="L237" s="49" t="n"/>
      <c r="M237" s="49" t="n"/>
    </row>
    <row r="238">
      <c r="B238" s="49" t="n"/>
      <c r="C238" s="49" t="n"/>
      <c r="D238" s="49" t="n"/>
      <c r="E238" s="49" t="n"/>
      <c r="F238" s="49" t="n"/>
      <c r="G238" s="49" t="n"/>
      <c r="H238" s="49" t="n"/>
      <c r="I238" s="49" t="n"/>
      <c r="J238" s="49" t="n"/>
      <c r="K238" s="49" t="n"/>
      <c r="L238" s="49" t="n"/>
      <c r="M238" s="49" t="n"/>
    </row>
    <row r="239">
      <c r="B239" s="49" t="n"/>
      <c r="C239" s="49" t="n"/>
      <c r="D239" s="49" t="n"/>
      <c r="E239" s="49" t="n"/>
      <c r="F239" s="49" t="n"/>
      <c r="G239" s="49" t="n"/>
      <c r="H239" s="49" t="n"/>
      <c r="I239" s="49" t="n"/>
      <c r="J239" s="49" t="n"/>
      <c r="K239" s="49" t="n"/>
      <c r="L239" s="49" t="n"/>
      <c r="M239" s="49" t="n"/>
    </row>
    <row r="240">
      <c r="B240" s="49" t="n"/>
      <c r="C240" s="49" t="n"/>
      <c r="D240" s="49" t="n"/>
      <c r="E240" s="49" t="n"/>
      <c r="F240" s="49" t="n"/>
      <c r="G240" s="49" t="n"/>
      <c r="H240" s="49" t="n"/>
      <c r="I240" s="49" t="n"/>
      <c r="J240" s="49" t="n"/>
      <c r="K240" s="49" t="n"/>
      <c r="L240" s="49" t="n"/>
      <c r="M240" s="49" t="n"/>
    </row>
    <row r="241">
      <c r="B241" s="49" t="n"/>
      <c r="C241" s="49" t="n"/>
      <c r="D241" s="49" t="n"/>
      <c r="E241" s="49" t="n"/>
      <c r="F241" s="49" t="n"/>
      <c r="G241" s="49" t="n"/>
      <c r="H241" s="49" t="n"/>
      <c r="I241" s="49" t="n"/>
      <c r="J241" s="49" t="n"/>
      <c r="K241" s="49" t="n"/>
      <c r="L241" s="49" t="n"/>
      <c r="M241" s="49" t="n"/>
    </row>
    <row r="242">
      <c r="B242" s="49" t="n"/>
      <c r="C242" s="49" t="n"/>
      <c r="D242" s="49" t="n"/>
      <c r="E242" s="49" t="n"/>
      <c r="F242" s="49" t="n"/>
      <c r="G242" s="49" t="n"/>
      <c r="H242" s="49" t="n"/>
      <c r="I242" s="49" t="n"/>
      <c r="J242" s="49" t="n"/>
      <c r="K242" s="49" t="n"/>
      <c r="L242" s="49" t="n"/>
      <c r="M242" s="49" t="n"/>
    </row>
    <row r="243">
      <c r="B243" s="49" t="n"/>
      <c r="C243" s="49" t="n"/>
      <c r="D243" s="49" t="n"/>
      <c r="E243" s="49" t="n"/>
      <c r="F243" s="49" t="n"/>
      <c r="G243" s="49" t="n"/>
      <c r="H243" s="49" t="n"/>
      <c r="I243" s="49" t="n"/>
      <c r="J243" s="49" t="n"/>
      <c r="K243" s="49" t="n"/>
      <c r="L243" s="49" t="n"/>
      <c r="M243" s="49" t="n"/>
    </row>
    <row r="244">
      <c r="B244" s="49" t="n"/>
      <c r="C244" s="49" t="n"/>
      <c r="D244" s="49" t="n"/>
      <c r="E244" s="49" t="n"/>
      <c r="F244" s="49" t="n"/>
      <c r="G244" s="49" t="n"/>
      <c r="H244" s="49" t="n"/>
      <c r="I244" s="49" t="n"/>
      <c r="J244" s="49" t="n"/>
      <c r="K244" s="49" t="n"/>
      <c r="L244" s="49" t="n"/>
      <c r="M244" s="49" t="n"/>
    </row>
    <row r="245">
      <c r="B245" s="49" t="n"/>
      <c r="C245" s="49" t="n"/>
      <c r="D245" s="49" t="n"/>
      <c r="E245" s="49" t="n"/>
      <c r="F245" s="49" t="n"/>
      <c r="G245" s="49" t="n"/>
      <c r="H245" s="49" t="n"/>
      <c r="I245" s="49" t="n"/>
      <c r="J245" s="49" t="n"/>
      <c r="K245" s="49" t="n"/>
      <c r="L245" s="49" t="n"/>
      <c r="M245" s="49" t="n"/>
    </row>
    <row r="246">
      <c r="B246" s="49" t="n"/>
      <c r="C246" s="49" t="n"/>
      <c r="D246" s="49" t="n"/>
      <c r="E246" s="49" t="n"/>
      <c r="F246" s="49" t="n"/>
      <c r="G246" s="49" t="n"/>
      <c r="H246" s="49" t="n"/>
      <c r="I246" s="49" t="n"/>
      <c r="J246" s="49" t="n"/>
      <c r="K246" s="49" t="n"/>
      <c r="L246" s="49" t="n"/>
      <c r="M246" s="49" t="n"/>
    </row>
    <row r="247">
      <c r="B247" s="49" t="n"/>
      <c r="C247" s="49" t="n"/>
      <c r="D247" s="49" t="n"/>
      <c r="E247" s="49" t="n"/>
      <c r="F247" s="49" t="n"/>
      <c r="G247" s="49" t="n"/>
      <c r="H247" s="49" t="n"/>
      <c r="I247" s="49" t="n"/>
      <c r="J247" s="49" t="n"/>
      <c r="K247" s="49" t="n"/>
      <c r="L247" s="49" t="n"/>
      <c r="M247" s="49" t="n"/>
    </row>
    <row r="248">
      <c r="B248" s="49" t="n"/>
      <c r="C248" s="49" t="n"/>
      <c r="D248" s="49" t="n"/>
      <c r="E248" s="49" t="n"/>
      <c r="F248" s="49" t="n"/>
      <c r="G248" s="49" t="n"/>
      <c r="H248" s="49" t="n"/>
      <c r="I248" s="49" t="n"/>
      <c r="J248" s="49" t="n"/>
      <c r="K248" s="49" t="n"/>
      <c r="L248" s="49" t="n"/>
      <c r="M248" s="49" t="n"/>
    </row>
    <row r="249">
      <c r="B249" s="49" t="n"/>
      <c r="C249" s="49" t="n"/>
      <c r="D249" s="49" t="n"/>
      <c r="E249" s="49" t="n"/>
      <c r="F249" s="49" t="n"/>
      <c r="G249" s="49" t="n"/>
      <c r="H249" s="49" t="n"/>
      <c r="I249" s="49" t="n"/>
      <c r="J249" s="49" t="n"/>
      <c r="K249" s="49" t="n"/>
      <c r="L249" s="49" t="n"/>
      <c r="M249" s="49" t="n"/>
    </row>
    <row r="250">
      <c r="B250" s="49" t="n"/>
      <c r="C250" s="49" t="n"/>
      <c r="D250" s="49" t="n"/>
      <c r="E250" s="49" t="n"/>
      <c r="F250" s="49" t="n"/>
      <c r="G250" s="49" t="n"/>
      <c r="H250" s="49" t="n"/>
      <c r="I250" s="49" t="n"/>
      <c r="J250" s="49" t="n"/>
      <c r="K250" s="49" t="n"/>
      <c r="L250" s="49" t="n"/>
      <c r="M250" s="49" t="n"/>
    </row>
    <row r="251">
      <c r="B251" s="49" t="n"/>
      <c r="C251" s="49" t="n"/>
      <c r="D251" s="49" t="n"/>
      <c r="E251" s="49" t="n"/>
      <c r="F251" s="49" t="n"/>
      <c r="G251" s="49" t="n"/>
      <c r="H251" s="49" t="n"/>
      <c r="I251" s="49" t="n"/>
      <c r="J251" s="49" t="n"/>
      <c r="K251" s="49" t="n"/>
      <c r="L251" s="49" t="n"/>
      <c r="M251" s="49" t="n"/>
    </row>
    <row r="252">
      <c r="B252" s="49" t="n"/>
      <c r="C252" s="49" t="n"/>
      <c r="D252" s="49" t="n"/>
      <c r="E252" s="49" t="n"/>
      <c r="F252" s="49" t="n"/>
      <c r="G252" s="49" t="n"/>
      <c r="H252" s="49" t="n"/>
      <c r="I252" s="49" t="n"/>
      <c r="J252" s="49" t="n"/>
      <c r="K252" s="49" t="n"/>
      <c r="L252" s="49" t="n"/>
      <c r="M252" s="49" t="n"/>
    </row>
    <row r="253">
      <c r="B253" s="49" t="n"/>
      <c r="C253" s="49" t="n"/>
      <c r="D253" s="49" t="n"/>
      <c r="E253" s="49" t="n"/>
      <c r="F253" s="49" t="n"/>
      <c r="G253" s="49" t="n"/>
      <c r="H253" s="49" t="n"/>
      <c r="I253" s="49" t="n"/>
      <c r="J253" s="49" t="n"/>
      <c r="K253" s="49" t="n"/>
      <c r="L253" s="49" t="n"/>
      <c r="M253" s="49" t="n"/>
    </row>
    <row r="254">
      <c r="B254" s="49" t="n"/>
      <c r="C254" s="49" t="n"/>
      <c r="D254" s="49" t="n"/>
      <c r="E254" s="49" t="n"/>
      <c r="F254" s="49" t="n"/>
      <c r="G254" s="49" t="n"/>
      <c r="H254" s="49" t="n"/>
      <c r="I254" s="49" t="n"/>
      <c r="J254" s="49" t="n"/>
      <c r="K254" s="49" t="n"/>
      <c r="L254" s="49" t="n"/>
      <c r="M254" s="49" t="n"/>
    </row>
    <row r="255">
      <c r="B255" s="49" t="n"/>
      <c r="C255" s="49" t="n"/>
      <c r="D255" s="49" t="n"/>
      <c r="E255" s="49" t="n"/>
      <c r="F255" s="49" t="n"/>
      <c r="G255" s="49" t="n"/>
      <c r="H255" s="49" t="n"/>
      <c r="I255" s="49" t="n"/>
      <c r="J255" s="49" t="n"/>
      <c r="K255" s="49" t="n"/>
      <c r="L255" s="49" t="n"/>
      <c r="M255" s="49" t="n"/>
    </row>
    <row r="256">
      <c r="B256" s="49" t="n"/>
      <c r="C256" s="49" t="n"/>
      <c r="D256" s="49" t="n"/>
      <c r="E256" s="49" t="n"/>
      <c r="F256" s="49" t="n"/>
      <c r="G256" s="49" t="n"/>
      <c r="H256" s="49" t="n"/>
      <c r="I256" s="49" t="n"/>
      <c r="J256" s="49" t="n"/>
      <c r="K256" s="49" t="n"/>
      <c r="L256" s="49" t="n"/>
      <c r="M256" s="49" t="n"/>
    </row>
    <row r="257">
      <c r="B257" s="49" t="n"/>
      <c r="C257" s="49" t="n"/>
      <c r="D257" s="49" t="n"/>
      <c r="E257" s="49" t="n"/>
      <c r="F257" s="49" t="n"/>
      <c r="G257" s="49" t="n"/>
      <c r="H257" s="49" t="n"/>
      <c r="I257" s="49" t="n"/>
      <c r="J257" s="49" t="n"/>
      <c r="K257" s="49" t="n"/>
      <c r="L257" s="49" t="n"/>
      <c r="M257" s="49" t="n"/>
    </row>
    <row r="258">
      <c r="B258" s="49" t="n"/>
      <c r="C258" s="49" t="n"/>
      <c r="D258" s="49" t="n"/>
      <c r="E258" s="49" t="n"/>
      <c r="F258" s="49" t="n"/>
      <c r="G258" s="49" t="n"/>
      <c r="H258" s="49" t="n"/>
      <c r="I258" s="49" t="n"/>
      <c r="J258" s="49" t="n"/>
      <c r="K258" s="49" t="n"/>
      <c r="L258" s="49" t="n"/>
      <c r="M258" s="49" t="n"/>
    </row>
    <row r="259">
      <c r="B259" s="49" t="n"/>
      <c r="C259" s="49" t="n"/>
      <c r="D259" s="49" t="n"/>
      <c r="E259" s="49" t="n"/>
      <c r="F259" s="49" t="n"/>
      <c r="G259" s="49" t="n"/>
      <c r="H259" s="49" t="n"/>
      <c r="I259" s="49" t="n"/>
      <c r="J259" s="49" t="n"/>
      <c r="K259" s="49" t="n"/>
      <c r="L259" s="49" t="n"/>
      <c r="M259" s="49" t="n"/>
    </row>
    <row r="260">
      <c r="B260" s="49" t="n"/>
      <c r="C260" s="49" t="n"/>
      <c r="D260" s="49" t="n"/>
      <c r="E260" s="49" t="n"/>
      <c r="F260" s="49" t="n"/>
      <c r="G260" s="49" t="n"/>
      <c r="H260" s="49" t="n"/>
      <c r="I260" s="49" t="n"/>
      <c r="J260" s="49" t="n"/>
      <c r="K260" s="49" t="n"/>
      <c r="L260" s="49" t="n"/>
      <c r="M260" s="49" t="n"/>
    </row>
    <row r="261">
      <c r="B261" s="49" t="n"/>
      <c r="C261" s="49" t="n"/>
      <c r="D261" s="49" t="n"/>
      <c r="E261" s="49" t="n"/>
      <c r="F261" s="49" t="n"/>
      <c r="G261" s="49" t="n"/>
      <c r="H261" s="49" t="n"/>
      <c r="I261" s="49" t="n"/>
      <c r="J261" s="49" t="n"/>
      <c r="K261" s="49" t="n"/>
      <c r="L261" s="49" t="n"/>
      <c r="M261" s="49" t="n"/>
    </row>
    <row r="262">
      <c r="B262" s="49" t="n"/>
      <c r="C262" s="49" t="n"/>
      <c r="D262" s="49" t="n"/>
      <c r="E262" s="49" t="n"/>
      <c r="F262" s="49" t="n"/>
      <c r="G262" s="49" t="n"/>
      <c r="H262" s="49" t="n"/>
      <c r="I262" s="49" t="n"/>
      <c r="J262" s="49" t="n"/>
      <c r="K262" s="49" t="n"/>
      <c r="L262" s="49" t="n"/>
      <c r="M262" s="49" t="n"/>
    </row>
    <row r="263">
      <c r="B263" s="49" t="n"/>
      <c r="C263" s="49" t="n"/>
      <c r="D263" s="49" t="n"/>
      <c r="E263" s="49" t="n"/>
      <c r="F263" s="49" t="n"/>
      <c r="G263" s="49" t="n"/>
      <c r="H263" s="49" t="n"/>
      <c r="I263" s="49" t="n"/>
      <c r="J263" s="49" t="n"/>
      <c r="K263" s="49" t="n"/>
      <c r="L263" s="49" t="n"/>
      <c r="M263" s="49" t="n"/>
    </row>
    <row r="264">
      <c r="B264" s="49" t="n"/>
      <c r="C264" s="49" t="n"/>
      <c r="D264" s="49" t="n"/>
      <c r="E264" s="49" t="n"/>
      <c r="F264" s="49" t="n"/>
      <c r="G264" s="49" t="n"/>
      <c r="H264" s="49" t="n"/>
      <c r="I264" s="49" t="n"/>
      <c r="J264" s="49" t="n"/>
      <c r="K264" s="49" t="n"/>
      <c r="L264" s="49" t="n"/>
      <c r="M264" s="49" t="n"/>
    </row>
    <row r="265">
      <c r="B265" s="49" t="n"/>
      <c r="C265" s="49" t="n"/>
      <c r="D265" s="49" t="n"/>
      <c r="E265" s="49" t="n"/>
      <c r="F265" s="49" t="n"/>
      <c r="G265" s="49" t="n"/>
      <c r="H265" s="49" t="n"/>
      <c r="I265" s="49" t="n"/>
      <c r="J265" s="49" t="n"/>
      <c r="K265" s="49" t="n"/>
      <c r="L265" s="49" t="n"/>
      <c r="M265" s="49" t="n"/>
    </row>
    <row r="266">
      <c r="B266" s="49" t="n"/>
      <c r="C266" s="49" t="n"/>
      <c r="D266" s="49" t="n"/>
      <c r="E266" s="49" t="n"/>
      <c r="F266" s="49" t="n"/>
      <c r="G266" s="49" t="n"/>
      <c r="H266" s="49" t="n"/>
      <c r="I266" s="49" t="n"/>
      <c r="J266" s="49" t="n"/>
      <c r="K266" s="49" t="n"/>
      <c r="L266" s="49" t="n"/>
      <c r="M266" s="49" t="n"/>
    </row>
    <row r="267">
      <c r="B267" s="49" t="n"/>
      <c r="C267" s="49" t="n"/>
      <c r="D267" s="49" t="n"/>
      <c r="E267" s="49" t="n"/>
      <c r="F267" s="49" t="n"/>
      <c r="G267" s="49" t="n"/>
      <c r="H267" s="49" t="n"/>
      <c r="I267" s="49" t="n"/>
      <c r="J267" s="49" t="n"/>
      <c r="K267" s="49" t="n"/>
      <c r="L267" s="49" t="n"/>
      <c r="M267" s="49" t="n"/>
    </row>
    <row r="268">
      <c r="B268" s="49" t="n"/>
      <c r="C268" s="49" t="n"/>
      <c r="D268" s="49" t="n"/>
      <c r="E268" s="49" t="n"/>
      <c r="F268" s="49" t="n"/>
      <c r="G268" s="49" t="n"/>
      <c r="H268" s="49" t="n"/>
      <c r="I268" s="49" t="n"/>
      <c r="J268" s="49" t="n"/>
      <c r="K268" s="49" t="n"/>
      <c r="L268" s="49" t="n"/>
      <c r="M268" s="49" t="n"/>
    </row>
    <row r="269">
      <c r="B269" s="49" t="n"/>
      <c r="C269" s="49" t="n"/>
      <c r="D269" s="49" t="n"/>
      <c r="E269" s="49" t="n"/>
      <c r="F269" s="49" t="n"/>
      <c r="G269" s="49" t="n"/>
      <c r="H269" s="49" t="n"/>
      <c r="I269" s="49" t="n"/>
      <c r="J269" s="49" t="n"/>
      <c r="K269" s="49" t="n"/>
      <c r="L269" s="49" t="n"/>
      <c r="M269" s="49" t="n"/>
    </row>
    <row r="270">
      <c r="B270" s="49" t="n"/>
      <c r="C270" s="49" t="n"/>
      <c r="D270" s="49" t="n"/>
      <c r="E270" s="49" t="n"/>
      <c r="F270" s="49" t="n"/>
      <c r="G270" s="49" t="n"/>
      <c r="H270" s="49" t="n"/>
      <c r="I270" s="49" t="n"/>
      <c r="J270" s="49" t="n"/>
      <c r="K270" s="49" t="n"/>
      <c r="L270" s="49" t="n"/>
      <c r="M270" s="49" t="n"/>
    </row>
    <row r="271">
      <c r="B271" s="49" t="n"/>
      <c r="C271" s="49" t="n"/>
      <c r="D271" s="49" t="n"/>
      <c r="E271" s="49" t="n"/>
      <c r="F271" s="49" t="n"/>
      <c r="G271" s="49" t="n"/>
      <c r="H271" s="49" t="n"/>
      <c r="I271" s="49" t="n"/>
      <c r="J271" s="49" t="n"/>
      <c r="K271" s="49" t="n"/>
      <c r="L271" s="49" t="n"/>
      <c r="M271" s="49" t="n"/>
    </row>
    <row r="272">
      <c r="B272" s="49" t="n"/>
      <c r="C272" s="49" t="n"/>
      <c r="D272" s="49" t="n"/>
      <c r="E272" s="49" t="n"/>
      <c r="F272" s="49" t="n"/>
      <c r="G272" s="49" t="n"/>
      <c r="H272" s="49" t="n"/>
      <c r="I272" s="49" t="n"/>
      <c r="J272" s="49" t="n"/>
      <c r="K272" s="49" t="n"/>
      <c r="L272" s="49" t="n"/>
      <c r="M272" s="49" t="n"/>
    </row>
    <row r="273">
      <c r="B273" s="49" t="n"/>
      <c r="C273" s="49" t="n"/>
      <c r="D273" s="49" t="n"/>
      <c r="E273" s="49" t="n"/>
      <c r="F273" s="49" t="n"/>
      <c r="G273" s="49" t="n"/>
      <c r="H273" s="49" t="n"/>
      <c r="I273" s="49" t="n"/>
      <c r="J273" s="49" t="n"/>
      <c r="K273" s="49" t="n"/>
      <c r="L273" s="49" t="n"/>
      <c r="M273" s="49" t="n"/>
    </row>
    <row r="274">
      <c r="B274" s="49" t="n"/>
      <c r="C274" s="49" t="n"/>
      <c r="D274" s="49" t="n"/>
      <c r="E274" s="49" t="n"/>
      <c r="F274" s="49" t="n"/>
      <c r="G274" s="49" t="n"/>
      <c r="H274" s="49" t="n"/>
      <c r="I274" s="49" t="n"/>
      <c r="J274" s="49" t="n"/>
      <c r="K274" s="49" t="n"/>
      <c r="L274" s="49" t="n"/>
      <c r="M274" s="49" t="n"/>
    </row>
    <row r="275">
      <c r="B275" s="49" t="n"/>
      <c r="C275" s="49" t="n"/>
      <c r="D275" s="49" t="n"/>
      <c r="E275" s="49" t="n"/>
      <c r="F275" s="49" t="n"/>
      <c r="G275" s="49" t="n"/>
      <c r="H275" s="49" t="n"/>
      <c r="I275" s="49" t="n"/>
      <c r="J275" s="49" t="n"/>
      <c r="K275" s="49" t="n"/>
      <c r="L275" s="49" t="n"/>
      <c r="M275" s="49" t="n"/>
    </row>
    <row r="276">
      <c r="B276" s="49" t="n"/>
      <c r="C276" s="49" t="n"/>
      <c r="D276" s="49" t="n"/>
      <c r="E276" s="49" t="n"/>
      <c r="F276" s="49" t="n"/>
      <c r="G276" s="49" t="n"/>
      <c r="H276" s="49" t="n"/>
      <c r="I276" s="49" t="n"/>
      <c r="J276" s="49" t="n"/>
      <c r="K276" s="49" t="n"/>
      <c r="L276" s="49" t="n"/>
      <c r="M276" s="49" t="n"/>
    </row>
    <row r="277">
      <c r="B277" s="49" t="n"/>
      <c r="C277" s="49" t="n"/>
      <c r="D277" s="49" t="n"/>
      <c r="E277" s="49" t="n"/>
      <c r="F277" s="49" t="n"/>
      <c r="G277" s="49" t="n"/>
      <c r="H277" s="49" t="n"/>
      <c r="I277" s="49" t="n"/>
      <c r="J277" s="49" t="n"/>
      <c r="K277" s="49" t="n"/>
      <c r="L277" s="49" t="n"/>
      <c r="M277" s="49" t="n"/>
    </row>
    <row r="278">
      <c r="B278" s="49" t="n"/>
      <c r="C278" s="49" t="n"/>
      <c r="D278" s="49" t="n"/>
      <c r="E278" s="49" t="n"/>
      <c r="F278" s="49" t="n"/>
      <c r="G278" s="49" t="n"/>
      <c r="H278" s="49" t="n"/>
      <c r="I278" s="49" t="n"/>
      <c r="J278" s="49" t="n"/>
      <c r="K278" s="49" t="n"/>
      <c r="L278" s="49" t="n"/>
      <c r="M278" s="49" t="n"/>
    </row>
    <row r="279">
      <c r="B279" s="49" t="n"/>
      <c r="C279" s="49" t="n"/>
      <c r="D279" s="49" t="n"/>
      <c r="E279" s="49" t="n"/>
      <c r="F279" s="49" t="n"/>
      <c r="G279" s="49" t="n"/>
      <c r="H279" s="49" t="n"/>
      <c r="I279" s="49" t="n"/>
      <c r="J279" s="49" t="n"/>
      <c r="K279" s="49" t="n"/>
      <c r="L279" s="49" t="n"/>
      <c r="M279" s="49" t="n"/>
    </row>
    <row r="280">
      <c r="B280" s="49" t="n"/>
      <c r="C280" s="49" t="n"/>
      <c r="D280" s="49" t="n"/>
      <c r="E280" s="49" t="n"/>
      <c r="F280" s="49" t="n"/>
      <c r="G280" s="49" t="n"/>
      <c r="H280" s="49" t="n"/>
      <c r="I280" s="49" t="n"/>
      <c r="J280" s="49" t="n"/>
      <c r="K280" s="49" t="n"/>
      <c r="L280" s="49" t="n"/>
      <c r="M280" s="49" t="n"/>
    </row>
    <row r="281">
      <c r="B281" s="49" t="n"/>
      <c r="C281" s="49" t="n"/>
      <c r="D281" s="49" t="n"/>
      <c r="E281" s="49" t="n"/>
      <c r="F281" s="49" t="n"/>
      <c r="G281" s="49" t="n"/>
      <c r="H281" s="49" t="n"/>
      <c r="I281" s="49" t="n"/>
      <c r="J281" s="49" t="n"/>
      <c r="K281" s="49" t="n"/>
      <c r="L281" s="49" t="n"/>
      <c r="M281" s="49" t="n"/>
    </row>
    <row r="282">
      <c r="B282" s="49" t="n"/>
      <c r="C282" s="49" t="n"/>
      <c r="D282" s="49" t="n"/>
      <c r="E282" s="49" t="n"/>
      <c r="F282" s="49" t="n"/>
      <c r="G282" s="49" t="n"/>
      <c r="H282" s="49" t="n"/>
      <c r="I282" s="49" t="n"/>
      <c r="J282" s="49" t="n"/>
      <c r="K282" s="49" t="n"/>
      <c r="L282" s="49" t="n"/>
      <c r="M282" s="49" t="n"/>
    </row>
    <row r="283">
      <c r="B283" s="49" t="n"/>
      <c r="C283" s="49" t="n"/>
      <c r="D283" s="49" t="n"/>
      <c r="E283" s="49" t="n"/>
      <c r="F283" s="49" t="n"/>
      <c r="G283" s="49" t="n"/>
      <c r="H283" s="49" t="n"/>
      <c r="I283" s="49" t="n"/>
      <c r="J283" s="49" t="n"/>
      <c r="K283" s="49" t="n"/>
      <c r="L283" s="49" t="n"/>
      <c r="M283" s="49" t="n"/>
    </row>
    <row r="284">
      <c r="B284" s="49" t="n"/>
      <c r="C284" s="49" t="n"/>
      <c r="D284" s="49" t="n"/>
      <c r="E284" s="49" t="n"/>
      <c r="F284" s="49" t="n"/>
      <c r="G284" s="49" t="n"/>
      <c r="H284" s="49" t="n"/>
      <c r="I284" s="49" t="n"/>
      <c r="J284" s="49" t="n"/>
      <c r="K284" s="49" t="n"/>
      <c r="L284" s="49" t="n"/>
      <c r="M284" s="49" t="n"/>
    </row>
    <row r="285">
      <c r="B285" s="49" t="n"/>
      <c r="C285" s="49" t="n"/>
      <c r="D285" s="49" t="n"/>
      <c r="E285" s="49" t="n"/>
      <c r="F285" s="49" t="n"/>
      <c r="G285" s="49" t="n"/>
      <c r="H285" s="49" t="n"/>
      <c r="I285" s="49" t="n"/>
      <c r="J285" s="49" t="n"/>
      <c r="K285" s="49" t="n"/>
      <c r="L285" s="49" t="n"/>
      <c r="M285" s="49" t="n"/>
    </row>
    <row r="286">
      <c r="B286" s="49" t="n"/>
      <c r="C286" s="49" t="n"/>
      <c r="D286" s="49" t="n"/>
      <c r="E286" s="49" t="n"/>
      <c r="F286" s="49" t="n"/>
      <c r="G286" s="49" t="n"/>
      <c r="H286" s="49" t="n"/>
      <c r="I286" s="49" t="n"/>
      <c r="J286" s="49" t="n"/>
      <c r="K286" s="49" t="n"/>
      <c r="L286" s="49" t="n"/>
      <c r="M286" s="49" t="n"/>
    </row>
    <row r="287">
      <c r="B287" s="49" t="n"/>
      <c r="C287" s="49" t="n"/>
      <c r="D287" s="49" t="n"/>
      <c r="E287" s="49" t="n"/>
      <c r="F287" s="49" t="n"/>
      <c r="G287" s="49" t="n"/>
      <c r="H287" s="49" t="n"/>
      <c r="I287" s="49" t="n"/>
      <c r="J287" s="49" t="n"/>
      <c r="K287" s="49" t="n"/>
      <c r="L287" s="49" t="n"/>
      <c r="M287" s="49" t="n"/>
    </row>
    <row r="288">
      <c r="B288" s="49" t="n"/>
      <c r="C288" s="49" t="n"/>
      <c r="D288" s="49" t="n"/>
      <c r="E288" s="49" t="n"/>
      <c r="F288" s="49" t="n"/>
      <c r="G288" s="49" t="n"/>
      <c r="H288" s="49" t="n"/>
      <c r="I288" s="49" t="n"/>
      <c r="J288" s="49" t="n"/>
      <c r="K288" s="49" t="n"/>
      <c r="L288" s="49" t="n"/>
      <c r="M288" s="49" t="n"/>
    </row>
    <row r="289">
      <c r="B289" s="49" t="n"/>
      <c r="C289" s="49" t="n"/>
      <c r="D289" s="49" t="n"/>
      <c r="E289" s="49" t="n"/>
      <c r="F289" s="49" t="n"/>
      <c r="G289" s="49" t="n"/>
      <c r="H289" s="49" t="n"/>
      <c r="I289" s="49" t="n"/>
      <c r="J289" s="49" t="n"/>
      <c r="K289" s="49" t="n"/>
      <c r="L289" s="49" t="n"/>
      <c r="M289" s="49" t="n"/>
    </row>
    <row r="290">
      <c r="B290" s="49" t="n"/>
      <c r="C290" s="49" t="n"/>
      <c r="D290" s="49" t="n"/>
      <c r="E290" s="49" t="n"/>
      <c r="F290" s="49" t="n"/>
      <c r="G290" s="49" t="n"/>
      <c r="H290" s="49" t="n"/>
      <c r="I290" s="49" t="n"/>
      <c r="J290" s="49" t="n"/>
      <c r="K290" s="49" t="n"/>
      <c r="L290" s="49" t="n"/>
      <c r="M290" s="49" t="n"/>
    </row>
    <row r="291">
      <c r="B291" s="49" t="n"/>
      <c r="C291" s="49" t="n"/>
      <c r="D291" s="49" t="n"/>
      <c r="E291" s="49" t="n"/>
      <c r="F291" s="49" t="n"/>
      <c r="G291" s="49" t="n"/>
      <c r="H291" s="49" t="n"/>
      <c r="I291" s="49" t="n"/>
      <c r="J291" s="49" t="n"/>
      <c r="K291" s="49" t="n"/>
      <c r="L291" s="49" t="n"/>
      <c r="M291" s="49" t="n"/>
    </row>
    <row r="292">
      <c r="B292" s="49" t="n"/>
      <c r="C292" s="49" t="n"/>
      <c r="D292" s="49" t="n"/>
      <c r="E292" s="49" t="n"/>
      <c r="F292" s="49" t="n"/>
      <c r="G292" s="49" t="n"/>
      <c r="H292" s="49" t="n"/>
      <c r="I292" s="49" t="n"/>
      <c r="J292" s="49" t="n"/>
      <c r="K292" s="49" t="n"/>
      <c r="L292" s="49" t="n"/>
      <c r="M292" s="49" t="n"/>
    </row>
    <row r="293">
      <c r="B293" s="49" t="n"/>
      <c r="C293" s="49" t="n"/>
      <c r="D293" s="49" t="n"/>
      <c r="E293" s="49" t="n"/>
      <c r="F293" s="49" t="n"/>
      <c r="G293" s="49" t="n"/>
      <c r="H293" s="49" t="n"/>
      <c r="I293" s="49" t="n"/>
      <c r="J293" s="49" t="n"/>
      <c r="K293" s="49" t="n"/>
      <c r="L293" s="49" t="n"/>
      <c r="M293" s="49" t="n"/>
    </row>
    <row r="294">
      <c r="B294" s="49" t="n"/>
      <c r="C294" s="49" t="n"/>
      <c r="D294" s="49" t="n"/>
      <c r="E294" s="49" t="n"/>
      <c r="F294" s="49" t="n"/>
      <c r="G294" s="49" t="n"/>
      <c r="H294" s="49" t="n"/>
      <c r="I294" s="49" t="n"/>
      <c r="J294" s="49" t="n"/>
      <c r="K294" s="49" t="n"/>
      <c r="L294" s="49" t="n"/>
      <c r="M294" s="49" t="n"/>
    </row>
    <row r="295">
      <c r="B295" s="49" t="n"/>
      <c r="C295" s="49" t="n"/>
      <c r="D295" s="49" t="n"/>
      <c r="E295" s="49" t="n"/>
      <c r="F295" s="49" t="n"/>
      <c r="G295" s="49" t="n"/>
      <c r="H295" s="49" t="n"/>
      <c r="I295" s="49" t="n"/>
      <c r="J295" s="49" t="n"/>
      <c r="K295" s="49" t="n"/>
      <c r="L295" s="49" t="n"/>
      <c r="M295" s="49" t="n"/>
    </row>
    <row r="296">
      <c r="B296" s="49" t="n"/>
      <c r="C296" s="49" t="n"/>
      <c r="D296" s="49" t="n"/>
      <c r="E296" s="49" t="n"/>
      <c r="F296" s="49" t="n"/>
      <c r="G296" s="49" t="n"/>
      <c r="H296" s="49" t="n"/>
      <c r="I296" s="49" t="n"/>
      <c r="J296" s="49" t="n"/>
      <c r="K296" s="49" t="n"/>
      <c r="L296" s="49" t="n"/>
      <c r="M296" s="49" t="n"/>
    </row>
    <row r="297">
      <c r="B297" s="49" t="n"/>
      <c r="C297" s="49" t="n"/>
      <c r="D297" s="49" t="n"/>
      <c r="E297" s="49" t="n"/>
      <c r="F297" s="49" t="n"/>
      <c r="G297" s="49" t="n"/>
      <c r="H297" s="49" t="n"/>
      <c r="I297" s="49" t="n"/>
      <c r="J297" s="49" t="n"/>
      <c r="K297" s="49" t="n"/>
      <c r="L297" s="49" t="n"/>
      <c r="M297" s="49" t="n"/>
    </row>
    <row r="298">
      <c r="B298" s="49" t="n"/>
      <c r="C298" s="49" t="n"/>
      <c r="D298" s="49" t="n"/>
      <c r="E298" s="49" t="n"/>
      <c r="F298" s="49" t="n"/>
      <c r="G298" s="49" t="n"/>
      <c r="H298" s="49" t="n"/>
      <c r="I298" s="49" t="n"/>
      <c r="J298" s="49" t="n"/>
      <c r="K298" s="49" t="n"/>
      <c r="L298" s="49" t="n"/>
      <c r="M298" s="49" t="n"/>
    </row>
    <row r="299">
      <c r="B299" s="49" t="n"/>
      <c r="C299" s="49" t="n"/>
      <c r="D299" s="49" t="n"/>
      <c r="E299" s="49" t="n"/>
      <c r="F299" s="49" t="n"/>
      <c r="G299" s="49" t="n"/>
      <c r="H299" s="49" t="n"/>
      <c r="I299" s="49" t="n"/>
      <c r="J299" s="49" t="n"/>
      <c r="K299" s="49" t="n"/>
      <c r="L299" s="49" t="n"/>
      <c r="M299" s="49" t="n"/>
    </row>
    <row r="300">
      <c r="B300" s="49" t="n"/>
      <c r="C300" s="49" t="n"/>
      <c r="D300" s="49" t="n"/>
      <c r="E300" s="49" t="n"/>
      <c r="F300" s="49" t="n"/>
      <c r="G300" s="49" t="n"/>
      <c r="H300" s="49" t="n"/>
      <c r="I300" s="49" t="n"/>
      <c r="J300" s="49" t="n"/>
      <c r="K300" s="49" t="n"/>
      <c r="L300" s="49" t="n"/>
      <c r="M300" s="49" t="n"/>
    </row>
    <row r="301">
      <c r="B301" s="49" t="n"/>
      <c r="C301" s="49" t="n"/>
      <c r="D301" s="49" t="n"/>
      <c r="E301" s="49" t="n"/>
      <c r="F301" s="49" t="n"/>
      <c r="G301" s="49" t="n"/>
      <c r="H301" s="49" t="n"/>
      <c r="I301" s="49" t="n"/>
      <c r="J301" s="49" t="n"/>
      <c r="K301" s="49" t="n"/>
      <c r="L301" s="49" t="n"/>
      <c r="M301" s="49" t="n"/>
    </row>
    <row r="302">
      <c r="B302" s="49" t="n"/>
      <c r="C302" s="49" t="n"/>
      <c r="D302" s="49" t="n"/>
      <c r="E302" s="49" t="n"/>
      <c r="F302" s="49" t="n"/>
      <c r="G302" s="49" t="n"/>
      <c r="H302" s="49" t="n"/>
      <c r="I302" s="49" t="n"/>
      <c r="J302" s="49" t="n"/>
      <c r="K302" s="49" t="n"/>
      <c r="L302" s="49" t="n"/>
      <c r="M302" s="49" t="n"/>
    </row>
    <row r="303">
      <c r="B303" s="49" t="n"/>
      <c r="C303" s="49" t="n"/>
      <c r="D303" s="49" t="n"/>
      <c r="E303" s="49" t="n"/>
      <c r="F303" s="49" t="n"/>
      <c r="G303" s="49" t="n"/>
      <c r="H303" s="49" t="n"/>
      <c r="I303" s="49" t="n"/>
      <c r="J303" s="49" t="n"/>
      <c r="K303" s="49" t="n"/>
      <c r="L303" s="49" t="n"/>
      <c r="M303" s="49" t="n"/>
    </row>
    <row r="304">
      <c r="B304" s="49" t="n"/>
      <c r="C304" s="49" t="n"/>
      <c r="D304" s="49" t="n"/>
      <c r="E304" s="49" t="n"/>
      <c r="F304" s="49" t="n"/>
      <c r="G304" s="49" t="n"/>
      <c r="H304" s="49" t="n"/>
      <c r="I304" s="49" t="n"/>
      <c r="J304" s="49" t="n"/>
      <c r="K304" s="49" t="n"/>
      <c r="L304" s="49" t="n"/>
      <c r="M304" s="49" t="n"/>
    </row>
    <row r="305">
      <c r="B305" s="49" t="n"/>
      <c r="C305" s="49" t="n"/>
      <c r="D305" s="49" t="n"/>
      <c r="E305" s="49" t="n"/>
      <c r="F305" s="49" t="n"/>
      <c r="G305" s="49" t="n"/>
      <c r="H305" s="49" t="n"/>
      <c r="I305" s="49" t="n"/>
      <c r="J305" s="49" t="n"/>
      <c r="K305" s="49" t="n"/>
      <c r="L305" s="49" t="n"/>
      <c r="M305" s="49" t="n"/>
    </row>
    <row r="306">
      <c r="B306" s="49" t="n"/>
      <c r="C306" s="49" t="n"/>
      <c r="D306" s="49" t="n"/>
      <c r="E306" s="49" t="n"/>
      <c r="F306" s="49" t="n"/>
      <c r="G306" s="49" t="n"/>
      <c r="H306" s="49" t="n"/>
      <c r="I306" s="49" t="n"/>
      <c r="J306" s="49" t="n"/>
      <c r="K306" s="49" t="n"/>
      <c r="L306" s="49" t="n"/>
      <c r="M306" s="49" t="n"/>
    </row>
    <row r="307">
      <c r="B307" s="49" t="n"/>
      <c r="C307" s="49" t="n"/>
      <c r="D307" s="49" t="n"/>
      <c r="E307" s="49" t="n"/>
      <c r="F307" s="49" t="n"/>
      <c r="G307" s="49" t="n"/>
      <c r="H307" s="49" t="n"/>
      <c r="I307" s="49" t="n"/>
      <c r="J307" s="49" t="n"/>
      <c r="K307" s="49" t="n"/>
      <c r="L307" s="49" t="n"/>
      <c r="M307" s="49" t="n"/>
    </row>
    <row r="308">
      <c r="B308" s="49" t="n"/>
      <c r="C308" s="49" t="n"/>
      <c r="D308" s="49" t="n"/>
      <c r="E308" s="49" t="n"/>
      <c r="F308" s="49" t="n"/>
      <c r="G308" s="49" t="n"/>
      <c r="H308" s="49" t="n"/>
      <c r="I308" s="49" t="n"/>
      <c r="J308" s="49" t="n"/>
      <c r="K308" s="49" t="n"/>
      <c r="L308" s="49" t="n"/>
      <c r="M308" s="49" t="n"/>
    </row>
    <row r="309">
      <c r="B309" s="49" t="n"/>
      <c r="C309" s="49" t="n"/>
      <c r="D309" s="49" t="n"/>
      <c r="E309" s="49" t="n"/>
      <c r="F309" s="49" t="n"/>
      <c r="G309" s="49" t="n"/>
      <c r="H309" s="49" t="n"/>
      <c r="I309" s="49" t="n"/>
      <c r="J309" s="49" t="n"/>
      <c r="K309" s="49" t="n"/>
      <c r="L309" s="49" t="n"/>
      <c r="M309" s="49" t="n"/>
    </row>
    <row r="310">
      <c r="B310" s="49" t="n"/>
      <c r="C310" s="49" t="n"/>
      <c r="D310" s="49" t="n"/>
      <c r="E310" s="49" t="n"/>
      <c r="F310" s="49" t="n"/>
      <c r="G310" s="49" t="n"/>
      <c r="H310" s="49" t="n"/>
      <c r="I310" s="49" t="n"/>
      <c r="J310" s="49" t="n"/>
      <c r="K310" s="49" t="n"/>
      <c r="L310" s="49" t="n"/>
      <c r="M310" s="49" t="n"/>
    </row>
    <row r="311">
      <c r="B311" s="49" t="n"/>
      <c r="C311" s="49" t="n"/>
      <c r="D311" s="49" t="n"/>
      <c r="E311" s="49" t="n"/>
      <c r="F311" s="49" t="n"/>
      <c r="G311" s="49" t="n"/>
      <c r="H311" s="49" t="n"/>
      <c r="I311" s="49" t="n"/>
      <c r="J311" s="49" t="n"/>
      <c r="K311" s="49" t="n"/>
      <c r="L311" s="49" t="n"/>
      <c r="M311" s="49" t="n"/>
    </row>
    <row r="312">
      <c r="B312" s="49" t="n"/>
      <c r="C312" s="49" t="n"/>
      <c r="D312" s="49" t="n"/>
      <c r="E312" s="49" t="n"/>
      <c r="F312" s="49" t="n"/>
      <c r="G312" s="49" t="n"/>
      <c r="H312" s="49" t="n"/>
      <c r="I312" s="49" t="n"/>
      <c r="J312" s="49" t="n"/>
      <c r="K312" s="49" t="n"/>
      <c r="L312" s="49" t="n"/>
      <c r="M312" s="49" t="n"/>
    </row>
    <row r="313">
      <c r="B313" s="49" t="n"/>
      <c r="C313" s="49" t="n"/>
      <c r="D313" s="49" t="n"/>
      <c r="E313" s="49" t="n"/>
      <c r="F313" s="49" t="n"/>
      <c r="G313" s="49" t="n"/>
      <c r="H313" s="49" t="n"/>
      <c r="I313" s="49" t="n"/>
      <c r="J313" s="49" t="n"/>
      <c r="K313" s="49" t="n"/>
      <c r="L313" s="49" t="n"/>
      <c r="M313" s="49" t="n"/>
    </row>
    <row r="314">
      <c r="B314" s="49" t="n"/>
      <c r="C314" s="49" t="n"/>
      <c r="D314" s="49" t="n"/>
      <c r="E314" s="49" t="n"/>
      <c r="F314" s="49" t="n"/>
      <c r="G314" s="49" t="n"/>
      <c r="H314" s="49" t="n"/>
      <c r="I314" s="49" t="n"/>
      <c r="J314" s="49" t="n"/>
      <c r="K314" s="49" t="n"/>
      <c r="L314" s="49" t="n"/>
      <c r="M314" s="49" t="n"/>
    </row>
    <row r="315">
      <c r="B315" s="49" t="n"/>
      <c r="C315" s="49" t="n"/>
      <c r="D315" s="49" t="n"/>
      <c r="E315" s="49" t="n"/>
      <c r="F315" s="49" t="n"/>
      <c r="G315" s="49" t="n"/>
      <c r="H315" s="49" t="n"/>
      <c r="I315" s="49" t="n"/>
      <c r="J315" s="49" t="n"/>
      <c r="K315" s="49" t="n"/>
      <c r="L315" s="49" t="n"/>
      <c r="M315" s="49" t="n"/>
    </row>
    <row r="316">
      <c r="B316" s="49" t="n"/>
      <c r="C316" s="49" t="n"/>
      <c r="D316" s="49" t="n"/>
      <c r="E316" s="49" t="n"/>
      <c r="F316" s="49" t="n"/>
      <c r="G316" s="49" t="n"/>
      <c r="H316" s="49" t="n"/>
      <c r="I316" s="49" t="n"/>
      <c r="J316" s="49" t="n"/>
      <c r="K316" s="49" t="n"/>
      <c r="L316" s="49" t="n"/>
      <c r="M316" s="49" t="n"/>
    </row>
    <row r="317">
      <c r="B317" s="49" t="n"/>
      <c r="C317" s="49" t="n"/>
      <c r="D317" s="49" t="n"/>
      <c r="E317" s="49" t="n"/>
      <c r="F317" s="49" t="n"/>
      <c r="G317" s="49" t="n"/>
      <c r="H317" s="49" t="n"/>
      <c r="I317" s="49" t="n"/>
      <c r="J317" s="49" t="n"/>
      <c r="K317" s="49" t="n"/>
      <c r="L317" s="49" t="n"/>
      <c r="M317" s="49" t="n"/>
    </row>
  </sheetData>
  <mergeCells count="7">
    <mergeCell ref="B6:M6"/>
    <mergeCell ref="B7:M7"/>
    <mergeCell ref="B3:M3"/>
    <mergeCell ref="B5:M5"/>
    <mergeCell ref="B10:C10"/>
    <mergeCell ref="B8:M8"/>
    <mergeCell ref="B4:M4"/>
  </mergeCells>
  <conditionalFormatting sqref="E9">
    <cfRule type="cellIs" priority="1" operator="greaterThan" dxfId="5">
      <formula>0</formula>
    </cfRule>
  </conditionalFormatting>
  <conditionalFormatting sqref="B17:B317">
    <cfRule type="expression" priority="2" dxfId="6">
      <formula>AND(LEN($B17&amp;$C17&amp;$D17&amp;$E17&amp;$F17&amp;$G17&amp;$H17&amp;$I17&amp;$J17&amp;$K17&amp;$L17&amp;$M17)&gt;0,B17="")</formula>
    </cfRule>
  </conditionalFormatting>
  <conditionalFormatting sqref="C17:C317">
    <cfRule type="expression" priority="3" dxfId="6">
      <formula>AND(LEN($B17&amp;$C17&amp;$D17&amp;$E17&amp;$F17&amp;$G17&amp;$H17&amp;$I17&amp;$J17&amp;$K17&amp;$L17&amp;$M17)&gt;0,C17="")</formula>
    </cfRule>
  </conditionalFormatting>
  <conditionalFormatting sqref="D17:D317">
    <cfRule type="expression" priority="4" dxfId="6">
      <formula>AND(LEN($B17&amp;$C17&amp;$D17&amp;$E17&amp;$F17&amp;$G17&amp;$H17&amp;$I17&amp;$J17&amp;$K17&amp;$L17&amp;$M17)&gt;0,D17="")</formula>
    </cfRule>
  </conditionalFormatting>
  <dataValidations count="1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317" showDropDown="0" showInputMessage="1" showErrorMessage="0" allowBlank="1" promptTitle="Reference" prompt="Yes. Reference of the record in the source list"/>
    <dataValidation sqref="C17:C317" showDropDown="0" showInputMessage="1" showErrorMessage="1" allowBlank="1" errorTitle="Entity Type" error="Choose a value of the list Entity Type (UP-03) (sheet Reference lists)." promptTitle="Entity Type" prompt="Yes. A listed person or an entity Allowed: INDIVIDUAL, ENTITY (list Entity Type (UP-03))" type="list" errorStyle="stop">
      <formula1>=LIST_UP_03_ENTITY_TYPE</formula1>
    </dataValidation>
    <dataValidation sqref="D17:D317" showDropDown="0" showInputMessage="1" showErrorMessage="0" allowBlank="1" promptTitle="Primary Name" prompt="Yes. Name as listed"/>
    <dataValidation sqref="E17:E317" showDropDown="0" showInputMessage="1" showErrorMessage="0" allowBlank="1" promptTitle="First Name" prompt="No. First name of a person"/>
    <dataValidation sqref="F17:F317" showDropDown="0" showInputMessage="1" showErrorMessage="0" allowBlank="1" promptTitle="Last Name" prompt="No. Last name of a person"/>
    <dataValidation sqref="G17:G317" showDropDown="0" showInputMessage="1" showErrorMessage="0" allowBlank="1" promptTitle="Aliases" prompt="No. Other names of the record"/>
    <dataValidation sqref="H17:H317" showDropDown="0" showInputMessage="1" showErrorMessage="0" allowBlank="1" promptTitle="Birth Date" prompt="No. Birth date of a person"/>
    <dataValidation sqref="I17:I317" showDropDown="0" showInputMessage="1" showErrorMessage="0" allowBlank="1" promptTitle="Nationality" prompt="No. Nationality"/>
    <dataValidation sqref="J17:J317" showDropDown="0" showInputMessage="1" showErrorMessage="0" allowBlank="1" promptTitle="ID Numbers" prompt="No. Identification numbers"/>
    <dataValidation sqref="K17:K317" showDropDown="0" showInputMessage="1" showErrorMessage="0" allowBlank="1" promptTitle="Listed On" prompt="No. Date the record was listed"/>
    <dataValidation sqref="L17:L317" showDropDown="0" showInputMessage="1" showErrorMessage="1" allowBlank="1" errorTitle="List Type" error="Choose a value of the list List Type (UP-03) (sheet Reference lists)." promptTitle="List Type" prompt="No. Kind of list; blank for the source's kind Allowed: SANCTION, PEP, INTERNAL (list List Type (UP-03))" type="list" errorStyle="stop">
      <formula1>=LIST_UP_03_LIST_TYPE</formula1>
    </dataValidation>
    <dataValidation sqref="M17:M317" showDropDown="0" showInputMessage="1" showErrorMessage="0" allowBlank="1" promptTitle="Remarks" prompt="No. Remarks"/>
  </dataValidations>
  <hyperlinks>
    <hyperlink ref="A2" location="'Start here'!A1"/>
    <hyperlink ref="M2" location="'Questions and comments'!A1"/>
    <hyperlink ref="C14" location="'Reference lists'!A613"/>
    <hyperlink ref="L14" location="'Reference lists'!A615"/>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fitToPage="1"/>
  </sheetPr>
  <dimension ref="A1:K139"/>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2" customWidth="1" min="3" max="3"/>
    <col width="30" customWidth="1" min="4" max="4"/>
    <col width="10" customWidth="1" min="5" max="5"/>
    <col width="16" customWidth="1" min="6" max="6"/>
    <col width="40" customWidth="1" min="7" max="7"/>
    <col width="22" customWidth="1" min="8" max="8"/>
    <col width="40" customWidth="1" min="9" max="9"/>
    <col width="14" customWidth="1" min="10" max="10"/>
    <col width="36" customWidth="1" min="11" max="11"/>
  </cols>
  <sheetData>
    <row r="1" ht="26" customHeight="1">
      <c r="A1" s="25" t="inlineStr">
        <is>
          <t>Review list: lists of values</t>
        </is>
      </c>
    </row>
    <row r="2">
      <c r="A2" s="27" t="inlineStr">
        <is>
          <t>← Back to Start here</t>
        </is>
      </c>
      <c r="B2" s="55" t="inlineStr">
        <is>
          <t>Every list of values of BIBS with its owner and its route: legacy values mapped through the Migration Console (R01), the others entered on Lists of Values</t>
        </is>
      </c>
    </row>
    <row r="4" ht="30" customHeight="1">
      <c r="A4" s="11" t="inlineStr">
        <is>
          <t>List</t>
        </is>
      </c>
      <c r="B4" s="11" t="inlineStr">
        <is>
          <t>Name</t>
        </is>
      </c>
      <c r="C4" s="11" t="inlineStr">
        <is>
          <t>Module</t>
        </is>
      </c>
      <c r="D4" s="11" t="inlineStr">
        <is>
          <t>Owner (BDOI unit)</t>
        </is>
      </c>
      <c r="E4" s="11" t="inlineStr">
        <is>
          <t>Values proposed</t>
        </is>
      </c>
      <c r="F4" s="11" t="inlineStr">
        <is>
          <t>Route</t>
        </is>
      </c>
      <c r="G4" s="11" t="inlineStr">
        <is>
          <t>Given in</t>
        </is>
      </c>
      <c r="H4" s="11" t="inlineStr">
        <is>
          <t>Due</t>
        </is>
      </c>
      <c r="I4" s="11" t="inlineStr">
        <is>
          <t>Values to keep, add or retire</t>
        </is>
      </c>
      <c r="J4" s="11" t="inlineStr">
        <is>
          <t>Status</t>
        </is>
      </c>
      <c r="K4" s="11" t="inlineStr">
        <is>
          <t>BDOI comments</t>
        </is>
      </c>
    </row>
    <row r="5">
      <c r="A5" s="14" t="inlineStr">
        <is>
          <t>ACSL_CASE_TYPE</t>
        </is>
      </c>
      <c r="B5" s="14" t="inlineStr">
        <is>
          <t>ACSL case type</t>
        </is>
      </c>
      <c r="C5" s="14" t="inlineStr">
        <is>
          <t>Accounting, Disbursement and ACSL</t>
        </is>
      </c>
      <c r="D5" s="14" t="inlineStr">
        <is>
          <t>Head, Comptrollership</t>
        </is>
      </c>
      <c r="E5" s="14" t="n">
        <v>5</v>
      </c>
      <c r="F5" s="14" t="inlineStr">
        <is>
          <t>Configuration screen</t>
        </is>
      </c>
      <c r="G5" s="14" t="inlineStr">
        <is>
          <t>This sheet</t>
        </is>
      </c>
      <c r="H5" s="14" t="inlineStr">
        <is>
          <t>9-Apr-2027 (T-38 weeks)</t>
        </is>
      </c>
      <c r="I5" s="14" t="n"/>
      <c r="J5" s="14" t="inlineStr">
        <is>
          <t>Not started</t>
        </is>
      </c>
      <c r="K5" s="14" t="n"/>
    </row>
    <row r="6">
      <c r="A6" s="14" t="inlineStr">
        <is>
          <t>ACSL_CORRECTION_KIND</t>
        </is>
      </c>
      <c r="B6" s="14" t="inlineStr">
        <is>
          <t>ACSL correction kind</t>
        </is>
      </c>
      <c r="C6" s="14" t="inlineStr">
        <is>
          <t>Accounting, Disbursement and ACSL</t>
        </is>
      </c>
      <c r="D6" s="14" t="inlineStr">
        <is>
          <t>Head, Comptrollership</t>
        </is>
      </c>
      <c r="E6" s="14" t="n">
        <v>4</v>
      </c>
      <c r="F6" s="14" t="inlineStr">
        <is>
          <t>Configuration screen</t>
        </is>
      </c>
      <c r="G6" s="14" t="inlineStr">
        <is>
          <t>This sheet</t>
        </is>
      </c>
      <c r="H6" s="14" t="inlineStr">
        <is>
          <t>9-Apr-2027 (T-38 weeks)</t>
        </is>
      </c>
      <c r="I6" s="14" t="n"/>
      <c r="J6" s="14" t="inlineStr">
        <is>
          <t>Not started</t>
        </is>
      </c>
      <c r="K6" s="14" t="n"/>
    </row>
    <row r="7">
      <c r="A7" s="14" t="inlineStr">
        <is>
          <t>ADJ_RETURN_REASON</t>
        </is>
      </c>
      <c r="B7" s="14" t="inlineStr">
        <is>
          <t>Endorsement return reason</t>
        </is>
      </c>
      <c r="C7" s="14" t="inlineStr">
        <is>
          <t>Operations</t>
        </is>
      </c>
      <c r="D7" s="14" t="inlineStr">
        <is>
          <t>Head, Operations Services</t>
        </is>
      </c>
      <c r="E7" s="14" t="n">
        <v>6</v>
      </c>
      <c r="F7" s="14" t="inlineStr">
        <is>
          <t>Configuration screen</t>
        </is>
      </c>
      <c r="G7" s="14" t="inlineStr">
        <is>
          <t>This sheet</t>
        </is>
      </c>
      <c r="H7" s="14" t="inlineStr">
        <is>
          <t>9-Apr-2027 (T-38 weeks)</t>
        </is>
      </c>
      <c r="I7" s="14" t="n"/>
      <c r="J7" s="14" t="inlineStr">
        <is>
          <t>Not started</t>
        </is>
      </c>
      <c r="K7" s="14" t="n"/>
    </row>
    <row r="8">
      <c r="A8" s="14" t="inlineStr">
        <is>
          <t>AR_CLASS</t>
        </is>
      </c>
      <c r="B8" s="14" t="inlineStr">
        <is>
          <t>Acknowledgement receipt class</t>
        </is>
      </c>
      <c r="C8" s="14" t="inlineStr">
        <is>
          <t>Operations</t>
        </is>
      </c>
      <c r="D8" s="14" t="inlineStr">
        <is>
          <t>Head, Operations Services</t>
        </is>
      </c>
      <c r="E8" s="14" t="n">
        <v>11</v>
      </c>
      <c r="F8" s="14" t="inlineStr">
        <is>
          <t>Configuration screen</t>
        </is>
      </c>
      <c r="G8" s="14" t="inlineStr">
        <is>
          <t>This sheet</t>
        </is>
      </c>
      <c r="H8" s="14" t="inlineStr">
        <is>
          <t>9-Apr-2027 (T-38 weeks)</t>
        </is>
      </c>
      <c r="I8" s="14" t="n"/>
      <c r="J8" s="14" t="inlineStr">
        <is>
          <t>Not started</t>
        </is>
      </c>
      <c r="K8" s="14" t="n"/>
    </row>
    <row r="9">
      <c r="A9" s="14" t="inlineStr">
        <is>
          <t>BCL_ADJUSTER</t>
        </is>
      </c>
      <c r="B9" s="14" t="inlineStr">
        <is>
          <t>Adjuster / appraiser</t>
        </is>
      </c>
      <c r="C9" s="14" t="inlineStr">
        <is>
          <t>Claims</t>
        </is>
      </c>
      <c r="D9" s="14" t="inlineStr">
        <is>
          <t>Product Owner, Claims</t>
        </is>
      </c>
      <c r="E9" s="14" t="n">
        <v>25</v>
      </c>
      <c r="F9" s="14" t="inlineStr">
        <is>
          <t>Configuration screen</t>
        </is>
      </c>
      <c r="G9" s="14" t="inlineStr">
        <is>
          <t>This sheet</t>
        </is>
      </c>
      <c r="H9" s="14" t="inlineStr">
        <is>
          <t>9-Apr-2027 (T-38 weeks)</t>
        </is>
      </c>
      <c r="I9" s="14" t="n"/>
      <c r="J9" s="14" t="inlineStr">
        <is>
          <t>Not started</t>
        </is>
      </c>
      <c r="K9" s="14" t="n"/>
    </row>
    <row r="10">
      <c r="A10" s="14" t="inlineStr">
        <is>
          <t>BCL_CATASTROPHE</t>
        </is>
      </c>
      <c r="B10" s="14" t="inlineStr">
        <is>
          <t>Catastrophe code</t>
        </is>
      </c>
      <c r="C10" s="14" t="inlineStr">
        <is>
          <t>Claims</t>
        </is>
      </c>
      <c r="D10" s="14" t="inlineStr">
        <is>
          <t>Product Owner, Claims</t>
        </is>
      </c>
      <c r="E10" s="14" t="n">
        <v>7</v>
      </c>
      <c r="F10" s="14" t="inlineStr">
        <is>
          <t>Configuration screen</t>
        </is>
      </c>
      <c r="G10" s="14" t="inlineStr">
        <is>
          <t>This sheet</t>
        </is>
      </c>
      <c r="H10" s="14" t="inlineStr">
        <is>
          <t>9-Apr-2027 (T-38 weeks)</t>
        </is>
      </c>
      <c r="I10" s="14" t="n"/>
      <c r="J10" s="14" t="inlineStr">
        <is>
          <t>Not started</t>
        </is>
      </c>
      <c r="K10" s="14" t="n"/>
    </row>
    <row r="11">
      <c r="A11" s="14" t="inlineStr">
        <is>
          <t>BCL_CLAIM_STATUS</t>
        </is>
      </c>
      <c r="B11" s="14" t="inlineStr">
        <is>
          <t>Claim status</t>
        </is>
      </c>
      <c r="C11" s="14" t="inlineStr">
        <is>
          <t>Claims</t>
        </is>
      </c>
      <c r="D11" s="14" t="inlineStr">
        <is>
          <t>Product Owner, Claims</t>
        </is>
      </c>
      <c r="E11" s="14" t="n">
        <v>18</v>
      </c>
      <c r="F11" s="14" t="inlineStr">
        <is>
          <t>Configuration screen</t>
        </is>
      </c>
      <c r="G11" s="14" t="inlineStr">
        <is>
          <t>This sheet</t>
        </is>
      </c>
      <c r="H11" s="14" t="inlineStr">
        <is>
          <t>9-Apr-2027 (T-38 weeks)</t>
        </is>
      </c>
      <c r="I11" s="14" t="n"/>
      <c r="J11" s="14" t="inlineStr">
        <is>
          <t>Not started</t>
        </is>
      </c>
      <c r="K11" s="14" t="n"/>
    </row>
    <row r="12">
      <c r="A12" s="14" t="inlineStr">
        <is>
          <t>BCL_CLAIM_TYPE</t>
        </is>
      </c>
      <c r="B12" s="14" t="inlineStr">
        <is>
          <t>Claim type</t>
        </is>
      </c>
      <c r="C12" s="14" t="inlineStr">
        <is>
          <t>Claims</t>
        </is>
      </c>
      <c r="D12" s="14" t="inlineStr">
        <is>
          <t>Product Owner, Claims</t>
        </is>
      </c>
      <c r="E12" s="14" t="n">
        <v>10</v>
      </c>
      <c r="F12" s="14" t="inlineStr">
        <is>
          <t>Configuration screen</t>
        </is>
      </c>
      <c r="G12" s="14" t="inlineStr">
        <is>
          <t>This sheet</t>
        </is>
      </c>
      <c r="H12" s="14" t="inlineStr">
        <is>
          <t>9-Apr-2027 (T-38 weeks)</t>
        </is>
      </c>
      <c r="I12" s="14" t="n"/>
      <c r="J12" s="14" t="inlineStr">
        <is>
          <t>Not started</t>
        </is>
      </c>
      <c r="K12" s="14" t="n"/>
    </row>
    <row r="13">
      <c r="A13" s="14" t="inlineStr">
        <is>
          <t>BCL_DIARY_TYPE</t>
        </is>
      </c>
      <c r="B13" s="14" t="inlineStr">
        <is>
          <t>Claim diary entry type</t>
        </is>
      </c>
      <c r="C13" s="14" t="inlineStr">
        <is>
          <t>Claims</t>
        </is>
      </c>
      <c r="D13" s="14" t="inlineStr">
        <is>
          <t>Product Owner, Claims</t>
        </is>
      </c>
      <c r="E13" s="14" t="n">
        <v>5</v>
      </c>
      <c r="F13" s="14" t="inlineStr">
        <is>
          <t>Configuration screen</t>
        </is>
      </c>
      <c r="G13" s="14" t="inlineStr">
        <is>
          <t>This sheet</t>
        </is>
      </c>
      <c r="H13" s="14" t="inlineStr">
        <is>
          <t>9-Apr-2027 (T-38 weeks)</t>
        </is>
      </c>
      <c r="I13" s="14" t="n"/>
      <c r="J13" s="14" t="inlineStr">
        <is>
          <t>Not started</t>
        </is>
      </c>
      <c r="K13" s="14" t="n"/>
    </row>
    <row r="14">
      <c r="A14" s="14" t="inlineStr">
        <is>
          <t>BCL_DOCUMENT_TYPE</t>
        </is>
      </c>
      <c r="B14" s="14" t="inlineStr">
        <is>
          <t>Claim document type</t>
        </is>
      </c>
      <c r="C14" s="14" t="inlineStr">
        <is>
          <t>Claims</t>
        </is>
      </c>
      <c r="D14" s="14" t="inlineStr">
        <is>
          <t>Product Owner, Claims</t>
        </is>
      </c>
      <c r="E14" s="14" t="n">
        <v>9</v>
      </c>
      <c r="F14" s="14" t="inlineStr">
        <is>
          <t>Configuration screen</t>
        </is>
      </c>
      <c r="G14" s="14" t="inlineStr">
        <is>
          <t>This sheet</t>
        </is>
      </c>
      <c r="H14" s="14" t="inlineStr">
        <is>
          <t>9-Apr-2027 (T-38 weeks)</t>
        </is>
      </c>
      <c r="I14" s="14" t="n"/>
      <c r="J14" s="14" t="inlineStr">
        <is>
          <t>Not started</t>
        </is>
      </c>
      <c r="K14" s="14" t="n"/>
    </row>
    <row r="15">
      <c r="A15" s="14" t="inlineStr">
        <is>
          <t>BCL_LOSS_NATURE</t>
        </is>
      </c>
      <c r="B15" s="14" t="inlineStr">
        <is>
          <t>Nature of loss</t>
        </is>
      </c>
      <c r="C15" s="14" t="inlineStr">
        <is>
          <t>Claims</t>
        </is>
      </c>
      <c r="D15" s="14" t="inlineStr">
        <is>
          <t>Product Owner, Claims</t>
        </is>
      </c>
      <c r="E15" s="14" t="n">
        <v>10</v>
      </c>
      <c r="F15" s="14" t="inlineStr">
        <is>
          <t>Configuration screen</t>
        </is>
      </c>
      <c r="G15" s="14" t="inlineStr">
        <is>
          <t>This sheet</t>
        </is>
      </c>
      <c r="H15" s="14" t="inlineStr">
        <is>
          <t>9-Apr-2027 (T-38 weeks)</t>
        </is>
      </c>
      <c r="I15" s="14" t="n"/>
      <c r="J15" s="14" t="inlineStr">
        <is>
          <t>Not started</t>
        </is>
      </c>
      <c r="K15" s="14" t="n"/>
    </row>
    <row r="16">
      <c r="A16" s="14" t="inlineStr">
        <is>
          <t>BCL_OVERRIDE_REASON</t>
        </is>
      </c>
      <c r="B16" s="14" t="inlineStr">
        <is>
          <t>Claim override reason</t>
        </is>
      </c>
      <c r="C16" s="14" t="inlineStr">
        <is>
          <t>Claims</t>
        </is>
      </c>
      <c r="D16" s="14" t="inlineStr">
        <is>
          <t>Product Owner, Claims</t>
        </is>
      </c>
      <c r="E16" s="14" t="n">
        <v>4</v>
      </c>
      <c r="F16" s="14" t="inlineStr">
        <is>
          <t>Configuration screen</t>
        </is>
      </c>
      <c r="G16" s="14" t="inlineStr">
        <is>
          <t>This sheet</t>
        </is>
      </c>
      <c r="H16" s="14" t="inlineStr">
        <is>
          <t>9-Apr-2027 (T-38 weeks)</t>
        </is>
      </c>
      <c r="I16" s="14" t="n"/>
      <c r="J16" s="14" t="inlineStr">
        <is>
          <t>Not started</t>
        </is>
      </c>
      <c r="K16" s="14" t="n"/>
    </row>
    <row r="17">
      <c r="A17" s="14" t="inlineStr">
        <is>
          <t>BCL_REOPEN_REASON</t>
        </is>
      </c>
      <c r="B17" s="14" t="inlineStr">
        <is>
          <t>Claim reopen reason</t>
        </is>
      </c>
      <c r="C17" s="14" t="inlineStr">
        <is>
          <t>Claims</t>
        </is>
      </c>
      <c r="D17" s="14" t="inlineStr">
        <is>
          <t>Product Owner, Claims</t>
        </is>
      </c>
      <c r="E17" s="14" t="n">
        <v>4</v>
      </c>
      <c r="F17" s="14" t="inlineStr">
        <is>
          <t>Configuration screen</t>
        </is>
      </c>
      <c r="G17" s="14" t="inlineStr">
        <is>
          <t>This sheet</t>
        </is>
      </c>
      <c r="H17" s="14" t="inlineStr">
        <is>
          <t>9-Apr-2027 (T-38 weeks)</t>
        </is>
      </c>
      <c r="I17" s="14" t="n"/>
      <c r="J17" s="14" t="inlineStr">
        <is>
          <t>Not started</t>
        </is>
      </c>
      <c r="K17" s="14" t="n"/>
    </row>
    <row r="18">
      <c r="A18" s="14" t="inlineStr">
        <is>
          <t>BCL_SETTLEMENT_TYPE</t>
        </is>
      </c>
      <c r="B18" s="14" t="inlineStr">
        <is>
          <t>Requested type of settlement</t>
        </is>
      </c>
      <c r="C18" s="14" t="inlineStr">
        <is>
          <t>Claims</t>
        </is>
      </c>
      <c r="D18" s="14" t="inlineStr">
        <is>
          <t>Product Owner, Claims</t>
        </is>
      </c>
      <c r="E18" s="14" t="n">
        <v>10</v>
      </c>
      <c r="F18" s="14" t="inlineStr">
        <is>
          <t>Configuration screen</t>
        </is>
      </c>
      <c r="G18" s="14" t="inlineStr">
        <is>
          <t>This sheet</t>
        </is>
      </c>
      <c r="H18" s="14" t="inlineStr">
        <is>
          <t>9-Apr-2027 (T-38 weeks)</t>
        </is>
      </c>
      <c r="I18" s="14" t="n"/>
      <c r="J18" s="14" t="inlineStr">
        <is>
          <t>Not started</t>
        </is>
      </c>
      <c r="K18" s="14" t="n"/>
    </row>
    <row r="19">
      <c r="A19" s="14" t="inlineStr">
        <is>
          <t>BCL_UNIT</t>
        </is>
      </c>
      <c r="B19" s="14" t="inlineStr">
        <is>
          <t>Claims unit</t>
        </is>
      </c>
      <c r="C19" s="14" t="inlineStr">
        <is>
          <t>Claims</t>
        </is>
      </c>
      <c r="D19" s="14" t="inlineStr">
        <is>
          <t>Product Owner, Claims</t>
        </is>
      </c>
      <c r="E19" s="14" t="n">
        <v>7</v>
      </c>
      <c r="F19" s="14" t="inlineStr">
        <is>
          <t>Configuration screen</t>
        </is>
      </c>
      <c r="G19" s="14" t="inlineStr">
        <is>
          <t>This sheet</t>
        </is>
      </c>
      <c r="H19" s="14" t="inlineStr">
        <is>
          <t>9-Apr-2027 (T-38 weeks)</t>
        </is>
      </c>
      <c r="I19" s="14" t="n"/>
      <c r="J19" s="14" t="inlineStr">
        <is>
          <t>Not started</t>
        </is>
      </c>
      <c r="K19" s="14" t="n"/>
    </row>
    <row r="20">
      <c r="A20" s="14" t="inlineStr">
        <is>
          <t>BCL_UPDATE_SOURCE</t>
        </is>
      </c>
      <c r="B20" s="14" t="inlineStr">
        <is>
          <t>Insurer update source</t>
        </is>
      </c>
      <c r="C20" s="14" t="inlineStr">
        <is>
          <t>Claims</t>
        </is>
      </c>
      <c r="D20" s="14" t="inlineStr">
        <is>
          <t>Product Owner, Claims</t>
        </is>
      </c>
      <c r="E20" s="14" t="n">
        <v>5</v>
      </c>
      <c r="F20" s="14" t="inlineStr">
        <is>
          <t>Configuration screen</t>
        </is>
      </c>
      <c r="G20" s="14" t="inlineStr">
        <is>
          <t>This sheet</t>
        </is>
      </c>
      <c r="H20" s="14" t="inlineStr">
        <is>
          <t>9-Apr-2027 (T-38 weeks)</t>
        </is>
      </c>
      <c r="I20" s="14" t="n"/>
      <c r="J20" s="14" t="inlineStr">
        <is>
          <t>Not started</t>
        </is>
      </c>
      <c r="K20" s="14" t="n"/>
    </row>
    <row r="21">
      <c r="A21" s="14" t="inlineStr">
        <is>
          <t>BRANCH_EMAIL</t>
        </is>
      </c>
      <c r="B21" s="14" t="inlineStr">
        <is>
          <t>Branch e-mail address</t>
        </is>
      </c>
      <c r="C21" s="14" t="inlineStr">
        <is>
          <t>Operations</t>
        </is>
      </c>
      <c r="D21" s="14" t="inlineStr">
        <is>
          <t>Head, Operations Services</t>
        </is>
      </c>
      <c r="E21" s="14" t="n">
        <v>0</v>
      </c>
      <c r="F21" s="14" t="inlineStr">
        <is>
          <t>Configuration screen</t>
        </is>
      </c>
      <c r="G21" s="14" t="inlineStr">
        <is>
          <t>This sheet</t>
        </is>
      </c>
      <c r="H21" s="14" t="inlineStr">
        <is>
          <t>9-Apr-2027 (T-38 weeks)</t>
        </is>
      </c>
      <c r="I21" s="14" t="n"/>
      <c r="J21" s="14" t="inlineStr">
        <is>
          <t>Not started</t>
        </is>
      </c>
      <c r="K21" s="14" t="n"/>
    </row>
    <row r="22">
      <c r="A22" s="14" t="inlineStr">
        <is>
          <t>CANCELLATION_REASON</t>
        </is>
      </c>
      <c r="B22" s="14" t="inlineStr">
        <is>
          <t>Cancellation reason</t>
        </is>
      </c>
      <c r="C22" s="14" t="inlineStr">
        <is>
          <t>Operations</t>
        </is>
      </c>
      <c r="D22" s="14" t="inlineStr">
        <is>
          <t>Head, Operations Services</t>
        </is>
      </c>
      <c r="E22" s="14" t="n">
        <v>36</v>
      </c>
      <c r="F22" s="14" t="inlineStr">
        <is>
          <t>Configuration screen</t>
        </is>
      </c>
      <c r="G22" s="14" t="inlineStr">
        <is>
          <t>This sheet</t>
        </is>
      </c>
      <c r="H22" s="14" t="inlineStr">
        <is>
          <t>9-Apr-2027 (T-38 weeks)</t>
        </is>
      </c>
      <c r="I22" s="14" t="n"/>
      <c r="J22" s="14" t="inlineStr">
        <is>
          <t>Not started</t>
        </is>
      </c>
      <c r="K22" s="14" t="n"/>
    </row>
    <row r="23">
      <c r="A23" s="14" t="inlineStr">
        <is>
          <t>CIVIL_STATUS</t>
        </is>
      </c>
      <c r="B23" s="14" t="inlineStr">
        <is>
          <t>Civil status</t>
        </is>
      </c>
      <c r="C23" s="14" t="inlineStr">
        <is>
          <t>New Business</t>
        </is>
      </c>
      <c r="D23" s="14" t="inlineStr">
        <is>
          <t>Product Owner, BDOI (New Business)</t>
        </is>
      </c>
      <c r="E23" s="14" t="n">
        <v>4</v>
      </c>
      <c r="F23" s="14" t="inlineStr">
        <is>
          <t>Migration Console</t>
        </is>
      </c>
      <c r="G23" s="14" t="inlineStr">
        <is>
          <t>Template R01 (legacy values mapped by code map LOV:CIVIL_STATUS); new values on Lists of Values</t>
        </is>
      </c>
      <c r="H23" s="14" t="inlineStr">
        <is>
          <t>18-Jun-2027 (T-28 weeks)</t>
        </is>
      </c>
      <c r="I23" s="14" t="n"/>
      <c r="J23" s="14" t="inlineStr">
        <is>
          <t>Not started</t>
        </is>
      </c>
      <c r="K23" s="14" t="n"/>
    </row>
    <row r="24">
      <c r="A24" s="14" t="inlineStr">
        <is>
          <t>CLAUSE_KIND</t>
        </is>
      </c>
      <c r="B24" s="14" t="inlineStr">
        <is>
          <t>Clause kind</t>
        </is>
      </c>
      <c r="C24" s="14" t="inlineStr">
        <is>
          <t>Product Maintenance</t>
        </is>
      </c>
      <c r="D24" s="14" t="inlineStr">
        <is>
          <t>Product Owner, Marketing Business System (MBS)</t>
        </is>
      </c>
      <c r="E24" s="14" t="n">
        <v>4</v>
      </c>
      <c r="F24" s="14" t="inlineStr">
        <is>
          <t>Configuration screen</t>
        </is>
      </c>
      <c r="G24" s="14" t="inlineStr">
        <is>
          <t>Template PM-09 (sheet PM-09 Lists and parameters)</t>
        </is>
      </c>
      <c r="H24" s="14" t="inlineStr">
        <is>
          <t>9-Apr-2027 (T-38 weeks)</t>
        </is>
      </c>
      <c r="I24" s="14" t="n"/>
      <c r="J24" s="14" t="inlineStr">
        <is>
          <t>Not started</t>
        </is>
      </c>
      <c r="K24" s="14" t="n"/>
    </row>
    <row r="25">
      <c r="A25" s="14" t="inlineStr">
        <is>
          <t>CLIENT_CONFIRMATION_CHANNEL</t>
        </is>
      </c>
      <c r="B25" s="14" t="inlineStr">
        <is>
          <t>Client confirmation channel</t>
        </is>
      </c>
      <c r="C25" s="14" t="inlineStr">
        <is>
          <t>New Business</t>
        </is>
      </c>
      <c r="D25" s="14" t="inlineStr">
        <is>
          <t>Product Owner, BDOI (New Business)</t>
        </is>
      </c>
      <c r="E25" s="14" t="n">
        <v>4</v>
      </c>
      <c r="F25" s="14" t="inlineStr">
        <is>
          <t>Configuration screen</t>
        </is>
      </c>
      <c r="G25" s="14" t="inlineStr">
        <is>
          <t>This sheet</t>
        </is>
      </c>
      <c r="H25" s="14" t="inlineStr">
        <is>
          <t>9-Apr-2027 (T-38 weeks)</t>
        </is>
      </c>
      <c r="I25" s="14" t="n"/>
      <c r="J25" s="14" t="inlineStr">
        <is>
          <t>Not started</t>
        </is>
      </c>
      <c r="K25" s="14" t="n"/>
    </row>
    <row r="26">
      <c r="A26" s="14" t="inlineStr">
        <is>
          <t>CLIENT_DEACTIVATION_REASON</t>
        </is>
      </c>
      <c r="B26" s="14" t="inlineStr">
        <is>
          <t>Client deactivation reason</t>
        </is>
      </c>
      <c r="C26" s="14" t="inlineStr">
        <is>
          <t>New Business</t>
        </is>
      </c>
      <c r="D26" s="14" t="inlineStr">
        <is>
          <t>Product Owner, BDOI (New Business)</t>
        </is>
      </c>
      <c r="E26" s="14" t="n">
        <v>7</v>
      </c>
      <c r="F26" s="14" t="inlineStr">
        <is>
          <t>Configuration screen</t>
        </is>
      </c>
      <c r="G26" s="14" t="inlineStr">
        <is>
          <t>This sheet</t>
        </is>
      </c>
      <c r="H26" s="14" t="inlineStr">
        <is>
          <t>9-Apr-2027 (T-38 weeks)</t>
        </is>
      </c>
      <c r="I26" s="14" t="n"/>
      <c r="J26" s="14" t="inlineStr">
        <is>
          <t>Not started</t>
        </is>
      </c>
      <c r="K26" s="14" t="n"/>
    </row>
    <row r="27">
      <c r="A27" s="14" t="inlineStr">
        <is>
          <t>CLIENT_TAG</t>
        </is>
      </c>
      <c r="B27" s="14" t="inlineStr">
        <is>
          <t>Client tag</t>
        </is>
      </c>
      <c r="C27" s="14" t="inlineStr">
        <is>
          <t>New Business</t>
        </is>
      </c>
      <c r="D27" s="14" t="inlineStr">
        <is>
          <t>Product Owner, BDOI (New Business)</t>
        </is>
      </c>
      <c r="E27" s="14" t="n">
        <v>5</v>
      </c>
      <c r="F27" s="14" t="inlineStr">
        <is>
          <t>Configuration screen</t>
        </is>
      </c>
      <c r="G27" s="14" t="inlineStr">
        <is>
          <t>This sheet</t>
        </is>
      </c>
      <c r="H27" s="14" t="inlineStr">
        <is>
          <t>9-Apr-2027 (T-38 weeks)</t>
        </is>
      </c>
      <c r="I27" s="14" t="n"/>
      <c r="J27" s="14" t="inlineStr">
        <is>
          <t>Not started</t>
        </is>
      </c>
      <c r="K27" s="14" t="n"/>
    </row>
    <row r="28">
      <c r="A28" s="14" t="inlineStr">
        <is>
          <t>CLX_BILLING_FREQUENCY</t>
        </is>
      </c>
      <c r="B28" s="14" t="inlineStr">
        <is>
          <t>Billing frequency</t>
        </is>
      </c>
      <c r="C28" s="14" t="inlineStr">
        <is>
          <t>Collections</t>
        </is>
      </c>
      <c r="D28" s="14" t="inlineStr">
        <is>
          <t>VP and Head, BDOI Operations (Collections)</t>
        </is>
      </c>
      <c r="E28" s="14" t="n">
        <v>4</v>
      </c>
      <c r="F28" s="14" t="inlineStr">
        <is>
          <t>Configuration screen</t>
        </is>
      </c>
      <c r="G28" s="14" t="inlineStr">
        <is>
          <t>This sheet</t>
        </is>
      </c>
      <c r="H28" s="14" t="inlineStr">
        <is>
          <t>9-Apr-2027 (T-38 weeks)</t>
        </is>
      </c>
      <c r="I28" s="14" t="n"/>
      <c r="J28" s="14" t="inlineStr">
        <is>
          <t>Not started</t>
        </is>
      </c>
      <c r="K28" s="14" t="n"/>
    </row>
    <row r="29">
      <c r="A29" s="14" t="inlineStr">
        <is>
          <t>CLX_EFFORT_CODE</t>
        </is>
      </c>
      <c r="B29" s="14" t="inlineStr">
        <is>
          <t>Collection effort code</t>
        </is>
      </c>
      <c r="C29" s="14" t="inlineStr">
        <is>
          <t>Collections</t>
        </is>
      </c>
      <c r="D29" s="14" t="inlineStr">
        <is>
          <t>VP and Head, BDOI Operations (Collections)</t>
        </is>
      </c>
      <c r="E29" s="14" t="n">
        <v>5</v>
      </c>
      <c r="F29" s="14" t="inlineStr">
        <is>
          <t>Configuration screen</t>
        </is>
      </c>
      <c r="G29" s="14" t="inlineStr">
        <is>
          <t>This sheet</t>
        </is>
      </c>
      <c r="H29" s="14" t="inlineStr">
        <is>
          <t>9-Apr-2027 (T-38 weeks)</t>
        </is>
      </c>
      <c r="I29" s="14" t="n"/>
      <c r="J29" s="14" t="inlineStr">
        <is>
          <t>Not started</t>
        </is>
      </c>
      <c r="K29" s="14" t="n"/>
    </row>
    <row r="30">
      <c r="A30" s="14" t="inlineStr">
        <is>
          <t>CLX_ESCALATION_REASON</t>
        </is>
      </c>
      <c r="B30" s="14" t="inlineStr">
        <is>
          <t>Escalation reason</t>
        </is>
      </c>
      <c r="C30" s="14" t="inlineStr">
        <is>
          <t>Collections</t>
        </is>
      </c>
      <c r="D30" s="14" t="inlineStr">
        <is>
          <t>VP and Head, BDOI Operations (Collections)</t>
        </is>
      </c>
      <c r="E30" s="14" t="n">
        <v>6</v>
      </c>
      <c r="F30" s="14" t="inlineStr">
        <is>
          <t>Configuration screen</t>
        </is>
      </c>
      <c r="G30" s="14" t="inlineStr">
        <is>
          <t>This sheet</t>
        </is>
      </c>
      <c r="H30" s="14" t="inlineStr">
        <is>
          <t>9-Apr-2027 (T-38 weeks)</t>
        </is>
      </c>
      <c r="I30" s="14" t="n"/>
      <c r="J30" s="14" t="inlineStr">
        <is>
          <t>Not started</t>
        </is>
      </c>
      <c r="K30" s="14" t="n"/>
    </row>
    <row r="31">
      <c r="A31" s="14" t="inlineStr">
        <is>
          <t>CLX_PR_DISPOSITION</t>
        </is>
      </c>
      <c r="B31" s="14" t="inlineStr">
        <is>
          <t>PR collector disposition</t>
        </is>
      </c>
      <c r="C31" s="14" t="inlineStr">
        <is>
          <t>Collections</t>
        </is>
      </c>
      <c r="D31" s="14" t="inlineStr">
        <is>
          <t>VP and Head, BDOI Operations (Collections)</t>
        </is>
      </c>
      <c r="E31" s="14" t="n">
        <v>8</v>
      </c>
      <c r="F31" s="14" t="inlineStr">
        <is>
          <t>Configuration screen</t>
        </is>
      </c>
      <c r="G31" s="14" t="inlineStr">
        <is>
          <t>This sheet</t>
        </is>
      </c>
      <c r="H31" s="14" t="inlineStr">
        <is>
          <t>9-Apr-2027 (T-38 weeks)</t>
        </is>
      </c>
      <c r="I31" s="14" t="n"/>
      <c r="J31" s="14" t="inlineStr">
        <is>
          <t>Not started</t>
        </is>
      </c>
      <c r="K31" s="14" t="n"/>
    </row>
    <row r="32">
      <c r="A32" s="14" t="inlineStr">
        <is>
          <t>CLX_UPP_DISPOSITION</t>
        </is>
      </c>
      <c r="B32" s="14" t="inlineStr">
        <is>
          <t>Unapplied payment disposition (collector)</t>
        </is>
      </c>
      <c r="C32" s="14" t="inlineStr">
        <is>
          <t>Collections</t>
        </is>
      </c>
      <c r="D32" s="14" t="inlineStr">
        <is>
          <t>VP and Head, BDOI Operations (Collections)</t>
        </is>
      </c>
      <c r="E32" s="14" t="n">
        <v>6</v>
      </c>
      <c r="F32" s="14" t="inlineStr">
        <is>
          <t>Configuration screen</t>
        </is>
      </c>
      <c r="G32" s="14" t="inlineStr">
        <is>
          <t>This sheet</t>
        </is>
      </c>
      <c r="H32" s="14" t="inlineStr">
        <is>
          <t>9-Apr-2027 (T-38 weeks)</t>
        </is>
      </c>
      <c r="I32" s="14" t="n"/>
      <c r="J32" s="14" t="inlineStr">
        <is>
          <t>Not started</t>
        </is>
      </c>
      <c r="K32" s="14" t="n"/>
    </row>
    <row r="33">
      <c r="A33" s="14" t="inlineStr">
        <is>
          <t>CONSTRUCTION_CLASS</t>
        </is>
      </c>
      <c r="B33" s="14" t="inlineStr">
        <is>
          <t>Construction class</t>
        </is>
      </c>
      <c r="C33" s="14" t="inlineStr">
        <is>
          <t>New Business</t>
        </is>
      </c>
      <c r="D33" s="14" t="inlineStr">
        <is>
          <t>Product Owner, BDOI (New Business)</t>
        </is>
      </c>
      <c r="E33" s="14" t="n">
        <v>4</v>
      </c>
      <c r="F33" s="14" t="inlineStr">
        <is>
          <t>Configuration screen</t>
        </is>
      </c>
      <c r="G33" s="14" t="inlineStr">
        <is>
          <t>This sheet</t>
        </is>
      </c>
      <c r="H33" s="14" t="inlineStr">
        <is>
          <t>9-Apr-2027 (T-38 weeks)</t>
        </is>
      </c>
      <c r="I33" s="14" t="n"/>
      <c r="J33" s="14" t="inlineStr">
        <is>
          <t>Not started</t>
        </is>
      </c>
      <c r="K33" s="14" t="n"/>
    </row>
    <row r="34">
      <c r="A34" s="14" t="inlineStr">
        <is>
          <t>COVERAGE_KIND</t>
        </is>
      </c>
      <c r="B34" s="14" t="inlineStr">
        <is>
          <t>Coverage kind</t>
        </is>
      </c>
      <c r="C34" s="14" t="inlineStr">
        <is>
          <t>Product Maintenance</t>
        </is>
      </c>
      <c r="D34" s="14" t="inlineStr">
        <is>
          <t>Product Owner, Marketing Business System (MBS)</t>
        </is>
      </c>
      <c r="E34" s="14" t="n">
        <v>4</v>
      </c>
      <c r="F34" s="14" t="inlineStr">
        <is>
          <t>Configuration screen</t>
        </is>
      </c>
      <c r="G34" s="14" t="inlineStr">
        <is>
          <t>Template PM-09 (sheet PM-09 Lists and parameters)</t>
        </is>
      </c>
      <c r="H34" s="14" t="inlineStr">
        <is>
          <t>9-Apr-2027 (T-38 weeks)</t>
        </is>
      </c>
      <c r="I34" s="14" t="n"/>
      <c r="J34" s="14" t="inlineStr">
        <is>
          <t>Not started</t>
        </is>
      </c>
      <c r="K34" s="14" t="n"/>
    </row>
    <row r="35">
      <c r="A35" s="14" t="inlineStr">
        <is>
          <t>CSF_CHANGE_REASON</t>
        </is>
      </c>
      <c r="B35" s="14" t="inlineStr">
        <is>
          <t>Contact change reason</t>
        </is>
      </c>
      <c r="C35" s="14" t="inlineStr">
        <is>
          <t>Customer Servicing Facility</t>
        </is>
      </c>
      <c r="D35" s="14" t="inlineStr">
        <is>
          <t>Product Owner, Customer Servicing Facility</t>
        </is>
      </c>
      <c r="E35" s="14" t="n">
        <v>4</v>
      </c>
      <c r="F35" s="14" t="inlineStr">
        <is>
          <t>Configuration screen</t>
        </is>
      </c>
      <c r="G35" s="14" t="inlineStr">
        <is>
          <t>This sheet</t>
        </is>
      </c>
      <c r="H35" s="14" t="inlineStr">
        <is>
          <t>9-Apr-2027 (T-38 weeks)</t>
        </is>
      </c>
      <c r="I35" s="14" t="n"/>
      <c r="J35" s="14" t="inlineStr">
        <is>
          <t>Not started</t>
        </is>
      </c>
      <c r="K35" s="14" t="n"/>
    </row>
    <row r="36">
      <c r="A36" s="14" t="inlineStr">
        <is>
          <t>CSF_CHANNEL</t>
        </is>
      </c>
      <c r="B36" s="14" t="inlineStr">
        <is>
          <t>Contact channel</t>
        </is>
      </c>
      <c r="C36" s="14" t="inlineStr">
        <is>
          <t>Customer Servicing Facility</t>
        </is>
      </c>
      <c r="D36" s="14" t="inlineStr">
        <is>
          <t>Product Owner, Customer Servicing Facility</t>
        </is>
      </c>
      <c r="E36" s="14" t="n">
        <v>3</v>
      </c>
      <c r="F36" s="14" t="inlineStr">
        <is>
          <t>Configuration screen</t>
        </is>
      </c>
      <c r="G36" s="14" t="inlineStr">
        <is>
          <t>This sheet</t>
        </is>
      </c>
      <c r="H36" s="14" t="inlineStr">
        <is>
          <t>9-Apr-2027 (T-38 weeks)</t>
        </is>
      </c>
      <c r="I36" s="14" t="n"/>
      <c r="J36" s="14" t="inlineStr">
        <is>
          <t>Not started</t>
        </is>
      </c>
      <c r="K36" s="14" t="n"/>
    </row>
    <row r="37">
      <c r="A37" s="14" t="inlineStr">
        <is>
          <t>CSF_DOCUMENT_TYPE</t>
        </is>
      </c>
      <c r="B37" s="14" t="inlineStr">
        <is>
          <t>Contact centre document type</t>
        </is>
      </c>
      <c r="C37" s="14" t="inlineStr">
        <is>
          <t>Customer Servicing Facility</t>
        </is>
      </c>
      <c r="D37" s="14" t="inlineStr">
        <is>
          <t>Product Owner, Customer Servicing Facility</t>
        </is>
      </c>
      <c r="E37" s="14" t="n">
        <v>7</v>
      </c>
      <c r="F37" s="14" t="inlineStr">
        <is>
          <t>Configuration screen</t>
        </is>
      </c>
      <c r="G37" s="14" t="inlineStr">
        <is>
          <t>This sheet</t>
        </is>
      </c>
      <c r="H37" s="14" t="inlineStr">
        <is>
          <t>9-Apr-2027 (T-38 weeks)</t>
        </is>
      </c>
      <c r="I37" s="14" t="n"/>
      <c r="J37" s="14" t="inlineStr">
        <is>
          <t>Not started</t>
        </is>
      </c>
      <c r="K37" s="14" t="n"/>
    </row>
    <row r="38">
      <c r="A38" s="14" t="inlineStr">
        <is>
          <t>CSF_REFERRAL_FIELD</t>
        </is>
      </c>
      <c r="B38" s="14" t="inlineStr">
        <is>
          <t>Change referred to the fulfilment unit</t>
        </is>
      </c>
      <c r="C38" s="14" t="inlineStr">
        <is>
          <t>Customer Servicing Facility</t>
        </is>
      </c>
      <c r="D38" s="14" t="inlineStr">
        <is>
          <t>Product Owner, Customer Servicing Facility</t>
        </is>
      </c>
      <c r="E38" s="14" t="n">
        <v>6</v>
      </c>
      <c r="F38" s="14" t="inlineStr">
        <is>
          <t>Configuration screen</t>
        </is>
      </c>
      <c r="G38" s="14" t="inlineStr">
        <is>
          <t>This sheet</t>
        </is>
      </c>
      <c r="H38" s="14" t="inlineStr">
        <is>
          <t>9-Apr-2027 (T-38 weeks)</t>
        </is>
      </c>
      <c r="I38" s="14" t="n"/>
      <c r="J38" s="14" t="inlineStr">
        <is>
          <t>Not started</t>
        </is>
      </c>
      <c r="K38" s="14" t="n"/>
    </row>
    <row r="39">
      <c r="A39" s="14" t="inlineStr">
        <is>
          <t>CSF_STATUS</t>
        </is>
      </c>
      <c r="B39" s="14" t="inlineStr">
        <is>
          <t>Customer service status</t>
        </is>
      </c>
      <c r="C39" s="14" t="inlineStr">
        <is>
          <t>Customer Servicing Facility</t>
        </is>
      </c>
      <c r="D39" s="14" t="inlineStr">
        <is>
          <t>Product Owner, Customer Servicing Facility</t>
        </is>
      </c>
      <c r="E39" s="14" t="n">
        <v>5</v>
      </c>
      <c r="F39" s="14" t="inlineStr">
        <is>
          <t>Configuration screen</t>
        </is>
      </c>
      <c r="G39" s="14" t="inlineStr">
        <is>
          <t>This sheet</t>
        </is>
      </c>
      <c r="H39" s="14" t="inlineStr">
        <is>
          <t>9-Apr-2027 (T-38 weeks)</t>
        </is>
      </c>
      <c r="I39" s="14" t="n"/>
      <c r="J39" s="14" t="inlineStr">
        <is>
          <t>Not started</t>
        </is>
      </c>
      <c r="K39" s="14" t="n"/>
    </row>
    <row r="40">
      <c r="A40" s="14" t="inlineStr">
        <is>
          <t>CSF_STATUS_MAP</t>
        </is>
      </c>
      <c r="B40" s="14" t="inlineStr">
        <is>
          <t>Customer service status mapping</t>
        </is>
      </c>
      <c r="C40" s="14" t="inlineStr">
        <is>
          <t>Customer Servicing Facility</t>
        </is>
      </c>
      <c r="D40" s="14" t="inlineStr">
        <is>
          <t>Product Owner, Customer Servicing Facility</t>
        </is>
      </c>
      <c r="E40" s="14" t="n">
        <v>14</v>
      </c>
      <c r="F40" s="14" t="inlineStr">
        <is>
          <t>Configuration screen</t>
        </is>
      </c>
      <c r="G40" s="14" t="inlineStr">
        <is>
          <t>This sheet</t>
        </is>
      </c>
      <c r="H40" s="14" t="inlineStr">
        <is>
          <t>9-Apr-2027 (T-38 weeks)</t>
        </is>
      </c>
      <c r="I40" s="14" t="n"/>
      <c r="J40" s="14" t="inlineStr">
        <is>
          <t>Not started</t>
        </is>
      </c>
      <c r="K40" s="14" t="n"/>
    </row>
    <row r="41">
      <c r="A41" s="14" t="inlineStr">
        <is>
          <t>CSF_VERIFY_CHECK</t>
        </is>
      </c>
      <c r="B41" s="14" t="inlineStr">
        <is>
          <t>Caller verification check</t>
        </is>
      </c>
      <c r="C41" s="14" t="inlineStr">
        <is>
          <t>Customer Servicing Facility</t>
        </is>
      </c>
      <c r="D41" s="14" t="inlineStr">
        <is>
          <t>Product Owner, Customer Servicing Facility</t>
        </is>
      </c>
      <c r="E41" s="14" t="n">
        <v>4</v>
      </c>
      <c r="F41" s="14" t="inlineStr">
        <is>
          <t>Configuration screen</t>
        </is>
      </c>
      <c r="G41" s="14" t="inlineStr">
        <is>
          <t>This sheet</t>
        </is>
      </c>
      <c r="H41" s="14" t="inlineStr">
        <is>
          <t>9-Apr-2027 (T-38 weeks)</t>
        </is>
      </c>
      <c r="I41" s="14" t="n"/>
      <c r="J41" s="14" t="inlineStr">
        <is>
          <t>Not started</t>
        </is>
      </c>
      <c r="K41" s="14" t="n"/>
    </row>
    <row r="42">
      <c r="A42" s="14" t="inlineStr">
        <is>
          <t>DISBURSEMENT_TYPE</t>
        </is>
      </c>
      <c r="B42" s="14" t="inlineStr">
        <is>
          <t>Disbursement type</t>
        </is>
      </c>
      <c r="C42" s="14" t="inlineStr">
        <is>
          <t>Accounting, Disbursement and ACSL</t>
        </is>
      </c>
      <c r="D42" s="14" t="inlineStr">
        <is>
          <t>Head, Comptrollership</t>
        </is>
      </c>
      <c r="E42" s="14" t="n">
        <v>12</v>
      </c>
      <c r="F42" s="14" t="inlineStr">
        <is>
          <t>Configuration screen</t>
        </is>
      </c>
      <c r="G42" s="14" t="inlineStr">
        <is>
          <t>This sheet</t>
        </is>
      </c>
      <c r="H42" s="14" t="inlineStr">
        <is>
          <t>9-Apr-2027 (T-38 weeks)</t>
        </is>
      </c>
      <c r="I42" s="14" t="n"/>
      <c r="J42" s="14" t="inlineStr">
        <is>
          <t>Not started</t>
        </is>
      </c>
      <c r="K42" s="14" t="n"/>
    </row>
    <row r="43">
      <c r="A43" s="14" t="inlineStr">
        <is>
          <t>DISB_CANCEL_REASON</t>
        </is>
      </c>
      <c r="B43" s="14" t="inlineStr">
        <is>
          <t>DV cancellation reason</t>
        </is>
      </c>
      <c r="C43" s="14" t="inlineStr">
        <is>
          <t>Accounting, Disbursement and ACSL</t>
        </is>
      </c>
      <c r="D43" s="14" t="inlineStr">
        <is>
          <t>Head, Comptrollership</t>
        </is>
      </c>
      <c r="E43" s="14" t="n">
        <v>5</v>
      </c>
      <c r="F43" s="14" t="inlineStr">
        <is>
          <t>Configuration screen</t>
        </is>
      </c>
      <c r="G43" s="14" t="inlineStr">
        <is>
          <t>This sheet</t>
        </is>
      </c>
      <c r="H43" s="14" t="inlineStr">
        <is>
          <t>9-Apr-2027 (T-38 weeks)</t>
        </is>
      </c>
      <c r="I43" s="14" t="n"/>
      <c r="J43" s="14" t="inlineStr">
        <is>
          <t>Not started</t>
        </is>
      </c>
      <c r="K43" s="14" t="n"/>
    </row>
    <row r="44">
      <c r="A44" s="14" t="inlineStr">
        <is>
          <t>DISB_RETURN_REASON</t>
        </is>
      </c>
      <c r="B44" s="14" t="inlineStr">
        <is>
          <t>DV return / rejection reason</t>
        </is>
      </c>
      <c r="C44" s="14" t="inlineStr">
        <is>
          <t>Accounting, Disbursement and ACSL</t>
        </is>
      </c>
      <c r="D44" s="14" t="inlineStr">
        <is>
          <t>Head, Comptrollership</t>
        </is>
      </c>
      <c r="E44" s="14" t="n">
        <v>4</v>
      </c>
      <c r="F44" s="14" t="inlineStr">
        <is>
          <t>Configuration screen</t>
        </is>
      </c>
      <c r="G44" s="14" t="inlineStr">
        <is>
          <t>This sheet</t>
        </is>
      </c>
      <c r="H44" s="14" t="inlineStr">
        <is>
          <t>9-Apr-2027 (T-38 weeks)</t>
        </is>
      </c>
      <c r="I44" s="14" t="n"/>
      <c r="J44" s="14" t="inlineStr">
        <is>
          <t>Not started</t>
        </is>
      </c>
      <c r="K44" s="14" t="n"/>
    </row>
    <row r="45">
      <c r="A45" s="14" t="inlineStr">
        <is>
          <t>DISPOSITION_TYPE</t>
        </is>
      </c>
      <c r="B45" s="14" t="inlineStr">
        <is>
          <t>Unapplied payment disposition</t>
        </is>
      </c>
      <c r="C45" s="14" t="inlineStr">
        <is>
          <t>Operations</t>
        </is>
      </c>
      <c r="D45" s="14" t="inlineStr">
        <is>
          <t>Head, Operations Services</t>
        </is>
      </c>
      <c r="E45" s="14" t="n">
        <v>7</v>
      </c>
      <c r="F45" s="14" t="inlineStr">
        <is>
          <t>Configuration screen</t>
        </is>
      </c>
      <c r="G45" s="14" t="inlineStr">
        <is>
          <t>This sheet</t>
        </is>
      </c>
      <c r="H45" s="14" t="inlineStr">
        <is>
          <t>9-Apr-2027 (T-38 weeks)</t>
        </is>
      </c>
      <c r="I45" s="14" t="n"/>
      <c r="J45" s="14" t="inlineStr">
        <is>
          <t>Not started</t>
        </is>
      </c>
      <c r="K45" s="14" t="n"/>
    </row>
    <row r="46">
      <c r="A46" s="14" t="inlineStr">
        <is>
          <t>DOCUMENT_TYPE</t>
        </is>
      </c>
      <c r="B46" s="14" t="inlineStr">
        <is>
          <t>Document type</t>
        </is>
      </c>
      <c r="C46" s="14" t="inlineStr">
        <is>
          <t>Product Maintenance</t>
        </is>
      </c>
      <c r="D46" s="14" t="inlineStr">
        <is>
          <t>Product Owner, Marketing Business System (MBS)</t>
        </is>
      </c>
      <c r="E46" s="14" t="n">
        <v>61</v>
      </c>
      <c r="F46" s="14" t="inlineStr">
        <is>
          <t>Configuration screen</t>
        </is>
      </c>
      <c r="G46" s="14" t="inlineStr">
        <is>
          <t>Template PM-09 (sheet PM-09 Lists and parameters)</t>
        </is>
      </c>
      <c r="H46" s="14" t="inlineStr">
        <is>
          <t>9-Apr-2027 (T-38 weeks)</t>
        </is>
      </c>
      <c r="I46" s="14" t="n"/>
      <c r="J46" s="14" t="inlineStr">
        <is>
          <t>Not started</t>
        </is>
      </c>
      <c r="K46" s="14" t="n"/>
    </row>
    <row r="47">
      <c r="A47" s="14" t="inlineStr">
        <is>
          <t>DP_FEEDBACK_REASON</t>
        </is>
      </c>
      <c r="B47" s="14" t="inlineStr">
        <is>
          <t>Direct payment feedback reason</t>
        </is>
      </c>
      <c r="C47" s="14" t="inlineStr">
        <is>
          <t>Collections</t>
        </is>
      </c>
      <c r="D47" s="14" t="inlineStr">
        <is>
          <t>VP and Head, BDOI Operations (Collections)</t>
        </is>
      </c>
      <c r="E47" s="14" t="n">
        <v>1</v>
      </c>
      <c r="F47" s="14" t="inlineStr">
        <is>
          <t>Configuration screen</t>
        </is>
      </c>
      <c r="G47" s="14" t="inlineStr">
        <is>
          <t>This sheet</t>
        </is>
      </c>
      <c r="H47" s="14" t="inlineStr">
        <is>
          <t>9-Apr-2027 (T-38 weeks)</t>
        </is>
      </c>
      <c r="I47" s="14" t="n"/>
      <c r="J47" s="14" t="inlineStr">
        <is>
          <t>Not started</t>
        </is>
      </c>
      <c r="K47" s="14" t="n"/>
    </row>
    <row r="48">
      <c r="A48" s="14" t="inlineStr">
        <is>
          <t>EB_BENEFIT_LINE</t>
        </is>
      </c>
      <c r="B48" s="14" t="inlineStr">
        <is>
          <t>EB benefit line</t>
        </is>
      </c>
      <c r="C48" s="14" t="inlineStr">
        <is>
          <t>Employee Benefits</t>
        </is>
      </c>
      <c r="D48" s="14" t="inlineStr">
        <is>
          <t>Product Owner, Employee Benefits</t>
        </is>
      </c>
      <c r="E48" s="14" t="n">
        <v>3</v>
      </c>
      <c r="F48" s="14" t="inlineStr">
        <is>
          <t>Configuration screen</t>
        </is>
      </c>
      <c r="G48" s="14" t="inlineStr">
        <is>
          <t>This sheet</t>
        </is>
      </c>
      <c r="H48" s="14" t="inlineStr">
        <is>
          <t>9-Apr-2027 (T-38 weeks)</t>
        </is>
      </c>
      <c r="I48" s="14" t="n"/>
      <c r="J48" s="14" t="inlineStr">
        <is>
          <t>Not started</t>
        </is>
      </c>
      <c r="K48" s="14" t="n"/>
    </row>
    <row r="49">
      <c r="A49" s="14" t="inlineStr">
        <is>
          <t>EB_CAPABILITY_FACTOR</t>
        </is>
      </c>
      <c r="B49" s="14" t="inlineStr">
        <is>
          <t>EB capability factor</t>
        </is>
      </c>
      <c r="C49" s="14" t="inlineStr">
        <is>
          <t>Employee Benefits</t>
        </is>
      </c>
      <c r="D49" s="14" t="inlineStr">
        <is>
          <t>Product Owner, Employee Benefits</t>
        </is>
      </c>
      <c r="E49" s="14" t="n">
        <v>4</v>
      </c>
      <c r="F49" s="14" t="inlineStr">
        <is>
          <t>Configuration screen</t>
        </is>
      </c>
      <c r="G49" s="14" t="inlineStr">
        <is>
          <t>This sheet</t>
        </is>
      </c>
      <c r="H49" s="14" t="inlineStr">
        <is>
          <t>9-Apr-2027 (T-38 weeks)</t>
        </is>
      </c>
      <c r="I49" s="14" t="n"/>
      <c r="J49" s="14" t="inlineStr">
        <is>
          <t>Not started</t>
        </is>
      </c>
      <c r="K49" s="14" t="n"/>
    </row>
    <row r="50">
      <c r="A50" s="14" t="inlineStr">
        <is>
          <t>EB_FRANCHISE_REJECT_REASON</t>
        </is>
      </c>
      <c r="B50" s="14" t="inlineStr">
        <is>
          <t>EB franchise rejection reason</t>
        </is>
      </c>
      <c r="C50" s="14" t="inlineStr">
        <is>
          <t>Employee Benefits</t>
        </is>
      </c>
      <c r="D50" s="14" t="inlineStr">
        <is>
          <t>Product Owner, Employee Benefits</t>
        </is>
      </c>
      <c r="E50" s="14" t="n">
        <v>4</v>
      </c>
      <c r="F50" s="14" t="inlineStr">
        <is>
          <t>Configuration screen</t>
        </is>
      </c>
      <c r="G50" s="14" t="inlineStr">
        <is>
          <t>This sheet</t>
        </is>
      </c>
      <c r="H50" s="14" t="inlineStr">
        <is>
          <t>9-Apr-2027 (T-38 weeks)</t>
        </is>
      </c>
      <c r="I50" s="14" t="n"/>
      <c r="J50" s="14" t="inlineStr">
        <is>
          <t>Not started</t>
        </is>
      </c>
      <c r="K50" s="14" t="n"/>
    </row>
    <row r="51">
      <c r="A51" s="14" t="inlineStr">
        <is>
          <t>EB_LOST_REASON</t>
        </is>
      </c>
      <c r="B51" s="14" t="inlineStr">
        <is>
          <t>EB lost / not renewed reason</t>
        </is>
      </c>
      <c r="C51" s="14" t="inlineStr">
        <is>
          <t>Employee Benefits</t>
        </is>
      </c>
      <c r="D51" s="14" t="inlineStr">
        <is>
          <t>Product Owner, Employee Benefits</t>
        </is>
      </c>
      <c r="E51" s="14" t="n">
        <v>7</v>
      </c>
      <c r="F51" s="14" t="inlineStr">
        <is>
          <t>Configuration screen</t>
        </is>
      </c>
      <c r="G51" s="14" t="inlineStr">
        <is>
          <t>This sheet</t>
        </is>
      </c>
      <c r="H51" s="14" t="inlineStr">
        <is>
          <t>9-Apr-2027 (T-38 weeks)</t>
        </is>
      </c>
      <c r="I51" s="14" t="n"/>
      <c r="J51" s="14" t="inlineStr">
        <is>
          <t>Not started</t>
        </is>
      </c>
      <c r="K51" s="14" t="n"/>
    </row>
    <row r="52">
      <c r="A52" s="14" t="inlineStr">
        <is>
          <t>EB_MEMBER_CHANGE_TYPE</t>
        </is>
      </c>
      <c r="B52" s="14" t="inlineStr">
        <is>
          <t>EB member change type</t>
        </is>
      </c>
      <c r="C52" s="14" t="inlineStr">
        <is>
          <t>Employee Benefits</t>
        </is>
      </c>
      <c r="D52" s="14" t="inlineStr">
        <is>
          <t>Product Owner, Employee Benefits</t>
        </is>
      </c>
      <c r="E52" s="14" t="n">
        <v>4</v>
      </c>
      <c r="F52" s="14" t="inlineStr">
        <is>
          <t>Configuration screen</t>
        </is>
      </c>
      <c r="G52" s="14" t="inlineStr">
        <is>
          <t>This sheet</t>
        </is>
      </c>
      <c r="H52" s="14" t="inlineStr">
        <is>
          <t>9-Apr-2027 (T-38 weeks)</t>
        </is>
      </c>
      <c r="I52" s="14" t="n"/>
      <c r="J52" s="14" t="inlineStr">
        <is>
          <t>Not started</t>
        </is>
      </c>
      <c r="K52" s="14" t="n"/>
    </row>
    <row r="53">
      <c r="A53" s="14" t="inlineStr">
        <is>
          <t>EB_PROCESS_TYPE</t>
        </is>
      </c>
      <c r="B53" s="14" t="inlineStr">
        <is>
          <t>EB process type</t>
        </is>
      </c>
      <c r="C53" s="14" t="inlineStr">
        <is>
          <t>Employee Benefits</t>
        </is>
      </c>
      <c r="D53" s="14" t="inlineStr">
        <is>
          <t>Product Owner, Employee Benefits</t>
        </is>
      </c>
      <c r="E53" s="14" t="n">
        <v>6</v>
      </c>
      <c r="F53" s="14" t="inlineStr">
        <is>
          <t>Configuration screen</t>
        </is>
      </c>
      <c r="G53" s="14" t="inlineStr">
        <is>
          <t>This sheet</t>
        </is>
      </c>
      <c r="H53" s="14" t="inlineStr">
        <is>
          <t>9-Apr-2027 (T-38 weeks)</t>
        </is>
      </c>
      <c r="I53" s="14" t="n"/>
      <c r="J53" s="14" t="inlineStr">
        <is>
          <t>Not started</t>
        </is>
      </c>
      <c r="K53" s="14" t="n"/>
    </row>
    <row r="54">
      <c r="A54" s="14" t="inlineStr">
        <is>
          <t>EB_SOA_REJECT_REASON</t>
        </is>
      </c>
      <c r="B54" s="14" t="inlineStr">
        <is>
          <t>EB SOA rejection reason</t>
        </is>
      </c>
      <c r="C54" s="14" t="inlineStr">
        <is>
          <t>Employee Benefits</t>
        </is>
      </c>
      <c r="D54" s="14" t="inlineStr">
        <is>
          <t>Product Owner, Employee Benefits</t>
        </is>
      </c>
      <c r="E54" s="14" t="n">
        <v>4</v>
      </c>
      <c r="F54" s="14" t="inlineStr">
        <is>
          <t>Configuration screen</t>
        </is>
      </c>
      <c r="G54" s="14" t="inlineStr">
        <is>
          <t>This sheet</t>
        </is>
      </c>
      <c r="H54" s="14" t="inlineStr">
        <is>
          <t>9-Apr-2027 (T-38 weeks)</t>
        </is>
      </c>
      <c r="I54" s="14" t="n"/>
      <c r="J54" s="14" t="inlineStr">
        <is>
          <t>Not started</t>
        </is>
      </c>
      <c r="K54" s="14" t="n"/>
    </row>
    <row r="55">
      <c r="A55" s="14" t="inlineStr">
        <is>
          <t>EB_TEAM</t>
        </is>
      </c>
      <c r="B55" s="14" t="inlineStr">
        <is>
          <t>EB team</t>
        </is>
      </c>
      <c r="C55" s="14" t="inlineStr">
        <is>
          <t>Employee Benefits</t>
        </is>
      </c>
      <c r="D55" s="14" t="inlineStr">
        <is>
          <t>Product Owner, Employee Benefits</t>
        </is>
      </c>
      <c r="E55" s="14" t="n">
        <v>5</v>
      </c>
      <c r="F55" s="14" t="inlineStr">
        <is>
          <t>Configuration screen</t>
        </is>
      </c>
      <c r="G55" s="14" t="inlineStr">
        <is>
          <t>This sheet</t>
        </is>
      </c>
      <c r="H55" s="14" t="inlineStr">
        <is>
          <t>9-Apr-2027 (T-38 weeks)</t>
        </is>
      </c>
      <c r="I55" s="14" t="n"/>
      <c r="J55" s="14" t="inlineStr">
        <is>
          <t>Not started</t>
        </is>
      </c>
      <c r="K55" s="14" t="n"/>
    </row>
    <row r="56">
      <c r="A56" s="14" t="inlineStr">
        <is>
          <t>EB_TRACKED_ITEM_TYPE</t>
        </is>
      </c>
      <c r="B56" s="14" t="inlineStr">
        <is>
          <t>EB tracked item type</t>
        </is>
      </c>
      <c r="C56" s="14" t="inlineStr">
        <is>
          <t>Employee Benefits</t>
        </is>
      </c>
      <c r="D56" s="14" t="inlineStr">
        <is>
          <t>Product Owner, Employee Benefits</t>
        </is>
      </c>
      <c r="E56" s="14" t="n">
        <v>4</v>
      </c>
      <c r="F56" s="14" t="inlineStr">
        <is>
          <t>Configuration screen</t>
        </is>
      </c>
      <c r="G56" s="14" t="inlineStr">
        <is>
          <t>This sheet</t>
        </is>
      </c>
      <c r="H56" s="14" t="inlineStr">
        <is>
          <t>9-Apr-2027 (T-38 weeks)</t>
        </is>
      </c>
      <c r="I56" s="14" t="n"/>
      <c r="J56" s="14" t="inlineStr">
        <is>
          <t>Not started</t>
        </is>
      </c>
      <c r="K56" s="14" t="n"/>
    </row>
    <row r="57">
      <c r="A57" s="14" t="inlineStr">
        <is>
          <t>ENDORSEMENT_DOC_TYPE</t>
        </is>
      </c>
      <c r="B57" s="14" t="inlineStr">
        <is>
          <t>Endorsement document type</t>
        </is>
      </c>
      <c r="C57" s="14" t="inlineStr">
        <is>
          <t>Operations</t>
        </is>
      </c>
      <c r="D57" s="14" t="inlineStr">
        <is>
          <t>Head, Operations Services</t>
        </is>
      </c>
      <c r="E57" s="14" t="n">
        <v>1</v>
      </c>
      <c r="F57" s="14" t="inlineStr">
        <is>
          <t>Configuration screen</t>
        </is>
      </c>
      <c r="G57" s="14" t="inlineStr">
        <is>
          <t>This sheet</t>
        </is>
      </c>
      <c r="H57" s="14" t="inlineStr">
        <is>
          <t>9-Apr-2027 (T-38 weeks)</t>
        </is>
      </c>
      <c r="I57" s="14" t="n"/>
      <c r="J57" s="14" t="inlineStr">
        <is>
          <t>Not started</t>
        </is>
      </c>
      <c r="K57" s="14" t="n"/>
    </row>
    <row r="58">
      <c r="A58" s="14" t="inlineStr">
        <is>
          <t>ENDORSEMENT_REQUEST_TYPE</t>
        </is>
      </c>
      <c r="B58" s="14" t="inlineStr">
        <is>
          <t>Endorsement request type</t>
        </is>
      </c>
      <c r="C58" s="14" t="inlineStr">
        <is>
          <t>Operations</t>
        </is>
      </c>
      <c r="D58" s="14" t="inlineStr">
        <is>
          <t>Head, Operations Services</t>
        </is>
      </c>
      <c r="E58" s="14" t="n">
        <v>12</v>
      </c>
      <c r="F58" s="14" t="inlineStr">
        <is>
          <t>Configuration screen</t>
        </is>
      </c>
      <c r="G58" s="14" t="inlineStr">
        <is>
          <t>This sheet</t>
        </is>
      </c>
      <c r="H58" s="14" t="inlineStr">
        <is>
          <t>9-Apr-2027 (T-38 weeks)</t>
        </is>
      </c>
      <c r="I58" s="14" t="n"/>
      <c r="J58" s="14" t="inlineStr">
        <is>
          <t>Not started</t>
        </is>
      </c>
      <c r="K58" s="14" t="n"/>
    </row>
    <row r="59">
      <c r="A59" s="14" t="inlineStr">
        <is>
          <t>ENDORSEMENT_TYPE</t>
        </is>
      </c>
      <c r="B59" s="14" t="inlineStr">
        <is>
          <t>Endorsement type</t>
        </is>
      </c>
      <c r="C59" s="14" t="inlineStr">
        <is>
          <t>Operations</t>
        </is>
      </c>
      <c r="D59" s="14" t="inlineStr">
        <is>
          <t>Head, Operations Services</t>
        </is>
      </c>
      <c r="E59" s="14" t="n">
        <v>14</v>
      </c>
      <c r="F59" s="14" t="inlineStr">
        <is>
          <t>Configuration screen</t>
        </is>
      </c>
      <c r="G59" s="14" t="inlineStr">
        <is>
          <t>This sheet</t>
        </is>
      </c>
      <c r="H59" s="14" t="inlineStr">
        <is>
          <t>9-Apr-2027 (T-38 weeks)</t>
        </is>
      </c>
      <c r="I59" s="14" t="n"/>
      <c r="J59" s="14" t="inlineStr">
        <is>
          <t>Not started</t>
        </is>
      </c>
      <c r="K59" s="14" t="n"/>
    </row>
    <row r="60">
      <c r="A60" s="14" t="inlineStr">
        <is>
          <t>EPOLICY_REJECT_REASON</t>
        </is>
      </c>
      <c r="B60" s="14" t="inlineStr">
        <is>
          <t>E-policy rejection reason</t>
        </is>
      </c>
      <c r="C60" s="14" t="inlineStr">
        <is>
          <t>New Business</t>
        </is>
      </c>
      <c r="D60" s="14" t="inlineStr">
        <is>
          <t>Product Owner, BDOI (New Business)</t>
        </is>
      </c>
      <c r="E60" s="14" t="n">
        <v>5</v>
      </c>
      <c r="F60" s="14" t="inlineStr">
        <is>
          <t>Configuration screen</t>
        </is>
      </c>
      <c r="G60" s="14" t="inlineStr">
        <is>
          <t>This sheet</t>
        </is>
      </c>
      <c r="H60" s="14" t="inlineStr">
        <is>
          <t>9-Apr-2027 (T-38 weeks)</t>
        </is>
      </c>
      <c r="I60" s="14" t="n"/>
      <c r="J60" s="14" t="inlineStr">
        <is>
          <t>Not started</t>
        </is>
      </c>
      <c r="K60" s="14" t="n"/>
    </row>
    <row r="61">
      <c r="A61" s="14" t="inlineStr">
        <is>
          <t>FFY_CANCEL_REASON</t>
        </is>
      </c>
      <c r="B61" s="14" t="inlineStr">
        <is>
          <t>FFY cancellation reason</t>
        </is>
      </c>
      <c r="C61" s="14" t="inlineStr">
        <is>
          <t>New Business</t>
        </is>
      </c>
      <c r="D61" s="14" t="inlineStr">
        <is>
          <t>Product Owner, BDOI (New Business)</t>
        </is>
      </c>
      <c r="E61" s="14" t="n">
        <v>4</v>
      </c>
      <c r="F61" s="14" t="inlineStr">
        <is>
          <t>Configuration screen</t>
        </is>
      </c>
      <c r="G61" s="14" t="inlineStr">
        <is>
          <t>This sheet</t>
        </is>
      </c>
      <c r="H61" s="14" t="inlineStr">
        <is>
          <t>9-Apr-2027 (T-38 weeks)</t>
        </is>
      </c>
      <c r="I61" s="14" t="n"/>
      <c r="J61" s="14" t="inlineStr">
        <is>
          <t>Not started</t>
        </is>
      </c>
      <c r="K61" s="14" t="n"/>
    </row>
    <row r="62">
      <c r="A62" s="14" t="inlineStr">
        <is>
          <t>HOLD_REASON</t>
        </is>
      </c>
      <c r="B62" s="14" t="inlineStr">
        <is>
          <t>Remittance hold reason</t>
        </is>
      </c>
      <c r="C62" s="14" t="inlineStr">
        <is>
          <t>Operations</t>
        </is>
      </c>
      <c r="D62" s="14" t="inlineStr">
        <is>
          <t>Head, Operations Services</t>
        </is>
      </c>
      <c r="E62" s="14" t="n">
        <v>1</v>
      </c>
      <c r="F62" s="14" t="inlineStr">
        <is>
          <t>Configuration screen</t>
        </is>
      </c>
      <c r="G62" s="14" t="inlineStr">
        <is>
          <t>This sheet</t>
        </is>
      </c>
      <c r="H62" s="14" t="inlineStr">
        <is>
          <t>9-Apr-2027 (T-38 weeks)</t>
        </is>
      </c>
      <c r="I62" s="14" t="n"/>
      <c r="J62" s="14" t="inlineStr">
        <is>
          <t>Not started</t>
        </is>
      </c>
      <c r="K62" s="14" t="n"/>
    </row>
    <row r="63">
      <c r="A63" s="14" t="inlineStr">
        <is>
          <t>ID_TYPE</t>
        </is>
      </c>
      <c r="B63" s="14" t="inlineStr">
        <is>
          <t>Identification document</t>
        </is>
      </c>
      <c r="C63" s="14" t="inlineStr">
        <is>
          <t>New Business</t>
        </is>
      </c>
      <c r="D63" s="14" t="inlineStr">
        <is>
          <t>Product Owner, BDOI (New Business)</t>
        </is>
      </c>
      <c r="E63" s="14" t="n">
        <v>10</v>
      </c>
      <c r="F63" s="14" t="inlineStr">
        <is>
          <t>Migration Console</t>
        </is>
      </c>
      <c r="G63" s="14" t="inlineStr">
        <is>
          <t>Template R01 (legacy values mapped by code map LOV:ID_TYPE); new values on Lists of Values</t>
        </is>
      </c>
      <c r="H63" s="14" t="inlineStr">
        <is>
          <t>18-Jun-2027 (T-28 weeks)</t>
        </is>
      </c>
      <c r="I63" s="14" t="n"/>
      <c r="J63" s="14" t="inlineStr">
        <is>
          <t>Not started</t>
        </is>
      </c>
      <c r="K63" s="14" t="n"/>
    </row>
    <row r="64">
      <c r="A64" s="14" t="inlineStr">
        <is>
          <t>INCENTIVE_EXCLUSION_RULE</t>
        </is>
      </c>
      <c r="B64" s="14" t="inlineStr">
        <is>
          <t>Incentive exclusion rule</t>
        </is>
      </c>
      <c r="C64" s="14" t="inlineStr">
        <is>
          <t>New Business</t>
        </is>
      </c>
      <c r="D64" s="14" t="inlineStr">
        <is>
          <t>Product Owner, BDOI (New Business)</t>
        </is>
      </c>
      <c r="E64" s="14" t="n">
        <v>2</v>
      </c>
      <c r="F64" s="14" t="inlineStr">
        <is>
          <t>Configuration screen</t>
        </is>
      </c>
      <c r="G64" s="14" t="inlineStr">
        <is>
          <t>This sheet</t>
        </is>
      </c>
      <c r="H64" s="14" t="inlineStr">
        <is>
          <t>9-Apr-2027 (T-38 weeks)</t>
        </is>
      </c>
      <c r="I64" s="14" t="n"/>
      <c r="J64" s="14" t="inlineStr">
        <is>
          <t>Not started</t>
        </is>
      </c>
      <c r="K64" s="14" t="n"/>
    </row>
    <row r="65">
      <c r="A65" s="14" t="inlineStr">
        <is>
          <t>INCENTIVE_TYPE</t>
        </is>
      </c>
      <c r="B65" s="14" t="inlineStr">
        <is>
          <t>Incentive type</t>
        </is>
      </c>
      <c r="C65" s="14" t="inlineStr">
        <is>
          <t>Product Maintenance</t>
        </is>
      </c>
      <c r="D65" s="14" t="inlineStr">
        <is>
          <t>Product Owner, Marketing Business System (MBS)</t>
        </is>
      </c>
      <c r="E65" s="14" t="n">
        <v>2</v>
      </c>
      <c r="F65" s="14" t="inlineStr">
        <is>
          <t>Configuration screen</t>
        </is>
      </c>
      <c r="G65" s="14" t="inlineStr">
        <is>
          <t>Template PM-09 (sheet PM-09 Lists and parameters)</t>
        </is>
      </c>
      <c r="H65" s="14" t="inlineStr">
        <is>
          <t>9-Apr-2027 (T-38 weeks)</t>
        </is>
      </c>
      <c r="I65" s="14" t="n"/>
      <c r="J65" s="14" t="inlineStr">
        <is>
          <t>Not started</t>
        </is>
      </c>
      <c r="K65" s="14" t="n"/>
    </row>
    <row r="66">
      <c r="A66" s="14" t="inlineStr">
        <is>
          <t>INSTRUCTION_TYPE</t>
        </is>
      </c>
      <c r="B66" s="14" t="inlineStr">
        <is>
          <t>Special instruction type</t>
        </is>
      </c>
      <c r="C66" s="14" t="inlineStr">
        <is>
          <t>New Business</t>
        </is>
      </c>
      <c r="D66" s="14" t="inlineStr">
        <is>
          <t>Product Owner, BDOI (New Business)</t>
        </is>
      </c>
      <c r="E66" s="14" t="n">
        <v>6</v>
      </c>
      <c r="F66" s="14" t="inlineStr">
        <is>
          <t>Configuration screen</t>
        </is>
      </c>
      <c r="G66" s="14" t="inlineStr">
        <is>
          <t>This sheet</t>
        </is>
      </c>
      <c r="H66" s="14" t="inlineStr">
        <is>
          <t>9-Apr-2027 (T-38 weeks)</t>
        </is>
      </c>
      <c r="I66" s="14" t="n"/>
      <c r="J66" s="14" t="inlineStr">
        <is>
          <t>Not started</t>
        </is>
      </c>
      <c r="K66" s="14" t="n"/>
    </row>
    <row r="67">
      <c r="A67" s="14" t="inlineStr">
        <is>
          <t>KYC_DOCS_CORPORATE</t>
        </is>
      </c>
      <c r="B67" s="14" t="inlineStr">
        <is>
          <t>KYC checklist - corporate</t>
        </is>
      </c>
      <c r="C67" s="14" t="inlineStr">
        <is>
          <t>New Business</t>
        </is>
      </c>
      <c r="D67" s="14" t="inlineStr">
        <is>
          <t>Product Owner, BDOI (New Business)</t>
        </is>
      </c>
      <c r="E67" s="14" t="n">
        <v>4</v>
      </c>
      <c r="F67" s="14" t="inlineStr">
        <is>
          <t>Configuration screen</t>
        </is>
      </c>
      <c r="G67" s="14" t="inlineStr">
        <is>
          <t>This sheet</t>
        </is>
      </c>
      <c r="H67" s="14" t="inlineStr">
        <is>
          <t>9-Apr-2027 (T-38 weeks)</t>
        </is>
      </c>
      <c r="I67" s="14" t="n"/>
      <c r="J67" s="14" t="inlineStr">
        <is>
          <t>Not started</t>
        </is>
      </c>
      <c r="K67" s="14" t="n"/>
    </row>
    <row r="68">
      <c r="A68" s="14" t="inlineStr">
        <is>
          <t>KYC_DOCS_INDIVIDUAL</t>
        </is>
      </c>
      <c r="B68" s="14" t="inlineStr">
        <is>
          <t>KYC checklist - individual</t>
        </is>
      </c>
      <c r="C68" s="14" t="inlineStr">
        <is>
          <t>New Business</t>
        </is>
      </c>
      <c r="D68" s="14" t="inlineStr">
        <is>
          <t>Product Owner, BDOI (New Business)</t>
        </is>
      </c>
      <c r="E68" s="14" t="n">
        <v>2</v>
      </c>
      <c r="F68" s="14" t="inlineStr">
        <is>
          <t>Configuration screen</t>
        </is>
      </c>
      <c r="G68" s="14" t="inlineStr">
        <is>
          <t>This sheet</t>
        </is>
      </c>
      <c r="H68" s="14" t="inlineStr">
        <is>
          <t>9-Apr-2027 (T-38 weeks)</t>
        </is>
      </c>
      <c r="I68" s="14" t="n"/>
      <c r="J68" s="14" t="inlineStr">
        <is>
          <t>Not started</t>
        </is>
      </c>
      <c r="K68" s="14" t="n"/>
    </row>
    <row r="69">
      <c r="A69" s="14" t="inlineStr">
        <is>
          <t>KYC_RISK_RATING</t>
        </is>
      </c>
      <c r="B69" s="14" t="inlineStr">
        <is>
          <t>KYC risk rating</t>
        </is>
      </c>
      <c r="C69" s="14" t="inlineStr">
        <is>
          <t>New Business</t>
        </is>
      </c>
      <c r="D69" s="14" t="inlineStr">
        <is>
          <t>Product Owner, BDOI (New Business)</t>
        </is>
      </c>
      <c r="E69" s="14" t="n">
        <v>3</v>
      </c>
      <c r="F69" s="14" t="inlineStr">
        <is>
          <t>Migration Console</t>
        </is>
      </c>
      <c r="G69" s="14" t="inlineStr">
        <is>
          <t>Template R01 (legacy values mapped by code map LOV:KYC_RISK_RATING); new values on Lists of Values</t>
        </is>
      </c>
      <c r="H69" s="14" t="inlineStr">
        <is>
          <t>18-Jun-2027 (T-28 weeks)</t>
        </is>
      </c>
      <c r="I69" s="14" t="n"/>
      <c r="J69" s="14" t="inlineStr">
        <is>
          <t>Not started</t>
        </is>
      </c>
      <c r="K69" s="14" t="n"/>
    </row>
    <row r="70">
      <c r="A70" s="14" t="inlineStr">
        <is>
          <t>LEGACY_RECORD_STATUS</t>
        </is>
      </c>
      <c r="B70" s="14" t="inlineStr">
        <is>
          <t>Legacy record status</t>
        </is>
      </c>
      <c r="C70" s="14" t="inlineStr">
        <is>
          <t>Data Migration</t>
        </is>
      </c>
      <c r="D70" s="14" t="inlineStr">
        <is>
          <t>Program Manager, Business Project Services (Data Migration)</t>
        </is>
      </c>
      <c r="E70" s="14" t="n">
        <v>18</v>
      </c>
      <c r="F70" s="14" t="inlineStr">
        <is>
          <t>Configuration screen</t>
        </is>
      </c>
      <c r="G70" s="14" t="inlineStr">
        <is>
          <t>This sheet</t>
        </is>
      </c>
      <c r="H70" s="14" t="inlineStr">
        <is>
          <t>9-Apr-2027 (T-38 weeks)</t>
        </is>
      </c>
      <c r="I70" s="14" t="n"/>
      <c r="J70" s="14" t="inlineStr">
        <is>
          <t>Not started</t>
        </is>
      </c>
      <c r="K70" s="14" t="n"/>
    </row>
    <row r="71">
      <c r="A71" s="14" t="inlineStr">
        <is>
          <t>LEGACY_RECORD_TYPE</t>
        </is>
      </c>
      <c r="B71" s="14" t="inlineStr">
        <is>
          <t>Legacy record type</t>
        </is>
      </c>
      <c r="C71" s="14" t="inlineStr">
        <is>
          <t>Data Migration</t>
        </is>
      </c>
      <c r="D71" s="14" t="inlineStr">
        <is>
          <t>Program Manager, Business Project Services (Data Migration)</t>
        </is>
      </c>
      <c r="E71" s="14" t="n">
        <v>11</v>
      </c>
      <c r="F71" s="14" t="inlineStr">
        <is>
          <t>Configuration screen</t>
        </is>
      </c>
      <c r="G71" s="14" t="inlineStr">
        <is>
          <t>This sheet</t>
        </is>
      </c>
      <c r="H71" s="14" t="inlineStr">
        <is>
          <t>9-Apr-2027 (T-38 weeks)</t>
        </is>
      </c>
      <c r="I71" s="14" t="n"/>
      <c r="J71" s="14" t="inlineStr">
        <is>
          <t>Not started</t>
        </is>
      </c>
      <c r="K71" s="14" t="n"/>
    </row>
    <row r="72">
      <c r="A72" s="14" t="inlineStr">
        <is>
          <t>MARKET_SEGMENT</t>
        </is>
      </c>
      <c r="B72" s="14" t="inlineStr">
        <is>
          <t>Market segment</t>
        </is>
      </c>
      <c r="C72" s="14" t="inlineStr">
        <is>
          <t>Product Maintenance</t>
        </is>
      </c>
      <c r="D72" s="14" t="inlineStr">
        <is>
          <t>Product Owner, Marketing Business System (MBS)</t>
        </is>
      </c>
      <c r="E72" s="14" t="n">
        <v>5</v>
      </c>
      <c r="F72" s="14" t="inlineStr">
        <is>
          <t>Migration Console</t>
        </is>
      </c>
      <c r="G72" s="14" t="inlineStr">
        <is>
          <t>Template R01 (legacy values mapped by code map LOV:MARKET_SEGMENT); new values on Lists of Values</t>
        </is>
      </c>
      <c r="H72" s="14" t="inlineStr">
        <is>
          <t>18-Jun-2027 (T-28 weeks)</t>
        </is>
      </c>
      <c r="I72" s="14" t="n"/>
      <c r="J72" s="14" t="inlineStr">
        <is>
          <t>Not started</t>
        </is>
      </c>
      <c r="K72" s="14" t="n"/>
    </row>
    <row r="73">
      <c r="A73" s="14" t="inlineStr">
        <is>
          <t>MIG_ACCESS_REASON</t>
        </is>
      </c>
      <c r="B73" s="14" t="inlineStr">
        <is>
          <t>Legacy access reason</t>
        </is>
      </c>
      <c r="C73" s="14" t="inlineStr">
        <is>
          <t>Data Migration</t>
        </is>
      </c>
      <c r="D73" s="14" t="inlineStr">
        <is>
          <t>Program Manager, Business Project Services (Data Migration)</t>
        </is>
      </c>
      <c r="E73" s="14" t="n">
        <v>6</v>
      </c>
      <c r="F73" s="14" t="inlineStr">
        <is>
          <t>Configuration screen</t>
        </is>
      </c>
      <c r="G73" s="14" t="inlineStr">
        <is>
          <t>This sheet</t>
        </is>
      </c>
      <c r="H73" s="14" t="inlineStr">
        <is>
          <t>9-Apr-2027 (T-38 weeks)</t>
        </is>
      </c>
      <c r="I73" s="14" t="n"/>
      <c r="J73" s="14" t="inlineStr">
        <is>
          <t>Not started</t>
        </is>
      </c>
      <c r="K73" s="14" t="n"/>
    </row>
    <row r="74">
      <c r="A74" s="14" t="inlineStr">
        <is>
          <t>MIG_BREAK_REASON</t>
        </is>
      </c>
      <c r="B74" s="14" t="inlineStr">
        <is>
          <t>Reconciliation break reason</t>
        </is>
      </c>
      <c r="C74" s="14" t="inlineStr">
        <is>
          <t>Data Migration</t>
        </is>
      </c>
      <c r="D74" s="14" t="inlineStr">
        <is>
          <t>Program Manager, Business Project Services (Data Migration)</t>
        </is>
      </c>
      <c r="E74" s="14" t="n">
        <v>6</v>
      </c>
      <c r="F74" s="14" t="inlineStr">
        <is>
          <t>Configuration screen</t>
        </is>
      </c>
      <c r="G74" s="14" t="inlineStr">
        <is>
          <t>This sheet</t>
        </is>
      </c>
      <c r="H74" s="14" t="inlineStr">
        <is>
          <t>9-Apr-2027 (T-38 weeks)</t>
        </is>
      </c>
      <c r="I74" s="14" t="n"/>
      <c r="J74" s="14" t="inlineStr">
        <is>
          <t>Not started</t>
        </is>
      </c>
      <c r="K74" s="14" t="n"/>
    </row>
    <row r="75">
      <c r="A75" s="14" t="inlineStr">
        <is>
          <t>MIG_OBJECT_CATEGORY</t>
        </is>
      </c>
      <c r="B75" s="14" t="inlineStr">
        <is>
          <t>Migration object category</t>
        </is>
      </c>
      <c r="C75" s="14" t="inlineStr">
        <is>
          <t>Data Migration</t>
        </is>
      </c>
      <c r="D75" s="14" t="inlineStr">
        <is>
          <t>Program Manager, Business Project Services (Data Migration)</t>
        </is>
      </c>
      <c r="E75" s="14" t="n">
        <v>6</v>
      </c>
      <c r="F75" s="14" t="inlineStr">
        <is>
          <t>Configuration screen</t>
        </is>
      </c>
      <c r="G75" s="14" t="inlineStr">
        <is>
          <t>This sheet</t>
        </is>
      </c>
      <c r="H75" s="14" t="inlineStr">
        <is>
          <t>9-Apr-2027 (T-38 weeks)</t>
        </is>
      </c>
      <c r="I75" s="14" t="n"/>
      <c r="J75" s="14" t="inlineStr">
        <is>
          <t>Not started</t>
        </is>
      </c>
      <c r="K75" s="14" t="n"/>
    </row>
    <row r="76">
      <c r="A76" s="14" t="inlineStr">
        <is>
          <t>MIG_SOURCE_SYSTEM</t>
        </is>
      </c>
      <c r="B76" s="14" t="inlineStr">
        <is>
          <t>Legacy source system</t>
        </is>
      </c>
      <c r="C76" s="14" t="inlineStr">
        <is>
          <t>Data Migration</t>
        </is>
      </c>
      <c r="D76" s="14" t="inlineStr">
        <is>
          <t>Program Manager, Business Project Services (Data Migration)</t>
        </is>
      </c>
      <c r="E76" s="14" t="n">
        <v>5</v>
      </c>
      <c r="F76" s="14" t="inlineStr">
        <is>
          <t>Configuration screen</t>
        </is>
      </c>
      <c r="G76" s="14" t="inlineStr">
        <is>
          <t>This sheet</t>
        </is>
      </c>
      <c r="H76" s="14" t="inlineStr">
        <is>
          <t>9-Apr-2027 (T-38 weeks)</t>
        </is>
      </c>
      <c r="I76" s="14" t="n"/>
      <c r="J76" s="14" t="inlineStr">
        <is>
          <t>Not started</t>
        </is>
      </c>
      <c r="K76" s="14" t="n"/>
    </row>
    <row r="77">
      <c r="A77" s="14" t="inlineStr">
        <is>
          <t>MIG_TRUST_LEVEL</t>
        </is>
      </c>
      <c r="B77" s="14" t="inlineStr">
        <is>
          <t>Data trust level</t>
        </is>
      </c>
      <c r="C77" s="14" t="inlineStr">
        <is>
          <t>Data Migration</t>
        </is>
      </c>
      <c r="D77" s="14" t="inlineStr">
        <is>
          <t>Program Manager, Business Project Services (Data Migration)</t>
        </is>
      </c>
      <c r="E77" s="14" t="n">
        <v>3</v>
      </c>
      <c r="F77" s="14" t="inlineStr">
        <is>
          <t>Configuration screen</t>
        </is>
      </c>
      <c r="G77" s="14" t="inlineStr">
        <is>
          <t>This sheet</t>
        </is>
      </c>
      <c r="H77" s="14" t="inlineStr">
        <is>
          <t>9-Apr-2027 (T-38 weeks)</t>
        </is>
      </c>
      <c r="I77" s="14" t="n"/>
      <c r="J77" s="14" t="inlineStr">
        <is>
          <t>Not started</t>
        </is>
      </c>
      <c r="K77" s="14" t="n"/>
    </row>
    <row r="78">
      <c r="A78" s="14" t="inlineStr">
        <is>
          <t>MIG_WAIVER_REASON</t>
        </is>
      </c>
      <c r="B78" s="14" t="inlineStr">
        <is>
          <t>Row waiver reason</t>
        </is>
      </c>
      <c r="C78" s="14" t="inlineStr">
        <is>
          <t>Data Migration</t>
        </is>
      </c>
      <c r="D78" s="14" t="inlineStr">
        <is>
          <t>Program Manager, Business Project Services (Data Migration)</t>
        </is>
      </c>
      <c r="E78" s="14" t="n">
        <v>5</v>
      </c>
      <c r="F78" s="14" t="inlineStr">
        <is>
          <t>Configuration screen</t>
        </is>
      </c>
      <c r="G78" s="14" t="inlineStr">
        <is>
          <t>This sheet</t>
        </is>
      </c>
      <c r="H78" s="14" t="inlineStr">
        <is>
          <t>9-Apr-2027 (T-38 weeks)</t>
        </is>
      </c>
      <c r="I78" s="14" t="n"/>
      <c r="J78" s="14" t="inlineStr">
        <is>
          <t>Not started</t>
        </is>
      </c>
      <c r="K78" s="14" t="n"/>
    </row>
    <row r="79">
      <c r="A79" s="14" t="inlineStr">
        <is>
          <t>MORTGAGEE_BANK</t>
        </is>
      </c>
      <c r="B79" s="14" t="inlineStr">
        <is>
          <t>Mortgagee bank</t>
        </is>
      </c>
      <c r="C79" s="14" t="inlineStr">
        <is>
          <t>New Business</t>
        </is>
      </c>
      <c r="D79" s="14" t="inlineStr">
        <is>
          <t>Product Owner, BDOI (New Business)</t>
        </is>
      </c>
      <c r="E79" s="14" t="n">
        <v>4</v>
      </c>
      <c r="F79" s="14" t="inlineStr">
        <is>
          <t>Configuration screen</t>
        </is>
      </c>
      <c r="G79" s="14" t="inlineStr">
        <is>
          <t>This sheet</t>
        </is>
      </c>
      <c r="H79" s="14" t="inlineStr">
        <is>
          <t>9-Apr-2027 (T-38 weeks)</t>
        </is>
      </c>
      <c r="I79" s="14" t="n"/>
      <c r="J79" s="14" t="inlineStr">
        <is>
          <t>Not started</t>
        </is>
      </c>
      <c r="K79" s="14" t="n"/>
    </row>
    <row r="80">
      <c r="A80" s="14" t="inlineStr">
        <is>
          <t>NATIONALITY</t>
        </is>
      </c>
      <c r="B80" s="14" t="inlineStr">
        <is>
          <t>Nationality</t>
        </is>
      </c>
      <c r="C80" s="14" t="inlineStr">
        <is>
          <t>New Business</t>
        </is>
      </c>
      <c r="D80" s="14" t="inlineStr">
        <is>
          <t>Product Owner, BDOI (New Business)</t>
        </is>
      </c>
      <c r="E80" s="14" t="n">
        <v>6</v>
      </c>
      <c r="F80" s="14" t="inlineStr">
        <is>
          <t>Migration Console</t>
        </is>
      </c>
      <c r="G80" s="14" t="inlineStr">
        <is>
          <t>Template R01 (legacy values mapped by code map LOV:NATIONALITY); new values on Lists of Values</t>
        </is>
      </c>
      <c r="H80" s="14" t="inlineStr">
        <is>
          <t>18-Jun-2027 (T-28 weeks)</t>
        </is>
      </c>
      <c r="I80" s="14" t="n"/>
      <c r="J80" s="14" t="inlineStr">
        <is>
          <t>Not started</t>
        </is>
      </c>
      <c r="K80" s="14" t="n"/>
    </row>
    <row r="81">
      <c r="A81" s="14" t="inlineStr">
        <is>
          <t>OCCUPANCY</t>
        </is>
      </c>
      <c r="B81" s="14" t="inlineStr">
        <is>
          <t>Occupancy</t>
        </is>
      </c>
      <c r="C81" s="14" t="inlineStr">
        <is>
          <t>New Business</t>
        </is>
      </c>
      <c r="D81" s="14" t="inlineStr">
        <is>
          <t>Product Owner, BDOI (New Business)</t>
        </is>
      </c>
      <c r="E81" s="14" t="n">
        <v>6</v>
      </c>
      <c r="F81" s="14" t="inlineStr">
        <is>
          <t>Configuration screen</t>
        </is>
      </c>
      <c r="G81" s="14" t="inlineStr">
        <is>
          <t>This sheet</t>
        </is>
      </c>
      <c r="H81" s="14" t="inlineStr">
        <is>
          <t>9-Apr-2027 (T-38 weeks)</t>
        </is>
      </c>
      <c r="I81" s="14" t="n"/>
      <c r="J81" s="14" t="inlineStr">
        <is>
          <t>Not started</t>
        </is>
      </c>
      <c r="K81" s="14" t="n"/>
    </row>
    <row r="82">
      <c r="A82" s="14" t="inlineStr">
        <is>
          <t>OPS_EXTERNAL_LINK</t>
        </is>
      </c>
      <c r="B82" s="14" t="inlineStr">
        <is>
          <t>Operations external link</t>
        </is>
      </c>
      <c r="C82" s="14" t="inlineStr">
        <is>
          <t>Operations</t>
        </is>
      </c>
      <c r="D82" s="14" t="inlineStr">
        <is>
          <t>Head, Operations Services</t>
        </is>
      </c>
      <c r="E82" s="14" t="n">
        <v>0</v>
      </c>
      <c r="F82" s="14" t="inlineStr">
        <is>
          <t>Configuration screen</t>
        </is>
      </c>
      <c r="G82" s="14" t="inlineStr">
        <is>
          <t>This sheet</t>
        </is>
      </c>
      <c r="H82" s="14" t="inlineStr">
        <is>
          <t>9-Apr-2027 (T-38 weeks)</t>
        </is>
      </c>
      <c r="I82" s="14" t="n"/>
      <c r="J82" s="14" t="inlineStr">
        <is>
          <t>Not started</t>
        </is>
      </c>
      <c r="K82" s="14" t="n"/>
    </row>
    <row r="83">
      <c r="A83" s="14" t="inlineStr">
        <is>
          <t>OR_TYPE</t>
        </is>
      </c>
      <c r="B83" s="14" t="inlineStr">
        <is>
          <t>Official receipt type</t>
        </is>
      </c>
      <c r="C83" s="14" t="inlineStr">
        <is>
          <t>Operations</t>
        </is>
      </c>
      <c r="D83" s="14" t="inlineStr">
        <is>
          <t>Head, Operations Services</t>
        </is>
      </c>
      <c r="E83" s="14" t="n">
        <v>6</v>
      </c>
      <c r="F83" s="14" t="inlineStr">
        <is>
          <t>Configuration screen</t>
        </is>
      </c>
      <c r="G83" s="14" t="inlineStr">
        <is>
          <t>This sheet</t>
        </is>
      </c>
      <c r="H83" s="14" t="inlineStr">
        <is>
          <t>9-Apr-2027 (T-38 weeks)</t>
        </is>
      </c>
      <c r="I83" s="14" t="n"/>
      <c r="J83" s="14" t="inlineStr">
        <is>
          <t>Not started</t>
        </is>
      </c>
      <c r="K83" s="14" t="n"/>
    </row>
    <row r="84">
      <c r="A84" s="14" t="inlineStr">
        <is>
          <t>PAYEE_CLASS</t>
        </is>
      </c>
      <c r="B84" s="14" t="inlineStr">
        <is>
          <t>Payee class</t>
        </is>
      </c>
      <c r="C84" s="14" t="inlineStr">
        <is>
          <t>Accounting, Disbursement and ACSL</t>
        </is>
      </c>
      <c r="D84" s="14" t="inlineStr">
        <is>
          <t>Head, Comptrollership</t>
        </is>
      </c>
      <c r="E84" s="14" t="n">
        <v>6</v>
      </c>
      <c r="F84" s="14" t="inlineStr">
        <is>
          <t>Migration Console</t>
        </is>
      </c>
      <c r="G84" s="14" t="inlineStr">
        <is>
          <t>Template R01 (legacy values mapped by code map LOV:PAYEE_CLASS); new values on Lists of Values</t>
        </is>
      </c>
      <c r="H84" s="14" t="inlineStr">
        <is>
          <t>18-Jun-2027 (T-28 weeks)</t>
        </is>
      </c>
      <c r="I84" s="14" t="n"/>
      <c r="J84" s="14" t="inlineStr">
        <is>
          <t>Not started</t>
        </is>
      </c>
      <c r="K84" s="14" t="n"/>
    </row>
    <row r="85">
      <c r="A85" s="14" t="inlineStr">
        <is>
          <t>PKG_ADVISORY_GROUP</t>
        </is>
      </c>
      <c r="B85" s="14" t="inlineStr">
        <is>
          <t>Advisory recipient group</t>
        </is>
      </c>
      <c r="C85" s="14" t="inlineStr">
        <is>
          <t>Product Maintenance</t>
        </is>
      </c>
      <c r="D85" s="14" t="inlineStr">
        <is>
          <t>Product Owner, Marketing Business System (MBS)</t>
        </is>
      </c>
      <c r="E85" s="14" t="n">
        <v>5</v>
      </c>
      <c r="F85" s="14" t="inlineStr">
        <is>
          <t>Configuration screen</t>
        </is>
      </c>
      <c r="G85" s="14" t="inlineStr">
        <is>
          <t>Template PM-09 (sheet PM-09 Lists and parameters)</t>
        </is>
      </c>
      <c r="H85" s="14" t="inlineStr">
        <is>
          <t>9-Apr-2027 (T-38 weeks)</t>
        </is>
      </c>
      <c r="I85" s="14" t="n"/>
      <c r="J85" s="14" t="inlineStr">
        <is>
          <t>Not started</t>
        </is>
      </c>
      <c r="K85" s="14" t="n"/>
    </row>
    <row r="86">
      <c r="A86" s="14" t="inlineStr">
        <is>
          <t>PKG_NOT_PROCEEDED_REASON</t>
        </is>
      </c>
      <c r="B86" s="14" t="inlineStr">
        <is>
          <t>Package not proceeded reason</t>
        </is>
      </c>
      <c r="C86" s="14" t="inlineStr">
        <is>
          <t>Product Maintenance</t>
        </is>
      </c>
      <c r="D86" s="14" t="inlineStr">
        <is>
          <t>Product Owner, Marketing Business System (MBS)</t>
        </is>
      </c>
      <c r="E86" s="14" t="n">
        <v>5</v>
      </c>
      <c r="F86" s="14" t="inlineStr">
        <is>
          <t>Configuration screen</t>
        </is>
      </c>
      <c r="G86" s="14" t="inlineStr">
        <is>
          <t>Template PM-09 (sheet PM-09 Lists and parameters)</t>
        </is>
      </c>
      <c r="H86" s="14" t="inlineStr">
        <is>
          <t>9-Apr-2027 (T-38 weeks)</t>
        </is>
      </c>
      <c r="I86" s="14" t="n"/>
      <c r="J86" s="14" t="inlineStr">
        <is>
          <t>Not started</t>
        </is>
      </c>
      <c r="K86" s="14" t="n"/>
    </row>
    <row r="87">
      <c r="A87" s="14" t="inlineStr">
        <is>
          <t>PKG_REQUEST_REASON</t>
        </is>
      </c>
      <c r="B87" s="14" t="inlineStr">
        <is>
          <t>Package request reason</t>
        </is>
      </c>
      <c r="C87" s="14" t="inlineStr">
        <is>
          <t>Product Maintenance</t>
        </is>
      </c>
      <c r="D87" s="14" t="inlineStr">
        <is>
          <t>Product Owner, Marketing Business System (MBS)</t>
        </is>
      </c>
      <c r="E87" s="14" t="n">
        <v>8</v>
      </c>
      <c r="F87" s="14" t="inlineStr">
        <is>
          <t>Configuration screen</t>
        </is>
      </c>
      <c r="G87" s="14" t="inlineStr">
        <is>
          <t>Template PM-09 (sheet PM-09 Lists and parameters)</t>
        </is>
      </c>
      <c r="H87" s="14" t="inlineStr">
        <is>
          <t>9-Apr-2027 (T-38 weeks)</t>
        </is>
      </c>
      <c r="I87" s="14" t="n"/>
      <c r="J87" s="14" t="inlineStr">
        <is>
          <t>Not started</t>
        </is>
      </c>
      <c r="K87" s="14" t="n"/>
    </row>
    <row r="88">
      <c r="A88" s="14" t="inlineStr">
        <is>
          <t>PKG_REQUEST_TYPE</t>
        </is>
      </c>
      <c r="B88" s="14" t="inlineStr">
        <is>
          <t>Package request type</t>
        </is>
      </c>
      <c r="C88" s="14" t="inlineStr">
        <is>
          <t>Product Maintenance</t>
        </is>
      </c>
      <c r="D88" s="14" t="inlineStr">
        <is>
          <t>Product Owner, Marketing Business System (MBS)</t>
        </is>
      </c>
      <c r="E88" s="14" t="n">
        <v>6</v>
      </c>
      <c r="F88" s="14" t="inlineStr">
        <is>
          <t>Configuration screen</t>
        </is>
      </c>
      <c r="G88" s="14" t="inlineStr">
        <is>
          <t>Template PM-09 (sheet PM-09 Lists and parameters)</t>
        </is>
      </c>
      <c r="H88" s="14" t="inlineStr">
        <is>
          <t>9-Apr-2027 (T-38 weeks)</t>
        </is>
      </c>
      <c r="I88" s="14" t="n"/>
      <c r="J88" s="14" t="inlineStr">
        <is>
          <t>Not started</t>
        </is>
      </c>
      <c r="K88" s="14" t="n"/>
    </row>
    <row r="89">
      <c r="A89" s="14" t="inlineStr">
        <is>
          <t>PKG_RESPONSE_OUTCOME</t>
        </is>
      </c>
      <c r="B89" s="14" t="inlineStr">
        <is>
          <t>Insurer response outcome</t>
        </is>
      </c>
      <c r="C89" s="14" t="inlineStr">
        <is>
          <t>Product Maintenance</t>
        </is>
      </c>
      <c r="D89" s="14" t="inlineStr">
        <is>
          <t>Product Owner, Marketing Business System (MBS)</t>
        </is>
      </c>
      <c r="E89" s="14" t="n">
        <v>6</v>
      </c>
      <c r="F89" s="14" t="inlineStr">
        <is>
          <t>Configuration screen</t>
        </is>
      </c>
      <c r="G89" s="14" t="inlineStr">
        <is>
          <t>Template PM-09 (sheet PM-09 Lists and parameters)</t>
        </is>
      </c>
      <c r="H89" s="14" t="inlineStr">
        <is>
          <t>9-Apr-2027 (T-38 weeks)</t>
        </is>
      </c>
      <c r="I89" s="14" t="n"/>
      <c r="J89" s="14" t="inlineStr">
        <is>
          <t>Not started</t>
        </is>
      </c>
      <c r="K89" s="14" t="n"/>
    </row>
    <row r="90">
      <c r="A90" s="14" t="inlineStr">
        <is>
          <t>PRQ_PAYMENT_MODE</t>
        </is>
      </c>
      <c r="B90" s="14" t="inlineStr">
        <is>
          <t>Request payment mode</t>
        </is>
      </c>
      <c r="C90" s="14" t="inlineStr">
        <is>
          <t>Accounting, Disbursement and ACSL</t>
        </is>
      </c>
      <c r="D90" s="14" t="inlineStr">
        <is>
          <t>Head, Comptrollership</t>
        </is>
      </c>
      <c r="E90" s="14" t="n">
        <v>6</v>
      </c>
      <c r="F90" s="14" t="inlineStr">
        <is>
          <t>Configuration screen</t>
        </is>
      </c>
      <c r="G90" s="14" t="inlineStr">
        <is>
          <t>This sheet</t>
        </is>
      </c>
      <c r="H90" s="14" t="inlineStr">
        <is>
          <t>9-Apr-2027 (T-38 weeks)</t>
        </is>
      </c>
      <c r="I90" s="14" t="n"/>
      <c r="J90" s="14" t="inlineStr">
        <is>
          <t>Not started</t>
        </is>
      </c>
      <c r="K90" s="14" t="n"/>
    </row>
    <row r="91">
      <c r="A91" s="14" t="inlineStr">
        <is>
          <t>PRQ_RFP_TYPE</t>
        </is>
      </c>
      <c r="B91" s="14" t="inlineStr">
        <is>
          <t>Request for payment type</t>
        </is>
      </c>
      <c r="C91" s="14" t="inlineStr">
        <is>
          <t>Accounting, Disbursement and ACSL</t>
        </is>
      </c>
      <c r="D91" s="14" t="inlineStr">
        <is>
          <t>Head, Comptrollership</t>
        </is>
      </c>
      <c r="E91" s="14" t="n">
        <v>3</v>
      </c>
      <c r="F91" s="14" t="inlineStr">
        <is>
          <t>Configuration screen</t>
        </is>
      </c>
      <c r="G91" s="14" t="inlineStr">
        <is>
          <t>This sheet</t>
        </is>
      </c>
      <c r="H91" s="14" t="inlineStr">
        <is>
          <t>9-Apr-2027 (T-38 weeks)</t>
        </is>
      </c>
      <c r="I91" s="14" t="n"/>
      <c r="J91" s="14" t="inlineStr">
        <is>
          <t>Not started</t>
        </is>
      </c>
      <c r="K91" s="14" t="n"/>
    </row>
    <row r="92">
      <c r="A92" s="14" t="inlineStr">
        <is>
          <t>RECEIPT_CANCEL_REASON</t>
        </is>
      </c>
      <c r="B92" s="14" t="inlineStr">
        <is>
          <t>Receipt cancellation reason</t>
        </is>
      </c>
      <c r="C92" s="14" t="inlineStr">
        <is>
          <t>Operations</t>
        </is>
      </c>
      <c r="D92" s="14" t="inlineStr">
        <is>
          <t>Head, Operations Services</t>
        </is>
      </c>
      <c r="E92" s="14" t="n">
        <v>17</v>
      </c>
      <c r="F92" s="14" t="inlineStr">
        <is>
          <t>Configuration screen</t>
        </is>
      </c>
      <c r="G92" s="14" t="inlineStr">
        <is>
          <t>This sheet</t>
        </is>
      </c>
      <c r="H92" s="14" t="inlineStr">
        <is>
          <t>9-Apr-2027 (T-38 weeks)</t>
        </is>
      </c>
      <c r="I92" s="14" t="n"/>
      <c r="J92" s="14" t="inlineStr">
        <is>
          <t>Not started</t>
        </is>
      </c>
      <c r="K92" s="14" t="n"/>
    </row>
    <row r="93">
      <c r="A93" s="14" t="inlineStr">
        <is>
          <t>RECON_COMPANY_CONCERNED</t>
        </is>
      </c>
      <c r="B93" s="14" t="inlineStr">
        <is>
          <t>Company concerned</t>
        </is>
      </c>
      <c r="C93" s="14" t="inlineStr">
        <is>
          <t>Operations</t>
        </is>
      </c>
      <c r="D93" s="14" t="inlineStr">
        <is>
          <t>Head, Operations Services</t>
        </is>
      </c>
      <c r="E93" s="14" t="n">
        <v>0</v>
      </c>
      <c r="F93" s="14" t="inlineStr">
        <is>
          <t>Configuration screen</t>
        </is>
      </c>
      <c r="G93" s="14" t="inlineStr">
        <is>
          <t>This sheet</t>
        </is>
      </c>
      <c r="H93" s="14" t="inlineStr">
        <is>
          <t>9-Apr-2027 (T-38 weeks)</t>
        </is>
      </c>
      <c r="I93" s="14" t="n"/>
      <c r="J93" s="14" t="inlineStr">
        <is>
          <t>Not started</t>
        </is>
      </c>
      <c r="K93" s="14" t="n"/>
    </row>
    <row r="94">
      <c r="A94" s="14" t="inlineStr">
        <is>
          <t>RECON_DISPOSITION</t>
        </is>
      </c>
      <c r="B94" s="14" t="inlineStr">
        <is>
          <t>Reconciliation disposition</t>
        </is>
      </c>
      <c r="C94" s="14" t="inlineStr">
        <is>
          <t>Operations</t>
        </is>
      </c>
      <c r="D94" s="14" t="inlineStr">
        <is>
          <t>Head, Operations Services</t>
        </is>
      </c>
      <c r="E94" s="14" t="n">
        <v>0</v>
      </c>
      <c r="F94" s="14" t="inlineStr">
        <is>
          <t>Configuration screen</t>
        </is>
      </c>
      <c r="G94" s="14" t="inlineStr">
        <is>
          <t>This sheet</t>
        </is>
      </c>
      <c r="H94" s="14" t="inlineStr">
        <is>
          <t>9-Apr-2027 (T-38 weeks)</t>
        </is>
      </c>
      <c r="I94" s="14" t="n"/>
      <c r="J94" s="14" t="inlineStr">
        <is>
          <t>Not started</t>
        </is>
      </c>
      <c r="K94" s="14" t="n"/>
    </row>
    <row r="95">
      <c r="A95" s="14" t="inlineStr">
        <is>
          <t>REFUND_REASON</t>
        </is>
      </c>
      <c r="B95" s="14" t="inlineStr">
        <is>
          <t>Refund reason</t>
        </is>
      </c>
      <c r="C95" s="14" t="inlineStr">
        <is>
          <t>Accounting, Disbursement and ACSL</t>
        </is>
      </c>
      <c r="D95" s="14" t="inlineStr">
        <is>
          <t>Head, Comptrollership</t>
        </is>
      </c>
      <c r="E95" s="14" t="n">
        <v>5</v>
      </c>
      <c r="F95" s="14" t="inlineStr">
        <is>
          <t>Configuration screen</t>
        </is>
      </c>
      <c r="G95" s="14" t="inlineStr">
        <is>
          <t>This sheet</t>
        </is>
      </c>
      <c r="H95" s="14" t="inlineStr">
        <is>
          <t>9-Apr-2027 (T-38 weeks)</t>
        </is>
      </c>
      <c r="I95" s="14" t="n"/>
      <c r="J95" s="14" t="inlineStr">
        <is>
          <t>Not started</t>
        </is>
      </c>
      <c r="K95" s="14" t="n"/>
    </row>
    <row r="96">
      <c r="A96" s="14" t="inlineStr">
        <is>
          <t>REINSTATEMENT_REASON</t>
        </is>
      </c>
      <c r="B96" s="14" t="inlineStr">
        <is>
          <t>Reinstatement reason</t>
        </is>
      </c>
      <c r="C96" s="14" t="inlineStr">
        <is>
          <t>Operations</t>
        </is>
      </c>
      <c r="D96" s="14" t="inlineStr">
        <is>
          <t>Head, Operations Services</t>
        </is>
      </c>
      <c r="E96" s="14" t="n">
        <v>9</v>
      </c>
      <c r="F96" s="14" t="inlineStr">
        <is>
          <t>Configuration screen</t>
        </is>
      </c>
      <c r="G96" s="14" t="inlineStr">
        <is>
          <t>This sheet</t>
        </is>
      </c>
      <c r="H96" s="14" t="inlineStr">
        <is>
          <t>9-Apr-2027 (T-38 weeks)</t>
        </is>
      </c>
      <c r="I96" s="14" t="n"/>
      <c r="J96" s="14" t="inlineStr">
        <is>
          <t>Not started</t>
        </is>
      </c>
      <c r="K96" s="14" t="n"/>
    </row>
    <row r="97">
      <c r="A97" s="14" t="inlineStr">
        <is>
          <t>REMITTANCE_TYPE</t>
        </is>
      </c>
      <c r="B97" s="14" t="inlineStr">
        <is>
          <t>Remittance type</t>
        </is>
      </c>
      <c r="C97" s="14" t="inlineStr">
        <is>
          <t>Operations</t>
        </is>
      </c>
      <c r="D97" s="14" t="inlineStr">
        <is>
          <t>Head, Operations Services</t>
        </is>
      </c>
      <c r="E97" s="14" t="n">
        <v>3</v>
      </c>
      <c r="F97" s="14" t="inlineStr">
        <is>
          <t>Configuration screen</t>
        </is>
      </c>
      <c r="G97" s="14" t="inlineStr">
        <is>
          <t>This sheet</t>
        </is>
      </c>
      <c r="H97" s="14" t="inlineStr">
        <is>
          <t>9-Apr-2027 (T-38 weeks)</t>
        </is>
      </c>
      <c r="I97" s="14" t="n"/>
      <c r="J97" s="14" t="inlineStr">
        <is>
          <t>Not started</t>
        </is>
      </c>
      <c r="K97" s="14" t="n"/>
    </row>
    <row r="98">
      <c r="A98" s="14" t="inlineStr">
        <is>
          <t>REMIT_DEDUCTION_SOURCE</t>
        </is>
      </c>
      <c r="B98" s="14" t="inlineStr">
        <is>
          <t>Remittance deduction source</t>
        </is>
      </c>
      <c r="C98" s="14" t="inlineStr">
        <is>
          <t>Operations</t>
        </is>
      </c>
      <c r="D98" s="14" t="inlineStr">
        <is>
          <t>Head, Operations Services</t>
        </is>
      </c>
      <c r="E98" s="14" t="n">
        <v>3</v>
      </c>
      <c r="F98" s="14" t="inlineStr">
        <is>
          <t>Configuration screen</t>
        </is>
      </c>
      <c r="G98" s="14" t="inlineStr">
        <is>
          <t>This sheet</t>
        </is>
      </c>
      <c r="H98" s="14" t="inlineStr">
        <is>
          <t>9-Apr-2027 (T-38 weeks)</t>
        </is>
      </c>
      <c r="I98" s="14" t="n"/>
      <c r="J98" s="14" t="inlineStr">
        <is>
          <t>Not started</t>
        </is>
      </c>
      <c r="K98" s="14" t="n"/>
    </row>
    <row r="99">
      <c r="A99" s="14" t="inlineStr">
        <is>
          <t>REMIT_EXCLUSION_REASON</t>
        </is>
      </c>
      <c r="B99" s="14" t="inlineStr">
        <is>
          <t>Remittance exclusion reason</t>
        </is>
      </c>
      <c r="C99" s="14" t="inlineStr">
        <is>
          <t>Operations</t>
        </is>
      </c>
      <c r="D99" s="14" t="inlineStr">
        <is>
          <t>Head, Operations Services</t>
        </is>
      </c>
      <c r="E99" s="14" t="n">
        <v>7</v>
      </c>
      <c r="F99" s="14" t="inlineStr">
        <is>
          <t>Configuration screen</t>
        </is>
      </c>
      <c r="G99" s="14" t="inlineStr">
        <is>
          <t>This sheet</t>
        </is>
      </c>
      <c r="H99" s="14" t="inlineStr">
        <is>
          <t>9-Apr-2027 (T-38 weeks)</t>
        </is>
      </c>
      <c r="I99" s="14" t="n"/>
      <c r="J99" s="14" t="inlineStr">
        <is>
          <t>Not started</t>
        </is>
      </c>
      <c r="K99" s="14" t="n"/>
    </row>
    <row r="100">
      <c r="A100" s="14" t="inlineStr">
        <is>
          <t>REMIT_RETURN_REASON</t>
        </is>
      </c>
      <c r="B100" s="14" t="inlineStr">
        <is>
          <t>Remittance return reason</t>
        </is>
      </c>
      <c r="C100" s="14" t="inlineStr">
        <is>
          <t>Operations</t>
        </is>
      </c>
      <c r="D100" s="14" t="inlineStr">
        <is>
          <t>Head, Operations Services</t>
        </is>
      </c>
      <c r="E100" s="14" t="n">
        <v>1</v>
      </c>
      <c r="F100" s="14" t="inlineStr">
        <is>
          <t>Configuration screen</t>
        </is>
      </c>
      <c r="G100" s="14" t="inlineStr">
        <is>
          <t>This sheet</t>
        </is>
      </c>
      <c r="H100" s="14" t="inlineStr">
        <is>
          <t>9-Apr-2027 (T-38 weeks)</t>
        </is>
      </c>
      <c r="I100" s="14" t="n"/>
      <c r="J100" s="14" t="inlineStr">
        <is>
          <t>Not started</t>
        </is>
      </c>
      <c r="K100" s="14" t="n"/>
    </row>
    <row r="101">
      <c r="A101" s="14" t="inlineStr">
        <is>
          <t>RETURN_REASON</t>
        </is>
      </c>
      <c r="B101" s="14" t="inlineStr">
        <is>
          <t>Return reason</t>
        </is>
      </c>
      <c r="C101" s="14" t="inlineStr">
        <is>
          <t>New Business</t>
        </is>
      </c>
      <c r="D101" s="14" t="inlineStr">
        <is>
          <t>Product Owner, BDOI (New Business)</t>
        </is>
      </c>
      <c r="E101" s="14" t="n">
        <v>7</v>
      </c>
      <c r="F101" s="14" t="inlineStr">
        <is>
          <t>Configuration screen</t>
        </is>
      </c>
      <c r="G101" s="14" t="inlineStr">
        <is>
          <t>This sheet</t>
        </is>
      </c>
      <c r="H101" s="14" t="inlineStr">
        <is>
          <t>9-Apr-2027 (T-38 weeks)</t>
        </is>
      </c>
      <c r="I101" s="14" t="n"/>
      <c r="J101" s="14" t="inlineStr">
        <is>
          <t>Not started</t>
        </is>
      </c>
      <c r="K101" s="14" t="n"/>
    </row>
    <row r="102">
      <c r="A102" s="14" t="inlineStr">
        <is>
          <t>RNW_DISPOSITION</t>
        </is>
      </c>
      <c r="B102" s="14" t="inlineStr">
        <is>
          <t>Renewal disposition</t>
        </is>
      </c>
      <c r="C102" s="14" t="inlineStr">
        <is>
          <t>Renewal</t>
        </is>
      </c>
      <c r="D102" s="14" t="inlineStr">
        <is>
          <t>Product Owner, Renewal</t>
        </is>
      </c>
      <c r="E102" s="14" t="n">
        <v>5</v>
      </c>
      <c r="F102" s="14" t="inlineStr">
        <is>
          <t>Configuration screen</t>
        </is>
      </c>
      <c r="G102" s="14" t="inlineStr">
        <is>
          <t>This sheet</t>
        </is>
      </c>
      <c r="H102" s="14" t="inlineStr">
        <is>
          <t>9-Apr-2027 (T-38 weeks)</t>
        </is>
      </c>
      <c r="I102" s="14" t="n"/>
      <c r="J102" s="14" t="inlineStr">
        <is>
          <t>Not started</t>
        </is>
      </c>
      <c r="K102" s="14" t="n"/>
    </row>
    <row r="103">
      <c r="A103" s="14" t="inlineStr">
        <is>
          <t>RNW_FOLLOWUP_CHANNEL</t>
        </is>
      </c>
      <c r="B103" s="14" t="inlineStr">
        <is>
          <t>Renewal follow-up channel</t>
        </is>
      </c>
      <c r="C103" s="14" t="inlineStr">
        <is>
          <t>Renewal</t>
        </is>
      </c>
      <c r="D103" s="14" t="inlineStr">
        <is>
          <t>Product Owner, Renewal</t>
        </is>
      </c>
      <c r="E103" s="14" t="n">
        <v>3</v>
      </c>
      <c r="F103" s="14" t="inlineStr">
        <is>
          <t>Configuration screen</t>
        </is>
      </c>
      <c r="G103" s="14" t="inlineStr">
        <is>
          <t>This sheet</t>
        </is>
      </c>
      <c r="H103" s="14" t="inlineStr">
        <is>
          <t>9-Apr-2027 (T-38 weeks)</t>
        </is>
      </c>
      <c r="I103" s="14" t="n"/>
      <c r="J103" s="14" t="inlineStr">
        <is>
          <t>Not started</t>
        </is>
      </c>
      <c r="K103" s="14" t="n"/>
    </row>
    <row r="104">
      <c r="A104" s="14" t="inlineStr">
        <is>
          <t>RNW_FOLLOWUP_OUTCOME</t>
        </is>
      </c>
      <c r="B104" s="14" t="inlineStr">
        <is>
          <t>Renewal follow-up outcome</t>
        </is>
      </c>
      <c r="C104" s="14" t="inlineStr">
        <is>
          <t>Renewal</t>
        </is>
      </c>
      <c r="D104" s="14" t="inlineStr">
        <is>
          <t>Product Owner, Renewal</t>
        </is>
      </c>
      <c r="E104" s="14" t="n">
        <v>6</v>
      </c>
      <c r="F104" s="14" t="inlineStr">
        <is>
          <t>Configuration screen</t>
        </is>
      </c>
      <c r="G104" s="14" t="inlineStr">
        <is>
          <t>This sheet</t>
        </is>
      </c>
      <c r="H104" s="14" t="inlineStr">
        <is>
          <t>9-Apr-2027 (T-38 weeks)</t>
        </is>
      </c>
      <c r="I104" s="14" t="n"/>
      <c r="J104" s="14" t="inlineStr">
        <is>
          <t>Not started</t>
        </is>
      </c>
      <c r="K104" s="14" t="n"/>
    </row>
    <row r="105">
      <c r="A105" s="14" t="inlineStr">
        <is>
          <t>RNW_INSURER_RESPONSE</t>
        </is>
      </c>
      <c r="B105" s="14" t="inlineStr">
        <is>
          <t>Insurer renewal response</t>
        </is>
      </c>
      <c r="C105" s="14" t="inlineStr">
        <is>
          <t>Renewal</t>
        </is>
      </c>
      <c r="D105" s="14" t="inlineStr">
        <is>
          <t>Product Owner, Renewal</t>
        </is>
      </c>
      <c r="E105" s="14" t="n">
        <v>3</v>
      </c>
      <c r="F105" s="14" t="inlineStr">
        <is>
          <t>Configuration screen</t>
        </is>
      </c>
      <c r="G105" s="14" t="inlineStr">
        <is>
          <t>This sheet</t>
        </is>
      </c>
      <c r="H105" s="14" t="inlineStr">
        <is>
          <t>9-Apr-2027 (T-38 weeks)</t>
        </is>
      </c>
      <c r="I105" s="14" t="n"/>
      <c r="J105" s="14" t="inlineStr">
        <is>
          <t>Not started</t>
        </is>
      </c>
      <c r="K105" s="14" t="n"/>
    </row>
    <row r="106">
      <c r="A106" s="14" t="inlineStr">
        <is>
          <t>RNW_LAMD_STATUS</t>
        </is>
      </c>
      <c r="B106" s="14" t="inlineStr">
        <is>
          <t>LAMD loan status</t>
        </is>
      </c>
      <c r="C106" s="14" t="inlineStr">
        <is>
          <t>Renewal</t>
        </is>
      </c>
      <c r="D106" s="14" t="inlineStr">
        <is>
          <t>Product Owner, Renewal</t>
        </is>
      </c>
      <c r="E106" s="14" t="n">
        <v>2</v>
      </c>
      <c r="F106" s="14" t="inlineStr">
        <is>
          <t>Configuration screen</t>
        </is>
      </c>
      <c r="G106" s="14" t="inlineStr">
        <is>
          <t>This sheet</t>
        </is>
      </c>
      <c r="H106" s="14" t="inlineStr">
        <is>
          <t>9-Apr-2027 (T-38 weeks)</t>
        </is>
      </c>
      <c r="I106" s="14" t="n"/>
      <c r="J106" s="14" t="inlineStr">
        <is>
          <t>Not started</t>
        </is>
      </c>
      <c r="K106" s="14" t="n"/>
    </row>
    <row r="107">
      <c r="A107" s="14" t="inlineStr">
        <is>
          <t>RNW_NONRENEWAL_REASON</t>
        </is>
      </c>
      <c r="B107" s="14" t="inlineStr">
        <is>
          <t>Reason for Not for Renewal</t>
        </is>
      </c>
      <c r="C107" s="14" t="inlineStr">
        <is>
          <t>Renewal</t>
        </is>
      </c>
      <c r="D107" s="14" t="inlineStr">
        <is>
          <t>Product Owner, Renewal</t>
        </is>
      </c>
      <c r="E107" s="14" t="n">
        <v>11</v>
      </c>
      <c r="F107" s="14" t="inlineStr">
        <is>
          <t>Configuration screen</t>
        </is>
      </c>
      <c r="G107" s="14" t="inlineStr">
        <is>
          <t>This sheet</t>
        </is>
      </c>
      <c r="H107" s="14" t="inlineStr">
        <is>
          <t>9-Apr-2027 (T-38 weeks)</t>
        </is>
      </c>
      <c r="I107" s="14" t="n"/>
      <c r="J107" s="14" t="inlineStr">
        <is>
          <t>Not started</t>
        </is>
      </c>
      <c r="K107" s="14" t="n"/>
    </row>
    <row r="108">
      <c r="A108" s="14" t="inlineStr">
        <is>
          <t>RNW_OVERRIDE_REASON</t>
        </is>
      </c>
      <c r="B108" s="14" t="inlineStr">
        <is>
          <t>Renewal override reason</t>
        </is>
      </c>
      <c r="C108" s="14" t="inlineStr">
        <is>
          <t>Renewal</t>
        </is>
      </c>
      <c r="D108" s="14" t="inlineStr">
        <is>
          <t>Product Owner, Renewal</t>
        </is>
      </c>
      <c r="E108" s="14" t="n">
        <v>5</v>
      </c>
      <c r="F108" s="14" t="inlineStr">
        <is>
          <t>Configuration screen</t>
        </is>
      </c>
      <c r="G108" s="14" t="inlineStr">
        <is>
          <t>This sheet</t>
        </is>
      </c>
      <c r="H108" s="14" t="inlineStr">
        <is>
          <t>9-Apr-2027 (T-38 weeks)</t>
        </is>
      </c>
      <c r="I108" s="14" t="n"/>
      <c r="J108" s="14" t="inlineStr">
        <is>
          <t>Not started</t>
        </is>
      </c>
      <c r="K108" s="14" t="n"/>
    </row>
    <row r="109">
      <c r="A109" s="14" t="inlineStr">
        <is>
          <t>RNW_RETURN_REASON</t>
        </is>
      </c>
      <c r="B109" s="14" t="inlineStr">
        <is>
          <t>Renewal return reason</t>
        </is>
      </c>
      <c r="C109" s="14" t="inlineStr">
        <is>
          <t>Renewal</t>
        </is>
      </c>
      <c r="D109" s="14" t="inlineStr">
        <is>
          <t>Product Owner, Renewal</t>
        </is>
      </c>
      <c r="E109" s="14" t="n">
        <v>5</v>
      </c>
      <c r="F109" s="14" t="inlineStr">
        <is>
          <t>Configuration screen</t>
        </is>
      </c>
      <c r="G109" s="14" t="inlineStr">
        <is>
          <t>This sheet</t>
        </is>
      </c>
      <c r="H109" s="14" t="inlineStr">
        <is>
          <t>9-Apr-2027 (T-38 weeks)</t>
        </is>
      </c>
      <c r="I109" s="14" t="n"/>
      <c r="J109" s="14" t="inlineStr">
        <is>
          <t>Not started</t>
        </is>
      </c>
      <c r="K109" s="14" t="n"/>
    </row>
    <row r="110">
      <c r="A110" s="14" t="inlineStr">
        <is>
          <t>RNW_TRANSFER_REASON</t>
        </is>
      </c>
      <c r="B110" s="14" t="inlineStr">
        <is>
          <t>Renewal transfer reason</t>
        </is>
      </c>
      <c r="C110" s="14" t="inlineStr">
        <is>
          <t>Renewal</t>
        </is>
      </c>
      <c r="D110" s="14" t="inlineStr">
        <is>
          <t>Product Owner, Renewal</t>
        </is>
      </c>
      <c r="E110" s="14" t="n">
        <v>4</v>
      </c>
      <c r="F110" s="14" t="inlineStr">
        <is>
          <t>Configuration screen</t>
        </is>
      </c>
      <c r="G110" s="14" t="inlineStr">
        <is>
          <t>This sheet</t>
        </is>
      </c>
      <c r="H110" s="14" t="inlineStr">
        <is>
          <t>9-Apr-2027 (T-38 weeks)</t>
        </is>
      </c>
      <c r="I110" s="14" t="n"/>
      <c r="J110" s="14" t="inlineStr">
        <is>
          <t>Not started</t>
        </is>
      </c>
      <c r="K110" s="14" t="n"/>
    </row>
    <row r="111">
      <c r="A111" s="14" t="inlineStr">
        <is>
          <t>RRF_CATEGORY_A</t>
        </is>
      </c>
      <c r="B111" s="14" t="inlineStr">
        <is>
          <t>Refund category A</t>
        </is>
      </c>
      <c r="C111" s="14" t="inlineStr">
        <is>
          <t>Accounting, Disbursement and ACSL</t>
        </is>
      </c>
      <c r="D111" s="14" t="inlineStr">
        <is>
          <t>Head, Comptrollership</t>
        </is>
      </c>
      <c r="E111" s="14" t="n">
        <v>1</v>
      </c>
      <c r="F111" s="14" t="inlineStr">
        <is>
          <t>Configuration screen</t>
        </is>
      </c>
      <c r="G111" s="14" t="inlineStr">
        <is>
          <t>This sheet</t>
        </is>
      </c>
      <c r="H111" s="14" t="inlineStr">
        <is>
          <t>9-Apr-2027 (T-38 weeks)</t>
        </is>
      </c>
      <c r="I111" s="14" t="n"/>
      <c r="J111" s="14" t="inlineStr">
        <is>
          <t>Not started</t>
        </is>
      </c>
      <c r="K111" s="14" t="n"/>
    </row>
    <row r="112">
      <c r="A112" s="14" t="inlineStr">
        <is>
          <t>RRF_CATEGORY_B</t>
        </is>
      </c>
      <c r="B112" s="14" t="inlineStr">
        <is>
          <t>Refund category B</t>
        </is>
      </c>
      <c r="C112" s="14" t="inlineStr">
        <is>
          <t>Accounting, Disbursement and ACSL</t>
        </is>
      </c>
      <c r="D112" s="14" t="inlineStr">
        <is>
          <t>Head, Comptrollership</t>
        </is>
      </c>
      <c r="E112" s="14" t="n">
        <v>1</v>
      </c>
      <c r="F112" s="14" t="inlineStr">
        <is>
          <t>Configuration screen</t>
        </is>
      </c>
      <c r="G112" s="14" t="inlineStr">
        <is>
          <t>This sheet</t>
        </is>
      </c>
      <c r="H112" s="14" t="inlineStr">
        <is>
          <t>9-Apr-2027 (T-38 weeks)</t>
        </is>
      </c>
      <c r="I112" s="14" t="n"/>
      <c r="J112" s="14" t="inlineStr">
        <is>
          <t>Not started</t>
        </is>
      </c>
      <c r="K112" s="14" t="n"/>
    </row>
    <row r="113">
      <c r="A113" s="14" t="inlineStr">
        <is>
          <t>SBM_BUCKET</t>
        </is>
      </c>
      <c r="B113" s="14" t="inlineStr">
        <is>
          <t>Submitted policy bucket</t>
        </is>
      </c>
      <c r="C113" s="14" t="inlineStr">
        <is>
          <t>Submitted Policies</t>
        </is>
      </c>
      <c r="D113" s="14" t="inlineStr">
        <is>
          <t>Product Owner, Submitted Policies</t>
        </is>
      </c>
      <c r="E113" s="14" t="n">
        <v>12</v>
      </c>
      <c r="F113" s="14" t="inlineStr">
        <is>
          <t>Configuration screen</t>
        </is>
      </c>
      <c r="G113" s="14" t="inlineStr">
        <is>
          <t>This sheet</t>
        </is>
      </c>
      <c r="H113" s="14" t="inlineStr">
        <is>
          <t>9-Apr-2027 (T-38 weeks)</t>
        </is>
      </c>
      <c r="I113" s="14" t="n"/>
      <c r="J113" s="14" t="inlineStr">
        <is>
          <t>Not started</t>
        </is>
      </c>
      <c r="K113" s="14" t="n"/>
    </row>
    <row r="114">
      <c r="A114" s="14" t="inlineStr">
        <is>
          <t>SBM_CONVERSION_STATUS</t>
        </is>
      </c>
      <c r="B114" s="14" t="inlineStr">
        <is>
          <t>Conversion status</t>
        </is>
      </c>
      <c r="C114" s="14" t="inlineStr">
        <is>
          <t>Submitted Policies</t>
        </is>
      </c>
      <c r="D114" s="14" t="inlineStr">
        <is>
          <t>Product Owner, Submitted Policies</t>
        </is>
      </c>
      <c r="E114" s="14" t="n">
        <v>6</v>
      </c>
      <c r="F114" s="14" t="inlineStr">
        <is>
          <t>Configuration screen</t>
        </is>
      </c>
      <c r="G114" s="14" t="inlineStr">
        <is>
          <t>This sheet</t>
        </is>
      </c>
      <c r="H114" s="14" t="inlineStr">
        <is>
          <t>9-Apr-2027 (T-38 weeks)</t>
        </is>
      </c>
      <c r="I114" s="14" t="n"/>
      <c r="J114" s="14" t="inlineStr">
        <is>
          <t>Not started</t>
        </is>
      </c>
      <c r="K114" s="14" t="n"/>
    </row>
    <row r="115">
      <c r="A115" s="14" t="inlineStr">
        <is>
          <t>SBM_DECLINE_REASON</t>
        </is>
      </c>
      <c r="B115" s="14" t="inlineStr">
        <is>
          <t>Insurer re-assignment reason</t>
        </is>
      </c>
      <c r="C115" s="14" t="inlineStr">
        <is>
          <t>Submitted Policies</t>
        </is>
      </c>
      <c r="D115" s="14" t="inlineStr">
        <is>
          <t>Product Owner, Submitted Policies</t>
        </is>
      </c>
      <c r="E115" s="14" t="n">
        <v>5</v>
      </c>
      <c r="F115" s="14" t="inlineStr">
        <is>
          <t>Configuration screen</t>
        </is>
      </c>
      <c r="G115" s="14" t="inlineStr">
        <is>
          <t>This sheet</t>
        </is>
      </c>
      <c r="H115" s="14" t="inlineStr">
        <is>
          <t>9-Apr-2027 (T-38 weeks)</t>
        </is>
      </c>
      <c r="I115" s="14" t="n"/>
      <c r="J115" s="14" t="inlineStr">
        <is>
          <t>Not started</t>
        </is>
      </c>
      <c r="K115" s="14" t="n"/>
    </row>
    <row r="116">
      <c r="A116" s="14" t="inlineStr">
        <is>
          <t>SBM_IAAF_FINDING</t>
        </is>
      </c>
      <c r="B116" s="14" t="inlineStr">
        <is>
          <t>Policy review finding</t>
        </is>
      </c>
      <c r="C116" s="14" t="inlineStr">
        <is>
          <t>Submitted Policies</t>
        </is>
      </c>
      <c r="D116" s="14" t="inlineStr">
        <is>
          <t>Product Owner, Submitted Policies</t>
        </is>
      </c>
      <c r="E116" s="14" t="n">
        <v>6</v>
      </c>
      <c r="F116" s="14" t="inlineStr">
        <is>
          <t>Configuration screen</t>
        </is>
      </c>
      <c r="G116" s="14" t="inlineStr">
        <is>
          <t>This sheet</t>
        </is>
      </c>
      <c r="H116" s="14" t="inlineStr">
        <is>
          <t>9-Apr-2027 (T-38 weeks)</t>
        </is>
      </c>
      <c r="I116" s="14" t="n"/>
      <c r="J116" s="14" t="inlineStr">
        <is>
          <t>Not started</t>
        </is>
      </c>
      <c r="K116" s="14" t="n"/>
    </row>
    <row r="117">
      <c r="A117" s="14" t="inlineStr">
        <is>
          <t>SBM_LETTER_TYPE</t>
        </is>
      </c>
      <c r="B117" s="14" t="inlineStr">
        <is>
          <t>Submitted policy letter type</t>
        </is>
      </c>
      <c r="C117" s="14" t="inlineStr">
        <is>
          <t>Submitted Policies</t>
        </is>
      </c>
      <c r="D117" s="14" t="inlineStr">
        <is>
          <t>Product Owner, Submitted Policies</t>
        </is>
      </c>
      <c r="E117" s="14" t="n">
        <v>3</v>
      </c>
      <c r="F117" s="14" t="inlineStr">
        <is>
          <t>Configuration screen</t>
        </is>
      </c>
      <c r="G117" s="14" t="inlineStr">
        <is>
          <t>This sheet</t>
        </is>
      </c>
      <c r="H117" s="14" t="inlineStr">
        <is>
          <t>9-Apr-2027 (T-38 weeks)</t>
        </is>
      </c>
      <c r="I117" s="14" t="n"/>
      <c r="J117" s="14" t="inlineStr">
        <is>
          <t>Not started</t>
        </is>
      </c>
      <c r="K117" s="14" t="n"/>
    </row>
    <row r="118">
      <c r="A118" s="14" t="inlineStr">
        <is>
          <t>SBM_LOAN_REPORT</t>
        </is>
      </c>
      <c r="B118" s="14" t="inlineStr">
        <is>
          <t>Loan report</t>
        </is>
      </c>
      <c r="C118" s="14" t="inlineStr">
        <is>
          <t>Submitted Policies</t>
        </is>
      </c>
      <c r="D118" s="14" t="inlineStr">
        <is>
          <t>Product Owner, Submitted Policies</t>
        </is>
      </c>
      <c r="E118" s="14" t="n">
        <v>3</v>
      </c>
      <c r="F118" s="14" t="inlineStr">
        <is>
          <t>Configuration screen</t>
        </is>
      </c>
      <c r="G118" s="14" t="inlineStr">
        <is>
          <t>This sheet</t>
        </is>
      </c>
      <c r="H118" s="14" t="inlineStr">
        <is>
          <t>9-Apr-2027 (T-38 weeks)</t>
        </is>
      </c>
      <c r="I118" s="14" t="n"/>
      <c r="J118" s="14" t="inlineStr">
        <is>
          <t>Not started</t>
        </is>
      </c>
      <c r="K118" s="14" t="n"/>
    </row>
    <row r="119">
      <c r="A119" s="14" t="inlineStr">
        <is>
          <t>SBM_LOAN_STATUS</t>
        </is>
      </c>
      <c r="B119" s="14" t="inlineStr">
        <is>
          <t>Loan status</t>
        </is>
      </c>
      <c r="C119" s="14" t="inlineStr">
        <is>
          <t>Submitted Policies</t>
        </is>
      </c>
      <c r="D119" s="14" t="inlineStr">
        <is>
          <t>Product Owner, Submitted Policies</t>
        </is>
      </c>
      <c r="E119" s="14" t="n">
        <v>4</v>
      </c>
      <c r="F119" s="14" t="inlineStr">
        <is>
          <t>Configuration screen</t>
        </is>
      </c>
      <c r="G119" s="14" t="inlineStr">
        <is>
          <t>This sheet</t>
        </is>
      </c>
      <c r="H119" s="14" t="inlineStr">
        <is>
          <t>9-Apr-2027 (T-38 weeks)</t>
        </is>
      </c>
      <c r="I119" s="14" t="n"/>
      <c r="J119" s="14" t="inlineStr">
        <is>
          <t>Not started</t>
        </is>
      </c>
      <c r="K119" s="14" t="n"/>
    </row>
    <row r="120">
      <c r="A120" s="14" t="inlineStr">
        <is>
          <t>SBM_NON_RENEWAL_REASON</t>
        </is>
      </c>
      <c r="B120" s="14" t="inlineStr">
        <is>
          <t>Non-renewal reason (submitted policy)</t>
        </is>
      </c>
      <c r="C120" s="14" t="inlineStr">
        <is>
          <t>Submitted Policies</t>
        </is>
      </c>
      <c r="D120" s="14" t="inlineStr">
        <is>
          <t>Product Owner, Submitted Policies</t>
        </is>
      </c>
      <c r="E120" s="14" t="n">
        <v>16</v>
      </c>
      <c r="F120" s="14" t="inlineStr">
        <is>
          <t>Configuration screen</t>
        </is>
      </c>
      <c r="G120" s="14" t="inlineStr">
        <is>
          <t>This sheet</t>
        </is>
      </c>
      <c r="H120" s="14" t="inlineStr">
        <is>
          <t>9-Apr-2027 (T-38 weeks)</t>
        </is>
      </c>
      <c r="I120" s="14" t="n"/>
      <c r="J120" s="14" t="inlineStr">
        <is>
          <t>Not started</t>
        </is>
      </c>
      <c r="K120" s="14" t="n"/>
    </row>
    <row r="121">
      <c r="A121" s="14" t="inlineStr">
        <is>
          <t>SBM_REASON</t>
        </is>
      </c>
      <c r="B121" s="14" t="inlineStr">
        <is>
          <t>Submitted policy reason</t>
        </is>
      </c>
      <c r="C121" s="14" t="inlineStr">
        <is>
          <t>Submitted Policies</t>
        </is>
      </c>
      <c r="D121" s="14" t="inlineStr">
        <is>
          <t>Product Owner, Submitted Policies</t>
        </is>
      </c>
      <c r="E121" s="14" t="n">
        <v>15</v>
      </c>
      <c r="F121" s="14" t="inlineStr">
        <is>
          <t>Configuration screen</t>
        </is>
      </c>
      <c r="G121" s="14" t="inlineStr">
        <is>
          <t>This sheet</t>
        </is>
      </c>
      <c r="H121" s="14" t="inlineStr">
        <is>
          <t>9-Apr-2027 (T-38 weeks)</t>
        </is>
      </c>
      <c r="I121" s="14" t="n"/>
      <c r="J121" s="14" t="inlineStr">
        <is>
          <t>Not started</t>
        </is>
      </c>
      <c r="K121" s="14" t="n"/>
    </row>
    <row r="122">
      <c r="A122" s="14" t="inlineStr">
        <is>
          <t>SBM_RETURN_REASON</t>
        </is>
      </c>
      <c r="B122" s="14" t="inlineStr">
        <is>
          <t>IAAF or TOR return reason</t>
        </is>
      </c>
      <c r="C122" s="14" t="inlineStr">
        <is>
          <t>Submitted Policies</t>
        </is>
      </c>
      <c r="D122" s="14" t="inlineStr">
        <is>
          <t>Product Owner, Submitted Policies</t>
        </is>
      </c>
      <c r="E122" s="14" t="n">
        <v>4</v>
      </c>
      <c r="F122" s="14" t="inlineStr">
        <is>
          <t>Configuration screen</t>
        </is>
      </c>
      <c r="G122" s="14" t="inlineStr">
        <is>
          <t>This sheet</t>
        </is>
      </c>
      <c r="H122" s="14" t="inlineStr">
        <is>
          <t>9-Apr-2027 (T-38 weeks)</t>
        </is>
      </c>
      <c r="I122" s="14" t="n"/>
      <c r="J122" s="14" t="inlineStr">
        <is>
          <t>Not started</t>
        </is>
      </c>
      <c r="K122" s="14" t="n"/>
    </row>
    <row r="123">
      <c r="A123" s="14" t="inlineStr">
        <is>
          <t>SBM_SEGMENT</t>
        </is>
      </c>
      <c r="B123" s="14" t="inlineStr">
        <is>
          <t>Submitted policy segment</t>
        </is>
      </c>
      <c r="C123" s="14" t="inlineStr">
        <is>
          <t>Submitted Policies</t>
        </is>
      </c>
      <c r="D123" s="14" t="inlineStr">
        <is>
          <t>Product Owner, Submitted Policies</t>
        </is>
      </c>
      <c r="E123" s="14" t="n">
        <v>4</v>
      </c>
      <c r="F123" s="14" t="inlineStr">
        <is>
          <t>Configuration screen</t>
        </is>
      </c>
      <c r="G123" s="14" t="inlineStr">
        <is>
          <t>This sheet</t>
        </is>
      </c>
      <c r="H123" s="14" t="inlineStr">
        <is>
          <t>9-Apr-2027 (T-38 weeks)</t>
        </is>
      </c>
      <c r="I123" s="14" t="n"/>
      <c r="J123" s="14" t="inlineStr">
        <is>
          <t>Not started</t>
        </is>
      </c>
      <c r="K123" s="14" t="n"/>
    </row>
    <row r="124">
      <c r="A124" s="14" t="inlineStr">
        <is>
          <t>SCR_CASE_TYPE</t>
        </is>
      </c>
      <c r="B124" s="14" t="inlineStr">
        <is>
          <t>Screening case type</t>
        </is>
      </c>
      <c r="C124" s="14" t="inlineStr">
        <is>
          <t>Sanction Screening</t>
        </is>
      </c>
      <c r="D124" s="14" t="inlineStr">
        <is>
          <t>Compliance</t>
        </is>
      </c>
      <c r="E124" s="14" t="n">
        <v>6</v>
      </c>
      <c r="F124" s="14" t="inlineStr">
        <is>
          <t>Configuration screen</t>
        </is>
      </c>
      <c r="G124" s="14" t="inlineStr">
        <is>
          <t>This sheet</t>
        </is>
      </c>
      <c r="H124" s="14" t="inlineStr">
        <is>
          <t>9-Apr-2027 (T-38 weeks)</t>
        </is>
      </c>
      <c r="I124" s="14" t="n"/>
      <c r="J124" s="14" t="inlineStr">
        <is>
          <t>Not started</t>
        </is>
      </c>
      <c r="K124" s="14" t="n"/>
    </row>
    <row r="125">
      <c r="A125" s="14" t="inlineStr">
        <is>
          <t>SCR_DISPOSITION</t>
        </is>
      </c>
      <c r="B125" s="14" t="inlineStr">
        <is>
          <t>Screening disposition</t>
        </is>
      </c>
      <c r="C125" s="14" t="inlineStr">
        <is>
          <t>Sanction Screening</t>
        </is>
      </c>
      <c r="D125" s="14" t="inlineStr">
        <is>
          <t>Compliance</t>
        </is>
      </c>
      <c r="E125" s="14" t="n">
        <v>13</v>
      </c>
      <c r="F125" s="14" t="inlineStr">
        <is>
          <t>Configuration screen</t>
        </is>
      </c>
      <c r="G125" s="14" t="inlineStr">
        <is>
          <t>This sheet</t>
        </is>
      </c>
      <c r="H125" s="14" t="inlineStr">
        <is>
          <t>9-Apr-2027 (T-38 weeks)</t>
        </is>
      </c>
      <c r="I125" s="14" t="n"/>
      <c r="J125" s="14" t="inlineStr">
        <is>
          <t>Not started</t>
        </is>
      </c>
      <c r="K125" s="14" t="n"/>
    </row>
    <row r="126">
      <c r="A126" s="14" t="inlineStr">
        <is>
          <t>SCR_DOCUMENT_TYPE</t>
        </is>
      </c>
      <c r="B126" s="14" t="inlineStr">
        <is>
          <t>Screening document type</t>
        </is>
      </c>
      <c r="C126" s="14" t="inlineStr">
        <is>
          <t>Sanction Screening</t>
        </is>
      </c>
      <c r="D126" s="14" t="inlineStr">
        <is>
          <t>Compliance</t>
        </is>
      </c>
      <c r="E126" s="14" t="n">
        <v>6</v>
      </c>
      <c r="F126" s="14" t="inlineStr">
        <is>
          <t>Configuration screen</t>
        </is>
      </c>
      <c r="G126" s="14" t="inlineStr">
        <is>
          <t>This sheet</t>
        </is>
      </c>
      <c r="H126" s="14" t="inlineStr">
        <is>
          <t>9-Apr-2027 (T-38 weeks)</t>
        </is>
      </c>
      <c r="I126" s="14" t="n"/>
      <c r="J126" s="14" t="inlineStr">
        <is>
          <t>Not started</t>
        </is>
      </c>
      <c r="K126" s="14" t="n"/>
    </row>
    <row r="127">
      <c r="A127" s="14" t="inlineStr">
        <is>
          <t>SCR_FORM_TYPE</t>
        </is>
      </c>
      <c r="B127" s="14" t="inlineStr">
        <is>
          <t>Screening form type</t>
        </is>
      </c>
      <c r="C127" s="14" t="inlineStr">
        <is>
          <t>Sanction Screening</t>
        </is>
      </c>
      <c r="D127" s="14" t="inlineStr">
        <is>
          <t>Compliance</t>
        </is>
      </c>
      <c r="E127" s="14" t="n">
        <v>4</v>
      </c>
      <c r="F127" s="14" t="inlineStr">
        <is>
          <t>Configuration screen</t>
        </is>
      </c>
      <c r="G127" s="14" t="inlineStr">
        <is>
          <t>This sheet</t>
        </is>
      </c>
      <c r="H127" s="14" t="inlineStr">
        <is>
          <t>9-Apr-2027 (T-38 weeks)</t>
        </is>
      </c>
      <c r="I127" s="14" t="n"/>
      <c r="J127" s="14" t="inlineStr">
        <is>
          <t>Not started</t>
        </is>
      </c>
      <c r="K127" s="14" t="n"/>
    </row>
    <row r="128">
      <c r="A128" s="14" t="inlineStr">
        <is>
          <t>SCR_LIST_TYPE</t>
        </is>
      </c>
      <c r="B128" s="14" t="inlineStr">
        <is>
          <t>Watchlist type</t>
        </is>
      </c>
      <c r="C128" s="14" t="inlineStr">
        <is>
          <t>Sanction Screening</t>
        </is>
      </c>
      <c r="D128" s="14" t="inlineStr">
        <is>
          <t>Compliance</t>
        </is>
      </c>
      <c r="E128" s="14" t="n">
        <v>4</v>
      </c>
      <c r="F128" s="14" t="inlineStr">
        <is>
          <t>Configuration screen</t>
        </is>
      </c>
      <c r="G128" s="14" t="inlineStr">
        <is>
          <t>This sheet</t>
        </is>
      </c>
      <c r="H128" s="14" t="inlineStr">
        <is>
          <t>9-Apr-2027 (T-38 weeks)</t>
        </is>
      </c>
      <c r="I128" s="14" t="n"/>
      <c r="J128" s="14" t="inlineStr">
        <is>
          <t>Not started</t>
        </is>
      </c>
      <c r="K128" s="14" t="n"/>
    </row>
    <row r="129">
      <c r="A129" s="14" t="inlineStr">
        <is>
          <t>SCR_REASSIGN_REASON</t>
        </is>
      </c>
      <c r="B129" s="14" t="inlineStr">
        <is>
          <t>Case re-assignment reason</t>
        </is>
      </c>
      <c r="C129" s="14" t="inlineStr">
        <is>
          <t>Sanction Screening</t>
        </is>
      </c>
      <c r="D129" s="14" t="inlineStr">
        <is>
          <t>Compliance</t>
        </is>
      </c>
      <c r="E129" s="14" t="n">
        <v>4</v>
      </c>
      <c r="F129" s="14" t="inlineStr">
        <is>
          <t>Configuration screen</t>
        </is>
      </c>
      <c r="G129" s="14" t="inlineStr">
        <is>
          <t>This sheet</t>
        </is>
      </c>
      <c r="H129" s="14" t="inlineStr">
        <is>
          <t>9-Apr-2027 (T-38 weeks)</t>
        </is>
      </c>
      <c r="I129" s="14" t="n"/>
      <c r="J129" s="14" t="inlineStr">
        <is>
          <t>Not started</t>
        </is>
      </c>
      <c r="K129" s="14" t="n"/>
    </row>
    <row r="130">
      <c r="A130" s="14" t="inlineStr">
        <is>
          <t>SCR_STR_REASON</t>
        </is>
      </c>
      <c r="B130" s="14" t="inlineStr">
        <is>
          <t>STR reason</t>
        </is>
      </c>
      <c r="C130" s="14" t="inlineStr">
        <is>
          <t>Sanction Screening</t>
        </is>
      </c>
      <c r="D130" s="14" t="inlineStr">
        <is>
          <t>Compliance</t>
        </is>
      </c>
      <c r="E130" s="14" t="n">
        <v>0</v>
      </c>
      <c r="F130" s="14" t="inlineStr">
        <is>
          <t>Configuration screen</t>
        </is>
      </c>
      <c r="G130" s="14" t="inlineStr">
        <is>
          <t>This sheet</t>
        </is>
      </c>
      <c r="H130" s="14" t="inlineStr">
        <is>
          <t>9-Apr-2027 (T-38 weeks)</t>
        </is>
      </c>
      <c r="I130" s="14" t="n"/>
      <c r="J130" s="14" t="inlineStr">
        <is>
          <t>Not started</t>
        </is>
      </c>
      <c r="K130" s="14" t="n"/>
    </row>
    <row r="131">
      <c r="A131" s="14" t="inlineStr">
        <is>
          <t>SERVICE_FEE_SEGMENT</t>
        </is>
      </c>
      <c r="B131" s="14" t="inlineStr">
        <is>
          <t>Service fee segment</t>
        </is>
      </c>
      <c r="C131" s="14" t="inlineStr">
        <is>
          <t>Accounting, Disbursement and ACSL</t>
        </is>
      </c>
      <c r="D131" s="14" t="inlineStr">
        <is>
          <t>Head, Comptrollership</t>
        </is>
      </c>
      <c r="E131" s="14" t="n">
        <v>3</v>
      </c>
      <c r="F131" s="14" t="inlineStr">
        <is>
          <t>Configuration screen</t>
        </is>
      </c>
      <c r="G131" s="14" t="inlineStr">
        <is>
          <t>This sheet</t>
        </is>
      </c>
      <c r="H131" s="14" t="inlineStr">
        <is>
          <t>9-Apr-2027 (T-38 weeks)</t>
        </is>
      </c>
      <c r="I131" s="14" t="n"/>
      <c r="J131" s="14" t="inlineStr">
        <is>
          <t>Not started</t>
        </is>
      </c>
      <c r="K131" s="14" t="n"/>
    </row>
    <row r="132">
      <c r="A132" s="14" t="inlineStr">
        <is>
          <t>SOURCE_CHANNEL</t>
        </is>
      </c>
      <c r="B132" s="14" t="inlineStr">
        <is>
          <t>Source channel</t>
        </is>
      </c>
      <c r="C132" s="14" t="inlineStr">
        <is>
          <t>New Business</t>
        </is>
      </c>
      <c r="D132" s="14" t="inlineStr">
        <is>
          <t>Product Owner, BDOI (New Business)</t>
        </is>
      </c>
      <c r="E132" s="14" t="n">
        <v>5</v>
      </c>
      <c r="F132" s="14" t="inlineStr">
        <is>
          <t>Migration Console</t>
        </is>
      </c>
      <c r="G132" s="14" t="inlineStr">
        <is>
          <t>Template R01 (legacy values mapped by code map MIS:BUSINESS_ORIGIN); new values on Lists of Values</t>
        </is>
      </c>
      <c r="H132" s="14" t="inlineStr">
        <is>
          <t>18-Jun-2027 (T-28 weeks)</t>
        </is>
      </c>
      <c r="I132" s="14" t="n"/>
      <c r="J132" s="14" t="inlineStr">
        <is>
          <t>Not started</t>
        </is>
      </c>
      <c r="K132" s="14" t="n"/>
    </row>
    <row r="133">
      <c r="A133" s="14" t="inlineStr">
        <is>
          <t>SOURCE_OF_FUNDS</t>
        </is>
      </c>
      <c r="B133" s="14" t="inlineStr">
        <is>
          <t>Source of funds</t>
        </is>
      </c>
      <c r="C133" s="14" t="inlineStr">
        <is>
          <t>New Business</t>
        </is>
      </c>
      <c r="D133" s="14" t="inlineStr">
        <is>
          <t>Product Owner, BDOI (New Business)</t>
        </is>
      </c>
      <c r="E133" s="14" t="n">
        <v>6</v>
      </c>
      <c r="F133" s="14" t="inlineStr">
        <is>
          <t>Migration Console</t>
        </is>
      </c>
      <c r="G133" s="14" t="inlineStr">
        <is>
          <t>Template R01 (legacy values mapped by code map LOV:SOURCE_OF_FUNDS); new values on Lists of Values</t>
        </is>
      </c>
      <c r="H133" s="14" t="inlineStr">
        <is>
          <t>18-Jun-2027 (T-28 weeks)</t>
        </is>
      </c>
      <c r="I133" s="14" t="n"/>
      <c r="J133" s="14" t="inlineStr">
        <is>
          <t>Not started</t>
        </is>
      </c>
      <c r="K133" s="14" t="n"/>
    </row>
    <row r="134">
      <c r="A134" s="14" t="inlineStr">
        <is>
          <t>SPECIAL_REMIT_CONDITION</t>
        </is>
      </c>
      <c r="B134" s="14" t="inlineStr">
        <is>
          <t>Special remittance condition</t>
        </is>
      </c>
      <c r="C134" s="14" t="inlineStr">
        <is>
          <t>Operations</t>
        </is>
      </c>
      <c r="D134" s="14" t="inlineStr">
        <is>
          <t>Head, Operations Services</t>
        </is>
      </c>
      <c r="E134" s="14" t="n">
        <v>4</v>
      </c>
      <c r="F134" s="14" t="inlineStr">
        <is>
          <t>Configuration screen</t>
        </is>
      </c>
      <c r="G134" s="14" t="inlineStr">
        <is>
          <t>This sheet</t>
        </is>
      </c>
      <c r="H134" s="14" t="inlineStr">
        <is>
          <t>9-Apr-2027 (T-38 weeks)</t>
        </is>
      </c>
      <c r="I134" s="14" t="n"/>
      <c r="J134" s="14" t="inlineStr">
        <is>
          <t>Not started</t>
        </is>
      </c>
      <c r="K134" s="14" t="n"/>
    </row>
    <row r="135">
      <c r="A135" s="14" t="inlineStr">
        <is>
          <t>UAM_BUSINESS_UNIT</t>
        </is>
      </c>
      <c r="B135" s="14" t="inlineStr">
        <is>
          <t>Business unit group</t>
        </is>
      </c>
      <c r="C135" s="14" t="inlineStr">
        <is>
          <t>User Access Maintenance</t>
        </is>
      </c>
      <c r="D135" s="14" t="inlineStr">
        <is>
          <t>Business Administration (User Access)</t>
        </is>
      </c>
      <c r="E135" s="14" t="n">
        <v>0</v>
      </c>
      <c r="F135" s="14" t="inlineStr">
        <is>
          <t>Configuration screen</t>
        </is>
      </c>
      <c r="G135" s="14" t="inlineStr">
        <is>
          <t>Template UA-06 (sheet UA-06 Lists of values)</t>
        </is>
      </c>
      <c r="H135" s="14" t="inlineStr">
        <is>
          <t>9-Apr-2027 (T-38 weeks)</t>
        </is>
      </c>
      <c r="I135" s="14" t="n"/>
      <c r="J135" s="14" t="inlineStr">
        <is>
          <t>Not started</t>
        </is>
      </c>
      <c r="K135" s="14" t="n"/>
    </row>
    <row r="136">
      <c r="A136" s="14" t="inlineStr">
        <is>
          <t>UAM_DEACTIVATION_REASON</t>
        </is>
      </c>
      <c r="B136" s="14" t="inlineStr">
        <is>
          <t>User deactivation reason</t>
        </is>
      </c>
      <c r="C136" s="14" t="inlineStr">
        <is>
          <t>User Access Maintenance</t>
        </is>
      </c>
      <c r="D136" s="14" t="inlineStr">
        <is>
          <t>Business Administration (User Access)</t>
        </is>
      </c>
      <c r="E136" s="14" t="n">
        <v>6</v>
      </c>
      <c r="F136" s="14" t="inlineStr">
        <is>
          <t>Configuration screen</t>
        </is>
      </c>
      <c r="G136" s="14" t="inlineStr">
        <is>
          <t>Template UA-06 (sheet UA-06 Lists of values)</t>
        </is>
      </c>
      <c r="H136" s="14" t="inlineStr">
        <is>
          <t>9-Apr-2027 (T-38 weeks)</t>
        </is>
      </c>
      <c r="I136" s="14" t="n"/>
      <c r="J136" s="14" t="inlineStr">
        <is>
          <t>Not started</t>
        </is>
      </c>
      <c r="K136" s="14" t="n"/>
    </row>
    <row r="137">
      <c r="A137" s="14" t="inlineStr">
        <is>
          <t>UAM_USER_LEVEL</t>
        </is>
      </c>
      <c r="B137" s="14" t="inlineStr">
        <is>
          <t>User level</t>
        </is>
      </c>
      <c r="C137" s="14" t="inlineStr">
        <is>
          <t>User Access Maintenance</t>
        </is>
      </c>
      <c r="D137" s="14" t="inlineStr">
        <is>
          <t>Business Administration (User Access)</t>
        </is>
      </c>
      <c r="E137" s="14" t="n">
        <v>0</v>
      </c>
      <c r="F137" s="14" t="inlineStr">
        <is>
          <t>Configuration screen</t>
        </is>
      </c>
      <c r="G137" s="14" t="inlineStr">
        <is>
          <t>Template UA-06 (sheet UA-06 Lists of values)</t>
        </is>
      </c>
      <c r="H137" s="14" t="inlineStr">
        <is>
          <t>9-Apr-2027 (T-38 weeks)</t>
        </is>
      </c>
      <c r="I137" s="14" t="n"/>
      <c r="J137" s="14" t="inlineStr">
        <is>
          <t>Not started</t>
        </is>
      </c>
      <c r="K137" s="14" t="n"/>
    </row>
    <row r="138">
      <c r="A138" s="14" t="inlineStr">
        <is>
          <t>VEHICLE_BODY_TYPE</t>
        </is>
      </c>
      <c r="B138" s="14" t="inlineStr">
        <is>
          <t>Vehicle body type</t>
        </is>
      </c>
      <c r="C138" s="14" t="inlineStr">
        <is>
          <t>New Business</t>
        </is>
      </c>
      <c r="D138" s="14" t="inlineStr">
        <is>
          <t>Product Owner, BDOI (New Business)</t>
        </is>
      </c>
      <c r="E138" s="14" t="n">
        <v>7</v>
      </c>
      <c r="F138" s="14" t="inlineStr">
        <is>
          <t>Configuration screen</t>
        </is>
      </c>
      <c r="G138" s="14" t="inlineStr">
        <is>
          <t>This sheet</t>
        </is>
      </c>
      <c r="H138" s="14" t="inlineStr">
        <is>
          <t>9-Apr-2027 (T-38 weeks)</t>
        </is>
      </c>
      <c r="I138" s="14" t="n"/>
      <c r="J138" s="14" t="inlineStr">
        <is>
          <t>Not started</t>
        </is>
      </c>
      <c r="K138" s="14" t="n"/>
    </row>
    <row r="139">
      <c r="A139" s="14" t="inlineStr">
        <is>
          <t>VOID_REASON</t>
        </is>
      </c>
      <c r="B139" s="14" t="inlineStr">
        <is>
          <t>Void reason</t>
        </is>
      </c>
      <c r="C139" s="14" t="inlineStr">
        <is>
          <t>Operations</t>
        </is>
      </c>
      <c r="D139" s="14" t="inlineStr">
        <is>
          <t>Head, Operations Services</t>
        </is>
      </c>
      <c r="E139" s="14" t="n">
        <v>4</v>
      </c>
      <c r="F139" s="14" t="inlineStr">
        <is>
          <t>Configuration screen</t>
        </is>
      </c>
      <c r="G139" s="14" t="inlineStr">
        <is>
          <t>This sheet</t>
        </is>
      </c>
      <c r="H139" s="14" t="inlineStr">
        <is>
          <t>9-Apr-2027 (T-38 weeks)</t>
        </is>
      </c>
      <c r="I139" s="14" t="n"/>
      <c r="J139" s="14" t="inlineStr">
        <is>
          <t>Not started</t>
        </is>
      </c>
      <c r="K139" s="14" t="n"/>
    </row>
  </sheetData>
  <autoFilter ref="A4:K139"/>
  <conditionalFormatting sqref="J5:J139">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K139">
    <cfRule type="expression" priority="6" dxfId="7">
      <formula>AND(MOD(ROW(),2)=0,$A5&lt;&gt;"")</formula>
    </cfRule>
  </conditionalFormatting>
  <dataValidations count="2">
    <dataValidation sqref="F5:F139" showDropDown="0" showInputMessage="1" showErrorMessage="1" allowBlank="1" errorTitle="Route" error="Choose a value of the list Route (sheet Reference lists)." promptTitle="Route" prompt="Migration Console or Configuration screen" type="list" errorStyle="stop">
      <formula1>=LIST_ROUTE</formula1>
    </dataValidation>
    <dataValidation sqref="J5:J139"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57.xml><?xml version="1.0" encoding="utf-8"?>
<worksheet xmlns="http://schemas.openxmlformats.org/spreadsheetml/2006/main">
  <sheetPr>
    <outlinePr summaryBelow="1" summaryRight="1"/>
    <pageSetUpPr fitToPage="1"/>
  </sheetPr>
  <dimension ref="A1:O161"/>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20" customWidth="1" min="3" max="3"/>
    <col width="28" customWidth="1" min="4" max="4"/>
    <col width="60" customWidth="1" min="5" max="5"/>
    <col width="12" customWidth="1" min="6" max="6"/>
    <col width="22" customWidth="1" min="7" max="7"/>
    <col width="12" customWidth="1" min="8" max="8"/>
    <col width="30" customWidth="1" min="9" max="9"/>
    <col width="22" customWidth="1" min="10" max="10"/>
    <col width="22" customWidth="1" min="11" max="11"/>
    <col width="30" customWidth="1" min="12" max="12"/>
    <col width="20" customWidth="1" min="13" max="13"/>
    <col width="14" customWidth="1" min="14" max="14"/>
    <col width="36" customWidth="1" min="15" max="15"/>
  </cols>
  <sheetData>
    <row r="1" ht="26" customHeight="1">
      <c r="A1" s="25" t="inlineStr">
        <is>
          <t>Review list: system parameters</t>
        </is>
      </c>
    </row>
    <row r="2">
      <c r="A2" s="27" t="inlineStr">
        <is>
          <t>← Back to Start here</t>
        </is>
      </c>
      <c r="B2" s="55" t="inlineStr">
        <is>
          <t>Every system parameter of BIBS (other than the SLA and turnaround parameters and the numbering prefixes) with the value proposed and the value BDOI wants</t>
        </is>
      </c>
    </row>
    <row r="4" ht="30" customHeight="1">
      <c r="A4" s="11" t="inlineStr">
        <is>
          <t>Parameter</t>
        </is>
      </c>
      <c r="B4" s="11" t="inlineStr">
        <is>
          <t>Group</t>
        </is>
      </c>
      <c r="C4" s="11" t="inlineStr">
        <is>
          <t>Module</t>
        </is>
      </c>
      <c r="D4" s="11" t="inlineStr">
        <is>
          <t>Owner (BDOI unit)</t>
        </is>
      </c>
      <c r="E4" s="11" t="inlineStr">
        <is>
          <t>What it controls</t>
        </is>
      </c>
      <c r="F4" s="11" t="inlineStr">
        <is>
          <t>Type</t>
        </is>
      </c>
      <c r="G4" s="11" t="inlineStr">
        <is>
          <t>Value proposed</t>
        </is>
      </c>
      <c r="H4" s="11" t="inlineStr">
        <is>
          <t>Allowed range</t>
        </is>
      </c>
      <c r="I4" s="11" t="inlineStr">
        <is>
          <t>Given in</t>
        </is>
      </c>
      <c r="J4" s="11" t="inlineStr">
        <is>
          <t>Due</t>
        </is>
      </c>
      <c r="K4" s="11" t="inlineStr">
        <is>
          <t>Value wanted</t>
        </is>
      </c>
      <c r="L4" s="11" t="inlineStr">
        <is>
          <t>Reason</t>
        </is>
      </c>
      <c r="M4" s="11" t="inlineStr">
        <is>
          <t>Approved by</t>
        </is>
      </c>
      <c r="N4" s="11" t="inlineStr">
        <is>
          <t>Status</t>
        </is>
      </c>
      <c r="O4" s="11" t="inlineStr">
        <is>
          <t>BDOI comments</t>
        </is>
      </c>
    </row>
    <row r="5">
      <c r="A5" s="14" t="inlineStr">
        <is>
          <t>BROKING_CLOSE_TIME</t>
        </is>
      </c>
      <c r="B5" s="14" t="inlineStr">
        <is>
          <t>Accounting</t>
        </is>
      </c>
      <c r="C5" s="14" t="inlineStr">
        <is>
          <t>Accounting, Disbursement and ACSL</t>
        </is>
      </c>
      <c r="D5" s="14" t="inlineStr">
        <is>
          <t>Head, Comptrollership</t>
        </is>
      </c>
      <c r="E5" s="14" t="inlineStr">
        <is>
          <t>Time (PHT, HH:MM) at which the broking books are closed on the last day of the month</t>
        </is>
      </c>
      <c r="F5" s="14" t="inlineStr">
        <is>
          <t>string</t>
        </is>
      </c>
      <c r="G5" s="14" t="inlineStr">
        <is>
          <t>23:00</t>
        </is>
      </c>
      <c r="H5" s="14" t="inlineStr"/>
      <c r="I5" s="14" t="inlineStr">
        <is>
          <t>This sheet</t>
        </is>
      </c>
      <c r="J5" s="14" t="inlineStr">
        <is>
          <t>16-Jul-2027 (T-24 weeks)</t>
        </is>
      </c>
      <c r="K5" s="14" t="n"/>
      <c r="L5" s="14" t="n"/>
      <c r="M5" s="14" t="n"/>
      <c r="N5" s="14" t="inlineStr">
        <is>
          <t>Not started</t>
        </is>
      </c>
      <c r="O5" s="14" t="n"/>
    </row>
    <row r="6">
      <c r="A6" s="14" t="inlineStr">
        <is>
          <t>BROKING_SOURCE_MODULES</t>
        </is>
      </c>
      <c r="B6" s="14" t="inlineStr">
        <is>
          <t>Accounting</t>
        </is>
      </c>
      <c r="C6" s="14" t="inlineStr">
        <is>
          <t>Accounting, Disbursement and ACSL</t>
        </is>
      </c>
      <c r="D6" s="14" t="inlineStr">
        <is>
          <t>Head, Comptrollership</t>
        </is>
      </c>
      <c r="E6" s="14" t="inlineStr">
        <is>
          <t>Source modules of the broking books: their postings are refused once the BROKING books of the period are closed</t>
        </is>
      </c>
      <c r="F6" s="14" t="inlineStr">
        <is>
          <t>code list</t>
        </is>
      </c>
      <c r="G6" s="14" t="inlineStr">
        <is>
          <t>BOOKING,OPSLEDGER,CASHIERING,REMITTANCE,ADJUSTMENT,COMMISSION,PRODRECON,DISBURSEMENT</t>
        </is>
      </c>
      <c r="H6" s="14" t="inlineStr"/>
      <c r="I6" s="14" t="inlineStr">
        <is>
          <t>This sheet</t>
        </is>
      </c>
      <c r="J6" s="14" t="inlineStr">
        <is>
          <t>16-Jul-2027 (T-24 weeks)</t>
        </is>
      </c>
      <c r="K6" s="14" t="n"/>
      <c r="L6" s="14" t="n"/>
      <c r="M6" s="14" t="n"/>
      <c r="N6" s="14" t="inlineStr">
        <is>
          <t>Not started</t>
        </is>
      </c>
      <c r="O6" s="14" t="n"/>
    </row>
    <row r="7">
      <c r="A7" s="14" t="inlineStr">
        <is>
          <t>CLOSE_ONLY_PREVIOUS_MONTH</t>
        </is>
      </c>
      <c r="B7" s="14" t="inlineStr">
        <is>
          <t>Accounting</t>
        </is>
      </c>
      <c r="C7" s="14" t="inlineStr">
        <is>
          <t>Accounting, Disbursement and ACSL</t>
        </is>
      </c>
      <c r="D7" s="14" t="inlineStr">
        <is>
          <t>Head, Comptrollership</t>
        </is>
      </c>
      <c r="E7" s="14" t="inlineStr">
        <is>
          <t>Month-end close only for the previous month and year</t>
        </is>
      </c>
      <c r="F7" s="14" t="inlineStr">
        <is>
          <t>boolean</t>
        </is>
      </c>
      <c r="G7" s="14" t="inlineStr">
        <is>
          <t>true</t>
        </is>
      </c>
      <c r="H7" s="14" t="inlineStr"/>
      <c r="I7" s="14" t="inlineStr">
        <is>
          <t>This sheet</t>
        </is>
      </c>
      <c r="J7" s="14" t="inlineStr">
        <is>
          <t>16-Jul-2027 (T-24 weeks)</t>
        </is>
      </c>
      <c r="K7" s="14" t="n"/>
      <c r="L7" s="14" t="n"/>
      <c r="M7" s="14" t="n"/>
      <c r="N7" s="14" t="inlineStr">
        <is>
          <t>Not started</t>
        </is>
      </c>
      <c r="O7" s="14" t="n"/>
    </row>
    <row r="8">
      <c r="A8" s="14" t="inlineStr">
        <is>
          <t>EWT_RATE_TOLERANCE</t>
        </is>
      </c>
      <c r="B8" s="14" t="inlineStr">
        <is>
          <t>Accounting</t>
        </is>
      </c>
      <c r="C8" s="14" t="inlineStr">
        <is>
          <t>Accounting, Disbursement and ACSL</t>
        </is>
      </c>
      <c r="D8" s="14" t="inlineStr">
        <is>
          <t>Head, Comptrollership</t>
        </is>
      </c>
      <c r="E8" s="14" t="inlineStr">
        <is>
          <t>Largest difference in percentage points between the withholding rate of a document and the rate of the ATC before the EWT worksheet flags it</t>
        </is>
      </c>
      <c r="F8" s="14" t="inlineStr">
        <is>
          <t>decimal</t>
        </is>
      </c>
      <c r="G8" s="14" t="inlineStr">
        <is>
          <t>0.05</t>
        </is>
      </c>
      <c r="H8" s="14" t="inlineStr"/>
      <c r="I8" s="14" t="inlineStr">
        <is>
          <t>This sheet</t>
        </is>
      </c>
      <c r="J8" s="14" t="inlineStr">
        <is>
          <t>16-Jul-2027 (T-24 weeks)</t>
        </is>
      </c>
      <c r="K8" s="14" t="n"/>
      <c r="L8" s="14" t="n"/>
      <c r="M8" s="14" t="n"/>
      <c r="N8" s="14" t="inlineStr">
        <is>
          <t>Not started</t>
        </is>
      </c>
      <c r="O8" s="14" t="n"/>
    </row>
    <row r="9">
      <c r="A9" s="14" t="inlineStr">
        <is>
          <t>OPS_BOOK_RATE_SOURCE</t>
        </is>
      </c>
      <c r="B9" s="14" t="inlineStr">
        <is>
          <t>Accounting</t>
        </is>
      </c>
      <c r="C9" s="14" t="inlineStr">
        <is>
          <t>Accounting, Disbursement and ACSL</t>
        </is>
      </c>
      <c r="D9" s="14" t="inlineStr">
        <is>
          <t>Head, Comptrollership</t>
        </is>
      </c>
      <c r="E9" s="14" t="inlineStr">
        <is>
          <t>Source of the Operations BOOK rate: CLOSING_PREV_MONTH copies the revaluation rate of the previous month end, MANUAL keeps it by hand</t>
        </is>
      </c>
      <c r="F9" s="14" t="inlineStr">
        <is>
          <t>string</t>
        </is>
      </c>
      <c r="G9" s="14" t="inlineStr">
        <is>
          <t>CLOSING_PREV_MONTH</t>
        </is>
      </c>
      <c r="H9" s="14" t="inlineStr"/>
      <c r="I9" s="14" t="inlineStr">
        <is>
          <t>This sheet</t>
        </is>
      </c>
      <c r="J9" s="14" t="inlineStr">
        <is>
          <t>16-Jul-2027 (T-24 weeks)</t>
        </is>
      </c>
      <c r="K9" s="14" t="n"/>
      <c r="L9" s="14" t="n"/>
      <c r="M9" s="14" t="n"/>
      <c r="N9" s="14" t="inlineStr">
        <is>
          <t>Not started</t>
        </is>
      </c>
      <c r="O9" s="14" t="n"/>
    </row>
    <row r="10">
      <c r="A10" s="14" t="inlineStr">
        <is>
          <t>YEAR_END_CLOSE_DEADLINE</t>
        </is>
      </c>
      <c r="B10" s="14" t="inlineStr">
        <is>
          <t>Accounting</t>
        </is>
      </c>
      <c r="C10" s="14" t="inlineStr">
        <is>
          <t>Accounting, Disbursement and ACSL</t>
        </is>
      </c>
      <c r="D10" s="14" t="inlineStr">
        <is>
          <t>Head, Comptrollership</t>
        </is>
      </c>
      <c r="E10" s="14" t="inlineStr">
        <is>
          <t>Month and day (MM-DD) by which the previous year must be closed; YEAR_END_CLOSE_DUE is raised before</t>
        </is>
      </c>
      <c r="F10" s="14" t="inlineStr">
        <is>
          <t>string</t>
        </is>
      </c>
      <c r="G10" s="14" t="inlineStr">
        <is>
          <t>04-15</t>
        </is>
      </c>
      <c r="H10" s="14" t="inlineStr"/>
      <c r="I10" s="14" t="inlineStr">
        <is>
          <t>This sheet</t>
        </is>
      </c>
      <c r="J10" s="14" t="inlineStr">
        <is>
          <t>16-Jul-2027 (T-24 weeks)</t>
        </is>
      </c>
      <c r="K10" s="14" t="n"/>
      <c r="L10" s="14" t="n"/>
      <c r="M10" s="14" t="n"/>
      <c r="N10" s="14" t="inlineStr">
        <is>
          <t>Not started</t>
        </is>
      </c>
      <c r="O10" s="14" t="n"/>
    </row>
    <row r="11">
      <c r="A11" s="14" t="inlineStr">
        <is>
          <t>ACSL_SOA_MAX_ROWS</t>
        </is>
      </c>
      <c r="B11" s="14" t="inlineStr">
        <is>
          <t>Acsl</t>
        </is>
      </c>
      <c r="C11" s="14" t="inlineStr">
        <is>
          <t>Accounting, Disbursement and ACSL</t>
        </is>
      </c>
      <c r="D11" s="14" t="inlineStr">
        <is>
          <t>Head, Comptrollership</t>
        </is>
      </c>
      <c r="E11" s="14" t="inlineStr">
        <is>
          <t>Largest number of rows of one insurer statement of account upload</t>
        </is>
      </c>
      <c r="F11" s="14" t="inlineStr">
        <is>
          <t>integer</t>
        </is>
      </c>
      <c r="G11" s="14" t="inlineStr">
        <is>
          <t>20000</t>
        </is>
      </c>
      <c r="H11" s="14" t="inlineStr">
        <is>
          <t>1 to 200000</t>
        </is>
      </c>
      <c r="I11" s="14" t="inlineStr">
        <is>
          <t>This sheet</t>
        </is>
      </c>
      <c r="J11" s="14" t="inlineStr">
        <is>
          <t>16-Jul-2027 (T-24 weeks)</t>
        </is>
      </c>
      <c r="K11" s="14" t="n"/>
      <c r="L11" s="14" t="n"/>
      <c r="M11" s="14" t="n"/>
      <c r="N11" s="14" t="inlineStr">
        <is>
          <t>Not started</t>
        </is>
      </c>
      <c r="O11" s="14" t="n"/>
    </row>
    <row r="12">
      <c r="A12" s="14" t="inlineStr">
        <is>
          <t>BOOKING_BILLING_NO_LINES</t>
        </is>
      </c>
      <c r="B12" s="14" t="inlineStr">
        <is>
          <t>Booking</t>
        </is>
      </c>
      <c r="C12" s="14" t="inlineStr">
        <is>
          <t>New Business</t>
        </is>
      </c>
      <c r="D12" s="14" t="inlineStr">
        <is>
          <t>Product Owner, BDOI (New Business)</t>
        </is>
      </c>
      <c r="E12" s="14" t="inlineStr">
        <is>
          <t>Product lines whose bookings need the insurer billing number, unique per insurer</t>
        </is>
      </c>
      <c r="F12" s="14" t="inlineStr">
        <is>
          <t>code list</t>
        </is>
      </c>
      <c r="G12" s="14" t="inlineStr">
        <is>
          <t>HMO,GLI,GPA</t>
        </is>
      </c>
      <c r="H12" s="14" t="inlineStr"/>
      <c r="I12" s="14" t="inlineStr">
        <is>
          <t>This sheet</t>
        </is>
      </c>
      <c r="J12" s="14" t="inlineStr">
        <is>
          <t>16-Jul-2027 (T-24 weeks)</t>
        </is>
      </c>
      <c r="K12" s="14" t="n"/>
      <c r="L12" s="14" t="n"/>
      <c r="M12" s="14" t="n"/>
      <c r="N12" s="14" t="inlineStr">
        <is>
          <t>Not started</t>
        </is>
      </c>
      <c r="O12" s="14" t="n"/>
    </row>
    <row r="13">
      <c r="A13" s="14" t="inlineStr">
        <is>
          <t>BOOKING_CWT2_SEGMENTS</t>
        </is>
      </c>
      <c r="B13" s="14" t="inlineStr">
        <is>
          <t>Booking</t>
        </is>
      </c>
      <c r="C13" s="14" t="inlineStr">
        <is>
          <t>New Business</t>
        </is>
      </c>
      <c r="D13" s="14" t="inlineStr">
        <is>
          <t>Product Owner, BDOI (New Business)</t>
        </is>
      </c>
      <c r="E13" s="14" t="inlineStr">
        <is>
          <t>Market segments whose corporate clients withhold 2% creditable tax on premium</t>
        </is>
      </c>
      <c r="F13" s="14" t="inlineStr">
        <is>
          <t>code list</t>
        </is>
      </c>
      <c r="G13" s="14" t="inlineStr">
        <is>
          <t>(blank)</t>
        </is>
      </c>
      <c r="H13" s="14" t="inlineStr"/>
      <c r="I13" s="14" t="inlineStr">
        <is>
          <t>This sheet</t>
        </is>
      </c>
      <c r="J13" s="14" t="inlineStr">
        <is>
          <t>16-Jul-2027 (T-24 weeks)</t>
        </is>
      </c>
      <c r="K13" s="14" t="n"/>
      <c r="L13" s="14" t="n"/>
      <c r="M13" s="14" t="n"/>
      <c r="N13" s="14" t="inlineStr">
        <is>
          <t>Not started</t>
        </is>
      </c>
      <c r="O13" s="14" t="n"/>
    </row>
    <row r="14">
      <c r="A14" s="14" t="inlineStr">
        <is>
          <t>BOOKING_WTAX_RATE</t>
        </is>
      </c>
      <c r="B14" s="14" t="inlineStr">
        <is>
          <t>Booking</t>
        </is>
      </c>
      <c r="C14" s="14" t="inlineStr">
        <is>
          <t>New Business</t>
        </is>
      </c>
      <c r="D14" s="14" t="inlineStr">
        <is>
          <t>Product Owner, BDOI (New Business)</t>
        </is>
      </c>
      <c r="E14" s="14" t="inlineStr">
        <is>
          <t>Withholding tax rate (percent) the insurer withholds on the broker commission, printed on the booked invoice and service invoice</t>
        </is>
      </c>
      <c r="F14" s="14" t="inlineStr">
        <is>
          <t>decimal</t>
        </is>
      </c>
      <c r="G14" s="14" t="inlineStr">
        <is>
          <t>10</t>
        </is>
      </c>
      <c r="H14" s="14" t="inlineStr">
        <is>
          <t>0 to 100</t>
        </is>
      </c>
      <c r="I14" s="14" t="inlineStr">
        <is>
          <t>This sheet</t>
        </is>
      </c>
      <c r="J14" s="14" t="inlineStr">
        <is>
          <t>16-Jul-2027 (T-24 weeks)</t>
        </is>
      </c>
      <c r="K14" s="14" t="n"/>
      <c r="L14" s="14" t="n"/>
      <c r="M14" s="14" t="n"/>
      <c r="N14" s="14" t="inlineStr">
        <is>
          <t>Not started</t>
        </is>
      </c>
      <c r="O14" s="14" t="n"/>
    </row>
    <row r="15">
      <c r="A15" s="14" t="inlineStr">
        <is>
          <t>OPS_COMMISSION_REALIZATION</t>
        </is>
      </c>
      <c r="B15" s="14" t="inlineStr">
        <is>
          <t>Booking</t>
        </is>
      </c>
      <c r="C15" s="14" t="inlineStr">
        <is>
          <t>New Business</t>
        </is>
      </c>
      <c r="D15" s="14" t="inlineStr">
        <is>
          <t>Product Owner, BDOI (New Business)</t>
        </is>
      </c>
      <c r="E15" s="14" t="inlineStr">
        <is>
          <t>When broker commission is realized: ON_COLLECTION (unrealized at booking, realized when premium is applied) or ON_BOOKING (commission income and output VAT at booking)</t>
        </is>
      </c>
      <c r="F15" s="14" t="inlineStr">
        <is>
          <t>string</t>
        </is>
      </c>
      <c r="G15" s="14" t="inlineStr">
        <is>
          <t>ON_COLLECTION</t>
        </is>
      </c>
      <c r="H15" s="14" t="inlineStr"/>
      <c r="I15" s="14" t="inlineStr">
        <is>
          <t>This sheet</t>
        </is>
      </c>
      <c r="J15" s="14" t="inlineStr">
        <is>
          <t>16-Jul-2027 (T-24 weeks)</t>
        </is>
      </c>
      <c r="K15" s="14" t="n"/>
      <c r="L15" s="14" t="n"/>
      <c r="M15" s="14" t="n"/>
      <c r="N15" s="14" t="inlineStr">
        <is>
          <t>Not started</t>
        </is>
      </c>
      <c r="O15" s="14" t="n"/>
    </row>
    <row r="16">
      <c r="A16" s="14" t="inlineStr">
        <is>
          <t>SERVICE_INVOICE_CREDIT_DAYS</t>
        </is>
      </c>
      <c r="B16" s="14" t="inlineStr">
        <is>
          <t>Booking</t>
        </is>
      </c>
      <c r="C16" s="14" t="inlineStr">
        <is>
          <t>New Business</t>
        </is>
      </c>
      <c r="D16" s="14" t="inlineStr">
        <is>
          <t>Product Owner, BDOI (New Business)</t>
        </is>
      </c>
      <c r="E16" s="14" t="inlineStr">
        <is>
          <t>Credit days printed on a service invoice (payment terms merged into its template)</t>
        </is>
      </c>
      <c r="F16" s="14" t="inlineStr">
        <is>
          <t>integer</t>
        </is>
      </c>
      <c r="G16" s="14" t="inlineStr">
        <is>
          <t>30</t>
        </is>
      </c>
      <c r="H16" s="14" t="inlineStr">
        <is>
          <t>0 to 365</t>
        </is>
      </c>
      <c r="I16" s="14" t="inlineStr">
        <is>
          <t>This sheet</t>
        </is>
      </c>
      <c r="J16" s="14" t="inlineStr">
        <is>
          <t>16-Jul-2027 (T-24 weeks)</t>
        </is>
      </c>
      <c r="K16" s="14" t="n"/>
      <c r="L16" s="14" t="n"/>
      <c r="M16" s="14" t="n"/>
      <c r="N16" s="14" t="inlineStr">
        <is>
          <t>Not started</t>
        </is>
      </c>
      <c r="O16" s="14" t="n"/>
    </row>
    <row r="17">
      <c r="A17" s="14" t="inlineStr">
        <is>
          <t>CLIENT_CREDIT_DAYS</t>
        </is>
      </c>
      <c r="B17" s="14" t="inlineStr">
        <is>
          <t>Broking</t>
        </is>
      </c>
      <c r="C17" s="14" t="inlineStr">
        <is>
          <t>New Business</t>
        </is>
      </c>
      <c r="D17" s="14" t="inlineStr">
        <is>
          <t>Product Owner, BDOI (New Business)</t>
        </is>
      </c>
      <c r="E17" s="14" t="inlineStr">
        <is>
          <t>Credit days of the accounting party created for a client</t>
        </is>
      </c>
      <c r="F17" s="14" t="inlineStr">
        <is>
          <t>integer</t>
        </is>
      </c>
      <c r="G17" s="14" t="inlineStr">
        <is>
          <t>30</t>
        </is>
      </c>
      <c r="H17" s="14" t="inlineStr">
        <is>
          <t>0 to 365</t>
        </is>
      </c>
      <c r="I17" s="14" t="inlineStr">
        <is>
          <t>This sheet</t>
        </is>
      </c>
      <c r="J17" s="14" t="inlineStr">
        <is>
          <t>16-Jul-2027 (T-24 weeks)</t>
        </is>
      </c>
      <c r="K17" s="14" t="n"/>
      <c r="L17" s="14" t="n"/>
      <c r="M17" s="14" t="n"/>
      <c r="N17" s="14" t="inlineStr">
        <is>
          <t>Not started</t>
        </is>
      </c>
      <c r="O17" s="14" t="n"/>
    </row>
    <row r="18">
      <c r="A18" s="14" t="inlineStr">
        <is>
          <t>BULK_MAX_ROWS</t>
        </is>
      </c>
      <c r="B18" s="14" t="inlineStr">
        <is>
          <t>Bulk</t>
        </is>
      </c>
      <c r="C18" s="14" t="inlineStr">
        <is>
          <t>Platform set-up</t>
        </is>
      </c>
      <c r="D18" s="14" t="inlineStr">
        <is>
          <t>BDOI IT</t>
        </is>
      </c>
      <c r="E18" s="14" t="inlineStr">
        <is>
          <t>Maximum number of data rows in one bulk upload file</t>
        </is>
      </c>
      <c r="F18" s="14" t="inlineStr">
        <is>
          <t>integer</t>
        </is>
      </c>
      <c r="G18" s="14" t="inlineStr">
        <is>
          <t>5000</t>
        </is>
      </c>
      <c r="H18" s="14" t="inlineStr">
        <is>
          <t>10 to 50000</t>
        </is>
      </c>
      <c r="I18" s="14" t="inlineStr">
        <is>
          <t>This sheet</t>
        </is>
      </c>
      <c r="J18" s="14" t="inlineStr">
        <is>
          <t>16-Jul-2027 (T-24 weeks)</t>
        </is>
      </c>
      <c r="K18" s="14" t="n"/>
      <c r="L18" s="14" t="n"/>
      <c r="M18" s="14" t="n"/>
      <c r="N18" s="14" t="inlineStr">
        <is>
          <t>Not started</t>
        </is>
      </c>
      <c r="O18" s="14" t="n"/>
    </row>
    <row r="19">
      <c r="A19" s="14" t="inlineStr">
        <is>
          <t>BCL_AUTH_DP_POLICY</t>
        </is>
      </c>
      <c r="B19" s="14" t="inlineStr">
        <is>
          <t>Claims Handling</t>
        </is>
      </c>
      <c r="C19" s="14" t="inlineStr">
        <is>
          <t>Claims</t>
        </is>
      </c>
      <c r="D19" s="14" t="inlineStr">
        <is>
          <t>Product Owner, Claims</t>
        </is>
      </c>
      <c r="E19" s="14" t="inlineStr">
        <is>
          <t>Claims authorization code on a direct-payment cover: ALLOW, CONFIRM (insurer payment evidence attached) or BLOCK</t>
        </is>
      </c>
      <c r="F19" s="14" t="inlineStr">
        <is>
          <t>string</t>
        </is>
      </c>
      <c r="G19" s="14" t="inlineStr">
        <is>
          <t>CONFIRM</t>
        </is>
      </c>
      <c r="H19" s="14" t="inlineStr"/>
      <c r="I19" s="14" t="inlineStr">
        <is>
          <t>This sheet</t>
        </is>
      </c>
      <c r="J19" s="14" t="inlineStr">
        <is>
          <t>16-Jul-2027 (T-24 weeks)</t>
        </is>
      </c>
      <c r="K19" s="14" t="n"/>
      <c r="L19" s="14" t="n"/>
      <c r="M19" s="14" t="n"/>
      <c r="N19" s="14" t="inlineStr">
        <is>
          <t>Not started</t>
        </is>
      </c>
      <c r="O19" s="14" t="n"/>
    </row>
    <row r="20">
      <c r="A20" s="14" t="inlineStr">
        <is>
          <t>BCL_DEFAULT_CURRENCY</t>
        </is>
      </c>
      <c r="B20" s="14" t="inlineStr">
        <is>
          <t>Claims Handling</t>
        </is>
      </c>
      <c r="C20" s="14" t="inlineStr">
        <is>
          <t>Claims</t>
        </is>
      </c>
      <c r="D20" s="14" t="inlineStr">
        <is>
          <t>Product Owner, Claims</t>
        </is>
      </c>
      <c r="E20" s="14" t="inlineStr">
        <is>
          <t>Currency of a claim whose cover has none</t>
        </is>
      </c>
      <c r="F20" s="14" t="inlineStr">
        <is>
          <t>string</t>
        </is>
      </c>
      <c r="G20" s="14" t="inlineStr">
        <is>
          <t>PHP</t>
        </is>
      </c>
      <c r="H20" s="14" t="inlineStr"/>
      <c r="I20" s="14" t="inlineStr">
        <is>
          <t>This sheet</t>
        </is>
      </c>
      <c r="J20" s="14" t="inlineStr">
        <is>
          <t>16-Jul-2027 (T-24 weeks)</t>
        </is>
      </c>
      <c r="K20" s="14" t="n"/>
      <c r="L20" s="14" t="n"/>
      <c r="M20" s="14" t="n"/>
      <c r="N20" s="14" t="inlineStr">
        <is>
          <t>Not started</t>
        </is>
      </c>
      <c r="O20" s="14" t="n"/>
    </row>
    <row r="21">
      <c r="A21" s="14" t="inlineStr">
        <is>
          <t>BCL_PRONE_MIN_CLAIMS</t>
        </is>
      </c>
      <c r="B21" s="14" t="inlineStr">
        <is>
          <t>Claims Handling</t>
        </is>
      </c>
      <c r="C21" s="14" t="inlineStr">
        <is>
          <t>Claims</t>
        </is>
      </c>
      <c r="D21" s="14" t="inlineStr">
        <is>
          <t>Product Owner, Claims</t>
        </is>
      </c>
      <c r="E21" s="14" t="inlineStr">
        <is>
          <t>Claims at one location that make it claims-prone</t>
        </is>
      </c>
      <c r="F21" s="14" t="inlineStr">
        <is>
          <t>integer</t>
        </is>
      </c>
      <c r="G21" s="14" t="inlineStr">
        <is>
          <t>3</t>
        </is>
      </c>
      <c r="H21" s="14" t="inlineStr">
        <is>
          <t>1 to 100</t>
        </is>
      </c>
      <c r="I21" s="14" t="inlineStr">
        <is>
          <t>This sheet</t>
        </is>
      </c>
      <c r="J21" s="14" t="inlineStr">
        <is>
          <t>16-Jul-2027 (T-24 weeks)</t>
        </is>
      </c>
      <c r="K21" s="14" t="n"/>
      <c r="L21" s="14" t="n"/>
      <c r="M21" s="14" t="n"/>
      <c r="N21" s="14" t="inlineStr">
        <is>
          <t>Not started</t>
        </is>
      </c>
      <c r="O21" s="14" t="n"/>
    </row>
    <row r="22">
      <c r="A22" s="14" t="inlineStr">
        <is>
          <t>BCL_PRONE_YEARS</t>
        </is>
      </c>
      <c r="B22" s="14" t="inlineStr">
        <is>
          <t>Claims Handling</t>
        </is>
      </c>
      <c r="C22" s="14" t="inlineStr">
        <is>
          <t>Claims</t>
        </is>
      </c>
      <c r="D22" s="14" t="inlineStr">
        <is>
          <t>Product Owner, Claims</t>
        </is>
      </c>
      <c r="E22" s="14" t="inlineStr">
        <is>
          <t>Look-back years of the claims-prone location analysis</t>
        </is>
      </c>
      <c r="F22" s="14" t="inlineStr">
        <is>
          <t>integer</t>
        </is>
      </c>
      <c r="G22" s="14" t="inlineStr">
        <is>
          <t>3</t>
        </is>
      </c>
      <c r="H22" s="14" t="inlineStr">
        <is>
          <t>1 to 20</t>
        </is>
      </c>
      <c r="I22" s="14" t="inlineStr">
        <is>
          <t>This sheet</t>
        </is>
      </c>
      <c r="J22" s="14" t="inlineStr">
        <is>
          <t>16-Jul-2027 (T-24 weeks)</t>
        </is>
      </c>
      <c r="K22" s="14" t="n"/>
      <c r="L22" s="14" t="n"/>
      <c r="M22" s="14" t="n"/>
      <c r="N22" s="14" t="inlineStr">
        <is>
          <t>Not started</t>
        </is>
      </c>
      <c r="O22" s="14" t="n"/>
    </row>
    <row r="23">
      <c r="A23" s="14" t="inlineStr">
        <is>
          <t>CLX_EDIT_LOCK_MINUTES</t>
        </is>
      </c>
      <c r="B23" s="14" t="inlineStr">
        <is>
          <t>Collections</t>
        </is>
      </c>
      <c r="C23" s="14" t="inlineStr">
        <is>
          <t>Collections</t>
        </is>
      </c>
      <c r="D23" s="14" t="inlineStr">
        <is>
          <t>VP and Head, BDOI Operations (Collections)</t>
        </is>
      </c>
      <c r="E23" s="14" t="inlineStr">
        <is>
          <t>Minutes after which the "&lt;user&gt; is editing" lock of a collection account expires</t>
        </is>
      </c>
      <c r="F23" s="14" t="inlineStr">
        <is>
          <t>integer</t>
        </is>
      </c>
      <c r="G23" s="14" t="inlineStr">
        <is>
          <t>15</t>
        </is>
      </c>
      <c r="H23" s="14" t="inlineStr">
        <is>
          <t>1 to 240</t>
        </is>
      </c>
      <c r="I23" s="14" t="inlineStr">
        <is>
          <t>This sheet</t>
        </is>
      </c>
      <c r="J23" s="14" t="inlineStr">
        <is>
          <t>16-Jul-2027 (T-24 weeks)</t>
        </is>
      </c>
      <c r="K23" s="14" t="n"/>
      <c r="L23" s="14" t="n"/>
      <c r="M23" s="14" t="n"/>
      <c r="N23" s="14" t="inlineStr">
        <is>
          <t>Not started</t>
        </is>
      </c>
      <c r="O23" s="14" t="n"/>
    </row>
    <row r="24">
      <c r="A24" s="14" t="inlineStr">
        <is>
          <t>CLX_EXPORT_MAX_ROWS</t>
        </is>
      </c>
      <c r="B24" s="14" t="inlineStr">
        <is>
          <t>Collections</t>
        </is>
      </c>
      <c r="C24" s="14" t="inlineStr">
        <is>
          <t>Collections</t>
        </is>
      </c>
      <c r="D24" s="14" t="inlineStr">
        <is>
          <t>VP and Head, BDOI Operations (Collections)</t>
        </is>
      </c>
      <c r="E24" s="14" t="inlineStr">
        <is>
          <t>Maximum rows of an asynchronous Collections export</t>
        </is>
      </c>
      <c r="F24" s="14" t="inlineStr">
        <is>
          <t>integer</t>
        </is>
      </c>
      <c r="G24" s="14" t="inlineStr">
        <is>
          <t>50000</t>
        </is>
      </c>
      <c r="H24" s="14" t="inlineStr">
        <is>
          <t>100 to 1000000</t>
        </is>
      </c>
      <c r="I24" s="14" t="inlineStr">
        <is>
          <t>This sheet</t>
        </is>
      </c>
      <c r="J24" s="14" t="inlineStr">
        <is>
          <t>16-Jul-2027 (T-24 weeks)</t>
        </is>
      </c>
      <c r="K24" s="14" t="n"/>
      <c r="L24" s="14" t="n"/>
      <c r="M24" s="14" t="n"/>
      <c r="N24" s="14" t="inlineStr">
        <is>
          <t>Not started</t>
        </is>
      </c>
      <c r="O24" s="14" t="n"/>
    </row>
    <row r="25">
      <c r="A25" s="14" t="inlineStr">
        <is>
          <t>CLX_INVOICE_NO_PATTERN</t>
        </is>
      </c>
      <c r="B25" s="14" t="inlineStr">
        <is>
          <t>Collections</t>
        </is>
      </c>
      <c r="C25" s="14" t="inlineStr">
        <is>
          <t>Collections</t>
        </is>
      </c>
      <c r="D25" s="14" t="inlineStr">
        <is>
          <t>VP and Head, BDOI Operations (Collections)</t>
        </is>
      </c>
      <c r="E25" s="14" t="inlineStr">
        <is>
          <t>Regular expression of the invoice number of "For application to invoice": EBIX I######## or BI-... of this system</t>
        </is>
      </c>
      <c r="F25" s="14" t="inlineStr">
        <is>
          <t>string</t>
        </is>
      </c>
      <c r="G25" s="14" t="inlineStr">
        <is>
          <t>^(I\d{8}|BI-.+)$</t>
        </is>
      </c>
      <c r="H25" s="14" t="inlineStr"/>
      <c r="I25" s="14" t="inlineStr">
        <is>
          <t>This sheet</t>
        </is>
      </c>
      <c r="J25" s="14" t="inlineStr">
        <is>
          <t>16-Jul-2027 (T-24 weeks)</t>
        </is>
      </c>
      <c r="K25" s="14" t="n"/>
      <c r="L25" s="14" t="n"/>
      <c r="M25" s="14" t="n"/>
      <c r="N25" s="14" t="inlineStr">
        <is>
          <t>Not started</t>
        </is>
      </c>
      <c r="O25" s="14" t="n"/>
    </row>
    <row r="26">
      <c r="A26" s="14" t="inlineStr">
        <is>
          <t>CLX_MIN_BALANCE_THRESHOLD</t>
        </is>
      </c>
      <c r="B26" s="14" t="inlineStr">
        <is>
          <t>Collections</t>
        </is>
      </c>
      <c r="C26" s="14" t="inlineStr">
        <is>
          <t>Collections</t>
        </is>
      </c>
      <c r="D26" s="14" t="inlineStr">
        <is>
          <t>VP and Head, BDOI Operations (Collections)</t>
        </is>
      </c>
      <c r="E26" s="14" t="inlineStr">
        <is>
          <t>Net outstanding PR above which an invoice enters the collection worklist</t>
        </is>
      </c>
      <c r="F26" s="14" t="inlineStr">
        <is>
          <t>decimal</t>
        </is>
      </c>
      <c r="G26" s="14" t="inlineStr">
        <is>
          <t>10.00</t>
        </is>
      </c>
      <c r="H26" s="14" t="inlineStr">
        <is>
          <t>0 to 100000</t>
        </is>
      </c>
      <c r="I26" s="14" t="inlineStr">
        <is>
          <t>This sheet</t>
        </is>
      </c>
      <c r="J26" s="14" t="inlineStr">
        <is>
          <t>16-Jul-2027 (T-24 weeks)</t>
        </is>
      </c>
      <c r="K26" s="14" t="n"/>
      <c r="L26" s="14" t="n"/>
      <c r="M26" s="14" t="n"/>
      <c r="N26" s="14" t="inlineStr">
        <is>
          <t>Not started</t>
        </is>
      </c>
      <c r="O26" s="14" t="n"/>
    </row>
    <row r="27">
      <c r="A27" s="14" t="inlineStr">
        <is>
          <t>CONFIG_PROMOTION_MAX_PACKAGE_MB</t>
        </is>
      </c>
      <c r="B27" s="14" t="inlineStr">
        <is>
          <t>Config Promotion</t>
        </is>
      </c>
      <c r="C27" s="14" t="inlineStr">
        <is>
          <t>Platform set-up</t>
        </is>
      </c>
      <c r="D27" s="14" t="inlineStr">
        <is>
          <t>BDOI IT</t>
        </is>
      </c>
      <c r="E27" s="14" t="inlineStr">
        <is>
          <t>Largest configuration package accepted, in megabytes once unpacked</t>
        </is>
      </c>
      <c r="F27" s="14" t="inlineStr">
        <is>
          <t>integer</t>
        </is>
      </c>
      <c r="G27" s="14" t="inlineStr">
        <is>
          <t>50</t>
        </is>
      </c>
      <c r="H27" s="14" t="inlineStr">
        <is>
          <t>1 to 500</t>
        </is>
      </c>
      <c r="I27" s="14" t="inlineStr">
        <is>
          <t>This sheet</t>
        </is>
      </c>
      <c r="J27" s="14" t="inlineStr">
        <is>
          <t>16-Jul-2027 (T-24 weeks)</t>
        </is>
      </c>
      <c r="K27" s="14" t="n"/>
      <c r="L27" s="14" t="n"/>
      <c r="M27" s="14" t="n"/>
      <c r="N27" s="14" t="inlineStr">
        <is>
          <t>Not started</t>
        </is>
      </c>
      <c r="O27" s="14" t="n"/>
    </row>
    <row r="28">
      <c r="A28" s="14" t="inlineStr">
        <is>
          <t>CONFIG_PROMOTION_NOTIFY</t>
        </is>
      </c>
      <c r="B28" s="14" t="inlineStr">
        <is>
          <t>Config Promotion</t>
        </is>
      </c>
      <c r="C28" s="14" t="inlineStr">
        <is>
          <t>Platform set-up</t>
        </is>
      </c>
      <c r="D28" s="14" t="inlineStr">
        <is>
          <t>BDOI IT</t>
        </is>
      </c>
      <c r="E28" s="14" t="inlineStr">
        <is>
          <t>Permissions whose holders are told when a configuration import waits for approval, is applied, rejected or fails</t>
        </is>
      </c>
      <c r="F28" s="14" t="inlineStr">
        <is>
          <t>code list</t>
        </is>
      </c>
      <c r="G28" s="14" t="inlineStr">
        <is>
          <t>CONFIG_IMPORT_APPROVE,CONFIG_BASELINE_MANAGE</t>
        </is>
      </c>
      <c r="H28" s="14" t="inlineStr"/>
      <c r="I28" s="14" t="inlineStr">
        <is>
          <t>This sheet</t>
        </is>
      </c>
      <c r="J28" s="14" t="inlineStr">
        <is>
          <t>16-Jul-2027 (T-24 weeks)</t>
        </is>
      </c>
      <c r="K28" s="14" t="n"/>
      <c r="L28" s="14" t="n"/>
      <c r="M28" s="14" t="n"/>
      <c r="N28" s="14" t="inlineStr">
        <is>
          <t>Not started</t>
        </is>
      </c>
      <c r="O28" s="14" t="n"/>
    </row>
    <row r="29">
      <c r="A29" s="14" t="inlineStr">
        <is>
          <t>CONFIG_PROMOTION_PIPELINE_APPLY</t>
        </is>
      </c>
      <c r="B29" s="14" t="inlineStr">
        <is>
          <t>Config Promotion</t>
        </is>
      </c>
      <c r="C29" s="14" t="inlineStr">
        <is>
          <t>Platform set-up</t>
        </is>
      </c>
      <c r="D29" s="14" t="inlineStr">
        <is>
          <t>BDOI IT</t>
        </is>
      </c>
      <c r="E29" s="14" t="inlineStr">
        <is>
          <t>Outside production only: when true, the deployment pipeline may apply its own dry-run import without a second user; production always needs the approval of a second user</t>
        </is>
      </c>
      <c r="F29" s="14" t="inlineStr">
        <is>
          <t>boolean</t>
        </is>
      </c>
      <c r="G29" s="14" t="inlineStr">
        <is>
          <t>false</t>
        </is>
      </c>
      <c r="H29" s="14" t="inlineStr"/>
      <c r="I29" s="14" t="inlineStr">
        <is>
          <t>This sheet</t>
        </is>
      </c>
      <c r="J29" s="14" t="inlineStr">
        <is>
          <t>16-Jul-2027 (T-24 weeks)</t>
        </is>
      </c>
      <c r="K29" s="14" t="n"/>
      <c r="L29" s="14" t="n"/>
      <c r="M29" s="14" t="n"/>
      <c r="N29" s="14" t="inlineStr">
        <is>
          <t>Not started</t>
        </is>
      </c>
      <c r="O29" s="14" t="n"/>
    </row>
    <row r="30">
      <c r="A30" s="14" t="inlineStr">
        <is>
          <t>CONFIG_PROMOTION_PRODUCTION_WINDOW</t>
        </is>
      </c>
      <c r="B30" s="14" t="inlineStr">
        <is>
          <t>Config Promotion</t>
        </is>
      </c>
      <c r="C30" s="14" t="inlineStr">
        <is>
          <t>Platform set-up</t>
        </is>
      </c>
      <c r="D30" s="14" t="inlineStr">
        <is>
          <t>BDOI IT</t>
        </is>
      </c>
      <c r="E30" s="14" t="inlineStr">
        <is>
          <t>Change window in which a configuration package may be applied in production, for example SAT-SUN 20:00-06:00 (days, then the hours; an end before the start runs into the next day); empty = no window, production imports are refused</t>
        </is>
      </c>
      <c r="F30" s="14" t="inlineStr">
        <is>
          <t>string</t>
        </is>
      </c>
      <c r="G30" s="14" t="inlineStr">
        <is>
          <t>(blank)</t>
        </is>
      </c>
      <c r="H30" s="14" t="inlineStr"/>
      <c r="I30" s="14" t="inlineStr">
        <is>
          <t>This sheet</t>
        </is>
      </c>
      <c r="J30" s="14" t="inlineStr">
        <is>
          <t>16-Jul-2027 (T-24 weeks)</t>
        </is>
      </c>
      <c r="K30" s="14" t="n"/>
      <c r="L30" s="14" t="n"/>
      <c r="M30" s="14" t="n"/>
      <c r="N30" s="14" t="inlineStr">
        <is>
          <t>Not started</t>
        </is>
      </c>
      <c r="O30" s="14" t="n"/>
    </row>
    <row r="31">
      <c r="A31" s="14" t="inlineStr">
        <is>
          <t>SUSPENSE_ACCOUNT_CODES</t>
        </is>
      </c>
      <c r="B31" s="14" t="inlineStr">
        <is>
          <t>Controls</t>
        </is>
      </c>
      <c r="C31" s="14" t="inlineStr">
        <is>
          <t>Accounting, Disbursement and ACSL</t>
        </is>
      </c>
      <c r="D31" s="14" t="inlineStr">
        <is>
          <t>Head, Comptrollership</t>
        </is>
      </c>
      <c r="E31" s="14" t="inlineStr">
        <is>
          <t>GL account codes monitored by the SUSPENSE_BALANCE exception (blank = accounts named Suspense)</t>
        </is>
      </c>
      <c r="F31" s="14" t="inlineStr">
        <is>
          <t>code list</t>
        </is>
      </c>
      <c r="G31" s="14" t="inlineStr">
        <is>
          <t>(blank)</t>
        </is>
      </c>
      <c r="H31" s="14" t="inlineStr"/>
      <c r="I31" s="14" t="inlineStr">
        <is>
          <t>This sheet</t>
        </is>
      </c>
      <c r="J31" s="14" t="inlineStr">
        <is>
          <t>16-Jul-2027 (T-24 weeks)</t>
        </is>
      </c>
      <c r="K31" s="14" t="n"/>
      <c r="L31" s="14" t="n"/>
      <c r="M31" s="14" t="n"/>
      <c r="N31" s="14" t="inlineStr">
        <is>
          <t>Not started</t>
        </is>
      </c>
      <c r="O31" s="14" t="n"/>
    </row>
    <row r="32">
      <c r="A32" s="14" t="inlineStr">
        <is>
          <t>CLIENT_MIN_AGE</t>
        </is>
      </c>
      <c r="B32" s="14" t="inlineStr">
        <is>
          <t>Crm</t>
        </is>
      </c>
      <c r="C32" s="14" t="inlineStr">
        <is>
          <t>New Business</t>
        </is>
      </c>
      <c r="D32" s="14" t="inlineStr">
        <is>
          <t>Product Owner, BDOI (New Business)</t>
        </is>
      </c>
      <c r="E32" s="14" t="inlineStr">
        <is>
          <t>Minimum age in years of an individual policyholder</t>
        </is>
      </c>
      <c r="F32" s="14" t="inlineStr">
        <is>
          <t>integer</t>
        </is>
      </c>
      <c r="G32" s="14" t="inlineStr">
        <is>
          <t>18</t>
        </is>
      </c>
      <c r="H32" s="14" t="inlineStr">
        <is>
          <t>0 to 100</t>
        </is>
      </c>
      <c r="I32" s="14" t="inlineStr">
        <is>
          <t>This sheet</t>
        </is>
      </c>
      <c r="J32" s="14" t="inlineStr">
        <is>
          <t>16-Jul-2027 (T-24 weeks)</t>
        </is>
      </c>
      <c r="K32" s="14" t="n"/>
      <c r="L32" s="14" t="n"/>
      <c r="M32" s="14" t="n"/>
      <c r="N32" s="14" t="inlineStr">
        <is>
          <t>Not started</t>
        </is>
      </c>
      <c r="O32" s="14" t="n"/>
    </row>
    <row r="33">
      <c r="A33" s="14" t="inlineStr">
        <is>
          <t>CLIENT_MIN_FIELDS_CORPORATE</t>
        </is>
      </c>
      <c r="B33" s="14" t="inlineStr">
        <is>
          <t>Crm</t>
        </is>
      </c>
      <c r="C33" s="14" t="inlineStr">
        <is>
          <t>New Business</t>
        </is>
      </c>
      <c r="D33" s="14" t="inlineStr">
        <is>
          <t>Product Owner, BDOI (New Business)</t>
        </is>
      </c>
      <c r="E33" s="14" t="inlineStr">
        <is>
          <t>Fields a corporate client needs to be complete. Codes: TIN, ID, CONTACT, ADDRESS, MARKET_SEGMENT, SOURCE_OF_FUNDS</t>
        </is>
      </c>
      <c r="F33" s="14" t="inlineStr">
        <is>
          <t>code list</t>
        </is>
      </c>
      <c r="G33" s="14" t="inlineStr">
        <is>
          <t>TIN,CONTACT,ADDRESS,MARKET_SEGMENT</t>
        </is>
      </c>
      <c r="H33" s="14" t="inlineStr"/>
      <c r="I33" s="14" t="inlineStr">
        <is>
          <t>This sheet</t>
        </is>
      </c>
      <c r="J33" s="14" t="inlineStr">
        <is>
          <t>16-Jul-2027 (T-24 weeks)</t>
        </is>
      </c>
      <c r="K33" s="14" t="n"/>
      <c r="L33" s="14" t="n"/>
      <c r="M33" s="14" t="n"/>
      <c r="N33" s="14" t="inlineStr">
        <is>
          <t>Not started</t>
        </is>
      </c>
      <c r="O33" s="14" t="n"/>
    </row>
    <row r="34">
      <c r="A34" s="14" t="inlineStr">
        <is>
          <t>CLIENT_MIN_FIELDS_INDIVIDUAL</t>
        </is>
      </c>
      <c r="B34" s="14" t="inlineStr">
        <is>
          <t>Crm</t>
        </is>
      </c>
      <c r="C34" s="14" t="inlineStr">
        <is>
          <t>New Business</t>
        </is>
      </c>
      <c r="D34" s="14" t="inlineStr">
        <is>
          <t>Product Owner, BDOI (New Business)</t>
        </is>
      </c>
      <c r="E34" s="14" t="inlineStr">
        <is>
          <t>Fields an individual client needs to be complete. Codes: BIRTH_DATE, TIN, ID, CONTACT, ADDRESS, MARKET_SEGMENT, NATIONALITY, SOURCE_OF_FUNDS, OCCUPATION</t>
        </is>
      </c>
      <c r="F34" s="14" t="inlineStr">
        <is>
          <t>code list</t>
        </is>
      </c>
      <c r="G34" s="14" t="inlineStr">
        <is>
          <t>BIRTH_DATE,TIN,ID,CONTACT,ADDRESS,MARKET_SEGMENT</t>
        </is>
      </c>
      <c r="H34" s="14" t="inlineStr"/>
      <c r="I34" s="14" t="inlineStr">
        <is>
          <t>This sheet</t>
        </is>
      </c>
      <c r="J34" s="14" t="inlineStr">
        <is>
          <t>16-Jul-2027 (T-24 weeks)</t>
        </is>
      </c>
      <c r="K34" s="14" t="n"/>
      <c r="L34" s="14" t="n"/>
      <c r="M34" s="14" t="n"/>
      <c r="N34" s="14" t="inlineStr">
        <is>
          <t>Not started</t>
        </is>
      </c>
      <c r="O34" s="14" t="n"/>
    </row>
    <row r="35">
      <c r="A35" s="14" t="inlineStr">
        <is>
          <t>KYC_DUE_WINDOW_DAYS</t>
        </is>
      </c>
      <c r="B35" s="14" t="inlineStr">
        <is>
          <t>Crm</t>
        </is>
      </c>
      <c r="C35" s="14" t="inlineStr">
        <is>
          <t>New Business</t>
        </is>
      </c>
      <c r="D35" s="14" t="inlineStr">
        <is>
          <t>Product Owner, BDOI (New Business)</t>
        </is>
      </c>
      <c r="E35" s="14" t="inlineStr">
        <is>
          <t>Days ahead in which a KYC review is listed as coming due</t>
        </is>
      </c>
      <c r="F35" s="14" t="inlineStr">
        <is>
          <t>integer</t>
        </is>
      </c>
      <c r="G35" s="14" t="inlineStr">
        <is>
          <t>30</t>
        </is>
      </c>
      <c r="H35" s="14" t="inlineStr">
        <is>
          <t>0 to 365</t>
        </is>
      </c>
      <c r="I35" s="14" t="inlineStr">
        <is>
          <t>This sheet</t>
        </is>
      </c>
      <c r="J35" s="14" t="inlineStr">
        <is>
          <t>16-Jul-2027 (T-24 weeks)</t>
        </is>
      </c>
      <c r="K35" s="14" t="n"/>
      <c r="L35" s="14" t="n"/>
      <c r="M35" s="14" t="n"/>
      <c r="N35" s="14" t="inlineStr">
        <is>
          <t>Not started</t>
        </is>
      </c>
      <c r="O35" s="14" t="n"/>
    </row>
    <row r="36">
      <c r="A36" s="14" t="inlineStr">
        <is>
          <t>KYC_REVIEW_MONTHS</t>
        </is>
      </c>
      <c r="B36" s="14" t="inlineStr">
        <is>
          <t>Crm</t>
        </is>
      </c>
      <c r="C36" s="14" t="inlineStr">
        <is>
          <t>New Business</t>
        </is>
      </c>
      <c r="D36" s="14" t="inlineStr">
        <is>
          <t>Product Owner, BDOI (New Business)</t>
        </is>
      </c>
      <c r="E36" s="14" t="inlineStr">
        <is>
          <t>Months between periodic KYC reviews of standard and low risk clients</t>
        </is>
      </c>
      <c r="F36" s="14" t="inlineStr">
        <is>
          <t>integer</t>
        </is>
      </c>
      <c r="G36" s="14" t="inlineStr">
        <is>
          <t>36</t>
        </is>
      </c>
      <c r="H36" s="14" t="inlineStr">
        <is>
          <t>1 to 120</t>
        </is>
      </c>
      <c r="I36" s="14" t="inlineStr">
        <is>
          <t>This sheet</t>
        </is>
      </c>
      <c r="J36" s="14" t="inlineStr">
        <is>
          <t>16-Jul-2027 (T-24 weeks)</t>
        </is>
      </c>
      <c r="K36" s="14" t="n"/>
      <c r="L36" s="14" t="n"/>
      <c r="M36" s="14" t="n"/>
      <c r="N36" s="14" t="inlineStr">
        <is>
          <t>Not started</t>
        </is>
      </c>
      <c r="O36" s="14" t="n"/>
    </row>
    <row r="37">
      <c r="A37" s="14" t="inlineStr">
        <is>
          <t>KYC_REVIEW_MONTHS_HIGH_RISK</t>
        </is>
      </c>
      <c r="B37" s="14" t="inlineStr">
        <is>
          <t>Crm</t>
        </is>
      </c>
      <c r="C37" s="14" t="inlineStr">
        <is>
          <t>New Business</t>
        </is>
      </c>
      <c r="D37" s="14" t="inlineStr">
        <is>
          <t>Product Owner, BDOI (New Business)</t>
        </is>
      </c>
      <c r="E37" s="14" t="inlineStr">
        <is>
          <t>Months between periodic KYC reviews of high risk clients</t>
        </is>
      </c>
      <c r="F37" s="14" t="inlineStr">
        <is>
          <t>integer</t>
        </is>
      </c>
      <c r="G37" s="14" t="inlineStr">
        <is>
          <t>12</t>
        </is>
      </c>
      <c r="H37" s="14" t="inlineStr">
        <is>
          <t>1 to 120</t>
        </is>
      </c>
      <c r="I37" s="14" t="inlineStr">
        <is>
          <t>This sheet</t>
        </is>
      </c>
      <c r="J37" s="14" t="inlineStr">
        <is>
          <t>16-Jul-2027 (T-24 weeks)</t>
        </is>
      </c>
      <c r="K37" s="14" t="n"/>
      <c r="L37" s="14" t="n"/>
      <c r="M37" s="14" t="n"/>
      <c r="N37" s="14" t="inlineStr">
        <is>
          <t>Not started</t>
        </is>
      </c>
      <c r="O37" s="14" t="n"/>
    </row>
    <row r="38">
      <c r="A38" s="14" t="inlineStr">
        <is>
          <t>CSF_LEGACY_SYNC_ENABLED</t>
        </is>
      </c>
      <c r="B38" s="14" t="inlineStr">
        <is>
          <t>Customer Service</t>
        </is>
      </c>
      <c r="C38" s="14" t="inlineStr">
        <is>
          <t>Customer Servicing Facility</t>
        </is>
      </c>
      <c r="D38" s="14" t="inlineStr">
        <is>
          <t>Product Owner, Customer Servicing Facility</t>
        </is>
      </c>
      <c r="E38" s="14" t="inlineStr">
        <is>
          <t>Send contact changes to the legacy policy systems while they are still in use</t>
        </is>
      </c>
      <c r="F38" s="14" t="inlineStr">
        <is>
          <t>boolean</t>
        </is>
      </c>
      <c r="G38" s="14" t="inlineStr">
        <is>
          <t>false</t>
        </is>
      </c>
      <c r="H38" s="14" t="inlineStr"/>
      <c r="I38" s="14" t="inlineStr">
        <is>
          <t>This sheet</t>
        </is>
      </c>
      <c r="J38" s="14" t="inlineStr">
        <is>
          <t>16-Jul-2027 (T-24 weeks)</t>
        </is>
      </c>
      <c r="K38" s="14" t="n"/>
      <c r="L38" s="14" t="n"/>
      <c r="M38" s="14" t="n"/>
      <c r="N38" s="14" t="inlineStr">
        <is>
          <t>Not started</t>
        </is>
      </c>
      <c r="O38" s="14" t="n"/>
    </row>
    <row r="39">
      <c r="A39" s="14" t="inlineStr">
        <is>
          <t>CSF_PAYMENT_HISTORY_MONTHS</t>
        </is>
      </c>
      <c r="B39" s="14" t="inlineStr">
        <is>
          <t>Customer Service</t>
        </is>
      </c>
      <c r="C39" s="14" t="inlineStr">
        <is>
          <t>Customer Servicing Facility</t>
        </is>
      </c>
      <c r="D39" s="14" t="inlineStr">
        <is>
          <t>Product Owner, Customer Servicing Facility</t>
        </is>
      </c>
      <c r="E39" s="14" t="inlineStr">
        <is>
          <t>Months of payment history the contact centre sees before Show Older</t>
        </is>
      </c>
      <c r="F39" s="14" t="inlineStr">
        <is>
          <t>integer</t>
        </is>
      </c>
      <c r="G39" s="14" t="inlineStr">
        <is>
          <t>12</t>
        </is>
      </c>
      <c r="H39" s="14" t="inlineStr">
        <is>
          <t>1 to 120</t>
        </is>
      </c>
      <c r="I39" s="14" t="inlineStr">
        <is>
          <t>This sheet</t>
        </is>
      </c>
      <c r="J39" s="14" t="inlineStr">
        <is>
          <t>16-Jul-2027 (T-24 weeks)</t>
        </is>
      </c>
      <c r="K39" s="14" t="n"/>
      <c r="L39" s="14" t="n"/>
      <c r="M39" s="14" t="n"/>
      <c r="N39" s="14" t="inlineStr">
        <is>
          <t>Not started</t>
        </is>
      </c>
      <c r="O39" s="14" t="n"/>
    </row>
    <row r="40">
      <c r="A40" s="14" t="inlineStr">
        <is>
          <t>CSF_SEARCH_MAX_RESULTS</t>
        </is>
      </c>
      <c r="B40" s="14" t="inlineStr">
        <is>
          <t>Customer Service</t>
        </is>
      </c>
      <c r="C40" s="14" t="inlineStr">
        <is>
          <t>Customer Servicing Facility</t>
        </is>
      </c>
      <c r="D40" s="14" t="inlineStr">
        <is>
          <t>Product Owner, Customer Servicing Facility</t>
        </is>
      </c>
      <c r="E40" s="14" t="inlineStr">
        <is>
          <t>Maximum clients a customer search returns before the contact centre officer must refine it</t>
        </is>
      </c>
      <c r="F40" s="14" t="inlineStr">
        <is>
          <t>integer</t>
        </is>
      </c>
      <c r="G40" s="14" t="inlineStr">
        <is>
          <t>50</t>
        </is>
      </c>
      <c r="H40" s="14" t="inlineStr">
        <is>
          <t>5 to 500</t>
        </is>
      </c>
      <c r="I40" s="14" t="inlineStr">
        <is>
          <t>This sheet</t>
        </is>
      </c>
      <c r="J40" s="14" t="inlineStr">
        <is>
          <t>16-Jul-2027 (T-24 weeks)</t>
        </is>
      </c>
      <c r="K40" s="14" t="n"/>
      <c r="L40" s="14" t="n"/>
      <c r="M40" s="14" t="n"/>
      <c r="N40" s="14" t="inlineStr">
        <is>
          <t>Not started</t>
        </is>
      </c>
      <c r="O40" s="14" t="n"/>
    </row>
    <row r="41">
      <c r="A41" s="14" t="inlineStr">
        <is>
          <t>CSF_SEARCH_MIN_CHARS</t>
        </is>
      </c>
      <c r="B41" s="14" t="inlineStr">
        <is>
          <t>Customer Service</t>
        </is>
      </c>
      <c r="C41" s="14" t="inlineStr">
        <is>
          <t>Customer Servicing Facility</t>
        </is>
      </c>
      <c r="D41" s="14" t="inlineStr">
        <is>
          <t>Product Owner, Customer Servicing Facility</t>
        </is>
      </c>
      <c r="E41" s="14" t="inlineStr">
        <is>
          <t>Minimum characters of a client name search</t>
        </is>
      </c>
      <c r="F41" s="14" t="inlineStr">
        <is>
          <t>integer</t>
        </is>
      </c>
      <c r="G41" s="14" t="inlineStr">
        <is>
          <t>3</t>
        </is>
      </c>
      <c r="H41" s="14" t="inlineStr">
        <is>
          <t>1 to 20</t>
        </is>
      </c>
      <c r="I41" s="14" t="inlineStr">
        <is>
          <t>This sheet</t>
        </is>
      </c>
      <c r="J41" s="14" t="inlineStr">
        <is>
          <t>16-Jul-2027 (T-24 weeks)</t>
        </is>
      </c>
      <c r="K41" s="14" t="n"/>
      <c r="L41" s="14" t="n"/>
      <c r="M41" s="14" t="n"/>
      <c r="N41" s="14" t="inlineStr">
        <is>
          <t>Not started</t>
        </is>
      </c>
      <c r="O41" s="14" t="n"/>
    </row>
    <row r="42">
      <c r="A42" s="14" t="inlineStr">
        <is>
          <t>CSF_VERIFICATION_VALID_MINUTES</t>
        </is>
      </c>
      <c r="B42" s="14" t="inlineStr">
        <is>
          <t>Customer Service</t>
        </is>
      </c>
      <c r="C42" s="14" t="inlineStr">
        <is>
          <t>Customer Servicing Facility</t>
        </is>
      </c>
      <c r="D42" s="14" t="inlineStr">
        <is>
          <t>Product Owner, Customer Servicing Facility</t>
        </is>
      </c>
      <c r="E42" s="14" t="inlineStr">
        <is>
          <t>Minutes a passed verification of a caller stays valid for a change</t>
        </is>
      </c>
      <c r="F42" s="14" t="inlineStr">
        <is>
          <t>integer</t>
        </is>
      </c>
      <c r="G42" s="14" t="inlineStr">
        <is>
          <t>30</t>
        </is>
      </c>
      <c r="H42" s="14" t="inlineStr">
        <is>
          <t>1 to 480</t>
        </is>
      </c>
      <c r="I42" s="14" t="inlineStr">
        <is>
          <t>This sheet</t>
        </is>
      </c>
      <c r="J42" s="14" t="inlineStr">
        <is>
          <t>16-Jul-2027 (T-24 weeks)</t>
        </is>
      </c>
      <c r="K42" s="14" t="n"/>
      <c r="L42" s="14" t="n"/>
      <c r="M42" s="14" t="n"/>
      <c r="N42" s="14" t="inlineStr">
        <is>
          <t>Not started</t>
        </is>
      </c>
      <c r="O42" s="14" t="n"/>
    </row>
    <row r="43">
      <c r="A43" s="14" t="inlineStr">
        <is>
          <t>CSF_VERIFY_MAX_FAILS</t>
        </is>
      </c>
      <c r="B43" s="14" t="inlineStr">
        <is>
          <t>Customer Service</t>
        </is>
      </c>
      <c r="C43" s="14" t="inlineStr">
        <is>
          <t>Customer Servicing Facility</t>
        </is>
      </c>
      <c r="D43" s="14" t="inlineStr">
        <is>
          <t>Product Owner, Customer Servicing Facility</t>
        </is>
      </c>
      <c r="E43" s="14" t="inlineStr">
        <is>
          <t>Failed verifications of one client in a day that raise an alert to the supervisors</t>
        </is>
      </c>
      <c r="F43" s="14" t="inlineStr">
        <is>
          <t>integer</t>
        </is>
      </c>
      <c r="G43" s="14" t="inlineStr">
        <is>
          <t>3</t>
        </is>
      </c>
      <c r="H43" s="14" t="inlineStr">
        <is>
          <t>1 to 20</t>
        </is>
      </c>
      <c r="I43" s="14" t="inlineStr">
        <is>
          <t>This sheet</t>
        </is>
      </c>
      <c r="J43" s="14" t="inlineStr">
        <is>
          <t>16-Jul-2027 (T-24 weeks)</t>
        </is>
      </c>
      <c r="K43" s="14" t="n"/>
      <c r="L43" s="14" t="n"/>
      <c r="M43" s="14" t="n"/>
      <c r="N43" s="14" t="inlineStr">
        <is>
          <t>Not started</t>
        </is>
      </c>
      <c r="O43" s="14" t="n"/>
    </row>
    <row r="44">
      <c r="A44" s="14" t="inlineStr">
        <is>
          <t>CSF_VERIFY_MIN_MATCHES</t>
        </is>
      </c>
      <c r="B44" s="14" t="inlineStr">
        <is>
          <t>Customer Service</t>
        </is>
      </c>
      <c r="C44" s="14" t="inlineStr">
        <is>
          <t>Customer Servicing Facility</t>
        </is>
      </c>
      <c r="D44" s="14" t="inlineStr">
        <is>
          <t>Product Owner, Customer Servicing Facility</t>
        </is>
      </c>
      <c r="E44" s="14" t="inlineStr">
        <is>
          <t>Verification checks that must match before the contact details of a client can be changed</t>
        </is>
      </c>
      <c r="F44" s="14" t="inlineStr">
        <is>
          <t>integer</t>
        </is>
      </c>
      <c r="G44" s="14" t="inlineStr">
        <is>
          <t>2</t>
        </is>
      </c>
      <c r="H44" s="14" t="inlineStr">
        <is>
          <t>1 to 10</t>
        </is>
      </c>
      <c r="I44" s="14" t="inlineStr">
        <is>
          <t>This sheet</t>
        </is>
      </c>
      <c r="J44" s="14" t="inlineStr">
        <is>
          <t>16-Jul-2027 (T-24 weeks)</t>
        </is>
      </c>
      <c r="K44" s="14" t="n"/>
      <c r="L44" s="14" t="n"/>
      <c r="M44" s="14" t="n"/>
      <c r="N44" s="14" t="inlineStr">
        <is>
          <t>Not started</t>
        </is>
      </c>
      <c r="O44" s="14" t="n"/>
    </row>
    <row r="45">
      <c r="A45" s="14" t="inlineStr">
        <is>
          <t>INSURER_DEFAULT_CREDIT_DAYS</t>
        </is>
      </c>
      <c r="B45" s="14" t="inlineStr">
        <is>
          <t>Data Migration</t>
        </is>
      </c>
      <c r="C45" s="14" t="inlineStr">
        <is>
          <t>Data Migration</t>
        </is>
      </c>
      <c r="D45" s="14" t="inlineStr">
        <is>
          <t>Program Manager, Business Project Services (Data Migration)</t>
        </is>
      </c>
      <c r="E45" s="14" t="inlineStr">
        <is>
          <t>Credit days of an insurer loaded by data migration without credit days</t>
        </is>
      </c>
      <c r="F45" s="14" t="inlineStr">
        <is>
          <t>integer</t>
        </is>
      </c>
      <c r="G45" s="14" t="inlineStr">
        <is>
          <t>30</t>
        </is>
      </c>
      <c r="H45" s="14" t="inlineStr">
        <is>
          <t>0 to 365</t>
        </is>
      </c>
      <c r="I45" s="14" t="inlineStr">
        <is>
          <t>This sheet</t>
        </is>
      </c>
      <c r="J45" s="14" t="inlineStr">
        <is>
          <t>16-Jul-2027 (T-24 weeks)</t>
        </is>
      </c>
      <c r="K45" s="14" t="n"/>
      <c r="L45" s="14" t="n"/>
      <c r="M45" s="14" t="n"/>
      <c r="N45" s="14" t="inlineStr">
        <is>
          <t>Not started</t>
        </is>
      </c>
      <c r="O45" s="14" t="n"/>
    </row>
    <row r="46">
      <c r="A46" s="14" t="inlineStr">
        <is>
          <t>MIG_ACCESS_EXPORT_ALERT_ROWS</t>
        </is>
      </c>
      <c r="B46" s="14" t="inlineStr">
        <is>
          <t>Data Migration</t>
        </is>
      </c>
      <c r="C46" s="14" t="inlineStr">
        <is>
          <t>Data Migration</t>
        </is>
      </c>
      <c r="D46" s="14" t="inlineStr">
        <is>
          <t>Program Manager, Business Project Services (Data Migration)</t>
        </is>
      </c>
      <c r="E46" s="14" t="inlineStr">
        <is>
          <t>Archive records exported by one user in a day above which the unusual-access alert is raised</t>
        </is>
      </c>
      <c r="F46" s="14" t="inlineStr">
        <is>
          <t>integer</t>
        </is>
      </c>
      <c r="G46" s="14" t="inlineStr">
        <is>
          <t>5000</t>
        </is>
      </c>
      <c r="H46" s="14" t="inlineStr">
        <is>
          <t>1 to 1000000</t>
        </is>
      </c>
      <c r="I46" s="14" t="inlineStr">
        <is>
          <t>This sheet</t>
        </is>
      </c>
      <c r="J46" s="14" t="inlineStr">
        <is>
          <t>16-Jul-2027 (T-24 weeks)</t>
        </is>
      </c>
      <c r="K46" s="14" t="n"/>
      <c r="L46" s="14" t="n"/>
      <c r="M46" s="14" t="n"/>
      <c r="N46" s="14" t="inlineStr">
        <is>
          <t>Not started</t>
        </is>
      </c>
      <c r="O46" s="14" t="n"/>
    </row>
    <row r="47">
      <c r="A47" s="14" t="inlineStr">
        <is>
          <t>MIG_AMOUNT_TOLERANCE</t>
        </is>
      </c>
      <c r="B47" s="14" t="inlineStr">
        <is>
          <t>Data Migration</t>
        </is>
      </c>
      <c r="C47" s="14" t="inlineStr">
        <is>
          <t>Data Migration</t>
        </is>
      </c>
      <c r="D47" s="14" t="inlineStr">
        <is>
          <t>Program Manager, Business Project Services (Data Migration)</t>
        </is>
      </c>
      <c r="E47" s="14" t="inlineStr">
        <is>
          <t>Largest amount difference accepted by the amount reconciliation</t>
        </is>
      </c>
      <c r="F47" s="14" t="inlineStr">
        <is>
          <t>decimal</t>
        </is>
      </c>
      <c r="G47" s="14" t="inlineStr">
        <is>
          <t>0.00</t>
        </is>
      </c>
      <c r="H47" s="14" t="inlineStr"/>
      <c r="I47" s="14" t="inlineStr">
        <is>
          <t>This sheet</t>
        </is>
      </c>
      <c r="J47" s="14" t="inlineStr">
        <is>
          <t>16-Jul-2027 (T-24 weeks)</t>
        </is>
      </c>
      <c r="K47" s="14" t="n"/>
      <c r="L47" s="14" t="n"/>
      <c r="M47" s="14" t="n"/>
      <c r="N47" s="14" t="inlineStr">
        <is>
          <t>Not started</t>
        </is>
      </c>
      <c r="O47" s="14" t="n"/>
    </row>
    <row r="48">
      <c r="A48" s="14" t="inlineStr">
        <is>
          <t>MIG_ARCHIVE_EXPORT_MAX_ROWS</t>
        </is>
      </c>
      <c r="B48" s="14" t="inlineStr">
        <is>
          <t>Data Migration</t>
        </is>
      </c>
      <c r="C48" s="14" t="inlineStr">
        <is>
          <t>Data Migration</t>
        </is>
      </c>
      <c r="D48" s="14" t="inlineStr">
        <is>
          <t>Program Manager, Business Project Services (Data Migration)</t>
        </is>
      </c>
      <c r="E48" s="14" t="inlineStr">
        <is>
          <t>Largest number of archive records exported to Excel at a time</t>
        </is>
      </c>
      <c r="F48" s="14" t="inlineStr">
        <is>
          <t>integer</t>
        </is>
      </c>
      <c r="G48" s="14" t="inlineStr">
        <is>
          <t>1000</t>
        </is>
      </c>
      <c r="H48" s="14" t="inlineStr">
        <is>
          <t>1 to 100000</t>
        </is>
      </c>
      <c r="I48" s="14" t="inlineStr">
        <is>
          <t>This sheet</t>
        </is>
      </c>
      <c r="J48" s="14" t="inlineStr">
        <is>
          <t>16-Jul-2027 (T-24 weeks)</t>
        </is>
      </c>
      <c r="K48" s="14" t="n"/>
      <c r="L48" s="14" t="n"/>
      <c r="M48" s="14" t="n"/>
      <c r="N48" s="14" t="inlineStr">
        <is>
          <t>Not started</t>
        </is>
      </c>
      <c r="O48" s="14" t="n"/>
    </row>
    <row r="49">
      <c r="A49" s="14" t="inlineStr">
        <is>
          <t>MIG_CHUNK_SIZE</t>
        </is>
      </c>
      <c r="B49" s="14" t="inlineStr">
        <is>
          <t>Data Migration</t>
        </is>
      </c>
      <c r="C49" s="14" t="inlineStr">
        <is>
          <t>Data Migration</t>
        </is>
      </c>
      <c r="D49" s="14" t="inlineStr">
        <is>
          <t>Program Manager, Business Project Services (Data Migration)</t>
        </is>
      </c>
      <c r="E49" s="14" t="inlineStr">
        <is>
          <t>Rows loaded per transaction</t>
        </is>
      </c>
      <c r="F49" s="14" t="inlineStr">
        <is>
          <t>integer</t>
        </is>
      </c>
      <c r="G49" s="14" t="inlineStr">
        <is>
          <t>500</t>
        </is>
      </c>
      <c r="H49" s="14" t="inlineStr">
        <is>
          <t>10 to 5000</t>
        </is>
      </c>
      <c r="I49" s="14" t="inlineStr">
        <is>
          <t>This sheet</t>
        </is>
      </c>
      <c r="J49" s="14" t="inlineStr">
        <is>
          <t>16-Jul-2027 (T-24 weeks)</t>
        </is>
      </c>
      <c r="K49" s="14" t="n"/>
      <c r="L49" s="14" t="n"/>
      <c r="M49" s="14" t="n"/>
      <c r="N49" s="14" t="inlineStr">
        <is>
          <t>Not started</t>
        </is>
      </c>
      <c r="O49" s="14" t="n"/>
    </row>
    <row r="50">
      <c r="A50" s="14" t="inlineStr">
        <is>
          <t>MIG_CLIENT_MATCH_AUTO</t>
        </is>
      </c>
      <c r="B50" s="14" t="inlineStr">
        <is>
          <t>Data Migration</t>
        </is>
      </c>
      <c r="C50" s="14" t="inlineStr">
        <is>
          <t>Data Migration</t>
        </is>
      </c>
      <c r="D50" s="14" t="inlineStr">
        <is>
          <t>Program Manager, Business Project Services (Data Migration)</t>
        </is>
      </c>
      <c r="E50" s="14" t="inlineStr">
        <is>
          <t>Client match score from which two legacy clients are merged automatically</t>
        </is>
      </c>
      <c r="F50" s="14" t="inlineStr">
        <is>
          <t>integer</t>
        </is>
      </c>
      <c r="G50" s="14" t="inlineStr">
        <is>
          <t>90</t>
        </is>
      </c>
      <c r="H50" s="14" t="inlineStr">
        <is>
          <t>60 to 100</t>
        </is>
      </c>
      <c r="I50" s="14" t="inlineStr">
        <is>
          <t>This sheet</t>
        </is>
      </c>
      <c r="J50" s="14" t="inlineStr">
        <is>
          <t>16-Jul-2027 (T-24 weeks)</t>
        </is>
      </c>
      <c r="K50" s="14" t="n"/>
      <c r="L50" s="14" t="n"/>
      <c r="M50" s="14" t="n"/>
      <c r="N50" s="14" t="inlineStr">
        <is>
          <t>Not started</t>
        </is>
      </c>
      <c r="O50" s="14" t="n"/>
    </row>
    <row r="51">
      <c r="A51" s="14" t="inlineStr">
        <is>
          <t>MIG_CLIENT_MATCH_REVIEW</t>
        </is>
      </c>
      <c r="B51" s="14" t="inlineStr">
        <is>
          <t>Data Migration</t>
        </is>
      </c>
      <c r="C51" s="14" t="inlineStr">
        <is>
          <t>Data Migration</t>
        </is>
      </c>
      <c r="D51" s="14" t="inlineStr">
        <is>
          <t>Program Manager, Business Project Services (Data Migration)</t>
        </is>
      </c>
      <c r="E51" s="14" t="inlineStr">
        <is>
          <t>Client match score from which a pair goes to the Data Steward review queue</t>
        </is>
      </c>
      <c r="F51" s="14" t="inlineStr">
        <is>
          <t>integer</t>
        </is>
      </c>
      <c r="G51" s="14" t="inlineStr">
        <is>
          <t>60</t>
        </is>
      </c>
      <c r="H51" s="14" t="inlineStr">
        <is>
          <t>1 to 100</t>
        </is>
      </c>
      <c r="I51" s="14" t="inlineStr">
        <is>
          <t>This sheet</t>
        </is>
      </c>
      <c r="J51" s="14" t="inlineStr">
        <is>
          <t>16-Jul-2027 (T-24 weeks)</t>
        </is>
      </c>
      <c r="K51" s="14" t="n"/>
      <c r="L51" s="14" t="n"/>
      <c r="M51" s="14" t="n"/>
      <c r="N51" s="14" t="inlineStr">
        <is>
          <t>Not started</t>
        </is>
      </c>
      <c r="O51" s="14" t="n"/>
    </row>
    <row r="52">
      <c r="A52" s="14" t="inlineStr">
        <is>
          <t>MIG_CUTOVER_DATE</t>
        </is>
      </c>
      <c r="B52" s="14" t="inlineStr">
        <is>
          <t>Data Migration</t>
        </is>
      </c>
      <c r="C52" s="14" t="inlineStr">
        <is>
          <t>Data Migration</t>
        </is>
      </c>
      <c r="D52" s="14" t="inlineStr">
        <is>
          <t>Program Manager, Business Project Services (Data Migration)</t>
        </is>
      </c>
      <c r="E52" s="14" t="inlineStr">
        <is>
          <t>Go-live date (yyyy-MM-dd); the first business day on BIBS</t>
        </is>
      </c>
      <c r="F52" s="14" t="inlineStr">
        <is>
          <t>string</t>
        </is>
      </c>
      <c r="G52" s="14" t="inlineStr">
        <is>
          <t>2028-01-03</t>
        </is>
      </c>
      <c r="H52" s="14" t="inlineStr"/>
      <c r="I52" s="14" t="inlineStr">
        <is>
          <t>This sheet</t>
        </is>
      </c>
      <c r="J52" s="14" t="inlineStr">
        <is>
          <t>16-Jul-2027 (T-24 weeks)</t>
        </is>
      </c>
      <c r="K52" s="14" t="n"/>
      <c r="L52" s="14" t="n"/>
      <c r="M52" s="14" t="n"/>
      <c r="N52" s="14" t="inlineStr">
        <is>
          <t>Not started</t>
        </is>
      </c>
      <c r="O52" s="14" t="n"/>
    </row>
    <row r="53">
      <c r="A53" s="14" t="inlineStr">
        <is>
          <t>MIG_ENVIRONMENT_CLASS</t>
        </is>
      </c>
      <c r="B53" s="14" t="inlineStr">
        <is>
          <t>Data Migration</t>
        </is>
      </c>
      <c r="C53" s="14" t="inlineStr">
        <is>
          <t>Data Migration</t>
        </is>
      </c>
      <c r="D53" s="14" t="inlineStr">
        <is>
          <t>Program Manager, Business Project Services (Data Migration)</t>
        </is>
      </c>
      <c r="E53" s="14" t="inlineStr">
        <is>
          <t>PRODUCTION or NON_PRODUCTION; outside production personal data of the extracts is masked before staging</t>
        </is>
      </c>
      <c r="F53" s="14" t="inlineStr">
        <is>
          <t>string</t>
        </is>
      </c>
      <c r="G53" s="14" t="inlineStr">
        <is>
          <t>NON_PRODUCTION</t>
        </is>
      </c>
      <c r="H53" s="14" t="inlineStr"/>
      <c r="I53" s="14" t="inlineStr">
        <is>
          <t>This sheet</t>
        </is>
      </c>
      <c r="J53" s="14" t="inlineStr">
        <is>
          <t>16-Jul-2027 (T-24 weeks)</t>
        </is>
      </c>
      <c r="K53" s="14" t="n"/>
      <c r="L53" s="14" t="n"/>
      <c r="M53" s="14" t="n"/>
      <c r="N53" s="14" t="inlineStr">
        <is>
          <t>Not started</t>
        </is>
      </c>
      <c r="O53" s="14" t="n"/>
    </row>
    <row r="54">
      <c r="A54" s="14" t="inlineStr">
        <is>
          <t>MIG_FREEZE_AT</t>
        </is>
      </c>
      <c r="B54" s="14" t="inlineStr">
        <is>
          <t>Data Migration</t>
        </is>
      </c>
      <c r="C54" s="14" t="inlineStr">
        <is>
          <t>Data Migration</t>
        </is>
      </c>
      <c r="D54" s="14" t="inlineStr">
        <is>
          <t>Program Manager, Business Project Services (Data Migration)</t>
        </is>
      </c>
      <c r="E54" s="14" t="inlineStr">
        <is>
          <t>Start of the legacy business freeze (yyyy-MM-dd HH:mm, Philippine time)</t>
        </is>
      </c>
      <c r="F54" s="14" t="inlineStr">
        <is>
          <t>string</t>
        </is>
      </c>
      <c r="G54" s="14" t="inlineStr">
        <is>
          <t>2027-12-31 22:00</t>
        </is>
      </c>
      <c r="H54" s="14" t="inlineStr"/>
      <c r="I54" s="14" t="inlineStr">
        <is>
          <t>This sheet</t>
        </is>
      </c>
      <c r="J54" s="14" t="inlineStr">
        <is>
          <t>16-Jul-2027 (T-24 weeks)</t>
        </is>
      </c>
      <c r="K54" s="14" t="n"/>
      <c r="L54" s="14" t="n"/>
      <c r="M54" s="14" t="n"/>
      <c r="N54" s="14" t="inlineStr">
        <is>
          <t>Not started</t>
        </is>
      </c>
      <c r="O54" s="14" t="n"/>
    </row>
    <row r="55">
      <c r="A55" s="14" t="inlineStr">
        <is>
          <t>MIG_GOLIVE_RENEWAL_TO</t>
        </is>
      </c>
      <c r="B55" s="14" t="inlineStr">
        <is>
          <t>Data Migration</t>
        </is>
      </c>
      <c r="C55" s="14" t="inlineStr">
        <is>
          <t>Data Migration</t>
        </is>
      </c>
      <c r="D55" s="14" t="inlineStr">
        <is>
          <t>Program Manager, Business Project Services (Data Migration)</t>
        </is>
      </c>
      <c r="E55" s="14" t="inlineStr">
        <is>
          <t>Last expiry date of the migrated policies taken over by Renewal at go-live (yyyy-MM-dd)</t>
        </is>
      </c>
      <c r="F55" s="14" t="inlineStr">
        <is>
          <t>string</t>
        </is>
      </c>
      <c r="G55" s="14" t="inlineStr">
        <is>
          <t>2028-05-31</t>
        </is>
      </c>
      <c r="H55" s="14" t="inlineStr"/>
      <c r="I55" s="14" t="inlineStr">
        <is>
          <t>This sheet</t>
        </is>
      </c>
      <c r="J55" s="14" t="inlineStr">
        <is>
          <t>16-Jul-2027 (T-24 weeks)</t>
        </is>
      </c>
      <c r="K55" s="14" t="n"/>
      <c r="L55" s="14" t="n"/>
      <c r="M55" s="14" t="n"/>
      <c r="N55" s="14" t="inlineStr">
        <is>
          <t>Not started</t>
        </is>
      </c>
      <c r="O55" s="14" t="n"/>
    </row>
    <row r="56">
      <c r="A56" s="14" t="inlineStr">
        <is>
          <t>MIG_LAST_LEGACY_BUSINESS_DAY</t>
        </is>
      </c>
      <c r="B56" s="14" t="inlineStr">
        <is>
          <t>Data Migration</t>
        </is>
      </c>
      <c r="C56" s="14" t="inlineStr">
        <is>
          <t>Data Migration</t>
        </is>
      </c>
      <c r="D56" s="14" t="inlineStr">
        <is>
          <t>Program Manager, Business Project Services (Data Migration)</t>
        </is>
      </c>
      <c r="E56" s="14" t="inlineStr">
        <is>
          <t>Last business day processed in the legacy systems (yyyy-MM-dd)</t>
        </is>
      </c>
      <c r="F56" s="14" t="inlineStr">
        <is>
          <t>string</t>
        </is>
      </c>
      <c r="G56" s="14" t="inlineStr">
        <is>
          <t>2027-12-29</t>
        </is>
      </c>
      <c r="H56" s="14" t="inlineStr"/>
      <c r="I56" s="14" t="inlineStr">
        <is>
          <t>This sheet</t>
        </is>
      </c>
      <c r="J56" s="14" t="inlineStr">
        <is>
          <t>16-Jul-2027 (T-24 weeks)</t>
        </is>
      </c>
      <c r="K56" s="14" t="n"/>
      <c r="L56" s="14" t="n"/>
      <c r="M56" s="14" t="n"/>
      <c r="N56" s="14" t="inlineStr">
        <is>
          <t>Not started</t>
        </is>
      </c>
      <c r="O56" s="14" t="n"/>
    </row>
    <row r="57">
      <c r="A57" s="14" t="inlineStr">
        <is>
          <t>MIG_LEGACY_ACCESS_REASON_REQUIRED</t>
        </is>
      </c>
      <c r="B57" s="14" t="inlineStr">
        <is>
          <t>Data Migration</t>
        </is>
      </c>
      <c r="C57" s="14" t="inlineStr">
        <is>
          <t>Data Migration</t>
        </is>
      </c>
      <c r="D57" s="14" t="inlineStr">
        <is>
          <t>Program Manager, Business Project Services (Data Migration)</t>
        </is>
      </c>
      <c r="E57" s="14" t="inlineStr">
        <is>
          <t>A reason is required before the legacy archive is searched</t>
        </is>
      </c>
      <c r="F57" s="14" t="inlineStr">
        <is>
          <t>boolean</t>
        </is>
      </c>
      <c r="G57" s="14" t="inlineStr">
        <is>
          <t>true</t>
        </is>
      </c>
      <c r="H57" s="14" t="inlineStr"/>
      <c r="I57" s="14" t="inlineStr">
        <is>
          <t>This sheet</t>
        </is>
      </c>
      <c r="J57" s="14" t="inlineStr">
        <is>
          <t>16-Jul-2027 (T-24 weeks)</t>
        </is>
      </c>
      <c r="K57" s="14" t="n"/>
      <c r="L57" s="14" t="n"/>
      <c r="M57" s="14" t="n"/>
      <c r="N57" s="14" t="inlineStr">
        <is>
          <t>Not started</t>
        </is>
      </c>
      <c r="O57" s="14" t="n"/>
    </row>
    <row r="58">
      <c r="A58" s="14" t="inlineStr">
        <is>
          <t>MIG_LEGACY_INVOICE_NO_PATTERN</t>
        </is>
      </c>
      <c r="B58" s="14" t="inlineStr">
        <is>
          <t>Data Migration</t>
        </is>
      </c>
      <c r="C58" s="14" t="inlineStr">
        <is>
          <t>Data Migration</t>
        </is>
      </c>
      <c r="D58" s="14" t="inlineStr">
        <is>
          <t>Program Manager, Business Project Services (Data Migration)</t>
        </is>
      </c>
      <c r="E58" s="14" t="inlineStr">
        <is>
          <t>Patterns of legacy invoice numbers recognised by the payment matcher (comma separated regular expressions)</t>
        </is>
      </c>
      <c r="F58" s="14" t="inlineStr">
        <is>
          <t>string</t>
        </is>
      </c>
      <c r="G58" s="14" t="inlineStr">
        <is>
          <t>^I\d{8}$</t>
        </is>
      </c>
      <c r="H58" s="14" t="inlineStr"/>
      <c r="I58" s="14" t="inlineStr">
        <is>
          <t>This sheet</t>
        </is>
      </c>
      <c r="J58" s="14" t="inlineStr">
        <is>
          <t>16-Jul-2027 (T-24 weeks)</t>
        </is>
      </c>
      <c r="K58" s="14" t="n"/>
      <c r="L58" s="14" t="n"/>
      <c r="M58" s="14" t="n"/>
      <c r="N58" s="14" t="inlineStr">
        <is>
          <t>Not started</t>
        </is>
      </c>
      <c r="O58" s="14" t="n"/>
    </row>
    <row r="59">
      <c r="A59" s="14" t="inlineStr">
        <is>
          <t>MIG_LEGACY_LINK_EBIX</t>
        </is>
      </c>
      <c r="B59" s="14" t="inlineStr">
        <is>
          <t>Data Migration</t>
        </is>
      </c>
      <c r="C59" s="14" t="inlineStr">
        <is>
          <t>Data Migration</t>
        </is>
      </c>
      <c r="D59" s="14" t="inlineStr">
        <is>
          <t>Program Manager, Business Project Services (Data Migration)</t>
        </is>
      </c>
      <c r="E59" s="14" t="inlineStr">
        <is>
          <t>Address of the read-only EBIX application for users who still need it</t>
        </is>
      </c>
      <c r="F59" s="14" t="inlineStr">
        <is>
          <t>string</t>
        </is>
      </c>
      <c r="G59" s="14" t="inlineStr">
        <is>
          <t>(blank)</t>
        </is>
      </c>
      <c r="H59" s="14" t="inlineStr"/>
      <c r="I59" s="14" t="inlineStr">
        <is>
          <t>This sheet</t>
        </is>
      </c>
      <c r="J59" s="14" t="inlineStr">
        <is>
          <t>16-Jul-2027 (T-24 weeks)</t>
        </is>
      </c>
      <c r="K59" s="14" t="n"/>
      <c r="L59" s="14" t="n"/>
      <c r="M59" s="14" t="n"/>
      <c r="N59" s="14" t="inlineStr">
        <is>
          <t>Not started</t>
        </is>
      </c>
      <c r="O59" s="14" t="n"/>
    </row>
    <row r="60">
      <c r="A60" s="14" t="inlineStr">
        <is>
          <t>MIG_LEGACY_LINK_QPS</t>
        </is>
      </c>
      <c r="B60" s="14" t="inlineStr">
        <is>
          <t>Data Migration</t>
        </is>
      </c>
      <c r="C60" s="14" t="inlineStr">
        <is>
          <t>Data Migration</t>
        </is>
      </c>
      <c r="D60" s="14" t="inlineStr">
        <is>
          <t>Program Manager, Business Project Services (Data Migration)</t>
        </is>
      </c>
      <c r="E60" s="14" t="inlineStr">
        <is>
          <t>Address of the read-only QPS application for users who still need it</t>
        </is>
      </c>
      <c r="F60" s="14" t="inlineStr">
        <is>
          <t>string</t>
        </is>
      </c>
      <c r="G60" s="14" t="inlineStr">
        <is>
          <t>(blank)</t>
        </is>
      </c>
      <c r="H60" s="14" t="inlineStr"/>
      <c r="I60" s="14" t="inlineStr">
        <is>
          <t>This sheet</t>
        </is>
      </c>
      <c r="J60" s="14" t="inlineStr">
        <is>
          <t>16-Jul-2027 (T-24 weeks)</t>
        </is>
      </c>
      <c r="K60" s="14" t="n"/>
      <c r="L60" s="14" t="n"/>
      <c r="M60" s="14" t="n"/>
      <c r="N60" s="14" t="inlineStr">
        <is>
          <t>Not started</t>
        </is>
      </c>
      <c r="O60" s="14" t="n"/>
    </row>
    <row r="61">
      <c r="A61" s="14" t="inlineStr">
        <is>
          <t>MIG_MAX_ERROR_RATE_FINANCIAL</t>
        </is>
      </c>
      <c r="B61" s="14" t="inlineStr">
        <is>
          <t>Data Migration</t>
        </is>
      </c>
      <c r="C61" s="14" t="inlineStr">
        <is>
          <t>Data Migration</t>
        </is>
      </c>
      <c r="D61" s="14" t="inlineStr">
        <is>
          <t>Program Manager, Business Project Services (Data Migration)</t>
        </is>
      </c>
      <c r="E61" s="14" t="inlineStr">
        <is>
          <t>Largest percentage of failing or waived rows with which open items, unapplied payments and the trial balance may be loaded</t>
        </is>
      </c>
      <c r="F61" s="14" t="inlineStr">
        <is>
          <t>decimal</t>
        </is>
      </c>
      <c r="G61" s="14" t="inlineStr">
        <is>
          <t>0</t>
        </is>
      </c>
      <c r="H61" s="14" t="inlineStr"/>
      <c r="I61" s="14" t="inlineStr">
        <is>
          <t>This sheet</t>
        </is>
      </c>
      <c r="J61" s="14" t="inlineStr">
        <is>
          <t>16-Jul-2027 (T-24 weeks)</t>
        </is>
      </c>
      <c r="K61" s="14" t="n"/>
      <c r="L61" s="14" t="n"/>
      <c r="M61" s="14" t="n"/>
      <c r="N61" s="14" t="inlineStr">
        <is>
          <t>Not started</t>
        </is>
      </c>
      <c r="O61" s="14" t="n"/>
    </row>
    <row r="62">
      <c r="A62" s="14" t="inlineStr">
        <is>
          <t>MIG_MAX_ERROR_RATE_MASTER</t>
        </is>
      </c>
      <c r="B62" s="14" t="inlineStr">
        <is>
          <t>Data Migration</t>
        </is>
      </c>
      <c r="C62" s="14" t="inlineStr">
        <is>
          <t>Data Migration</t>
        </is>
      </c>
      <c r="D62" s="14" t="inlineStr">
        <is>
          <t>Program Manager, Business Project Services (Data Migration)</t>
        </is>
      </c>
      <c r="E62" s="14" t="inlineStr">
        <is>
          <t>Largest percentage of failing or waived rows with which master data may be loaded</t>
        </is>
      </c>
      <c r="F62" s="14" t="inlineStr">
        <is>
          <t>decimal</t>
        </is>
      </c>
      <c r="G62" s="14" t="inlineStr">
        <is>
          <t>0.5</t>
        </is>
      </c>
      <c r="H62" s="14" t="inlineStr"/>
      <c r="I62" s="14" t="inlineStr">
        <is>
          <t>This sheet</t>
        </is>
      </c>
      <c r="J62" s="14" t="inlineStr">
        <is>
          <t>16-Jul-2027 (T-24 weeks)</t>
        </is>
      </c>
      <c r="K62" s="14" t="n"/>
      <c r="L62" s="14" t="n"/>
      <c r="M62" s="14" t="n"/>
      <c r="N62" s="14" t="inlineStr">
        <is>
          <t>Not started</t>
        </is>
      </c>
      <c r="O62" s="14" t="n"/>
    </row>
    <row r="63">
      <c r="A63" s="14" t="inlineStr">
        <is>
          <t>MIG_OPENING_VALUE_DATE</t>
        </is>
      </c>
      <c r="B63" s="14" t="inlineStr">
        <is>
          <t>Data Migration</t>
        </is>
      </c>
      <c r="C63" s="14" t="inlineStr">
        <is>
          <t>Data Migration</t>
        </is>
      </c>
      <c r="D63" s="14" t="inlineStr">
        <is>
          <t>Program Manager, Business Project Services (Data Migration)</t>
        </is>
      </c>
      <c r="E63" s="14" t="inlineStr">
        <is>
          <t>Value date of the opening entries and of the opening-balance adjustments (yyyy-MM-dd)</t>
        </is>
      </c>
      <c r="F63" s="14" t="inlineStr">
        <is>
          <t>string</t>
        </is>
      </c>
      <c r="G63" s="14" t="inlineStr">
        <is>
          <t>2028-01-01</t>
        </is>
      </c>
      <c r="H63" s="14" t="inlineStr"/>
      <c r="I63" s="14" t="inlineStr">
        <is>
          <t>This sheet</t>
        </is>
      </c>
      <c r="J63" s="14" t="inlineStr">
        <is>
          <t>16-Jul-2027 (T-24 weeks)</t>
        </is>
      </c>
      <c r="K63" s="14" t="n"/>
      <c r="L63" s="14" t="n"/>
      <c r="M63" s="14" t="n"/>
      <c r="N63" s="14" t="inlineStr">
        <is>
          <t>Not started</t>
        </is>
      </c>
      <c r="O63" s="14" t="n"/>
    </row>
    <row r="64">
      <c r="A64" s="14" t="inlineStr">
        <is>
          <t>MIG_PARTITIONS</t>
        </is>
      </c>
      <c r="B64" s="14" t="inlineStr">
        <is>
          <t>Data Migration</t>
        </is>
      </c>
      <c r="C64" s="14" t="inlineStr">
        <is>
          <t>Data Migration</t>
        </is>
      </c>
      <c r="D64" s="14" t="inlineStr">
        <is>
          <t>Program Manager, Business Project Services (Data Migration)</t>
        </is>
      </c>
      <c r="E64" s="14" t="inlineStr">
        <is>
          <t>Partitions loaded in parallel</t>
        </is>
      </c>
      <c r="F64" s="14" t="inlineStr">
        <is>
          <t>integer</t>
        </is>
      </c>
      <c r="G64" s="14" t="inlineStr">
        <is>
          <t>4</t>
        </is>
      </c>
      <c r="H64" s="14" t="inlineStr">
        <is>
          <t>1 to 16</t>
        </is>
      </c>
      <c r="I64" s="14" t="inlineStr">
        <is>
          <t>This sheet</t>
        </is>
      </c>
      <c r="J64" s="14" t="inlineStr">
        <is>
          <t>16-Jul-2027 (T-24 weeks)</t>
        </is>
      </c>
      <c r="K64" s="14" t="n"/>
      <c r="L64" s="14" t="n"/>
      <c r="M64" s="14" t="n"/>
      <c r="N64" s="14" t="inlineStr">
        <is>
          <t>Not started</t>
        </is>
      </c>
      <c r="O64" s="14" t="n"/>
    </row>
    <row r="65">
      <c r="A65" s="14" t="inlineStr">
        <is>
          <t>MIG_RA_MAX_LEAD_DAYS</t>
        </is>
      </c>
      <c r="B65" s="14" t="inlineStr">
        <is>
          <t>Data Migration</t>
        </is>
      </c>
      <c r="C65" s="14" t="inlineStr">
        <is>
          <t>Data Migration</t>
        </is>
      </c>
      <c r="D65" s="14" t="inlineStr">
        <is>
          <t>Program Manager, Business Project Services (Data Migration)</t>
        </is>
      </c>
      <c r="E65" s="14" t="inlineStr">
        <is>
          <t>An advice already sent more than this number of days before expiry is loaded with a warning</t>
        </is>
      </c>
      <c r="F65" s="14" t="inlineStr">
        <is>
          <t>integer</t>
        </is>
      </c>
      <c r="G65" s="14" t="inlineStr">
        <is>
          <t>140</t>
        </is>
      </c>
      <c r="H65" s="14" t="inlineStr">
        <is>
          <t>1 to 365</t>
        </is>
      </c>
      <c r="I65" s="14" t="inlineStr">
        <is>
          <t>This sheet</t>
        </is>
      </c>
      <c r="J65" s="14" t="inlineStr">
        <is>
          <t>16-Jul-2027 (T-24 weeks)</t>
        </is>
      </c>
      <c r="K65" s="14" t="n"/>
      <c r="L65" s="14" t="n"/>
      <c r="M65" s="14" t="n"/>
      <c r="N65" s="14" t="inlineStr">
        <is>
          <t>Not started</t>
        </is>
      </c>
      <c r="O65" s="14" t="n"/>
    </row>
    <row r="66">
      <c r="A66" s="14" t="inlineStr">
        <is>
          <t>MIG_RENEWAL_URGENT_TO</t>
        </is>
      </c>
      <c r="B66" s="14" t="inlineStr">
        <is>
          <t>Data Migration</t>
        </is>
      </c>
      <c r="C66" s="14" t="inlineStr">
        <is>
          <t>Data Migration</t>
        </is>
      </c>
      <c r="D66" s="14" t="inlineStr">
        <is>
          <t>Program Manager, Business Project Services (Data Migration)</t>
        </is>
      </c>
      <c r="E66" s="14" t="inlineStr">
        <is>
          <t>Migrated policies expiring up to this date are flagged urgent in the go-live renewal queue (yyyy-MM-dd)</t>
        </is>
      </c>
      <c r="F66" s="14" t="inlineStr">
        <is>
          <t>string</t>
        </is>
      </c>
      <c r="G66" s="14" t="inlineStr">
        <is>
          <t>2028-01-31</t>
        </is>
      </c>
      <c r="H66" s="14" t="inlineStr"/>
      <c r="I66" s="14" t="inlineStr">
        <is>
          <t>This sheet</t>
        </is>
      </c>
      <c r="J66" s="14" t="inlineStr">
        <is>
          <t>16-Jul-2027 (T-24 weeks)</t>
        </is>
      </c>
      <c r="K66" s="14" t="n"/>
      <c r="L66" s="14" t="n"/>
      <c r="M66" s="14" t="n"/>
      <c r="N66" s="14" t="inlineStr">
        <is>
          <t>Not started</t>
        </is>
      </c>
      <c r="O66" s="14" t="n"/>
    </row>
    <row r="67">
      <c r="A67" s="14" t="inlineStr">
        <is>
          <t>MIG_RESUBMIT_DEADLINE</t>
        </is>
      </c>
      <c r="B67" s="14" t="inlineStr">
        <is>
          <t>Data Migration</t>
        </is>
      </c>
      <c r="C67" s="14" t="inlineStr">
        <is>
          <t>Data Migration</t>
        </is>
      </c>
      <c r="D67" s="14" t="inlineStr">
        <is>
          <t>Program Manager, Business Project Services (Data Migration)</t>
        </is>
      </c>
      <c r="E67" s="14" t="inlineStr">
        <is>
          <t>Last time a corrected resubmission of the advices already sent may be approved (yyyy-MM-dd HH:mm, Philippine time)</t>
        </is>
      </c>
      <c r="F67" s="14" t="inlineStr">
        <is>
          <t>string</t>
        </is>
      </c>
      <c r="G67" s="14" t="inlineStr">
        <is>
          <t>2028-01-02 12:00</t>
        </is>
      </c>
      <c r="H67" s="14" t="inlineStr"/>
      <c r="I67" s="14" t="inlineStr">
        <is>
          <t>This sheet</t>
        </is>
      </c>
      <c r="J67" s="14" t="inlineStr">
        <is>
          <t>16-Jul-2027 (T-24 weeks)</t>
        </is>
      </c>
      <c r="K67" s="14" t="n"/>
      <c r="L67" s="14" t="n"/>
      <c r="M67" s="14" t="n"/>
      <c r="N67" s="14" t="inlineStr">
        <is>
          <t>Not started</t>
        </is>
      </c>
      <c r="O67" s="14" t="n"/>
    </row>
    <row r="68">
      <c r="A68" s="14" t="inlineStr">
        <is>
          <t>MIG_STAGING_RETENTION_DAYS</t>
        </is>
      </c>
      <c r="B68" s="14" t="inlineStr">
        <is>
          <t>Data Migration</t>
        </is>
      </c>
      <c r="C68" s="14" t="inlineStr">
        <is>
          <t>Data Migration</t>
        </is>
      </c>
      <c r="D68" s="14" t="inlineStr">
        <is>
          <t>Program Manager, Business Project Services (Data Migration)</t>
        </is>
      </c>
      <c r="E68" s="14" t="inlineStr">
        <is>
          <t>Days staging data and extract files are kept after the batch is signed off or rolled back</t>
        </is>
      </c>
      <c r="F68" s="14" t="inlineStr">
        <is>
          <t>integer</t>
        </is>
      </c>
      <c r="G68" s="14" t="inlineStr">
        <is>
          <t>5</t>
        </is>
      </c>
      <c r="H68" s="14" t="inlineStr">
        <is>
          <t>1 to 5</t>
        </is>
      </c>
      <c r="I68" s="14" t="inlineStr">
        <is>
          <t>This sheet</t>
        </is>
      </c>
      <c r="J68" s="14" t="inlineStr">
        <is>
          <t>16-Jul-2027 (T-24 weeks)</t>
        </is>
      </c>
      <c r="K68" s="14" t="n"/>
      <c r="L68" s="14" t="n"/>
      <c r="M68" s="14" t="n"/>
      <c r="N68" s="14" t="inlineStr">
        <is>
          <t>Not started</t>
        </is>
      </c>
      <c r="O68" s="14" t="n"/>
    </row>
    <row r="69">
      <c r="A69" s="14" t="inlineStr">
        <is>
          <t>MIG_UPP_ISSUE_AR</t>
        </is>
      </c>
      <c r="B69" s="14" t="inlineStr">
        <is>
          <t>Data Migration</t>
        </is>
      </c>
      <c r="C69" s="14" t="inlineStr">
        <is>
          <t>Data Migration</t>
        </is>
      </c>
      <c r="D69" s="14" t="inlineStr">
        <is>
          <t>Program Manager, Business Project Services (Data Migration)</t>
        </is>
      </c>
      <c r="E69" s="14" t="inlineStr">
        <is>
          <t>Issue a BIBS acknowledgement receipt for each migrated unapplied payment (no cash posting)</t>
        </is>
      </c>
      <c r="F69" s="14" t="inlineStr">
        <is>
          <t>boolean</t>
        </is>
      </c>
      <c r="G69" s="14" t="inlineStr">
        <is>
          <t>false</t>
        </is>
      </c>
      <c r="H69" s="14" t="inlineStr"/>
      <c r="I69" s="14" t="inlineStr">
        <is>
          <t>This sheet</t>
        </is>
      </c>
      <c r="J69" s="14" t="inlineStr">
        <is>
          <t>16-Jul-2027 (T-24 weeks)</t>
        </is>
      </c>
      <c r="K69" s="14" t="n"/>
      <c r="L69" s="14" t="n"/>
      <c r="M69" s="14" t="n"/>
      <c r="N69" s="14" t="inlineStr">
        <is>
          <t>Not started</t>
        </is>
      </c>
      <c r="O69" s="14" t="n"/>
    </row>
    <row r="70">
      <c r="A70" s="14" t="inlineStr">
        <is>
          <t>MIG_YEAR_END_OPTION</t>
        </is>
      </c>
      <c r="B70" s="14" t="inlineStr">
        <is>
          <t>Data Migration</t>
        </is>
      </c>
      <c r="C70" s="14" t="inlineStr">
        <is>
          <t>Data Migration</t>
        </is>
      </c>
      <c r="D70" s="14" t="inlineStr">
        <is>
          <t>Program Manager, Business Project Services (Data Migration)</t>
        </is>
      </c>
      <c r="E70" s="14" t="inlineStr">
        <is>
          <t>Year-end cut-over option: A = provisional opening trial balance at the year-end boundary with controlled true-ups</t>
        </is>
      </c>
      <c r="F70" s="14" t="inlineStr">
        <is>
          <t>string</t>
        </is>
      </c>
      <c r="G70" s="14" t="inlineStr">
        <is>
          <t>A</t>
        </is>
      </c>
      <c r="H70" s="14" t="inlineStr"/>
      <c r="I70" s="14" t="inlineStr">
        <is>
          <t>This sheet</t>
        </is>
      </c>
      <c r="J70" s="14" t="inlineStr">
        <is>
          <t>16-Jul-2027 (T-24 weeks)</t>
        </is>
      </c>
      <c r="K70" s="14" t="n"/>
      <c r="L70" s="14" t="n"/>
      <c r="M70" s="14" t="n"/>
      <c r="N70" s="14" t="inlineStr">
        <is>
          <t>Not started</t>
        </is>
      </c>
      <c r="O70" s="14" t="n"/>
    </row>
    <row r="71">
      <c r="A71" s="14" t="inlineStr">
        <is>
          <t>DISB_AUTO_APPROVER_ROUTING</t>
        </is>
      </c>
      <c r="B71" s="14" t="inlineStr">
        <is>
          <t>Disbursement</t>
        </is>
      </c>
      <c r="C71" s="14" t="inlineStr">
        <is>
          <t>Accounting, Disbursement and ACSL</t>
        </is>
      </c>
      <c r="D71" s="14" t="inlineStr">
        <is>
          <t>Head, Comptrollership</t>
        </is>
      </c>
      <c r="E71" s="14" t="inlineStr">
        <is>
          <t>Request types whose disbursement voucher is prepared automatically and routed straight to the approver</t>
        </is>
      </c>
      <c r="F71" s="14" t="inlineStr">
        <is>
          <t>code list</t>
        </is>
      </c>
      <c r="G71" s="14" t="inlineStr">
        <is>
          <t>REFUND,REMITTANCE</t>
        </is>
      </c>
      <c r="H71" s="14" t="inlineStr"/>
      <c r="I71" s="14" t="inlineStr">
        <is>
          <t>This sheet</t>
        </is>
      </c>
      <c r="J71" s="14" t="inlineStr">
        <is>
          <t>16-Jul-2027 (T-24 weeks)</t>
        </is>
      </c>
      <c r="K71" s="14" t="n"/>
      <c r="L71" s="14" t="n"/>
      <c r="M71" s="14" t="n"/>
      <c r="N71" s="14" t="inlineStr">
        <is>
          <t>Not started</t>
        </is>
      </c>
      <c r="O71" s="14" t="n"/>
    </row>
    <row r="72">
      <c r="A72" s="14" t="inlineStr">
        <is>
          <t>DISB_CHECK_CLEARING</t>
        </is>
      </c>
      <c r="B72" s="14" t="inlineStr">
        <is>
          <t>Disbursement</t>
        </is>
      </c>
      <c r="C72" s="14" t="inlineStr">
        <is>
          <t>Accounting, Disbursement and ACSL</t>
        </is>
      </c>
      <c r="D72" s="14" t="inlineStr">
        <is>
          <t>Head, Comptrollership</t>
        </is>
      </c>
      <c r="E72" s="14" t="inlineStr">
        <is>
          <t>ON: issued checks are credited to checks outstanding until negotiated; OFF: to the bank at approval</t>
        </is>
      </c>
      <c r="F72" s="14" t="inlineStr">
        <is>
          <t>string</t>
        </is>
      </c>
      <c r="G72" s="14" t="inlineStr">
        <is>
          <t>ON</t>
        </is>
      </c>
      <c r="H72" s="14" t="inlineStr"/>
      <c r="I72" s="14" t="inlineStr">
        <is>
          <t>This sheet</t>
        </is>
      </c>
      <c r="J72" s="14" t="inlineStr">
        <is>
          <t>16-Jul-2027 (T-24 weeks)</t>
        </is>
      </c>
      <c r="K72" s="14" t="n"/>
      <c r="L72" s="14" t="n"/>
      <c r="M72" s="14" t="n"/>
      <c r="N72" s="14" t="inlineStr">
        <is>
          <t>Not started</t>
        </is>
      </c>
      <c r="O72" s="14" t="n"/>
    </row>
    <row r="73">
      <c r="A73" s="14" t="inlineStr">
        <is>
          <t>DISB_CHECK_CLEARING_ACCOUNT</t>
        </is>
      </c>
      <c r="B73" s="14" t="inlineStr">
        <is>
          <t>Disbursement</t>
        </is>
      </c>
      <c r="C73" s="14" t="inlineStr">
        <is>
          <t>Accounting, Disbursement and ACSL</t>
        </is>
      </c>
      <c r="D73" s="14" t="inlineStr">
        <is>
          <t>Head, Comptrollership</t>
        </is>
      </c>
      <c r="E73" s="14" t="inlineStr">
        <is>
          <t>Checks outstanding clearing account credited for issued checks while DISB_CHECK_CLEARING = ON</t>
        </is>
      </c>
      <c r="F73" s="14" t="inlineStr">
        <is>
          <t>string</t>
        </is>
      </c>
      <c r="G73" s="14" t="inlineStr">
        <is>
          <t>2241</t>
        </is>
      </c>
      <c r="H73" s="14" t="inlineStr"/>
      <c r="I73" s="14" t="inlineStr">
        <is>
          <t>This sheet</t>
        </is>
      </c>
      <c r="J73" s="14" t="inlineStr">
        <is>
          <t>16-Jul-2027 (T-24 weeks)</t>
        </is>
      </c>
      <c r="K73" s="14" t="n"/>
      <c r="L73" s="14" t="n"/>
      <c r="M73" s="14" t="n"/>
      <c r="N73" s="14" t="inlineStr">
        <is>
          <t>Not started</t>
        </is>
      </c>
      <c r="O73" s="14" t="n"/>
    </row>
    <row r="74">
      <c r="A74" s="14" t="inlineStr">
        <is>
          <t>DISB_CHECK_SERIES_WARNING</t>
        </is>
      </c>
      <c r="B74" s="14" t="inlineStr">
        <is>
          <t>Disbursement</t>
        </is>
      </c>
      <c r="C74" s="14" t="inlineStr">
        <is>
          <t>Accounting, Disbursement and ACSL</t>
        </is>
      </c>
      <c r="D74" s="14" t="inlineStr">
        <is>
          <t>Head, Comptrollership</t>
        </is>
      </c>
      <c r="E74" s="14" t="inlineStr">
        <is>
          <t>Remaining check leaves of a paying account at which CHECK_SERIES_LOW is raised</t>
        </is>
      </c>
      <c r="F74" s="14" t="inlineStr">
        <is>
          <t>integer</t>
        </is>
      </c>
      <c r="G74" s="14" t="inlineStr">
        <is>
          <t>20</t>
        </is>
      </c>
      <c r="H74" s="14" t="inlineStr">
        <is>
          <t>1 to 1000</t>
        </is>
      </c>
      <c r="I74" s="14" t="inlineStr">
        <is>
          <t>This sheet</t>
        </is>
      </c>
      <c r="J74" s="14" t="inlineStr">
        <is>
          <t>16-Jul-2027 (T-24 weeks)</t>
        </is>
      </c>
      <c r="K74" s="14" t="n"/>
      <c r="L74" s="14" t="n"/>
      <c r="M74" s="14" t="n"/>
      <c r="N74" s="14" t="inlineStr">
        <is>
          <t>Not started</t>
        </is>
      </c>
      <c r="O74" s="14" t="n"/>
    </row>
    <row r="75">
      <c r="A75" s="14" t="inlineStr">
        <is>
          <t>DISB_NO_PAYEE_ACTION</t>
        </is>
      </c>
      <c r="B75" s="14" t="inlineStr">
        <is>
          <t>Disbursement</t>
        </is>
      </c>
      <c r="C75" s="14" t="inlineStr">
        <is>
          <t>Accounting, Disbursement and ACSL</t>
        </is>
      </c>
      <c r="D75" s="14" t="inlineStr">
        <is>
          <t>Head, Comptrollership</t>
        </is>
      </c>
      <c r="E75" s="14" t="inlineStr">
        <is>
          <t>Gateway request whose payee is not maintained: HOLD keeps it as NO_PAYEE, raises DISB_PAYEE_NO_MATCH and a payee request and resumes it once the payee is authorised; RETURN returns it at once to its source</t>
        </is>
      </c>
      <c r="F75" s="14" t="inlineStr">
        <is>
          <t>string</t>
        </is>
      </c>
      <c r="G75" s="14" t="inlineStr">
        <is>
          <t>HOLD</t>
        </is>
      </c>
      <c r="H75" s="14" t="inlineStr"/>
      <c r="I75" s="14" t="inlineStr">
        <is>
          <t>This sheet</t>
        </is>
      </c>
      <c r="J75" s="14" t="inlineStr">
        <is>
          <t>16-Jul-2027 (T-24 weeks)</t>
        </is>
      </c>
      <c r="K75" s="14" t="n"/>
      <c r="L75" s="14" t="n"/>
      <c r="M75" s="14" t="n"/>
      <c r="N75" s="14" t="inlineStr">
        <is>
          <t>Not started</t>
        </is>
      </c>
      <c r="O75" s="14" t="n"/>
    </row>
    <row r="76">
      <c r="A76" s="14" t="inlineStr">
        <is>
          <t>DISB_STALE_DAYS</t>
        </is>
      </c>
      <c r="B76" s="14" t="inlineStr">
        <is>
          <t>Disbursement</t>
        </is>
      </c>
      <c r="C76" s="14" t="inlineStr">
        <is>
          <t>Accounting, Disbursement and ACSL</t>
        </is>
      </c>
      <c r="D76" s="14" t="inlineStr">
        <is>
          <t>Head, Comptrollership</t>
        </is>
      </c>
      <c r="E76" s="14" t="inlineStr">
        <is>
          <t>Days after the print date at which a printed or released check becomes stale</t>
        </is>
      </c>
      <c r="F76" s="14" t="inlineStr">
        <is>
          <t>integer</t>
        </is>
      </c>
      <c r="G76" s="14" t="inlineStr">
        <is>
          <t>180</t>
        </is>
      </c>
      <c r="H76" s="14" t="inlineStr">
        <is>
          <t>30 to 720</t>
        </is>
      </c>
      <c r="I76" s="14" t="inlineStr">
        <is>
          <t>This sheet</t>
        </is>
      </c>
      <c r="J76" s="14" t="inlineStr">
        <is>
          <t>16-Jul-2027 (T-24 weeks)</t>
        </is>
      </c>
      <c r="K76" s="14" t="n"/>
      <c r="L76" s="14" t="n"/>
      <c r="M76" s="14" t="n"/>
      <c r="N76" s="14" t="inlineStr">
        <is>
          <t>Not started</t>
        </is>
      </c>
      <c r="O76" s="14" t="n"/>
    </row>
    <row r="77">
      <c r="A77" s="14" t="inlineStr">
        <is>
          <t>EARLY_INCENTIVE_WTAX_RATE</t>
        </is>
      </c>
      <c r="B77" s="14" t="inlineStr">
        <is>
          <t>Disbursement</t>
        </is>
      </c>
      <c r="C77" s="14" t="inlineStr">
        <is>
          <t>Accounting, Disbursement and ACSL</t>
        </is>
      </c>
      <c r="D77" s="14" t="inlineStr">
        <is>
          <t>Head, Comptrollership</t>
        </is>
      </c>
      <c r="E77" s="14" t="inlineStr">
        <is>
          <t>Withholding tax rate (percent) of the early-incentive service invoice</t>
        </is>
      </c>
      <c r="F77" s="14" t="inlineStr">
        <is>
          <t>decimal</t>
        </is>
      </c>
      <c r="G77" s="14" t="inlineStr">
        <is>
          <t>2</t>
        </is>
      </c>
      <c r="H77" s="14" t="inlineStr">
        <is>
          <t>0 to 100</t>
        </is>
      </c>
      <c r="I77" s="14" t="inlineStr">
        <is>
          <t>This sheet</t>
        </is>
      </c>
      <c r="J77" s="14" t="inlineStr">
        <is>
          <t>16-Jul-2027 (T-24 weeks)</t>
        </is>
      </c>
      <c r="K77" s="14" t="n"/>
      <c r="L77" s="14" t="n"/>
      <c r="M77" s="14" t="n"/>
      <c r="N77" s="14" t="inlineStr">
        <is>
          <t>Not started</t>
        </is>
      </c>
      <c r="O77" s="14" t="n"/>
    </row>
    <row r="78">
      <c r="A78" s="14" t="inlineStr">
        <is>
          <t>EB_ADJ_BOOKING_REQUIRES_PAYMENT</t>
        </is>
      </c>
      <c r="B78" s="14" t="inlineStr">
        <is>
          <t>Employee Benefits</t>
        </is>
      </c>
      <c r="C78" s="14" t="inlineStr">
        <is>
          <t>Employee Benefits</t>
        </is>
      </c>
      <c r="D78" s="14" t="inlineStr">
        <is>
          <t>Product Owner, Employee Benefits</t>
        </is>
      </c>
      <c r="E78" s="14" t="inlineStr">
        <is>
          <t>Raise the endorsement request of a member change only after its billing is paid</t>
        </is>
      </c>
      <c r="F78" s="14" t="inlineStr">
        <is>
          <t>boolean</t>
        </is>
      </c>
      <c r="G78" s="14" t="inlineStr">
        <is>
          <t>false</t>
        </is>
      </c>
      <c r="H78" s="14" t="inlineStr"/>
      <c r="I78" s="14" t="inlineStr">
        <is>
          <t>This sheet</t>
        </is>
      </c>
      <c r="J78" s="14" t="inlineStr">
        <is>
          <t>16-Jul-2027 (T-24 weeks)</t>
        </is>
      </c>
      <c r="K78" s="14" t="n"/>
      <c r="L78" s="14" t="n"/>
      <c r="M78" s="14" t="n"/>
      <c r="N78" s="14" t="inlineStr">
        <is>
          <t>Not started</t>
        </is>
      </c>
      <c r="O78" s="14" t="n"/>
    </row>
    <row r="79">
      <c r="A79" s="14" t="inlineStr">
        <is>
          <t>EB_FOLLOWUP_MAX</t>
        </is>
      </c>
      <c r="B79" s="14" t="inlineStr">
        <is>
          <t>Employee Benefits</t>
        </is>
      </c>
      <c r="C79" s="14" t="inlineStr">
        <is>
          <t>Employee Benefits</t>
        </is>
      </c>
      <c r="D79" s="14" t="inlineStr">
        <is>
          <t>Product Owner, Employee Benefits</t>
        </is>
      </c>
      <c r="E79" s="14" t="inlineStr">
        <is>
          <t>Follow-ups sent before a tracked item is escalated</t>
        </is>
      </c>
      <c r="F79" s="14" t="inlineStr">
        <is>
          <t>integer</t>
        </is>
      </c>
      <c r="G79" s="14" t="inlineStr">
        <is>
          <t>3</t>
        </is>
      </c>
      <c r="H79" s="14" t="inlineStr">
        <is>
          <t>1 to 20</t>
        </is>
      </c>
      <c r="I79" s="14" t="inlineStr">
        <is>
          <t>This sheet</t>
        </is>
      </c>
      <c r="J79" s="14" t="inlineStr">
        <is>
          <t>16-Jul-2027 (T-24 weeks)</t>
        </is>
      </c>
      <c r="K79" s="14" t="n"/>
      <c r="L79" s="14" t="n"/>
      <c r="M79" s="14" t="n"/>
      <c r="N79" s="14" t="inlineStr">
        <is>
          <t>Not started</t>
        </is>
      </c>
      <c r="O79" s="14" t="n"/>
    </row>
    <row r="80">
      <c r="A80" s="14" t="inlineStr">
        <is>
          <t>EPOLICY_PASSWORD_HINT</t>
        </is>
      </c>
      <c r="B80" s="14" t="inlineStr">
        <is>
          <t>Issuance</t>
        </is>
      </c>
      <c r="C80" s="14" t="inlineStr">
        <is>
          <t>New Business</t>
        </is>
      </c>
      <c r="D80" s="14" t="inlineStr">
        <is>
          <t>Product Owner, BDOI (New Business)</t>
        </is>
      </c>
      <c r="E80" s="14" t="inlineStr">
        <is>
          <t>Text telling the client how the password of the e-policy is formed</t>
        </is>
      </c>
      <c r="F80" s="14" t="inlineStr">
        <is>
          <t>string</t>
        </is>
      </c>
      <c r="G80" s="14" t="inlineStr">
        <is>
          <t>The password follows the BDOI standard; it is sent to you in a separate e-mail.</t>
        </is>
      </c>
      <c r="H80" s="14" t="inlineStr"/>
      <c r="I80" s="14" t="inlineStr">
        <is>
          <t>This sheet</t>
        </is>
      </c>
      <c r="J80" s="14" t="inlineStr">
        <is>
          <t>16-Jul-2027 (T-24 weeks)</t>
        </is>
      </c>
      <c r="K80" s="14" t="n"/>
      <c r="L80" s="14" t="n"/>
      <c r="M80" s="14" t="n"/>
      <c r="N80" s="14" t="inlineStr">
        <is>
          <t>Not started</t>
        </is>
      </c>
      <c r="O80" s="14" t="n"/>
    </row>
    <row r="81">
      <c r="A81" s="14" t="inlineStr">
        <is>
          <t>IA_TRIGGER</t>
        </is>
      </c>
      <c r="B81" s="14" t="inlineStr">
        <is>
          <t>Issuance</t>
        </is>
      </c>
      <c r="C81" s="14" t="inlineStr">
        <is>
          <t>New Business</t>
        </is>
      </c>
      <c r="D81" s="14" t="inlineStr">
        <is>
          <t>Product Owner, BDOI (New Business)</t>
        </is>
      </c>
      <c r="E81" s="14" t="inlineStr">
        <is>
          <t>When the Insurance Advice of a mortgaged account is generated automatically: ON_POLICY_ISSUE, ON_PLACEMENT or MANUAL</t>
        </is>
      </c>
      <c r="F81" s="14" t="inlineStr">
        <is>
          <t>string</t>
        </is>
      </c>
      <c r="G81" s="14" t="inlineStr">
        <is>
          <t>ON_POLICY_ISSUE</t>
        </is>
      </c>
      <c r="H81" s="14" t="inlineStr"/>
      <c r="I81" s="14" t="inlineStr">
        <is>
          <t>This sheet</t>
        </is>
      </c>
      <c r="J81" s="14" t="inlineStr">
        <is>
          <t>16-Jul-2027 (T-24 weeks)</t>
        </is>
      </c>
      <c r="K81" s="14" t="n"/>
      <c r="L81" s="14" t="n"/>
      <c r="M81" s="14" t="n"/>
      <c r="N81" s="14" t="inlineStr">
        <is>
          <t>Not started</t>
        </is>
      </c>
      <c r="O81" s="14" t="n"/>
    </row>
    <row r="82">
      <c r="A82" s="14" t="inlineStr">
        <is>
          <t>MAIL_FROM_ADDRESS</t>
        </is>
      </c>
      <c r="B82" s="14" t="inlineStr">
        <is>
          <t>Messaging</t>
        </is>
      </c>
      <c r="C82" s="14" t="inlineStr">
        <is>
          <t>Platform set-up</t>
        </is>
      </c>
      <c r="D82" s="14" t="inlineStr">
        <is>
          <t>BDOI IT</t>
        </is>
      </c>
      <c r="E82" s="14" t="inlineStr">
        <is>
          <t>From address of e-mails sent by this system (quotations, slips, e-policies, invoices)</t>
        </is>
      </c>
      <c r="F82" s="14" t="inlineStr">
        <is>
          <t>string</t>
        </is>
      </c>
      <c r="G82" s="14" t="inlineStr">
        <is>
          <t>no-reply@bdoi.example.ph</t>
        </is>
      </c>
      <c r="H82" s="14" t="inlineStr"/>
      <c r="I82" s="14" t="inlineStr">
        <is>
          <t>This sheet</t>
        </is>
      </c>
      <c r="J82" s="14" t="inlineStr">
        <is>
          <t>16-Jul-2027 (T-24 weeks)</t>
        </is>
      </c>
      <c r="K82" s="14" t="n"/>
      <c r="L82" s="14" t="n"/>
      <c r="M82" s="14" t="n"/>
      <c r="N82" s="14" t="inlineStr">
        <is>
          <t>Not started</t>
        </is>
      </c>
      <c r="O82" s="14" t="n"/>
    </row>
    <row r="83">
      <c r="A83" s="14" t="inlineStr">
        <is>
          <t>MAIL_MAX_ATTEMPTS</t>
        </is>
      </c>
      <c r="B83" s="14" t="inlineStr">
        <is>
          <t>Messaging</t>
        </is>
      </c>
      <c r="C83" s="14" t="inlineStr">
        <is>
          <t>Platform set-up</t>
        </is>
      </c>
      <c r="D83" s="14" t="inlineStr">
        <is>
          <t>BDOI IT</t>
        </is>
      </c>
      <c r="E83" s="14" t="inlineStr">
        <is>
          <t>Delivery attempts before an e-mail is marked failed</t>
        </is>
      </c>
      <c r="F83" s="14" t="inlineStr">
        <is>
          <t>integer</t>
        </is>
      </c>
      <c r="G83" s="14" t="inlineStr">
        <is>
          <t>3</t>
        </is>
      </c>
      <c r="H83" s="14" t="inlineStr">
        <is>
          <t>1 to 10</t>
        </is>
      </c>
      <c r="I83" s="14" t="inlineStr">
        <is>
          <t>This sheet</t>
        </is>
      </c>
      <c r="J83" s="14" t="inlineStr">
        <is>
          <t>16-Jul-2027 (T-24 weeks)</t>
        </is>
      </c>
      <c r="K83" s="14" t="n"/>
      <c r="L83" s="14" t="n"/>
      <c r="M83" s="14" t="n"/>
      <c r="N83" s="14" t="inlineStr">
        <is>
          <t>Not started</t>
        </is>
      </c>
      <c r="O83" s="14" t="n"/>
    </row>
    <row r="84">
      <c r="A84" s="14" t="inlineStr">
        <is>
          <t>ADJ_BASELINE_PERCENT</t>
        </is>
      </c>
      <c r="B84" s="14" t="inlineStr">
        <is>
          <t>Operations</t>
        </is>
      </c>
      <c r="C84" s="14" t="inlineStr">
        <is>
          <t>Operations</t>
        </is>
      </c>
      <c r="D84" s="14" t="inlineStr">
        <is>
          <t>Head, Operations Services</t>
        </is>
      </c>
      <c r="E84" s="14" t="inlineStr">
        <is>
          <t>Over-adjustment baseline: cumulative adjustments of an invoice above this percent of its original premium need an override reason and raise ADJ_OVER_BASELINE</t>
        </is>
      </c>
      <c r="F84" s="14" t="inlineStr">
        <is>
          <t>decimal</t>
        </is>
      </c>
      <c r="G84" s="14" t="inlineStr">
        <is>
          <t>100</t>
        </is>
      </c>
      <c r="H84" s="14" t="inlineStr">
        <is>
          <t>1 to 1000</t>
        </is>
      </c>
      <c r="I84" s="14" t="inlineStr">
        <is>
          <t>This sheet</t>
        </is>
      </c>
      <c r="J84" s="14" t="inlineStr">
        <is>
          <t>16-Jul-2027 (T-24 weeks)</t>
        </is>
      </c>
      <c r="K84" s="14" t="n"/>
      <c r="L84" s="14" t="n"/>
      <c r="M84" s="14" t="n"/>
      <c r="N84" s="14" t="inlineStr">
        <is>
          <t>Not started</t>
        </is>
      </c>
      <c r="O84" s="14" t="n"/>
    </row>
    <row r="85">
      <c r="A85" s="14" t="inlineStr">
        <is>
          <t>CASH_BANK_ACCOUNT</t>
        </is>
      </c>
      <c r="B85" s="14" t="inlineStr">
        <is>
          <t>Operations</t>
        </is>
      </c>
      <c r="C85" s="14" t="inlineStr">
        <is>
          <t>Operations</t>
        </is>
      </c>
      <c r="D85" s="14" t="inlineStr">
        <is>
          <t>Head, Operations Services</t>
        </is>
      </c>
      <c r="E85" s="14" t="inlineStr">
        <is>
          <t>GL account debited for payments received by check, bank or electronic channels</t>
        </is>
      </c>
      <c r="F85" s="14" t="inlineStr">
        <is>
          <t>string</t>
        </is>
      </c>
      <c r="G85" s="14" t="inlineStr">
        <is>
          <t>(blank)</t>
        </is>
      </c>
      <c r="H85" s="14" t="inlineStr"/>
      <c r="I85" s="14" t="inlineStr">
        <is>
          <t>This sheet</t>
        </is>
      </c>
      <c r="J85" s="14" t="inlineStr">
        <is>
          <t>16-Jul-2027 (T-24 weeks)</t>
        </is>
      </c>
      <c r="K85" s="14" t="n"/>
      <c r="L85" s="14" t="n"/>
      <c r="M85" s="14" t="n"/>
      <c r="N85" s="14" t="inlineStr">
        <is>
          <t>Not started</t>
        </is>
      </c>
      <c r="O85" s="14" t="n"/>
    </row>
    <row r="86">
      <c r="A86" s="14" t="inlineStr">
        <is>
          <t>CASH_ON_HAND_ACCOUNT</t>
        </is>
      </c>
      <c r="B86" s="14" t="inlineStr">
        <is>
          <t>Operations</t>
        </is>
      </c>
      <c r="C86" s="14" t="inlineStr">
        <is>
          <t>Operations</t>
        </is>
      </c>
      <c r="D86" s="14" t="inlineStr">
        <is>
          <t>Head, Operations Services</t>
        </is>
      </c>
      <c r="E86" s="14" t="inlineStr">
        <is>
          <t>GL account debited for payments received in cash over the counter</t>
        </is>
      </c>
      <c r="F86" s="14" t="inlineStr">
        <is>
          <t>string</t>
        </is>
      </c>
      <c r="G86" s="14" t="inlineStr">
        <is>
          <t>(blank)</t>
        </is>
      </c>
      <c r="H86" s="14" t="inlineStr"/>
      <c r="I86" s="14" t="inlineStr">
        <is>
          <t>This sheet</t>
        </is>
      </c>
      <c r="J86" s="14" t="inlineStr">
        <is>
          <t>16-Jul-2027 (T-24 weeks)</t>
        </is>
      </c>
      <c r="K86" s="14" t="n"/>
      <c r="L86" s="14" t="n"/>
      <c r="M86" s="14" t="n"/>
      <c r="N86" s="14" t="inlineStr">
        <is>
          <t>Not started</t>
        </is>
      </c>
      <c r="O86" s="14" t="n"/>
    </row>
    <row r="87">
      <c r="A87" s="14" t="inlineStr">
        <is>
          <t>CMR_DP_COLLECTION_BANK</t>
        </is>
      </c>
      <c r="B87" s="14" t="inlineStr">
        <is>
          <t>Operations</t>
        </is>
      </c>
      <c r="C87" s="14" t="inlineStr">
        <is>
          <t>Operations</t>
        </is>
      </c>
      <c r="D87" s="14" t="inlineStr">
        <is>
          <t>Head, Operations Services</t>
        </is>
      </c>
      <c r="E87" s="14" t="inlineStr">
        <is>
          <t>GL bank account proposed for direct payment commission collections (role BANK of OPS_DP_COMMISSION_COLLECT)</t>
        </is>
      </c>
      <c r="F87" s="14" t="inlineStr">
        <is>
          <t>string</t>
        </is>
      </c>
      <c r="G87" s="14" t="inlineStr">
        <is>
          <t>(blank)</t>
        </is>
      </c>
      <c r="H87" s="14" t="inlineStr"/>
      <c r="I87" s="14" t="inlineStr">
        <is>
          <t>This sheet</t>
        </is>
      </c>
      <c r="J87" s="14" t="inlineStr">
        <is>
          <t>16-Jul-2027 (T-24 weeks)</t>
        </is>
      </c>
      <c r="K87" s="14" t="n"/>
      <c r="L87" s="14" t="n"/>
      <c r="M87" s="14" t="n"/>
      <c r="N87" s="14" t="inlineStr">
        <is>
          <t>Not started</t>
        </is>
      </c>
      <c r="O87" s="14" t="n"/>
    </row>
    <row r="88">
      <c r="A88" s="14" t="inlineStr">
        <is>
          <t>CWT_APPLICATION_PERCENT</t>
        </is>
      </c>
      <c r="B88" s="14" t="inlineStr">
        <is>
          <t>Operations</t>
        </is>
      </c>
      <c r="C88" s="14" t="inlineStr">
        <is>
          <t>Operations</t>
        </is>
      </c>
      <c r="D88" s="14" t="inlineStr">
        <is>
          <t>Head, Operations Services</t>
        </is>
      </c>
      <c r="E88" s="14" t="inlineStr">
        <is>
          <t>Share of the premium applied for accounts of clients withholding 2% creditable tax</t>
        </is>
      </c>
      <c r="F88" s="14" t="inlineStr">
        <is>
          <t>decimal</t>
        </is>
      </c>
      <c r="G88" s="14" t="inlineStr">
        <is>
          <t>98</t>
        </is>
      </c>
      <c r="H88" s="14" t="inlineStr">
        <is>
          <t>50 to 100</t>
        </is>
      </c>
      <c r="I88" s="14" t="inlineStr">
        <is>
          <t>This sheet</t>
        </is>
      </c>
      <c r="J88" s="14" t="inlineStr">
        <is>
          <t>16-Jul-2027 (T-24 weeks)</t>
        </is>
      </c>
      <c r="K88" s="14" t="n"/>
      <c r="L88" s="14" t="n"/>
      <c r="M88" s="14" t="n"/>
      <c r="N88" s="14" t="inlineStr">
        <is>
          <t>Not started</t>
        </is>
      </c>
      <c r="O88" s="14" t="n"/>
    </row>
    <row r="89">
      <c r="A89" s="14" t="inlineStr">
        <is>
          <t>DP_PREMIUM_TOLERANCE</t>
        </is>
      </c>
      <c r="B89" s="14" t="inlineStr">
        <is>
          <t>Operations</t>
        </is>
      </c>
      <c r="C89" s="14" t="inlineStr">
        <is>
          <t>Operations</t>
        </is>
      </c>
      <c r="D89" s="14" t="inlineStr">
        <is>
          <t>Head, Operations Services</t>
        </is>
      </c>
      <c r="E89" s="14" t="inlineStr">
        <is>
          <t>Largest difference between the premium of a direct payment list and the booked gross premium that still passes the check</t>
        </is>
      </c>
      <c r="F89" s="14" t="inlineStr">
        <is>
          <t>decimal</t>
        </is>
      </c>
      <c r="G89" s="14" t="inlineStr">
        <is>
          <t>1.00</t>
        </is>
      </c>
      <c r="H89" s="14" t="inlineStr"/>
      <c r="I89" s="14" t="inlineStr">
        <is>
          <t>This sheet</t>
        </is>
      </c>
      <c r="J89" s="14" t="inlineStr">
        <is>
          <t>16-Jul-2027 (T-24 weeks)</t>
        </is>
      </c>
      <c r="K89" s="14" t="n"/>
      <c r="L89" s="14" t="n"/>
      <c r="M89" s="14" t="n"/>
      <c r="N89" s="14" t="inlineStr">
        <is>
          <t>Not started</t>
        </is>
      </c>
      <c r="O89" s="14" t="n"/>
    </row>
    <row r="90">
      <c r="A90" s="14" t="inlineStr">
        <is>
          <t>DP_PR_REVERSAL_POSTING</t>
        </is>
      </c>
      <c r="B90" s="14" t="inlineStr">
        <is>
          <t>Operations</t>
        </is>
      </c>
      <c r="C90" s="14" t="inlineStr">
        <is>
          <t>Operations</t>
        </is>
      </c>
      <c r="D90" s="14" t="inlineStr">
        <is>
          <t>Head, Operations Services</t>
        </is>
      </c>
      <c r="E90" s="14" t="inlineStr">
        <is>
          <t>Post the GL entry of the direct payment PR reversal and reinstatement (OPS_DP_PR_REVERSAL / OPS_DP_REINSTATE). Off while booking posts no premium receivable for direct payment invoices; the ledger reversal is always recorded</t>
        </is>
      </c>
      <c r="F90" s="14" t="inlineStr">
        <is>
          <t>boolean</t>
        </is>
      </c>
      <c r="G90" s="14" t="inlineStr">
        <is>
          <t>false</t>
        </is>
      </c>
      <c r="H90" s="14" t="inlineStr"/>
      <c r="I90" s="14" t="inlineStr">
        <is>
          <t>This sheet</t>
        </is>
      </c>
      <c r="J90" s="14" t="inlineStr">
        <is>
          <t>16-Jul-2027 (T-24 weeks)</t>
        </is>
      </c>
      <c r="K90" s="14" t="n"/>
      <c r="L90" s="14" t="n"/>
      <c r="M90" s="14" t="n"/>
      <c r="N90" s="14" t="inlineStr">
        <is>
          <t>Not started</t>
        </is>
      </c>
      <c r="O90" s="14" t="n"/>
    </row>
    <row r="91">
      <c r="A91" s="14" t="inlineStr">
        <is>
          <t>JOB_HISTORY_DAYS</t>
        </is>
      </c>
      <c r="B91" s="14" t="inlineStr">
        <is>
          <t>Operations</t>
        </is>
      </c>
      <c r="C91" s="14" t="inlineStr">
        <is>
          <t>Operations</t>
        </is>
      </c>
      <c r="D91" s="14" t="inlineStr">
        <is>
          <t>Head, Operations Services</t>
        </is>
      </c>
      <c r="E91" s="14" t="inlineStr">
        <is>
          <t>Days of scheduled job history shown in the job monitor</t>
        </is>
      </c>
      <c r="F91" s="14" t="inlineStr">
        <is>
          <t>integer</t>
        </is>
      </c>
      <c r="G91" s="14" t="inlineStr">
        <is>
          <t>90</t>
        </is>
      </c>
      <c r="H91" s="14" t="inlineStr">
        <is>
          <t>1 to 3650</t>
        </is>
      </c>
      <c r="I91" s="14" t="inlineStr">
        <is>
          <t>This sheet</t>
        </is>
      </c>
      <c r="J91" s="14" t="inlineStr">
        <is>
          <t>16-Jul-2027 (T-24 weeks)</t>
        </is>
      </c>
      <c r="K91" s="14" t="n"/>
      <c r="L91" s="14" t="n"/>
      <c r="M91" s="14" t="n"/>
      <c r="N91" s="14" t="inlineStr">
        <is>
          <t>Not started</t>
        </is>
      </c>
      <c r="O91" s="14" t="n"/>
    </row>
    <row r="92">
      <c r="A92" s="14" t="inlineStr">
        <is>
          <t>MIN_BALANCE_AUTO_MAX</t>
        </is>
      </c>
      <c r="B92" s="14" t="inlineStr">
        <is>
          <t>Operations</t>
        </is>
      </c>
      <c r="C92" s="14" t="inlineStr">
        <is>
          <t>Operations</t>
        </is>
      </c>
      <c r="D92" s="14" t="inlineStr">
        <is>
          <t>Head, Operations Services</t>
        </is>
      </c>
      <c r="E92" s="14" t="inlineStr">
        <is>
          <t>Minimal balances up to this amount are reversed automatically</t>
        </is>
      </c>
      <c r="F92" s="14" t="inlineStr">
        <is>
          <t>decimal</t>
        </is>
      </c>
      <c r="G92" s="14" t="inlineStr">
        <is>
          <t>10.00</t>
        </is>
      </c>
      <c r="H92" s="14" t="inlineStr">
        <is>
          <t>0 to 1000</t>
        </is>
      </c>
      <c r="I92" s="14" t="inlineStr">
        <is>
          <t>This sheet</t>
        </is>
      </c>
      <c r="J92" s="14" t="inlineStr">
        <is>
          <t>16-Jul-2027 (T-24 weeks)</t>
        </is>
      </c>
      <c r="K92" s="14" t="n"/>
      <c r="L92" s="14" t="n"/>
      <c r="M92" s="14" t="n"/>
      <c r="N92" s="14" t="inlineStr">
        <is>
          <t>Not started</t>
        </is>
      </c>
      <c r="O92" s="14" t="n"/>
    </row>
    <row r="93">
      <c r="A93" s="14" t="inlineStr">
        <is>
          <t>MIN_BALANCE_FILE_RANGE</t>
        </is>
      </c>
      <c r="B93" s="14" t="inlineStr">
        <is>
          <t>Operations</t>
        </is>
      </c>
      <c r="C93" s="14" t="inlineStr">
        <is>
          <t>Operations</t>
        </is>
      </c>
      <c r="D93" s="14" t="inlineStr">
        <is>
          <t>Head, Operations Services</t>
        </is>
      </c>
      <c r="E93" s="14" t="inlineStr">
        <is>
          <t>Balance range of the minimal balance write-off file</t>
        </is>
      </c>
      <c r="F93" s="14" t="inlineStr">
        <is>
          <t>string</t>
        </is>
      </c>
      <c r="G93" s="14" t="inlineStr">
        <is>
          <t>10.00-100.00</t>
        </is>
      </c>
      <c r="H93" s="14" t="inlineStr"/>
      <c r="I93" s="14" t="inlineStr">
        <is>
          <t>This sheet</t>
        </is>
      </c>
      <c r="J93" s="14" t="inlineStr">
        <is>
          <t>16-Jul-2027 (T-24 weeks)</t>
        </is>
      </c>
      <c r="K93" s="14" t="n"/>
      <c r="L93" s="14" t="n"/>
      <c r="M93" s="14" t="n"/>
      <c r="N93" s="14" t="inlineStr">
        <is>
          <t>Not started</t>
        </is>
      </c>
      <c r="O93" s="14" t="n"/>
    </row>
    <row r="94">
      <c r="A94" s="14" t="inlineStr">
        <is>
          <t>OPS_BOOK_RATE_TYPE</t>
        </is>
      </c>
      <c r="B94" s="14" t="inlineStr">
        <is>
          <t>Operations</t>
        </is>
      </c>
      <c r="C94" s="14" t="inlineStr">
        <is>
          <t>Operations</t>
        </is>
      </c>
      <c r="D94" s="14" t="inlineStr">
        <is>
          <t>Head, Operations Services</t>
        </is>
      </c>
      <c r="E94" s="14" t="inlineStr">
        <is>
          <t>Exchange rate type of Operations postings: the Comptrollership BOOK rate, 2 decimals</t>
        </is>
      </c>
      <c r="F94" s="14" t="inlineStr">
        <is>
          <t>string</t>
        </is>
      </c>
      <c r="G94" s="14" t="inlineStr">
        <is>
          <t>BOOK</t>
        </is>
      </c>
      <c r="H94" s="14" t="inlineStr"/>
      <c r="I94" s="14" t="inlineStr">
        <is>
          <t>This sheet</t>
        </is>
      </c>
      <c r="J94" s="14" t="inlineStr">
        <is>
          <t>16-Jul-2027 (T-24 weeks)</t>
        </is>
      </c>
      <c r="K94" s="14" t="n"/>
      <c r="L94" s="14" t="n"/>
      <c r="M94" s="14" t="n"/>
      <c r="N94" s="14" t="inlineStr">
        <is>
          <t>Not started</t>
        </is>
      </c>
      <c r="O94" s="14" t="n"/>
    </row>
    <row r="95">
      <c r="A95" s="14" t="inlineStr">
        <is>
          <t>PRODRECON_FILE_PATTERN</t>
        </is>
      </c>
      <c r="B95" s="14" t="inlineStr">
        <is>
          <t>Operations</t>
        </is>
      </c>
      <c r="C95" s="14" t="inlineStr">
        <is>
          <t>Operations</t>
        </is>
      </c>
      <c r="D95" s="14" t="inlineStr">
        <is>
          <t>Head, Operations Services</t>
        </is>
      </c>
      <c r="E95" s="14" t="inlineStr">
        <is>
          <t>File naming convention of the production register sent to insurers</t>
        </is>
      </c>
      <c r="F95" s="14" t="inlineStr">
        <is>
          <t>string</t>
        </is>
      </c>
      <c r="G95" s="14" t="inlineStr">
        <is>
          <t>(blank)</t>
        </is>
      </c>
      <c r="H95" s="14" t="inlineStr"/>
      <c r="I95" s="14" t="inlineStr">
        <is>
          <t>This sheet</t>
        </is>
      </c>
      <c r="J95" s="14" t="inlineStr">
        <is>
          <t>16-Jul-2027 (T-24 weeks)</t>
        </is>
      </c>
      <c r="K95" s="14" t="n"/>
      <c r="L95" s="14" t="n"/>
      <c r="M95" s="14" t="n"/>
      <c r="N95" s="14" t="inlineStr">
        <is>
          <t>Not started</t>
        </is>
      </c>
      <c r="O95" s="14" t="n"/>
    </row>
    <row r="96">
      <c r="A96" s="14" t="inlineStr">
        <is>
          <t>RECON_MATCH_KEYS</t>
        </is>
      </c>
      <c r="B96" s="14" t="inlineStr">
        <is>
          <t>Operations</t>
        </is>
      </c>
      <c r="C96" s="14" t="inlineStr">
        <is>
          <t>Operations</t>
        </is>
      </c>
      <c r="D96" s="14" t="inlineStr">
        <is>
          <t>Head, Operations Services</t>
        </is>
      </c>
      <c r="E96" s="14" t="inlineStr">
        <is>
          <t>Keys pairing an insurer production line with a booked invoice, tried in order: INVOICE_NO, POLICY_NO, PN_NO</t>
        </is>
      </c>
      <c r="F96" s="14" t="inlineStr">
        <is>
          <t>code list</t>
        </is>
      </c>
      <c r="G96" s="14" t="inlineStr">
        <is>
          <t>INVOICE_NO,POLICY_NO</t>
        </is>
      </c>
      <c r="H96" s="14" t="inlineStr"/>
      <c r="I96" s="14" t="inlineStr">
        <is>
          <t>This sheet</t>
        </is>
      </c>
      <c r="J96" s="14" t="inlineStr">
        <is>
          <t>16-Jul-2027 (T-24 weeks)</t>
        </is>
      </c>
      <c r="K96" s="14" t="n"/>
      <c r="L96" s="14" t="n"/>
      <c r="M96" s="14" t="n"/>
      <c r="N96" s="14" t="inlineStr">
        <is>
          <t>Not started</t>
        </is>
      </c>
      <c r="O96" s="14" t="n"/>
    </row>
    <row r="97">
      <c r="A97" s="14" t="inlineStr">
        <is>
          <t>RECON_TOLERANCE</t>
        </is>
      </c>
      <c r="B97" s="14" t="inlineStr">
        <is>
          <t>Operations</t>
        </is>
      </c>
      <c r="C97" s="14" t="inlineStr">
        <is>
          <t>Operations</t>
        </is>
      </c>
      <c r="D97" s="14" t="inlineStr">
        <is>
          <t>Head, Operations Services</t>
        </is>
      </c>
      <c r="E97" s="14" t="inlineStr">
        <is>
          <t>Production reconciliation tolerance: differences up to this amount are matched</t>
        </is>
      </c>
      <c r="F97" s="14" t="inlineStr">
        <is>
          <t>decimal</t>
        </is>
      </c>
      <c r="G97" s="14" t="inlineStr">
        <is>
          <t>1.00</t>
        </is>
      </c>
      <c r="H97" s="14" t="inlineStr">
        <is>
          <t>0 to 1000</t>
        </is>
      </c>
      <c r="I97" s="14" t="inlineStr">
        <is>
          <t>This sheet</t>
        </is>
      </c>
      <c r="J97" s="14" t="inlineStr">
        <is>
          <t>16-Jul-2027 (T-24 weeks)</t>
        </is>
      </c>
      <c r="K97" s="14" t="n"/>
      <c r="L97" s="14" t="n"/>
      <c r="M97" s="14" t="n"/>
      <c r="N97" s="14" t="inlineStr">
        <is>
          <t>Not started</t>
        </is>
      </c>
      <c r="O97" s="14" t="n"/>
    </row>
    <row r="98">
      <c r="A98" s="14" t="inlineStr">
        <is>
          <t>REMIT_CHECK_HOLD_DAYS</t>
        </is>
      </c>
      <c r="B98" s="14" t="inlineStr">
        <is>
          <t>Operations</t>
        </is>
      </c>
      <c r="C98" s="14" t="inlineStr">
        <is>
          <t>Operations</t>
        </is>
      </c>
      <c r="D98" s="14" t="inlineStr">
        <is>
          <t>Head, Operations Services</t>
        </is>
      </c>
      <c r="E98" s="14" t="inlineStr">
        <is>
          <t>Banking days a check must be held (and cleared) before its payment is remitted</t>
        </is>
      </c>
      <c r="F98" s="14" t="inlineStr">
        <is>
          <t>integer</t>
        </is>
      </c>
      <c r="G98" s="14" t="inlineStr">
        <is>
          <t>3</t>
        </is>
      </c>
      <c r="H98" s="14" t="inlineStr">
        <is>
          <t>0 to 30</t>
        </is>
      </c>
      <c r="I98" s="14" t="inlineStr">
        <is>
          <t>This sheet</t>
        </is>
      </c>
      <c r="J98" s="14" t="inlineStr">
        <is>
          <t>16-Jul-2027 (T-24 weeks)</t>
        </is>
      </c>
      <c r="K98" s="14" t="n"/>
      <c r="L98" s="14" t="n"/>
      <c r="M98" s="14" t="n"/>
      <c r="N98" s="14" t="inlineStr">
        <is>
          <t>Not started</t>
        </is>
      </c>
      <c r="O98" s="14" t="n"/>
    </row>
    <row r="99">
      <c r="A99" s="14" t="inlineStr">
        <is>
          <t>REMIT_FILE_PATTERN</t>
        </is>
      </c>
      <c r="B99" s="14" t="inlineStr">
        <is>
          <t>Operations</t>
        </is>
      </c>
      <c r="C99" s="14" t="inlineStr">
        <is>
          <t>Operations</t>
        </is>
      </c>
      <c r="D99" s="14" t="inlineStr">
        <is>
          <t>Head, Operations Services</t>
        </is>
      </c>
      <c r="E99" s="14" t="inlineStr">
        <is>
          <t>File naming convention of the remittance extracts</t>
        </is>
      </c>
      <c r="F99" s="14" t="inlineStr">
        <is>
          <t>string</t>
        </is>
      </c>
      <c r="G99" s="14" t="inlineStr">
        <is>
          <t>(blank)</t>
        </is>
      </c>
      <c r="H99" s="14" t="inlineStr"/>
      <c r="I99" s="14" t="inlineStr">
        <is>
          <t>This sheet</t>
        </is>
      </c>
      <c r="J99" s="14" t="inlineStr">
        <is>
          <t>16-Jul-2027 (T-24 weeks)</t>
        </is>
      </c>
      <c r="K99" s="14" t="n"/>
      <c r="L99" s="14" t="n"/>
      <c r="M99" s="14" t="n"/>
      <c r="N99" s="14" t="inlineStr">
        <is>
          <t>Not started</t>
        </is>
      </c>
      <c r="O99" s="14" t="n"/>
    </row>
    <row r="100">
      <c r="A100" s="14" t="inlineStr">
        <is>
          <t>REMIT_PAIDAR_OVER_DTIP_MODE</t>
        </is>
      </c>
      <c r="B100" s="14" t="inlineStr">
        <is>
          <t>Operations</t>
        </is>
      </c>
      <c r="C100" s="14" t="inlineStr">
        <is>
          <t>Operations</t>
        </is>
      </c>
      <c r="D100" s="14" t="inlineStr">
        <is>
          <t>Head, Operations Services</t>
        </is>
      </c>
      <c r="E100" s="14" t="inlineStr">
        <is>
          <t>Paid AR greater than DTIP: EXCLUDE the invoice from extraction or CAP the remittance at the DTIP</t>
        </is>
      </c>
      <c r="F100" s="14" t="inlineStr">
        <is>
          <t>string</t>
        </is>
      </c>
      <c r="G100" s="14" t="inlineStr">
        <is>
          <t>EXCLUDE</t>
        </is>
      </c>
      <c r="H100" s="14" t="inlineStr"/>
      <c r="I100" s="14" t="inlineStr">
        <is>
          <t>This sheet</t>
        </is>
      </c>
      <c r="J100" s="14" t="inlineStr">
        <is>
          <t>16-Jul-2027 (T-24 weeks)</t>
        </is>
      </c>
      <c r="K100" s="14" t="n"/>
      <c r="L100" s="14" t="n"/>
      <c r="M100" s="14" t="n"/>
      <c r="N100" s="14" t="inlineStr">
        <is>
          <t>Not started</t>
        </is>
      </c>
      <c r="O100" s="14" t="n"/>
    </row>
    <row r="101">
      <c r="A101" s="14" t="inlineStr">
        <is>
          <t>HOLD_COVER_DAYS</t>
        </is>
      </c>
      <c r="B101" s="14" t="inlineStr">
        <is>
          <t>Placement</t>
        </is>
      </c>
      <c r="C101" s="14" t="inlineStr">
        <is>
          <t>New Business</t>
        </is>
      </c>
      <c r="D101" s="14" t="inlineStr">
        <is>
          <t>Product Owner, BDOI (New Business)</t>
        </is>
      </c>
      <c r="E101" s="14" t="inlineStr">
        <is>
          <t>Days of hold cover requested from the insurer while the placement completes</t>
        </is>
      </c>
      <c r="F101" s="14" t="inlineStr">
        <is>
          <t>integer</t>
        </is>
      </c>
      <c r="G101" s="14" t="inlineStr">
        <is>
          <t>30</t>
        </is>
      </c>
      <c r="H101" s="14" t="inlineStr">
        <is>
          <t>1 to 90</t>
        </is>
      </c>
      <c r="I101" s="14" t="inlineStr">
        <is>
          <t>This sheet</t>
        </is>
      </c>
      <c r="J101" s="14" t="inlineStr">
        <is>
          <t>16-Jul-2027 (T-24 weeks)</t>
        </is>
      </c>
      <c r="K101" s="14" t="n"/>
      <c r="L101" s="14" t="n"/>
      <c r="M101" s="14" t="n"/>
      <c r="N101" s="14" t="inlineStr">
        <is>
          <t>Not started</t>
        </is>
      </c>
      <c r="O101" s="14" t="n"/>
    </row>
    <row r="102">
      <c r="A102" s="14" t="inlineStr">
        <is>
          <t>OTHER_CHARGES_ENABLED</t>
        </is>
      </c>
      <c r="B102" s="14" t="inlineStr">
        <is>
          <t>Product Maintenance</t>
        </is>
      </c>
      <c r="C102" s="14" t="inlineStr">
        <is>
          <t>Product Maintenance</t>
        </is>
      </c>
      <c r="D102" s="14" t="inlineStr">
        <is>
          <t>Product Owner, Marketing Business System (MBS)</t>
        </is>
      </c>
      <c r="E102" s="14" t="inlineStr">
        <is>
          <t>Bill the other charges of the products (documentation, notarial and authentication fees) with the premium</t>
        </is>
      </c>
      <c r="F102" s="14" t="inlineStr">
        <is>
          <t>boolean</t>
        </is>
      </c>
      <c r="G102" s="14" t="inlineStr">
        <is>
          <t>false</t>
        </is>
      </c>
      <c r="H102" s="14" t="inlineStr"/>
      <c r="I102" s="14" t="inlineStr">
        <is>
          <t>Template PM-09 (sheet PM-09 Lists and parameters)</t>
        </is>
      </c>
      <c r="J102" s="14" t="inlineStr">
        <is>
          <t>16-Jul-2027 (T-24 weeks)</t>
        </is>
      </c>
      <c r="K102" s="14" t="n"/>
      <c r="L102" s="14" t="n"/>
      <c r="M102" s="14" t="n"/>
      <c r="N102" s="14" t="inlineStr">
        <is>
          <t>Not started</t>
        </is>
      </c>
      <c r="O102" s="14" t="n"/>
    </row>
    <row r="103">
      <c r="A103" s="14" t="inlineStr">
        <is>
          <t>PACKAGE_RENEWAL_AUTODRAFT</t>
        </is>
      </c>
      <c r="B103" s="14" t="inlineStr">
        <is>
          <t>Product Maintenance</t>
        </is>
      </c>
      <c r="C103" s="14" t="inlineStr">
        <is>
          <t>Product Maintenance</t>
        </is>
      </c>
      <c r="D103" s="14" t="inlineStr">
        <is>
          <t>Product Owner, Marketing Business System (MBS)</t>
        </is>
      </c>
      <c r="E103" s="14" t="inlineStr">
        <is>
          <t>The expiry monitor drafts a RENEW package request for packages reaching the notice period</t>
        </is>
      </c>
      <c r="F103" s="14" t="inlineStr">
        <is>
          <t>boolean</t>
        </is>
      </c>
      <c r="G103" s="14" t="inlineStr">
        <is>
          <t>false</t>
        </is>
      </c>
      <c r="H103" s="14" t="inlineStr"/>
      <c r="I103" s="14" t="inlineStr">
        <is>
          <t>Template PM-09 (sheet PM-09 Lists and parameters)</t>
        </is>
      </c>
      <c r="J103" s="14" t="inlineStr">
        <is>
          <t>16-Jul-2027 (T-24 weeks)</t>
        </is>
      </c>
      <c r="K103" s="14" t="n"/>
      <c r="L103" s="14" t="n"/>
      <c r="M103" s="14" t="n"/>
      <c r="N103" s="14" t="inlineStr">
        <is>
          <t>Not started</t>
        </is>
      </c>
      <c r="O103" s="14" t="n"/>
    </row>
    <row r="104">
      <c r="A104" s="14" t="inlineStr">
        <is>
          <t>PKG_ADVISORY_GROUPS</t>
        </is>
      </c>
      <c r="B104" s="14" t="inlineStr">
        <is>
          <t>Product Maintenance</t>
        </is>
      </c>
      <c r="C104" s="14" t="inlineStr">
        <is>
          <t>Product Maintenance</t>
        </is>
      </c>
      <c r="D104" s="14" t="inlineStr">
        <is>
          <t>Product Owner, Marketing Business System (MBS)</t>
        </is>
      </c>
      <c r="E104" s="14" t="inlineStr">
        <is>
          <t>Recipient groups (list PKG_ADVISORY_GROUP) proposed on a new package advisory</t>
        </is>
      </c>
      <c r="F104" s="14" t="inlineStr">
        <is>
          <t>code list</t>
        </is>
      </c>
      <c r="G104" s="14" t="inlineStr">
        <is>
          <t>MARKETING,TSU,MBS,OPERATIONS</t>
        </is>
      </c>
      <c r="H104" s="14" t="inlineStr"/>
      <c r="I104" s="14" t="inlineStr">
        <is>
          <t>Template PM-09 (sheet PM-09 Lists and parameters)</t>
        </is>
      </c>
      <c r="J104" s="14" t="inlineStr">
        <is>
          <t>16-Jul-2027 (T-24 weeks)</t>
        </is>
      </c>
      <c r="K104" s="14" t="n"/>
      <c r="L104" s="14" t="n"/>
      <c r="M104" s="14" t="n"/>
      <c r="N104" s="14" t="inlineStr">
        <is>
          <t>Not started</t>
        </is>
      </c>
      <c r="O104" s="14" t="n"/>
    </row>
    <row r="105">
      <c r="A105" s="14" t="inlineStr">
        <is>
          <t>RNW_AUTO_PLACEMENT</t>
        </is>
      </c>
      <c r="B105" s="14" t="inlineStr">
        <is>
          <t>Renewal</t>
        </is>
      </c>
      <c r="C105" s="14" t="inlineStr">
        <is>
          <t>Renewal</t>
        </is>
      </c>
      <c r="D105" s="14" t="inlineStr">
        <is>
          <t>Product Owner, Renewal</t>
        </is>
      </c>
      <c r="E105" s="14" t="inlineStr">
        <is>
          <t>Generate the placement slip automatically once an accepted renewal is ready for placement (off: Processing places the renewal account)</t>
        </is>
      </c>
      <c r="F105" s="14" t="inlineStr">
        <is>
          <t>boolean</t>
        </is>
      </c>
      <c r="G105" s="14" t="inlineStr">
        <is>
          <t>false</t>
        </is>
      </c>
      <c r="H105" s="14" t="inlineStr"/>
      <c r="I105" s="14" t="inlineStr">
        <is>
          <t>This sheet</t>
        </is>
      </c>
      <c r="J105" s="14" t="inlineStr">
        <is>
          <t>16-Jul-2027 (T-24 weeks)</t>
        </is>
      </c>
      <c r="K105" s="14" t="n"/>
      <c r="L105" s="14" t="n"/>
      <c r="M105" s="14" t="n"/>
      <c r="N105" s="14" t="inlineStr">
        <is>
          <t>Not started</t>
        </is>
      </c>
      <c r="O105" s="14" t="n"/>
    </row>
    <row r="106">
      <c r="A106" s="14" t="inlineStr">
        <is>
          <t>RNW_BULK_INITIATION_SEGMENTS</t>
        </is>
      </c>
      <c r="B106" s="14" t="inlineStr">
        <is>
          <t>Renewal</t>
        </is>
      </c>
      <c r="C106" s="14" t="inlineStr">
        <is>
          <t>Renewal</t>
        </is>
      </c>
      <c r="D106" s="14" t="inlineStr">
        <is>
          <t>Product Owner, Renewal</t>
        </is>
      </c>
      <c r="E106" s="14" t="inlineStr">
        <is>
          <t>Market segments whose renewals may be initiated in bulk; the others one at a time</t>
        </is>
      </c>
      <c r="F106" s="14" t="inlineStr">
        <is>
          <t>code list</t>
        </is>
      </c>
      <c r="G106" s="14" t="inlineStr">
        <is>
          <t>CLG</t>
        </is>
      </c>
      <c r="H106" s="14" t="inlineStr"/>
      <c r="I106" s="14" t="inlineStr">
        <is>
          <t>This sheet</t>
        </is>
      </c>
      <c r="J106" s="14" t="inlineStr">
        <is>
          <t>16-Jul-2027 (T-24 weeks)</t>
        </is>
      </c>
      <c r="K106" s="14" t="n"/>
      <c r="L106" s="14" t="n"/>
      <c r="M106" s="14" t="n"/>
      <c r="N106" s="14" t="inlineStr">
        <is>
          <t>Not started</t>
        </is>
      </c>
      <c r="O106" s="14" t="n"/>
    </row>
    <row r="107">
      <c r="A107" s="14" t="inlineStr">
        <is>
          <t>RNW_CBG_SEGMENTS</t>
        </is>
      </c>
      <c r="B107" s="14" t="inlineStr">
        <is>
          <t>Renewal</t>
        </is>
      </c>
      <c r="C107" s="14" t="inlineStr">
        <is>
          <t>Renewal</t>
        </is>
      </c>
      <c r="D107" s="14" t="inlineStr">
        <is>
          <t>Product Owner, Renewal</t>
        </is>
      </c>
      <c r="E107" s="14" t="inlineStr">
        <is>
          <t>Market segments on the loan-driven straight-through path (no assignment to an AO)</t>
        </is>
      </c>
      <c r="F107" s="14" t="inlineStr">
        <is>
          <t>code list</t>
        </is>
      </c>
      <c r="G107" s="14" t="inlineStr">
        <is>
          <t>CBG</t>
        </is>
      </c>
      <c r="H107" s="14" t="inlineStr"/>
      <c r="I107" s="14" t="inlineStr">
        <is>
          <t>This sheet</t>
        </is>
      </c>
      <c r="J107" s="14" t="inlineStr">
        <is>
          <t>16-Jul-2027 (T-24 weeks)</t>
        </is>
      </c>
      <c r="K107" s="14" t="n"/>
      <c r="L107" s="14" t="n"/>
      <c r="M107" s="14" t="n"/>
      <c r="N107" s="14" t="inlineStr">
        <is>
          <t>Not started</t>
        </is>
      </c>
      <c r="O107" s="14" t="n"/>
    </row>
    <row r="108">
      <c r="A108" s="14" t="inlineStr">
        <is>
          <t>RNW_CBG_STP_LINES</t>
        </is>
      </c>
      <c r="B108" s="14" t="inlineStr">
        <is>
          <t>Renewal</t>
        </is>
      </c>
      <c r="C108" s="14" t="inlineStr">
        <is>
          <t>Renewal</t>
        </is>
      </c>
      <c r="D108" s="14" t="inlineStr">
        <is>
          <t>Product Owner, Renewal</t>
        </is>
      </c>
      <c r="E108" s="14" t="inlineStr">
        <is>
          <t>Product lines of the straight-through path of those segments</t>
        </is>
      </c>
      <c r="F108" s="14" t="inlineStr">
        <is>
          <t>code list</t>
        </is>
      </c>
      <c r="G108" s="14" t="inlineStr">
        <is>
          <t>MOTOR,PROPERTY</t>
        </is>
      </c>
      <c r="H108" s="14" t="inlineStr"/>
      <c r="I108" s="14" t="inlineStr">
        <is>
          <t>This sheet</t>
        </is>
      </c>
      <c r="J108" s="14" t="inlineStr">
        <is>
          <t>16-Jul-2027 (T-24 weeks)</t>
        </is>
      </c>
      <c r="K108" s="14" t="n"/>
      <c r="L108" s="14" t="n"/>
      <c r="M108" s="14" t="n"/>
      <c r="N108" s="14" t="inlineStr">
        <is>
          <t>Not started</t>
        </is>
      </c>
      <c r="O108" s="14" t="n"/>
    </row>
    <row r="109">
      <c r="A109" s="14" t="inlineStr">
        <is>
          <t>RNW_EXCLUDED_LINES</t>
        </is>
      </c>
      <c r="B109" s="14" t="inlineStr">
        <is>
          <t>Renewal</t>
        </is>
      </c>
      <c r="C109" s="14" t="inlineStr">
        <is>
          <t>Renewal</t>
        </is>
      </c>
      <c r="D109" s="14" t="inlineStr">
        <is>
          <t>Product Owner, Renewal</t>
        </is>
      </c>
      <c r="E109" s="14" t="inlineStr">
        <is>
          <t>Product lines never extracted for renewal (renewed as Employee Benefits programmes)</t>
        </is>
      </c>
      <c r="F109" s="14" t="inlineStr">
        <is>
          <t>code list</t>
        </is>
      </c>
      <c r="G109" s="14" t="inlineStr">
        <is>
          <t>HMO,GLI,GPA</t>
        </is>
      </c>
      <c r="H109" s="14" t="inlineStr"/>
      <c r="I109" s="14" t="inlineStr">
        <is>
          <t>This sheet</t>
        </is>
      </c>
      <c r="J109" s="14" t="inlineStr">
        <is>
          <t>16-Jul-2027 (T-24 weeks)</t>
        </is>
      </c>
      <c r="K109" s="14" t="n"/>
      <c r="L109" s="14" t="n"/>
      <c r="M109" s="14" t="n"/>
      <c r="N109" s="14" t="inlineStr">
        <is>
          <t>Not started</t>
        </is>
      </c>
      <c r="O109" s="14" t="n"/>
    </row>
    <row r="110">
      <c r="A110" s="14" t="inlineStr">
        <is>
          <t>RNW_FIN_IMPACT_TOLERANCE</t>
        </is>
      </c>
      <c r="B110" s="14" t="inlineStr">
        <is>
          <t>Renewal</t>
        </is>
      </c>
      <c r="C110" s="14" t="inlineStr">
        <is>
          <t>Renewal</t>
        </is>
      </c>
      <c r="D110" s="14" t="inlineStr">
        <is>
          <t>Product Owner, Renewal</t>
        </is>
      </c>
      <c r="E110" s="14" t="inlineStr">
        <is>
          <t>Difference in premium, sum insured or rate above which a renewal has a financial impact</t>
        </is>
      </c>
      <c r="F110" s="14" t="inlineStr">
        <is>
          <t>decimal</t>
        </is>
      </c>
      <c r="G110" s="14" t="inlineStr">
        <is>
          <t>0.00</t>
        </is>
      </c>
      <c r="H110" s="14" t="inlineStr">
        <is>
          <t>0 to -</t>
        </is>
      </c>
      <c r="I110" s="14" t="inlineStr">
        <is>
          <t>This sheet</t>
        </is>
      </c>
      <c r="J110" s="14" t="inlineStr">
        <is>
          <t>16-Jul-2027 (T-24 weeks)</t>
        </is>
      </c>
      <c r="K110" s="14" t="n"/>
      <c r="L110" s="14" t="n"/>
      <c r="M110" s="14" t="n"/>
      <c r="N110" s="14" t="inlineStr">
        <is>
          <t>Not started</t>
        </is>
      </c>
      <c r="O110" s="14" t="n"/>
    </row>
    <row r="111">
      <c r="A111" s="14" t="inlineStr">
        <is>
          <t>RNW_HOLD_COVER_DAYS</t>
        </is>
      </c>
      <c r="B111" s="14" t="inlineStr">
        <is>
          <t>Renewal</t>
        </is>
      </c>
      <c r="C111" s="14" t="inlineStr">
        <is>
          <t>Renewal</t>
        </is>
      </c>
      <c r="D111" s="14" t="inlineStr">
        <is>
          <t>Product Owner, Renewal</t>
        </is>
      </c>
      <c r="E111" s="14" t="inlineStr">
        <is>
          <t>Durations in days offered for the hold cover of a renewal; the first is the default</t>
        </is>
      </c>
      <c r="F111" s="14" t="inlineStr">
        <is>
          <t>integer list</t>
        </is>
      </c>
      <c r="G111" s="14" t="inlineStr">
        <is>
          <t>30,60</t>
        </is>
      </c>
      <c r="H111" s="14" t="inlineStr"/>
      <c r="I111" s="14" t="inlineStr">
        <is>
          <t>This sheet</t>
        </is>
      </c>
      <c r="J111" s="14" t="inlineStr">
        <is>
          <t>16-Jul-2027 (T-24 weeks)</t>
        </is>
      </c>
      <c r="K111" s="14" t="n"/>
      <c r="L111" s="14" t="n"/>
      <c r="M111" s="14" t="n"/>
      <c r="N111" s="14" t="inlineStr">
        <is>
          <t>Not started</t>
        </is>
      </c>
      <c r="O111" s="14" t="n"/>
    </row>
    <row r="112">
      <c r="A112" s="14" t="inlineStr">
        <is>
          <t>RNW_INVOICE_NO_REASONS</t>
        </is>
      </c>
      <c r="B112" s="14" t="inlineStr">
        <is>
          <t>Renewal</t>
        </is>
      </c>
      <c r="C112" s="14" t="inlineStr">
        <is>
          <t>Renewal</t>
        </is>
      </c>
      <c r="D112" s="14" t="inlineStr">
        <is>
          <t>Product Owner, Renewal</t>
        </is>
      </c>
      <c r="E112" s="14" t="inlineStr">
        <is>
          <t>Reasons for Not for Renewal that need the number of the new invoice</t>
        </is>
      </c>
      <c r="F112" s="14" t="inlineStr">
        <is>
          <t>code list</t>
        </is>
      </c>
      <c r="G112" s="14" t="inlineStr">
        <is>
          <t>BOOKED_TO_NEW_INVOICE</t>
        </is>
      </c>
      <c r="H112" s="14" t="inlineStr"/>
      <c r="I112" s="14" t="inlineStr">
        <is>
          <t>This sheet</t>
        </is>
      </c>
      <c r="J112" s="14" t="inlineStr">
        <is>
          <t>16-Jul-2027 (T-24 weeks)</t>
        </is>
      </c>
      <c r="K112" s="14" t="n"/>
      <c r="L112" s="14" t="n"/>
      <c r="M112" s="14" t="n"/>
      <c r="N112" s="14" t="inlineStr">
        <is>
          <t>Not started</t>
        </is>
      </c>
      <c r="O112" s="14" t="n"/>
    </row>
    <row r="113">
      <c r="A113" s="14" t="inlineStr">
        <is>
          <t>RNW_KYC_SEGMENTS</t>
        </is>
      </c>
      <c r="B113" s="14" t="inlineStr">
        <is>
          <t>Renewal</t>
        </is>
      </c>
      <c r="C113" s="14" t="inlineStr">
        <is>
          <t>Renewal</t>
        </is>
      </c>
      <c r="D113" s="14" t="inlineStr">
        <is>
          <t>Product Owner, Renewal</t>
        </is>
      </c>
      <c r="E113" s="14" t="inlineStr">
        <is>
          <t>Market segments where the KYC due flag applies; empty = all</t>
        </is>
      </c>
      <c r="F113" s="14" t="inlineStr">
        <is>
          <t>code list</t>
        </is>
      </c>
      <c r="G113" s="14" t="inlineStr">
        <is>
          <t>(blank)</t>
        </is>
      </c>
      <c r="H113" s="14" t="inlineStr"/>
      <c r="I113" s="14" t="inlineStr">
        <is>
          <t>This sheet</t>
        </is>
      </c>
      <c r="J113" s="14" t="inlineStr">
        <is>
          <t>16-Jul-2027 (T-24 weeks)</t>
        </is>
      </c>
      <c r="K113" s="14" t="n"/>
      <c r="L113" s="14" t="n"/>
      <c r="M113" s="14" t="n"/>
      <c r="N113" s="14" t="inlineStr">
        <is>
          <t>Not started</t>
        </is>
      </c>
      <c r="O113" s="14" t="n"/>
    </row>
    <row r="114">
      <c r="A114" s="14" t="inlineStr">
        <is>
          <t>RNW_NAL_REASONS</t>
        </is>
      </c>
      <c r="B114" s="14" t="inlineStr">
        <is>
          <t>Renewal</t>
        </is>
      </c>
      <c r="C114" s="14" t="inlineStr">
        <is>
          <t>Renewal</t>
        </is>
      </c>
      <c r="D114" s="14" t="inlineStr">
        <is>
          <t>Product Owner, Renewal</t>
        </is>
      </c>
      <c r="E114" s="14" t="inlineStr">
        <is>
          <t>Reasons for Not for Renewal answered with a No Advice Letter instead of a Not for Renewal Letter</t>
        </is>
      </c>
      <c r="F114" s="14" t="inlineStr">
        <is>
          <t>code list</t>
        </is>
      </c>
      <c r="G114" s="14" t="inlineStr">
        <is>
          <t>DIRECT_TO_INSURER,WITH_SUBMITTED_POLICY,BOOKED_TO_NEW_INVOICE,UNIT_SOLD,CANCELED_POLICY</t>
        </is>
      </c>
      <c r="H114" s="14" t="inlineStr"/>
      <c r="I114" s="14" t="inlineStr">
        <is>
          <t>This sheet</t>
        </is>
      </c>
      <c r="J114" s="14" t="inlineStr">
        <is>
          <t>16-Jul-2027 (T-24 weeks)</t>
        </is>
      </c>
      <c r="K114" s="14" t="n"/>
      <c r="L114" s="14" t="n"/>
      <c r="M114" s="14" t="n"/>
      <c r="N114" s="14" t="inlineStr">
        <is>
          <t>Not started</t>
        </is>
      </c>
      <c r="O114" s="14" t="n"/>
    </row>
    <row r="115">
      <c r="A115" s="14" t="inlineStr">
        <is>
          <t>RNW_NON_ACCEPTANCE_DAYS</t>
        </is>
      </c>
      <c r="B115" s="14" t="inlineStr">
        <is>
          <t>Renewal</t>
        </is>
      </c>
      <c r="C115" s="14" t="inlineStr">
        <is>
          <t>Renewal</t>
        </is>
      </c>
      <c r="D115" s="14" t="inlineStr">
        <is>
          <t>Product Owner, Renewal</t>
        </is>
      </c>
      <c r="E115" s="14" t="inlineStr">
        <is>
          <t>Days after expiry of the non-acceptance letter and the closure of unrenewed accounts</t>
        </is>
      </c>
      <c r="F115" s="14" t="inlineStr">
        <is>
          <t>integer</t>
        </is>
      </c>
      <c r="G115" s="14" t="inlineStr">
        <is>
          <t>0</t>
        </is>
      </c>
      <c r="H115" s="14" t="inlineStr">
        <is>
          <t>0 to 365</t>
        </is>
      </c>
      <c r="I115" s="14" t="inlineStr">
        <is>
          <t>This sheet</t>
        </is>
      </c>
      <c r="J115" s="14" t="inlineStr">
        <is>
          <t>16-Jul-2027 (T-24 weeks)</t>
        </is>
      </c>
      <c r="K115" s="14" t="n"/>
      <c r="L115" s="14" t="n"/>
      <c r="M115" s="14" t="n"/>
      <c r="N115" s="14" t="inlineStr">
        <is>
          <t>Not started</t>
        </is>
      </c>
      <c r="O115" s="14" t="n"/>
    </row>
    <row r="116">
      <c r="A116" s="14" t="inlineStr">
        <is>
          <t>RNW_NRNS_WAITING_DAYS</t>
        </is>
      </c>
      <c r="B116" s="14" t="inlineStr">
        <is>
          <t>Renewal</t>
        </is>
      </c>
      <c r="C116" s="14" t="inlineStr">
        <is>
          <t>Renewal</t>
        </is>
      </c>
      <c r="D116" s="14" t="inlineStr">
        <is>
          <t>Product Owner, Renewal</t>
        </is>
      </c>
      <c r="E116" s="14" t="inlineStr">
        <is>
          <t>Days after the effective expiry date before an unrenewed renewal is tagged NRNS, per segment</t>
        </is>
      </c>
      <c r="F116" s="14" t="inlineStr">
        <is>
          <t>string</t>
        </is>
      </c>
      <c r="G116" s="14" t="inlineStr">
        <is>
          <t>CBG=0,*=0</t>
        </is>
      </c>
      <c r="H116" s="14" t="inlineStr"/>
      <c r="I116" s="14" t="inlineStr">
        <is>
          <t>This sheet</t>
        </is>
      </c>
      <c r="J116" s="14" t="inlineStr">
        <is>
          <t>16-Jul-2027 (T-24 weeks)</t>
        </is>
      </c>
      <c r="K116" s="14" t="n"/>
      <c r="L116" s="14" t="n"/>
      <c r="M116" s="14" t="n"/>
      <c r="N116" s="14" t="inlineStr">
        <is>
          <t>Not started</t>
        </is>
      </c>
      <c r="O116" s="14" t="n"/>
    </row>
    <row r="117">
      <c r="A117" s="14" t="inlineStr">
        <is>
          <t>RNW_OUTSTANDING_THRESHOLD</t>
        </is>
      </c>
      <c r="B117" s="14" t="inlineStr">
        <is>
          <t>Renewal</t>
        </is>
      </c>
      <c r="C117" s="14" t="inlineStr">
        <is>
          <t>Renewal</t>
        </is>
      </c>
      <c r="D117" s="14" t="inlineStr">
        <is>
          <t>Product Owner, Renewal</t>
        </is>
      </c>
      <c r="E117" s="14" t="inlineStr">
        <is>
          <t>Open premium of the expiring invoice family above which the renewal is flagged Outstanding</t>
        </is>
      </c>
      <c r="F117" s="14" t="inlineStr">
        <is>
          <t>decimal</t>
        </is>
      </c>
      <c r="G117" s="14" t="inlineStr">
        <is>
          <t>0.00</t>
        </is>
      </c>
      <c r="H117" s="14" t="inlineStr">
        <is>
          <t>0 to -</t>
        </is>
      </c>
      <c r="I117" s="14" t="inlineStr">
        <is>
          <t>This sheet</t>
        </is>
      </c>
      <c r="J117" s="14" t="inlineStr">
        <is>
          <t>16-Jul-2027 (T-24 weeks)</t>
        </is>
      </c>
      <c r="K117" s="14" t="n"/>
      <c r="L117" s="14" t="n"/>
      <c r="M117" s="14" t="n"/>
      <c r="N117" s="14" t="inlineStr">
        <is>
          <t>Not started</t>
        </is>
      </c>
      <c r="O117" s="14" t="n"/>
    </row>
    <row r="118">
      <c r="A118" s="14" t="inlineStr">
        <is>
          <t>RNW_PN_REQUIRED_LINES</t>
        </is>
      </c>
      <c r="B118" s="14" t="inlineStr">
        <is>
          <t>Renewal</t>
        </is>
      </c>
      <c r="C118" s="14" t="inlineStr">
        <is>
          <t>Renewal</t>
        </is>
      </c>
      <c r="D118" s="14" t="inlineStr">
        <is>
          <t>Product Owner, Renewal</t>
        </is>
      </c>
      <c r="E118" s="14" t="inlineStr">
        <is>
          <t>Product lines whose mortgaged or straight-through renewals need the PN number</t>
        </is>
      </c>
      <c r="F118" s="14" t="inlineStr">
        <is>
          <t>code list</t>
        </is>
      </c>
      <c r="G118" s="14" t="inlineStr">
        <is>
          <t>MOTOR,PROPERTY</t>
        </is>
      </c>
      <c r="H118" s="14" t="inlineStr"/>
      <c r="I118" s="14" t="inlineStr">
        <is>
          <t>This sheet</t>
        </is>
      </c>
      <c r="J118" s="14" t="inlineStr">
        <is>
          <t>16-Jul-2027 (T-24 weeks)</t>
        </is>
      </c>
      <c r="K118" s="14" t="n"/>
      <c r="L118" s="14" t="n"/>
      <c r="M118" s="14" t="n"/>
      <c r="N118" s="14" t="inlineStr">
        <is>
          <t>Not started</t>
        </is>
      </c>
      <c r="O118" s="14" t="n"/>
    </row>
    <row r="119">
      <c r="A119" s="14" t="inlineStr">
        <is>
          <t>RNW_PRIORITY_SEGMENTS</t>
        </is>
      </c>
      <c r="B119" s="14" t="inlineStr">
        <is>
          <t>Renewal</t>
        </is>
      </c>
      <c r="C119" s="14" t="inlineStr">
        <is>
          <t>Renewal</t>
        </is>
      </c>
      <c r="D119" s="14" t="inlineStr">
        <is>
          <t>Product Owner, Renewal</t>
        </is>
      </c>
      <c r="E119" s="14" t="inlineStr">
        <is>
          <t>Market segments of the priority portfolio named in the attention flags of the renewal listing</t>
        </is>
      </c>
      <c r="F119" s="14" t="inlineStr">
        <is>
          <t>code list</t>
        </is>
      </c>
      <c r="G119" s="14" t="inlineStr">
        <is>
          <t>IBG,LEASING</t>
        </is>
      </c>
      <c r="H119" s="14" t="inlineStr"/>
      <c r="I119" s="14" t="inlineStr">
        <is>
          <t>This sheet</t>
        </is>
      </c>
      <c r="J119" s="14" t="inlineStr">
        <is>
          <t>16-Jul-2027 (T-24 weeks)</t>
        </is>
      </c>
      <c r="K119" s="14" t="n"/>
      <c r="L119" s="14" t="n"/>
      <c r="M119" s="14" t="n"/>
      <c r="N119" s="14" t="inlineStr">
        <is>
          <t>Not started</t>
        </is>
      </c>
      <c r="O119" s="14" t="n"/>
    </row>
    <row r="120">
      <c r="A120" s="14" t="inlineStr">
        <is>
          <t>RNW_REOPEN_DAYS</t>
        </is>
      </c>
      <c r="B120" s="14" t="inlineStr">
        <is>
          <t>Renewal</t>
        </is>
      </c>
      <c r="C120" s="14" t="inlineStr">
        <is>
          <t>Renewal</t>
        </is>
      </c>
      <c r="D120" s="14" t="inlineStr">
        <is>
          <t>Product Owner, Renewal</t>
        </is>
      </c>
      <c r="E120" s="14" t="inlineStr">
        <is>
          <t>Days after expiry during which a Not for Renewal account can be re-opened</t>
        </is>
      </c>
      <c r="F120" s="14" t="inlineStr">
        <is>
          <t>integer</t>
        </is>
      </c>
      <c r="G120" s="14" t="inlineStr">
        <is>
          <t>30</t>
        </is>
      </c>
      <c r="H120" s="14" t="inlineStr">
        <is>
          <t>0 to 365</t>
        </is>
      </c>
      <c r="I120" s="14" t="inlineStr">
        <is>
          <t>This sheet</t>
        </is>
      </c>
      <c r="J120" s="14" t="inlineStr">
        <is>
          <t>16-Jul-2027 (T-24 weeks)</t>
        </is>
      </c>
      <c r="K120" s="14" t="n"/>
      <c r="L120" s="14" t="n"/>
      <c r="M120" s="14" t="n"/>
      <c r="N120" s="14" t="inlineStr">
        <is>
          <t>Not started</t>
        </is>
      </c>
      <c r="O120" s="14" t="n"/>
    </row>
    <row r="121">
      <c r="A121" s="14" t="inlineStr">
        <is>
          <t>RNW_RMU_UNIT</t>
        </is>
      </c>
      <c r="B121" s="14" t="inlineStr">
        <is>
          <t>Renewal</t>
        </is>
      </c>
      <c r="C121" s="14" t="inlineStr">
        <is>
          <t>Renewal</t>
        </is>
      </c>
      <c r="D121" s="14" t="inlineStr">
        <is>
          <t>Product Owner, Renewal</t>
        </is>
      </c>
      <c r="E121" s="14" t="inlineStr">
        <is>
          <t>Sales unit that receives RMU accounts; empty = tag them Not for Renewal</t>
        </is>
      </c>
      <c r="F121" s="14" t="inlineStr">
        <is>
          <t>string</t>
        </is>
      </c>
      <c r="G121" s="14" t="inlineStr">
        <is>
          <t>(blank)</t>
        </is>
      </c>
      <c r="H121" s="14" t="inlineStr"/>
      <c r="I121" s="14" t="inlineStr">
        <is>
          <t>This sheet</t>
        </is>
      </c>
      <c r="J121" s="14" t="inlineStr">
        <is>
          <t>16-Jul-2027 (T-24 weeks)</t>
        </is>
      </c>
      <c r="K121" s="14" t="n"/>
      <c r="L121" s="14" t="n"/>
      <c r="M121" s="14" t="n"/>
      <c r="N121" s="14" t="inlineStr">
        <is>
          <t>Not started</t>
        </is>
      </c>
      <c r="O121" s="14" t="n"/>
    </row>
    <row r="122">
      <c r="A122" s="14" t="inlineStr">
        <is>
          <t>RNW_STP_SKIP_TL_REVIEW</t>
        </is>
      </c>
      <c r="B122" s="14" t="inlineStr">
        <is>
          <t>Renewal</t>
        </is>
      </c>
      <c r="C122" s="14" t="inlineStr">
        <is>
          <t>Renewal</t>
        </is>
      </c>
      <c r="D122" s="14" t="inlineStr">
        <is>
          <t>Product Owner, Renewal</t>
        </is>
      </c>
      <c r="E122" s="14" t="inlineStr">
        <is>
          <t>Automatic dispositions of the decision matrix skip the Team Leader review</t>
        </is>
      </c>
      <c r="F122" s="14" t="inlineStr">
        <is>
          <t>boolean</t>
        </is>
      </c>
      <c r="G122" s="14" t="inlineStr">
        <is>
          <t>true</t>
        </is>
      </c>
      <c r="H122" s="14" t="inlineStr"/>
      <c r="I122" s="14" t="inlineStr">
        <is>
          <t>This sheet</t>
        </is>
      </c>
      <c r="J122" s="14" t="inlineStr">
        <is>
          <t>16-Jul-2027 (T-24 weeks)</t>
        </is>
      </c>
      <c r="K122" s="14" t="n"/>
      <c r="L122" s="14" t="n"/>
      <c r="M122" s="14" t="n"/>
      <c r="N122" s="14" t="inlineStr">
        <is>
          <t>Not started</t>
        </is>
      </c>
      <c r="O122" s="14" t="n"/>
    </row>
    <row r="123">
      <c r="A123" s="14" t="inlineStr">
        <is>
          <t>REPORT_FOOTER_TEXT</t>
        </is>
      </c>
      <c r="B123" s="14" t="inlineStr">
        <is>
          <t>Reporting</t>
        </is>
      </c>
      <c r="C123" s="14" t="inlineStr">
        <is>
          <t>Accounting, Disbursement and ACSL</t>
        </is>
      </c>
      <c r="D123" s="14" t="inlineStr">
        <is>
          <t>Head, Comptrollership</t>
        </is>
      </c>
      <c r="E123" s="14" t="inlineStr">
        <is>
          <t>Footer text printed on exported reports</t>
        </is>
      </c>
      <c r="F123" s="14" t="inlineStr">
        <is>
          <t>string</t>
        </is>
      </c>
      <c r="G123" s="14" t="inlineStr">
        <is>
          <t>Confidential - for internal use only.</t>
        </is>
      </c>
      <c r="H123" s="14" t="inlineStr"/>
      <c r="I123" s="14" t="inlineStr">
        <is>
          <t>This sheet</t>
        </is>
      </c>
      <c r="J123" s="14" t="inlineStr">
        <is>
          <t>16-Jul-2027 (T-24 weeks)</t>
        </is>
      </c>
      <c r="K123" s="14" t="n"/>
      <c r="L123" s="14" t="n"/>
      <c r="M123" s="14" t="n"/>
      <c r="N123" s="14" t="inlineStr">
        <is>
          <t>Not started</t>
        </is>
      </c>
      <c r="O123" s="14" t="n"/>
    </row>
    <row r="124">
      <c r="A124" s="14" t="inlineStr">
        <is>
          <t>SCR_BLOCK_ON_OPEN_MATCH</t>
        </is>
      </c>
      <c r="B124" s="14" t="inlineStr">
        <is>
          <t>Screening</t>
        </is>
      </c>
      <c r="C124" s="14" t="inlineStr">
        <is>
          <t>Sanction Screening</t>
        </is>
      </c>
      <c r="D124" s="14" t="inlineStr">
        <is>
          <t>Compliance</t>
        </is>
      </c>
      <c r="E124" s="14" t="inlineStr">
        <is>
          <t>When true, account submission and placement are refused while the client has an open true or potential match</t>
        </is>
      </c>
      <c r="F124" s="14" t="inlineStr">
        <is>
          <t>boolean</t>
        </is>
      </c>
      <c r="G124" s="14" t="inlineStr">
        <is>
          <t>false</t>
        </is>
      </c>
      <c r="H124" s="14" t="inlineStr"/>
      <c r="I124" s="14" t="inlineStr">
        <is>
          <t>This sheet</t>
        </is>
      </c>
      <c r="J124" s="14" t="inlineStr">
        <is>
          <t>16-Jul-2027 (T-24 weeks)</t>
        </is>
      </c>
      <c r="K124" s="14" t="n"/>
      <c r="L124" s="14" t="n"/>
      <c r="M124" s="14" t="n"/>
      <c r="N124" s="14" t="inlineStr">
        <is>
          <t>Not started</t>
        </is>
      </c>
      <c r="O124" s="14" t="n"/>
    </row>
    <row r="125">
      <c r="A125" s="14" t="inlineStr">
        <is>
          <t>SCR_COMMITTEE_RULE</t>
        </is>
      </c>
      <c r="B125" s="14" t="inlineStr">
        <is>
          <t>Screening</t>
        </is>
      </c>
      <c r="C125" s="14" t="inlineStr">
        <is>
          <t>Sanction Screening</t>
        </is>
      </c>
      <c r="D125" s="14" t="inlineStr">
        <is>
          <t>Compliance</t>
        </is>
      </c>
      <c r="E125" s="14" t="inlineStr">
        <is>
          <t>How the AML Committee decides: ANY, MAJORITY or ALL of SCR_COMMITTEE_SIZE members</t>
        </is>
      </c>
      <c r="F125" s="14" t="inlineStr">
        <is>
          <t>string</t>
        </is>
      </c>
      <c r="G125" s="14" t="inlineStr">
        <is>
          <t>MAJORITY</t>
        </is>
      </c>
      <c r="H125" s="14" t="inlineStr"/>
      <c r="I125" s="14" t="inlineStr">
        <is>
          <t>This sheet</t>
        </is>
      </c>
      <c r="J125" s="14" t="inlineStr">
        <is>
          <t>16-Jul-2027 (T-24 weeks)</t>
        </is>
      </c>
      <c r="K125" s="14" t="n"/>
      <c r="L125" s="14" t="n"/>
      <c r="M125" s="14" t="n"/>
      <c r="N125" s="14" t="inlineStr">
        <is>
          <t>Not started</t>
        </is>
      </c>
      <c r="O125" s="14" t="n"/>
    </row>
    <row r="126">
      <c r="A126" s="14" t="inlineStr">
        <is>
          <t>SCR_COMMITTEE_SIZE</t>
        </is>
      </c>
      <c r="B126" s="14" t="inlineStr">
        <is>
          <t>Screening</t>
        </is>
      </c>
      <c r="C126" s="14" t="inlineStr">
        <is>
          <t>Sanction Screening</t>
        </is>
      </c>
      <c r="D126" s="14" t="inlineStr">
        <is>
          <t>Compliance</t>
        </is>
      </c>
      <c r="E126" s="14" t="inlineStr">
        <is>
          <t>Members of the AML Committee counted by the MAJORITY / ALL rule</t>
        </is>
      </c>
      <c r="F126" s="14" t="inlineStr">
        <is>
          <t>integer</t>
        </is>
      </c>
      <c r="G126" s="14" t="inlineStr">
        <is>
          <t>5</t>
        </is>
      </c>
      <c r="H126" s="14" t="inlineStr">
        <is>
          <t>1 to 20</t>
        </is>
      </c>
      <c r="I126" s="14" t="inlineStr">
        <is>
          <t>This sheet</t>
        </is>
      </c>
      <c r="J126" s="14" t="inlineStr">
        <is>
          <t>16-Jul-2027 (T-24 weeks)</t>
        </is>
      </c>
      <c r="K126" s="14" t="n"/>
      <c r="L126" s="14" t="n"/>
      <c r="M126" s="14" t="n"/>
      <c r="N126" s="14" t="inlineStr">
        <is>
          <t>Not started</t>
        </is>
      </c>
      <c r="O126" s="14" t="n"/>
    </row>
    <row r="127">
      <c r="A127" s="14" t="inlineStr">
        <is>
          <t>SCR_FULL_RESCREEN_DAY</t>
        </is>
      </c>
      <c r="B127" s="14" t="inlineStr">
        <is>
          <t>Screening</t>
        </is>
      </c>
      <c r="C127" s="14" t="inlineStr">
        <is>
          <t>Sanction Screening</t>
        </is>
      </c>
      <c r="D127" s="14" t="inlineStr">
        <is>
          <t>Compliance</t>
        </is>
      </c>
      <c r="E127" s="14" t="inlineStr">
        <is>
          <t>Day of the month of the full rescreen of the in-scope clients; other days screen the list changes only</t>
        </is>
      </c>
      <c r="F127" s="14" t="inlineStr">
        <is>
          <t>integer</t>
        </is>
      </c>
      <c r="G127" s="14" t="inlineStr">
        <is>
          <t>1</t>
        </is>
      </c>
      <c r="H127" s="14" t="inlineStr">
        <is>
          <t>1 to 28</t>
        </is>
      </c>
      <c r="I127" s="14" t="inlineStr">
        <is>
          <t>This sheet</t>
        </is>
      </c>
      <c r="J127" s="14" t="inlineStr">
        <is>
          <t>16-Jul-2027 (T-24 weeks)</t>
        </is>
      </c>
      <c r="K127" s="14" t="n"/>
      <c r="L127" s="14" t="n"/>
      <c r="M127" s="14" t="n"/>
      <c r="N127" s="14" t="inlineStr">
        <is>
          <t>Not started</t>
        </is>
      </c>
      <c r="O127" s="14" t="n"/>
    </row>
    <row r="128">
      <c r="A128" s="14" t="inlineStr">
        <is>
          <t>SCR_INGEST_ALERT_RECIPIENTS</t>
        </is>
      </c>
      <c r="B128" s="14" t="inlineStr">
        <is>
          <t>Screening</t>
        </is>
      </c>
      <c r="C128" s="14" t="inlineStr">
        <is>
          <t>Sanction Screening</t>
        </is>
      </c>
      <c r="D128" s="14" t="inlineStr">
        <is>
          <t>Compliance</t>
        </is>
      </c>
      <c r="E128" s="14" t="inlineStr">
        <is>
          <t>Comma separated e-mail addresses that receive the digest of failed watchlist records</t>
        </is>
      </c>
      <c r="F128" s="14" t="inlineStr">
        <is>
          <t>string</t>
        </is>
      </c>
      <c r="G128" s="14" t="inlineStr">
        <is>
          <t>(blank)</t>
        </is>
      </c>
      <c r="H128" s="14" t="inlineStr"/>
      <c r="I128" s="14" t="inlineStr">
        <is>
          <t>This sheet</t>
        </is>
      </c>
      <c r="J128" s="14" t="inlineStr">
        <is>
          <t>16-Jul-2027 (T-24 weeks)</t>
        </is>
      </c>
      <c r="K128" s="14" t="n"/>
      <c r="L128" s="14" t="n"/>
      <c r="M128" s="14" t="n"/>
      <c r="N128" s="14" t="inlineStr">
        <is>
          <t>Not started</t>
        </is>
      </c>
      <c r="O128" s="14" t="n"/>
    </row>
    <row r="129">
      <c r="A129" s="14" t="inlineStr">
        <is>
          <t>SCR_SCREENING_SCOPE</t>
        </is>
      </c>
      <c r="B129" s="14" t="inlineStr">
        <is>
          <t>Screening</t>
        </is>
      </c>
      <c r="C129" s="14" t="inlineStr">
        <is>
          <t>Sanction Screening</t>
        </is>
      </c>
      <c r="D129" s="14" t="inlineStr">
        <is>
          <t>Compliance</t>
        </is>
      </c>
      <c r="E129" s="14" t="inlineStr">
        <is>
          <t>Client statuses screened by the periodic run</t>
        </is>
      </c>
      <c r="F129" s="14" t="inlineStr">
        <is>
          <t>code list</t>
        </is>
      </c>
      <c r="G129" s="14" t="inlineStr">
        <is>
          <t>PROSPECT,CONFIRMED</t>
        </is>
      </c>
      <c r="H129" s="14" t="inlineStr"/>
      <c r="I129" s="14" t="inlineStr">
        <is>
          <t>This sheet</t>
        </is>
      </c>
      <c r="J129" s="14" t="inlineStr">
        <is>
          <t>16-Jul-2027 (T-24 weeks)</t>
        </is>
      </c>
      <c r="K129" s="14" t="n"/>
      <c r="L129" s="14" t="n"/>
      <c r="M129" s="14" t="n"/>
      <c r="N129" s="14" t="inlineStr">
        <is>
          <t>Not started</t>
        </is>
      </c>
      <c r="O129" s="14" t="n"/>
    </row>
    <row r="130">
      <c r="A130" s="14" t="inlineStr">
        <is>
          <t>ACCESS_TOKEN_MINUTES</t>
        </is>
      </c>
      <c r="B130" s="14" t="inlineStr">
        <is>
          <t>Security</t>
        </is>
      </c>
      <c r="C130" s="14" t="inlineStr">
        <is>
          <t>Security settings</t>
        </is>
      </c>
      <c r="D130" s="14" t="inlineStr">
        <is>
          <t>BDOI Information Security</t>
        </is>
      </c>
      <c r="E130" s="14" t="inlineStr">
        <is>
          <t>Minutes an access token is valid; the web client renews it while the session is in use</t>
        </is>
      </c>
      <c r="F130" s="14" t="inlineStr">
        <is>
          <t>integer</t>
        </is>
      </c>
      <c r="G130" s="14" t="inlineStr">
        <is>
          <t>15</t>
        </is>
      </c>
      <c r="H130" s="14" t="inlineStr">
        <is>
          <t>5 to 60</t>
        </is>
      </c>
      <c r="I130" s="14" t="inlineStr">
        <is>
          <t>This sheet</t>
        </is>
      </c>
      <c r="J130" s="14" t="inlineStr">
        <is>
          <t>16-Jul-2027 (T-24 weeks)</t>
        </is>
      </c>
      <c r="K130" s="14" t="n"/>
      <c r="L130" s="14" t="n"/>
      <c r="M130" s="14" t="n"/>
      <c r="N130" s="14" t="inlineStr">
        <is>
          <t>Not started</t>
        </is>
      </c>
      <c r="O130" s="14" t="n"/>
    </row>
    <row r="131">
      <c r="A131" s="14" t="inlineStr">
        <is>
          <t>AUTH_MODE</t>
        </is>
      </c>
      <c r="B131" s="14" t="inlineStr">
        <is>
          <t>Security</t>
        </is>
      </c>
      <c r="C131" s="14" t="inlineStr">
        <is>
          <t>Security settings</t>
        </is>
      </c>
      <c r="D131" s="14" t="inlineStr">
        <is>
          <t>BDOI Information Security</t>
        </is>
      </c>
      <c r="E131" s="14" t="inlineStr">
        <is>
          <t>Sign-in mode: LOCAL (BIBS passwords) or DIRECTORY (BDO directory sign-in by Windows ID, when the EIAM sign-in is specified)</t>
        </is>
      </c>
      <c r="F131" s="14" t="inlineStr">
        <is>
          <t>string</t>
        </is>
      </c>
      <c r="G131" s="14" t="inlineStr">
        <is>
          <t>LOCAL</t>
        </is>
      </c>
      <c r="H131" s="14" t="inlineStr"/>
      <c r="I131" s="14" t="inlineStr">
        <is>
          <t>Template UA-05 (sheet UA-05 Parameters)</t>
        </is>
      </c>
      <c r="J131" s="14" t="inlineStr">
        <is>
          <t>16-Jul-2027 (T-24 weeks)</t>
        </is>
      </c>
      <c r="K131" s="14" t="n"/>
      <c r="L131" s="14" t="n"/>
      <c r="M131" s="14" t="n"/>
      <c r="N131" s="14" t="inlineStr">
        <is>
          <t>Not started</t>
        </is>
      </c>
      <c r="O131" s="14" t="n"/>
    </row>
    <row r="132">
      <c r="A132" s="14" t="inlineStr">
        <is>
          <t>FILE_LINK_TTL_SECONDS</t>
        </is>
      </c>
      <c r="B132" s="14" t="inlineStr">
        <is>
          <t>Security</t>
        </is>
      </c>
      <c r="C132" s="14" t="inlineStr">
        <is>
          <t>Security settings</t>
        </is>
      </c>
      <c r="D132" s="14" t="inlineStr">
        <is>
          <t>BDOI Information Security</t>
        </is>
      </c>
      <c r="E132" s="14" t="inlineStr">
        <is>
          <t>Seconds a presigned file download or upload link stays valid</t>
        </is>
      </c>
      <c r="F132" s="14" t="inlineStr">
        <is>
          <t>integer</t>
        </is>
      </c>
      <c r="G132" s="14" t="inlineStr">
        <is>
          <t>300</t>
        </is>
      </c>
      <c r="H132" s="14" t="inlineStr">
        <is>
          <t>30 to 3600</t>
        </is>
      </c>
      <c r="I132" s="14" t="inlineStr">
        <is>
          <t>This sheet</t>
        </is>
      </c>
      <c r="J132" s="14" t="inlineStr">
        <is>
          <t>16-Jul-2027 (T-24 weeks)</t>
        </is>
      </c>
      <c r="K132" s="14" t="n"/>
      <c r="L132" s="14" t="n"/>
      <c r="M132" s="14" t="n"/>
      <c r="N132" s="14" t="inlineStr">
        <is>
          <t>Not started</t>
        </is>
      </c>
      <c r="O132" s="14" t="n"/>
    </row>
    <row r="133">
      <c r="A133" s="14" t="inlineStr">
        <is>
          <t>JOB_FAILURE_RECIPIENTS</t>
        </is>
      </c>
      <c r="B133" s="14" t="inlineStr">
        <is>
          <t>Security</t>
        </is>
      </c>
      <c r="C133" s="14" t="inlineStr">
        <is>
          <t>Security settings</t>
        </is>
      </c>
      <c r="D133" s="14" t="inlineStr">
        <is>
          <t>BDOI Information Security</t>
        </is>
      </c>
      <c r="E133" s="14" t="inlineStr">
        <is>
          <t>Comma separated e-mail addresses told of every failed batch job</t>
        </is>
      </c>
      <c r="F133" s="14" t="inlineStr">
        <is>
          <t>string</t>
        </is>
      </c>
      <c r="G133" s="14" t="inlineStr">
        <is>
          <t>(blank)</t>
        </is>
      </c>
      <c r="H133" s="14" t="inlineStr"/>
      <c r="I133" s="14" t="inlineStr">
        <is>
          <t>Template UA-05 (sheet UA-05 Parameters)</t>
        </is>
      </c>
      <c r="J133" s="14" t="inlineStr">
        <is>
          <t>16-Jul-2027 (T-24 weeks)</t>
        </is>
      </c>
      <c r="K133" s="14" t="n"/>
      <c r="L133" s="14" t="n"/>
      <c r="M133" s="14" t="n"/>
      <c r="N133" s="14" t="inlineStr">
        <is>
          <t>Not started</t>
        </is>
      </c>
      <c r="O133" s="14" t="n"/>
    </row>
    <row r="134">
      <c r="A134" s="14" t="inlineStr">
        <is>
          <t>LOGIN_MAX_FAILED_ATTEMPTS</t>
        </is>
      </c>
      <c r="B134" s="14" t="inlineStr">
        <is>
          <t>Security</t>
        </is>
      </c>
      <c r="C134" s="14" t="inlineStr">
        <is>
          <t>Security settings</t>
        </is>
      </c>
      <c r="D134" s="14" t="inlineStr">
        <is>
          <t>BDOI Information Security</t>
        </is>
      </c>
      <c r="E134" s="14" t="inlineStr">
        <is>
          <t>Consecutive failed logins that lock a user account; applies to all users</t>
        </is>
      </c>
      <c r="F134" s="14" t="inlineStr">
        <is>
          <t>integer</t>
        </is>
      </c>
      <c r="G134" s="14" t="inlineStr">
        <is>
          <t>3</t>
        </is>
      </c>
      <c r="H134" s="14" t="inlineStr">
        <is>
          <t>1 to 10</t>
        </is>
      </c>
      <c r="I134" s="14" t="inlineStr">
        <is>
          <t>Template UA-05 (sheet UA-05 Parameters)</t>
        </is>
      </c>
      <c r="J134" s="14" t="inlineStr">
        <is>
          <t>16-Jul-2027 (T-24 weeks)</t>
        </is>
      </c>
      <c r="K134" s="14" t="n"/>
      <c r="L134" s="14" t="n"/>
      <c r="M134" s="14" t="n"/>
      <c r="N134" s="14" t="inlineStr">
        <is>
          <t>Not started</t>
        </is>
      </c>
      <c r="O134" s="14" t="n"/>
    </row>
    <row r="135">
      <c r="A135" s="14" t="inlineStr">
        <is>
          <t>MFA_ISSUER_NAME</t>
        </is>
      </c>
      <c r="B135" s="14" t="inlineStr">
        <is>
          <t>Security</t>
        </is>
      </c>
      <c r="C135" s="14" t="inlineStr">
        <is>
          <t>Security settings</t>
        </is>
      </c>
      <c r="D135" s="14" t="inlineStr">
        <is>
          <t>BDOI Information Security</t>
        </is>
      </c>
      <c r="E135" s="14" t="inlineStr">
        <is>
          <t>Name of the system shown next to the account in the authenticator app (blank = the system name of the deployment)</t>
        </is>
      </c>
      <c r="F135" s="14" t="inlineStr">
        <is>
          <t>string</t>
        </is>
      </c>
      <c r="G135" s="14" t="inlineStr">
        <is>
          <t>(blank)</t>
        </is>
      </c>
      <c r="H135" s="14" t="inlineStr"/>
      <c r="I135" s="14" t="inlineStr">
        <is>
          <t>This sheet</t>
        </is>
      </c>
      <c r="J135" s="14" t="inlineStr">
        <is>
          <t>16-Jul-2027 (T-24 weeks)</t>
        </is>
      </c>
      <c r="K135" s="14" t="n"/>
      <c r="L135" s="14" t="n"/>
      <c r="M135" s="14" t="n"/>
      <c r="N135" s="14" t="inlineStr">
        <is>
          <t>Not started</t>
        </is>
      </c>
      <c r="O135" s="14" t="n"/>
    </row>
    <row r="136">
      <c r="A136" s="14" t="inlineStr">
        <is>
          <t>MFA_POLICY</t>
        </is>
      </c>
      <c r="B136" s="14" t="inlineStr">
        <is>
          <t>Security</t>
        </is>
      </c>
      <c r="C136" s="14" t="inlineStr">
        <is>
          <t>Security settings</t>
        </is>
      </c>
      <c r="D136" s="14" t="inlineStr">
        <is>
          <t>BDOI Information Security</t>
        </is>
      </c>
      <c r="E136" s="14" t="inlineStr">
        <is>
          <t>Who must confirm a sign-in with an authenticator app code: ALL users, PRIVILEGED users (a role of privilege level HIGH or ADMIN) or OFF (only users who enrolled themselves)</t>
        </is>
      </c>
      <c r="F136" s="14" t="inlineStr">
        <is>
          <t>string</t>
        </is>
      </c>
      <c r="G136" s="14" t="inlineStr">
        <is>
          <t>PRIVILEGED</t>
        </is>
      </c>
      <c r="H136" s="14" t="inlineStr"/>
      <c r="I136" s="14" t="inlineStr">
        <is>
          <t>This sheet</t>
        </is>
      </c>
      <c r="J136" s="14" t="inlineStr">
        <is>
          <t>16-Jul-2027 (T-24 weeks)</t>
        </is>
      </c>
      <c r="K136" s="14" t="n"/>
      <c r="L136" s="14" t="n"/>
      <c r="M136" s="14" t="n"/>
      <c r="N136" s="14" t="inlineStr">
        <is>
          <t>Not started</t>
        </is>
      </c>
      <c r="O136" s="14" t="n"/>
    </row>
    <row r="137">
      <c r="A137" s="14" t="inlineStr">
        <is>
          <t>MFA_REMEMBER_DEVICE_DAYS</t>
        </is>
      </c>
      <c r="B137" s="14" t="inlineStr">
        <is>
          <t>Security</t>
        </is>
      </c>
      <c r="C137" s="14" t="inlineStr">
        <is>
          <t>Security settings</t>
        </is>
      </c>
      <c r="D137" s="14" t="inlineStr">
        <is>
          <t>BDOI Information Security</t>
        </is>
      </c>
      <c r="E137" s="14" t="inlineStr">
        <is>
          <t>Days a device may be remembered after a code is confirmed, so the code is not asked again on it; 0 = never remembered</t>
        </is>
      </c>
      <c r="F137" s="14" t="inlineStr">
        <is>
          <t>integer</t>
        </is>
      </c>
      <c r="G137" s="14" t="inlineStr">
        <is>
          <t>0</t>
        </is>
      </c>
      <c r="H137" s="14" t="inlineStr">
        <is>
          <t>0 to 30</t>
        </is>
      </c>
      <c r="I137" s="14" t="inlineStr">
        <is>
          <t>This sheet</t>
        </is>
      </c>
      <c r="J137" s="14" t="inlineStr">
        <is>
          <t>16-Jul-2027 (T-24 weeks)</t>
        </is>
      </c>
      <c r="K137" s="14" t="n"/>
      <c r="L137" s="14" t="n"/>
      <c r="M137" s="14" t="n"/>
      <c r="N137" s="14" t="inlineStr">
        <is>
          <t>Not started</t>
        </is>
      </c>
      <c r="O137" s="14" t="n"/>
    </row>
    <row r="138">
      <c r="A138" s="14" t="inlineStr">
        <is>
          <t>PASSWORD_EXPIRY_NOTICE_DAYS</t>
        </is>
      </c>
      <c r="B138" s="14" t="inlineStr">
        <is>
          <t>Security</t>
        </is>
      </c>
      <c r="C138" s="14" t="inlineStr">
        <is>
          <t>Security settings</t>
        </is>
      </c>
      <c r="D138" s="14" t="inlineStr">
        <is>
          <t>BDOI Information Security</t>
        </is>
      </c>
      <c r="E138" s="14" t="inlineStr">
        <is>
          <t>Days before a password expires from which the user is told to change it (LOCAL mode)</t>
        </is>
      </c>
      <c r="F138" s="14" t="inlineStr">
        <is>
          <t>integer</t>
        </is>
      </c>
      <c r="G138" s="14" t="inlineStr">
        <is>
          <t>7</t>
        </is>
      </c>
      <c r="H138" s="14" t="inlineStr">
        <is>
          <t>1 to 90</t>
        </is>
      </c>
      <c r="I138" s="14" t="inlineStr">
        <is>
          <t>This sheet</t>
        </is>
      </c>
      <c r="J138" s="14" t="inlineStr">
        <is>
          <t>16-Jul-2027 (T-24 weeks)</t>
        </is>
      </c>
      <c r="K138" s="14" t="n"/>
      <c r="L138" s="14" t="n"/>
      <c r="M138" s="14" t="n"/>
      <c r="N138" s="14" t="inlineStr">
        <is>
          <t>Not started</t>
        </is>
      </c>
      <c r="O138" s="14" t="n"/>
    </row>
    <row r="139">
      <c r="A139" s="14" t="inlineStr">
        <is>
          <t>PASSWORD_HISTORY_COUNT</t>
        </is>
      </c>
      <c r="B139" s="14" t="inlineStr">
        <is>
          <t>Security</t>
        </is>
      </c>
      <c r="C139" s="14" t="inlineStr">
        <is>
          <t>Security settings</t>
        </is>
      </c>
      <c r="D139" s="14" t="inlineStr">
        <is>
          <t>BDOI Information Security</t>
        </is>
      </c>
      <c r="E139" s="14" t="inlineStr">
        <is>
          <t>Previous passwords a user may not reuse, LOCAL mode</t>
        </is>
      </c>
      <c r="F139" s="14" t="inlineStr">
        <is>
          <t>integer</t>
        </is>
      </c>
      <c r="G139" s="14" t="inlineStr">
        <is>
          <t>8</t>
        </is>
      </c>
      <c r="H139" s="14" t="inlineStr">
        <is>
          <t>0 to 24</t>
        </is>
      </c>
      <c r="I139" s="14" t="inlineStr">
        <is>
          <t>Template UA-05 (sheet UA-05 Parameters)</t>
        </is>
      </c>
      <c r="J139" s="14" t="inlineStr">
        <is>
          <t>16-Jul-2027 (T-24 weeks)</t>
        </is>
      </c>
      <c r="K139" s="14" t="n"/>
      <c r="L139" s="14" t="n"/>
      <c r="M139" s="14" t="n"/>
      <c r="N139" s="14" t="inlineStr">
        <is>
          <t>Not started</t>
        </is>
      </c>
      <c r="O139" s="14" t="n"/>
    </row>
    <row r="140">
      <c r="A140" s="14" t="inlineStr">
        <is>
          <t>PASSWORD_MAX_AGE_DAYS</t>
        </is>
      </c>
      <c r="B140" s="14" t="inlineStr">
        <is>
          <t>Security</t>
        </is>
      </c>
      <c r="C140" s="14" t="inlineStr">
        <is>
          <t>Security settings</t>
        </is>
      </c>
      <c r="D140" s="14" t="inlineStr">
        <is>
          <t>BDOI Information Security</t>
        </is>
      </c>
      <c r="E140" s="14" t="inlineStr">
        <is>
          <t>Days after which a password must be changed, LOCAL mode; 0 = never</t>
        </is>
      </c>
      <c r="F140" s="14" t="inlineStr">
        <is>
          <t>integer</t>
        </is>
      </c>
      <c r="G140" s="14" t="inlineStr">
        <is>
          <t>90</t>
        </is>
      </c>
      <c r="H140" s="14" t="inlineStr">
        <is>
          <t>0 to 365</t>
        </is>
      </c>
      <c r="I140" s="14" t="inlineStr">
        <is>
          <t>Template UA-05 (sheet UA-05 Parameters)</t>
        </is>
      </c>
      <c r="J140" s="14" t="inlineStr">
        <is>
          <t>16-Jul-2027 (T-24 weeks)</t>
        </is>
      </c>
      <c r="K140" s="14" t="n"/>
      <c r="L140" s="14" t="n"/>
      <c r="M140" s="14" t="n"/>
      <c r="N140" s="14" t="inlineStr">
        <is>
          <t>Not started</t>
        </is>
      </c>
      <c r="O140" s="14" t="n"/>
    </row>
    <row r="141">
      <c r="A141" s="14" t="inlineStr">
        <is>
          <t>PASSWORD_MIN_AGE_DAYS</t>
        </is>
      </c>
      <c r="B141" s="14" t="inlineStr">
        <is>
          <t>Security</t>
        </is>
      </c>
      <c r="C141" s="14" t="inlineStr">
        <is>
          <t>Security settings</t>
        </is>
      </c>
      <c r="D141" s="14" t="inlineStr">
        <is>
          <t>BDOI Information Security</t>
        </is>
      </c>
      <c r="E141" s="14" t="inlineStr">
        <is>
          <t>Days before a changed password may be changed again, LOCAL mode</t>
        </is>
      </c>
      <c r="F141" s="14" t="inlineStr">
        <is>
          <t>integer</t>
        </is>
      </c>
      <c r="G141" s="14" t="inlineStr">
        <is>
          <t>1</t>
        </is>
      </c>
      <c r="H141" s="14" t="inlineStr">
        <is>
          <t>0 to 30</t>
        </is>
      </c>
      <c r="I141" s="14" t="inlineStr">
        <is>
          <t>Template UA-05 (sheet UA-05 Parameters)</t>
        </is>
      </c>
      <c r="J141" s="14" t="inlineStr">
        <is>
          <t>16-Jul-2027 (T-24 weeks)</t>
        </is>
      </c>
      <c r="K141" s="14" t="n"/>
      <c r="L141" s="14" t="n"/>
      <c r="M141" s="14" t="n"/>
      <c r="N141" s="14" t="inlineStr">
        <is>
          <t>Not started</t>
        </is>
      </c>
      <c r="O141" s="14" t="n"/>
    </row>
    <row r="142">
      <c r="A142" s="14" t="inlineStr">
        <is>
          <t>SESSION_EXPIRY_WARNING_MINUTES</t>
        </is>
      </c>
      <c r="B142" s="14" t="inlineStr">
        <is>
          <t>Security</t>
        </is>
      </c>
      <c r="C142" s="14" t="inlineStr">
        <is>
          <t>Security settings</t>
        </is>
      </c>
      <c r="D142" s="14" t="inlineStr">
        <is>
          <t>BDOI Information Security</t>
        </is>
      </c>
      <c r="E142" s="14" t="inlineStr">
        <is>
          <t>Minutes before the system-triggered (absolute) sign-out at which the web client warns the user</t>
        </is>
      </c>
      <c r="F142" s="14" t="inlineStr">
        <is>
          <t>integer</t>
        </is>
      </c>
      <c r="G142" s="14" t="inlineStr">
        <is>
          <t>30</t>
        </is>
      </c>
      <c r="H142" s="14" t="inlineStr">
        <is>
          <t>1 to 240</t>
        </is>
      </c>
      <c r="I142" s="14" t="inlineStr">
        <is>
          <t>Template UA-05 (sheet UA-05 Parameters)</t>
        </is>
      </c>
      <c r="J142" s="14" t="inlineStr">
        <is>
          <t>16-Jul-2027 (T-24 weeks)</t>
        </is>
      </c>
      <c r="K142" s="14" t="n"/>
      <c r="L142" s="14" t="n"/>
      <c r="M142" s="14" t="n"/>
      <c r="N142" s="14" t="inlineStr">
        <is>
          <t>Not started</t>
        </is>
      </c>
      <c r="O142" s="14" t="n"/>
    </row>
    <row r="143">
      <c r="A143" s="14" t="inlineStr">
        <is>
          <t>SESSION_IDLE_WARNING_MINUTES</t>
        </is>
      </c>
      <c r="B143" s="14" t="inlineStr">
        <is>
          <t>Security</t>
        </is>
      </c>
      <c r="C143" s="14" t="inlineStr">
        <is>
          <t>Security settings</t>
        </is>
      </c>
      <c r="D143" s="14" t="inlineStr">
        <is>
          <t>BDOI Information Security</t>
        </is>
      </c>
      <c r="E143" s="14" t="inlineStr">
        <is>
          <t>Minutes of inactivity after which the web client warns that the session will sign out</t>
        </is>
      </c>
      <c r="F143" s="14" t="inlineStr">
        <is>
          <t>integer</t>
        </is>
      </c>
      <c r="G143" s="14" t="inlineStr">
        <is>
          <t>15</t>
        </is>
      </c>
      <c r="H143" s="14" t="inlineStr">
        <is>
          <t>1 to 480</t>
        </is>
      </c>
      <c r="I143" s="14" t="inlineStr">
        <is>
          <t>Template UA-05 (sheet UA-05 Parameters)</t>
        </is>
      </c>
      <c r="J143" s="14" t="inlineStr">
        <is>
          <t>16-Jul-2027 (T-24 weeks)</t>
        </is>
      </c>
      <c r="K143" s="14" t="n"/>
      <c r="L143" s="14" t="n"/>
      <c r="M143" s="14" t="n"/>
      <c r="N143" s="14" t="inlineStr">
        <is>
          <t>Not started</t>
        </is>
      </c>
      <c r="O143" s="14" t="n"/>
    </row>
    <row r="144">
      <c r="A144" s="14" t="inlineStr">
        <is>
          <t>SESSION_TIMEOUT_MINUTES</t>
        </is>
      </c>
      <c r="B144" s="14" t="inlineStr">
        <is>
          <t>Security</t>
        </is>
      </c>
      <c r="C144" s="14" t="inlineStr">
        <is>
          <t>Security settings</t>
        </is>
      </c>
      <c r="D144" s="14" t="inlineStr">
        <is>
          <t>BDOI Information Security</t>
        </is>
      </c>
      <c r="E144" s="14" t="inlineStr">
        <is>
          <t>Minutes of inactivity after which the web session signs out automatically</t>
        </is>
      </c>
      <c r="F144" s="14" t="inlineStr">
        <is>
          <t>integer</t>
        </is>
      </c>
      <c r="G144" s="14" t="inlineStr">
        <is>
          <t>30</t>
        </is>
      </c>
      <c r="H144" s="14" t="inlineStr">
        <is>
          <t>5 to 480</t>
        </is>
      </c>
      <c r="I144" s="14" t="inlineStr">
        <is>
          <t>Template UA-05 (sheet UA-05 Parameters)</t>
        </is>
      </c>
      <c r="J144" s="14" t="inlineStr">
        <is>
          <t>16-Jul-2027 (T-24 weeks)</t>
        </is>
      </c>
      <c r="K144" s="14" t="n"/>
      <c r="L144" s="14" t="n"/>
      <c r="M144" s="14" t="n"/>
      <c r="N144" s="14" t="inlineStr">
        <is>
          <t>Not started</t>
        </is>
      </c>
      <c r="O144" s="14" t="n"/>
    </row>
    <row r="145">
      <c r="A145" s="14" t="inlineStr">
        <is>
          <t>UAM_ANY_APPROVER</t>
        </is>
      </c>
      <c r="B145" s="14" t="inlineStr">
        <is>
          <t>Security</t>
        </is>
      </c>
      <c r="C145" s="14" t="inlineStr">
        <is>
          <t>Security settings</t>
        </is>
      </c>
      <c r="D145" s="14" t="inlineStr">
        <is>
          <t>BDOI Information Security</t>
        </is>
      </c>
      <c r="E145" s="14" t="inlineStr">
        <is>
          <t>When true, any holder of ACCESS_APPROVE may decide a request, not only the approver chosen by the requester</t>
        </is>
      </c>
      <c r="F145" s="14" t="inlineStr">
        <is>
          <t>boolean</t>
        </is>
      </c>
      <c r="G145" s="14" t="inlineStr">
        <is>
          <t>false</t>
        </is>
      </c>
      <c r="H145" s="14" t="inlineStr"/>
      <c r="I145" s="14" t="inlineStr">
        <is>
          <t>Template UA-05 (sheet UA-05 Parameters)</t>
        </is>
      </c>
      <c r="J145" s="14" t="inlineStr">
        <is>
          <t>16-Jul-2027 (T-24 weeks)</t>
        </is>
      </c>
      <c r="K145" s="14" t="n"/>
      <c r="L145" s="14" t="n"/>
      <c r="M145" s="14" t="n"/>
      <c r="N145" s="14" t="inlineStr">
        <is>
          <t>Not started</t>
        </is>
      </c>
      <c r="O145" s="14" t="n"/>
    </row>
    <row r="146">
      <c r="A146" s="14" t="inlineStr">
        <is>
          <t>UAM_DIRECT_ROLE_EDIT</t>
        </is>
      </c>
      <c r="B146" s="14" t="inlineStr">
        <is>
          <t>Security</t>
        </is>
      </c>
      <c r="C146" s="14" t="inlineStr">
        <is>
          <t>Security settings</t>
        </is>
      </c>
      <c r="D146" s="14" t="inlineStr">
        <is>
          <t>BDOI Information Security</t>
        </is>
      </c>
      <c r="E146" s="14" t="inlineStr">
        <is>
          <t>Emergency path: when true, the System Administrator may create and edit roles directly on the Roles screen (audited, alert UAM_DIRECT_ROLE_EDIT); when false, a role changes only by implementing an approved group-profile request</t>
        </is>
      </c>
      <c r="F146" s="14" t="inlineStr">
        <is>
          <t>boolean</t>
        </is>
      </c>
      <c r="G146" s="14" t="inlineStr">
        <is>
          <t>false</t>
        </is>
      </c>
      <c r="H146" s="14" t="inlineStr"/>
      <c r="I146" s="14" t="inlineStr">
        <is>
          <t>This sheet</t>
        </is>
      </c>
      <c r="J146" s="14" t="inlineStr">
        <is>
          <t>16-Jul-2027 (T-24 weeks)</t>
        </is>
      </c>
      <c r="K146" s="14" t="n"/>
      <c r="L146" s="14" t="n"/>
      <c r="M146" s="14" t="n"/>
      <c r="N146" s="14" t="inlineStr">
        <is>
          <t>Not started</t>
        </is>
      </c>
      <c r="O146" s="14" t="n"/>
    </row>
    <row r="147">
      <c r="A147" s="14" t="inlineStr">
        <is>
          <t>UAM_DORMANT_DAYS</t>
        </is>
      </c>
      <c r="B147" s="14" t="inlineStr">
        <is>
          <t>Security</t>
        </is>
      </c>
      <c r="C147" s="14" t="inlineStr">
        <is>
          <t>Security settings</t>
        </is>
      </c>
      <c r="D147" s="14" t="inlineStr">
        <is>
          <t>BDOI Information Security</t>
        </is>
      </c>
      <c r="E147" s="14" t="inlineStr">
        <is>
          <t>Days without a sign-in after which a user is deactivated by the daily dormant-user job; 0 = never</t>
        </is>
      </c>
      <c r="F147" s="14" t="inlineStr">
        <is>
          <t>integer</t>
        </is>
      </c>
      <c r="G147" s="14" t="inlineStr">
        <is>
          <t>90</t>
        </is>
      </c>
      <c r="H147" s="14" t="inlineStr">
        <is>
          <t>0 to 730</t>
        </is>
      </c>
      <c r="I147" s="14" t="inlineStr">
        <is>
          <t>Template UA-05 (sheet UA-05 Parameters)</t>
        </is>
      </c>
      <c r="J147" s="14" t="inlineStr">
        <is>
          <t>16-Jul-2027 (T-24 weeks)</t>
        </is>
      </c>
      <c r="K147" s="14" t="n"/>
      <c r="L147" s="14" t="n"/>
      <c r="M147" s="14" t="n"/>
      <c r="N147" s="14" t="inlineStr">
        <is>
          <t>Not started</t>
        </is>
      </c>
      <c r="O147" s="14" t="n"/>
    </row>
    <row r="148">
      <c r="A148" s="14" t="inlineStr">
        <is>
          <t>UAM_DORMANT_NOTICE_DAYS</t>
        </is>
      </c>
      <c r="B148" s="14" t="inlineStr">
        <is>
          <t>Security</t>
        </is>
      </c>
      <c r="C148" s="14" t="inlineStr">
        <is>
          <t>Security settings</t>
        </is>
      </c>
      <c r="D148" s="14" t="inlineStr">
        <is>
          <t>BDOI Information Security</t>
        </is>
      </c>
      <c r="E148" s="14" t="inlineStr">
        <is>
          <t>Days before the dormant-user deactivation on which the user is told to sign in; 0 = no notice</t>
        </is>
      </c>
      <c r="F148" s="14" t="inlineStr">
        <is>
          <t>integer</t>
        </is>
      </c>
      <c r="G148" s="14" t="inlineStr">
        <is>
          <t>7</t>
        </is>
      </c>
      <c r="H148" s="14" t="inlineStr">
        <is>
          <t>0 to 60</t>
        </is>
      </c>
      <c r="I148" s="14" t="inlineStr">
        <is>
          <t>Template UA-05 (sheet UA-05 Parameters)</t>
        </is>
      </c>
      <c r="J148" s="14" t="inlineStr">
        <is>
          <t>16-Jul-2027 (T-24 weeks)</t>
        </is>
      </c>
      <c r="K148" s="14" t="n"/>
      <c r="L148" s="14" t="n"/>
      <c r="M148" s="14" t="n"/>
      <c r="N148" s="14" t="inlineStr">
        <is>
          <t>Not started</t>
        </is>
      </c>
      <c r="O148" s="14" t="n"/>
    </row>
    <row r="149">
      <c r="A149" s="14" t="inlineStr">
        <is>
          <t>UAM_EXTERNAL_USERS</t>
        </is>
      </c>
      <c r="B149" s="14" t="inlineStr">
        <is>
          <t>Security</t>
        </is>
      </c>
      <c r="C149" s="14" t="inlineStr">
        <is>
          <t>Security settings</t>
        </is>
      </c>
      <c r="D149" s="14" t="inlineStr">
        <is>
          <t>BDOI Information Security</t>
        </is>
      </c>
      <c r="E149" s="14" t="inlineStr">
        <is>
          <t>When true, access requests may be raised for external (portal) users; stays false while no portal is installed</t>
        </is>
      </c>
      <c r="F149" s="14" t="inlineStr">
        <is>
          <t>boolean</t>
        </is>
      </c>
      <c r="G149" s="14" t="inlineStr">
        <is>
          <t>false</t>
        </is>
      </c>
      <c r="H149" s="14" t="inlineStr"/>
      <c r="I149" s="14" t="inlineStr">
        <is>
          <t>Template UA-05 (sheet UA-05 Parameters)</t>
        </is>
      </c>
      <c r="J149" s="14" t="inlineStr">
        <is>
          <t>16-Jul-2027 (T-24 weeks)</t>
        </is>
      </c>
      <c r="K149" s="14" t="n"/>
      <c r="L149" s="14" t="n"/>
      <c r="M149" s="14" t="n"/>
      <c r="N149" s="14" t="inlineStr">
        <is>
          <t>Not started</t>
        </is>
      </c>
      <c r="O149" s="14" t="n"/>
    </row>
    <row r="150">
      <c r="A150" s="14" t="inlineStr">
        <is>
          <t>UAM_ROLE_APPLY_ON_APPROVAL</t>
        </is>
      </c>
      <c r="B150" s="14" t="inlineStr">
        <is>
          <t>Security</t>
        </is>
      </c>
      <c r="C150" s="14" t="inlineStr">
        <is>
          <t>Security settings</t>
        </is>
      </c>
      <c r="D150" s="14" t="inlineStr">
        <is>
          <t>BDOI Information Security</t>
        </is>
      </c>
      <c r="E150" s="14" t="inlineStr">
        <is>
          <t>When true, an approved group-profile or role-permission request applies at its last approval; when false it waits for the System Administrator to implement it</t>
        </is>
      </c>
      <c r="F150" s="14" t="inlineStr">
        <is>
          <t>boolean</t>
        </is>
      </c>
      <c r="G150" s="14" t="inlineStr">
        <is>
          <t>false</t>
        </is>
      </c>
      <c r="H150" s="14" t="inlineStr"/>
      <c r="I150" s="14" t="inlineStr">
        <is>
          <t>Template UA-05 (sheet UA-05 Parameters)</t>
        </is>
      </c>
      <c r="J150" s="14" t="inlineStr">
        <is>
          <t>16-Jul-2027 (T-24 weeks)</t>
        </is>
      </c>
      <c r="K150" s="14" t="n"/>
      <c r="L150" s="14" t="n"/>
      <c r="M150" s="14" t="n"/>
      <c r="N150" s="14" t="inlineStr">
        <is>
          <t>Not started</t>
        </is>
      </c>
      <c r="O150" s="14" t="n"/>
    </row>
    <row r="151">
      <c r="A151" s="14" t="inlineStr">
        <is>
          <t>UAM_WORKING_HOURS</t>
        </is>
      </c>
      <c r="B151" s="14" t="inlineStr">
        <is>
          <t>Security</t>
        </is>
      </c>
      <c r="C151" s="14" t="inlineStr">
        <is>
          <t>Security settings</t>
        </is>
      </c>
      <c r="D151" s="14" t="inlineStr">
        <is>
          <t>BDOI Information Security</t>
        </is>
      </c>
      <c r="E151" s="14" t="inlineStr">
        <is>
          <t>Working hours; an access request submitted outside them needs a second approval</t>
        </is>
      </c>
      <c r="F151" s="14" t="inlineStr">
        <is>
          <t>string</t>
        </is>
      </c>
      <c r="G151" s="14" t="inlineStr">
        <is>
          <t>08:00-18:00,MON-FRI</t>
        </is>
      </c>
      <c r="H151" s="14" t="inlineStr"/>
      <c r="I151" s="14" t="inlineStr">
        <is>
          <t>Template UA-05 (sheet UA-05 Parameters)</t>
        </is>
      </c>
      <c r="J151" s="14" t="inlineStr">
        <is>
          <t>16-Jul-2027 (T-24 weeks)</t>
        </is>
      </c>
      <c r="K151" s="14" t="n"/>
      <c r="L151" s="14" t="n"/>
      <c r="M151" s="14" t="n"/>
      <c r="N151" s="14" t="inlineStr">
        <is>
          <t>Not started</t>
        </is>
      </c>
      <c r="O151" s="14" t="n"/>
    </row>
    <row r="152">
      <c r="A152" s="14" t="inlineStr">
        <is>
          <t>USER_ID_FORMAT_TEXT</t>
        </is>
      </c>
      <c r="B152" s="14" t="inlineStr">
        <is>
          <t>Security</t>
        </is>
      </c>
      <c r="C152" s="14" t="inlineStr">
        <is>
          <t>Security settings</t>
        </is>
      </c>
      <c r="D152" s="14" t="inlineStr">
        <is>
          <t>BDOI Information Security</t>
        </is>
      </c>
      <c r="E152" s="14" t="inlineStr">
        <is>
          <t>The user ID format in words, shown to the requester with the format check of USER_ID_PATTERN</t>
        </is>
      </c>
      <c r="F152" s="14" t="inlineStr">
        <is>
          <t>string</t>
        </is>
      </c>
      <c r="G152" s="14" t="inlineStr">
        <is>
          <t>a letter followed by nine digits, for example a013000196</t>
        </is>
      </c>
      <c r="H152" s="14" t="inlineStr"/>
      <c r="I152" s="14" t="inlineStr">
        <is>
          <t>Template UA-05 (sheet UA-05 Parameters)</t>
        </is>
      </c>
      <c r="J152" s="14" t="inlineStr">
        <is>
          <t>16-Jul-2027 (T-24 weeks)</t>
        </is>
      </c>
      <c r="K152" s="14" t="n"/>
      <c r="L152" s="14" t="n"/>
      <c r="M152" s="14" t="n"/>
      <c r="N152" s="14" t="inlineStr">
        <is>
          <t>Not started</t>
        </is>
      </c>
      <c r="O152" s="14" t="n"/>
    </row>
    <row r="153">
      <c r="A153" s="14" t="inlineStr">
        <is>
          <t>USER_ID_PATTERN</t>
        </is>
      </c>
      <c r="B153" s="14" t="inlineStr">
        <is>
          <t>Security</t>
        </is>
      </c>
      <c r="C153" s="14" t="inlineStr">
        <is>
          <t>Security settings</t>
        </is>
      </c>
      <c r="D153" s="14" t="inlineStr">
        <is>
          <t>BDOI Information Security</t>
        </is>
      </c>
      <c r="E153" s="14" t="inlineStr">
        <is>
          <t>Regular expression of a new user ID on enrolment requests</t>
        </is>
      </c>
      <c r="F153" s="14" t="inlineStr">
        <is>
          <t>string</t>
        </is>
      </c>
      <c r="G153" s="14" t="inlineStr">
        <is>
          <t>^[a-zA-Z][0-9]{9}$</t>
        </is>
      </c>
      <c r="H153" s="14" t="inlineStr"/>
      <c r="I153" s="14" t="inlineStr">
        <is>
          <t>Template UA-05 (sheet UA-05 Parameters)</t>
        </is>
      </c>
      <c r="J153" s="14" t="inlineStr">
        <is>
          <t>16-Jul-2027 (T-24 weeks)</t>
        </is>
      </c>
      <c r="K153" s="14" t="n"/>
      <c r="L153" s="14" t="n"/>
      <c r="M153" s="14" t="n"/>
      <c r="N153" s="14" t="inlineStr">
        <is>
          <t>Not started</t>
        </is>
      </c>
      <c r="O153" s="14" t="n"/>
    </row>
    <row r="154">
      <c r="A154" s="14" t="inlineStr">
        <is>
          <t>SBM_INSURER_ACCEPT_DAYS</t>
        </is>
      </c>
      <c r="B154" s="14" t="inlineStr">
        <is>
          <t>Submitted</t>
        </is>
      </c>
      <c r="C154" s="14" t="inlineStr">
        <is>
          <t>Submitted Policies</t>
        </is>
      </c>
      <c r="D154" s="14" t="inlineStr">
        <is>
          <t>Product Owner, Submitted Policies</t>
        </is>
      </c>
      <c r="E154" s="14" t="inlineStr">
        <is>
          <t>Days the assigned insurer has to accept the hold cover of a submitted policy renewal before the handler is alerted</t>
        </is>
      </c>
      <c r="F154" s="14" t="inlineStr">
        <is>
          <t>integer</t>
        </is>
      </c>
      <c r="G154" s="14" t="inlineStr">
        <is>
          <t>5</t>
        </is>
      </c>
      <c r="H154" s="14" t="inlineStr">
        <is>
          <t>1 to 60</t>
        </is>
      </c>
      <c r="I154" s="14" t="inlineStr">
        <is>
          <t>This sheet</t>
        </is>
      </c>
      <c r="J154" s="14" t="inlineStr">
        <is>
          <t>16-Jul-2027 (T-24 weeks)</t>
        </is>
      </c>
      <c r="K154" s="14" t="n"/>
      <c r="L154" s="14" t="n"/>
      <c r="M154" s="14" t="n"/>
      <c r="N154" s="14" t="inlineStr">
        <is>
          <t>Not started</t>
        </is>
      </c>
      <c r="O154" s="14" t="n"/>
    </row>
    <row r="155">
      <c r="A155" s="14" t="inlineStr">
        <is>
          <t>SBM_MANUAL_RENEWAL_SEGMENTS</t>
        </is>
      </c>
      <c r="B155" s="14" t="inlineStr">
        <is>
          <t>Submitted</t>
        </is>
      </c>
      <c r="C155" s="14" t="inlineStr">
        <is>
          <t>Submitted Policies</t>
        </is>
      </c>
      <c r="D155" s="14" t="inlineStr">
        <is>
          <t>Product Owner, Submitted Policies</t>
        </is>
      </c>
      <c r="E155" s="14" t="inlineStr">
        <is>
          <t>Segments whose renewal the Account Officer starts by hand with Renew with BDOI; the expiry scan leaves them out</t>
        </is>
      </c>
      <c r="F155" s="14" t="inlineStr">
        <is>
          <t>code list</t>
        </is>
      </c>
      <c r="G155" s="14" t="inlineStr">
        <is>
          <t>NONCBG_RETAIL</t>
        </is>
      </c>
      <c r="H155" s="14" t="inlineStr"/>
      <c r="I155" s="14" t="inlineStr">
        <is>
          <t>This sheet</t>
        </is>
      </c>
      <c r="J155" s="14" t="inlineStr">
        <is>
          <t>16-Jul-2027 (T-24 weeks)</t>
        </is>
      </c>
      <c r="K155" s="14" t="n"/>
      <c r="L155" s="14" t="n"/>
      <c r="M155" s="14" t="n"/>
      <c r="N155" s="14" t="inlineStr">
        <is>
          <t>Not started</t>
        </is>
      </c>
      <c r="O155" s="14" t="n"/>
    </row>
    <row r="156">
      <c r="A156" s="14" t="inlineStr">
        <is>
          <t>SBM_MASTERLIST_DAYS_FROM_EXTRACTION</t>
        </is>
      </c>
      <c r="B156" s="14" t="inlineStr">
        <is>
          <t>Submitted</t>
        </is>
      </c>
      <c r="C156" s="14" t="inlineStr">
        <is>
          <t>Submitted Policies</t>
        </is>
      </c>
      <c r="D156" s="14" t="inlineStr">
        <is>
          <t>Product Owner, Submitted Policies</t>
        </is>
      </c>
      <c r="E156" s="14" t="inlineStr">
        <is>
          <t>Target days from the extraction of a CBG Motor policy to its masterlist record</t>
        </is>
      </c>
      <c r="F156" s="14" t="inlineStr">
        <is>
          <t>integer</t>
        </is>
      </c>
      <c r="G156" s="14" t="inlineStr">
        <is>
          <t>30</t>
        </is>
      </c>
      <c r="H156" s="14" t="inlineStr">
        <is>
          <t>1 to 365</t>
        </is>
      </c>
      <c r="I156" s="14" t="inlineStr">
        <is>
          <t>This sheet</t>
        </is>
      </c>
      <c r="J156" s="14" t="inlineStr">
        <is>
          <t>16-Jul-2027 (T-24 weeks)</t>
        </is>
      </c>
      <c r="K156" s="14" t="n"/>
      <c r="L156" s="14" t="n"/>
      <c r="M156" s="14" t="n"/>
      <c r="N156" s="14" t="inlineStr">
        <is>
          <t>Not started</t>
        </is>
      </c>
      <c r="O156" s="14" t="n"/>
    </row>
    <row r="157">
      <c r="A157" s="14" t="inlineStr">
        <is>
          <t>SBM_OWN_RECORDS_ROLES</t>
        </is>
      </c>
      <c r="B157" s="14" t="inlineStr">
        <is>
          <t>Submitted</t>
        </is>
      </c>
      <c r="C157" s="14" t="inlineStr">
        <is>
          <t>Submitted Policies</t>
        </is>
      </c>
      <c r="D157" s="14" t="inlineStr">
        <is>
          <t>Product Owner, Submitted Policies</t>
        </is>
      </c>
      <c r="E157" s="14" t="inlineStr">
        <is>
          <t>Roles whose users see only the submitted policies they handle or whose renewal they own, unless a user scope says otherwise</t>
        </is>
      </c>
      <c r="F157" s="14" t="inlineStr">
        <is>
          <t>code list</t>
        </is>
      </c>
      <c r="G157" s="14" t="inlineStr">
        <is>
          <t>MKT_AO</t>
        </is>
      </c>
      <c r="H157" s="14" t="inlineStr"/>
      <c r="I157" s="14" t="inlineStr">
        <is>
          <t>This sheet</t>
        </is>
      </c>
      <c r="J157" s="14" t="inlineStr">
        <is>
          <t>16-Jul-2027 (T-24 weeks)</t>
        </is>
      </c>
      <c r="K157" s="14" t="n"/>
      <c r="L157" s="14" t="n"/>
      <c r="M157" s="14" t="n"/>
      <c r="N157" s="14" t="inlineStr">
        <is>
          <t>Not started</t>
        </is>
      </c>
      <c r="O157" s="14" t="n"/>
    </row>
    <row r="158">
      <c r="A158" s="14" t="inlineStr">
        <is>
          <t>TAX_FBT_GROSSUP_RATE</t>
        </is>
      </c>
      <c r="B158" s="14" t="inlineStr">
        <is>
          <t>Tax</t>
        </is>
      </c>
      <c r="C158" s="14" t="inlineStr">
        <is>
          <t>Accounting, Disbursement and ACSL</t>
        </is>
      </c>
      <c r="D158" s="14" t="inlineStr">
        <is>
          <t>Head, Comptrollership</t>
        </is>
      </c>
      <c r="E158" s="14" t="inlineStr">
        <is>
          <t>Gross-up of the monetary value of fringe benefits in percent (100 / 65) used by the 1603 worksheet</t>
        </is>
      </c>
      <c r="F158" s="14" t="inlineStr">
        <is>
          <t>decimal</t>
        </is>
      </c>
      <c r="G158" s="14" t="inlineStr">
        <is>
          <t>153.8462</t>
        </is>
      </c>
      <c r="H158" s="14" t="inlineStr"/>
      <c r="I158" s="14" t="inlineStr">
        <is>
          <t>This sheet</t>
        </is>
      </c>
      <c r="J158" s="14" t="inlineStr">
        <is>
          <t>16-Jul-2027 (T-24 weeks)</t>
        </is>
      </c>
      <c r="K158" s="14" t="n"/>
      <c r="L158" s="14" t="n"/>
      <c r="M158" s="14" t="n"/>
      <c r="N158" s="14" t="inlineStr">
        <is>
          <t>Not started</t>
        </is>
      </c>
      <c r="O158" s="14" t="n"/>
    </row>
    <row r="159">
      <c r="A159" s="14" t="inlineStr">
        <is>
          <t>TAX_FBT_RATE</t>
        </is>
      </c>
      <c r="B159" s="14" t="inlineStr">
        <is>
          <t>Tax</t>
        </is>
      </c>
      <c r="C159" s="14" t="inlineStr">
        <is>
          <t>Accounting, Disbursement and ACSL</t>
        </is>
      </c>
      <c r="D159" s="14" t="inlineStr">
        <is>
          <t>Head, Comptrollership</t>
        </is>
      </c>
      <c r="E159" s="14" t="inlineStr">
        <is>
          <t>Fringe benefit tax rate in percent used by the 1603 worksheet</t>
        </is>
      </c>
      <c r="F159" s="14" t="inlineStr">
        <is>
          <t>decimal</t>
        </is>
      </c>
      <c r="G159" s="14" t="inlineStr">
        <is>
          <t>35</t>
        </is>
      </c>
      <c r="H159" s="14" t="inlineStr"/>
      <c r="I159" s="14" t="inlineStr">
        <is>
          <t>This sheet</t>
        </is>
      </c>
      <c r="J159" s="14" t="inlineStr">
        <is>
          <t>16-Jul-2027 (T-24 weeks)</t>
        </is>
      </c>
      <c r="K159" s="14" t="n"/>
      <c r="L159" s="14" t="n"/>
      <c r="M159" s="14" t="n"/>
      <c r="N159" s="14" t="inlineStr">
        <is>
          <t>Not started</t>
        </is>
      </c>
      <c r="O159" s="14" t="n"/>
    </row>
    <row r="160">
      <c r="A160" s="14" t="inlineStr">
        <is>
          <t>TAX_RCIT_RATE</t>
        </is>
      </c>
      <c r="B160" s="14" t="inlineStr">
        <is>
          <t>Tax</t>
        </is>
      </c>
      <c r="C160" s="14" t="inlineStr">
        <is>
          <t>Accounting, Disbursement and ACSL</t>
        </is>
      </c>
      <c r="D160" s="14" t="inlineStr">
        <is>
          <t>Head, Comptrollership</t>
        </is>
      </c>
      <c r="E160" s="14" t="inlineStr">
        <is>
          <t>Regular corporate income tax rate in percent used by the 1702-Q / 1702 worksheets</t>
        </is>
      </c>
      <c r="F160" s="14" t="inlineStr">
        <is>
          <t>decimal</t>
        </is>
      </c>
      <c r="G160" s="14" t="inlineStr">
        <is>
          <t>25</t>
        </is>
      </c>
      <c r="H160" s="14" t="inlineStr"/>
      <c r="I160" s="14" t="inlineStr">
        <is>
          <t>This sheet</t>
        </is>
      </c>
      <c r="J160" s="14" t="inlineStr">
        <is>
          <t>16-Jul-2027 (T-24 weeks)</t>
        </is>
      </c>
      <c r="K160" s="14" t="n"/>
      <c r="L160" s="14" t="n"/>
      <c r="M160" s="14" t="n"/>
      <c r="N160" s="14" t="inlineStr">
        <is>
          <t>Not started</t>
        </is>
      </c>
      <c r="O160" s="14" t="n"/>
    </row>
    <row r="161">
      <c r="A161" s="14" t="inlineStr">
        <is>
          <t>TAX_RDO_CODE</t>
        </is>
      </c>
      <c r="B161" s="14" t="inlineStr">
        <is>
          <t>Tax</t>
        </is>
      </c>
      <c r="C161" s="14" t="inlineStr">
        <is>
          <t>Accounting, Disbursement and ACSL</t>
        </is>
      </c>
      <c r="D161" s="14" t="inlineStr">
        <is>
          <t>Head, Comptrollership</t>
        </is>
      </c>
      <c r="E161" s="14" t="inlineStr">
        <is>
          <t>BIR Revenue District Office code of the withholding agent, printed on the SLS/SLP/QAP exports</t>
        </is>
      </c>
      <c r="F161" s="14" t="inlineStr">
        <is>
          <t>string</t>
        </is>
      </c>
      <c r="G161" s="14" t="inlineStr">
        <is>
          <t>050</t>
        </is>
      </c>
      <c r="H161" s="14" t="inlineStr"/>
      <c r="I161" s="14" t="inlineStr">
        <is>
          <t>This sheet</t>
        </is>
      </c>
      <c r="J161" s="14" t="inlineStr">
        <is>
          <t>16-Jul-2027 (T-24 weeks)</t>
        </is>
      </c>
      <c r="K161" s="14" t="n"/>
      <c r="L161" s="14" t="n"/>
      <c r="M161" s="14" t="n"/>
      <c r="N161" s="14" t="inlineStr">
        <is>
          <t>Not started</t>
        </is>
      </c>
      <c r="O161" s="14" t="n"/>
    </row>
  </sheetData>
  <autoFilter ref="A4:O161"/>
  <conditionalFormatting sqref="N5:N161">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O161">
    <cfRule type="expression" priority="6" dxfId="7">
      <formula>AND(MOD(ROW(),2)=0,$A5&lt;&gt;"")</formula>
    </cfRule>
  </conditionalFormatting>
  <dataValidations count="1">
    <dataValidation sqref="N5:N161"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58.xml><?xml version="1.0" encoding="utf-8"?>
<worksheet xmlns="http://schemas.openxmlformats.org/spreadsheetml/2006/main">
  <sheetPr>
    <outlinePr summaryBelow="1" summaryRight="1"/>
    <pageSetUpPr fitToPage="1"/>
  </sheetPr>
  <dimension ref="A1:O61"/>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20" customWidth="1" min="3" max="3"/>
    <col width="28" customWidth="1" min="4" max="4"/>
    <col width="60" customWidth="1" min="5" max="5"/>
    <col width="12" customWidth="1" min="6" max="6"/>
    <col width="22" customWidth="1" min="7" max="7"/>
    <col width="12" customWidth="1" min="8" max="8"/>
    <col width="30" customWidth="1" min="9" max="9"/>
    <col width="22" customWidth="1" min="10" max="10"/>
    <col width="22" customWidth="1" min="11" max="11"/>
    <col width="30" customWidth="1" min="12" max="12"/>
    <col width="20" customWidth="1" min="13" max="13"/>
    <col width="14" customWidth="1" min="14" max="14"/>
    <col width="36" customWidth="1" min="15" max="15"/>
  </cols>
  <sheetData>
    <row r="1" ht="26" customHeight="1">
      <c r="A1" s="25" t="inlineStr">
        <is>
          <t>Review list: sla and turnaround</t>
        </is>
      </c>
    </row>
    <row r="2">
      <c r="A2" s="27" t="inlineStr">
        <is>
          <t>← Back to Start here</t>
        </is>
      </c>
      <c r="B2" s="55" t="inlineStr">
        <is>
          <t>The SLA, turnaround, reminder, escalation and ageing parameters: days and hours of the work queues, insurer replies, reminders and alerts</t>
        </is>
      </c>
    </row>
    <row r="4" ht="30" customHeight="1">
      <c r="A4" s="11" t="inlineStr">
        <is>
          <t>Parameter</t>
        </is>
      </c>
      <c r="B4" s="11" t="inlineStr">
        <is>
          <t>Group</t>
        </is>
      </c>
      <c r="C4" s="11" t="inlineStr">
        <is>
          <t>Module</t>
        </is>
      </c>
      <c r="D4" s="11" t="inlineStr">
        <is>
          <t>Owner (BDOI unit)</t>
        </is>
      </c>
      <c r="E4" s="11" t="inlineStr">
        <is>
          <t>What it controls</t>
        </is>
      </c>
      <c r="F4" s="11" t="inlineStr">
        <is>
          <t>Type</t>
        </is>
      </c>
      <c r="G4" s="11" t="inlineStr">
        <is>
          <t>Value proposed</t>
        </is>
      </c>
      <c r="H4" s="11" t="inlineStr">
        <is>
          <t>Allowed range</t>
        </is>
      </c>
      <c r="I4" s="11" t="inlineStr">
        <is>
          <t>Given in</t>
        </is>
      </c>
      <c r="J4" s="11" t="inlineStr">
        <is>
          <t>Due</t>
        </is>
      </c>
      <c r="K4" s="11" t="inlineStr">
        <is>
          <t>Value wanted</t>
        </is>
      </c>
      <c r="L4" s="11" t="inlineStr">
        <is>
          <t>Reason</t>
        </is>
      </c>
      <c r="M4" s="11" t="inlineStr">
        <is>
          <t>Approved by</t>
        </is>
      </c>
      <c r="N4" s="11" t="inlineStr">
        <is>
          <t>Status</t>
        </is>
      </c>
      <c r="O4" s="11" t="inlineStr">
        <is>
          <t>BDOI comments</t>
        </is>
      </c>
    </row>
    <row r="5">
      <c r="A5" s="14" t="inlineStr">
        <is>
          <t>QUOTATION_EXPIRING_DAYS</t>
        </is>
      </c>
      <c r="B5" s="14" t="inlineStr">
        <is>
          <t>Broking</t>
        </is>
      </c>
      <c r="C5" s="14" t="inlineStr">
        <is>
          <t>New Business</t>
        </is>
      </c>
      <c r="D5" s="14" t="inlineStr">
        <is>
          <t>Product Owner, BDOI (New Business)</t>
        </is>
      </c>
      <c r="E5" s="14" t="inlineStr">
        <is>
          <t>Quotations whose validity ends within this many days are listed as expiring</t>
        </is>
      </c>
      <c r="F5" s="14" t="inlineStr">
        <is>
          <t>integer</t>
        </is>
      </c>
      <c r="G5" s="14" t="inlineStr">
        <is>
          <t>7</t>
        </is>
      </c>
      <c r="H5" s="14" t="inlineStr">
        <is>
          <t>1 to 90</t>
        </is>
      </c>
      <c r="I5" s="14" t="inlineStr">
        <is>
          <t>This sheet</t>
        </is>
      </c>
      <c r="J5" s="14" t="inlineStr">
        <is>
          <t>16-Jul-2027 (T-24 weeks)</t>
        </is>
      </c>
      <c r="K5" s="14" t="n"/>
      <c r="L5" s="14" t="n"/>
      <c r="M5" s="14" t="n"/>
      <c r="N5" s="14" t="inlineStr">
        <is>
          <t>Not started</t>
        </is>
      </c>
      <c r="O5" s="14" t="n"/>
    </row>
    <row r="6">
      <c r="A6" s="14" t="inlineStr">
        <is>
          <t>QUOTATION_SLIP_REPLY_DAYS</t>
        </is>
      </c>
      <c r="B6" s="14" t="inlineStr">
        <is>
          <t>Broking</t>
        </is>
      </c>
      <c r="C6" s="14" t="inlineStr">
        <is>
          <t>New Business</t>
        </is>
      </c>
      <c r="D6" s="14" t="inlineStr">
        <is>
          <t>Product Owner, BDOI (New Business)</t>
        </is>
      </c>
      <c r="E6" s="14" t="inlineStr">
        <is>
          <t>Days given to insurers to reply to a quotation slip</t>
        </is>
      </c>
      <c r="F6" s="14" t="inlineStr">
        <is>
          <t>integer</t>
        </is>
      </c>
      <c r="G6" s="14" t="inlineStr">
        <is>
          <t>5</t>
        </is>
      </c>
      <c r="H6" s="14" t="inlineStr">
        <is>
          <t>1 to 60</t>
        </is>
      </c>
      <c r="I6" s="14" t="inlineStr">
        <is>
          <t>This sheet</t>
        </is>
      </c>
      <c r="J6" s="14" t="inlineStr">
        <is>
          <t>16-Jul-2027 (T-24 weeks)</t>
        </is>
      </c>
      <c r="K6" s="14" t="n"/>
      <c r="L6" s="14" t="n"/>
      <c r="M6" s="14" t="n"/>
      <c r="N6" s="14" t="inlineStr">
        <is>
          <t>Not started</t>
        </is>
      </c>
      <c r="O6" s="14" t="n"/>
    </row>
    <row r="7">
      <c r="A7" s="14" t="inlineStr">
        <is>
          <t>QUOTATION_VALIDITY_DAYS</t>
        </is>
      </c>
      <c r="B7" s="14" t="inlineStr">
        <is>
          <t>Broking</t>
        </is>
      </c>
      <c r="C7" s="14" t="inlineStr">
        <is>
          <t>New Business</t>
        </is>
      </c>
      <c r="D7" s="14" t="inlineStr">
        <is>
          <t>Product Owner, BDOI (New Business)</t>
        </is>
      </c>
      <c r="E7" s="14" t="inlineStr">
        <is>
          <t>Default validity of a quotation in days from its creation</t>
        </is>
      </c>
      <c r="F7" s="14" t="inlineStr">
        <is>
          <t>integer</t>
        </is>
      </c>
      <c r="G7" s="14" t="inlineStr">
        <is>
          <t>30</t>
        </is>
      </c>
      <c r="H7" s="14" t="inlineStr">
        <is>
          <t>1 to 365</t>
        </is>
      </c>
      <c r="I7" s="14" t="inlineStr">
        <is>
          <t>This sheet</t>
        </is>
      </c>
      <c r="J7" s="14" t="inlineStr">
        <is>
          <t>16-Jul-2027 (T-24 weeks)</t>
        </is>
      </c>
      <c r="K7" s="14" t="n"/>
      <c r="L7" s="14" t="n"/>
      <c r="M7" s="14" t="n"/>
      <c r="N7" s="14" t="inlineStr">
        <is>
          <t>Not started</t>
        </is>
      </c>
      <c r="O7" s="14" t="n"/>
    </row>
    <row r="8">
      <c r="A8" s="14" t="inlineStr">
        <is>
          <t>RATE_EXCEPTION_VALIDITY_DAYS</t>
        </is>
      </c>
      <c r="B8" s="14" t="inlineStr">
        <is>
          <t>Broking</t>
        </is>
      </c>
      <c r="C8" s="14" t="inlineStr">
        <is>
          <t>New Business</t>
        </is>
      </c>
      <c r="D8" s="14" t="inlineStr">
        <is>
          <t>Product Owner, BDOI (New Business)</t>
        </is>
      </c>
      <c r="E8" s="14" t="inlineStr">
        <is>
          <t>Days a rate-scheme exception stays valid when the request gives no end date</t>
        </is>
      </c>
      <c r="F8" s="14" t="inlineStr">
        <is>
          <t>integer</t>
        </is>
      </c>
      <c r="G8" s="14" t="inlineStr">
        <is>
          <t>30</t>
        </is>
      </c>
      <c r="H8" s="14" t="inlineStr">
        <is>
          <t>1 to 3650</t>
        </is>
      </c>
      <c r="I8" s="14" t="inlineStr">
        <is>
          <t>This sheet</t>
        </is>
      </c>
      <c r="J8" s="14" t="inlineStr">
        <is>
          <t>16-Jul-2027 (T-24 weeks)</t>
        </is>
      </c>
      <c r="K8" s="14" t="n"/>
      <c r="L8" s="14" t="n"/>
      <c r="M8" s="14" t="n"/>
      <c r="N8" s="14" t="inlineStr">
        <is>
          <t>Not started</t>
        </is>
      </c>
      <c r="O8" s="14" t="n"/>
    </row>
    <row r="9">
      <c r="A9" s="14" t="inlineStr">
        <is>
          <t>BCL_AGEING_BUCKETS</t>
        </is>
      </c>
      <c r="B9" s="14" t="inlineStr">
        <is>
          <t>Claims Handling</t>
        </is>
      </c>
      <c r="C9" s="14" t="inlineStr">
        <is>
          <t>Claims</t>
        </is>
      </c>
      <c r="D9" s="14" t="inlineStr">
        <is>
          <t>Product Owner, Claims</t>
        </is>
      </c>
      <c r="E9" s="14" t="inlineStr">
        <is>
          <t>Upper bounds in days of the claims ageing buckets: 0-30, 31-60, 61-90, 91-180, 181+</t>
        </is>
      </c>
      <c r="F9" s="14" t="inlineStr">
        <is>
          <t>integer list</t>
        </is>
      </c>
      <c r="G9" s="14" t="inlineStr">
        <is>
          <t>30,60,90,180</t>
        </is>
      </c>
      <c r="H9" s="14" t="inlineStr">
        <is>
          <t>1 to 3650</t>
        </is>
      </c>
      <c r="I9" s="14" t="inlineStr">
        <is>
          <t>This sheet</t>
        </is>
      </c>
      <c r="J9" s="14" t="inlineStr">
        <is>
          <t>16-Jul-2027 (T-24 weeks)</t>
        </is>
      </c>
      <c r="K9" s="14" t="n"/>
      <c r="L9" s="14" t="n"/>
      <c r="M9" s="14" t="n"/>
      <c r="N9" s="14" t="inlineStr">
        <is>
          <t>Not started</t>
        </is>
      </c>
      <c r="O9" s="14" t="n"/>
    </row>
    <row r="10">
      <c r="A10" s="14" t="inlineStr">
        <is>
          <t>BCL_FOLLOW_UP_DAYS</t>
        </is>
      </c>
      <c r="B10" s="14" t="inlineStr">
        <is>
          <t>Claims Handling</t>
        </is>
      </c>
      <c r="C10" s="14" t="inlineStr">
        <is>
          <t>Claims</t>
        </is>
      </c>
      <c r="D10" s="14" t="inlineStr">
        <is>
          <t>Product Owner, Claims</t>
        </is>
      </c>
      <c r="E10" s="14" t="inlineStr">
        <is>
          <t>Days from a status change to the next follow-up date when the status has no follow up days attribute</t>
        </is>
      </c>
      <c r="F10" s="14" t="inlineStr">
        <is>
          <t>integer</t>
        </is>
      </c>
      <c r="G10" s="14" t="inlineStr">
        <is>
          <t>7</t>
        </is>
      </c>
      <c r="H10" s="14" t="inlineStr">
        <is>
          <t>1 to 365</t>
        </is>
      </c>
      <c r="I10" s="14" t="inlineStr">
        <is>
          <t>This sheet</t>
        </is>
      </c>
      <c r="J10" s="14" t="inlineStr">
        <is>
          <t>16-Jul-2027 (T-24 weeks)</t>
        </is>
      </c>
      <c r="K10" s="14" t="n"/>
      <c r="L10" s="14" t="n"/>
      <c r="M10" s="14" t="n"/>
      <c r="N10" s="14" t="inlineStr">
        <is>
          <t>Not started</t>
        </is>
      </c>
      <c r="O10" s="14" t="n"/>
    </row>
    <row r="11">
      <c r="A11" s="14" t="inlineStr">
        <is>
          <t>BCL_PAST_DUE_DAYS</t>
        </is>
      </c>
      <c r="B11" s="14" t="inlineStr">
        <is>
          <t>Claims Handling</t>
        </is>
      </c>
      <c r="C11" s="14" t="inlineStr">
        <is>
          <t>Claims</t>
        </is>
      </c>
      <c r="D11" s="14" t="inlineStr">
        <is>
          <t>Product Owner, Claims</t>
        </is>
      </c>
      <c r="E11" s="14" t="inlineStr">
        <is>
          <t>Age in days above which an outstanding claim is past due: report and alert BCL_CLAIM_PAST_DUE</t>
        </is>
      </c>
      <c r="F11" s="14" t="inlineStr">
        <is>
          <t>integer</t>
        </is>
      </c>
      <c r="G11" s="14" t="inlineStr">
        <is>
          <t>90</t>
        </is>
      </c>
      <c r="H11" s="14" t="inlineStr">
        <is>
          <t>1 to 3650</t>
        </is>
      </c>
      <c r="I11" s="14" t="inlineStr">
        <is>
          <t>This sheet</t>
        </is>
      </c>
      <c r="J11" s="14" t="inlineStr">
        <is>
          <t>16-Jul-2027 (T-24 weeks)</t>
        </is>
      </c>
      <c r="K11" s="14" t="n"/>
      <c r="L11" s="14" t="n"/>
      <c r="M11" s="14" t="n"/>
      <c r="N11" s="14" t="inlineStr">
        <is>
          <t>Not started</t>
        </is>
      </c>
      <c r="O11" s="14" t="n"/>
    </row>
    <row r="12">
      <c r="A12" s="14" t="inlineStr">
        <is>
          <t>CLX_AGING_BASIS</t>
        </is>
      </c>
      <c r="B12" s="14" t="inlineStr">
        <is>
          <t>Collections</t>
        </is>
      </c>
      <c r="C12" s="14" t="inlineStr">
        <is>
          <t>Collections</t>
        </is>
      </c>
      <c r="D12" s="14" t="inlineStr">
        <is>
          <t>VP and Head, BDOI Operations (Collections)</t>
        </is>
      </c>
      <c r="E12" s="14" t="inlineStr">
        <is>
          <t>Date the aging of a collection item counts from: BOOKING or INCEPTION</t>
        </is>
      </c>
      <c r="F12" s="14" t="inlineStr">
        <is>
          <t>string</t>
        </is>
      </c>
      <c r="G12" s="14" t="inlineStr">
        <is>
          <t>BOOKING</t>
        </is>
      </c>
      <c r="H12" s="14" t="inlineStr"/>
      <c r="I12" s="14" t="inlineStr">
        <is>
          <t>This sheet</t>
        </is>
      </c>
      <c r="J12" s="14" t="inlineStr">
        <is>
          <t>16-Jul-2027 (T-24 weeks)</t>
        </is>
      </c>
      <c r="K12" s="14" t="n"/>
      <c r="L12" s="14" t="n"/>
      <c r="M12" s="14" t="n"/>
      <c r="N12" s="14" t="inlineStr">
        <is>
          <t>Not started</t>
        </is>
      </c>
      <c r="O12" s="14" t="n"/>
    </row>
    <row r="13">
      <c r="A13" s="14" t="inlineStr">
        <is>
          <t>CLX_AGING_BRACKETS</t>
        </is>
      </c>
      <c r="B13" s="14" t="inlineStr">
        <is>
          <t>Collections</t>
        </is>
      </c>
      <c r="C13" s="14" t="inlineStr">
        <is>
          <t>Collections</t>
        </is>
      </c>
      <c r="D13" s="14" t="inlineStr">
        <is>
          <t>VP and Head, BDOI Operations (Collections)</t>
        </is>
      </c>
      <c r="E13" s="14" t="inlineStr">
        <is>
          <t>Aging brackets of the worklist, the home chart and the reports, in days</t>
        </is>
      </c>
      <c r="F13" s="14" t="inlineStr">
        <is>
          <t>code list</t>
        </is>
      </c>
      <c r="G13" s="14" t="inlineStr">
        <is>
          <t>0-30,31-45,46-60,61-90,91-120,121+</t>
        </is>
      </c>
      <c r="H13" s="14" t="inlineStr"/>
      <c r="I13" s="14" t="inlineStr">
        <is>
          <t>This sheet</t>
        </is>
      </c>
      <c r="J13" s="14" t="inlineStr">
        <is>
          <t>16-Jul-2027 (T-24 weeks)</t>
        </is>
      </c>
      <c r="K13" s="14" t="n"/>
      <c r="L13" s="14" t="n"/>
      <c r="M13" s="14" t="n"/>
      <c r="N13" s="14" t="inlineStr">
        <is>
          <t>Not started</t>
        </is>
      </c>
      <c r="O13" s="14" t="n"/>
    </row>
    <row r="14">
      <c r="A14" s="14" t="inlineStr">
        <is>
          <t>CLX_PROMISE_GRACE_DAYS</t>
        </is>
      </c>
      <c r="B14" s="14" t="inlineStr">
        <is>
          <t>Collections</t>
        </is>
      </c>
      <c r="C14" s="14" t="inlineStr">
        <is>
          <t>Collections</t>
        </is>
      </c>
      <c r="D14" s="14" t="inlineStr">
        <is>
          <t>VP and Head, BDOI Operations (Collections)</t>
        </is>
      </c>
      <c r="E14" s="14" t="inlineStr">
        <is>
          <t>Days after the promised date before an unpaid promise to pay is broken</t>
        </is>
      </c>
      <c r="F14" s="14" t="inlineStr">
        <is>
          <t>integer</t>
        </is>
      </c>
      <c r="G14" s="14" t="inlineStr">
        <is>
          <t>0</t>
        </is>
      </c>
      <c r="H14" s="14" t="inlineStr">
        <is>
          <t>0 to 30</t>
        </is>
      </c>
      <c r="I14" s="14" t="inlineStr">
        <is>
          <t>This sheet</t>
        </is>
      </c>
      <c r="J14" s="14" t="inlineStr">
        <is>
          <t>16-Jul-2027 (T-24 weeks)</t>
        </is>
      </c>
      <c r="K14" s="14" t="n"/>
      <c r="L14" s="14" t="n"/>
      <c r="M14" s="14" t="n"/>
      <c r="N14" s="14" t="inlineStr">
        <is>
          <t>Not started</t>
        </is>
      </c>
      <c r="O14" s="14" t="n"/>
    </row>
    <row r="15">
      <c r="A15" s="14" t="inlineStr">
        <is>
          <t>EB_COMPARATIVE_DAYS</t>
        </is>
      </c>
      <c r="B15" s="14" t="inlineStr">
        <is>
          <t>Employee Benefits</t>
        </is>
      </c>
      <c r="C15" s="14" t="inlineStr">
        <is>
          <t>Employee Benefits</t>
        </is>
      </c>
      <c r="D15" s="14" t="inlineStr">
        <is>
          <t>Product Owner, Employee Benefits</t>
        </is>
      </c>
      <c r="E15" s="14" t="inlineStr">
        <is>
          <t>Working days from the last proposal to the comparative sent to the client</t>
        </is>
      </c>
      <c r="F15" s="14" t="inlineStr">
        <is>
          <t>integer</t>
        </is>
      </c>
      <c r="G15" s="14" t="inlineStr">
        <is>
          <t>3</t>
        </is>
      </c>
      <c r="H15" s="14" t="inlineStr">
        <is>
          <t>1 to 30</t>
        </is>
      </c>
      <c r="I15" s="14" t="inlineStr">
        <is>
          <t>This sheet</t>
        </is>
      </c>
      <c r="J15" s="14" t="inlineStr">
        <is>
          <t>16-Jul-2027 (T-24 weeks)</t>
        </is>
      </c>
      <c r="K15" s="14" t="n"/>
      <c r="L15" s="14" t="n"/>
      <c r="M15" s="14" t="n"/>
      <c r="N15" s="14" t="inlineStr">
        <is>
          <t>Not started</t>
        </is>
      </c>
      <c r="O15" s="14" t="n"/>
    </row>
    <row r="16">
      <c r="A16" s="14" t="inlineStr">
        <is>
          <t>EB_FOLLOWUP_DAYS</t>
        </is>
      </c>
      <c r="B16" s="14" t="inlineStr">
        <is>
          <t>Employee Benefits</t>
        </is>
      </c>
      <c r="C16" s="14" t="inlineStr">
        <is>
          <t>Employee Benefits</t>
        </is>
      </c>
      <c r="D16" s="14" t="inlineStr">
        <is>
          <t>Product Owner, Employee Benefits</t>
        </is>
      </c>
      <c r="E16" s="14" t="inlineStr">
        <is>
          <t>Working days between follow-ups of a pending tracked item</t>
        </is>
      </c>
      <c r="F16" s="14" t="inlineStr">
        <is>
          <t>integer</t>
        </is>
      </c>
      <c r="G16" s="14" t="inlineStr">
        <is>
          <t>5</t>
        </is>
      </c>
      <c r="H16" s="14" t="inlineStr">
        <is>
          <t>1 to 60</t>
        </is>
      </c>
      <c r="I16" s="14" t="inlineStr">
        <is>
          <t>This sheet</t>
        </is>
      </c>
      <c r="J16" s="14" t="inlineStr">
        <is>
          <t>16-Jul-2027 (T-24 weeks)</t>
        </is>
      </c>
      <c r="K16" s="14" t="n"/>
      <c r="L16" s="14" t="n"/>
      <c r="M16" s="14" t="n"/>
      <c r="N16" s="14" t="inlineStr">
        <is>
          <t>Not started</t>
        </is>
      </c>
      <c r="O16" s="14" t="n"/>
    </row>
    <row r="17">
      <c r="A17" s="14" t="inlineStr">
        <is>
          <t>EB_FRANCHISE_ADVICE_DAYS</t>
        </is>
      </c>
      <c r="B17" s="14" t="inlineStr">
        <is>
          <t>Employee Benefits</t>
        </is>
      </c>
      <c r="C17" s="14" t="inlineStr">
        <is>
          <t>Employee Benefits</t>
        </is>
      </c>
      <c r="D17" s="14" t="inlineStr">
        <is>
          <t>Product Owner, Employee Benefits</t>
        </is>
      </c>
      <c r="E17" s="14" t="inlineStr">
        <is>
          <t>Working days to advise the client of the franchise outcome</t>
        </is>
      </c>
      <c r="F17" s="14" t="inlineStr">
        <is>
          <t>integer</t>
        </is>
      </c>
      <c r="G17" s="14" t="inlineStr">
        <is>
          <t>2</t>
        </is>
      </c>
      <c r="H17" s="14" t="inlineStr">
        <is>
          <t>1 to 30</t>
        </is>
      </c>
      <c r="I17" s="14" t="inlineStr">
        <is>
          <t>This sheet</t>
        </is>
      </c>
      <c r="J17" s="14" t="inlineStr">
        <is>
          <t>16-Jul-2027 (T-24 weeks)</t>
        </is>
      </c>
      <c r="K17" s="14" t="n"/>
      <c r="L17" s="14" t="n"/>
      <c r="M17" s="14" t="n"/>
      <c r="N17" s="14" t="inlineStr">
        <is>
          <t>Not started</t>
        </is>
      </c>
      <c r="O17" s="14" t="n"/>
    </row>
    <row r="18">
      <c r="A18" s="14" t="inlineStr">
        <is>
          <t>EB_FRANCHISE_GRACE_DAYS</t>
        </is>
      </c>
      <c r="B18" s="14" t="inlineStr">
        <is>
          <t>Employee Benefits</t>
        </is>
      </c>
      <c r="C18" s="14" t="inlineStr">
        <is>
          <t>Employee Benefits</t>
        </is>
      </c>
      <c r="D18" s="14" t="inlineStr">
        <is>
          <t>Product Owner, Employee Benefits</t>
        </is>
      </c>
      <c r="E18" s="14" t="inlineStr">
        <is>
          <t>Working days after the franchise decision date before an undecided franchise request expires</t>
        </is>
      </c>
      <c r="F18" s="14" t="inlineStr">
        <is>
          <t>integer</t>
        </is>
      </c>
      <c r="G18" s="14" t="inlineStr">
        <is>
          <t>2</t>
        </is>
      </c>
      <c r="H18" s="14" t="inlineStr">
        <is>
          <t>0 to 30</t>
        </is>
      </c>
      <c r="I18" s="14" t="inlineStr">
        <is>
          <t>This sheet</t>
        </is>
      </c>
      <c r="J18" s="14" t="inlineStr">
        <is>
          <t>16-Jul-2027 (T-24 weeks)</t>
        </is>
      </c>
      <c r="K18" s="14" t="n"/>
      <c r="L18" s="14" t="n"/>
      <c r="M18" s="14" t="n"/>
      <c r="N18" s="14" t="inlineStr">
        <is>
          <t>Not started</t>
        </is>
      </c>
      <c r="O18" s="14" t="n"/>
    </row>
    <row r="19">
      <c r="A19" s="14" t="inlineStr">
        <is>
          <t>EB_FRANCHISE_TAT_DAYS</t>
        </is>
      </c>
      <c r="B19" s="14" t="inlineStr">
        <is>
          <t>Employee Benefits</t>
        </is>
      </c>
      <c r="C19" s="14" t="inlineStr">
        <is>
          <t>Employee Benefits</t>
        </is>
      </c>
      <c r="D19" s="14" t="inlineStr">
        <is>
          <t>Product Owner, Employee Benefits</t>
        </is>
      </c>
      <c r="E19" s="14" t="inlineStr">
        <is>
          <t>Working days for the insurer franchise decision</t>
        </is>
      </c>
      <c r="F19" s="14" t="inlineStr">
        <is>
          <t>integer</t>
        </is>
      </c>
      <c r="G19" s="14" t="inlineStr">
        <is>
          <t>5</t>
        </is>
      </c>
      <c r="H19" s="14" t="inlineStr">
        <is>
          <t>1 to 60</t>
        </is>
      </c>
      <c r="I19" s="14" t="inlineStr">
        <is>
          <t>This sheet</t>
        </is>
      </c>
      <c r="J19" s="14" t="inlineStr">
        <is>
          <t>16-Jul-2027 (T-24 weeks)</t>
        </is>
      </c>
      <c r="K19" s="14" t="n"/>
      <c r="L19" s="14" t="n"/>
      <c r="M19" s="14" t="n"/>
      <c r="N19" s="14" t="inlineStr">
        <is>
          <t>Not started</t>
        </is>
      </c>
      <c r="O19" s="14" t="n"/>
    </row>
    <row r="20">
      <c r="A20" s="14" t="inlineStr">
        <is>
          <t>EB_PROPOSAL_REPLY_DAYS</t>
        </is>
      </c>
      <c r="B20" s="14" t="inlineStr">
        <is>
          <t>Employee Benefits</t>
        </is>
      </c>
      <c r="C20" s="14" t="inlineStr">
        <is>
          <t>Employee Benefits</t>
        </is>
      </c>
      <c r="D20" s="14" t="inlineStr">
        <is>
          <t>Product Owner, Employee Benefits</t>
        </is>
      </c>
      <c r="E20" s="14" t="inlineStr">
        <is>
          <t>Working days an insurer has to answer a request for proposal</t>
        </is>
      </c>
      <c r="F20" s="14" t="inlineStr">
        <is>
          <t>integer</t>
        </is>
      </c>
      <c r="G20" s="14" t="inlineStr">
        <is>
          <t>5</t>
        </is>
      </c>
      <c r="H20" s="14" t="inlineStr">
        <is>
          <t>1 to 60</t>
        </is>
      </c>
      <c r="I20" s="14" t="inlineStr">
        <is>
          <t>This sheet</t>
        </is>
      </c>
      <c r="J20" s="14" t="inlineStr">
        <is>
          <t>16-Jul-2027 (T-24 weeks)</t>
        </is>
      </c>
      <c r="K20" s="14" t="n"/>
      <c r="L20" s="14" t="n"/>
      <c r="M20" s="14" t="n"/>
      <c r="N20" s="14" t="inlineStr">
        <is>
          <t>Not started</t>
        </is>
      </c>
      <c r="O20" s="14" t="n"/>
    </row>
    <row r="21">
      <c r="A21" s="14" t="inlineStr">
        <is>
          <t>EB_RA_LEAD_DAYS</t>
        </is>
      </c>
      <c r="B21" s="14" t="inlineStr">
        <is>
          <t>Employee Benefits</t>
        </is>
      </c>
      <c r="C21" s="14" t="inlineStr">
        <is>
          <t>Employee Benefits</t>
        </is>
      </c>
      <c r="D21" s="14" t="inlineStr">
        <is>
          <t>Product Owner, Employee Benefits</t>
        </is>
      </c>
      <c r="E21" s="14" t="inlineStr">
        <is>
          <t>Days before expiry the renewal advice is sent and the renewal cycle opened</t>
        </is>
      </c>
      <c r="F21" s="14" t="inlineStr">
        <is>
          <t>integer</t>
        </is>
      </c>
      <c r="G21" s="14" t="inlineStr">
        <is>
          <t>135</t>
        </is>
      </c>
      <c r="H21" s="14" t="inlineStr">
        <is>
          <t>1 to 365</t>
        </is>
      </c>
      <c r="I21" s="14" t="inlineStr">
        <is>
          <t>This sheet</t>
        </is>
      </c>
      <c r="J21" s="14" t="inlineStr">
        <is>
          <t>16-Jul-2027 (T-24 weeks)</t>
        </is>
      </c>
      <c r="K21" s="14" t="n"/>
      <c r="L21" s="14" t="n"/>
      <c r="M21" s="14" t="n"/>
      <c r="N21" s="14" t="inlineStr">
        <is>
          <t>Not started</t>
        </is>
      </c>
      <c r="O21" s="14" t="n"/>
    </row>
    <row r="22">
      <c r="A22" s="14" t="inlineStr">
        <is>
          <t>EB_RA_REMINDER_DAYS</t>
        </is>
      </c>
      <c r="B22" s="14" t="inlineStr">
        <is>
          <t>Employee Benefits</t>
        </is>
      </c>
      <c r="C22" s="14" t="inlineStr">
        <is>
          <t>Employee Benefits</t>
        </is>
      </c>
      <c r="D22" s="14" t="inlineStr">
        <is>
          <t>Product Owner, Employee Benefits</t>
        </is>
      </c>
      <c r="E22" s="14" t="inlineStr">
        <is>
          <t>Days before expiry of the RA reminders while no feedback is recorded</t>
        </is>
      </c>
      <c r="F22" s="14" t="inlineStr">
        <is>
          <t>integer list</t>
        </is>
      </c>
      <c r="G22" s="14" t="inlineStr">
        <is>
          <t>90,105,120</t>
        </is>
      </c>
      <c r="H22" s="14" t="inlineStr">
        <is>
          <t>1 to 365</t>
        </is>
      </c>
      <c r="I22" s="14" t="inlineStr">
        <is>
          <t>This sheet</t>
        </is>
      </c>
      <c r="J22" s="14" t="inlineStr">
        <is>
          <t>16-Jul-2027 (T-24 weeks)</t>
        </is>
      </c>
      <c r="K22" s="14" t="n"/>
      <c r="L22" s="14" t="n"/>
      <c r="M22" s="14" t="n"/>
      <c r="N22" s="14" t="inlineStr">
        <is>
          <t>Not started</t>
        </is>
      </c>
      <c r="O22" s="14" t="n"/>
    </row>
    <row r="23">
      <c r="A23" s="14" t="inlineStr">
        <is>
          <t>EB_TAT_BOOKING</t>
        </is>
      </c>
      <c r="B23" s="14" t="inlineStr">
        <is>
          <t>Employee Benefits</t>
        </is>
      </c>
      <c r="C23" s="14" t="inlineStr">
        <is>
          <t>Employee Benefits</t>
        </is>
      </c>
      <c r="D23" s="14" t="inlineStr">
        <is>
          <t>Product Owner, Employee Benefits</t>
        </is>
      </c>
      <c r="E23" s="14" t="inlineStr">
        <is>
          <t>TAT: working days to book once billing is validated</t>
        </is>
      </c>
      <c r="F23" s="14" t="inlineStr">
        <is>
          <t>integer</t>
        </is>
      </c>
      <c r="G23" s="14" t="inlineStr">
        <is>
          <t>3</t>
        </is>
      </c>
      <c r="H23" s="14" t="inlineStr">
        <is>
          <t>1 to 60</t>
        </is>
      </c>
      <c r="I23" s="14" t="inlineStr">
        <is>
          <t>This sheet</t>
        </is>
      </c>
      <c r="J23" s="14" t="inlineStr">
        <is>
          <t>16-Jul-2027 (T-24 weeks)</t>
        </is>
      </c>
      <c r="K23" s="14" t="n"/>
      <c r="L23" s="14" t="n"/>
      <c r="M23" s="14" t="n"/>
      <c r="N23" s="14" t="inlineStr">
        <is>
          <t>Not started</t>
        </is>
      </c>
      <c r="O23" s="14" t="n"/>
    </row>
    <row r="24">
      <c r="A24" s="14" t="inlineStr">
        <is>
          <t>EB_TAT_CARDS</t>
        </is>
      </c>
      <c r="B24" s="14" t="inlineStr">
        <is>
          <t>Employee Benefits</t>
        </is>
      </c>
      <c r="C24" s="14" t="inlineStr">
        <is>
          <t>Employee Benefits</t>
        </is>
      </c>
      <c r="D24" s="14" t="inlineStr">
        <is>
          <t>Product Owner, Employee Benefits</t>
        </is>
      </c>
      <c r="E24" s="14" t="inlineStr">
        <is>
          <t>TAT: working days to submit, validate and release member cards</t>
        </is>
      </c>
      <c r="F24" s="14" t="inlineStr">
        <is>
          <t>integer</t>
        </is>
      </c>
      <c r="G24" s="14" t="inlineStr">
        <is>
          <t>10</t>
        </is>
      </c>
      <c r="H24" s="14" t="inlineStr">
        <is>
          <t>1 to 60</t>
        </is>
      </c>
      <c r="I24" s="14" t="inlineStr">
        <is>
          <t>This sheet</t>
        </is>
      </c>
      <c r="J24" s="14" t="inlineStr">
        <is>
          <t>16-Jul-2027 (T-24 weeks)</t>
        </is>
      </c>
      <c r="K24" s="14" t="n"/>
      <c r="L24" s="14" t="n"/>
      <c r="M24" s="14" t="n"/>
      <c r="N24" s="14" t="inlineStr">
        <is>
          <t>Not started</t>
        </is>
      </c>
      <c r="O24" s="14" t="n"/>
    </row>
    <row r="25">
      <c r="A25" s="14" t="inlineStr">
        <is>
          <t>EB_TAT_COC</t>
        </is>
      </c>
      <c r="B25" s="14" t="inlineStr">
        <is>
          <t>Employee Benefits</t>
        </is>
      </c>
      <c r="C25" s="14" t="inlineStr">
        <is>
          <t>Employee Benefits</t>
        </is>
      </c>
      <c r="D25" s="14" t="inlineStr">
        <is>
          <t>Product Owner, Employee Benefits</t>
        </is>
      </c>
      <c r="E25" s="14" t="inlineStr">
        <is>
          <t>TAT: working days for the insurer certificate of cover</t>
        </is>
      </c>
      <c r="F25" s="14" t="inlineStr">
        <is>
          <t>integer</t>
        </is>
      </c>
      <c r="G25" s="14" t="inlineStr">
        <is>
          <t>1</t>
        </is>
      </c>
      <c r="H25" s="14" t="inlineStr">
        <is>
          <t>1 to 60</t>
        </is>
      </c>
      <c r="I25" s="14" t="inlineStr">
        <is>
          <t>This sheet</t>
        </is>
      </c>
      <c r="J25" s="14" t="inlineStr">
        <is>
          <t>16-Jul-2027 (T-24 weeks)</t>
        </is>
      </c>
      <c r="K25" s="14" t="n"/>
      <c r="L25" s="14" t="n"/>
      <c r="M25" s="14" t="n"/>
      <c r="N25" s="14" t="inlineStr">
        <is>
          <t>Not started</t>
        </is>
      </c>
      <c r="O25" s="14" t="n"/>
    </row>
    <row r="26">
      <c r="A26" s="14" t="inlineStr">
        <is>
          <t>EB_TAT_COLLECTION</t>
        </is>
      </c>
      <c r="B26" s="14" t="inlineStr">
        <is>
          <t>Employee Benefits</t>
        </is>
      </c>
      <c r="C26" s="14" t="inlineStr">
        <is>
          <t>Employee Benefits</t>
        </is>
      </c>
      <c r="D26" s="14" t="inlineStr">
        <is>
          <t>Product Owner, Employee Benefits</t>
        </is>
      </c>
      <c r="E26" s="14" t="inlineStr">
        <is>
          <t>TAT: working days to collect the premium upon SOA / billing receipt</t>
        </is>
      </c>
      <c r="F26" s="14" t="inlineStr">
        <is>
          <t>integer</t>
        </is>
      </c>
      <c r="G26" s="14" t="inlineStr">
        <is>
          <t>2</t>
        </is>
      </c>
      <c r="H26" s="14" t="inlineStr">
        <is>
          <t>1 to 60</t>
        </is>
      </c>
      <c r="I26" s="14" t="inlineStr">
        <is>
          <t>This sheet</t>
        </is>
      </c>
      <c r="J26" s="14" t="inlineStr">
        <is>
          <t>16-Jul-2027 (T-24 weeks)</t>
        </is>
      </c>
      <c r="K26" s="14" t="n"/>
      <c r="L26" s="14" t="n"/>
      <c r="M26" s="14" t="n"/>
      <c r="N26" s="14" t="inlineStr">
        <is>
          <t>Not started</t>
        </is>
      </c>
      <c r="O26" s="14" t="n"/>
    </row>
    <row r="27">
      <c r="A27" s="14" t="inlineStr">
        <is>
          <t>EB_TAT_CONFIRMATION</t>
        </is>
      </c>
      <c r="B27" s="14" t="inlineStr">
        <is>
          <t>Employee Benefits</t>
        </is>
      </c>
      <c r="C27" s="14" t="inlineStr">
        <is>
          <t>Employee Benefits</t>
        </is>
      </c>
      <c r="D27" s="14" t="inlineStr">
        <is>
          <t>Product Owner, Employee Benefits</t>
        </is>
      </c>
      <c r="E27" s="14" t="inlineStr">
        <is>
          <t>TAT: working days to send the client confirmation to the insurer</t>
        </is>
      </c>
      <c r="F27" s="14" t="inlineStr">
        <is>
          <t>integer</t>
        </is>
      </c>
      <c r="G27" s="14" t="inlineStr">
        <is>
          <t>2</t>
        </is>
      </c>
      <c r="H27" s="14" t="inlineStr">
        <is>
          <t>1 to 60</t>
        </is>
      </c>
      <c r="I27" s="14" t="inlineStr">
        <is>
          <t>This sheet</t>
        </is>
      </c>
      <c r="J27" s="14" t="inlineStr">
        <is>
          <t>16-Jul-2027 (T-24 weeks)</t>
        </is>
      </c>
      <c r="K27" s="14" t="n"/>
      <c r="L27" s="14" t="n"/>
      <c r="M27" s="14" t="n"/>
      <c r="N27" s="14" t="inlineStr">
        <is>
          <t>Not started</t>
        </is>
      </c>
      <c r="O27" s="14" t="n"/>
    </row>
    <row r="28">
      <c r="A28" s="14" t="inlineStr">
        <is>
          <t>EB_TAT_FRANCHISE_SUBMIT</t>
        </is>
      </c>
      <c r="B28" s="14" t="inlineStr">
        <is>
          <t>Employee Benefits</t>
        </is>
      </c>
      <c r="C28" s="14" t="inlineStr">
        <is>
          <t>Employee Benefits</t>
        </is>
      </c>
      <c r="D28" s="14" t="inlineStr">
        <is>
          <t>Product Owner, Employee Benefits</t>
        </is>
      </c>
      <c r="E28" s="14" t="inlineStr">
        <is>
          <t>TAT: working days to submit a franchise request upon complete documents</t>
        </is>
      </c>
      <c r="F28" s="14" t="inlineStr">
        <is>
          <t>integer</t>
        </is>
      </c>
      <c r="G28" s="14" t="inlineStr">
        <is>
          <t>3</t>
        </is>
      </c>
      <c r="H28" s="14" t="inlineStr">
        <is>
          <t>1 to 60</t>
        </is>
      </c>
      <c r="I28" s="14" t="inlineStr">
        <is>
          <t>This sheet</t>
        </is>
      </c>
      <c r="J28" s="14" t="inlineStr">
        <is>
          <t>16-Jul-2027 (T-24 weeks)</t>
        </is>
      </c>
      <c r="K28" s="14" t="n"/>
      <c r="L28" s="14" t="n"/>
      <c r="M28" s="14" t="n"/>
      <c r="N28" s="14" t="inlineStr">
        <is>
          <t>Not started</t>
        </is>
      </c>
      <c r="O28" s="14" t="n"/>
    </row>
    <row r="29">
      <c r="A29" s="14" t="inlineStr">
        <is>
          <t>EB_TAT_MEMBER_CHANGE</t>
        </is>
      </c>
      <c r="B29" s="14" t="inlineStr">
        <is>
          <t>Employee Benefits</t>
        </is>
      </c>
      <c r="C29" s="14" t="inlineStr">
        <is>
          <t>Employee Benefits</t>
        </is>
      </c>
      <c r="D29" s="14" t="inlineStr">
        <is>
          <t>Product Owner, Employee Benefits</t>
        </is>
      </c>
      <c r="E29" s="14" t="inlineStr">
        <is>
          <t>TAT: working days per step of an inclusion / deletion</t>
        </is>
      </c>
      <c r="F29" s="14" t="inlineStr">
        <is>
          <t>integer</t>
        </is>
      </c>
      <c r="G29" s="14" t="inlineStr">
        <is>
          <t>3</t>
        </is>
      </c>
      <c r="H29" s="14" t="inlineStr">
        <is>
          <t>1 to 60</t>
        </is>
      </c>
      <c r="I29" s="14" t="inlineStr">
        <is>
          <t>This sheet</t>
        </is>
      </c>
      <c r="J29" s="14" t="inlineStr">
        <is>
          <t>16-Jul-2027 (T-24 weeks)</t>
        </is>
      </c>
      <c r="K29" s="14" t="n"/>
      <c r="L29" s="14" t="n"/>
      <c r="M29" s="14" t="n"/>
      <c r="N29" s="14" t="inlineStr">
        <is>
          <t>Not started</t>
        </is>
      </c>
      <c r="O29" s="14" t="n"/>
    </row>
    <row r="30">
      <c r="A30" s="14" t="inlineStr">
        <is>
          <t>EB_TAT_OR</t>
        </is>
      </c>
      <c r="B30" s="14" t="inlineStr">
        <is>
          <t>Employee Benefits</t>
        </is>
      </c>
      <c r="C30" s="14" t="inlineStr">
        <is>
          <t>Employee Benefits</t>
        </is>
      </c>
      <c r="D30" s="14" t="inlineStr">
        <is>
          <t>Product Owner, Employee Benefits</t>
        </is>
      </c>
      <c r="E30" s="14" t="inlineStr">
        <is>
          <t>TAT: working days for the insurer to submit the official receipt</t>
        </is>
      </c>
      <c r="F30" s="14" t="inlineStr">
        <is>
          <t>integer</t>
        </is>
      </c>
      <c r="G30" s="14" t="inlineStr">
        <is>
          <t>5</t>
        </is>
      </c>
      <c r="H30" s="14" t="inlineStr">
        <is>
          <t>1 to 60</t>
        </is>
      </c>
      <c r="I30" s="14" t="inlineStr">
        <is>
          <t>This sheet</t>
        </is>
      </c>
      <c r="J30" s="14" t="inlineStr">
        <is>
          <t>16-Jul-2027 (T-24 weeks)</t>
        </is>
      </c>
      <c r="K30" s="14" t="n"/>
      <c r="L30" s="14" t="n"/>
      <c r="M30" s="14" t="n"/>
      <c r="N30" s="14" t="inlineStr">
        <is>
          <t>Not started</t>
        </is>
      </c>
      <c r="O30" s="14" t="n"/>
    </row>
    <row r="31">
      <c r="A31" s="14" t="inlineStr">
        <is>
          <t>EB_TAT_PLACEMENT_REQUEST</t>
        </is>
      </c>
      <c r="B31" s="14" t="inlineStr">
        <is>
          <t>Employee Benefits</t>
        </is>
      </c>
      <c r="C31" s="14" t="inlineStr">
        <is>
          <t>Employee Benefits</t>
        </is>
      </c>
      <c r="D31" s="14" t="inlineStr">
        <is>
          <t>Product Owner, Employee Benefits</t>
        </is>
      </c>
      <c r="E31" s="14" t="inlineStr">
        <is>
          <t>TAT: working days to request placement and booking upon client confirmation</t>
        </is>
      </c>
      <c r="F31" s="14" t="inlineStr">
        <is>
          <t>integer</t>
        </is>
      </c>
      <c r="G31" s="14" t="inlineStr">
        <is>
          <t>5</t>
        </is>
      </c>
      <c r="H31" s="14" t="inlineStr">
        <is>
          <t>1 to 60</t>
        </is>
      </c>
      <c r="I31" s="14" t="inlineStr">
        <is>
          <t>This sheet</t>
        </is>
      </c>
      <c r="J31" s="14" t="inlineStr">
        <is>
          <t>16-Jul-2027 (T-24 weeks)</t>
        </is>
      </c>
      <c r="K31" s="14" t="n"/>
      <c r="L31" s="14" t="n"/>
      <c r="M31" s="14" t="n"/>
      <c r="N31" s="14" t="inlineStr">
        <is>
          <t>Not started</t>
        </is>
      </c>
      <c r="O31" s="14" t="n"/>
    </row>
    <row r="32">
      <c r="A32" s="14" t="inlineStr">
        <is>
          <t>EB_TAT_PLACEMENT_SLIP</t>
        </is>
      </c>
      <c r="B32" s="14" t="inlineStr">
        <is>
          <t>Employee Benefits</t>
        </is>
      </c>
      <c r="C32" s="14" t="inlineStr">
        <is>
          <t>Employee Benefits</t>
        </is>
      </c>
      <c r="D32" s="14" t="inlineStr">
        <is>
          <t>Product Owner, Employee Benefits</t>
        </is>
      </c>
      <c r="E32" s="14" t="inlineStr">
        <is>
          <t>TAT: days for Processing to submit the placement slip</t>
        </is>
      </c>
      <c r="F32" s="14" t="inlineStr">
        <is>
          <t>integer</t>
        </is>
      </c>
      <c r="G32" s="14" t="inlineStr">
        <is>
          <t>3</t>
        </is>
      </c>
      <c r="H32" s="14" t="inlineStr">
        <is>
          <t>1 to 60</t>
        </is>
      </c>
      <c r="I32" s="14" t="inlineStr">
        <is>
          <t>This sheet</t>
        </is>
      </c>
      <c r="J32" s="14" t="inlineStr">
        <is>
          <t>16-Jul-2027 (T-24 weeks)</t>
        </is>
      </c>
      <c r="K32" s="14" t="n"/>
      <c r="L32" s="14" t="n"/>
      <c r="M32" s="14" t="n"/>
      <c r="N32" s="14" t="inlineStr">
        <is>
          <t>Not started</t>
        </is>
      </c>
      <c r="O32" s="14" t="n"/>
    </row>
    <row r="33">
      <c r="A33" s="14" t="inlineStr">
        <is>
          <t>EB_TAT_POLICY_CHECK</t>
        </is>
      </c>
      <c r="B33" s="14" t="inlineStr">
        <is>
          <t>Employee Benefits</t>
        </is>
      </c>
      <c r="C33" s="14" t="inlineStr">
        <is>
          <t>Employee Benefits</t>
        </is>
      </c>
      <c r="D33" s="14" t="inlineStr">
        <is>
          <t>Product Owner, Employee Benefits</t>
        </is>
      </c>
      <c r="E33" s="14" t="inlineStr">
        <is>
          <t>TAT: working days to check the policy / contract against the proposal</t>
        </is>
      </c>
      <c r="F33" s="14" t="inlineStr">
        <is>
          <t>integer</t>
        </is>
      </c>
      <c r="G33" s="14" t="inlineStr">
        <is>
          <t>3</t>
        </is>
      </c>
      <c r="H33" s="14" t="inlineStr">
        <is>
          <t>1 to 60</t>
        </is>
      </c>
      <c r="I33" s="14" t="inlineStr">
        <is>
          <t>This sheet</t>
        </is>
      </c>
      <c r="J33" s="14" t="inlineStr">
        <is>
          <t>16-Jul-2027 (T-24 weeks)</t>
        </is>
      </c>
      <c r="K33" s="14" t="n"/>
      <c r="L33" s="14" t="n"/>
      <c r="M33" s="14" t="n"/>
      <c r="N33" s="14" t="inlineStr">
        <is>
          <t>Not started</t>
        </is>
      </c>
      <c r="O33" s="14" t="n"/>
    </row>
    <row r="34">
      <c r="A34" s="14" t="inlineStr">
        <is>
          <t>EB_TAT_POLICY_SOA</t>
        </is>
      </c>
      <c r="B34" s="14" t="inlineStr">
        <is>
          <t>Employee Benefits</t>
        </is>
      </c>
      <c r="C34" s="14" t="inlineStr">
        <is>
          <t>Employee Benefits</t>
        </is>
      </c>
      <c r="D34" s="14" t="inlineStr">
        <is>
          <t>Product Owner, Employee Benefits</t>
        </is>
      </c>
      <c r="E34" s="14" t="inlineStr">
        <is>
          <t>TAT: working days for the insurer policy / contract and billing / SOA</t>
        </is>
      </c>
      <c r="F34" s="14" t="inlineStr">
        <is>
          <t>integer</t>
        </is>
      </c>
      <c r="G34" s="14" t="inlineStr">
        <is>
          <t>10</t>
        </is>
      </c>
      <c r="H34" s="14" t="inlineStr">
        <is>
          <t>1 to 60</t>
        </is>
      </c>
      <c r="I34" s="14" t="inlineStr">
        <is>
          <t>This sheet</t>
        </is>
      </c>
      <c r="J34" s="14" t="inlineStr">
        <is>
          <t>16-Jul-2027 (T-24 weeks)</t>
        </is>
      </c>
      <c r="K34" s="14" t="n"/>
      <c r="L34" s="14" t="n"/>
      <c r="M34" s="14" t="n"/>
      <c r="N34" s="14" t="inlineStr">
        <is>
          <t>Not started</t>
        </is>
      </c>
      <c r="O34" s="14" t="n"/>
    </row>
    <row r="35">
      <c r="A35" s="14" t="inlineStr">
        <is>
          <t>EB_TAT_RELEASE</t>
        </is>
      </c>
      <c r="B35" s="14" t="inlineStr">
        <is>
          <t>Employee Benefits</t>
        </is>
      </c>
      <c r="C35" s="14" t="inlineStr">
        <is>
          <t>Employee Benefits</t>
        </is>
      </c>
      <c r="D35" s="14" t="inlineStr">
        <is>
          <t>Product Owner, Employee Benefits</t>
        </is>
      </c>
      <c r="E35" s="14" t="inlineStr">
        <is>
          <t>TAT: working days to release the SOA to Collection and the policy to the client</t>
        </is>
      </c>
      <c r="F35" s="14" t="inlineStr">
        <is>
          <t>integer</t>
        </is>
      </c>
      <c r="G35" s="14" t="inlineStr">
        <is>
          <t>3</t>
        </is>
      </c>
      <c r="H35" s="14" t="inlineStr">
        <is>
          <t>1 to 60</t>
        </is>
      </c>
      <c r="I35" s="14" t="inlineStr">
        <is>
          <t>This sheet</t>
        </is>
      </c>
      <c r="J35" s="14" t="inlineStr">
        <is>
          <t>16-Jul-2027 (T-24 weeks)</t>
        </is>
      </c>
      <c r="K35" s="14" t="n"/>
      <c r="L35" s="14" t="n"/>
      <c r="M35" s="14" t="n"/>
      <c r="N35" s="14" t="inlineStr">
        <is>
          <t>Not started</t>
        </is>
      </c>
      <c r="O35" s="14" t="n"/>
    </row>
    <row r="36">
      <c r="A36" s="14" t="inlineStr">
        <is>
          <t>EB_TAT_RFQ_SUBMIT</t>
        </is>
      </c>
      <c r="B36" s="14" t="inlineStr">
        <is>
          <t>Employee Benefits</t>
        </is>
      </c>
      <c r="C36" s="14" t="inlineStr">
        <is>
          <t>Employee Benefits</t>
        </is>
      </c>
      <c r="D36" s="14" t="inlineStr">
        <is>
          <t>Product Owner, Employee Benefits</t>
        </is>
      </c>
      <c r="E36" s="14" t="inlineStr">
        <is>
          <t>TAT: working days to send the request for quotation upon franchise approval</t>
        </is>
      </c>
      <c r="F36" s="14" t="inlineStr">
        <is>
          <t>integer</t>
        </is>
      </c>
      <c r="G36" s="14" t="inlineStr">
        <is>
          <t>3</t>
        </is>
      </c>
      <c r="H36" s="14" t="inlineStr">
        <is>
          <t>1 to 60</t>
        </is>
      </c>
      <c r="I36" s="14" t="inlineStr">
        <is>
          <t>This sheet</t>
        </is>
      </c>
      <c r="J36" s="14" t="inlineStr">
        <is>
          <t>16-Jul-2027 (T-24 weeks)</t>
        </is>
      </c>
      <c r="K36" s="14" t="n"/>
      <c r="L36" s="14" t="n"/>
      <c r="M36" s="14" t="n"/>
      <c r="N36" s="14" t="inlineStr">
        <is>
          <t>Not started</t>
        </is>
      </c>
      <c r="O36" s="14" t="n"/>
    </row>
    <row r="37">
      <c r="A37" s="14" t="inlineStr">
        <is>
          <t>EB_TAT_SOA_VALIDATION</t>
        </is>
      </c>
      <c r="B37" s="14" t="inlineStr">
        <is>
          <t>Employee Benefits</t>
        </is>
      </c>
      <c r="C37" s="14" t="inlineStr">
        <is>
          <t>Employee Benefits</t>
        </is>
      </c>
      <c r="D37" s="14" t="inlineStr">
        <is>
          <t>Product Owner, Employee Benefits</t>
        </is>
      </c>
      <c r="E37" s="14" t="inlineStr">
        <is>
          <t>TAT: working days for Processing to validate the final SOA</t>
        </is>
      </c>
      <c r="F37" s="14" t="inlineStr">
        <is>
          <t>integer</t>
        </is>
      </c>
      <c r="G37" s="14" t="inlineStr">
        <is>
          <t>3</t>
        </is>
      </c>
      <c r="H37" s="14" t="inlineStr">
        <is>
          <t>1 to 60</t>
        </is>
      </c>
      <c r="I37" s="14" t="inlineStr">
        <is>
          <t>This sheet</t>
        </is>
      </c>
      <c r="J37" s="14" t="inlineStr">
        <is>
          <t>16-Jul-2027 (T-24 weeks)</t>
        </is>
      </c>
      <c r="K37" s="14" t="n"/>
      <c r="L37" s="14" t="n"/>
      <c r="M37" s="14" t="n"/>
      <c r="N37" s="14" t="inlineStr">
        <is>
          <t>Not started</t>
        </is>
      </c>
      <c r="O37" s="14" t="n"/>
    </row>
    <row r="38">
      <c r="A38" s="14" t="inlineStr">
        <is>
          <t>NB_STALLED_DAYS</t>
        </is>
      </c>
      <c r="B38" s="14" t="inlineStr">
        <is>
          <t>Nb Reports</t>
        </is>
      </c>
      <c r="C38" s="14" t="inlineStr">
        <is>
          <t>New Business</t>
        </is>
      </c>
      <c r="D38" s="14" t="inlineStr">
        <is>
          <t>Product Owner, BDOI (New Business)</t>
        </is>
      </c>
      <c r="E38" s="14" t="inlineStr">
        <is>
          <t>An open New Business account with no stage movement for this many days is reported as stalled</t>
        </is>
      </c>
      <c r="F38" s="14" t="inlineStr">
        <is>
          <t>integer</t>
        </is>
      </c>
      <c r="G38" s="14" t="inlineStr">
        <is>
          <t>5</t>
        </is>
      </c>
      <c r="H38" s="14" t="inlineStr">
        <is>
          <t>1 to 90</t>
        </is>
      </c>
      <c r="I38" s="14" t="inlineStr">
        <is>
          <t>This sheet</t>
        </is>
      </c>
      <c r="J38" s="14" t="inlineStr">
        <is>
          <t>16-Jul-2027 (T-24 weeks)</t>
        </is>
      </c>
      <c r="K38" s="14" t="n"/>
      <c r="L38" s="14" t="n"/>
      <c r="M38" s="14" t="n"/>
      <c r="N38" s="14" t="inlineStr">
        <is>
          <t>Not started</t>
        </is>
      </c>
      <c r="O38" s="14" t="n"/>
    </row>
    <row r="39">
      <c r="A39" s="14" t="inlineStr">
        <is>
          <t>CMR_FEEDBACK_WORKING_DAYS</t>
        </is>
      </c>
      <c r="B39" s="14" t="inlineStr">
        <is>
          <t>Operations</t>
        </is>
      </c>
      <c r="C39" s="14" t="inlineStr">
        <is>
          <t>Operations</t>
        </is>
      </c>
      <c r="D39" s="14" t="inlineStr">
        <is>
          <t>Head, Operations Services</t>
        </is>
      </c>
      <c r="E39" s="14" t="inlineStr">
        <is>
          <t>Working days an insurer has to answer a direct payment commission billing</t>
        </is>
      </c>
      <c r="F39" s="14" t="inlineStr">
        <is>
          <t>integer</t>
        </is>
      </c>
      <c r="G39" s="14" t="inlineStr">
        <is>
          <t>10</t>
        </is>
      </c>
      <c r="H39" s="14" t="inlineStr">
        <is>
          <t>1 to 60</t>
        </is>
      </c>
      <c r="I39" s="14" t="inlineStr">
        <is>
          <t>This sheet</t>
        </is>
      </c>
      <c r="J39" s="14" t="inlineStr">
        <is>
          <t>16-Jul-2027 (T-24 weeks)</t>
        </is>
      </c>
      <c r="K39" s="14" t="n"/>
      <c r="L39" s="14" t="n"/>
      <c r="M39" s="14" t="n"/>
      <c r="N39" s="14" t="inlineStr">
        <is>
          <t>Not started</t>
        </is>
      </c>
      <c r="O39" s="14" t="n"/>
    </row>
    <row r="40">
      <c r="A40" s="14" t="inlineStr">
        <is>
          <t>HOLD_COVER_ALERT_DAYS</t>
        </is>
      </c>
      <c r="B40" s="14" t="inlineStr">
        <is>
          <t>Placement</t>
        </is>
      </c>
      <c r="C40" s="14" t="inlineStr">
        <is>
          <t>New Business</t>
        </is>
      </c>
      <c r="D40" s="14" t="inlineStr">
        <is>
          <t>Product Owner, BDOI (New Business)</t>
        </is>
      </c>
      <c r="E40" s="14" t="inlineStr">
        <is>
          <t>Days before a hold cover expires when Processing is alerted</t>
        </is>
      </c>
      <c r="F40" s="14" t="inlineStr">
        <is>
          <t>integer</t>
        </is>
      </c>
      <c r="G40" s="14" t="inlineStr">
        <is>
          <t>5</t>
        </is>
      </c>
      <c r="H40" s="14" t="inlineStr">
        <is>
          <t>0 to 30</t>
        </is>
      </c>
      <c r="I40" s="14" t="inlineStr">
        <is>
          <t>This sheet</t>
        </is>
      </c>
      <c r="J40" s="14" t="inlineStr">
        <is>
          <t>16-Jul-2027 (T-24 weeks)</t>
        </is>
      </c>
      <c r="K40" s="14" t="n"/>
      <c r="L40" s="14" t="n"/>
      <c r="M40" s="14" t="n"/>
      <c r="N40" s="14" t="inlineStr">
        <is>
          <t>Not started</t>
        </is>
      </c>
      <c r="O40" s="14" t="n"/>
    </row>
    <row r="41">
      <c r="A41" s="14" t="inlineStr">
        <is>
          <t>PACKAGE_EXPIRY_NOTICE_DAYS</t>
        </is>
      </c>
      <c r="B41" s="14" t="inlineStr">
        <is>
          <t>Product Maintenance</t>
        </is>
      </c>
      <c r="C41" s="14" t="inlineStr">
        <is>
          <t>Product Maintenance</t>
        </is>
      </c>
      <c r="D41" s="14" t="inlineStr">
        <is>
          <t>Product Owner, Marketing Business System (MBS)</t>
        </is>
      </c>
      <c r="E41" s="14" t="inlineStr">
        <is>
          <t>Days before the package end date at which PACKAGE_EXPIRING is first raised; again at 30 and 7 days</t>
        </is>
      </c>
      <c r="F41" s="14" t="inlineStr">
        <is>
          <t>integer</t>
        </is>
      </c>
      <c r="G41" s="14" t="inlineStr">
        <is>
          <t>60</t>
        </is>
      </c>
      <c r="H41" s="14" t="inlineStr">
        <is>
          <t>1 to 365</t>
        </is>
      </c>
      <c r="I41" s="14" t="inlineStr">
        <is>
          <t>Template PM-09 (sheet PM-09 Lists and parameters)</t>
        </is>
      </c>
      <c r="J41" s="14" t="inlineStr">
        <is>
          <t>16-Jul-2027 (T-24 weeks)</t>
        </is>
      </c>
      <c r="K41" s="14" t="n"/>
      <c r="L41" s="14" t="n"/>
      <c r="M41" s="14" t="n"/>
      <c r="N41" s="14" t="inlineStr">
        <is>
          <t>Not started</t>
        </is>
      </c>
      <c r="O41" s="14" t="n"/>
    </row>
    <row r="42">
      <c r="A42" s="14" t="inlineStr">
        <is>
          <t>PACKAGE_EXPIRY_REMINDER_DAYS</t>
        </is>
      </c>
      <c r="B42" s="14" t="inlineStr">
        <is>
          <t>Product Maintenance</t>
        </is>
      </c>
      <c r="C42" s="14" t="inlineStr">
        <is>
          <t>Product Maintenance</t>
        </is>
      </c>
      <c r="D42" s="14" t="inlineStr">
        <is>
          <t>Product Owner, Marketing Business System (MBS)</t>
        </is>
      </c>
      <c r="E42" s="14" t="inlineStr">
        <is>
          <t>Days before the package end date at which PACKAGE_EXPIRING is raised again after the first notice</t>
        </is>
      </c>
      <c r="F42" s="14" t="inlineStr">
        <is>
          <t>integer list</t>
        </is>
      </c>
      <c r="G42" s="14" t="inlineStr">
        <is>
          <t>30,7</t>
        </is>
      </c>
      <c r="H42" s="14" t="inlineStr"/>
      <c r="I42" s="14" t="inlineStr">
        <is>
          <t>Template PM-09 (sheet PM-09 Lists and parameters)</t>
        </is>
      </c>
      <c r="J42" s="14" t="inlineStr">
        <is>
          <t>16-Jul-2027 (T-24 weeks)</t>
        </is>
      </c>
      <c r="K42" s="14" t="n"/>
      <c r="L42" s="14" t="n"/>
      <c r="M42" s="14" t="n"/>
      <c r="N42" s="14" t="inlineStr">
        <is>
          <t>Not started</t>
        </is>
      </c>
      <c r="O42" s="14" t="n"/>
    </row>
    <row r="43">
      <c r="A43" s="14" t="inlineStr">
        <is>
          <t>PKG_QS_REPLY_DAYS</t>
        </is>
      </c>
      <c r="B43" s="14" t="inlineStr">
        <is>
          <t>Product Maintenance</t>
        </is>
      </c>
      <c r="C43" s="14" t="inlineStr">
        <is>
          <t>Product Maintenance</t>
        </is>
      </c>
      <c r="D43" s="14" t="inlineStr">
        <is>
          <t>Product Owner, Marketing Business System (MBS)</t>
        </is>
      </c>
      <c r="E43" s="14" t="inlineStr">
        <is>
          <t>Days insurers have to reply to a package quotation slip</t>
        </is>
      </c>
      <c r="F43" s="14" t="inlineStr">
        <is>
          <t>integer</t>
        </is>
      </c>
      <c r="G43" s="14" t="inlineStr">
        <is>
          <t>5</t>
        </is>
      </c>
      <c r="H43" s="14" t="inlineStr">
        <is>
          <t>1 to 60</t>
        </is>
      </c>
      <c r="I43" s="14" t="inlineStr">
        <is>
          <t>Template PM-09 (sheet PM-09 Lists and parameters)</t>
        </is>
      </c>
      <c r="J43" s="14" t="inlineStr">
        <is>
          <t>16-Jul-2027 (T-24 weeks)</t>
        </is>
      </c>
      <c r="K43" s="14" t="n"/>
      <c r="L43" s="14" t="n"/>
      <c r="M43" s="14" t="n"/>
      <c r="N43" s="14" t="inlineStr">
        <is>
          <t>Not started</t>
        </is>
      </c>
      <c r="O43" s="14" t="n"/>
    </row>
    <row r="44">
      <c r="A44" s="14" t="inlineStr">
        <is>
          <t>PKG_SLA_MANCOM</t>
        </is>
      </c>
      <c r="B44" s="14" t="inlineStr">
        <is>
          <t>Product Maintenance</t>
        </is>
      </c>
      <c r="C44" s="14" t="inlineStr">
        <is>
          <t>Product Maintenance</t>
        </is>
      </c>
      <c r="D44" s="14" t="inlineStr">
        <is>
          <t>Product Owner, Marketing Business System (MBS)</t>
        </is>
      </c>
      <c r="E44" s="14" t="inlineStr">
        <is>
          <t>SLA hours of the ManCom sign-off</t>
        </is>
      </c>
      <c r="F44" s="14" t="inlineStr">
        <is>
          <t>integer</t>
        </is>
      </c>
      <c r="G44" s="14" t="inlineStr">
        <is>
          <t>72</t>
        </is>
      </c>
      <c r="H44" s="14" t="inlineStr">
        <is>
          <t>1 to 720</t>
        </is>
      </c>
      <c r="I44" s="14" t="inlineStr">
        <is>
          <t>Template PM-09 (sheet PM-09 Lists and parameters)</t>
        </is>
      </c>
      <c r="J44" s="14" t="inlineStr">
        <is>
          <t>16-Jul-2027 (T-24 weeks)</t>
        </is>
      </c>
      <c r="K44" s="14" t="n"/>
      <c r="L44" s="14" t="n"/>
      <c r="M44" s="14" t="n"/>
      <c r="N44" s="14" t="inlineStr">
        <is>
          <t>Not started</t>
        </is>
      </c>
      <c r="O44" s="14" t="n"/>
    </row>
    <row r="45">
      <c r="A45" s="14" t="inlineStr">
        <is>
          <t>PKG_SLA_MBS_SETUP</t>
        </is>
      </c>
      <c r="B45" s="14" t="inlineStr">
        <is>
          <t>Product Maintenance</t>
        </is>
      </c>
      <c r="C45" s="14" t="inlineStr">
        <is>
          <t>Product Maintenance</t>
        </is>
      </c>
      <c r="D45" s="14" t="inlineStr">
        <is>
          <t>Product Owner, Marketing Business System (MBS)</t>
        </is>
      </c>
      <c r="E45" s="14" t="inlineStr">
        <is>
          <t>SLA hours of the MBS package set-up</t>
        </is>
      </c>
      <c r="F45" s="14" t="inlineStr">
        <is>
          <t>integer</t>
        </is>
      </c>
      <c r="G45" s="14" t="inlineStr">
        <is>
          <t>48</t>
        </is>
      </c>
      <c r="H45" s="14" t="inlineStr">
        <is>
          <t>1 to 720</t>
        </is>
      </c>
      <c r="I45" s="14" t="inlineStr">
        <is>
          <t>Template PM-09 (sheet PM-09 Lists and parameters)</t>
        </is>
      </c>
      <c r="J45" s="14" t="inlineStr">
        <is>
          <t>16-Jul-2027 (T-24 weeks)</t>
        </is>
      </c>
      <c r="K45" s="14" t="n"/>
      <c r="L45" s="14" t="n"/>
      <c r="M45" s="14" t="n"/>
      <c r="N45" s="14" t="inlineStr">
        <is>
          <t>Not started</t>
        </is>
      </c>
      <c r="O45" s="14" t="n"/>
    </row>
    <row r="46">
      <c r="A46" s="14" t="inlineStr">
        <is>
          <t>PKG_SLA_MKT_APPROVAL</t>
        </is>
      </c>
      <c r="B46" s="14" t="inlineStr">
        <is>
          <t>Product Maintenance</t>
        </is>
      </c>
      <c r="C46" s="14" t="inlineStr">
        <is>
          <t>Product Maintenance</t>
        </is>
      </c>
      <c r="D46" s="14" t="inlineStr">
        <is>
          <t>Product Owner, Marketing Business System (MBS)</t>
        </is>
      </c>
      <c r="E46" s="14" t="inlineStr">
        <is>
          <t>SLA hours of the Marketing approval of a package request</t>
        </is>
      </c>
      <c r="F46" s="14" t="inlineStr">
        <is>
          <t>integer</t>
        </is>
      </c>
      <c r="G46" s="14" t="inlineStr">
        <is>
          <t>24</t>
        </is>
      </c>
      <c r="H46" s="14" t="inlineStr">
        <is>
          <t>1 to 720</t>
        </is>
      </c>
      <c r="I46" s="14" t="inlineStr">
        <is>
          <t>Template PM-09 (sheet PM-09 Lists and parameters)</t>
        </is>
      </c>
      <c r="J46" s="14" t="inlineStr">
        <is>
          <t>16-Jul-2027 (T-24 weeks)</t>
        </is>
      </c>
      <c r="K46" s="14" t="n"/>
      <c r="L46" s="14" t="n"/>
      <c r="M46" s="14" t="n"/>
      <c r="N46" s="14" t="inlineStr">
        <is>
          <t>Not started</t>
        </is>
      </c>
      <c r="O46" s="14" t="n"/>
    </row>
    <row r="47">
      <c r="A47" s="14" t="inlineStr">
        <is>
          <t>PKG_SLA_NEGOTIATION</t>
        </is>
      </c>
      <c r="B47" s="14" t="inlineStr">
        <is>
          <t>Product Maintenance</t>
        </is>
      </c>
      <c r="C47" s="14" t="inlineStr">
        <is>
          <t>Product Maintenance</t>
        </is>
      </c>
      <c r="D47" s="14" t="inlineStr">
        <is>
          <t>Product Owner, Marketing Business System (MBS)</t>
        </is>
      </c>
      <c r="E47" s="14" t="inlineStr">
        <is>
          <t>SLA hours of the insurer negotiation stage</t>
        </is>
      </c>
      <c r="F47" s="14" t="inlineStr">
        <is>
          <t>integer</t>
        </is>
      </c>
      <c r="G47" s="14" t="inlineStr">
        <is>
          <t>120</t>
        </is>
      </c>
      <c r="H47" s="14" t="inlineStr">
        <is>
          <t>1 to 2160</t>
        </is>
      </c>
      <c r="I47" s="14" t="inlineStr">
        <is>
          <t>Template PM-09 (sheet PM-09 Lists and parameters)</t>
        </is>
      </c>
      <c r="J47" s="14" t="inlineStr">
        <is>
          <t>16-Jul-2027 (T-24 weeks)</t>
        </is>
      </c>
      <c r="K47" s="14" t="n"/>
      <c r="L47" s="14" t="n"/>
      <c r="M47" s="14" t="n"/>
      <c r="N47" s="14" t="inlineStr">
        <is>
          <t>Not started</t>
        </is>
      </c>
      <c r="O47" s="14" t="n"/>
    </row>
    <row r="48">
      <c r="A48" s="14" t="inlineStr">
        <is>
          <t>PKG_SLA_TSU_APPROVAL</t>
        </is>
      </c>
      <c r="B48" s="14" t="inlineStr">
        <is>
          <t>Product Maintenance</t>
        </is>
      </c>
      <c r="C48" s="14" t="inlineStr">
        <is>
          <t>Product Maintenance</t>
        </is>
      </c>
      <c r="D48" s="14" t="inlineStr">
        <is>
          <t>Product Owner, Marketing Business System (MBS)</t>
        </is>
      </c>
      <c r="E48" s="14" t="inlineStr">
        <is>
          <t>SLA hours of the TSU Team Head approval</t>
        </is>
      </c>
      <c r="F48" s="14" t="inlineStr">
        <is>
          <t>integer</t>
        </is>
      </c>
      <c r="G48" s="14" t="inlineStr">
        <is>
          <t>24</t>
        </is>
      </c>
      <c r="H48" s="14" t="inlineStr">
        <is>
          <t>1 to 720</t>
        </is>
      </c>
      <c r="I48" s="14" t="inlineStr">
        <is>
          <t>Template PM-09 (sheet PM-09 Lists and parameters)</t>
        </is>
      </c>
      <c r="J48" s="14" t="inlineStr">
        <is>
          <t>16-Jul-2027 (T-24 weeks)</t>
        </is>
      </c>
      <c r="K48" s="14" t="n"/>
      <c r="L48" s="14" t="n"/>
      <c r="M48" s="14" t="n"/>
      <c r="N48" s="14" t="inlineStr">
        <is>
          <t>Not started</t>
        </is>
      </c>
      <c r="O48" s="14" t="n"/>
    </row>
    <row r="49">
      <c r="A49" s="14" t="inlineStr">
        <is>
          <t>PKG_SLA_TSU_REVIEW</t>
        </is>
      </c>
      <c r="B49" s="14" t="inlineStr">
        <is>
          <t>Product Maintenance</t>
        </is>
      </c>
      <c r="C49" s="14" t="inlineStr">
        <is>
          <t>Product Maintenance</t>
        </is>
      </c>
      <c r="D49" s="14" t="inlineStr">
        <is>
          <t>Product Owner, Marketing Business System (MBS)</t>
        </is>
      </c>
      <c r="E49" s="14" t="inlineStr">
        <is>
          <t>SLA hours of the TSU Team Lead review and recommendation</t>
        </is>
      </c>
      <c r="F49" s="14" t="inlineStr">
        <is>
          <t>integer</t>
        </is>
      </c>
      <c r="G49" s="14" t="inlineStr">
        <is>
          <t>24</t>
        </is>
      </c>
      <c r="H49" s="14" t="inlineStr">
        <is>
          <t>1 to 720</t>
        </is>
      </c>
      <c r="I49" s="14" t="inlineStr">
        <is>
          <t>Template PM-09 (sheet PM-09 Lists and parameters)</t>
        </is>
      </c>
      <c r="J49" s="14" t="inlineStr">
        <is>
          <t>16-Jul-2027 (T-24 weeks)</t>
        </is>
      </c>
      <c r="K49" s="14" t="n"/>
      <c r="L49" s="14" t="n"/>
      <c r="M49" s="14" t="n"/>
      <c r="N49" s="14" t="inlineStr">
        <is>
          <t>Not started</t>
        </is>
      </c>
      <c r="O49" s="14" t="n"/>
    </row>
    <row r="50">
      <c r="A50" s="14" t="inlineStr">
        <is>
          <t>RNW_ESCALATION_DAYS</t>
        </is>
      </c>
      <c r="B50" s="14" t="inlineStr">
        <is>
          <t>Renewal</t>
        </is>
      </c>
      <c r="C50" s="14" t="inlineStr">
        <is>
          <t>Renewal</t>
        </is>
      </c>
      <c r="D50" s="14" t="inlineStr">
        <is>
          <t>Product Owner, Renewal</t>
        </is>
      </c>
      <c r="E50" s="14" t="inlineStr">
        <is>
          <t>Days to expiry at which an account not disposed or not accepted is at risk, per segment (* = others)</t>
        </is>
      </c>
      <c r="F50" s="14" t="inlineStr">
        <is>
          <t>string</t>
        </is>
      </c>
      <c r="G50" s="14" t="inlineStr">
        <is>
          <t>IBG=60,LEASING=60,*=30</t>
        </is>
      </c>
      <c r="H50" s="14" t="inlineStr"/>
      <c r="I50" s="14" t="inlineStr">
        <is>
          <t>This sheet</t>
        </is>
      </c>
      <c r="J50" s="14" t="inlineStr">
        <is>
          <t>16-Jul-2027 (T-24 weeks)</t>
        </is>
      </c>
      <c r="K50" s="14" t="n"/>
      <c r="L50" s="14" t="n"/>
      <c r="M50" s="14" t="n"/>
      <c r="N50" s="14" t="inlineStr">
        <is>
          <t>Not started</t>
        </is>
      </c>
      <c r="O50" s="14" t="n"/>
    </row>
    <row r="51">
      <c r="A51" s="14" t="inlineStr">
        <is>
          <t>RNW_EXCEPTION_AGEING_DAYS</t>
        </is>
      </c>
      <c r="B51" s="14" t="inlineStr">
        <is>
          <t>Renewal</t>
        </is>
      </c>
      <c r="C51" s="14" t="inlineStr">
        <is>
          <t>Renewal</t>
        </is>
      </c>
      <c r="D51" s="14" t="inlineStr">
        <is>
          <t>Product Owner, Renewal</t>
        </is>
      </c>
      <c r="E51" s="14" t="inlineStr">
        <is>
          <t>Working days a renewal may stay in the Exception bucket before its stage owner is alerted</t>
        </is>
      </c>
      <c r="F51" s="14" t="inlineStr">
        <is>
          <t>integer</t>
        </is>
      </c>
      <c r="G51" s="14" t="inlineStr">
        <is>
          <t>5</t>
        </is>
      </c>
      <c r="H51" s="14" t="inlineStr">
        <is>
          <t>1 to 90</t>
        </is>
      </c>
      <c r="I51" s="14" t="inlineStr">
        <is>
          <t>This sheet</t>
        </is>
      </c>
      <c r="J51" s="14" t="inlineStr">
        <is>
          <t>16-Jul-2027 (T-24 weeks)</t>
        </is>
      </c>
      <c r="K51" s="14" t="n"/>
      <c r="L51" s="14" t="n"/>
      <c r="M51" s="14" t="n"/>
      <c r="N51" s="14" t="inlineStr">
        <is>
          <t>Not started</t>
        </is>
      </c>
      <c r="O51" s="14" t="n"/>
    </row>
    <row r="52">
      <c r="A52" s="14" t="inlineStr">
        <is>
          <t>RNW_EXTRACTION_LEAD_DAYS</t>
        </is>
      </c>
      <c r="B52" s="14" t="inlineStr">
        <is>
          <t>Renewal</t>
        </is>
      </c>
      <c r="C52" s="14" t="inlineStr">
        <is>
          <t>Renewal</t>
        </is>
      </c>
      <c r="D52" s="14" t="inlineStr">
        <is>
          <t>Product Owner, Renewal</t>
        </is>
      </c>
      <c r="E52" s="14" t="inlineStr">
        <is>
          <t>Days before expiry at which the daily extraction takes a policy</t>
        </is>
      </c>
      <c r="F52" s="14" t="inlineStr">
        <is>
          <t>integer</t>
        </is>
      </c>
      <c r="G52" s="14" t="inlineStr">
        <is>
          <t>140</t>
        </is>
      </c>
      <c r="H52" s="14" t="inlineStr">
        <is>
          <t>1 to 400</t>
        </is>
      </c>
      <c r="I52" s="14" t="inlineStr">
        <is>
          <t>This sheet</t>
        </is>
      </c>
      <c r="J52" s="14" t="inlineStr">
        <is>
          <t>16-Jul-2027 (T-24 weeks)</t>
        </is>
      </c>
      <c r="K52" s="14" t="n"/>
      <c r="L52" s="14" t="n"/>
      <c r="M52" s="14" t="n"/>
      <c r="N52" s="14" t="inlineStr">
        <is>
          <t>Not started</t>
        </is>
      </c>
      <c r="O52" s="14" t="n"/>
    </row>
    <row r="53">
      <c r="A53" s="14" t="inlineStr">
        <is>
          <t>RNW_EXTRACTION_LEAD_DAYS_BY_SEGMENT</t>
        </is>
      </c>
      <c r="B53" s="14" t="inlineStr">
        <is>
          <t>Renewal</t>
        </is>
      </c>
      <c r="C53" s="14" t="inlineStr">
        <is>
          <t>Renewal</t>
        </is>
      </c>
      <c r="D53" s="14" t="inlineStr">
        <is>
          <t>Product Owner, Renewal</t>
        </is>
      </c>
      <c r="E53" s="14" t="inlineStr">
        <is>
          <t>Lead days per market segment, e.g. CBG=150,IBG=120; empty = the general lead days</t>
        </is>
      </c>
      <c r="F53" s="14" t="inlineStr">
        <is>
          <t>string</t>
        </is>
      </c>
      <c r="G53" s="14" t="inlineStr">
        <is>
          <t>(blank)</t>
        </is>
      </c>
      <c r="H53" s="14" t="inlineStr"/>
      <c r="I53" s="14" t="inlineStr">
        <is>
          <t>This sheet</t>
        </is>
      </c>
      <c r="J53" s="14" t="inlineStr">
        <is>
          <t>16-Jul-2027 (T-24 weeks)</t>
        </is>
      </c>
      <c r="K53" s="14" t="n"/>
      <c r="L53" s="14" t="n"/>
      <c r="M53" s="14" t="n"/>
      <c r="N53" s="14" t="inlineStr">
        <is>
          <t>Not started</t>
        </is>
      </c>
      <c r="O53" s="14" t="n"/>
    </row>
    <row r="54">
      <c r="A54" s="14" t="inlineStr">
        <is>
          <t>RNW_INSURER_REPLY_DAYS</t>
        </is>
      </c>
      <c r="B54" s="14" t="inlineStr">
        <is>
          <t>Renewal</t>
        </is>
      </c>
      <c r="C54" s="14" t="inlineStr">
        <is>
          <t>Renewal</t>
        </is>
      </c>
      <c r="D54" s="14" t="inlineStr">
        <is>
          <t>Product Owner, Renewal</t>
        </is>
      </c>
      <c r="E54" s="14" t="inlineStr">
        <is>
          <t>Days the insurer has to answer a renewal batch</t>
        </is>
      </c>
      <c r="F54" s="14" t="inlineStr">
        <is>
          <t>integer</t>
        </is>
      </c>
      <c r="G54" s="14" t="inlineStr">
        <is>
          <t>10</t>
        </is>
      </c>
      <c r="H54" s="14" t="inlineStr">
        <is>
          <t>1 to 90</t>
        </is>
      </c>
      <c r="I54" s="14" t="inlineStr">
        <is>
          <t>This sheet</t>
        </is>
      </c>
      <c r="J54" s="14" t="inlineStr">
        <is>
          <t>16-Jul-2027 (T-24 weeks)</t>
        </is>
      </c>
      <c r="K54" s="14" t="n"/>
      <c r="L54" s="14" t="n"/>
      <c r="M54" s="14" t="n"/>
      <c r="N54" s="14" t="inlineStr">
        <is>
          <t>Not started</t>
        </is>
      </c>
      <c r="O54" s="14" t="n"/>
    </row>
    <row r="55">
      <c r="A55" s="14" t="inlineStr">
        <is>
          <t>RNW_NRNS_REMINDER_DAYS</t>
        </is>
      </c>
      <c r="B55" s="14" t="inlineStr">
        <is>
          <t>Renewal</t>
        </is>
      </c>
      <c r="C55" s="14" t="inlineStr">
        <is>
          <t>Renewal</t>
        </is>
      </c>
      <c r="D55" s="14" t="inlineStr">
        <is>
          <t>Product Owner, Renewal</t>
        </is>
      </c>
      <c r="E55" s="14" t="inlineStr">
        <is>
          <t>Days before expiry of the reminder to renewals not yet submitted (NRNS)</t>
        </is>
      </c>
      <c r="F55" s="14" t="inlineStr">
        <is>
          <t>integer</t>
        </is>
      </c>
      <c r="G55" s="14" t="inlineStr">
        <is>
          <t>90</t>
        </is>
      </c>
      <c r="H55" s="14" t="inlineStr">
        <is>
          <t>0 to 365</t>
        </is>
      </c>
      <c r="I55" s="14" t="inlineStr">
        <is>
          <t>This sheet</t>
        </is>
      </c>
      <c r="J55" s="14" t="inlineStr">
        <is>
          <t>16-Jul-2027 (T-24 weeks)</t>
        </is>
      </c>
      <c r="K55" s="14" t="n"/>
      <c r="L55" s="14" t="n"/>
      <c r="M55" s="14" t="n"/>
      <c r="N55" s="14" t="inlineStr">
        <is>
          <t>Not started</t>
        </is>
      </c>
      <c r="O55" s="14" t="n"/>
    </row>
    <row r="56">
      <c r="A56" s="14" t="inlineStr">
        <is>
          <t>RNW_RA_MIN_NOTICE_DAYS</t>
        </is>
      </c>
      <c r="B56" s="14" t="inlineStr">
        <is>
          <t>Renewal</t>
        </is>
      </c>
      <c r="C56" s="14" t="inlineStr">
        <is>
          <t>Renewal</t>
        </is>
      </c>
      <c r="D56" s="14" t="inlineStr">
        <is>
          <t>Product Owner, Renewal</t>
        </is>
      </c>
      <c r="E56" s="14" t="inlineStr">
        <is>
          <t>A Renewal Advice generated fewer days than this before expiry needs a confirmation</t>
        </is>
      </c>
      <c r="F56" s="14" t="inlineStr">
        <is>
          <t>integer</t>
        </is>
      </c>
      <c r="G56" s="14" t="inlineStr">
        <is>
          <t>30</t>
        </is>
      </c>
      <c r="H56" s="14" t="inlineStr">
        <is>
          <t>0 to 365</t>
        </is>
      </c>
      <c r="I56" s="14" t="inlineStr">
        <is>
          <t>This sheet</t>
        </is>
      </c>
      <c r="J56" s="14" t="inlineStr">
        <is>
          <t>16-Jul-2027 (T-24 weeks)</t>
        </is>
      </c>
      <c r="K56" s="14" t="n"/>
      <c r="L56" s="14" t="n"/>
      <c r="M56" s="14" t="n"/>
      <c r="N56" s="14" t="inlineStr">
        <is>
          <t>Not started</t>
        </is>
      </c>
      <c r="O56" s="14" t="n"/>
    </row>
    <row r="57">
      <c r="A57" s="14" t="inlineStr">
        <is>
          <t>RNW_RA_SECOND_NOTICE_DAYS</t>
        </is>
      </c>
      <c r="B57" s="14" t="inlineStr">
        <is>
          <t>Renewal</t>
        </is>
      </c>
      <c r="C57" s="14" t="inlineStr">
        <is>
          <t>Renewal</t>
        </is>
      </c>
      <c r="D57" s="14" t="inlineStr">
        <is>
          <t>Product Owner, Renewal</t>
        </is>
      </c>
      <c r="E57" s="14" t="inlineStr">
        <is>
          <t>Days after the first notice without acceptance before a second notice is offered</t>
        </is>
      </c>
      <c r="F57" s="14" t="inlineStr">
        <is>
          <t>integer</t>
        </is>
      </c>
      <c r="G57" s="14" t="inlineStr">
        <is>
          <t>15</t>
        </is>
      </c>
      <c r="H57" s="14" t="inlineStr">
        <is>
          <t>1 to 365</t>
        </is>
      </c>
      <c r="I57" s="14" t="inlineStr">
        <is>
          <t>This sheet</t>
        </is>
      </c>
      <c r="J57" s="14" t="inlineStr">
        <is>
          <t>16-Jul-2027 (T-24 weeks)</t>
        </is>
      </c>
      <c r="K57" s="14" t="n"/>
      <c r="L57" s="14" t="n"/>
      <c r="M57" s="14" t="n"/>
      <c r="N57" s="14" t="inlineStr">
        <is>
          <t>Not started</t>
        </is>
      </c>
      <c r="O57" s="14" t="n"/>
    </row>
    <row r="58">
      <c r="A58" s="14" t="inlineStr">
        <is>
          <t>AGEING_BUCKETS</t>
        </is>
      </c>
      <c r="B58" s="14" t="inlineStr">
        <is>
          <t>Reporting</t>
        </is>
      </c>
      <c r="C58" s="14" t="inlineStr">
        <is>
          <t>Accounting, Disbursement and ACSL</t>
        </is>
      </c>
      <c r="D58" s="14" t="inlineStr">
        <is>
          <t>Head, Comptrollership</t>
        </is>
      </c>
      <c r="E58" s="14" t="inlineStr">
        <is>
          <t>Default ageing slots in days (up to 5 ascending limits) of the debtors and creditors ageing reports; users may override them per run</t>
        </is>
      </c>
      <c r="F58" s="14" t="inlineStr">
        <is>
          <t>integer list</t>
        </is>
      </c>
      <c r="G58" s="14" t="inlineStr">
        <is>
          <t>30,60,90,120</t>
        </is>
      </c>
      <c r="H58" s="14" t="inlineStr">
        <is>
          <t>1 to 3650</t>
        </is>
      </c>
      <c r="I58" s="14" t="inlineStr">
        <is>
          <t>This sheet</t>
        </is>
      </c>
      <c r="J58" s="14" t="inlineStr">
        <is>
          <t>16-Jul-2027 (T-24 weeks)</t>
        </is>
      </c>
      <c r="K58" s="14" t="n"/>
      <c r="L58" s="14" t="n"/>
      <c r="M58" s="14" t="n"/>
      <c r="N58" s="14" t="inlineStr">
        <is>
          <t>Not started</t>
        </is>
      </c>
      <c r="O58" s="14" t="n"/>
    </row>
    <row r="59">
      <c r="A59" s="14" t="inlineStr">
        <is>
          <t>SBM_HOLD_COVER_UNBOOKED_ALERT_DAYS</t>
        </is>
      </c>
      <c r="B59" s="14" t="inlineStr">
        <is>
          <t>Submitted</t>
        </is>
      </c>
      <c r="C59" s="14" t="inlineStr">
        <is>
          <t>Submitted Policies</t>
        </is>
      </c>
      <c r="D59" s="14" t="inlineStr">
        <is>
          <t>Product Owner, Submitted Policies</t>
        </is>
      </c>
      <c r="E59" s="14" t="inlineStr">
        <is>
          <t>Days before a confirmed hold cover ends at which a renewal account not yet booked is alerted</t>
        </is>
      </c>
      <c r="F59" s="14" t="inlineStr">
        <is>
          <t>integer</t>
        </is>
      </c>
      <c r="G59" s="14" t="inlineStr">
        <is>
          <t>5</t>
        </is>
      </c>
      <c r="H59" s="14" t="inlineStr">
        <is>
          <t>0 to 60</t>
        </is>
      </c>
      <c r="I59" s="14" t="inlineStr">
        <is>
          <t>This sheet</t>
        </is>
      </c>
      <c r="J59" s="14" t="inlineStr">
        <is>
          <t>16-Jul-2027 (T-24 weeks)</t>
        </is>
      </c>
      <c r="K59" s="14" t="n"/>
      <c r="L59" s="14" t="n"/>
      <c r="M59" s="14" t="n"/>
      <c r="N59" s="14" t="inlineStr">
        <is>
          <t>Not started</t>
        </is>
      </c>
      <c r="O59" s="14" t="n"/>
    </row>
    <row r="60">
      <c r="A60" s="14" t="inlineStr">
        <is>
          <t>SBM_RENEWAL_LEAD_DAYS</t>
        </is>
      </c>
      <c r="B60" s="14" t="inlineStr">
        <is>
          <t>Submitted</t>
        </is>
      </c>
      <c r="C60" s="14" t="inlineStr">
        <is>
          <t>Submitted Policies</t>
        </is>
      </c>
      <c r="D60" s="14" t="inlineStr">
        <is>
          <t>Product Owner, Submitted Policies</t>
        </is>
      </c>
      <c r="E60" s="14" t="inlineStr">
        <is>
          <t>Days before expiry at which a submitted policy for renewal is handed to Renewal, per segment (* = other segments)</t>
        </is>
      </c>
      <c r="F60" s="14" t="inlineStr">
        <is>
          <t>string</t>
        </is>
      </c>
      <c r="G60" s="14" t="inlineStr">
        <is>
          <t>CBG_FIRE=150,CBG_MOTOR=120,*=90</t>
        </is>
      </c>
      <c r="H60" s="14" t="inlineStr"/>
      <c r="I60" s="14" t="inlineStr">
        <is>
          <t>This sheet</t>
        </is>
      </c>
      <c r="J60" s="14" t="inlineStr">
        <is>
          <t>16-Jul-2027 (T-24 weeks)</t>
        </is>
      </c>
      <c r="K60" s="14" t="n"/>
      <c r="L60" s="14" t="n"/>
      <c r="M60" s="14" t="n"/>
      <c r="N60" s="14" t="inlineStr">
        <is>
          <t>Not started</t>
        </is>
      </c>
      <c r="O60" s="14" t="n"/>
    </row>
    <row r="61">
      <c r="A61" s="14" t="inlineStr">
        <is>
          <t>SBM_REVIEW_SLA_DAYS</t>
        </is>
      </c>
      <c r="B61" s="14" t="inlineStr">
        <is>
          <t>Submitted</t>
        </is>
      </c>
      <c r="C61" s="14" t="inlineStr">
        <is>
          <t>Submitted Policies</t>
        </is>
      </c>
      <c r="D61" s="14" t="inlineStr">
        <is>
          <t>Product Owner, Submitted Policies</t>
        </is>
      </c>
      <c r="E61" s="14" t="inlineStr">
        <is>
          <t>Days an IAAF or TOR approval level may wait before it is alerted</t>
        </is>
      </c>
      <c r="F61" s="14" t="inlineStr">
        <is>
          <t>integer</t>
        </is>
      </c>
      <c r="G61" s="14" t="inlineStr">
        <is>
          <t>5</t>
        </is>
      </c>
      <c r="H61" s="14" t="inlineStr">
        <is>
          <t>1 to 60</t>
        </is>
      </c>
      <c r="I61" s="14" t="inlineStr">
        <is>
          <t>This sheet</t>
        </is>
      </c>
      <c r="J61" s="14" t="inlineStr">
        <is>
          <t>16-Jul-2027 (T-24 weeks)</t>
        </is>
      </c>
      <c r="K61" s="14" t="n"/>
      <c r="L61" s="14" t="n"/>
      <c r="M61" s="14" t="n"/>
      <c r="N61" s="14" t="inlineStr">
        <is>
          <t>Not started</t>
        </is>
      </c>
      <c r="O61" s="14" t="n"/>
    </row>
  </sheetData>
  <autoFilter ref="A4:O61"/>
  <conditionalFormatting sqref="N5:N61">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O61">
    <cfRule type="expression" priority="6" dxfId="7">
      <formula>AND(MOD(ROW(),2)=0,$A5&lt;&gt;"")</formula>
    </cfRule>
  </conditionalFormatting>
  <dataValidations count="1">
    <dataValidation sqref="N5:N61"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59.xml><?xml version="1.0" encoding="utf-8"?>
<worksheet xmlns="http://schemas.openxmlformats.org/spreadsheetml/2006/main">
  <sheetPr>
    <outlinePr summaryBelow="1" summaryRight="1"/>
    <pageSetUpPr fitToPage="1"/>
  </sheetPr>
  <dimension ref="A1:H15"/>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60" customWidth="1" min="3" max="3"/>
    <col width="16" customWidth="1" min="4" max="4"/>
    <col width="28" customWidth="1" min="5" max="5"/>
    <col width="16" customWidth="1" min="6" max="6"/>
    <col width="14" customWidth="1" min="7" max="7"/>
    <col width="36" customWidth="1" min="8" max="8"/>
  </cols>
  <sheetData>
    <row r="1" ht="26" customHeight="1">
      <c r="A1" s="25" t="inlineStr">
        <is>
          <t>Review list: numbering prefixes</t>
        </is>
      </c>
    </row>
    <row r="2">
      <c r="A2" s="27" t="inlineStr">
        <is>
          <t>← Back to Start here</t>
        </is>
      </c>
      <c r="B2" s="55" t="inlineStr">
        <is>
          <t>Prefixes of the numbered documents; receipt series come from R11, check numbers from D0-12</t>
        </is>
      </c>
    </row>
    <row r="4" ht="30" customHeight="1">
      <c r="A4" s="11" t="inlineStr">
        <is>
          <t>Parameter</t>
        </is>
      </c>
      <c r="B4" s="11" t="inlineStr">
        <is>
          <t>Module</t>
        </is>
      </c>
      <c r="C4" s="11" t="inlineStr">
        <is>
          <t>Numbered document</t>
        </is>
      </c>
      <c r="D4" s="11" t="inlineStr">
        <is>
          <t>Prefix proposed</t>
        </is>
      </c>
      <c r="E4" s="11" t="inlineStr">
        <is>
          <t>Owner (BDOI unit)</t>
        </is>
      </c>
      <c r="F4" s="11" t="inlineStr">
        <is>
          <t>Prefix wanted</t>
        </is>
      </c>
      <c r="G4" s="11" t="inlineStr">
        <is>
          <t>Status</t>
        </is>
      </c>
      <c r="H4" s="11" t="inlineStr">
        <is>
          <t>BDOI comments</t>
        </is>
      </c>
    </row>
    <row r="5">
      <c r="A5" s="14" t="inlineStr">
        <is>
          <t>PROPOSAL_NUMBER_PREFIX</t>
        </is>
      </c>
      <c r="B5" s="14" t="inlineStr">
        <is>
          <t>New Business</t>
        </is>
      </c>
      <c r="C5" s="14" t="inlineStr">
        <is>
          <t>Prefix of the PRF marketing reference (&lt;prefix&gt;-&lt;yyyy&gt;-nnnnnn)</t>
        </is>
      </c>
      <c r="D5" s="14" t="inlineStr">
        <is>
          <t>PRF</t>
        </is>
      </c>
      <c r="E5" s="14" t="inlineStr">
        <is>
          <t>Product Owner, BDOI (New Business)</t>
        </is>
      </c>
      <c r="F5" s="14" t="n"/>
      <c r="G5" s="14" t="inlineStr">
        <is>
          <t>Not started</t>
        </is>
      </c>
      <c r="H5" s="14" t="n"/>
    </row>
    <row r="6">
      <c r="A6" s="14" t="inlineStr">
        <is>
          <t>PROPOSAL_SLIP_PREFIX</t>
        </is>
      </c>
      <c r="B6" s="14" t="inlineStr">
        <is>
          <t>New Business</t>
        </is>
      </c>
      <c r="C6" s="14" t="inlineStr">
        <is>
          <t>Prefix of proposal slip numbers (&lt;prefix&gt;-&lt;yyyy&gt;-nnnnnn)</t>
        </is>
      </c>
      <c r="D6" s="14" t="inlineStr">
        <is>
          <t>PS</t>
        </is>
      </c>
      <c r="E6" s="14" t="inlineStr">
        <is>
          <t>Product Owner, BDOI (New Business)</t>
        </is>
      </c>
      <c r="F6" s="14" t="n"/>
      <c r="G6" s="14" t="inlineStr">
        <is>
          <t>Not started</t>
        </is>
      </c>
      <c r="H6" s="14" t="n"/>
    </row>
    <row r="7">
      <c r="A7" s="14" t="inlineStr">
        <is>
          <t>QUOTATION_NUMBER_PREFIX</t>
        </is>
      </c>
      <c r="B7" s="14" t="inlineStr">
        <is>
          <t>New Business</t>
        </is>
      </c>
      <c r="C7" s="14" t="inlineStr">
        <is>
          <t>Prefix of package quotation numbers (&lt;prefix&gt;-&lt;yyyy&gt;-nnnnnn), shown as Proposal No.</t>
        </is>
      </c>
      <c r="D7" s="14" t="inlineStr">
        <is>
          <t>QT</t>
        </is>
      </c>
      <c r="E7" s="14" t="inlineStr">
        <is>
          <t>Product Owner, BDOI (New Business)</t>
        </is>
      </c>
      <c r="F7" s="14" t="n"/>
      <c r="G7" s="14" t="inlineStr">
        <is>
          <t>Not started</t>
        </is>
      </c>
      <c r="H7" s="14" t="n"/>
    </row>
    <row r="8">
      <c r="A8" s="14" t="inlineStr">
        <is>
          <t>QUOTATION_REQUEST_PREFIX</t>
        </is>
      </c>
      <c r="B8" s="14" t="inlineStr">
        <is>
          <t>New Business</t>
        </is>
      </c>
      <c r="C8" s="14" t="inlineStr">
        <is>
          <t>Prefix of quotation request numbers (&lt;prefix&gt;-&lt;yyyy&gt;-nnnnnn)</t>
        </is>
      </c>
      <c r="D8" s="14" t="inlineStr">
        <is>
          <t>REQ</t>
        </is>
      </c>
      <c r="E8" s="14" t="inlineStr">
        <is>
          <t>Product Owner, BDOI (New Business)</t>
        </is>
      </c>
      <c r="F8" s="14" t="n"/>
      <c r="G8" s="14" t="inlineStr">
        <is>
          <t>Not started</t>
        </is>
      </c>
      <c r="H8" s="14" t="n"/>
    </row>
    <row r="9">
      <c r="A9" s="14" t="inlineStr">
        <is>
          <t>QUOTATION_SLIP_PREFIX</t>
        </is>
      </c>
      <c r="B9" s="14" t="inlineStr">
        <is>
          <t>New Business</t>
        </is>
      </c>
      <c r="C9" s="14" t="inlineStr">
        <is>
          <t>Prefix of quotation slip numbers (&lt;prefix&gt;-&lt;yyyy&gt;-nnnnnn)</t>
        </is>
      </c>
      <c r="D9" s="14" t="inlineStr">
        <is>
          <t>QS</t>
        </is>
      </c>
      <c r="E9" s="14" t="inlineStr">
        <is>
          <t>Product Owner, BDOI (New Business)</t>
        </is>
      </c>
      <c r="F9" s="14" t="n"/>
      <c r="G9" s="14" t="inlineStr">
        <is>
          <t>Not started</t>
        </is>
      </c>
      <c r="H9" s="14" t="n"/>
    </row>
    <row r="10">
      <c r="A10" s="14" t="inlineStr">
        <is>
          <t>MIG_INVOICE_NO_COLLISION_PREFIX</t>
        </is>
      </c>
      <c r="B10" s="14" t="inlineStr">
        <is>
          <t>Data Migration</t>
        </is>
      </c>
      <c r="C10" s="14" t="inlineStr">
        <is>
          <t>Prefix the source system to a legacy invoice number found in two source systems</t>
        </is>
      </c>
      <c r="D10" s="14" t="inlineStr">
        <is>
          <t>true</t>
        </is>
      </c>
      <c r="E10" s="14" t="inlineStr">
        <is>
          <t>Program Manager, Business Project Services (Data Migration)</t>
        </is>
      </c>
      <c r="F10" s="14" t="n"/>
      <c r="G10" s="14" t="inlineStr">
        <is>
          <t>Not started</t>
        </is>
      </c>
      <c r="H10" s="14" t="n"/>
    </row>
    <row r="11">
      <c r="A11" s="14" t="inlineStr">
        <is>
          <t>PKG_QS_PREFIX</t>
        </is>
      </c>
      <c r="B11" s="14" t="inlineStr">
        <is>
          <t>Product Maintenance</t>
        </is>
      </c>
      <c r="C11" s="14" t="inlineStr">
        <is>
          <t>Prefix of package quotation slip numbers; the year is appended</t>
        </is>
      </c>
      <c r="D11" s="14" t="inlineStr">
        <is>
          <t>PQS-</t>
        </is>
      </c>
      <c r="E11" s="14" t="inlineStr">
        <is>
          <t>Product Owner, Marketing Business System (MBS)</t>
        </is>
      </c>
      <c r="F11" s="14" t="n"/>
      <c r="G11" s="14" t="inlineStr">
        <is>
          <t>Not started</t>
        </is>
      </c>
      <c r="H11" s="14" t="n"/>
    </row>
    <row r="12">
      <c r="A12" s="14" t="inlineStr">
        <is>
          <t>PKG_REQUEST_PREFIX</t>
        </is>
      </c>
      <c r="B12" s="14" t="inlineStr">
        <is>
          <t>Product Maintenance</t>
        </is>
      </c>
      <c r="C12" s="14" t="inlineStr">
        <is>
          <t>Prefix of package request numbers; the year is appended</t>
        </is>
      </c>
      <c r="D12" s="14" t="inlineStr">
        <is>
          <t>PKR-</t>
        </is>
      </c>
      <c r="E12" s="14" t="inlineStr">
        <is>
          <t>Product Owner, Marketing Business System (MBS)</t>
        </is>
      </c>
      <c r="F12" s="14" t="n"/>
      <c r="G12" s="14" t="inlineStr">
        <is>
          <t>Not started</t>
        </is>
      </c>
      <c r="H12" s="14" t="n"/>
    </row>
    <row r="13">
      <c r="A13" s="14" t="inlineStr">
        <is>
          <t>RNW_REFERENCE_PREFIX</t>
        </is>
      </c>
      <c r="B13" s="14" t="inlineStr">
        <is>
          <t>Renewal</t>
        </is>
      </c>
      <c r="C13" s="14" t="inlineStr">
        <is>
          <t>Prefix of the renewal reference (prefix-yyyy-nnnnnn)</t>
        </is>
      </c>
      <c r="D13" s="14" t="inlineStr">
        <is>
          <t>RNW</t>
        </is>
      </c>
      <c r="E13" s="14" t="inlineStr">
        <is>
          <t>Product Owner, Renewal</t>
        </is>
      </c>
      <c r="F13" s="14" t="n"/>
      <c r="G13" s="14" t="inlineStr">
        <is>
          <t>Not started</t>
        </is>
      </c>
      <c r="H13" s="14" t="n"/>
    </row>
    <row r="14">
      <c r="A14" s="14" t="inlineStr">
        <is>
          <t>SCR_CASE_SEQUENCE_PREFIX</t>
        </is>
      </c>
      <c r="B14" s="14" t="inlineStr">
        <is>
          <t>Sanction Screening</t>
        </is>
      </c>
      <c r="C14" s="14" t="inlineStr">
        <is>
          <t>Prefix of the screening case number &lt;prefix&gt;-yyyy-nnnnnn</t>
        </is>
      </c>
      <c r="D14" s="14" t="inlineStr">
        <is>
          <t>SCR</t>
        </is>
      </c>
      <c r="E14" s="14" t="inlineStr">
        <is>
          <t>Compliance</t>
        </is>
      </c>
      <c r="F14" s="14" t="n"/>
      <c r="G14" s="14" t="inlineStr">
        <is>
          <t>Not started</t>
        </is>
      </c>
      <c r="H14" s="14" t="n"/>
    </row>
    <row r="15">
      <c r="A15" s="14" t="inlineStr">
        <is>
          <t>SBM_NUMBER_PREFIX</t>
        </is>
      </c>
      <c r="B15" s="14" t="inlineStr">
        <is>
          <t>Submitted Policies</t>
        </is>
      </c>
      <c r="C15" s="14" t="inlineStr">
        <is>
          <t>Prefix of the masterlist number (prefix-yyyy-nnnnnn)</t>
        </is>
      </c>
      <c r="D15" s="14" t="inlineStr">
        <is>
          <t>SBM</t>
        </is>
      </c>
      <c r="E15" s="14" t="inlineStr">
        <is>
          <t>Product Owner, Submitted Policies</t>
        </is>
      </c>
      <c r="F15" s="14" t="n"/>
      <c r="G15" s="14" t="inlineStr">
        <is>
          <t>Not started</t>
        </is>
      </c>
      <c r="H15" s="14" t="n"/>
    </row>
  </sheetData>
  <autoFilter ref="A4:H15"/>
  <conditionalFormatting sqref="G5:G15">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H15">
    <cfRule type="expression" priority="6" dxfId="7">
      <formula>AND(MOD(ROW(),2)=0,$A5&lt;&gt;"")</formula>
    </cfRule>
  </conditionalFormatting>
  <dataValidations count="1">
    <dataValidation sqref="G5:G15"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60.xml><?xml version="1.0" encoding="utf-8"?>
<worksheet xmlns="http://schemas.openxmlformats.org/spreadsheetml/2006/main">
  <sheetPr>
    <outlinePr summaryBelow="1" summaryRight="1"/>
    <pageSetUpPr fitToPage="1"/>
  </sheetPr>
  <dimension ref="A1:L98"/>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20" customWidth="1" min="3" max="3"/>
    <col width="28" customWidth="1" min="4" max="4"/>
    <col width="50" customWidth="1" min="5" max="5"/>
    <col width="10" customWidth="1" min="6" max="6"/>
    <col width="10" customWidth="1" min="7" max="7"/>
    <col width="10" customWidth="1" min="8" max="8"/>
    <col width="10" customWidth="1" min="9" max="9"/>
    <col width="30" customWidth="1" min="10" max="10"/>
    <col width="14" customWidth="1" min="11" max="11"/>
    <col width="36" customWidth="1" min="12" max="12"/>
  </cols>
  <sheetData>
    <row r="1" ht="26" customHeight="1">
      <c r="A1" s="25" t="inlineStr">
        <is>
          <t>Review list: notification events</t>
        </is>
      </c>
    </row>
    <row r="2">
      <c r="A2" s="27" t="inlineStr">
        <is>
          <t>← Back to Start here</t>
        </is>
      </c>
      <c r="B2" s="55" t="inlineStr">
        <is>
          <t>Every notification event with its default channels and the unit mailbox that also receives it; users choose their own channels in Notification Settings</t>
        </is>
      </c>
    </row>
    <row r="4" ht="30" customHeight="1">
      <c r="A4" s="11" t="inlineStr">
        <is>
          <t>Event</t>
        </is>
      </c>
      <c r="B4" s="11" t="inlineStr">
        <is>
          <t>Name</t>
        </is>
      </c>
      <c r="C4" s="11" t="inlineStr">
        <is>
          <t>Module</t>
        </is>
      </c>
      <c r="D4" s="11" t="inlineStr">
        <is>
          <t>Owner (BDOI unit)</t>
        </is>
      </c>
      <c r="E4" s="11" t="inlineStr">
        <is>
          <t>Who is told and when</t>
        </is>
      </c>
      <c r="F4" s="11" t="inlineStr">
        <is>
          <t>In-app proposed</t>
        </is>
      </c>
      <c r="G4" s="11" t="inlineStr">
        <is>
          <t>E-mail proposed</t>
        </is>
      </c>
      <c r="H4" s="11" t="inlineStr">
        <is>
          <t>In-app wanted</t>
        </is>
      </c>
      <c r="I4" s="11" t="inlineStr">
        <is>
          <t>E-mail wanted</t>
        </is>
      </c>
      <c r="J4" s="11" t="inlineStr">
        <is>
          <t>Unit mailbox (recipient)</t>
        </is>
      </c>
      <c r="K4" s="11" t="inlineStr">
        <is>
          <t>Status</t>
        </is>
      </c>
      <c r="L4" s="11" t="inlineStr">
        <is>
          <t>BDOI comments</t>
        </is>
      </c>
    </row>
    <row r="5">
      <c r="A5" s="14" t="inlineStr">
        <is>
          <t>ACSL_CASE_STATUS</t>
        </is>
      </c>
      <c r="B5" s="14" t="inlineStr">
        <is>
          <t>ACSL case or correction status</t>
        </is>
      </c>
      <c r="C5" s="14" t="inlineStr">
        <is>
          <t>Accounting, Disbursement and ACSL</t>
        </is>
      </c>
      <c r="D5" s="14" t="inlineStr">
        <is>
          <t>Head, Comptrollership</t>
        </is>
      </c>
      <c r="E5" s="14" t="inlineStr">
        <is>
          <t>An ACSL case you requested has a result, or a correction entry you prepared was returned, approved or posted</t>
        </is>
      </c>
      <c r="F5" s="14" t="inlineStr">
        <is>
          <t>Y</t>
        </is>
      </c>
      <c r="G5" s="14" t="inlineStr">
        <is>
          <t>N</t>
        </is>
      </c>
      <c r="H5" s="14" t="n"/>
      <c r="I5" s="14" t="n"/>
      <c r="J5" s="14" t="n"/>
      <c r="K5" s="14" t="inlineStr">
        <is>
          <t>Not started</t>
        </is>
      </c>
      <c r="L5" s="14" t="n"/>
    </row>
    <row r="6">
      <c r="A6" s="14" t="inlineStr">
        <is>
          <t>ACSL_GLSL_DIFFERENCE</t>
        </is>
      </c>
      <c r="B6" s="14" t="inlineStr">
        <is>
          <t>GL-SL difference found</t>
        </is>
      </c>
      <c r="C6" s="14" t="inlineStr">
        <is>
          <t>Accounting, Disbursement and ACSL</t>
        </is>
      </c>
      <c r="D6" s="14" t="inlineStr">
        <is>
          <t>Head, Comptrollership</t>
        </is>
      </c>
      <c r="E6" s="14" t="inlineStr">
        <is>
          <t>The GL-SL reconciliation found a control account whose sub-ledger differs from the general ledger</t>
        </is>
      </c>
      <c r="F6" s="14" t="inlineStr">
        <is>
          <t>Y</t>
        </is>
      </c>
      <c r="G6" s="14" t="inlineStr">
        <is>
          <t>Y</t>
        </is>
      </c>
      <c r="H6" s="14" t="n"/>
      <c r="I6" s="14" t="n"/>
      <c r="J6" s="14" t="n"/>
      <c r="K6" s="14" t="inlineStr">
        <is>
          <t>Not started</t>
        </is>
      </c>
      <c r="L6" s="14" t="n"/>
    </row>
    <row r="7">
      <c r="A7" s="14" t="inlineStr">
        <is>
          <t>ADJ_REQUEST_STATUS</t>
        </is>
      </c>
      <c r="B7" s="14" t="inlineStr">
        <is>
          <t>Endorsement request status</t>
        </is>
      </c>
      <c r="C7" s="14" t="inlineStr">
        <is>
          <t>Operations</t>
        </is>
      </c>
      <c r="D7" s="14" t="inlineStr">
        <is>
          <t>Head, Operations Services</t>
        </is>
      </c>
      <c r="E7" s="14" t="inlineStr">
        <is>
          <t>An endorsement request you raised was returned, approved or posted</t>
        </is>
      </c>
      <c r="F7" s="14" t="inlineStr">
        <is>
          <t>Y</t>
        </is>
      </c>
      <c r="G7" s="14" t="inlineStr">
        <is>
          <t>N</t>
        </is>
      </c>
      <c r="H7" s="14" t="n"/>
      <c r="I7" s="14" t="n"/>
      <c r="J7" s="14" t="n"/>
      <c r="K7" s="14" t="inlineStr">
        <is>
          <t>Not started</t>
        </is>
      </c>
      <c r="L7" s="14" t="n"/>
    </row>
    <row r="8">
      <c r="A8" s="14" t="inlineStr">
        <is>
          <t>BOOKING_BILLING_BOOKED</t>
        </is>
      </c>
      <c r="B8" s="14" t="inlineStr">
        <is>
          <t>Booked with billing number</t>
        </is>
      </c>
      <c r="C8" s="14" t="inlineStr">
        <is>
          <t>New Business</t>
        </is>
      </c>
      <c r="D8" s="14" t="inlineStr">
        <is>
          <t>Product Owner, BDOI (New Business)</t>
        </is>
      </c>
      <c r="E8" s="14" t="inlineStr">
        <is>
          <t>An account was booked with its insurer billing number</t>
        </is>
      </c>
      <c r="F8" s="14" t="inlineStr">
        <is>
          <t>Y</t>
        </is>
      </c>
      <c r="G8" s="14" t="inlineStr">
        <is>
          <t>N</t>
        </is>
      </c>
      <c r="H8" s="14" t="n"/>
      <c r="I8" s="14" t="n"/>
      <c r="J8" s="14" t="n"/>
      <c r="K8" s="14" t="inlineStr">
        <is>
          <t>Not started</t>
        </is>
      </c>
      <c r="L8" s="14" t="n"/>
    </row>
    <row r="9">
      <c r="A9" s="14" t="inlineStr">
        <is>
          <t>BOOKING_BILLING_DUPLICATE</t>
        </is>
      </c>
      <c r="B9" s="14" t="inlineStr">
        <is>
          <t>Duplicate billing number</t>
        </is>
      </c>
      <c r="C9" s="14" t="inlineStr">
        <is>
          <t>New Business</t>
        </is>
      </c>
      <c r="D9" s="14" t="inlineStr">
        <is>
          <t>Product Owner, BDOI (New Business)</t>
        </is>
      </c>
      <c r="E9" s="14" t="inlineStr">
        <is>
          <t>A booking was refused because the insurer billing number is already on an invoice</t>
        </is>
      </c>
      <c r="F9" s="14" t="inlineStr">
        <is>
          <t>Y</t>
        </is>
      </c>
      <c r="G9" s="14" t="inlineStr">
        <is>
          <t>Y</t>
        </is>
      </c>
      <c r="H9" s="14" t="n"/>
      <c r="I9" s="14" t="n"/>
      <c r="J9" s="14" t="n"/>
      <c r="K9" s="14" t="inlineStr">
        <is>
          <t>Not started</t>
        </is>
      </c>
      <c r="L9" s="14" t="n"/>
    </row>
    <row r="10">
      <c r="A10" s="14" t="inlineStr">
        <is>
          <t>CASH_APPROVAL_REQUEST</t>
        </is>
      </c>
      <c r="B10" s="14" t="inlineStr">
        <is>
          <t>Cashiering approval request</t>
        </is>
      </c>
      <c r="C10" s="14" t="inlineStr">
        <is>
          <t>Operations</t>
        </is>
      </c>
      <c r="D10" s="14" t="inlineStr">
        <is>
          <t>Head, Operations Services</t>
        </is>
      </c>
      <c r="E10" s="14" t="inlineStr">
        <is>
          <t>A receipt cancellation, reinstatement or disposition waits for approval</t>
        </is>
      </c>
      <c r="F10" s="14" t="inlineStr">
        <is>
          <t>Y</t>
        </is>
      </c>
      <c r="G10" s="14" t="inlineStr">
        <is>
          <t>N</t>
        </is>
      </c>
      <c r="H10" s="14" t="n"/>
      <c r="I10" s="14" t="n"/>
      <c r="J10" s="14" t="n"/>
      <c r="K10" s="14" t="inlineStr">
        <is>
          <t>Not started</t>
        </is>
      </c>
      <c r="L10" s="14" t="n"/>
    </row>
    <row r="11">
      <c r="A11" s="14" t="inlineStr">
        <is>
          <t>BCL_FOLLOW_UP_DUE</t>
        </is>
      </c>
      <c r="B11" s="14" t="inlineStr">
        <is>
          <t>Claim follow-up due</t>
        </is>
      </c>
      <c r="C11" s="14" t="inlineStr">
        <is>
          <t>Claims</t>
        </is>
      </c>
      <c r="D11" s="14" t="inlineStr">
        <is>
          <t>Product Owner, Claims</t>
        </is>
      </c>
      <c r="E11" s="14" t="inlineStr">
        <is>
          <t>A claim of yours has its next follow-up or a diary entry due today</t>
        </is>
      </c>
      <c r="F11" s="14" t="inlineStr">
        <is>
          <t>Y</t>
        </is>
      </c>
      <c r="G11" s="14" t="inlineStr">
        <is>
          <t>N</t>
        </is>
      </c>
      <c r="H11" s="14" t="n"/>
      <c r="I11" s="14" t="n"/>
      <c r="J11" s="14" t="n"/>
      <c r="K11" s="14" t="inlineStr">
        <is>
          <t>Not started</t>
        </is>
      </c>
      <c r="L11" s="14" t="n"/>
    </row>
    <row r="12">
      <c r="A12" s="14" t="inlineStr">
        <is>
          <t>BCL_CLAIM_ASSIGNED</t>
        </is>
      </c>
      <c r="B12" s="14" t="inlineStr">
        <is>
          <t>Claim assigned</t>
        </is>
      </c>
      <c r="C12" s="14" t="inlineStr">
        <is>
          <t>Claims</t>
        </is>
      </c>
      <c r="D12" s="14" t="inlineStr">
        <is>
          <t>Product Owner, Claims</t>
        </is>
      </c>
      <c r="E12" s="14" t="inlineStr">
        <is>
          <t>A claim was assigned or re-assigned to you</t>
        </is>
      </c>
      <c r="F12" s="14" t="inlineStr">
        <is>
          <t>Y</t>
        </is>
      </c>
      <c r="G12" s="14" t="inlineStr">
        <is>
          <t>Y</t>
        </is>
      </c>
      <c r="H12" s="14" t="n"/>
      <c r="I12" s="14" t="n"/>
      <c r="J12" s="14" t="n"/>
      <c r="K12" s="14" t="inlineStr">
        <is>
          <t>Not started</t>
        </is>
      </c>
      <c r="L12" s="14" t="n"/>
    </row>
    <row r="13">
      <c r="A13" s="14" t="inlineStr">
        <is>
          <t>BCL_STATUS_CHANGED</t>
        </is>
      </c>
      <c r="B13" s="14" t="inlineStr">
        <is>
          <t>Claim status changed</t>
        </is>
      </c>
      <c r="C13" s="14" t="inlineStr">
        <is>
          <t>Claims</t>
        </is>
      </c>
      <c r="D13" s="14" t="inlineStr">
        <is>
          <t>Product Owner, Claims</t>
        </is>
      </c>
      <c r="E13" s="14" t="inlineStr">
        <is>
          <t>The status of a claim of one of your accounts changed</t>
        </is>
      </c>
      <c r="F13" s="14" t="inlineStr">
        <is>
          <t>Y</t>
        </is>
      </c>
      <c r="G13" s="14" t="inlineStr">
        <is>
          <t>N</t>
        </is>
      </c>
      <c r="H13" s="14" t="n"/>
      <c r="I13" s="14" t="n"/>
      <c r="J13" s="14" t="n"/>
      <c r="K13" s="14" t="inlineStr">
        <is>
          <t>Not started</t>
        </is>
      </c>
      <c r="L13" s="14" t="n"/>
    </row>
    <row r="14">
      <c r="A14" s="14" t="inlineStr">
        <is>
          <t>BCL_PREMIUM_REMITTED</t>
        </is>
      </c>
      <c r="B14" s="14" t="inlineStr">
        <is>
          <t>Claim premium remitted</t>
        </is>
      </c>
      <c r="C14" s="14" t="inlineStr">
        <is>
          <t>Claims</t>
        </is>
      </c>
      <c r="D14" s="14" t="inlineStr">
        <is>
          <t>Product Owner, Claims</t>
        </is>
      </c>
      <c r="E14" s="14" t="inlineStr">
        <is>
          <t>The premium of a claim awaiting premium remittance was fully remitted to the insurer</t>
        </is>
      </c>
      <c r="F14" s="14" t="inlineStr">
        <is>
          <t>Y</t>
        </is>
      </c>
      <c r="G14" s="14" t="inlineStr">
        <is>
          <t>N</t>
        </is>
      </c>
      <c r="H14" s="14" t="n"/>
      <c r="I14" s="14" t="n"/>
      <c r="J14" s="14" t="n"/>
      <c r="K14" s="14" t="inlineStr">
        <is>
          <t>Not started</t>
        </is>
      </c>
      <c r="L14" s="14" t="n"/>
    </row>
    <row r="15">
      <c r="A15" s="14" t="inlineStr">
        <is>
          <t>BCL_NEWER_COVER_VERSION</t>
        </is>
      </c>
      <c r="B15" s="14" t="inlineStr">
        <is>
          <t>Newer cover version</t>
        </is>
      </c>
      <c r="C15" s="14" t="inlineStr">
        <is>
          <t>Claims</t>
        </is>
      </c>
      <c r="D15" s="14" t="inlineStr">
        <is>
          <t>Product Owner, Claims</t>
        </is>
      </c>
      <c r="E15" s="14" t="inlineStr">
        <is>
          <t>An endorsement was booked on the cover of an open claim of yours</t>
        </is>
      </c>
      <c r="F15" s="14" t="inlineStr">
        <is>
          <t>Y</t>
        </is>
      </c>
      <c r="G15" s="14" t="inlineStr">
        <is>
          <t>N</t>
        </is>
      </c>
      <c r="H15" s="14" t="n"/>
      <c r="I15" s="14" t="n"/>
      <c r="J15" s="14" t="n"/>
      <c r="K15" s="14" t="inlineStr">
        <is>
          <t>Not started</t>
        </is>
      </c>
      <c r="L15" s="14" t="n"/>
    </row>
    <row r="16">
      <c r="A16" s="14" t="inlineStr">
        <is>
          <t>CLX_ESCALATED</t>
        </is>
      </c>
      <c r="B16" s="14" t="inlineStr">
        <is>
          <t>Account escalated</t>
        </is>
      </c>
      <c r="C16" s="14" t="inlineStr">
        <is>
          <t>Collections</t>
        </is>
      </c>
      <c r="D16" s="14" t="inlineStr">
        <is>
          <t>VP and Head, BDOI Operations (Collections)</t>
        </is>
      </c>
      <c r="E16" s="14" t="inlineStr">
        <is>
          <t>A collection account was escalated to you or by your team</t>
        </is>
      </c>
      <c r="F16" s="14" t="inlineStr">
        <is>
          <t>Y</t>
        </is>
      </c>
      <c r="G16" s="14" t="inlineStr">
        <is>
          <t>Y</t>
        </is>
      </c>
      <c r="H16" s="14" t="n"/>
      <c r="I16" s="14" t="n"/>
      <c r="J16" s="14" t="n"/>
      <c r="K16" s="14" t="inlineStr">
        <is>
          <t>Not started</t>
        </is>
      </c>
      <c r="L16" s="14" t="n"/>
    </row>
    <row r="17">
      <c r="A17" s="14" t="inlineStr">
        <is>
          <t>CLX_REASSIGNED</t>
        </is>
      </c>
      <c r="B17" s="14" t="inlineStr">
        <is>
          <t>Account reassigned</t>
        </is>
      </c>
      <c r="C17" s="14" t="inlineStr">
        <is>
          <t>Collections</t>
        </is>
      </c>
      <c r="D17" s="14" t="inlineStr">
        <is>
          <t>VP and Head, BDOI Operations (Collections)</t>
        </is>
      </c>
      <c r="E17" s="14" t="inlineStr">
        <is>
          <t>Collection accounts were assigned to you or taken from you</t>
        </is>
      </c>
      <c r="F17" s="14" t="inlineStr">
        <is>
          <t>Y</t>
        </is>
      </c>
      <c r="G17" s="14" t="inlineStr">
        <is>
          <t>N</t>
        </is>
      </c>
      <c r="H17" s="14" t="n"/>
      <c r="I17" s="14" t="n"/>
      <c r="J17" s="14" t="n"/>
      <c r="K17" s="14" t="inlineStr">
        <is>
          <t>Not started</t>
        </is>
      </c>
      <c r="L17" s="14" t="n"/>
    </row>
    <row r="18">
      <c r="A18" s="14" t="inlineStr">
        <is>
          <t>CLX_PROMISE_BROKEN</t>
        </is>
      </c>
      <c r="B18" s="14" t="inlineStr">
        <is>
          <t>Promise to pay broken</t>
        </is>
      </c>
      <c r="C18" s="14" t="inlineStr">
        <is>
          <t>Collections</t>
        </is>
      </c>
      <c r="D18" s="14" t="inlineStr">
        <is>
          <t>VP and Head, BDOI Operations (Collections)</t>
        </is>
      </c>
      <c r="E18" s="14" t="inlineStr">
        <is>
          <t>A promise to pay of one of your accounts was not kept</t>
        </is>
      </c>
      <c r="F18" s="14" t="inlineStr">
        <is>
          <t>Y</t>
        </is>
      </c>
      <c r="G18" s="14" t="inlineStr">
        <is>
          <t>N</t>
        </is>
      </c>
      <c r="H18" s="14" t="n"/>
      <c r="I18" s="14" t="n"/>
      <c r="J18" s="14" t="n"/>
      <c r="K18" s="14" t="inlineStr">
        <is>
          <t>Not started</t>
        </is>
      </c>
      <c r="L18" s="14" t="n"/>
    </row>
    <row r="19">
      <c r="A19" s="14" t="inlineStr">
        <is>
          <t>CLX_DP_RETURNED</t>
        </is>
      </c>
      <c r="B19" s="14" t="inlineStr">
        <is>
          <t>Direct payment returned by insurer</t>
        </is>
      </c>
      <c r="C19" s="14" t="inlineStr">
        <is>
          <t>Collections</t>
        </is>
      </c>
      <c r="D19" s="14" t="inlineStr">
        <is>
          <t>VP and Head, BDOI Operations (Collections)</t>
        </is>
      </c>
      <c r="E19" s="14" t="inlineStr">
        <is>
          <t>An insurer returned a direct payment account; it is back in your worklist</t>
        </is>
      </c>
      <c r="F19" s="14" t="inlineStr">
        <is>
          <t>Y</t>
        </is>
      </c>
      <c r="G19" s="14" t="inlineStr">
        <is>
          <t>N</t>
        </is>
      </c>
      <c r="H19" s="14" t="n"/>
      <c r="I19" s="14" t="n"/>
      <c r="J19" s="14" t="n"/>
      <c r="K19" s="14" t="inlineStr">
        <is>
          <t>Not started</t>
        </is>
      </c>
      <c r="L19" s="14" t="n"/>
    </row>
    <row r="20">
      <c r="A20" s="14" t="inlineStr">
        <is>
          <t>CLX_FILE_READY</t>
        </is>
      </c>
      <c r="B20" s="14" t="inlineStr">
        <is>
          <t>Collections file ready</t>
        </is>
      </c>
      <c r="C20" s="14" t="inlineStr">
        <is>
          <t>Collections</t>
        </is>
      </c>
      <c r="D20" s="14" t="inlineStr">
        <is>
          <t>VP and Head, BDOI Operations (Collections)</t>
        </is>
      </c>
      <c r="E20" s="14" t="inlineStr">
        <is>
          <t>A scheduled Collections file is available for download</t>
        </is>
      </c>
      <c r="F20" s="14" t="inlineStr">
        <is>
          <t>Y</t>
        </is>
      </c>
      <c r="G20" s="14" t="inlineStr">
        <is>
          <t>N</t>
        </is>
      </c>
      <c r="H20" s="14" t="n"/>
      <c r="I20" s="14" t="n"/>
      <c r="J20" s="14" t="n"/>
      <c r="K20" s="14" t="inlineStr">
        <is>
          <t>Not started</t>
        </is>
      </c>
      <c r="L20" s="14" t="n"/>
    </row>
    <row r="21">
      <c r="A21" s="14" t="inlineStr">
        <is>
          <t>DP_FEEDBACK_OVERDUE</t>
        </is>
      </c>
      <c r="B21" s="14" t="inlineStr">
        <is>
          <t>Direct payment feedback overdue</t>
        </is>
      </c>
      <c r="C21" s="14" t="inlineStr">
        <is>
          <t>Collections</t>
        </is>
      </c>
      <c r="D21" s="14" t="inlineStr">
        <is>
          <t>VP and Head, BDOI Operations (Collections)</t>
        </is>
      </c>
      <c r="E21" s="14" t="inlineStr">
        <is>
          <t>An insurer has not answered a direct payment billing in time</t>
        </is>
      </c>
      <c r="F21" s="14" t="inlineStr">
        <is>
          <t>Y</t>
        </is>
      </c>
      <c r="G21" s="14" t="inlineStr">
        <is>
          <t>Y</t>
        </is>
      </c>
      <c r="H21" s="14" t="n"/>
      <c r="I21" s="14" t="n"/>
      <c r="J21" s="14" t="n"/>
      <c r="K21" s="14" t="inlineStr">
        <is>
          <t>Not started</t>
        </is>
      </c>
      <c r="L21" s="14" t="n"/>
    </row>
    <row r="22">
      <c r="A22" s="14" t="inlineStr">
        <is>
          <t>CONFIG_IMPORT_TO_APPROVE</t>
        </is>
      </c>
      <c r="B22" s="14" t="inlineStr">
        <is>
          <t>Configuration import to approve</t>
        </is>
      </c>
      <c r="C22" s="14" t="inlineStr">
        <is>
          <t>Platform set-up</t>
        </is>
      </c>
      <c r="D22" s="14" t="inlineStr">
        <is>
          <t>BDOI IT</t>
        </is>
      </c>
      <c r="E22" s="14" t="inlineStr">
        <is>
          <t>A configuration package was checked and waits for the approval of a second user</t>
        </is>
      </c>
      <c r="F22" s="14" t="inlineStr">
        <is>
          <t>Y</t>
        </is>
      </c>
      <c r="G22" s="14" t="inlineStr">
        <is>
          <t>Y</t>
        </is>
      </c>
      <c r="H22" s="14" t="n"/>
      <c r="I22" s="14" t="n"/>
      <c r="J22" s="14" t="n"/>
      <c r="K22" s="14" t="inlineStr">
        <is>
          <t>Not started</t>
        </is>
      </c>
      <c r="L22" s="14" t="n"/>
    </row>
    <row r="23">
      <c r="A23" s="14" t="inlineStr">
        <is>
          <t>CONFIG_IMPORT_APPLIED</t>
        </is>
      </c>
      <c r="B23" s="14" t="inlineStr">
        <is>
          <t>Configuration import applied</t>
        </is>
      </c>
      <c r="C23" s="14" t="inlineStr">
        <is>
          <t>Platform set-up</t>
        </is>
      </c>
      <c r="D23" s="14" t="inlineStr">
        <is>
          <t>BDOI IT</t>
        </is>
      </c>
      <c r="E23" s="14" t="inlineStr">
        <is>
          <t>A configuration package was applied to this environment; the reconciliation is on the import</t>
        </is>
      </c>
      <c r="F23" s="14" t="inlineStr">
        <is>
          <t>Y</t>
        </is>
      </c>
      <c r="G23" s="14" t="inlineStr">
        <is>
          <t>Y</t>
        </is>
      </c>
      <c r="H23" s="14" t="n"/>
      <c r="I23" s="14" t="n"/>
      <c r="J23" s="14" t="n"/>
      <c r="K23" s="14" t="inlineStr">
        <is>
          <t>Not started</t>
        </is>
      </c>
      <c r="L23" s="14" t="n"/>
    </row>
    <row r="24">
      <c r="A24" s="14" t="inlineStr">
        <is>
          <t>CONFIG_IMPORT_REJECTED</t>
        </is>
      </c>
      <c r="B24" s="14" t="inlineStr">
        <is>
          <t>Configuration import rejected</t>
        </is>
      </c>
      <c r="C24" s="14" t="inlineStr">
        <is>
          <t>Platform set-up</t>
        </is>
      </c>
      <c r="D24" s="14" t="inlineStr">
        <is>
          <t>BDOI IT</t>
        </is>
      </c>
      <c r="E24" s="14" t="inlineStr">
        <is>
          <t>The approver rejected a configuration import; the reason is on the import</t>
        </is>
      </c>
      <c r="F24" s="14" t="inlineStr">
        <is>
          <t>Y</t>
        </is>
      </c>
      <c r="G24" s="14" t="inlineStr">
        <is>
          <t>N</t>
        </is>
      </c>
      <c r="H24" s="14" t="n"/>
      <c r="I24" s="14" t="n"/>
      <c r="J24" s="14" t="n"/>
      <c r="K24" s="14" t="inlineStr">
        <is>
          <t>Not started</t>
        </is>
      </c>
      <c r="L24" s="14" t="n"/>
    </row>
    <row r="25">
      <c r="A25" s="14" t="inlineStr">
        <is>
          <t>CONFIG_IMPORT_FAILED</t>
        </is>
      </c>
      <c r="B25" s="14" t="inlineStr">
        <is>
          <t>Configuration import failed</t>
        </is>
      </c>
      <c r="C25" s="14" t="inlineStr">
        <is>
          <t>Platform set-up</t>
        </is>
      </c>
      <c r="D25" s="14" t="inlineStr">
        <is>
          <t>BDOI IT</t>
        </is>
      </c>
      <c r="E25" s="14" t="inlineStr">
        <is>
          <t>A configuration import could not be applied; nothing of it was kept</t>
        </is>
      </c>
      <c r="F25" s="14" t="inlineStr">
        <is>
          <t>Y</t>
        </is>
      </c>
      <c r="G25" s="14" t="inlineStr">
        <is>
          <t>Y</t>
        </is>
      </c>
      <c r="H25" s="14" t="n"/>
      <c r="I25" s="14" t="n"/>
      <c r="J25" s="14" t="n"/>
      <c r="K25" s="14" t="inlineStr">
        <is>
          <t>Not started</t>
        </is>
      </c>
      <c r="L25" s="14" t="n"/>
    </row>
    <row r="26">
      <c r="A26" s="14" t="inlineStr">
        <is>
          <t>EB_FEEDBACK_RECEIVED</t>
        </is>
      </c>
      <c r="B26" s="14" t="inlineStr">
        <is>
          <t>EB client feedback received</t>
        </is>
      </c>
      <c r="C26" s="14" t="inlineStr">
        <is>
          <t>Employee Benefits</t>
        </is>
      </c>
      <c r="D26" s="14" t="inlineStr">
        <is>
          <t>Product Owner, Employee Benefits</t>
        </is>
      </c>
      <c r="E26" s="14" t="inlineStr">
        <is>
          <t>A client gave feedback on the renewal advice of your programme</t>
        </is>
      </c>
      <c r="F26" s="14" t="inlineStr">
        <is>
          <t>Y</t>
        </is>
      </c>
      <c r="G26" s="14" t="inlineStr">
        <is>
          <t>N</t>
        </is>
      </c>
      <c r="H26" s="14" t="n"/>
      <c r="I26" s="14" t="n"/>
      <c r="J26" s="14" t="n"/>
      <c r="K26" s="14" t="inlineStr">
        <is>
          <t>Not started</t>
        </is>
      </c>
      <c r="L26" s="14" t="n"/>
    </row>
    <row r="27">
      <c r="A27" s="14" t="inlineStr">
        <is>
          <t>EB_BOR_DECIDED</t>
        </is>
      </c>
      <c r="B27" s="14" t="inlineStr">
        <is>
          <t>EB Broker on Record decided</t>
        </is>
      </c>
      <c r="C27" s="14" t="inlineStr">
        <is>
          <t>Employee Benefits</t>
        </is>
      </c>
      <c r="D27" s="14" t="inlineStr">
        <is>
          <t>Product Owner, Employee Benefits</t>
        </is>
      </c>
      <c r="E27" s="14" t="inlineStr">
        <is>
          <t>A Broker on Record you uploaded was validated or rejected</t>
        </is>
      </c>
      <c r="F27" s="14" t="inlineStr">
        <is>
          <t>Y</t>
        </is>
      </c>
      <c r="G27" s="14" t="inlineStr">
        <is>
          <t>N</t>
        </is>
      </c>
      <c r="H27" s="14" t="n"/>
      <c r="I27" s="14" t="n"/>
      <c r="J27" s="14" t="n"/>
      <c r="K27" s="14" t="inlineStr">
        <is>
          <t>Not started</t>
        </is>
      </c>
      <c r="L27" s="14" t="n"/>
    </row>
    <row r="28">
      <c r="A28" s="14" t="inlineStr">
        <is>
          <t>EB_FRANCHISE_DECIDED</t>
        </is>
      </c>
      <c r="B28" s="14" t="inlineStr">
        <is>
          <t>EB franchise decided</t>
        </is>
      </c>
      <c r="C28" s="14" t="inlineStr">
        <is>
          <t>Employee Benefits</t>
        </is>
      </c>
      <c r="D28" s="14" t="inlineStr">
        <is>
          <t>Product Owner, Employee Benefits</t>
        </is>
      </c>
      <c r="E28" s="14" t="inlineStr">
        <is>
          <t>An insurer approved or rejected a franchise request of yours</t>
        </is>
      </c>
      <c r="F28" s="14" t="inlineStr">
        <is>
          <t>Y</t>
        </is>
      </c>
      <c r="G28" s="14" t="inlineStr">
        <is>
          <t>Y</t>
        </is>
      </c>
      <c r="H28" s="14" t="n"/>
      <c r="I28" s="14" t="n"/>
      <c r="J28" s="14" t="n"/>
      <c r="K28" s="14" t="inlineStr">
        <is>
          <t>Not started</t>
        </is>
      </c>
      <c r="L28" s="14" t="n"/>
    </row>
    <row r="29">
      <c r="A29" s="14" t="inlineStr">
        <is>
          <t>EB_PROPOSAL_RECEIVED</t>
        </is>
      </c>
      <c r="B29" s="14" t="inlineStr">
        <is>
          <t>EB proposal received</t>
        </is>
      </c>
      <c r="C29" s="14" t="inlineStr">
        <is>
          <t>Employee Benefits</t>
        </is>
      </c>
      <c r="D29" s="14" t="inlineStr">
        <is>
          <t>Product Owner, Employee Benefits</t>
        </is>
      </c>
      <c r="E29" s="14" t="inlineStr">
        <is>
          <t>An insurer submitted a proposal to validate</t>
        </is>
      </c>
      <c r="F29" s="14" t="inlineStr">
        <is>
          <t>Y</t>
        </is>
      </c>
      <c r="G29" s="14" t="inlineStr">
        <is>
          <t>N</t>
        </is>
      </c>
      <c r="H29" s="14" t="n"/>
      <c r="I29" s="14" t="n"/>
      <c r="J29" s="14" t="n"/>
      <c r="K29" s="14" t="inlineStr">
        <is>
          <t>Not started</t>
        </is>
      </c>
      <c r="L29" s="14" t="n"/>
    </row>
    <row r="30">
      <c r="A30" s="14" t="inlineStr">
        <is>
          <t>EB_COMPARATIVE_SIGNOFF</t>
        </is>
      </c>
      <c r="B30" s="14" t="inlineStr">
        <is>
          <t>EB comparative to sign off</t>
        </is>
      </c>
      <c r="C30" s="14" t="inlineStr">
        <is>
          <t>Employee Benefits</t>
        </is>
      </c>
      <c r="D30" s="14" t="inlineStr">
        <is>
          <t>Product Owner, Employee Benefits</t>
        </is>
      </c>
      <c r="E30" s="14" t="inlineStr">
        <is>
          <t>A comparative waits for your sign-off</t>
        </is>
      </c>
      <c r="F30" s="14" t="inlineStr">
        <is>
          <t>Y</t>
        </is>
      </c>
      <c r="G30" s="14" t="inlineStr">
        <is>
          <t>Y</t>
        </is>
      </c>
      <c r="H30" s="14" t="n"/>
      <c r="I30" s="14" t="n"/>
      <c r="J30" s="14" t="n"/>
      <c r="K30" s="14" t="inlineStr">
        <is>
          <t>Not started</t>
        </is>
      </c>
      <c r="L30" s="14" t="n"/>
    </row>
    <row r="31">
      <c r="A31" s="14" t="inlineStr">
        <is>
          <t>EB_COMPARATIVE_DECIDED</t>
        </is>
      </c>
      <c r="B31" s="14" t="inlineStr">
        <is>
          <t>EB comparative decided</t>
        </is>
      </c>
      <c r="C31" s="14" t="inlineStr">
        <is>
          <t>Employee Benefits</t>
        </is>
      </c>
      <c r="D31" s="14" t="inlineStr">
        <is>
          <t>Product Owner, Employee Benefits</t>
        </is>
      </c>
      <c r="E31" s="14" t="inlineStr">
        <is>
          <t>A comparative of your programme was signed off, approved above the threshold or returned</t>
        </is>
      </c>
      <c r="F31" s="14" t="inlineStr">
        <is>
          <t>Y</t>
        </is>
      </c>
      <c r="G31" s="14" t="inlineStr">
        <is>
          <t>N</t>
        </is>
      </c>
      <c r="H31" s="14" t="n"/>
      <c r="I31" s="14" t="n"/>
      <c r="J31" s="14" t="n"/>
      <c r="K31" s="14" t="inlineStr">
        <is>
          <t>Not started</t>
        </is>
      </c>
      <c r="L31" s="14" t="n"/>
    </row>
    <row r="32">
      <c r="A32" s="14" t="inlineStr">
        <is>
          <t>EB_THRESHOLD_APPROVAL</t>
        </is>
      </c>
      <c r="B32" s="14" t="inlineStr">
        <is>
          <t>EB threshold approval</t>
        </is>
      </c>
      <c r="C32" s="14" t="inlineStr">
        <is>
          <t>Employee Benefits</t>
        </is>
      </c>
      <c r="D32" s="14" t="inlineStr">
        <is>
          <t>Product Owner, Employee Benefits</t>
        </is>
      </c>
      <c r="E32" s="14" t="inlineStr">
        <is>
          <t>A comparative above the value threshold waits for your approval</t>
        </is>
      </c>
      <c r="F32" s="14" t="inlineStr">
        <is>
          <t>Y</t>
        </is>
      </c>
      <c r="G32" s="14" t="inlineStr">
        <is>
          <t>Y</t>
        </is>
      </c>
      <c r="H32" s="14" t="n"/>
      <c r="I32" s="14" t="n"/>
      <c r="J32" s="14" t="n"/>
      <c r="K32" s="14" t="inlineStr">
        <is>
          <t>Not started</t>
        </is>
      </c>
      <c r="L32" s="14" t="n"/>
    </row>
    <row r="33">
      <c r="A33" s="14" t="inlineStr">
        <is>
          <t>EB_CLIENT_CONFIRMED</t>
        </is>
      </c>
      <c r="B33" s="14" t="inlineStr">
        <is>
          <t>EB client confirmation</t>
        </is>
      </c>
      <c r="C33" s="14" t="inlineStr">
        <is>
          <t>Employee Benefits</t>
        </is>
      </c>
      <c r="D33" s="14" t="inlineStr">
        <is>
          <t>Product Owner, Employee Benefits</t>
        </is>
      </c>
      <c r="E33" s="14" t="inlineStr">
        <is>
          <t>A client confirmed the chosen proposals of your programme</t>
        </is>
      </c>
      <c r="F33" s="14" t="inlineStr">
        <is>
          <t>Y</t>
        </is>
      </c>
      <c r="G33" s="14" t="inlineStr">
        <is>
          <t>N</t>
        </is>
      </c>
      <c r="H33" s="14" t="n"/>
      <c r="I33" s="14" t="n"/>
      <c r="J33" s="14" t="n"/>
      <c r="K33" s="14" t="inlineStr">
        <is>
          <t>Not started</t>
        </is>
      </c>
      <c r="L33" s="14" t="n"/>
    </row>
    <row r="34">
      <c r="A34" s="14" t="inlineStr">
        <is>
          <t>EB_PLACEMENT_TRIGGERED</t>
        </is>
      </c>
      <c r="B34" s="14" t="inlineStr">
        <is>
          <t>EB placement triggered</t>
        </is>
      </c>
      <c r="C34" s="14" t="inlineStr">
        <is>
          <t>Employee Benefits</t>
        </is>
      </c>
      <c r="D34" s="14" t="inlineStr">
        <is>
          <t>Product Owner, Employee Benefits</t>
        </is>
      </c>
      <c r="E34" s="14" t="inlineStr">
        <is>
          <t>The accounts of an EB cycle were created for placement</t>
        </is>
      </c>
      <c r="F34" s="14" t="inlineStr">
        <is>
          <t>Y</t>
        </is>
      </c>
      <c r="G34" s="14" t="inlineStr">
        <is>
          <t>N</t>
        </is>
      </c>
      <c r="H34" s="14" t="n"/>
      <c r="I34" s="14" t="n"/>
      <c r="J34" s="14" t="n"/>
      <c r="K34" s="14" t="inlineStr">
        <is>
          <t>Not started</t>
        </is>
      </c>
      <c r="L34" s="14" t="n"/>
    </row>
    <row r="35">
      <c r="A35" s="14" t="inlineStr">
        <is>
          <t>EB_ROSTER_STAGED</t>
        </is>
      </c>
      <c r="B35" s="14" t="inlineStr">
        <is>
          <t>EB master list staged</t>
        </is>
      </c>
      <c r="C35" s="14" t="inlineStr">
        <is>
          <t>Employee Benefits</t>
        </is>
      </c>
      <c r="D35" s="14" t="inlineStr">
        <is>
          <t>Product Owner, Employee Benefits</t>
        </is>
      </c>
      <c r="E35" s="14" t="inlineStr">
        <is>
          <t>A master list of your programme was loaded and waits for your review</t>
        </is>
      </c>
      <c r="F35" s="14" t="inlineStr">
        <is>
          <t>Y</t>
        </is>
      </c>
      <c r="G35" s="14" t="inlineStr">
        <is>
          <t>N</t>
        </is>
      </c>
      <c r="H35" s="14" t="n"/>
      <c r="I35" s="14" t="n"/>
      <c r="J35" s="14" t="n"/>
      <c r="K35" s="14" t="inlineStr">
        <is>
          <t>Not started</t>
        </is>
      </c>
      <c r="L35" s="14" t="n"/>
    </row>
    <row r="36">
      <c r="A36" s="14" t="inlineStr">
        <is>
          <t>EB_MEMBER_CHANGE_BILLED</t>
        </is>
      </c>
      <c r="B36" s="14" t="inlineStr">
        <is>
          <t>EB member change billed</t>
        </is>
      </c>
      <c r="C36" s="14" t="inlineStr">
        <is>
          <t>Employee Benefits</t>
        </is>
      </c>
      <c r="D36" s="14" t="inlineStr">
        <is>
          <t>Product Owner, Employee Benefits</t>
        </is>
      </c>
      <c r="E36" s="14" t="inlineStr">
        <is>
          <t>An insurer billed a member change to validate</t>
        </is>
      </c>
      <c r="F36" s="14" t="inlineStr">
        <is>
          <t>Y</t>
        </is>
      </c>
      <c r="G36" s="14" t="inlineStr">
        <is>
          <t>N</t>
        </is>
      </c>
      <c r="H36" s="14" t="n"/>
      <c r="I36" s="14" t="n"/>
      <c r="J36" s="14" t="n"/>
      <c r="K36" s="14" t="inlineStr">
        <is>
          <t>Not started</t>
        </is>
      </c>
      <c r="L36" s="14" t="n"/>
    </row>
    <row r="37">
      <c r="A37" s="14" t="inlineStr">
        <is>
          <t>EB_SUBMISSION_SENT</t>
        </is>
      </c>
      <c r="B37" s="14" t="inlineStr">
        <is>
          <t>EB documents submitted</t>
        </is>
      </c>
      <c r="C37" s="14" t="inlineStr">
        <is>
          <t>Employee Benefits</t>
        </is>
      </c>
      <c r="D37" s="14" t="inlineStr">
        <is>
          <t>Product Owner, Employee Benefits</t>
        </is>
      </c>
      <c r="E37" s="14" t="inlineStr">
        <is>
          <t>Documents of an Employee Benefits programme were submitted to an insurer</t>
        </is>
      </c>
      <c r="F37" s="14" t="inlineStr">
        <is>
          <t>Y</t>
        </is>
      </c>
      <c r="G37" s="14" t="inlineStr">
        <is>
          <t>N</t>
        </is>
      </c>
      <c r="H37" s="14" t="n"/>
      <c r="I37" s="14" t="n"/>
      <c r="J37" s="14" t="n"/>
      <c r="K37" s="14" t="inlineStr">
        <is>
          <t>Not started</t>
        </is>
      </c>
      <c r="L37" s="14" t="n"/>
    </row>
    <row r="38">
      <c r="A38" s="14" t="inlineStr">
        <is>
          <t>EB_SOA_RELEASED</t>
        </is>
      </c>
      <c r="B38" s="14" t="inlineStr">
        <is>
          <t>EB SOA released</t>
        </is>
      </c>
      <c r="C38" s="14" t="inlineStr">
        <is>
          <t>Employee Benefits</t>
        </is>
      </c>
      <c r="D38" s="14" t="inlineStr">
        <is>
          <t>Product Owner, Employee Benefits</t>
        </is>
      </c>
      <c r="E38" s="14" t="inlineStr">
        <is>
          <t>An insurer SOA was validated and released to Collection and the client</t>
        </is>
      </c>
      <c r="F38" s="14" t="inlineStr">
        <is>
          <t>Y</t>
        </is>
      </c>
      <c r="G38" s="14" t="inlineStr">
        <is>
          <t>N</t>
        </is>
      </c>
      <c r="H38" s="14" t="n"/>
      <c r="I38" s="14" t="n"/>
      <c r="J38" s="14" t="n"/>
      <c r="K38" s="14" t="inlineStr">
        <is>
          <t>Not started</t>
        </is>
      </c>
      <c r="L38" s="14" t="n"/>
    </row>
    <row r="39">
      <c r="A39" s="14" t="inlineStr">
        <is>
          <t>EB_INVOICE_PAID</t>
        </is>
      </c>
      <c r="B39" s="14" t="inlineStr">
        <is>
          <t>EB invoice paid</t>
        </is>
      </c>
      <c r="C39" s="14" t="inlineStr">
        <is>
          <t>Employee Benefits</t>
        </is>
      </c>
      <c r="D39" s="14" t="inlineStr">
        <is>
          <t>Product Owner, Employee Benefits</t>
        </is>
      </c>
      <c r="E39" s="14" t="inlineStr">
        <is>
          <t>An invoice of an EB programme became paid</t>
        </is>
      </c>
      <c r="F39" s="14" t="inlineStr">
        <is>
          <t>Y</t>
        </is>
      </c>
      <c r="G39" s="14" t="inlineStr">
        <is>
          <t>N</t>
        </is>
      </c>
      <c r="H39" s="14" t="n"/>
      <c r="I39" s="14" t="n"/>
      <c r="J39" s="14" t="n"/>
      <c r="K39" s="14" t="inlineStr">
        <is>
          <t>Not started</t>
        </is>
      </c>
      <c r="L39" s="14" t="n"/>
    </row>
    <row r="40">
      <c r="A40" s="14" t="inlineStr">
        <is>
          <t>EB_ITEM_ESCALATED</t>
        </is>
      </c>
      <c r="B40" s="14" t="inlineStr">
        <is>
          <t>EB pending item escalated</t>
        </is>
      </c>
      <c r="C40" s="14" t="inlineStr">
        <is>
          <t>Employee Benefits</t>
        </is>
      </c>
      <c r="D40" s="14" t="inlineStr">
        <is>
          <t>Product Owner, Employee Benefits</t>
        </is>
      </c>
      <c r="E40" s="14" t="inlineStr">
        <is>
          <t>A tracked item passed its follow-ups without being received</t>
        </is>
      </c>
      <c r="F40" s="14" t="inlineStr">
        <is>
          <t>Y</t>
        </is>
      </c>
      <c r="G40" s="14" t="inlineStr">
        <is>
          <t>Y</t>
        </is>
      </c>
      <c r="H40" s="14" t="n"/>
      <c r="I40" s="14" t="n"/>
      <c r="J40" s="14" t="n"/>
      <c r="K40" s="14" t="inlineStr">
        <is>
          <t>Not started</t>
        </is>
      </c>
      <c r="L40" s="14" t="n"/>
    </row>
    <row r="41">
      <c r="A41" s="14" t="inlineStr">
        <is>
          <t>OPS_INVOICE_LOCKED</t>
        </is>
      </c>
      <c r="B41" s="14" t="inlineStr">
        <is>
          <t>Invoice locked or released</t>
        </is>
      </c>
      <c r="C41" s="14" t="inlineStr">
        <is>
          <t>Operations</t>
        </is>
      </c>
      <c r="D41" s="14" t="inlineStr">
        <is>
          <t>Head, Operations Services</t>
        </is>
      </c>
      <c r="E41" s="14" t="inlineStr">
        <is>
          <t>An invoice you work on was locked by another team or released</t>
        </is>
      </c>
      <c r="F41" s="14" t="inlineStr">
        <is>
          <t>Y</t>
        </is>
      </c>
      <c r="G41" s="14" t="inlineStr">
        <is>
          <t>N</t>
        </is>
      </c>
      <c r="H41" s="14" t="n"/>
      <c r="I41" s="14" t="n"/>
      <c r="J41" s="14" t="n"/>
      <c r="K41" s="14" t="inlineStr">
        <is>
          <t>Not started</t>
        </is>
      </c>
      <c r="L41" s="14" t="n"/>
    </row>
    <row r="42">
      <c r="A42" s="14" t="inlineStr">
        <is>
          <t>OPS_FLOW_IN_FAILED</t>
        </is>
      </c>
      <c r="B42" s="14" t="inlineStr">
        <is>
          <t>Interface run failed</t>
        </is>
      </c>
      <c r="C42" s="14" t="inlineStr">
        <is>
          <t>Operations</t>
        </is>
      </c>
      <c r="D42" s="14" t="inlineStr">
        <is>
          <t>Head, Operations Services</t>
        </is>
      </c>
      <c r="E42" s="14" t="inlineStr">
        <is>
          <t>A flow-in or flow-out run failed or had failed records</t>
        </is>
      </c>
      <c r="F42" s="14" t="inlineStr">
        <is>
          <t>Y</t>
        </is>
      </c>
      <c r="G42" s="14" t="inlineStr">
        <is>
          <t>Y</t>
        </is>
      </c>
      <c r="H42" s="14" t="n"/>
      <c r="I42" s="14" t="n"/>
      <c r="J42" s="14" t="n"/>
      <c r="K42" s="14" t="inlineStr">
        <is>
          <t>Not started</t>
        </is>
      </c>
      <c r="L42" s="14" t="n"/>
    </row>
    <row r="43">
      <c r="A43" s="14" t="inlineStr">
        <is>
          <t>OPS_DISBURSEMENT_STATUS</t>
        </is>
      </c>
      <c r="B43" s="14" t="inlineStr">
        <is>
          <t>Disbursement status</t>
        </is>
      </c>
      <c r="C43" s="14" t="inlineStr">
        <is>
          <t>Operations</t>
        </is>
      </c>
      <c r="D43" s="14" t="inlineStr">
        <is>
          <t>Head, Operations Services</t>
        </is>
      </c>
      <c r="E43" s="14" t="inlineStr">
        <is>
          <t>A payment request was acknowledged, received its DV number, was paid or returned</t>
        </is>
      </c>
      <c r="F43" s="14" t="inlineStr">
        <is>
          <t>Y</t>
        </is>
      </c>
      <c r="G43" s="14" t="inlineStr">
        <is>
          <t>N</t>
        </is>
      </c>
      <c r="H43" s="14" t="n"/>
      <c r="I43" s="14" t="n"/>
      <c r="J43" s="14" t="n"/>
      <c r="K43" s="14" t="inlineStr">
        <is>
          <t>Not started</t>
        </is>
      </c>
      <c r="L43" s="14" t="n"/>
    </row>
    <row r="44">
      <c r="A44" s="14" t="inlineStr">
        <is>
          <t>PRQ_REQUEST_STATUS</t>
        </is>
      </c>
      <c r="B44" s="14" t="inlineStr">
        <is>
          <t>Refund / cash advance request status</t>
        </is>
      </c>
      <c r="C44" s="14" t="inlineStr">
        <is>
          <t>Accounting, Disbursement and ACSL</t>
        </is>
      </c>
      <c r="D44" s="14" t="inlineStr">
        <is>
          <t>Head, Comptrollership</t>
        </is>
      </c>
      <c r="E44" s="14" t="inlineStr">
        <is>
          <t>A refund, cash-advance or check-cancellation request was validated, returned, approved or disbursed</t>
        </is>
      </c>
      <c r="F44" s="14" t="inlineStr">
        <is>
          <t>Y</t>
        </is>
      </c>
      <c r="G44" s="14" t="inlineStr">
        <is>
          <t>N</t>
        </is>
      </c>
      <c r="H44" s="14" t="n"/>
      <c r="I44" s="14" t="n"/>
      <c r="J44" s="14" t="n"/>
      <c r="K44" s="14" t="inlineStr">
        <is>
          <t>Not started</t>
        </is>
      </c>
      <c r="L44" s="14" t="n"/>
    </row>
    <row r="45">
      <c r="A45" s="14" t="inlineStr">
        <is>
          <t>RECON_FEEDBACK_UPLOADED</t>
        </is>
      </c>
      <c r="B45" s="14" t="inlineStr">
        <is>
          <t>Insurer reconciliation feedback</t>
        </is>
      </c>
      <c r="C45" s="14" t="inlineStr">
        <is>
          <t>Operations</t>
        </is>
      </c>
      <c r="D45" s="14" t="inlineStr">
        <is>
          <t>Head, Operations Services</t>
        </is>
      </c>
      <c r="E45" s="14" t="inlineStr">
        <is>
          <t>An insurer production feedback was uploaded and matched</t>
        </is>
      </c>
      <c r="F45" s="14" t="inlineStr">
        <is>
          <t>Y</t>
        </is>
      </c>
      <c r="G45" s="14" t="inlineStr">
        <is>
          <t>N</t>
        </is>
      </c>
      <c r="H45" s="14" t="n"/>
      <c r="I45" s="14" t="n"/>
      <c r="J45" s="14" t="n"/>
      <c r="K45" s="14" t="inlineStr">
        <is>
          <t>Not started</t>
        </is>
      </c>
      <c r="L45" s="14" t="n"/>
    </row>
    <row r="46">
      <c r="A46" s="14" t="inlineStr">
        <is>
          <t>REMIT_EXTRACTION_DONE</t>
        </is>
      </c>
      <c r="B46" s="14" t="inlineStr">
        <is>
          <t>Remittance extraction completed</t>
        </is>
      </c>
      <c r="C46" s="14" t="inlineStr">
        <is>
          <t>Operations</t>
        </is>
      </c>
      <c r="D46" s="14" t="inlineStr">
        <is>
          <t>Head, Operations Services</t>
        </is>
      </c>
      <c r="E46" s="14" t="inlineStr">
        <is>
          <t>A scheduled or manual remittance extraction finished</t>
        </is>
      </c>
      <c r="F46" s="14" t="inlineStr">
        <is>
          <t>Y</t>
        </is>
      </c>
      <c r="G46" s="14" t="inlineStr">
        <is>
          <t>Y</t>
        </is>
      </c>
      <c r="H46" s="14" t="n"/>
      <c r="I46" s="14" t="n"/>
      <c r="J46" s="14" t="n"/>
      <c r="K46" s="14" t="inlineStr">
        <is>
          <t>Not started</t>
        </is>
      </c>
      <c r="L46" s="14" t="n"/>
    </row>
    <row r="47">
      <c r="A47" s="14" t="inlineStr">
        <is>
          <t>REMIT_BATCH_FOR_APPROVAL</t>
        </is>
      </c>
      <c r="B47" s="14" t="inlineStr">
        <is>
          <t>Remittance batch for approval</t>
        </is>
      </c>
      <c r="C47" s="14" t="inlineStr">
        <is>
          <t>Operations</t>
        </is>
      </c>
      <c r="D47" s="14" t="inlineStr">
        <is>
          <t>Head, Operations Services</t>
        </is>
      </c>
      <c r="E47" s="14" t="inlineStr">
        <is>
          <t>A remittance batch was submitted for approval</t>
        </is>
      </c>
      <c r="F47" s="14" t="inlineStr">
        <is>
          <t>Y</t>
        </is>
      </c>
      <c r="G47" s="14" t="inlineStr">
        <is>
          <t>Y</t>
        </is>
      </c>
      <c r="H47" s="14" t="n"/>
      <c r="I47" s="14" t="n"/>
      <c r="J47" s="14" t="n"/>
      <c r="K47" s="14" t="inlineStr">
        <is>
          <t>Not started</t>
        </is>
      </c>
      <c r="L47" s="14" t="n"/>
    </row>
    <row r="48">
      <c r="A48" s="14" t="inlineStr">
        <is>
          <t>REMIT_BATCH_DECIDED</t>
        </is>
      </c>
      <c r="B48" s="14" t="inlineStr">
        <is>
          <t>Remittance batch approved or returned</t>
        </is>
      </c>
      <c r="C48" s="14" t="inlineStr">
        <is>
          <t>Operations</t>
        </is>
      </c>
      <c r="D48" s="14" t="inlineStr">
        <is>
          <t>Head, Operations Services</t>
        </is>
      </c>
      <c r="E48" s="14" t="inlineStr">
        <is>
          <t>A remittance batch you prepared was approved or returned</t>
        </is>
      </c>
      <c r="F48" s="14" t="inlineStr">
        <is>
          <t>Y</t>
        </is>
      </c>
      <c r="G48" s="14" t="inlineStr">
        <is>
          <t>N</t>
        </is>
      </c>
      <c r="H48" s="14" t="n"/>
      <c r="I48" s="14" t="n"/>
      <c r="J48" s="14" t="n"/>
      <c r="K48" s="14" t="inlineStr">
        <is>
          <t>Not started</t>
        </is>
      </c>
      <c r="L48" s="14" t="n"/>
    </row>
    <row r="49">
      <c r="A49" s="14" t="inlineStr">
        <is>
          <t>REMIT_NEG_ADJ_PENDING</t>
        </is>
      </c>
      <c r="B49" s="14" t="inlineStr">
        <is>
          <t>Negative adjustment on a remittance invoice</t>
        </is>
      </c>
      <c r="C49" s="14" t="inlineStr">
        <is>
          <t>Operations</t>
        </is>
      </c>
      <c r="D49" s="14" t="inlineStr">
        <is>
          <t>Head, Operations Services</t>
        </is>
      </c>
      <c r="E49" s="14" t="inlineStr">
        <is>
          <t>A negative adjustment was requested on an invoice in remittance</t>
        </is>
      </c>
      <c r="F49" s="14" t="inlineStr">
        <is>
          <t>Y</t>
        </is>
      </c>
      <c r="G49" s="14" t="inlineStr">
        <is>
          <t>Y</t>
        </is>
      </c>
      <c r="H49" s="14" t="n"/>
      <c r="I49" s="14" t="n"/>
      <c r="J49" s="14" t="n"/>
      <c r="K49" s="14" t="inlineStr">
        <is>
          <t>Not started</t>
        </is>
      </c>
      <c r="L49" s="14" t="n"/>
    </row>
    <row r="50">
      <c r="A50" s="14" t="inlineStr">
        <is>
          <t>HOLD_EXPIRING</t>
        </is>
      </c>
      <c r="B50" s="14" t="inlineStr">
        <is>
          <t>Remittance hold expiring</t>
        </is>
      </c>
      <c r="C50" s="14" t="inlineStr">
        <is>
          <t>Operations</t>
        </is>
      </c>
      <c r="D50" s="14" t="inlineStr">
        <is>
          <t>Head, Operations Services</t>
        </is>
      </c>
      <c r="E50" s="14" t="inlineStr">
        <is>
          <t>A remittance hold reaches its hold date</t>
        </is>
      </c>
      <c r="F50" s="14" t="inlineStr">
        <is>
          <t>Y</t>
        </is>
      </c>
      <c r="G50" s="14" t="inlineStr">
        <is>
          <t>N</t>
        </is>
      </c>
      <c r="H50" s="14" t="n"/>
      <c r="I50" s="14" t="n"/>
      <c r="J50" s="14" t="n"/>
      <c r="K50" s="14" t="inlineStr">
        <is>
          <t>Not started</t>
        </is>
      </c>
      <c r="L50" s="14" t="n"/>
    </row>
    <row r="51">
      <c r="A51" s="14" t="inlineStr">
        <is>
          <t>RNW_ASSIGNED</t>
        </is>
      </c>
      <c r="B51" s="14" t="inlineStr">
        <is>
          <t>Renewal assigned</t>
        </is>
      </c>
      <c r="C51" s="14" t="inlineStr">
        <is>
          <t>Renewal</t>
        </is>
      </c>
      <c r="D51" s="14" t="inlineStr">
        <is>
          <t>Product Owner, Renewal</t>
        </is>
      </c>
      <c r="E51" s="14" t="inlineStr">
        <is>
          <t>Expiring accounts were assigned to you for disposition or processing</t>
        </is>
      </c>
      <c r="F51" s="14" t="inlineStr">
        <is>
          <t>Y</t>
        </is>
      </c>
      <c r="G51" s="14" t="inlineStr">
        <is>
          <t>N</t>
        </is>
      </c>
      <c r="H51" s="14" t="n"/>
      <c r="I51" s="14" t="n"/>
      <c r="J51" s="14" t="n"/>
      <c r="K51" s="14" t="inlineStr">
        <is>
          <t>Not started</t>
        </is>
      </c>
      <c r="L51" s="14" t="n"/>
    </row>
    <row r="52">
      <c r="A52" s="14" t="inlineStr">
        <is>
          <t>RNW_TRANSFER_REQUESTED</t>
        </is>
      </c>
      <c r="B52" s="14" t="inlineStr">
        <is>
          <t>Renewal transfer requested</t>
        </is>
      </c>
      <c r="C52" s="14" t="inlineStr">
        <is>
          <t>Renewal</t>
        </is>
      </c>
      <c r="D52" s="14" t="inlineStr">
        <is>
          <t>Product Owner, Renewal</t>
        </is>
      </c>
      <c r="E52" s="14" t="inlineStr">
        <is>
          <t>Another Marketing unit transferred an expiring account to your unit</t>
        </is>
      </c>
      <c r="F52" s="14" t="inlineStr">
        <is>
          <t>Y</t>
        </is>
      </c>
      <c r="G52" s="14" t="inlineStr">
        <is>
          <t>Y</t>
        </is>
      </c>
      <c r="H52" s="14" t="n"/>
      <c r="I52" s="14" t="n"/>
      <c r="J52" s="14" t="n"/>
      <c r="K52" s="14" t="inlineStr">
        <is>
          <t>Not started</t>
        </is>
      </c>
      <c r="L52" s="14" t="n"/>
    </row>
    <row r="53">
      <c r="A53" s="14" t="inlineStr">
        <is>
          <t>RNW_TRANSFER_DECIDED</t>
        </is>
      </c>
      <c r="B53" s="14" t="inlineStr">
        <is>
          <t>Renewal transfer decided</t>
        </is>
      </c>
      <c r="C53" s="14" t="inlineStr">
        <is>
          <t>Renewal</t>
        </is>
      </c>
      <c r="D53" s="14" t="inlineStr">
        <is>
          <t>Product Owner, Renewal</t>
        </is>
      </c>
      <c r="E53" s="14" t="inlineStr">
        <is>
          <t>The receiving unit accepted or declined your transfer of an expiring account</t>
        </is>
      </c>
      <c r="F53" s="14" t="inlineStr">
        <is>
          <t>Y</t>
        </is>
      </c>
      <c r="G53" s="14" t="inlineStr">
        <is>
          <t>N</t>
        </is>
      </c>
      <c r="H53" s="14" t="n"/>
      <c r="I53" s="14" t="n"/>
      <c r="J53" s="14" t="n"/>
      <c r="K53" s="14" t="inlineStr">
        <is>
          <t>Not started</t>
        </is>
      </c>
      <c r="L53" s="14" t="n"/>
    </row>
    <row r="54">
      <c r="A54" s="14" t="inlineStr">
        <is>
          <t>RNW_RETURNED</t>
        </is>
      </c>
      <c r="B54" s="14" t="inlineStr">
        <is>
          <t>Renewal returned</t>
        </is>
      </c>
      <c r="C54" s="14" t="inlineStr">
        <is>
          <t>Renewal</t>
        </is>
      </c>
      <c r="D54" s="14" t="inlineStr">
        <is>
          <t>Product Owner, Renewal</t>
        </is>
      </c>
      <c r="E54" s="14" t="inlineStr">
        <is>
          <t>An expiring account was returned to you with remarks</t>
        </is>
      </c>
      <c r="F54" s="14" t="inlineStr">
        <is>
          <t>Y</t>
        </is>
      </c>
      <c r="G54" s="14" t="inlineStr">
        <is>
          <t>Y</t>
        </is>
      </c>
      <c r="H54" s="14" t="n"/>
      <c r="I54" s="14" t="n"/>
      <c r="J54" s="14" t="n"/>
      <c r="K54" s="14" t="inlineStr">
        <is>
          <t>Not started</t>
        </is>
      </c>
      <c r="L54" s="14" t="n"/>
    </row>
    <row r="55">
      <c r="A55" s="14" t="inlineStr">
        <is>
          <t>RNW_POSTED</t>
        </is>
      </c>
      <c r="B55" s="14" t="inlineStr">
        <is>
          <t>Renewal posted</t>
        </is>
      </c>
      <c r="C55" s="14" t="inlineStr">
        <is>
          <t>Renewal</t>
        </is>
      </c>
      <c r="D55" s="14" t="inlineStr">
        <is>
          <t>Product Owner, Renewal</t>
        </is>
      </c>
      <c r="E55" s="14" t="inlineStr">
        <is>
          <t>Dispositioned accounts were posted by the Team Leader</t>
        </is>
      </c>
      <c r="F55" s="14" t="inlineStr">
        <is>
          <t>Y</t>
        </is>
      </c>
      <c r="G55" s="14" t="inlineStr">
        <is>
          <t>N</t>
        </is>
      </c>
      <c r="H55" s="14" t="n"/>
      <c r="I55" s="14" t="n"/>
      <c r="J55" s="14" t="n"/>
      <c r="K55" s="14" t="inlineStr">
        <is>
          <t>Not started</t>
        </is>
      </c>
      <c r="L55" s="14" t="n"/>
    </row>
    <row r="56">
      <c r="A56" s="14" t="inlineStr">
        <is>
          <t>RNW_INSURER_RESPONDED</t>
        </is>
      </c>
      <c r="B56" s="14" t="inlineStr">
        <is>
          <t>Insurer renewal response</t>
        </is>
      </c>
      <c r="C56" s="14" t="inlineStr">
        <is>
          <t>Renewal</t>
        </is>
      </c>
      <c r="D56" s="14" t="inlineStr">
        <is>
          <t>Product Owner, Renewal</t>
        </is>
      </c>
      <c r="E56" s="14" t="inlineStr">
        <is>
          <t>An insurer answered the renewal of an account you process</t>
        </is>
      </c>
      <c r="F56" s="14" t="inlineStr">
        <is>
          <t>Y</t>
        </is>
      </c>
      <c r="G56" s="14" t="inlineStr">
        <is>
          <t>N</t>
        </is>
      </c>
      <c r="H56" s="14" t="n"/>
      <c r="I56" s="14" t="n"/>
      <c r="J56" s="14" t="n"/>
      <c r="K56" s="14" t="inlineStr">
        <is>
          <t>Not started</t>
        </is>
      </c>
      <c r="L56" s="14" t="n"/>
    </row>
    <row r="57">
      <c r="A57" s="14" t="inlineStr">
        <is>
          <t>RNW_ACCEPTED</t>
        </is>
      </c>
      <c r="B57" s="14" t="inlineStr">
        <is>
          <t>Renewal accepted</t>
        </is>
      </c>
      <c r="C57" s="14" t="inlineStr">
        <is>
          <t>Renewal</t>
        </is>
      </c>
      <c r="D57" s="14" t="inlineStr">
        <is>
          <t>Product Owner, Renewal</t>
        </is>
      </c>
      <c r="E57" s="14" t="inlineStr">
        <is>
          <t>A client accepted the Renewal Advice of an account of yours</t>
        </is>
      </c>
      <c r="F57" s="14" t="inlineStr">
        <is>
          <t>Y</t>
        </is>
      </c>
      <c r="G57" s="14" t="inlineStr">
        <is>
          <t>N</t>
        </is>
      </c>
      <c r="H57" s="14" t="n"/>
      <c r="I57" s="14" t="n"/>
      <c r="J57" s="14" t="n"/>
      <c r="K57" s="14" t="inlineStr">
        <is>
          <t>Not started</t>
        </is>
      </c>
      <c r="L57" s="14" t="n"/>
    </row>
    <row r="58">
      <c r="A58" s="14" t="inlineStr">
        <is>
          <t>RNW_RENEWED</t>
        </is>
      </c>
      <c r="B58" s="14" t="inlineStr">
        <is>
          <t>Renewal booked</t>
        </is>
      </c>
      <c r="C58" s="14" t="inlineStr">
        <is>
          <t>Renewal</t>
        </is>
      </c>
      <c r="D58" s="14" t="inlineStr">
        <is>
          <t>Product Owner, Renewal</t>
        </is>
      </c>
      <c r="E58" s="14" t="inlineStr">
        <is>
          <t>The renewal of an account of yours was booked</t>
        </is>
      </c>
      <c r="F58" s="14" t="inlineStr">
        <is>
          <t>Y</t>
        </is>
      </c>
      <c r="G58" s="14" t="inlineStr">
        <is>
          <t>N</t>
        </is>
      </c>
      <c r="H58" s="14" t="n"/>
      <c r="I58" s="14" t="n"/>
      <c r="J58" s="14" t="n"/>
      <c r="K58" s="14" t="inlineStr">
        <is>
          <t>Not started</t>
        </is>
      </c>
      <c r="L58" s="14" t="n"/>
    </row>
    <row r="59">
      <c r="A59" s="14" t="inlineStr">
        <is>
          <t>RNW_GOLIVE_COMPLETED</t>
        </is>
      </c>
      <c r="B59" s="14" t="inlineStr">
        <is>
          <t>Go-live renewal extraction completed</t>
        </is>
      </c>
      <c r="C59" s="14" t="inlineStr">
        <is>
          <t>Renewal</t>
        </is>
      </c>
      <c r="D59" s="14" t="inlineStr">
        <is>
          <t>Product Owner, Renewal</t>
        </is>
      </c>
      <c r="E59" s="14" t="inlineStr">
        <is>
          <t>The expiring migrated policies of the go-live window were taken over as renewals</t>
        </is>
      </c>
      <c r="F59" s="14" t="inlineStr">
        <is>
          <t>Y</t>
        </is>
      </c>
      <c r="G59" s="14" t="inlineStr">
        <is>
          <t>Y</t>
        </is>
      </c>
      <c r="H59" s="14" t="n"/>
      <c r="I59" s="14" t="n"/>
      <c r="J59" s="14" t="n"/>
      <c r="K59" s="14" t="inlineStr">
        <is>
          <t>Not started</t>
        </is>
      </c>
      <c r="L59" s="14" t="n"/>
    </row>
    <row r="60">
      <c r="A60" s="14" t="inlineStr">
        <is>
          <t>RNW_PACKAGE_DECIDED</t>
        </is>
      </c>
      <c r="B60" s="14" t="inlineStr">
        <is>
          <t>Renewal package choice decided</t>
        </is>
      </c>
      <c r="C60" s="14" t="inlineStr">
        <is>
          <t>Renewal</t>
        </is>
      </c>
      <c r="D60" s="14" t="inlineStr">
        <is>
          <t>Product Owner, Renewal</t>
        </is>
      </c>
      <c r="E60" s="14" t="inlineStr">
        <is>
          <t>Your choice of the package version of a migrated policy was approved or rejected</t>
        </is>
      </c>
      <c r="F60" s="14" t="inlineStr">
        <is>
          <t>Y</t>
        </is>
      </c>
      <c r="G60" s="14" t="inlineStr">
        <is>
          <t>N</t>
        </is>
      </c>
      <c r="H60" s="14" t="n"/>
      <c r="I60" s="14" t="n"/>
      <c r="J60" s="14" t="n"/>
      <c r="K60" s="14" t="inlineStr">
        <is>
          <t>Not started</t>
        </is>
      </c>
      <c r="L60" s="14" t="n"/>
    </row>
    <row r="61">
      <c r="A61" s="14" t="inlineStr">
        <is>
          <t>SCR_CASE_ASSIGNED</t>
        </is>
      </c>
      <c r="B61" s="14" t="inlineStr">
        <is>
          <t>Screening case assigned</t>
        </is>
      </c>
      <c r="C61" s="14" t="inlineStr">
        <is>
          <t>Sanction Screening</t>
        </is>
      </c>
      <c r="D61" s="14" t="inlineStr">
        <is>
          <t>Compliance</t>
        </is>
      </c>
      <c r="E61" s="14" t="inlineStr">
        <is>
          <t>A screening case was assigned or re-assigned to you</t>
        </is>
      </c>
      <c r="F61" s="14" t="inlineStr">
        <is>
          <t>Y</t>
        </is>
      </c>
      <c r="G61" s="14" t="inlineStr">
        <is>
          <t>Y</t>
        </is>
      </c>
      <c r="H61" s="14" t="n"/>
      <c r="I61" s="14" t="n"/>
      <c r="J61" s="14" t="n"/>
      <c r="K61" s="14" t="inlineStr">
        <is>
          <t>Not started</t>
        </is>
      </c>
      <c r="L61" s="14" t="n"/>
    </row>
    <row r="62">
      <c r="A62" s="14" t="inlineStr">
        <is>
          <t>SCR_CASE_FOR_APPROVAL</t>
        </is>
      </c>
      <c r="B62" s="14" t="inlineStr">
        <is>
          <t>Screening case for approval</t>
        </is>
      </c>
      <c r="C62" s="14" t="inlineStr">
        <is>
          <t>Sanction Screening</t>
        </is>
      </c>
      <c r="D62" s="14" t="inlineStr">
        <is>
          <t>Compliance</t>
        </is>
      </c>
      <c r="E62" s="14" t="inlineStr">
        <is>
          <t>A screening case waits for your approval</t>
        </is>
      </c>
      <c r="F62" s="14" t="inlineStr">
        <is>
          <t>Y</t>
        </is>
      </c>
      <c r="G62" s="14" t="inlineStr">
        <is>
          <t>Y</t>
        </is>
      </c>
      <c r="H62" s="14" t="n"/>
      <c r="I62" s="14" t="n"/>
      <c r="J62" s="14" t="n"/>
      <c r="K62" s="14" t="inlineStr">
        <is>
          <t>Not started</t>
        </is>
      </c>
      <c r="L62" s="14" t="n"/>
    </row>
    <row r="63">
      <c r="A63" s="14" t="inlineStr">
        <is>
          <t>SCR_CASE_RETURNED</t>
        </is>
      </c>
      <c r="B63" s="14" t="inlineStr">
        <is>
          <t>Screening case returned</t>
        </is>
      </c>
      <c r="C63" s="14" t="inlineStr">
        <is>
          <t>Sanction Screening</t>
        </is>
      </c>
      <c r="D63" s="14" t="inlineStr">
        <is>
          <t>Compliance</t>
        </is>
      </c>
      <c r="E63" s="14" t="inlineStr">
        <is>
          <t>A screening case was returned to you with a rationale</t>
        </is>
      </c>
      <c r="F63" s="14" t="inlineStr">
        <is>
          <t>Y</t>
        </is>
      </c>
      <c r="G63" s="14" t="inlineStr">
        <is>
          <t>Y</t>
        </is>
      </c>
      <c r="H63" s="14" t="n"/>
      <c r="I63" s="14" t="n"/>
      <c r="J63" s="14" t="n"/>
      <c r="K63" s="14" t="inlineStr">
        <is>
          <t>Not started</t>
        </is>
      </c>
      <c r="L63" s="14" t="n"/>
    </row>
    <row r="64">
      <c r="A64" s="14" t="inlineStr">
        <is>
          <t>SCR_COMMITTEE_REVIEW</t>
        </is>
      </c>
      <c r="B64" s="14" t="inlineStr">
        <is>
          <t>AML Committee review</t>
        </is>
      </c>
      <c r="C64" s="14" t="inlineStr">
        <is>
          <t>Sanction Screening</t>
        </is>
      </c>
      <c r="D64" s="14" t="inlineStr">
        <is>
          <t>Compliance</t>
        </is>
      </c>
      <c r="E64" s="14" t="inlineStr">
        <is>
          <t>A screening case waits for the vote of the AML Committee</t>
        </is>
      </c>
      <c r="F64" s="14" t="inlineStr">
        <is>
          <t>Y</t>
        </is>
      </c>
      <c r="G64" s="14" t="inlineStr">
        <is>
          <t>Y</t>
        </is>
      </c>
      <c r="H64" s="14" t="n"/>
      <c r="I64" s="14" t="n"/>
      <c r="J64" s="14" t="n"/>
      <c r="K64" s="14" t="inlineStr">
        <is>
          <t>Not started</t>
        </is>
      </c>
      <c r="L64" s="14" t="n"/>
    </row>
    <row r="65">
      <c r="A65" s="14" t="inlineStr">
        <is>
          <t>SCR_SLA_REMINDER</t>
        </is>
      </c>
      <c r="B65" s="14" t="inlineStr">
        <is>
          <t>Screening SLA reminder</t>
        </is>
      </c>
      <c r="C65" s="14" t="inlineStr">
        <is>
          <t>Sanction Screening</t>
        </is>
      </c>
      <c r="D65" s="14" t="inlineStr">
        <is>
          <t>Compliance</t>
        </is>
      </c>
      <c r="E65" s="14" t="inlineStr">
        <is>
          <t>A screening case of yours is about to pass its SLA</t>
        </is>
      </c>
      <c r="F65" s="14" t="inlineStr">
        <is>
          <t>Y</t>
        </is>
      </c>
      <c r="G65" s="14" t="inlineStr">
        <is>
          <t>Y</t>
        </is>
      </c>
      <c r="H65" s="14" t="n"/>
      <c r="I65" s="14" t="n"/>
      <c r="J65" s="14" t="n"/>
      <c r="K65" s="14" t="inlineStr">
        <is>
          <t>Not started</t>
        </is>
      </c>
      <c r="L65" s="14" t="n"/>
    </row>
    <row r="66">
      <c r="A66" s="14" t="inlineStr">
        <is>
          <t>SCR_SLA_ESCALATION</t>
        </is>
      </c>
      <c r="B66" s="14" t="inlineStr">
        <is>
          <t>Screening SLA escalation</t>
        </is>
      </c>
      <c r="C66" s="14" t="inlineStr">
        <is>
          <t>Sanction Screening</t>
        </is>
      </c>
      <c r="D66" s="14" t="inlineStr">
        <is>
          <t>Compliance</t>
        </is>
      </c>
      <c r="E66" s="14" t="inlineStr">
        <is>
          <t>A screening case passed its SLA and is escalated to you</t>
        </is>
      </c>
      <c r="F66" s="14" t="inlineStr">
        <is>
          <t>Y</t>
        </is>
      </c>
      <c r="G66" s="14" t="inlineStr">
        <is>
          <t>Y</t>
        </is>
      </c>
      <c r="H66" s="14" t="n"/>
      <c r="I66" s="14" t="n"/>
      <c r="J66" s="14" t="n"/>
      <c r="K66" s="14" t="inlineStr">
        <is>
          <t>Not started</t>
        </is>
      </c>
      <c r="L66" s="14" t="n"/>
    </row>
    <row r="67">
      <c r="A67" s="14" t="inlineStr">
        <is>
          <t>SCR_DOCUMENT_REMINDER</t>
        </is>
      </c>
      <c r="B67" s="14" t="inlineStr">
        <is>
          <t>Screening document reminder</t>
        </is>
      </c>
      <c r="C67" s="14" t="inlineStr">
        <is>
          <t>Sanction Screening</t>
        </is>
      </c>
      <c r="D67" s="14" t="inlineStr">
        <is>
          <t>Compliance</t>
        </is>
      </c>
      <c r="E67" s="14" t="inlineStr">
        <is>
          <t>Documents of a screening case are still missing</t>
        </is>
      </c>
      <c r="F67" s="14" t="inlineStr">
        <is>
          <t>Y</t>
        </is>
      </c>
      <c r="G67" s="14" t="inlineStr">
        <is>
          <t>N</t>
        </is>
      </c>
      <c r="H67" s="14" t="n"/>
      <c r="I67" s="14" t="n"/>
      <c r="J67" s="14" t="n"/>
      <c r="K67" s="14" t="inlineStr">
        <is>
          <t>Not started</t>
        </is>
      </c>
      <c r="L67" s="14" t="n"/>
    </row>
    <row r="68">
      <c r="A68" s="14" t="inlineStr">
        <is>
          <t>SCR_NO_POLICY_HIT</t>
        </is>
      </c>
      <c r="B68" s="14" t="inlineStr">
        <is>
          <t>Screening hit without active policy</t>
        </is>
      </c>
      <c r="C68" s="14" t="inlineStr">
        <is>
          <t>Sanction Screening</t>
        </is>
      </c>
      <c r="D68" s="14" t="inlineStr">
        <is>
          <t>Compliance</t>
        </is>
      </c>
      <c r="E68" s="14" t="inlineStr">
        <is>
          <t>A high-risk or PEP client without an active policy was found</t>
        </is>
      </c>
      <c r="F68" s="14" t="inlineStr">
        <is>
          <t>Y</t>
        </is>
      </c>
      <c r="G68" s="14" t="inlineStr">
        <is>
          <t>N</t>
        </is>
      </c>
      <c r="H68" s="14" t="n"/>
      <c r="I68" s="14" t="n"/>
      <c r="J68" s="14" t="n"/>
      <c r="K68" s="14" t="inlineStr">
        <is>
          <t>Not started</t>
        </is>
      </c>
      <c r="L68" s="14" t="n"/>
    </row>
    <row r="69">
      <c r="A69" s="14" t="inlineStr">
        <is>
          <t>SCR_CONFIG_TO_APPROVE</t>
        </is>
      </c>
      <c r="B69" s="14" t="inlineStr">
        <is>
          <t>Screening configuration to approve</t>
        </is>
      </c>
      <c r="C69" s="14" t="inlineStr">
        <is>
          <t>Sanction Screening</t>
        </is>
      </c>
      <c r="D69" s="14" t="inlineStr">
        <is>
          <t>Compliance</t>
        </is>
      </c>
      <c r="E69" s="14" t="inlineStr">
        <is>
          <t>A screening configuration version waits for your approval</t>
        </is>
      </c>
      <c r="F69" s="14" t="inlineStr">
        <is>
          <t>Y</t>
        </is>
      </c>
      <c r="G69" s="14" t="inlineStr">
        <is>
          <t>N</t>
        </is>
      </c>
      <c r="H69" s="14" t="n"/>
      <c r="I69" s="14" t="n"/>
      <c r="J69" s="14" t="n"/>
      <c r="K69" s="14" t="inlineStr">
        <is>
          <t>Not started</t>
        </is>
      </c>
      <c r="L69" s="14" t="n"/>
    </row>
    <row r="70">
      <c r="A70" s="14" t="inlineStr">
        <is>
          <t>SCR_LIST_CHANGE_TO_APPROVE</t>
        </is>
      </c>
      <c r="B70" s="14" t="inlineStr">
        <is>
          <t>Watchlist change to approve</t>
        </is>
      </c>
      <c r="C70" s="14" t="inlineStr">
        <is>
          <t>Sanction Screening</t>
        </is>
      </c>
      <c r="D70" s="14" t="inlineStr">
        <is>
          <t>Compliance</t>
        </is>
      </c>
      <c r="E70" s="14" t="inlineStr">
        <is>
          <t>A watchlist change waits for your approval</t>
        </is>
      </c>
      <c r="F70" s="14" t="inlineStr">
        <is>
          <t>Y</t>
        </is>
      </c>
      <c r="G70" s="14" t="inlineStr">
        <is>
          <t>N</t>
        </is>
      </c>
      <c r="H70" s="14" t="n"/>
      <c r="I70" s="14" t="n"/>
      <c r="J70" s="14" t="n"/>
      <c r="K70" s="14" t="inlineStr">
        <is>
          <t>Not started</t>
        </is>
      </c>
      <c r="L70" s="14" t="n"/>
    </row>
    <row r="71">
      <c r="A71" s="14" t="inlineStr">
        <is>
          <t>FILE_QUARANTINED</t>
        </is>
      </c>
      <c r="B71" s="14" t="inlineStr">
        <is>
          <t>File quarantined</t>
        </is>
      </c>
      <c r="C71" s="14" t="inlineStr">
        <is>
          <t>Platform set-up</t>
        </is>
      </c>
      <c r="D71" s="14" t="inlineStr">
        <is>
          <t>BDOI IT</t>
        </is>
      </c>
      <c r="E71" s="14" t="inlineStr">
        <is>
          <t>A file you uploaded, or one you review as security officer, was quarantined by the malware scan</t>
        </is>
      </c>
      <c r="F71" s="14" t="inlineStr">
        <is>
          <t>Y</t>
        </is>
      </c>
      <c r="G71" s="14" t="inlineStr">
        <is>
          <t>Y</t>
        </is>
      </c>
      <c r="H71" s="14" t="n"/>
      <c r="I71" s="14" t="n"/>
      <c r="J71" s="14" t="n"/>
      <c r="K71" s="14" t="inlineStr">
        <is>
          <t>Not started</t>
        </is>
      </c>
      <c r="L71" s="14" t="n"/>
    </row>
    <row r="72">
      <c r="A72" s="14" t="inlineStr">
        <is>
          <t>SBM_NEW_SUBMISSION</t>
        </is>
      </c>
      <c r="B72" s="14" t="inlineStr">
        <is>
          <t>New submitted policies</t>
        </is>
      </c>
      <c r="C72" s="14" t="inlineStr">
        <is>
          <t>Submitted Policies</t>
        </is>
      </c>
      <c r="D72" s="14" t="inlineStr">
        <is>
          <t>Product Owner, Submitted Policies</t>
        </is>
      </c>
      <c r="E72" s="14" t="inlineStr">
        <is>
          <t>Submitted policies were loaded from a source file</t>
        </is>
      </c>
      <c r="F72" s="14" t="inlineStr">
        <is>
          <t>Y</t>
        </is>
      </c>
      <c r="G72" s="14" t="inlineStr">
        <is>
          <t>N</t>
        </is>
      </c>
      <c r="H72" s="14" t="n"/>
      <c r="I72" s="14" t="n"/>
      <c r="J72" s="14" t="n"/>
      <c r="K72" s="14" t="inlineStr">
        <is>
          <t>Not started</t>
        </is>
      </c>
      <c r="L72" s="14" t="n"/>
    </row>
    <row r="73">
      <c r="A73" s="14" t="inlineStr">
        <is>
          <t>SBM_MANUAL_VALIDATION</t>
        </is>
      </c>
      <c r="B73" s="14" t="inlineStr">
        <is>
          <t>Policy document to confirm</t>
        </is>
      </c>
      <c r="C73" s="14" t="inlineStr">
        <is>
          <t>Submitted Policies</t>
        </is>
      </c>
      <c r="D73" s="14" t="inlineStr">
        <is>
          <t>Product Owner, Submitted Policies</t>
        </is>
      </c>
      <c r="E73" s="14" t="inlineStr">
        <is>
          <t>A submitted policy document waits for the confirmation of its details</t>
        </is>
      </c>
      <c r="F73" s="14" t="inlineStr">
        <is>
          <t>Y</t>
        </is>
      </c>
      <c r="G73" s="14" t="inlineStr">
        <is>
          <t>N</t>
        </is>
      </c>
      <c r="H73" s="14" t="n"/>
      <c r="I73" s="14" t="n"/>
      <c r="J73" s="14" t="n"/>
      <c r="K73" s="14" t="inlineStr">
        <is>
          <t>Not started</t>
        </is>
      </c>
      <c r="L73" s="14" t="n"/>
    </row>
    <row r="74">
      <c r="A74" s="14" t="inlineStr">
        <is>
          <t>SBM_IAAF_PENDING</t>
        </is>
      </c>
      <c r="B74" s="14" t="inlineStr">
        <is>
          <t>IAAF to approve</t>
        </is>
      </c>
      <c r="C74" s="14" t="inlineStr">
        <is>
          <t>Submitted Policies</t>
        </is>
      </c>
      <c r="D74" s="14" t="inlineStr">
        <is>
          <t>Product Owner, Submitted Policies</t>
        </is>
      </c>
      <c r="E74" s="14" t="inlineStr">
        <is>
          <t>An IAAF waits for your approval</t>
        </is>
      </c>
      <c r="F74" s="14" t="inlineStr">
        <is>
          <t>Y</t>
        </is>
      </c>
      <c r="G74" s="14" t="inlineStr">
        <is>
          <t>Y</t>
        </is>
      </c>
      <c r="H74" s="14" t="n"/>
      <c r="I74" s="14" t="n"/>
      <c r="J74" s="14" t="n"/>
      <c r="K74" s="14" t="inlineStr">
        <is>
          <t>Not started</t>
        </is>
      </c>
      <c r="L74" s="14" t="n"/>
    </row>
    <row r="75">
      <c r="A75" s="14" t="inlineStr">
        <is>
          <t>SBM_TOR_PENDING</t>
        </is>
      </c>
      <c r="B75" s="14" t="inlineStr">
        <is>
          <t>TOR to approve</t>
        </is>
      </c>
      <c r="C75" s="14" t="inlineStr">
        <is>
          <t>Submitted Policies</t>
        </is>
      </c>
      <c r="D75" s="14" t="inlineStr">
        <is>
          <t>Product Owner, Submitted Policies</t>
        </is>
      </c>
      <c r="E75" s="14" t="inlineStr">
        <is>
          <t>A Terms of Reference waits for your approval</t>
        </is>
      </c>
      <c r="F75" s="14" t="inlineStr">
        <is>
          <t>Y</t>
        </is>
      </c>
      <c r="G75" s="14" t="inlineStr">
        <is>
          <t>Y</t>
        </is>
      </c>
      <c r="H75" s="14" t="n"/>
      <c r="I75" s="14" t="n"/>
      <c r="J75" s="14" t="n"/>
      <c r="K75" s="14" t="inlineStr">
        <is>
          <t>Not started</t>
        </is>
      </c>
      <c r="L75" s="14" t="n"/>
    </row>
    <row r="76">
      <c r="A76" s="14" t="inlineStr">
        <is>
          <t>SBM_TOR_RELEASED</t>
        </is>
      </c>
      <c r="B76" s="14" t="inlineStr">
        <is>
          <t>TOR approved</t>
        </is>
      </c>
      <c r="C76" s="14" t="inlineStr">
        <is>
          <t>Submitted Policies</t>
        </is>
      </c>
      <c r="D76" s="14" t="inlineStr">
        <is>
          <t>Product Owner, Submitted Policies</t>
        </is>
      </c>
      <c r="E76" s="14" t="inlineStr">
        <is>
          <t>The Terms of Reference of your account was approved; open or download it</t>
        </is>
      </c>
      <c r="F76" s="14" t="inlineStr">
        <is>
          <t>Y</t>
        </is>
      </c>
      <c r="G76" s="14" t="inlineStr">
        <is>
          <t>Y</t>
        </is>
      </c>
      <c r="H76" s="14" t="n"/>
      <c r="I76" s="14" t="n"/>
      <c r="J76" s="14" t="n"/>
      <c r="K76" s="14" t="inlineStr">
        <is>
          <t>Not started</t>
        </is>
      </c>
      <c r="L76" s="14" t="n"/>
    </row>
    <row r="77">
      <c r="A77" s="14" t="inlineStr">
        <is>
          <t>SBM_BUCKET_CHANGED</t>
        </is>
      </c>
      <c r="B77" s="14" t="inlineStr">
        <is>
          <t>Submitted policy bucket changed</t>
        </is>
      </c>
      <c r="C77" s="14" t="inlineStr">
        <is>
          <t>Submitted Policies</t>
        </is>
      </c>
      <c r="D77" s="14" t="inlineStr">
        <is>
          <t>Product Owner, Submitted Policies</t>
        </is>
      </c>
      <c r="E77" s="14" t="inlineStr">
        <is>
          <t>Submitted policies moved to the renewal, manual disposition or non-renewal buckets</t>
        </is>
      </c>
      <c r="F77" s="14" t="inlineStr">
        <is>
          <t>Y</t>
        </is>
      </c>
      <c r="G77" s="14" t="inlineStr">
        <is>
          <t>N</t>
        </is>
      </c>
      <c r="H77" s="14" t="n"/>
      <c r="I77" s="14" t="n"/>
      <c r="J77" s="14" t="n"/>
      <c r="K77" s="14" t="inlineStr">
        <is>
          <t>Not started</t>
        </is>
      </c>
      <c r="L77" s="14" t="n"/>
    </row>
    <row r="78">
      <c r="A78" s="14" t="inlineStr">
        <is>
          <t>SBM_FALLOUT</t>
        </is>
      </c>
      <c r="B78" s="14" t="inlineStr">
        <is>
          <t>Submitted policies fallout</t>
        </is>
      </c>
      <c r="C78" s="14" t="inlineStr">
        <is>
          <t>Submitted Policies</t>
        </is>
      </c>
      <c r="D78" s="14" t="inlineStr">
        <is>
          <t>Product Owner, Submitted Policies</t>
        </is>
      </c>
      <c r="E78" s="14" t="inlineStr">
        <is>
          <t>A processing run ended with fallout to resolve</t>
        </is>
      </c>
      <c r="F78" s="14" t="inlineStr">
        <is>
          <t>Y</t>
        </is>
      </c>
      <c r="G78" s="14" t="inlineStr">
        <is>
          <t>N</t>
        </is>
      </c>
      <c r="H78" s="14" t="n"/>
      <c r="I78" s="14" t="n"/>
      <c r="J78" s="14" t="n"/>
      <c r="K78" s="14" t="inlineStr">
        <is>
          <t>Not started</t>
        </is>
      </c>
      <c r="L78" s="14" t="n"/>
    </row>
    <row r="79">
      <c r="A79" s="14" t="inlineStr">
        <is>
          <t>SBM_EXPIRY_NEAR</t>
        </is>
      </c>
      <c r="B79" s="14" t="inlineStr">
        <is>
          <t>Submitted policy nearing expiry</t>
        </is>
      </c>
      <c r="C79" s="14" t="inlineStr">
        <is>
          <t>Submitted Policies</t>
        </is>
      </c>
      <c r="D79" s="14" t="inlineStr">
        <is>
          <t>Product Owner, Submitted Policies</t>
        </is>
      </c>
      <c r="E79" s="14" t="inlineStr">
        <is>
          <t>A submitted policy for renewal is within the renewal lead days</t>
        </is>
      </c>
      <c r="F79" s="14" t="inlineStr">
        <is>
          <t>Y</t>
        </is>
      </c>
      <c r="G79" s="14" t="inlineStr">
        <is>
          <t>N</t>
        </is>
      </c>
      <c r="H79" s="14" t="n"/>
      <c r="I79" s="14" t="n"/>
      <c r="J79" s="14" t="n"/>
      <c r="K79" s="14" t="inlineStr">
        <is>
          <t>Not started</t>
        </is>
      </c>
      <c r="L79" s="14" t="n"/>
    </row>
    <row r="80">
      <c r="A80" s="14" t="inlineStr">
        <is>
          <t>SBM_RENEWAL_STARTED</t>
        </is>
      </c>
      <c r="B80" s="14" t="inlineStr">
        <is>
          <t>Renewal of a submitted policy started</t>
        </is>
      </c>
      <c r="C80" s="14" t="inlineStr">
        <is>
          <t>Submitted Policies</t>
        </is>
      </c>
      <c r="D80" s="14" t="inlineStr">
        <is>
          <t>Product Owner, Submitted Policies</t>
        </is>
      </c>
      <c r="E80" s="14" t="inlineStr">
        <is>
          <t>A submitted policy was handed to Renewal</t>
        </is>
      </c>
      <c r="F80" s="14" t="inlineStr">
        <is>
          <t>Y</t>
        </is>
      </c>
      <c r="G80" s="14" t="inlineStr">
        <is>
          <t>N</t>
        </is>
      </c>
      <c r="H80" s="14" t="n"/>
      <c r="I80" s="14" t="n"/>
      <c r="J80" s="14" t="n"/>
      <c r="K80" s="14" t="inlineStr">
        <is>
          <t>Not started</t>
        </is>
      </c>
      <c r="L80" s="14" t="n"/>
    </row>
    <row r="81">
      <c r="A81" s="14" t="inlineStr">
        <is>
          <t>SBM_PLACEMENT_READY</t>
        </is>
      </c>
      <c r="B81" s="14" t="inlineStr">
        <is>
          <t>Submitted policy renewal ready for placement</t>
        </is>
      </c>
      <c r="C81" s="14" t="inlineStr">
        <is>
          <t>Submitted Policies</t>
        </is>
      </c>
      <c r="D81" s="14" t="inlineStr">
        <is>
          <t>Product Owner, Submitted Policies</t>
        </is>
      </c>
      <c r="E81" s="14" t="inlineStr">
        <is>
          <t>The renewal account of a submitted policy is ready for placement</t>
        </is>
      </c>
      <c r="F81" s="14" t="inlineStr">
        <is>
          <t>Y</t>
        </is>
      </c>
      <c r="G81" s="14" t="inlineStr">
        <is>
          <t>N</t>
        </is>
      </c>
      <c r="H81" s="14" t="n"/>
      <c r="I81" s="14" t="n"/>
      <c r="J81" s="14" t="n"/>
      <c r="K81" s="14" t="inlineStr">
        <is>
          <t>Not started</t>
        </is>
      </c>
      <c r="L81" s="14" t="n"/>
    </row>
    <row r="82">
      <c r="A82" s="14" t="inlineStr">
        <is>
          <t>SBM_PLACEMENT_SENT</t>
        </is>
      </c>
      <c r="B82" s="14" t="inlineStr">
        <is>
          <t>Submitted policy renewal placed</t>
        </is>
      </c>
      <c r="C82" s="14" t="inlineStr">
        <is>
          <t>Submitted Policies</t>
        </is>
      </c>
      <c r="D82" s="14" t="inlineStr">
        <is>
          <t>Product Owner, Submitted Policies</t>
        </is>
      </c>
      <c r="E82" s="14" t="inlineStr">
        <is>
          <t>The placement slip of a submitted policy renewal was sent to the insurer</t>
        </is>
      </c>
      <c r="F82" s="14" t="inlineStr">
        <is>
          <t>Y</t>
        </is>
      </c>
      <c r="G82" s="14" t="inlineStr">
        <is>
          <t>N</t>
        </is>
      </c>
      <c r="H82" s="14" t="n"/>
      <c r="I82" s="14" t="n"/>
      <c r="J82" s="14" t="n"/>
      <c r="K82" s="14" t="inlineStr">
        <is>
          <t>Not started</t>
        </is>
      </c>
      <c r="L82" s="14" t="n"/>
    </row>
    <row r="83">
      <c r="A83" s="14" t="inlineStr">
        <is>
          <t>SBM_HOLD_COVER_UNBOOKED</t>
        </is>
      </c>
      <c r="B83" s="14" t="inlineStr">
        <is>
          <t>Hold cover of an unbooked renewal</t>
        </is>
      </c>
      <c r="C83" s="14" t="inlineStr">
        <is>
          <t>Submitted Policies</t>
        </is>
      </c>
      <c r="D83" s="14" t="inlineStr">
        <is>
          <t>Product Owner, Submitted Policies</t>
        </is>
      </c>
      <c r="E83" s="14" t="inlineStr">
        <is>
          <t>A hold cover ends soon and the renewal account is not booked</t>
        </is>
      </c>
      <c r="F83" s="14" t="inlineStr">
        <is>
          <t>Y</t>
        </is>
      </c>
      <c r="G83" s="14" t="inlineStr">
        <is>
          <t>Y</t>
        </is>
      </c>
      <c r="H83" s="14" t="n"/>
      <c r="I83" s="14" t="n"/>
      <c r="J83" s="14" t="n"/>
      <c r="K83" s="14" t="inlineStr">
        <is>
          <t>Not started</t>
        </is>
      </c>
      <c r="L83" s="14" t="n"/>
    </row>
    <row r="84">
      <c r="A84" s="14" t="inlineStr">
        <is>
          <t>SBM_HANDLER_ASSIGNED</t>
        </is>
      </c>
      <c r="B84" s="14" t="inlineStr">
        <is>
          <t>Submitted policy assigned</t>
        </is>
      </c>
      <c r="C84" s="14" t="inlineStr">
        <is>
          <t>Submitted Policies</t>
        </is>
      </c>
      <c r="D84" s="14" t="inlineStr">
        <is>
          <t>Product Owner, Submitted Policies</t>
        </is>
      </c>
      <c r="E84" s="14" t="inlineStr">
        <is>
          <t>Submitted policies were assigned to you</t>
        </is>
      </c>
      <c r="F84" s="14" t="inlineStr">
        <is>
          <t>Y</t>
        </is>
      </c>
      <c r="G84" s="14" t="inlineStr">
        <is>
          <t>N</t>
        </is>
      </c>
      <c r="H84" s="14" t="n"/>
      <c r="I84" s="14" t="n"/>
      <c r="J84" s="14" t="n"/>
      <c r="K84" s="14" t="inlineStr">
        <is>
          <t>Not started</t>
        </is>
      </c>
      <c r="L84" s="14" t="n"/>
    </row>
    <row r="85">
      <c r="A85" s="14" t="inlineStr">
        <is>
          <t>UAM_REQUEST_TO_APPROVE</t>
        </is>
      </c>
      <c r="B85" s="14" t="inlineStr">
        <is>
          <t>Access request to approve</t>
        </is>
      </c>
      <c r="C85" s="14" t="inlineStr">
        <is>
          <t>User Access Maintenance</t>
        </is>
      </c>
      <c r="D85" s="14" t="inlineStr">
        <is>
          <t>Business Administration (User Access)</t>
        </is>
      </c>
      <c r="E85" s="14" t="inlineStr">
        <is>
          <t>An access request waits for your approval</t>
        </is>
      </c>
      <c r="F85" s="14" t="inlineStr">
        <is>
          <t>Y</t>
        </is>
      </c>
      <c r="G85" s="14" t="inlineStr">
        <is>
          <t>Y</t>
        </is>
      </c>
      <c r="H85" s="14" t="n"/>
      <c r="I85" s="14" t="n"/>
      <c r="J85" s="14" t="n"/>
      <c r="K85" s="14" t="inlineStr">
        <is>
          <t>Not started</t>
        </is>
      </c>
      <c r="L85" s="14" t="n"/>
    </row>
    <row r="86">
      <c r="A86" s="14" t="inlineStr">
        <is>
          <t>UAM_REQUEST_RETURNED</t>
        </is>
      </c>
      <c r="B86" s="14" t="inlineStr">
        <is>
          <t>Access request returned</t>
        </is>
      </c>
      <c r="C86" s="14" t="inlineStr">
        <is>
          <t>User Access Maintenance</t>
        </is>
      </c>
      <c r="D86" s="14" t="inlineStr">
        <is>
          <t>Business Administration (User Access)</t>
        </is>
      </c>
      <c r="E86" s="14" t="inlineStr">
        <is>
          <t>Your access request was returned with remarks</t>
        </is>
      </c>
      <c r="F86" s="14" t="inlineStr">
        <is>
          <t>Y</t>
        </is>
      </c>
      <c r="G86" s="14" t="inlineStr">
        <is>
          <t>Y</t>
        </is>
      </c>
      <c r="H86" s="14" t="n"/>
      <c r="I86" s="14" t="n"/>
      <c r="J86" s="14" t="n"/>
      <c r="K86" s="14" t="inlineStr">
        <is>
          <t>Not started</t>
        </is>
      </c>
      <c r="L86" s="14" t="n"/>
    </row>
    <row r="87">
      <c r="A87" s="14" t="inlineStr">
        <is>
          <t>UAM_REQUEST_CANCELLED</t>
        </is>
      </c>
      <c r="B87" s="14" t="inlineStr">
        <is>
          <t>Access request cancelled</t>
        </is>
      </c>
      <c r="C87" s="14" t="inlineStr">
        <is>
          <t>User Access Maintenance</t>
        </is>
      </c>
      <c r="D87" s="14" t="inlineStr">
        <is>
          <t>Business Administration (User Access)</t>
        </is>
      </c>
      <c r="E87" s="14" t="inlineStr">
        <is>
          <t>An access request assigned to you was cancelled</t>
        </is>
      </c>
      <c r="F87" s="14" t="inlineStr">
        <is>
          <t>Y</t>
        </is>
      </c>
      <c r="G87" s="14" t="inlineStr">
        <is>
          <t>N</t>
        </is>
      </c>
      <c r="H87" s="14" t="n"/>
      <c r="I87" s="14" t="n"/>
      <c r="J87" s="14" t="n"/>
      <c r="K87" s="14" t="inlineStr">
        <is>
          <t>Not started</t>
        </is>
      </c>
      <c r="L87" s="14" t="n"/>
    </row>
    <row r="88">
      <c r="A88" s="14" t="inlineStr">
        <is>
          <t>UAM_REQUEST_DECIDED</t>
        </is>
      </c>
      <c r="B88" s="14" t="inlineStr">
        <is>
          <t>Access request decided</t>
        </is>
      </c>
      <c r="C88" s="14" t="inlineStr">
        <is>
          <t>User Access Maintenance</t>
        </is>
      </c>
      <c r="D88" s="14" t="inlineStr">
        <is>
          <t>Business Administration (User Access)</t>
        </is>
      </c>
      <c r="E88" s="14" t="inlineStr">
        <is>
          <t>Your access request was approved or rejected</t>
        </is>
      </c>
      <c r="F88" s="14" t="inlineStr">
        <is>
          <t>Y</t>
        </is>
      </c>
      <c r="G88" s="14" t="inlineStr">
        <is>
          <t>Y</t>
        </is>
      </c>
      <c r="H88" s="14" t="n"/>
      <c r="I88" s="14" t="n"/>
      <c r="J88" s="14" t="n"/>
      <c r="K88" s="14" t="inlineStr">
        <is>
          <t>Not started</t>
        </is>
      </c>
      <c r="L88" s="14" t="n"/>
    </row>
    <row r="89">
      <c r="A89" s="14" t="inlineStr">
        <is>
          <t>UAM_ACCESS_CHANGED</t>
        </is>
      </c>
      <c r="B89" s="14" t="inlineStr">
        <is>
          <t>Your access changed</t>
        </is>
      </c>
      <c r="C89" s="14" t="inlineStr">
        <is>
          <t>User Access Maintenance</t>
        </is>
      </c>
      <c r="D89" s="14" t="inlineStr">
        <is>
          <t>Business Administration (User Access)</t>
        </is>
      </c>
      <c r="E89" s="14" t="inlineStr">
        <is>
          <t>Your user data or group profiles were changed</t>
        </is>
      </c>
      <c r="F89" s="14" t="inlineStr">
        <is>
          <t>Y</t>
        </is>
      </c>
      <c r="G89" s="14" t="inlineStr">
        <is>
          <t>Y</t>
        </is>
      </c>
      <c r="H89" s="14" t="n"/>
      <c r="I89" s="14" t="n"/>
      <c r="J89" s="14" t="n"/>
      <c r="K89" s="14" t="inlineStr">
        <is>
          <t>Not started</t>
        </is>
      </c>
      <c r="L89" s="14" t="n"/>
    </row>
    <row r="90">
      <c r="A90" s="14" t="inlineStr">
        <is>
          <t>UAM_SECOND_APPROVAL</t>
        </is>
      </c>
      <c r="B90" s="14" t="inlineStr">
        <is>
          <t>Access request for second approval</t>
        </is>
      </c>
      <c r="C90" s="14" t="inlineStr">
        <is>
          <t>User Access Maintenance</t>
        </is>
      </c>
      <c r="D90" s="14" t="inlineStr">
        <is>
          <t>Business Administration (User Access)</t>
        </is>
      </c>
      <c r="E90" s="14" t="inlineStr">
        <is>
          <t>A privileged or out-of-hours access request waits for your second approval</t>
        </is>
      </c>
      <c r="F90" s="14" t="inlineStr">
        <is>
          <t>Y</t>
        </is>
      </c>
      <c r="G90" s="14" t="inlineStr">
        <is>
          <t>Y</t>
        </is>
      </c>
      <c r="H90" s="14" t="n"/>
      <c r="I90" s="14" t="n"/>
      <c r="J90" s="14" t="n"/>
      <c r="K90" s="14" t="inlineStr">
        <is>
          <t>Not started</t>
        </is>
      </c>
      <c r="L90" s="14" t="n"/>
    </row>
    <row r="91">
      <c r="A91" s="14" t="inlineStr">
        <is>
          <t>UAM_FOR_IMPLEMENTATION</t>
        </is>
      </c>
      <c r="B91" s="14" t="inlineStr">
        <is>
          <t>Group profile request to implement</t>
        </is>
      </c>
      <c r="C91" s="14" t="inlineStr">
        <is>
          <t>User Access Maintenance</t>
        </is>
      </c>
      <c r="D91" s="14" t="inlineStr">
        <is>
          <t>Business Administration (User Access)</t>
        </is>
      </c>
      <c r="E91" s="14" t="inlineStr">
        <is>
          <t>An approved group-profile request waits for the System Administrator</t>
        </is>
      </c>
      <c r="F91" s="14" t="inlineStr">
        <is>
          <t>Y</t>
        </is>
      </c>
      <c r="G91" s="14" t="inlineStr">
        <is>
          <t>Y</t>
        </is>
      </c>
      <c r="H91" s="14" t="n"/>
      <c r="I91" s="14" t="n"/>
      <c r="J91" s="14" t="n"/>
      <c r="K91" s="14" t="inlineStr">
        <is>
          <t>Not started</t>
        </is>
      </c>
      <c r="L91" s="14" t="n"/>
    </row>
    <row r="92">
      <c r="A92" s="14" t="inlineStr">
        <is>
          <t>PASSWORD_EXPIRY_NOTICE</t>
        </is>
      </c>
      <c r="B92" s="14" t="inlineStr">
        <is>
          <t>Password expires soon</t>
        </is>
      </c>
      <c r="C92" s="14" t="inlineStr">
        <is>
          <t>User Access Maintenance</t>
        </is>
      </c>
      <c r="D92" s="14" t="inlineStr">
        <is>
          <t>Business Administration (User Access)</t>
        </is>
      </c>
      <c r="E92" s="14" t="inlineStr">
        <is>
          <t>Your password expires within 7 days; change it on My Profile</t>
        </is>
      </c>
      <c r="F92" s="14" t="inlineStr">
        <is>
          <t>Y</t>
        </is>
      </c>
      <c r="G92" s="14" t="inlineStr">
        <is>
          <t>Y</t>
        </is>
      </c>
      <c r="H92" s="14" t="n"/>
      <c r="I92" s="14" t="n"/>
      <c r="J92" s="14" t="n"/>
      <c r="K92" s="14" t="inlineStr">
        <is>
          <t>Not started</t>
        </is>
      </c>
      <c r="L92" s="14" t="n"/>
    </row>
    <row r="93">
      <c r="A93" s="14" t="inlineStr">
        <is>
          <t>UAM_DORMANT_WARNING</t>
        </is>
      </c>
      <c r="B93" s="14" t="inlineStr">
        <is>
          <t>Account deactivation soon</t>
        </is>
      </c>
      <c r="C93" s="14" t="inlineStr">
        <is>
          <t>User Access Maintenance</t>
        </is>
      </c>
      <c r="D93" s="14" t="inlineStr">
        <is>
          <t>Business Administration (User Access)</t>
        </is>
      </c>
      <c r="E93" s="14" t="inlineStr">
        <is>
          <t>You have not signed in for a long time; sign in before the date given or your account is deactivated</t>
        </is>
      </c>
      <c r="F93" s="14" t="inlineStr">
        <is>
          <t>Y</t>
        </is>
      </c>
      <c r="G93" s="14" t="inlineStr">
        <is>
          <t>Y</t>
        </is>
      </c>
      <c r="H93" s="14" t="n"/>
      <c r="I93" s="14" t="n"/>
      <c r="J93" s="14" t="n"/>
      <c r="K93" s="14" t="inlineStr">
        <is>
          <t>Not started</t>
        </is>
      </c>
      <c r="L93" s="14" t="n"/>
    </row>
    <row r="94">
      <c r="A94" s="14" t="inlineStr">
        <is>
          <t>UAM_DORMANT_DEACTIVATED</t>
        </is>
      </c>
      <c r="B94" s="14" t="inlineStr">
        <is>
          <t>Dormant users deactivated</t>
        </is>
      </c>
      <c r="C94" s="14" t="inlineStr">
        <is>
          <t>User Access Maintenance</t>
        </is>
      </c>
      <c r="D94" s="14" t="inlineStr">
        <is>
          <t>Business Administration (User Access)</t>
        </is>
      </c>
      <c r="E94" s="14" t="inlineStr">
        <is>
          <t>Users who had not signed in for the dormancy period were deactivated</t>
        </is>
      </c>
      <c r="F94" s="14" t="inlineStr">
        <is>
          <t>Y</t>
        </is>
      </c>
      <c r="G94" s="14" t="inlineStr">
        <is>
          <t>N</t>
        </is>
      </c>
      <c r="H94" s="14" t="n"/>
      <c r="I94" s="14" t="n"/>
      <c r="J94" s="14" t="n"/>
      <c r="K94" s="14" t="inlineStr">
        <is>
          <t>Not started</t>
        </is>
      </c>
      <c r="L94" s="14" t="n"/>
    </row>
    <row r="95">
      <c r="A95" s="14" t="inlineStr">
        <is>
          <t>UAM_PARAMETER_TO_APPROVE</t>
        </is>
      </c>
      <c r="B95" s="14" t="inlineStr">
        <is>
          <t>Security setting to approve</t>
        </is>
      </c>
      <c r="C95" s="14" t="inlineStr">
        <is>
          <t>User Access Maintenance</t>
        </is>
      </c>
      <c r="D95" s="14" t="inlineStr">
        <is>
          <t>Business Administration (User Access)</t>
        </is>
      </c>
      <c r="E95" s="14" t="inlineStr">
        <is>
          <t>A change of a sign-in, password, session or access setting waits for your approval</t>
        </is>
      </c>
      <c r="F95" s="14" t="inlineStr">
        <is>
          <t>Y</t>
        </is>
      </c>
      <c r="G95" s="14" t="inlineStr">
        <is>
          <t>Y</t>
        </is>
      </c>
      <c r="H95" s="14" t="n"/>
      <c r="I95" s="14" t="n"/>
      <c r="J95" s="14" t="n"/>
      <c r="K95" s="14" t="inlineStr">
        <is>
          <t>Not started</t>
        </is>
      </c>
      <c r="L95" s="14" t="n"/>
    </row>
    <row r="96">
      <c r="A96" s="14" t="inlineStr">
        <is>
          <t>UAM_SOD_TO_AUTHORIZE</t>
        </is>
      </c>
      <c r="B96" s="14" t="inlineStr">
        <is>
          <t>Separation-of-duties rule to authorise</t>
        </is>
      </c>
      <c r="C96" s="14" t="inlineStr">
        <is>
          <t>User Access Maintenance</t>
        </is>
      </c>
      <c r="D96" s="14" t="inlineStr">
        <is>
          <t>Business Administration (User Access)</t>
        </is>
      </c>
      <c r="E96" s="14" t="inlineStr">
        <is>
          <t>A new or deactivated separation-of-duties rule waits for your authorisation</t>
        </is>
      </c>
      <c r="F96" s="14" t="inlineStr">
        <is>
          <t>Y</t>
        </is>
      </c>
      <c r="G96" s="14" t="inlineStr">
        <is>
          <t>N</t>
        </is>
      </c>
      <c r="H96" s="14" t="n"/>
      <c r="I96" s="14" t="n"/>
      <c r="J96" s="14" t="n"/>
      <c r="K96" s="14" t="inlineStr">
        <is>
          <t>Not started</t>
        </is>
      </c>
      <c r="L96" s="14" t="n"/>
    </row>
    <row r="97">
      <c r="A97" s="14" t="inlineStr">
        <is>
          <t>MFA_RESET_TO_APPROVE</t>
        </is>
      </c>
      <c r="B97" s="14" t="inlineStr">
        <is>
          <t>Second factor reset to approve</t>
        </is>
      </c>
      <c r="C97" s="14" t="inlineStr">
        <is>
          <t>User Access Maintenance</t>
        </is>
      </c>
      <c r="D97" s="14" t="inlineStr">
        <is>
          <t>Business Administration (User Access)</t>
        </is>
      </c>
      <c r="E97" s="14" t="inlineStr">
        <is>
          <t>A reset of a user's authenticator app waits for your approval</t>
        </is>
      </c>
      <c r="F97" s="14" t="inlineStr">
        <is>
          <t>Y</t>
        </is>
      </c>
      <c r="G97" s="14" t="inlineStr">
        <is>
          <t>Y</t>
        </is>
      </c>
      <c r="H97" s="14" t="n"/>
      <c r="I97" s="14" t="n"/>
      <c r="J97" s="14" t="n"/>
      <c r="K97" s="14" t="inlineStr">
        <is>
          <t>Not started</t>
        </is>
      </c>
      <c r="L97" s="14" t="n"/>
    </row>
    <row r="98">
      <c r="A98" s="14" t="inlineStr">
        <is>
          <t>MFA_RESET_DONE</t>
        </is>
      </c>
      <c r="B98" s="14" t="inlineStr">
        <is>
          <t>Second factor reset</t>
        </is>
      </c>
      <c r="C98" s="14" t="inlineStr">
        <is>
          <t>User Access Maintenance</t>
        </is>
      </c>
      <c r="D98" s="14" t="inlineStr">
        <is>
          <t>Business Administration (User Access)</t>
        </is>
      </c>
      <c r="E98" s="14" t="inlineStr">
        <is>
          <t>Your authenticator app was reset by the administrators; enrol it again at your next sign-in</t>
        </is>
      </c>
      <c r="F98" s="14" t="inlineStr">
        <is>
          <t>Y</t>
        </is>
      </c>
      <c r="G98" s="14" t="inlineStr">
        <is>
          <t>Y</t>
        </is>
      </c>
      <c r="H98" s="14" t="n"/>
      <c r="I98" s="14" t="n"/>
      <c r="J98" s="14" t="n"/>
      <c r="K98" s="14" t="inlineStr">
        <is>
          <t>Not started</t>
        </is>
      </c>
      <c r="L98" s="14" t="n"/>
    </row>
  </sheetData>
  <autoFilter ref="A4:L98"/>
  <conditionalFormatting sqref="K5:K98">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L98">
    <cfRule type="expression" priority="6" dxfId="7">
      <formula>AND(MOD(ROW(),2)=0,$A5&lt;&gt;"")</formula>
    </cfRule>
  </conditionalFormatting>
  <dataValidations count="3">
    <dataValidation sqref="H5:H98" showDropDown="0" showInputMessage="1" showErrorMessage="1" allowBlank="1" errorTitle="In-app wanted" error="Choose a value of the list Yes or no (sheet Reference lists)." promptTitle="In-app wanted" prompt="Y or N" type="list" errorStyle="stop">
      <formula1>=LIST_YES_NO</formula1>
    </dataValidation>
    <dataValidation sqref="I5:I98" showDropDown="0" showInputMessage="1" showErrorMessage="1" allowBlank="1" errorTitle="E-mail wanted" error="Choose a value of the list Yes or no (sheet Reference lists)." promptTitle="E-mail wanted" prompt="Y or N" type="list" errorStyle="stop">
      <formula1>=LIST_YES_NO</formula1>
    </dataValidation>
    <dataValidation sqref="K5:K98"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61.xml><?xml version="1.0" encoding="utf-8"?>
<worksheet xmlns="http://schemas.openxmlformats.org/spreadsheetml/2006/main">
  <sheetPr>
    <outlinePr summaryBelow="1" summaryRight="1"/>
    <pageSetUpPr fitToPage="1"/>
  </sheetPr>
  <dimension ref="A1:J66"/>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20" customWidth="1" min="3" max="3"/>
    <col width="28" customWidth="1" min="4" max="4"/>
    <col width="50" customWidth="1" min="5" max="5"/>
    <col width="30" customWidth="1" min="6" max="6"/>
    <col width="22" customWidth="1" min="7" max="7"/>
    <col width="12" customWidth="1" min="8" max="8"/>
    <col width="14" customWidth="1" min="9" max="9"/>
    <col width="36" customWidth="1" min="10" max="10"/>
  </cols>
  <sheetData>
    <row r="1" ht="26" customHeight="1">
      <c r="A1" s="25" t="inlineStr">
        <is>
          <t>Review list: document templates</t>
        </is>
      </c>
    </row>
    <row r="2">
      <c r="A2" s="27" t="inlineStr">
        <is>
          <t>← Back to Start here</t>
        </is>
      </c>
      <c r="B2" s="55" t="inlineStr">
        <is>
          <t>Every generated document and letter with the unit that gives its BDOI wording and layout; the layout is uploaded as a Word file on Document Templates</t>
        </is>
      </c>
    </row>
    <row r="4" ht="30" customHeight="1">
      <c r="A4" s="11" t="inlineStr">
        <is>
          <t>Template</t>
        </is>
      </c>
      <c r="B4" s="11" t="inlineStr">
        <is>
          <t>Title</t>
        </is>
      </c>
      <c r="C4" s="11" t="inlineStr">
        <is>
          <t>Module</t>
        </is>
      </c>
      <c r="D4" s="11" t="inlineStr">
        <is>
          <t>Owner (BDOI unit)</t>
        </is>
      </c>
      <c r="E4" s="11" t="inlineStr">
        <is>
          <t>Merge fields available</t>
        </is>
      </c>
      <c r="F4" s="11" t="inlineStr">
        <is>
          <t>Given in</t>
        </is>
      </c>
      <c r="G4" s="11" t="inlineStr">
        <is>
          <t>Due</t>
        </is>
      </c>
      <c r="H4" s="11" t="inlineStr">
        <is>
          <t>BDOI layout attached</t>
        </is>
      </c>
      <c r="I4" s="11" t="inlineStr">
        <is>
          <t>Status</t>
        </is>
      </c>
      <c r="J4" s="11" t="inlineStr">
        <is>
          <t>BDOI comments</t>
        </is>
      </c>
    </row>
    <row r="5">
      <c r="A5" s="14" t="inlineStr">
        <is>
          <t>BCL_LOSS_ADVICE</t>
        </is>
      </c>
      <c r="B5" s="14" t="inlineStr">
        <is>
          <t>Loss advice {{claimNo}} - {{assuredName}}</t>
        </is>
      </c>
      <c r="C5" s="14" t="inlineStr">
        <is>
          <t>Claims</t>
        </is>
      </c>
      <c r="D5" s="14" t="inlineStr">
        <is>
          <t>Product Owner, Claims</t>
        </is>
      </c>
      <c r="E5" s="14" t="inlineStr">
        <is>
          <t>adjusterName, arn, assuredName, claimNo, currency, handlerName, initialReserve, insurerClaimNos, insurerName, lossDate, lossDescription, lossNature, lossPlace, policyNo, policyYear</t>
        </is>
      </c>
      <c r="F5" s="14" t="inlineStr">
        <is>
          <t>This sheet</t>
        </is>
      </c>
      <c r="G5" s="14" t="inlineStr">
        <is>
          <t>16-Jul-2027 (T-24 weeks)</t>
        </is>
      </c>
      <c r="H5" s="14" t="n"/>
      <c r="I5" s="14" t="inlineStr">
        <is>
          <t>Not started</t>
        </is>
      </c>
      <c r="J5" s="14" t="n"/>
    </row>
    <row r="6">
      <c r="A6" s="14" t="inlineStr">
        <is>
          <t>CLX_SOA</t>
        </is>
      </c>
      <c r="B6" s="14" t="inlineStr">
        <is>
          <t>Statement of account</t>
        </is>
      </c>
      <c r="C6" s="14" t="inlineStr">
        <is>
          <t>Collections</t>
        </is>
      </c>
      <c r="D6" s="14" t="inlineStr">
        <is>
          <t>VP and Head, BDOI Operations (Collections)</t>
        </is>
      </c>
      <c r="E6" s="14" t="inlineStr">
        <is>
          <t>arn, balance, currency, cycleFrom, cycleTo, dueDate, frequency</t>
        </is>
      </c>
      <c r="F6" s="14" t="inlineStr">
        <is>
          <t>This sheet</t>
        </is>
      </c>
      <c r="G6" s="14" t="inlineStr">
        <is>
          <t>16-Jul-2027 (T-24 weeks)</t>
        </is>
      </c>
      <c r="H6" s="14" t="n"/>
      <c r="I6" s="14" t="inlineStr">
        <is>
          <t>Not started</t>
        </is>
      </c>
      <c r="J6" s="14" t="n"/>
    </row>
    <row r="7">
      <c r="A7" s="14" t="inlineStr">
        <is>
          <t>DSB_ATD</t>
        </is>
      </c>
      <c r="B7" s="14" t="inlineStr">
        <is>
          <t>Authority to debit</t>
        </is>
      </c>
      <c r="C7" s="14" t="inlineStr">
        <is>
          <t>Accounting, Disbursement and ACSL</t>
        </is>
      </c>
      <c r="D7" s="14" t="inlineStr">
        <is>
          <t>Head, Comptrollership</t>
        </is>
      </c>
      <c r="E7" s="14" t="inlineStr">
        <is>
          <t>bankAccountNo, bankName, currency, dvNo, netAmount, payeeAccountNo, payeeName, valueDate</t>
        </is>
      </c>
      <c r="F7" s="14" t="inlineStr">
        <is>
          <t>This sheet</t>
        </is>
      </c>
      <c r="G7" s="14" t="inlineStr">
        <is>
          <t>16-Jul-2027 (T-24 weeks)</t>
        </is>
      </c>
      <c r="H7" s="14" t="n"/>
      <c r="I7" s="14" t="inlineStr">
        <is>
          <t>Not started</t>
        </is>
      </c>
      <c r="J7" s="14" t="n"/>
    </row>
    <row r="8">
      <c r="A8" s="14" t="inlineStr">
        <is>
          <t>DSB_ATD_EMAIL</t>
        </is>
      </c>
      <c r="B8" s="14" t="inlineStr">
        <is>
          <t>Authority to debit {{dvNo}}</t>
        </is>
      </c>
      <c r="C8" s="14" t="inlineStr">
        <is>
          <t>Accounting, Disbursement and ACSL</t>
        </is>
      </c>
      <c r="D8" s="14" t="inlineStr">
        <is>
          <t>Head, Comptrollership</t>
        </is>
      </c>
      <c r="E8" s="14" t="inlineStr">
        <is>
          <t>currency, dvNo, instrumentNo, netAmount, payeeName</t>
        </is>
      </c>
      <c r="F8" s="14" t="inlineStr">
        <is>
          <t>This sheet</t>
        </is>
      </c>
      <c r="G8" s="14" t="inlineStr">
        <is>
          <t>16-Jul-2027 (T-24 weeks)</t>
        </is>
      </c>
      <c r="H8" s="14" t="n"/>
      <c r="I8" s="14" t="inlineStr">
        <is>
          <t>Not started</t>
        </is>
      </c>
      <c r="J8" s="14" t="n"/>
    </row>
    <row r="9">
      <c r="A9" s="14" t="inlineStr">
        <is>
          <t>DSB_CHECK</t>
        </is>
      </c>
      <c r="B9" s="14" t="inlineStr">
        <is>
          <t>Check</t>
        </is>
      </c>
      <c r="C9" s="14" t="inlineStr">
        <is>
          <t>Accounting, Disbursement and ACSL</t>
        </is>
      </c>
      <c r="D9" s="14" t="inlineStr">
        <is>
          <t>Head, Comptrollership</t>
        </is>
      </c>
      <c r="E9" s="14" t="inlineStr">
        <is>
          <t>bankAccountNo, bankName, currency, dvNo, instrumentNo, netAmount, payeeName, printDate</t>
        </is>
      </c>
      <c r="F9" s="14" t="inlineStr">
        <is>
          <t>This sheet</t>
        </is>
      </c>
      <c r="G9" s="14" t="inlineStr">
        <is>
          <t>16-Jul-2027 (T-24 weeks)</t>
        </is>
      </c>
      <c r="H9" s="14" t="n"/>
      <c r="I9" s="14" t="inlineStr">
        <is>
          <t>Not started</t>
        </is>
      </c>
      <c r="J9" s="14" t="n"/>
    </row>
    <row r="10">
      <c r="A10" s="14" t="inlineStr">
        <is>
          <t>DSB_CREDIT_TICKET</t>
        </is>
      </c>
      <c r="B10" s="14" t="inlineStr">
        <is>
          <t>Credit ticket</t>
        </is>
      </c>
      <c r="C10" s="14" t="inlineStr">
        <is>
          <t>Accounting, Disbursement and ACSL</t>
        </is>
      </c>
      <c r="D10" s="14" t="inlineStr">
        <is>
          <t>Head, Comptrollership</t>
        </is>
      </c>
      <c r="E10" s="14" t="inlineStr">
        <is>
          <t>bankAccountNo, bankName, currency, dvNo, netAmount, payeeAccountNo, payeeName</t>
        </is>
      </c>
      <c r="F10" s="14" t="inlineStr">
        <is>
          <t>This sheet</t>
        </is>
      </c>
      <c r="G10" s="14" t="inlineStr">
        <is>
          <t>16-Jul-2027 (T-24 weeks)</t>
        </is>
      </c>
      <c r="H10" s="14" t="n"/>
      <c r="I10" s="14" t="inlineStr">
        <is>
          <t>Not started</t>
        </is>
      </c>
      <c r="J10" s="14" t="n"/>
    </row>
    <row r="11">
      <c r="A11" s="14" t="inlineStr">
        <is>
          <t>DSB_MC_DD</t>
        </is>
      </c>
      <c r="B11" s="14" t="inlineStr">
        <is>
          <t>Manager's check / demand draft request</t>
        </is>
      </c>
      <c r="C11" s="14" t="inlineStr">
        <is>
          <t>Accounting, Disbursement and ACSL</t>
        </is>
      </c>
      <c r="D11" s="14" t="inlineStr">
        <is>
          <t>Head, Comptrollership</t>
        </is>
      </c>
      <c r="E11" s="14" t="inlineStr">
        <is>
          <t>bankAccountNo, bankName, currency, dvNo, netAmount, payeeName</t>
        </is>
      </c>
      <c r="F11" s="14" t="inlineStr">
        <is>
          <t>This sheet</t>
        </is>
      </c>
      <c r="G11" s="14" t="inlineStr">
        <is>
          <t>16-Jul-2027 (T-24 weeks)</t>
        </is>
      </c>
      <c r="H11" s="14" t="n"/>
      <c r="I11" s="14" t="inlineStr">
        <is>
          <t>Not started</t>
        </is>
      </c>
      <c r="J11" s="14" t="n"/>
    </row>
    <row r="12">
      <c r="A12" s="14" t="inlineStr">
        <is>
          <t>DSB_PAYMENT_ADVICE</t>
        </is>
      </c>
      <c r="B12" s="14" t="inlineStr">
        <is>
          <t>Payment advice {{dvNo}}</t>
        </is>
      </c>
      <c r="C12" s="14" t="inlineStr">
        <is>
          <t>Accounting, Disbursement and ACSL</t>
        </is>
      </c>
      <c r="D12" s="14" t="inlineStr">
        <is>
          <t>Head, Comptrollership</t>
        </is>
      </c>
      <c r="E12" s="14" t="inlineStr">
        <is>
          <t>currency, dvNo, instrumentText, mode, netAmount, payeeName, valueDate</t>
        </is>
      </c>
      <c r="F12" s="14" t="inlineStr">
        <is>
          <t>This sheet</t>
        </is>
      </c>
      <c r="G12" s="14" t="inlineStr">
        <is>
          <t>16-Jul-2027 (T-24 weeks)</t>
        </is>
      </c>
      <c r="H12" s="14" t="n"/>
      <c r="I12" s="14" t="inlineStr">
        <is>
          <t>Not started</t>
        </is>
      </c>
      <c r="J12" s="14" t="n"/>
    </row>
    <row r="13">
      <c r="A13" s="14" t="inlineStr">
        <is>
          <t>DSB_TT</t>
        </is>
      </c>
      <c r="B13" s="14" t="inlineStr">
        <is>
          <t>Telegraphic transfer</t>
        </is>
      </c>
      <c r="C13" s="14" t="inlineStr">
        <is>
          <t>Accounting, Disbursement and ACSL</t>
        </is>
      </c>
      <c r="D13" s="14" t="inlineStr">
        <is>
          <t>Head, Comptrollership</t>
        </is>
      </c>
      <c r="E13" s="14" t="inlineStr">
        <is>
          <t>bankAccountNo, bankName, currency, dvNo, netAmount, payeeAccountNo, payeeBank, payeeName</t>
        </is>
      </c>
      <c r="F13" s="14" t="inlineStr">
        <is>
          <t>This sheet</t>
        </is>
      </c>
      <c r="G13" s="14" t="inlineStr">
        <is>
          <t>16-Jul-2027 (T-24 weeks)</t>
        </is>
      </c>
      <c r="H13" s="14" t="n"/>
      <c r="I13" s="14" t="inlineStr">
        <is>
          <t>Not started</t>
        </is>
      </c>
      <c r="J13" s="14" t="n"/>
    </row>
    <row r="14">
      <c r="A14" s="14" t="inlineStr">
        <is>
          <t>DSB_VOUCHER</t>
        </is>
      </c>
      <c r="B14" s="14" t="inlineStr">
        <is>
          <t>Disbursement voucher</t>
        </is>
      </c>
      <c r="C14" s="14" t="inlineStr">
        <is>
          <t>Accounting, Disbursement and ACSL</t>
        </is>
      </c>
      <c r="D14" s="14" t="inlineStr">
        <is>
          <t>Head, Comptrollership</t>
        </is>
      </c>
      <c r="E14" s="14" t="inlineStr">
        <is>
          <t>currency, dvNo, mode, netAmount, payeeName, purpose, requestNo</t>
        </is>
      </c>
      <c r="F14" s="14" t="inlineStr">
        <is>
          <t>This sheet</t>
        </is>
      </c>
      <c r="G14" s="14" t="inlineStr">
        <is>
          <t>16-Jul-2027 (T-24 weeks)</t>
        </is>
      </c>
      <c r="H14" s="14" t="n"/>
      <c r="I14" s="14" t="inlineStr">
        <is>
          <t>Not started</t>
        </is>
      </c>
      <c r="J14" s="14" t="n"/>
    </row>
    <row r="15">
      <c r="A15" s="14" t="inlineStr">
        <is>
          <t>EB_COMPARATIVE</t>
        </is>
      </c>
      <c r="B15" s="14" t="inlineStr">
        <is>
          <t>Comparative analysis - {{programmeName}} ({{policyYear}})</t>
        </is>
      </c>
      <c r="C15" s="14" t="inlineStr">
        <is>
          <t>Employee Benefits</t>
        </is>
      </c>
      <c r="D15" s="14" t="inlineStr">
        <is>
          <t>Product Owner, Employee Benefits</t>
        </is>
      </c>
      <c r="E15" s="14" t="inlineStr">
        <is>
          <t>aoName, comparativeNo, contactName, programmeName</t>
        </is>
      </c>
      <c r="F15" s="14" t="inlineStr">
        <is>
          <t>This sheet</t>
        </is>
      </c>
      <c r="G15" s="14" t="inlineStr">
        <is>
          <t>16-Jul-2027 (T-24 weeks)</t>
        </is>
      </c>
      <c r="H15" s="14" t="n"/>
      <c r="I15" s="14" t="inlineStr">
        <is>
          <t>Not started</t>
        </is>
      </c>
      <c r="J15" s="14" t="n"/>
    </row>
    <row r="16">
      <c r="A16" s="14" t="inlineStr">
        <is>
          <t>EB_FRANCHISE_ADVICE</t>
        </is>
      </c>
      <c r="B16" s="14" t="inlineStr">
        <is>
          <t>Franchise outcome - {{programmeName}}</t>
        </is>
      </c>
      <c r="C16" s="14" t="inlineStr">
        <is>
          <t>Employee Benefits</t>
        </is>
      </c>
      <c r="D16" s="14" t="inlineStr">
        <is>
          <t>Product Owner, Employee Benefits</t>
        </is>
      </c>
      <c r="E16" s="14" t="inlineStr">
        <is>
          <t>aoName, contactName, insurerName, outcome, programmeName, reasonText</t>
        </is>
      </c>
      <c r="F16" s="14" t="inlineStr">
        <is>
          <t>This sheet</t>
        </is>
      </c>
      <c r="G16" s="14" t="inlineStr">
        <is>
          <t>16-Jul-2027 (T-24 weeks)</t>
        </is>
      </c>
      <c r="H16" s="14" t="n"/>
      <c r="I16" s="14" t="inlineStr">
        <is>
          <t>Not started</t>
        </is>
      </c>
      <c r="J16" s="14" t="n"/>
    </row>
    <row r="17">
      <c r="A17" s="14" t="inlineStr">
        <is>
          <t>EB_FRANCHISE_REQUEST</t>
        </is>
      </c>
      <c r="B17" s="14" t="inlineStr">
        <is>
          <t>Franchise request {{franchiseNo}} - {{clientName}}</t>
        </is>
      </c>
      <c r="C17" s="14" t="inlineStr">
        <is>
          <t>Employee Benefits</t>
        </is>
      </c>
      <c r="D17" s="14" t="inlineStr">
        <is>
          <t>Product Owner, Employee Benefits</t>
        </is>
      </c>
      <c r="E17" s="14" t="inlineStr">
        <is>
          <t>aoName, clientName, dueDate, insurerName, lines</t>
        </is>
      </c>
      <c r="F17" s="14" t="inlineStr">
        <is>
          <t>This sheet</t>
        </is>
      </c>
      <c r="G17" s="14" t="inlineStr">
        <is>
          <t>16-Jul-2027 (T-24 weeks)</t>
        </is>
      </c>
      <c r="H17" s="14" t="n"/>
      <c r="I17" s="14" t="inlineStr">
        <is>
          <t>Not started</t>
        </is>
      </c>
      <c r="J17" s="14" t="n"/>
    </row>
    <row r="18">
      <c r="A18" s="14" t="inlineStr">
        <is>
          <t>EB_INDICATIVE_PROPOSAL</t>
        </is>
      </c>
      <c r="B18" s="14" t="inlineStr">
        <is>
          <t>Indicative renewal terms - {{programmeName}}</t>
        </is>
      </c>
      <c r="C18" s="14" t="inlineStr">
        <is>
          <t>Employee Benefits</t>
        </is>
      </c>
      <c r="D18" s="14" t="inlineStr">
        <is>
          <t>Product Owner, Employee Benefits</t>
        </is>
      </c>
      <c r="E18" s="14" t="inlineStr">
        <is>
          <t>aoName, contactName, incumbentName, policyYear, programmeName</t>
        </is>
      </c>
      <c r="F18" s="14" t="inlineStr">
        <is>
          <t>This sheet</t>
        </is>
      </c>
      <c r="G18" s="14" t="inlineStr">
        <is>
          <t>16-Jul-2027 (T-24 weeks)</t>
        </is>
      </c>
      <c r="H18" s="14" t="n"/>
      <c r="I18" s="14" t="inlineStr">
        <is>
          <t>Not started</t>
        </is>
      </c>
      <c r="J18" s="14" t="n"/>
    </row>
    <row r="19">
      <c r="A19" s="14" t="inlineStr">
        <is>
          <t>EB_ITEM_FOLLOWUP</t>
        </is>
      </c>
      <c r="B19" s="14" t="inlineStr">
        <is>
          <t>Follow-up: {{itemType}} for {{programmeName}}</t>
        </is>
      </c>
      <c r="C19" s="14" t="inlineStr">
        <is>
          <t>Employee Benefits</t>
        </is>
      </c>
      <c r="D19" s="14" t="inlineStr">
        <is>
          <t>Product Owner, Employee Benefits</t>
        </is>
      </c>
      <c r="E19" s="14" t="inlineStr">
        <is>
          <t>aoName, dueDate, followUpNo, itemType, programmeName, recipientName, subject</t>
        </is>
      </c>
      <c r="F19" s="14" t="inlineStr">
        <is>
          <t>This sheet</t>
        </is>
      </c>
      <c r="G19" s="14" t="inlineStr">
        <is>
          <t>16-Jul-2027 (T-24 weeks)</t>
        </is>
      </c>
      <c r="H19" s="14" t="n"/>
      <c r="I19" s="14" t="inlineStr">
        <is>
          <t>Not started</t>
        </is>
      </c>
      <c r="J19" s="14" t="n"/>
    </row>
    <row r="20">
      <c r="A20" s="14" t="inlineStr">
        <is>
          <t>EB_MEMBER_CHANGE_RELAY</t>
        </is>
      </c>
      <c r="B20" s="14" t="inlineStr">
        <is>
          <t>Member change {{changeNo}} - {{clientName}}</t>
        </is>
      </c>
      <c r="C20" s="14" t="inlineStr">
        <is>
          <t>Employee Benefits</t>
        </is>
      </c>
      <c r="D20" s="14" t="inlineStr">
        <is>
          <t>Product Owner, Employee Benefits</t>
        </is>
      </c>
      <c r="E20" s="14" t="inlineStr">
        <is>
          <t>aoName, clientName, insurerName, memberLines, policyNo, programmeName</t>
        </is>
      </c>
      <c r="F20" s="14" t="inlineStr">
        <is>
          <t>This sheet</t>
        </is>
      </c>
      <c r="G20" s="14" t="inlineStr">
        <is>
          <t>16-Jul-2027 (T-24 weeks)</t>
        </is>
      </c>
      <c r="H20" s="14" t="n"/>
      <c r="I20" s="14" t="inlineStr">
        <is>
          <t>Not started</t>
        </is>
      </c>
      <c r="J20" s="14" t="n"/>
    </row>
    <row r="21">
      <c r="A21" s="14" t="inlineStr">
        <is>
          <t>EB_RA_REMINDER</t>
        </is>
      </c>
      <c r="B21" s="14" t="inlineStr">
        <is>
          <t>Reminder: renewal of {{programmeName}}</t>
        </is>
      </c>
      <c r="C21" s="14" t="inlineStr">
        <is>
          <t>Employee Benefits</t>
        </is>
      </c>
      <c r="D21" s="14" t="inlineStr">
        <is>
          <t>Product Owner, Employee Benefits</t>
        </is>
      </c>
      <c r="E21" s="14" t="inlineStr">
        <is>
          <t>aoName, contactName, expiryDate, programmeName</t>
        </is>
      </c>
      <c r="F21" s="14" t="inlineStr">
        <is>
          <t>This sheet</t>
        </is>
      </c>
      <c r="G21" s="14" t="inlineStr">
        <is>
          <t>16-Jul-2027 (T-24 weeks)</t>
        </is>
      </c>
      <c r="H21" s="14" t="n"/>
      <c r="I21" s="14" t="inlineStr">
        <is>
          <t>Not started</t>
        </is>
      </c>
      <c r="J21" s="14" t="n"/>
    </row>
    <row r="22">
      <c r="A22" s="14" t="inlineStr">
        <is>
          <t>EB_RENEWAL_ADVICE</t>
        </is>
      </c>
      <c r="B22" s="14" t="inlineStr">
        <is>
          <t>Renewal advice - {{programmeName}} ({{policyYear}})</t>
        </is>
      </c>
      <c r="C22" s="14" t="inlineStr">
        <is>
          <t>Employee Benefits</t>
        </is>
      </c>
      <c r="D22" s="14" t="inlineStr">
        <is>
          <t>Product Owner, Employee Benefits</t>
        </is>
      </c>
      <c r="E22" s="14" t="inlineStr">
        <is>
          <t>aoName, contactName, expiryDate, insurers, lines, programmeName, programmeNo</t>
        </is>
      </c>
      <c r="F22" s="14" t="inlineStr">
        <is>
          <t>This sheet</t>
        </is>
      </c>
      <c r="G22" s="14" t="inlineStr">
        <is>
          <t>16-Jul-2027 (T-24 weeks)</t>
        </is>
      </c>
      <c r="H22" s="14" t="n"/>
      <c r="I22" s="14" t="inlineStr">
        <is>
          <t>Not started</t>
        </is>
      </c>
      <c r="J22" s="14" t="n"/>
    </row>
    <row r="23">
      <c r="A23" s="14" t="inlineStr">
        <is>
          <t>EB_REVISION_RELAY</t>
        </is>
      </c>
      <c r="B23" s="14" t="inlineStr">
        <is>
          <t>Revision request - {{clientName}}</t>
        </is>
      </c>
      <c r="C23" s="14" t="inlineStr">
        <is>
          <t>Employee Benefits</t>
        </is>
      </c>
      <c r="D23" s="14" t="inlineStr">
        <is>
          <t>Product Owner, Employee Benefits</t>
        </is>
      </c>
      <c r="E23" s="14" t="inlineStr">
        <is>
          <t>aoName, dueDate, insurerName, proposalNo, revisionItems</t>
        </is>
      </c>
      <c r="F23" s="14" t="inlineStr">
        <is>
          <t>This sheet</t>
        </is>
      </c>
      <c r="G23" s="14" t="inlineStr">
        <is>
          <t>16-Jul-2027 (T-24 weeks)</t>
        </is>
      </c>
      <c r="H23" s="14" t="n"/>
      <c r="I23" s="14" t="inlineStr">
        <is>
          <t>Not started</t>
        </is>
      </c>
      <c r="J23" s="14" t="n"/>
    </row>
    <row r="24">
      <c r="A24" s="14" t="inlineStr">
        <is>
          <t>EB_RFP_COVER</t>
        </is>
      </c>
      <c r="B24" s="14" t="inlineStr">
        <is>
          <t>Request for proposal {{requestNo}} - {{clientName}}</t>
        </is>
      </c>
      <c r="C24" s="14" t="inlineStr">
        <is>
          <t>Employee Benefits</t>
        </is>
      </c>
      <c r="D24" s="14" t="inlineStr">
        <is>
          <t>Product Owner, Employee Benefits</t>
        </is>
      </c>
      <c r="E24" s="14" t="inlineStr">
        <is>
          <t>aoName, clientName, dueDate, insurerName, lines</t>
        </is>
      </c>
      <c r="F24" s="14" t="inlineStr">
        <is>
          <t>This sheet</t>
        </is>
      </c>
      <c r="G24" s="14" t="inlineStr">
        <is>
          <t>16-Jul-2027 (T-24 weeks)</t>
        </is>
      </c>
      <c r="H24" s="14" t="n"/>
      <c r="I24" s="14" t="inlineStr">
        <is>
          <t>Not started</t>
        </is>
      </c>
      <c r="J24" s="14" t="n"/>
    </row>
    <row r="25">
      <c r="A25" s="14" t="inlineStr">
        <is>
          <t>EB_SOA_RELEASE</t>
        </is>
      </c>
      <c r="B25" s="14" t="inlineStr">
        <is>
          <t>Statement of account {{soaNo}} - {{programmeName}}</t>
        </is>
      </c>
      <c r="C25" s="14" t="inlineStr">
        <is>
          <t>Employee Benefits</t>
        </is>
      </c>
      <c r="D25" s="14" t="inlineStr">
        <is>
          <t>Product Owner, Employee Benefits</t>
        </is>
      </c>
      <c r="E25" s="14" t="inlineStr">
        <is>
          <t>amount, aoName, contactName, insurerName, period, programmeName, soaNo</t>
        </is>
      </c>
      <c r="F25" s="14" t="inlineStr">
        <is>
          <t>This sheet</t>
        </is>
      </c>
      <c r="G25" s="14" t="inlineStr">
        <is>
          <t>16-Jul-2027 (T-24 weeks)</t>
        </is>
      </c>
      <c r="H25" s="14" t="n"/>
      <c r="I25" s="14" t="inlineStr">
        <is>
          <t>Not started</t>
        </is>
      </c>
      <c r="J25" s="14" t="n"/>
    </row>
    <row r="26">
      <c r="A26" s="14" t="inlineStr">
        <is>
          <t>EB_SUBMISSION_COVER</t>
        </is>
      </c>
      <c r="B26" s="14" t="inlineStr">
        <is>
          <t>{{process}} documents - {{clientName}}</t>
        </is>
      </c>
      <c r="C26" s="14" t="inlineStr">
        <is>
          <t>Employee Benefits</t>
        </is>
      </c>
      <c r="D26" s="14" t="inlineStr">
        <is>
          <t>Product Owner, Employee Benefits</t>
        </is>
      </c>
      <c r="E26" s="14" t="inlineStr">
        <is>
          <t>aoName, clientName, documents, insurerName, process, programmeName, remarks</t>
        </is>
      </c>
      <c r="F26" s="14" t="inlineStr">
        <is>
          <t>This sheet</t>
        </is>
      </c>
      <c r="G26" s="14" t="inlineStr">
        <is>
          <t>16-Jul-2027 (T-24 weeks)</t>
        </is>
      </c>
      <c r="H26" s="14" t="n"/>
      <c r="I26" s="14" t="inlineStr">
        <is>
          <t>Not started</t>
        </is>
      </c>
      <c r="J26" s="14" t="n"/>
    </row>
    <row r="27">
      <c r="A27" s="14" t="inlineStr">
        <is>
          <t>EB_TOR</t>
        </is>
      </c>
      <c r="B27" s="14" t="inlineStr">
        <is>
          <t>Terms of Reference - {{programmeName}} ({{policyYear}})</t>
        </is>
      </c>
      <c r="C27" s="14" t="inlineStr">
        <is>
          <t>Employee Benefits</t>
        </is>
      </c>
      <c r="D27" s="14" t="inlineStr">
        <is>
          <t>Product Owner, Employee Benefits</t>
        </is>
      </c>
      <c r="E27" s="14" t="inlineStr">
        <is>
          <t>clientName, inceptionDate, lines, programmeNo, torItems, torVersion</t>
        </is>
      </c>
      <c r="F27" s="14" t="inlineStr">
        <is>
          <t>This sheet</t>
        </is>
      </c>
      <c r="G27" s="14" t="inlineStr">
        <is>
          <t>16-Jul-2027 (T-24 weeks)</t>
        </is>
      </c>
      <c r="H27" s="14" t="n"/>
      <c r="I27" s="14" t="inlineStr">
        <is>
          <t>Not started</t>
        </is>
      </c>
      <c r="J27" s="14" t="n"/>
    </row>
    <row r="28">
      <c r="A28" s="14" t="inlineStr">
        <is>
          <t>ENDORSEMENT_SLIP</t>
        </is>
      </c>
      <c r="B28" s="14" t="inlineStr">
        <is>
          <t>Endorsement slip</t>
        </is>
      </c>
      <c r="C28" s="14" t="inlineStr">
        <is>
          <t>Operations</t>
        </is>
      </c>
      <c r="D28" s="14" t="inlineStr">
        <is>
          <t>Head, Operations Services</t>
        </is>
      </c>
      <c r="E28" s="14" t="inlineStr">
        <is>
          <t>arn, assured, effectiveDate, invoiceNo, policyNo, requestNo</t>
        </is>
      </c>
      <c r="F28" s="14" t="inlineStr">
        <is>
          <t>This sheet</t>
        </is>
      </c>
      <c r="G28" s="14" t="inlineStr">
        <is>
          <t>16-Jul-2027 (T-24 weeks)</t>
        </is>
      </c>
      <c r="H28" s="14" t="n"/>
      <c r="I28" s="14" t="inlineStr">
        <is>
          <t>Not started</t>
        </is>
      </c>
      <c r="J28" s="14" t="n"/>
    </row>
    <row r="29">
      <c r="A29" s="14" t="inlineStr">
        <is>
          <t>EPOLICY_EMAIL</t>
        </is>
      </c>
      <c r="B29" s="14" t="inlineStr">
        <is>
          <t>Your e-policy</t>
        </is>
      </c>
      <c r="C29" s="14" t="inlineStr">
        <is>
          <t>New Business</t>
        </is>
      </c>
      <c r="D29" s="14" t="inlineStr">
        <is>
          <t>Product Owner, BDOI (New Business)</t>
        </is>
      </c>
      <c r="E29" s="14" t="inlineStr">
        <is>
          <t>clientName, insurerName, policyNo, reference</t>
        </is>
      </c>
      <c r="F29" s="14" t="inlineStr">
        <is>
          <t>This sheet</t>
        </is>
      </c>
      <c r="G29" s="14" t="inlineStr">
        <is>
          <t>16-Jul-2027 (T-24 weeks)</t>
        </is>
      </c>
      <c r="H29" s="14" t="n"/>
      <c r="I29" s="14" t="inlineStr">
        <is>
          <t>Not started</t>
        </is>
      </c>
      <c r="J29" s="14" t="n"/>
    </row>
    <row r="30">
      <c r="A30" s="14" t="inlineStr">
        <is>
          <t>HOLD_COVER_REQUEST</t>
        </is>
      </c>
      <c r="B30" s="14" t="inlineStr">
        <is>
          <t>Request for hold cover</t>
        </is>
      </c>
      <c r="C30" s="14" t="inlineStr">
        <is>
          <t>New Business</t>
        </is>
      </c>
      <c r="D30" s="14" t="inlineStr">
        <is>
          <t>Product Owner, BDOI (New Business)</t>
        </is>
      </c>
      <c r="E30" s="14" t="inlineStr">
        <is>
          <t>reference, startDate</t>
        </is>
      </c>
      <c r="F30" s="14" t="inlineStr">
        <is>
          <t>This sheet</t>
        </is>
      </c>
      <c r="G30" s="14" t="inlineStr">
        <is>
          <t>16-Jul-2027 (T-24 weeks)</t>
        </is>
      </c>
      <c r="H30" s="14" t="n"/>
      <c r="I30" s="14" t="inlineStr">
        <is>
          <t>Not started</t>
        </is>
      </c>
      <c r="J30" s="14" t="n"/>
    </row>
    <row r="31">
      <c r="A31" s="14" t="inlineStr">
        <is>
          <t>INSURANCE_ADVICE</t>
        </is>
      </c>
      <c r="B31" s="14" t="inlineStr">
        <is>
          <t>Insurance advice</t>
        </is>
      </c>
      <c r="C31" s="14" t="inlineStr">
        <is>
          <t>New Business</t>
        </is>
      </c>
      <c r="D31" s="14" t="inlineStr">
        <is>
          <t>Product Owner, BDOI (New Business)</t>
        </is>
      </c>
      <c r="E31" s="14" t="inlineStr">
        <is>
          <t>insurerName, mortgagee, periodFrom, periodTo, policyNo</t>
        </is>
      </c>
      <c r="F31" s="14" t="inlineStr">
        <is>
          <t>This sheet</t>
        </is>
      </c>
      <c r="G31" s="14" t="inlineStr">
        <is>
          <t>16-Jul-2027 (T-24 weeks)</t>
        </is>
      </c>
      <c r="H31" s="14" t="n"/>
      <c r="I31" s="14" t="inlineStr">
        <is>
          <t>Not started</t>
        </is>
      </c>
      <c r="J31" s="14" t="n"/>
    </row>
    <row r="32">
      <c r="A32" s="14" t="inlineStr">
        <is>
          <t>PKG_ADVISORY</t>
        </is>
      </c>
      <c r="B32" s="14" t="inlineStr">
        <is>
          <t>Package advisory</t>
        </is>
      </c>
      <c r="C32" s="14" t="inlineStr">
        <is>
          <t>Product Maintenance</t>
        </is>
      </c>
      <c r="D32" s="14" t="inlineStr">
        <is>
          <t>Product Owner, Marketing Business System (MBS)</t>
        </is>
      </c>
      <c r="E32" s="14" t="inlineStr">
        <is>
          <t>effectiveFrom, productCode, productName, reference, versionNo</t>
        </is>
      </c>
      <c r="F32" s="14" t="inlineStr">
        <is>
          <t>Template PM-08 (sheet PM-08 Document templates)</t>
        </is>
      </c>
      <c r="G32" s="14" t="inlineStr">
        <is>
          <t>16-Jul-2027 (T-24 weeks)</t>
        </is>
      </c>
      <c r="H32" s="14" t="n"/>
      <c r="I32" s="14" t="inlineStr">
        <is>
          <t>Not started</t>
        </is>
      </c>
      <c r="J32" s="14" t="n"/>
    </row>
    <row r="33">
      <c r="A33" s="14" t="inlineStr">
        <is>
          <t>PKG_COMPARATIVE</t>
        </is>
      </c>
      <c r="B33" s="14" t="inlineStr">
        <is>
          <t>Package comparative table</t>
        </is>
      </c>
      <c r="C33" s="14" t="inlineStr">
        <is>
          <t>Product Maintenance</t>
        </is>
      </c>
      <c r="D33" s="14" t="inlineStr">
        <is>
          <t>Product Owner, Marketing Business System (MBS)</t>
        </is>
      </c>
      <c r="E33" s="14" t="inlineStr">
        <is>
          <t>reference, roundNo, variant</t>
        </is>
      </c>
      <c r="F33" s="14" t="inlineStr">
        <is>
          <t>Template PM-08 (sheet PM-08 Document templates)</t>
        </is>
      </c>
      <c r="G33" s="14" t="inlineStr">
        <is>
          <t>16-Jul-2027 (T-24 weeks)</t>
        </is>
      </c>
      <c r="H33" s="14" t="n"/>
      <c r="I33" s="14" t="inlineStr">
        <is>
          <t>Not started</t>
        </is>
      </c>
      <c r="J33" s="14" t="n"/>
    </row>
    <row r="34">
      <c r="A34" s="14" t="inlineStr">
        <is>
          <t>PKG_QUOTATION_SLIP</t>
        </is>
      </c>
      <c r="B34" s="14" t="inlineStr">
        <is>
          <t>Package quotation slip</t>
        </is>
      </c>
      <c r="C34" s="14" t="inlineStr">
        <is>
          <t>Product Maintenance</t>
        </is>
      </c>
      <c r="D34" s="14" t="inlineStr">
        <is>
          <t>Product Owner, Marketing Business System (MBS)</t>
        </is>
      </c>
      <c r="E34" s="14" t="inlineStr">
        <is>
          <t>reference, replyBy, roundNo</t>
        </is>
      </c>
      <c r="F34" s="14" t="inlineStr">
        <is>
          <t>Template PM-08 (sheet PM-08 Document templates)</t>
        </is>
      </c>
      <c r="G34" s="14" t="inlineStr">
        <is>
          <t>16-Jul-2027 (T-24 weeks)</t>
        </is>
      </c>
      <c r="H34" s="14" t="n"/>
      <c r="I34" s="14" t="inlineStr">
        <is>
          <t>Not started</t>
        </is>
      </c>
      <c r="J34" s="14" t="n"/>
    </row>
    <row r="35">
      <c r="A35" s="14" t="inlineStr">
        <is>
          <t>PKG_RENEWAL_ADVISORY</t>
        </is>
      </c>
      <c r="B35" s="14" t="inlineStr">
        <is>
          <t>Package renewal advisory</t>
        </is>
      </c>
      <c r="C35" s="14" t="inlineStr">
        <is>
          <t>Product Maintenance</t>
        </is>
      </c>
      <c r="D35" s="14" t="inlineStr">
        <is>
          <t>Product Owner, Marketing Business System (MBS)</t>
        </is>
      </c>
      <c r="E35" s="14" t="inlineStr">
        <is>
          <t>effectiveFrom, productCode, productName, reference, versionNo</t>
        </is>
      </c>
      <c r="F35" s="14" t="inlineStr">
        <is>
          <t>Template PM-08 (sheet PM-08 Document templates)</t>
        </is>
      </c>
      <c r="G35" s="14" t="inlineStr">
        <is>
          <t>16-Jul-2027 (T-24 weeks)</t>
        </is>
      </c>
      <c r="H35" s="14" t="n"/>
      <c r="I35" s="14" t="inlineStr">
        <is>
          <t>Not started</t>
        </is>
      </c>
      <c r="J35" s="14" t="n"/>
    </row>
    <row r="36">
      <c r="A36" s="14" t="inlineStr">
        <is>
          <t>PKG_REQUEST_FORM</t>
        </is>
      </c>
      <c r="B36" s="14" t="inlineStr">
        <is>
          <t>Package request form</t>
        </is>
      </c>
      <c r="C36" s="14" t="inlineStr">
        <is>
          <t>Product Maintenance</t>
        </is>
      </c>
      <c r="D36" s="14" t="inlineStr">
        <is>
          <t>Product Owner, Marketing Business System (MBS)</t>
        </is>
      </c>
      <c r="E36" s="14" t="inlineStr">
        <is>
          <t>reference, requestType, title</t>
        </is>
      </c>
      <c r="F36" s="14" t="inlineStr">
        <is>
          <t>Template PM-08 (sheet PM-08 Document templates)</t>
        </is>
      </c>
      <c r="G36" s="14" t="inlineStr">
        <is>
          <t>16-Jul-2027 (T-24 weeks)</t>
        </is>
      </c>
      <c r="H36" s="14" t="n"/>
      <c r="I36" s="14" t="inlineStr">
        <is>
          <t>Not started</t>
        </is>
      </c>
      <c r="J36" s="14" t="n"/>
    </row>
    <row r="37">
      <c r="A37" s="14" t="inlineStr">
        <is>
          <t>PKG_SLIP</t>
        </is>
      </c>
      <c r="B37" s="14" t="inlineStr">
        <is>
          <t>Package slip</t>
        </is>
      </c>
      <c r="C37" s="14" t="inlineStr">
        <is>
          <t>Product Maintenance</t>
        </is>
      </c>
      <c r="D37" s="14" t="inlineStr">
        <is>
          <t>Product Owner, Marketing Business System (MBS)</t>
        </is>
      </c>
      <c r="E37" s="14" t="inlineStr">
        <is>
          <t>reference, title</t>
        </is>
      </c>
      <c r="F37" s="14" t="inlineStr">
        <is>
          <t>Template PM-08 (sheet PM-08 Document templates)</t>
        </is>
      </c>
      <c r="G37" s="14" t="inlineStr">
        <is>
          <t>16-Jul-2027 (T-24 weeks)</t>
        </is>
      </c>
      <c r="H37" s="14" t="n"/>
      <c r="I37" s="14" t="inlineStr">
        <is>
          <t>Not started</t>
        </is>
      </c>
      <c r="J37" s="14" t="n"/>
    </row>
    <row r="38">
      <c r="A38" s="14" t="inlineStr">
        <is>
          <t>PLACEMENT_SLIP</t>
        </is>
      </c>
      <c r="B38" s="14" t="inlineStr">
        <is>
          <t>Placement slip</t>
        </is>
      </c>
      <c r="C38" s="14" t="inlineStr">
        <is>
          <t>New Business</t>
        </is>
      </c>
      <c r="D38" s="14" t="inlineStr">
        <is>
          <t>Product Owner, BDOI (New Business)</t>
        </is>
      </c>
      <c r="E38" s="14" t="inlineStr">
        <is>
          <t>reference</t>
        </is>
      </c>
      <c r="F38" s="14" t="inlineStr">
        <is>
          <t>This sheet</t>
        </is>
      </c>
      <c r="G38" s="14" t="inlineStr">
        <is>
          <t>16-Jul-2027 (T-24 weeks)</t>
        </is>
      </c>
      <c r="H38" s="14" t="n"/>
      <c r="I38" s="14" t="inlineStr">
        <is>
          <t>Not started</t>
        </is>
      </c>
      <c r="J38" s="14" t="n"/>
    </row>
    <row r="39">
      <c r="A39" s="14" t="inlineStr">
        <is>
          <t>PRODRECON_COVER_LETTER</t>
        </is>
      </c>
      <c r="B39" s="14" t="inlineStr">
        <is>
          <t>Production register for reconciliation</t>
        </is>
      </c>
      <c r="C39" s="14" t="inlineStr">
        <is>
          <t>Operations</t>
        </is>
      </c>
      <c r="D39" s="14" t="inlineStr">
        <is>
          <t>Head, Operations Services</t>
        </is>
      </c>
      <c r="E39" s="14" t="inlineStr">
        <is>
          <t>bookingFrom, bookingTo, extractNo, insurerName, productionMonth, rowCount</t>
        </is>
      </c>
      <c r="F39" s="14" t="inlineStr">
        <is>
          <t>This sheet</t>
        </is>
      </c>
      <c r="G39" s="14" t="inlineStr">
        <is>
          <t>16-Jul-2027 (T-24 weeks)</t>
        </is>
      </c>
      <c r="H39" s="14" t="n"/>
      <c r="I39" s="14" t="inlineStr">
        <is>
          <t>Not started</t>
        </is>
      </c>
      <c r="J39" s="14" t="n"/>
    </row>
    <row r="40">
      <c r="A40" s="14" t="inlineStr">
        <is>
          <t>PROPOSAL_SLIP</t>
        </is>
      </c>
      <c r="B40" s="14" t="inlineStr">
        <is>
          <t>Proposal slip</t>
        </is>
      </c>
      <c r="C40" s="14" t="inlineStr">
        <is>
          <t>New Business</t>
        </is>
      </c>
      <c r="D40" s="14" t="inlineStr">
        <is>
          <t>Product Owner, BDOI (New Business)</t>
        </is>
      </c>
      <c r="E40" s="14" t="inlineStr">
        <is>
          <t>clientName, reference</t>
        </is>
      </c>
      <c r="F40" s="14" t="inlineStr">
        <is>
          <t>This sheet</t>
        </is>
      </c>
      <c r="G40" s="14" t="inlineStr">
        <is>
          <t>16-Jul-2027 (T-24 weeks)</t>
        </is>
      </c>
      <c r="H40" s="14" t="n"/>
      <c r="I40" s="14" t="inlineStr">
        <is>
          <t>Not started</t>
        </is>
      </c>
      <c r="J40" s="14" t="n"/>
    </row>
    <row r="41">
      <c r="A41" s="14" t="inlineStr">
        <is>
          <t>PRQ_LIQUIDATION</t>
        </is>
      </c>
      <c r="B41" s="14" t="inlineStr">
        <is>
          <t>Cash Advance Liquidation Form</t>
        </is>
      </c>
      <c r="C41" s="14" t="inlineStr">
        <is>
          <t>Accounting, Disbursement and ACSL</t>
        </is>
      </c>
      <c r="D41" s="14" t="inlineStr">
        <is>
          <t>Head, Comptrollership</t>
        </is>
      </c>
      <c r="E41" s="14" t="inlineStr">
        <is>
          <t>cashAdvanced, currency, liquidationNo, overShort, payeeName, requestNo, totalExpenses</t>
        </is>
      </c>
      <c r="F41" s="14" t="inlineStr">
        <is>
          <t>This sheet</t>
        </is>
      </c>
      <c r="G41" s="14" t="inlineStr">
        <is>
          <t>16-Jul-2027 (T-24 weeks)</t>
        </is>
      </c>
      <c r="H41" s="14" t="n"/>
      <c r="I41" s="14" t="inlineStr">
        <is>
          <t>Not started</t>
        </is>
      </c>
      <c r="J41" s="14" t="n"/>
    </row>
    <row r="42">
      <c r="A42" s="14" t="inlineStr">
        <is>
          <t>PRQ_RFP</t>
        </is>
      </c>
      <c r="B42" s="14" t="inlineStr">
        <is>
          <t>Request for Payment</t>
        </is>
      </c>
      <c r="C42" s="14" t="inlineStr">
        <is>
          <t>Accounting, Disbursement and ACSL</t>
        </is>
      </c>
      <c r="D42" s="14" t="inlineStr">
        <is>
          <t>Head, Comptrollership</t>
        </is>
      </c>
      <c r="E42" s="14" t="inlineStr">
        <is>
          <t>amount, currency, mode, payeeName, purpose, requestDate, requestNo, rfpType</t>
        </is>
      </c>
      <c r="F42" s="14" t="inlineStr">
        <is>
          <t>This sheet</t>
        </is>
      </c>
      <c r="G42" s="14" t="inlineStr">
        <is>
          <t>16-Jul-2027 (T-24 weeks)</t>
        </is>
      </c>
      <c r="H42" s="14" t="n"/>
      <c r="I42" s="14" t="inlineStr">
        <is>
          <t>Not started</t>
        </is>
      </c>
      <c r="J42" s="14" t="n"/>
    </row>
    <row r="43">
      <c r="A43" s="14" t="inlineStr">
        <is>
          <t>PRQ_RRF</t>
        </is>
      </c>
      <c r="B43" s="14" t="inlineStr">
        <is>
          <t>Refund Request Form</t>
        </is>
      </c>
      <c r="C43" s="14" t="inlineStr">
        <is>
          <t>Accounting, Disbursement and ACSL</t>
        </is>
      </c>
      <c r="D43" s="14" t="inlineStr">
        <is>
          <t>Head, Comptrollership</t>
        </is>
      </c>
      <c r="E43" s="14" t="inlineStr">
        <is>
          <t>amount, currency, mode, payeeName, reference, requestDate, requestNo, segment</t>
        </is>
      </c>
      <c r="F43" s="14" t="inlineStr">
        <is>
          <t>This sheet</t>
        </is>
      </c>
      <c r="G43" s="14" t="inlineStr">
        <is>
          <t>16-Jul-2027 (T-24 weeks)</t>
        </is>
      </c>
      <c r="H43" s="14" t="n"/>
      <c r="I43" s="14" t="inlineStr">
        <is>
          <t>Not started</t>
        </is>
      </c>
      <c r="J43" s="14" t="n"/>
    </row>
    <row r="44">
      <c r="A44" s="14" t="inlineStr">
        <is>
          <t>QUOTATION_LETTER</t>
        </is>
      </c>
      <c r="B44" s="14" t="inlineStr">
        <is>
          <t>Insurance quotation</t>
        </is>
      </c>
      <c r="C44" s="14" t="inlineStr">
        <is>
          <t>New Business</t>
        </is>
      </c>
      <c r="D44" s="14" t="inlineStr">
        <is>
          <t>Product Owner, BDOI (New Business)</t>
        </is>
      </c>
      <c r="E44" s="14" t="inlineStr">
        <is>
          <t>clientName, productName, reference, validUntil</t>
        </is>
      </c>
      <c r="F44" s="14" t="inlineStr">
        <is>
          <t>This sheet</t>
        </is>
      </c>
      <c r="G44" s="14" t="inlineStr">
        <is>
          <t>16-Jul-2027 (T-24 weeks)</t>
        </is>
      </c>
      <c r="H44" s="14" t="n"/>
      <c r="I44" s="14" t="inlineStr">
        <is>
          <t>Not started</t>
        </is>
      </c>
      <c r="J44" s="14" t="n"/>
    </row>
    <row r="45">
      <c r="A45" s="14" t="inlineStr">
        <is>
          <t>QUOTATION_SLIP</t>
        </is>
      </c>
      <c r="B45" s="14" t="inlineStr">
        <is>
          <t>Quotation slip</t>
        </is>
      </c>
      <c r="C45" s="14" t="inlineStr">
        <is>
          <t>New Business</t>
        </is>
      </c>
      <c r="D45" s="14" t="inlineStr">
        <is>
          <t>Product Owner, BDOI (New Business)</t>
        </is>
      </c>
      <c r="E45" s="14" t="inlineStr">
        <is>
          <t>reference, replyBy</t>
        </is>
      </c>
      <c r="F45" s="14" t="inlineStr">
        <is>
          <t>This sheet</t>
        </is>
      </c>
      <c r="G45" s="14" t="inlineStr">
        <is>
          <t>16-Jul-2027 (T-24 weeks)</t>
        </is>
      </c>
      <c r="H45" s="14" t="n"/>
      <c r="I45" s="14" t="inlineStr">
        <is>
          <t>Not started</t>
        </is>
      </c>
      <c r="J45" s="14" t="n"/>
    </row>
    <row r="46">
      <c r="A46" s="14" t="inlineStr">
        <is>
          <t>QUOTATION_TERMS</t>
        </is>
      </c>
      <c r="B46" s="14" t="inlineStr">
        <is>
          <t>Terms and conditions</t>
        </is>
      </c>
      <c r="C46" s="14" t="inlineStr">
        <is>
          <t>New Business</t>
        </is>
      </c>
      <c r="D46" s="14" t="inlineStr">
        <is>
          <t>Product Owner, BDOI (New Business)</t>
        </is>
      </c>
      <c r="E46" s="14" t="inlineStr"/>
      <c r="F46" s="14" t="inlineStr">
        <is>
          <t>This sheet</t>
        </is>
      </c>
      <c r="G46" s="14" t="inlineStr">
        <is>
          <t>16-Jul-2027 (T-24 weeks)</t>
        </is>
      </c>
      <c r="H46" s="14" t="n"/>
      <c r="I46" s="14" t="inlineStr">
        <is>
          <t>Not started</t>
        </is>
      </c>
      <c r="J46" s="14" t="n"/>
    </row>
    <row r="47">
      <c r="A47" s="14" t="inlineStr">
        <is>
          <t>REMITTANCE_PAYMENT_REQUEST</t>
        </is>
      </c>
      <c r="B47" s="14" t="inlineStr">
        <is>
          <t>Payment request</t>
        </is>
      </c>
      <c r="C47" s="14" t="inlineStr">
        <is>
          <t>Operations</t>
        </is>
      </c>
      <c r="D47" s="14" t="inlineStr">
        <is>
          <t>Head, Operations Services</t>
        </is>
      </c>
      <c r="E47" s="14" t="inlineStr">
        <is>
          <t>amount, approvedBy, currency, insurerName, reference</t>
        </is>
      </c>
      <c r="F47" s="14" t="inlineStr">
        <is>
          <t>This sheet</t>
        </is>
      </c>
      <c r="G47" s="14" t="inlineStr">
        <is>
          <t>16-Jul-2027 (T-24 weeks)</t>
        </is>
      </c>
      <c r="H47" s="14" t="n"/>
      <c r="I47" s="14" t="inlineStr">
        <is>
          <t>Not started</t>
        </is>
      </c>
      <c r="J47" s="14" t="n"/>
    </row>
    <row r="48">
      <c r="A48" s="14" t="inlineStr">
        <is>
          <t>REMITTANCE_SCHEDULE</t>
        </is>
      </c>
      <c r="B48" s="14" t="inlineStr">
        <is>
          <t>Remittance schedule</t>
        </is>
      </c>
      <c r="C48" s="14" t="inlineStr">
        <is>
          <t>Operations</t>
        </is>
      </c>
      <c r="D48" s="14" t="inlineStr">
        <is>
          <t>Head, Operations Services</t>
        </is>
      </c>
      <c r="E48" s="14" t="inlineStr">
        <is>
          <t>incentiveNote, insurerName, reference, remittanceType</t>
        </is>
      </c>
      <c r="F48" s="14" t="inlineStr">
        <is>
          <t>This sheet</t>
        </is>
      </c>
      <c r="G48" s="14" t="inlineStr">
        <is>
          <t>16-Jul-2027 (T-24 weeks)</t>
        </is>
      </c>
      <c r="H48" s="14" t="n"/>
      <c r="I48" s="14" t="inlineStr">
        <is>
          <t>Not started</t>
        </is>
      </c>
      <c r="J48" s="14" t="n"/>
    </row>
    <row r="49">
      <c r="A49" s="14" t="inlineStr">
        <is>
          <t>RNW_ACCOUNT_DETAILS</t>
        </is>
      </c>
      <c r="B49" s="14" t="inlineStr">
        <is>
          <t>Renewal account details - {{renewalRef}}</t>
        </is>
      </c>
      <c r="C49" s="14" t="inlineStr">
        <is>
          <t>Renewal</t>
        </is>
      </c>
      <c r="D49" s="14" t="inlineStr">
        <is>
          <t>Product Owner, Renewal</t>
        </is>
      </c>
      <c r="E49" s="14" t="inlineStr">
        <is>
          <t>asOf, clientName, expiringArn</t>
        </is>
      </c>
      <c r="F49" s="14" t="inlineStr">
        <is>
          <t>This sheet</t>
        </is>
      </c>
      <c r="G49" s="14" t="inlineStr">
        <is>
          <t>16-Jul-2027 (T-24 weeks)</t>
        </is>
      </c>
      <c r="H49" s="14" t="n"/>
      <c r="I49" s="14" t="inlineStr">
        <is>
          <t>Not started</t>
        </is>
      </c>
      <c r="J49" s="14" t="n"/>
    </row>
    <row r="50">
      <c r="A50" s="14" t="inlineStr">
        <is>
          <t>RNW_INSURER_COVER</t>
        </is>
      </c>
      <c r="B50" s="14" t="inlineStr">
        <is>
          <t>Renewals for your decision - batch {{batchNo}}</t>
        </is>
      </c>
      <c r="C50" s="14" t="inlineStr">
        <is>
          <t>Renewal</t>
        </is>
      </c>
      <c r="D50" s="14" t="inlineStr">
        <is>
          <t>Product Owner, Renewal</t>
        </is>
      </c>
      <c r="E50" s="14" t="inlineStr">
        <is>
          <t>count, expiryFrom, expiryTo, insurerName, replyDue</t>
        </is>
      </c>
      <c r="F50" s="14" t="inlineStr">
        <is>
          <t>This sheet</t>
        </is>
      </c>
      <c r="G50" s="14" t="inlineStr">
        <is>
          <t>16-Jul-2027 (T-24 weeks)</t>
        </is>
      </c>
      <c r="H50" s="14" t="n"/>
      <c r="I50" s="14" t="inlineStr">
        <is>
          <t>Not started</t>
        </is>
      </c>
      <c r="J50" s="14" t="n"/>
    </row>
    <row r="51">
      <c r="A51" s="14" t="inlineStr">
        <is>
          <t>RNW_NAL</t>
        </is>
      </c>
      <c r="B51" s="14" t="inlineStr">
        <is>
          <t>Notice on your policy {{policyNo}}</t>
        </is>
      </c>
      <c r="C51" s="14" t="inlineStr">
        <is>
          <t>Renewal</t>
        </is>
      </c>
      <c r="D51" s="14" t="inlineStr">
        <is>
          <t>Product Owner, Renewal</t>
        </is>
      </c>
      <c r="E51" s="14" t="inlineStr">
        <is>
          <t>aoName, clientName, expiryDate, insurerName, policyNo, renewalRef</t>
        </is>
      </c>
      <c r="F51" s="14" t="inlineStr">
        <is>
          <t>This sheet</t>
        </is>
      </c>
      <c r="G51" s="14" t="inlineStr">
        <is>
          <t>16-Jul-2027 (T-24 weeks)</t>
        </is>
      </c>
      <c r="H51" s="14" t="n"/>
      <c r="I51" s="14" t="inlineStr">
        <is>
          <t>Not started</t>
        </is>
      </c>
      <c r="J51" s="14" t="n"/>
    </row>
    <row r="52">
      <c r="A52" s="14" t="inlineStr">
        <is>
          <t>RNW_NFR</t>
        </is>
      </c>
      <c r="B52" s="14" t="inlineStr">
        <is>
          <t>Your policy {{policyNo}} will not be renewed</t>
        </is>
      </c>
      <c r="C52" s="14" t="inlineStr">
        <is>
          <t>Renewal</t>
        </is>
      </c>
      <c r="D52" s="14" t="inlineStr">
        <is>
          <t>Product Owner, Renewal</t>
        </is>
      </c>
      <c r="E52" s="14" t="inlineStr">
        <is>
          <t>aoName, clientName, expiryDate, insurerName, policyNo, reason, renewalRef</t>
        </is>
      </c>
      <c r="F52" s="14" t="inlineStr">
        <is>
          <t>This sheet</t>
        </is>
      </c>
      <c r="G52" s="14" t="inlineStr">
        <is>
          <t>16-Jul-2027 (T-24 weeks)</t>
        </is>
      </c>
      <c r="H52" s="14" t="n"/>
      <c r="I52" s="14" t="inlineStr">
        <is>
          <t>Not started</t>
        </is>
      </c>
      <c r="J52" s="14" t="n"/>
    </row>
    <row r="53">
      <c r="A53" s="14" t="inlineStr">
        <is>
          <t>RNW_NON_ACCEPTANCE</t>
        </is>
      </c>
      <c r="B53" s="14" t="inlineStr">
        <is>
          <t>Your policy {{policyNo}} has expired</t>
        </is>
      </c>
      <c r="C53" s="14" t="inlineStr">
        <is>
          <t>Renewal</t>
        </is>
      </c>
      <c r="D53" s="14" t="inlineStr">
        <is>
          <t>Product Owner, Renewal</t>
        </is>
      </c>
      <c r="E53" s="14" t="inlineStr">
        <is>
          <t>aoName, clientName, expiryDate, insurerName, policyNo, renewalRef</t>
        </is>
      </c>
      <c r="F53" s="14" t="inlineStr">
        <is>
          <t>This sheet</t>
        </is>
      </c>
      <c r="G53" s="14" t="inlineStr">
        <is>
          <t>16-Jul-2027 (T-24 weeks)</t>
        </is>
      </c>
      <c r="H53" s="14" t="n"/>
      <c r="I53" s="14" t="inlineStr">
        <is>
          <t>Not started</t>
        </is>
      </c>
      <c r="J53" s="14" t="n"/>
    </row>
    <row r="54">
      <c r="A54" s="14" t="inlineStr">
        <is>
          <t>RNW_NRNS_REMINDER</t>
        </is>
      </c>
      <c r="B54" s="14" t="inlineStr">
        <is>
          <t>Reminder: renewal of your policy {{policyNo}}</t>
        </is>
      </c>
      <c r="C54" s="14" t="inlineStr">
        <is>
          <t>Renewal</t>
        </is>
      </c>
      <c r="D54" s="14" t="inlineStr">
        <is>
          <t>Product Owner, Renewal</t>
        </is>
      </c>
      <c r="E54" s="14" t="inlineStr">
        <is>
          <t>aoName, clientName, expiryDate, insurerName, policyNo, renewalRef</t>
        </is>
      </c>
      <c r="F54" s="14" t="inlineStr">
        <is>
          <t>This sheet</t>
        </is>
      </c>
      <c r="G54" s="14" t="inlineStr">
        <is>
          <t>16-Jul-2027 (T-24 weeks)</t>
        </is>
      </c>
      <c r="H54" s="14" t="n"/>
      <c r="I54" s="14" t="inlineStr">
        <is>
          <t>Not started</t>
        </is>
      </c>
      <c r="J54" s="14" t="n"/>
    </row>
    <row r="55">
      <c r="A55" s="14" t="inlineStr">
        <is>
          <t>RNW_RA_FFY</t>
        </is>
      </c>
      <c r="B55" s="14" t="inlineStr">
        <is>
          <t>Renewal Advice (first year free) - {{assuredName}} - policy {{policyNo}}</t>
        </is>
      </c>
      <c r="C55" s="14" t="inlineStr">
        <is>
          <t>Renewal</t>
        </is>
      </c>
      <c r="D55" s="14" t="inlineStr">
        <is>
          <t>Product Owner, Renewal</t>
        </is>
      </c>
      <c r="E55" s="14" t="inlineStr">
        <is>
          <t>aoName, clientName, currency, expiryDate, grossPremium, insurerName, policyNo, renewalFrom, renewalRef, renewalTo, sumInsured</t>
        </is>
      </c>
      <c r="F55" s="14" t="inlineStr">
        <is>
          <t>This sheet</t>
        </is>
      </c>
      <c r="G55" s="14" t="inlineStr">
        <is>
          <t>16-Jul-2027 (T-24 weeks)</t>
        </is>
      </c>
      <c r="H55" s="14" t="n"/>
      <c r="I55" s="14" t="inlineStr">
        <is>
          <t>Not started</t>
        </is>
      </c>
      <c r="J55" s="14" t="n"/>
    </row>
    <row r="56">
      <c r="A56" s="14" t="inlineStr">
        <is>
          <t>RNW_RA_FIRST</t>
        </is>
      </c>
      <c r="B56" s="14" t="inlineStr">
        <is>
          <t>Renewal Advice - {{assuredName}} - policy {{policyNo}}</t>
        </is>
      </c>
      <c r="C56" s="14" t="inlineStr">
        <is>
          <t>Renewal</t>
        </is>
      </c>
      <c r="D56" s="14" t="inlineStr">
        <is>
          <t>Product Owner, Renewal</t>
        </is>
      </c>
      <c r="E56" s="14" t="inlineStr">
        <is>
          <t>aoName, clientName, currency, expiryDate, grossPremium, insurerName, policyNo, productName, renewalFrom, renewalRef, renewalTo, sumInsured</t>
        </is>
      </c>
      <c r="F56" s="14" t="inlineStr">
        <is>
          <t>This sheet</t>
        </is>
      </c>
      <c r="G56" s="14" t="inlineStr">
        <is>
          <t>16-Jul-2027 (T-24 weeks)</t>
        </is>
      </c>
      <c r="H56" s="14" t="n"/>
      <c r="I56" s="14" t="inlineStr">
        <is>
          <t>Not started</t>
        </is>
      </c>
      <c r="J56" s="14" t="n"/>
    </row>
    <row r="57">
      <c r="A57" s="14" t="inlineStr">
        <is>
          <t>RNW_RA_SECOND</t>
        </is>
      </c>
      <c r="B57" s="14" t="inlineStr">
        <is>
          <t>Second notice: Renewal Advice - {{assuredName}} - policy {{policyNo}}</t>
        </is>
      </c>
      <c r="C57" s="14" t="inlineStr">
        <is>
          <t>Renewal</t>
        </is>
      </c>
      <c r="D57" s="14" t="inlineStr">
        <is>
          <t>Product Owner, Renewal</t>
        </is>
      </c>
      <c r="E57" s="14" t="inlineStr">
        <is>
          <t>aoName, clientName, currency, expiryDate, grossPremium, insurerName, policyNo, renewalRef, sumInsured</t>
        </is>
      </c>
      <c r="F57" s="14" t="inlineStr">
        <is>
          <t>This sheet</t>
        </is>
      </c>
      <c r="G57" s="14" t="inlineStr">
        <is>
          <t>16-Jul-2027 (T-24 weeks)</t>
        </is>
      </c>
      <c r="H57" s="14" t="n"/>
      <c r="I57" s="14" t="inlineStr">
        <is>
          <t>Not started</t>
        </is>
      </c>
      <c r="J57" s="14" t="n"/>
    </row>
    <row r="58">
      <c r="A58" s="14" t="inlineStr">
        <is>
          <t>RNW_SFU</t>
        </is>
      </c>
      <c r="B58" s="14" t="inlineStr">
        <is>
          <t>Follow-up on the renewal of your mortgaged property - policy {{policyNo}}</t>
        </is>
      </c>
      <c r="C58" s="14" t="inlineStr">
        <is>
          <t>Renewal</t>
        </is>
      </c>
      <c r="D58" s="14" t="inlineStr">
        <is>
          <t>Product Owner, Renewal</t>
        </is>
      </c>
      <c r="E58" s="14" t="inlineStr">
        <is>
          <t>aoName, clientName, expiryDate, policyNo, renewalRef</t>
        </is>
      </c>
      <c r="F58" s="14" t="inlineStr">
        <is>
          <t>This sheet</t>
        </is>
      </c>
      <c r="G58" s="14" t="inlineStr">
        <is>
          <t>16-Jul-2027 (T-24 weeks)</t>
        </is>
      </c>
      <c r="H58" s="14" t="n"/>
      <c r="I58" s="14" t="inlineStr">
        <is>
          <t>Not started</t>
        </is>
      </c>
      <c r="J58" s="14" t="n"/>
    </row>
    <row r="59">
      <c r="A59" s="14" t="inlineStr">
        <is>
          <t>SBM_IAAF</t>
        </is>
      </c>
      <c r="B59" s="14" t="inlineStr">
        <is>
          <t>Insurance Adequacy Assessment Form {{iaafNo}}</t>
        </is>
      </c>
      <c r="C59" s="14" t="inlineStr">
        <is>
          <t>Submitted Policies</t>
        </is>
      </c>
      <c r="D59" s="14" t="inlineStr">
        <is>
          <t>Product Owner, Submitted Policies</t>
        </is>
      </c>
      <c r="E59" s="14" t="inlineStr">
        <is>
          <t>adequacy, assuredName, borrowerName, currency, expiryDate, iaafNo, inceptionDate, insurerName, links, policyNo, reviewCount, reviews, sbmNo, sumInsured</t>
        </is>
      </c>
      <c r="F59" s="14" t="inlineStr">
        <is>
          <t>This sheet</t>
        </is>
      </c>
      <c r="G59" s="14" t="inlineStr">
        <is>
          <t>16-Jul-2027 (T-24 weeks)</t>
        </is>
      </c>
      <c r="H59" s="14" t="n"/>
      <c r="I59" s="14" t="inlineStr">
        <is>
          <t>Not started</t>
        </is>
      </c>
      <c r="J59" s="14" t="n"/>
    </row>
    <row r="60">
      <c r="A60" s="14" t="inlineStr">
        <is>
          <t>SBM_NO_TOUCH_BILLING</t>
        </is>
      </c>
      <c r="B60" s="14" t="inlineStr">
        <is>
          <t>No Touch billing statement - {{insurerName}} - {{period}}</t>
        </is>
      </c>
      <c r="C60" s="14" t="inlineStr">
        <is>
          <t>Submitted Policies</t>
        </is>
      </c>
      <c r="D60" s="14" t="inlineStr">
        <is>
          <t>Product Owner, Submitted Policies</t>
        </is>
      </c>
      <c r="E60" s="14" t="inlineStr">
        <is>
          <t>count, currency, grossFee, insurerName, netDue, period, vat, wtax</t>
        </is>
      </c>
      <c r="F60" s="14" t="inlineStr">
        <is>
          <t>This sheet</t>
        </is>
      </c>
      <c r="G60" s="14" t="inlineStr">
        <is>
          <t>16-Jul-2027 (T-24 weeks)</t>
        </is>
      </c>
      <c r="H60" s="14" t="n"/>
      <c r="I60" s="14" t="inlineStr">
        <is>
          <t>Not started</t>
        </is>
      </c>
      <c r="J60" s="14" t="n"/>
    </row>
    <row r="61">
      <c r="A61" s="14" t="inlineStr">
        <is>
          <t>SBM_REMINDER</t>
        </is>
      </c>
      <c r="B61" s="14" t="inlineStr">
        <is>
          <t>Reminder on your policy {{policyNo}}</t>
        </is>
      </c>
      <c r="C61" s="14" t="inlineStr">
        <is>
          <t>Submitted Policies</t>
        </is>
      </c>
      <c r="D61" s="14" t="inlineStr">
        <is>
          <t>Product Owner, Submitted Policies</t>
        </is>
      </c>
      <c r="E61" s="14" t="inlineStr">
        <is>
          <t>assuredName, bankCounterpart, expiryDate, findings, insurerName, policyNo, sbmNo</t>
        </is>
      </c>
      <c r="F61" s="14" t="inlineStr">
        <is>
          <t>This sheet</t>
        </is>
      </c>
      <c r="G61" s="14" t="inlineStr">
        <is>
          <t>16-Jul-2027 (T-24 weeks)</t>
        </is>
      </c>
      <c r="H61" s="14" t="n"/>
      <c r="I61" s="14" t="inlineStr">
        <is>
          <t>Not started</t>
        </is>
      </c>
      <c r="J61" s="14" t="n"/>
    </row>
    <row r="62">
      <c r="A62" s="14" t="inlineStr">
        <is>
          <t>SBM_RENEWAL_NOTICE</t>
        </is>
      </c>
      <c r="B62" s="14" t="inlineStr">
        <is>
          <t>Renewal notice - policy {{policyNo}}</t>
        </is>
      </c>
      <c r="C62" s="14" t="inlineStr">
        <is>
          <t>Submitted Policies</t>
        </is>
      </c>
      <c r="D62" s="14" t="inlineStr">
        <is>
          <t>Product Owner, Submitted Policies</t>
        </is>
      </c>
      <c r="E62" s="14" t="inlineStr">
        <is>
          <t>assuredName, expiryDate, insurerName, policyNo, riskDescription, sbmNo</t>
        </is>
      </c>
      <c r="F62" s="14" t="inlineStr">
        <is>
          <t>This sheet</t>
        </is>
      </c>
      <c r="G62" s="14" t="inlineStr">
        <is>
          <t>16-Jul-2027 (T-24 weeks)</t>
        </is>
      </c>
      <c r="H62" s="14" t="n"/>
      <c r="I62" s="14" t="inlineStr">
        <is>
          <t>Not started</t>
        </is>
      </c>
      <c r="J62" s="14" t="n"/>
    </row>
    <row r="63">
      <c r="A63" s="14" t="inlineStr">
        <is>
          <t>SBM_RENEWAL_PROPOSAL</t>
        </is>
      </c>
      <c r="B63" s="14" t="inlineStr">
        <is>
          <t>Renewal proposal - policy {{policyNo}}</t>
        </is>
      </c>
      <c r="C63" s="14" t="inlineStr">
        <is>
          <t>Submitted Policies</t>
        </is>
      </c>
      <c r="D63" s="14" t="inlineStr">
        <is>
          <t>Product Owner, Submitted Policies</t>
        </is>
      </c>
      <c r="E63" s="14" t="inlineStr">
        <is>
          <t>assuredName, currency, expiryDate, policyNo, proposedInsurer, sbmNo, sumInsured</t>
        </is>
      </c>
      <c r="F63" s="14" t="inlineStr">
        <is>
          <t>This sheet</t>
        </is>
      </c>
      <c r="G63" s="14" t="inlineStr">
        <is>
          <t>16-Jul-2027 (T-24 weeks)</t>
        </is>
      </c>
      <c r="H63" s="14" t="n"/>
      <c r="I63" s="14" t="inlineStr">
        <is>
          <t>Not started</t>
        </is>
      </c>
      <c r="J63" s="14" t="n"/>
    </row>
    <row r="64">
      <c r="A64" s="14" t="inlineStr">
        <is>
          <t>SBM_TOR</t>
        </is>
      </c>
      <c r="B64" s="14" t="inlineStr">
        <is>
          <t>Terms of Reference {{torNo}}</t>
        </is>
      </c>
      <c r="C64" s="14" t="inlineStr">
        <is>
          <t>Submitted Policies</t>
        </is>
      </c>
      <c r="D64" s="14" t="inlineStr">
        <is>
          <t>Product Owner, Submitted Policies</t>
        </is>
      </c>
      <c r="E64" s="14" t="inlineStr">
        <is>
          <t>accountRef, aoName, assuredName, breaches, currency, insurerName, proposedTerms, sumInsured, torNo</t>
        </is>
      </c>
      <c r="F64" s="14" t="inlineStr">
        <is>
          <t>This sheet</t>
        </is>
      </c>
      <c r="G64" s="14" t="inlineStr">
        <is>
          <t>16-Jul-2027 (T-24 weeks)</t>
        </is>
      </c>
      <c r="H64" s="14" t="n"/>
      <c r="I64" s="14" t="inlineStr">
        <is>
          <t>Not started</t>
        </is>
      </c>
      <c r="J64" s="14" t="n"/>
    </row>
    <row r="65">
      <c r="A65" s="14" t="inlineStr">
        <is>
          <t>SERVICE_INVOICE_NOTE</t>
        </is>
      </c>
      <c r="B65" s="14" t="inlineStr">
        <is>
          <t>Service invoice</t>
        </is>
      </c>
      <c r="C65" s="14" t="inlineStr">
        <is>
          <t>New Business</t>
        </is>
      </c>
      <c r="D65" s="14" t="inlineStr">
        <is>
          <t>Product Owner, BDOI (New Business)</t>
        </is>
      </c>
      <c r="E65" s="14" t="inlineStr">
        <is>
          <t>creditDays, reference</t>
        </is>
      </c>
      <c r="F65" s="14" t="inlineStr">
        <is>
          <t>This sheet</t>
        </is>
      </c>
      <c r="G65" s="14" t="inlineStr">
        <is>
          <t>16-Jul-2027 (T-24 weeks)</t>
        </is>
      </c>
      <c r="H65" s="14" t="n"/>
      <c r="I65" s="14" t="inlineStr">
        <is>
          <t>Not started</t>
        </is>
      </c>
      <c r="J65" s="14" t="n"/>
    </row>
    <row r="66">
      <c r="A66" s="14" t="inlineStr">
        <is>
          <t>VALIDATION_SLIP</t>
        </is>
      </c>
      <c r="B66" s="14" t="inlineStr">
        <is>
          <t>Validation slip</t>
        </is>
      </c>
      <c r="C66" s="14" t="inlineStr">
        <is>
          <t>New Business</t>
        </is>
      </c>
      <c r="D66" s="14" t="inlineStr">
        <is>
          <t>Product Owner, BDOI (New Business)</t>
        </is>
      </c>
      <c r="E66" s="14" t="inlineStr">
        <is>
          <t>invoiceNo, requestNo, status, validatedOn</t>
        </is>
      </c>
      <c r="F66" s="14" t="inlineStr">
        <is>
          <t>This sheet</t>
        </is>
      </c>
      <c r="G66" s="14" t="inlineStr">
        <is>
          <t>16-Jul-2027 (T-24 weeks)</t>
        </is>
      </c>
      <c r="H66" s="14" t="n"/>
      <c r="I66" s="14" t="inlineStr">
        <is>
          <t>Not started</t>
        </is>
      </c>
      <c r="J66" s="14" t="n"/>
    </row>
  </sheetData>
  <autoFilter ref="A4:J66"/>
  <conditionalFormatting sqref="I5:I66">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J66">
    <cfRule type="expression" priority="6" dxfId="7">
      <formula>AND(MOD(ROW(),2)=0,$A5&lt;&gt;"")</formula>
    </cfRule>
  </conditionalFormatting>
  <dataValidations count="2">
    <dataValidation sqref="H5:H66" showDropDown="0" showInputMessage="1" showErrorMessage="1" allowBlank="1" errorTitle="BDOI layout attached" error="Choose a value of the list Yes or no (sheet Reference lists)." promptTitle="BDOI layout attached" prompt="Y when the layout is sent" type="list" errorStyle="stop">
      <formula1>=LIST_YES_NO</formula1>
    </dataValidation>
    <dataValidation sqref="I5:I66"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62.xml><?xml version="1.0" encoding="utf-8"?>
<worksheet xmlns="http://schemas.openxmlformats.org/spreadsheetml/2006/main">
  <sheetPr>
    <outlinePr summaryBelow="1" summaryRight="1"/>
    <pageSetUpPr fitToPage="1"/>
  </sheetPr>
  <dimension ref="A1:H69"/>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14" customWidth="1" min="3" max="3"/>
    <col width="14" customWidth="1" min="4" max="4"/>
    <col width="50" customWidth="1" min="5" max="5"/>
    <col width="30" customWidth="1" min="6" max="6"/>
    <col width="14" customWidth="1" min="7" max="7"/>
    <col width="36" customWidth="1" min="8" max="8"/>
  </cols>
  <sheetData>
    <row r="1" ht="26" customHeight="1">
      <c r="A1" s="25" t="inlineStr">
        <is>
          <t>Review list: accounting events</t>
        </is>
      </c>
    </row>
    <row r="2">
      <c r="A2" s="27" t="inlineStr">
        <is>
          <t>← Back to Start here</t>
        </is>
      </c>
      <c r="B2" s="55" t="inlineStr">
        <is>
          <t>The accounting events that need a rule of template D0-08 (accounting rules mapping); owner Head, Comptrollership</t>
        </is>
      </c>
    </row>
    <row r="4" ht="30" customHeight="1">
      <c r="A4" s="11" t="inlineStr">
        <is>
          <t>Event type</t>
        </is>
      </c>
      <c r="B4" s="11" t="inlineStr">
        <is>
          <t>Name</t>
        </is>
      </c>
      <c r="C4" s="11" t="inlineStr">
        <is>
          <t>Category</t>
        </is>
      </c>
      <c r="D4" s="11" t="inlineStr">
        <is>
          <t>Journal type</t>
        </is>
      </c>
      <c r="E4" s="11" t="inlineStr">
        <is>
          <t>Amount components</t>
        </is>
      </c>
      <c r="F4" s="11" t="inlineStr">
        <is>
          <t>Given in</t>
        </is>
      </c>
      <c r="G4" s="11" t="inlineStr">
        <is>
          <t>Status</t>
        </is>
      </c>
      <c r="H4" s="11" t="inlineStr">
        <is>
          <t>BDOI comments</t>
        </is>
      </c>
    </row>
    <row r="5">
      <c r="A5" s="14" t="inlineStr">
        <is>
          <t>COMMISSION_ACCRUAL</t>
        </is>
      </c>
      <c r="B5" s="14" t="inlineStr">
        <is>
          <t>Commission accrued</t>
        </is>
      </c>
      <c r="C5" s="14" t="inlineStr">
        <is>
          <t>Commission</t>
        </is>
      </c>
      <c r="D5" s="14" t="inlineStr">
        <is>
          <t>Commission</t>
        </is>
      </c>
      <c r="E5" s="14" t="inlineStr">
        <is>
          <t>COMMISSION, WITHHOLDING_TAX, NET_COMMISSION</t>
        </is>
      </c>
      <c r="F5" s="14" t="inlineStr">
        <is>
          <t>Template D0-08 (sheet D0-08 Accounting rules)</t>
        </is>
      </c>
      <c r="G5" s="14" t="inlineStr">
        <is>
          <t>Not started</t>
        </is>
      </c>
      <c r="H5" s="14" t="n"/>
    </row>
    <row r="6">
      <c r="A6" s="14" t="inlineStr">
        <is>
          <t>OPS_ADJ_COMMISSION</t>
        </is>
      </c>
      <c r="B6" s="14" t="inlineStr">
        <is>
          <t>Commission adjustment without premium change</t>
        </is>
      </c>
      <c r="C6" s="14" t="inlineStr">
        <is>
          <t>Commission</t>
        </is>
      </c>
      <c r="D6" s="14" t="inlineStr">
        <is>
          <t>Commission</t>
        </is>
      </c>
      <c r="E6" s="14" t="inlineStr">
        <is>
          <t>COMMISSION_RECEIVABLE, UNREALIZED_COMMISSION, DEFERRED_OUTPUT_VAT</t>
        </is>
      </c>
      <c r="F6" s="14" t="inlineStr">
        <is>
          <t>Template D0-08 (sheet D0-08 Accounting rules)</t>
        </is>
      </c>
      <c r="G6" s="14" t="inlineStr">
        <is>
          <t>Not started</t>
        </is>
      </c>
      <c r="H6" s="14" t="n"/>
    </row>
    <row r="7">
      <c r="A7" s="14" t="inlineStr">
        <is>
          <t>OPS_INCENTIVE_ACCRUE</t>
        </is>
      </c>
      <c r="B7" s="14" t="inlineStr">
        <is>
          <t>Incentive earned from insurer</t>
        </is>
      </c>
      <c r="C7" s="14" t="inlineStr">
        <is>
          <t>Commission</t>
        </is>
      </c>
      <c r="D7" s="14" t="inlineStr">
        <is>
          <t>Commission</t>
        </is>
      </c>
      <c r="E7" s="14" t="inlineStr">
        <is>
          <t>INCENTIVE</t>
        </is>
      </c>
      <c r="F7" s="14" t="inlineStr">
        <is>
          <t>Template D0-08 (sheet D0-08 Accounting rules)</t>
        </is>
      </c>
      <c r="G7" s="14" t="inlineStr">
        <is>
          <t>Not started</t>
        </is>
      </c>
      <c r="H7" s="14" t="n"/>
    </row>
    <row r="8">
      <c r="A8" s="14" t="inlineStr">
        <is>
          <t>OPS_INCENTIVE_PASS_ON</t>
        </is>
      </c>
      <c r="B8" s="14" t="inlineStr">
        <is>
          <t>Incentive pass-on to branches</t>
        </is>
      </c>
      <c r="C8" s="14" t="inlineStr">
        <is>
          <t>Commission</t>
        </is>
      </c>
      <c r="D8" s="14" t="inlineStr">
        <is>
          <t>Commission</t>
        </is>
      </c>
      <c r="E8" s="14" t="inlineStr">
        <is>
          <t>PASS_ON</t>
        </is>
      </c>
      <c r="F8" s="14" t="inlineStr">
        <is>
          <t>Template D0-08 (sheet D0-08 Accounting rules)</t>
        </is>
      </c>
      <c r="G8" s="14" t="inlineStr">
        <is>
          <t>Not started</t>
        </is>
      </c>
      <c r="H8" s="14" t="n"/>
    </row>
    <row r="9">
      <c r="A9" s="14" t="inlineStr">
        <is>
          <t>OPS_REMIT_CPC2</t>
        </is>
      </c>
      <c r="B9" s="14" t="inlineStr">
        <is>
          <t>CPC2 incentive per remittance batch</t>
        </is>
      </c>
      <c r="C9" s="14" t="inlineStr">
        <is>
          <t>Commission</t>
        </is>
      </c>
      <c r="D9" s="14" t="inlineStr">
        <is>
          <t>Commission</t>
        </is>
      </c>
      <c r="E9" s="14" t="inlineStr">
        <is>
          <t>GROSS, CPC2_INCOME, OUTPUT_VAT</t>
        </is>
      </c>
      <c r="F9" s="14" t="inlineStr">
        <is>
          <t>Template D0-08 (sheet D0-08 Accounting rules)</t>
        </is>
      </c>
      <c r="G9" s="14" t="inlineStr">
        <is>
          <t>Not started</t>
        </is>
      </c>
      <c r="H9" s="14" t="n"/>
    </row>
    <row r="10">
      <c r="A10" s="14" t="inlineStr">
        <is>
          <t>OPS_REMIT_INCENTIVE</t>
        </is>
      </c>
      <c r="B10" s="14" t="inlineStr">
        <is>
          <t>Early remittance incentive</t>
        </is>
      </c>
      <c r="C10" s="14" t="inlineStr">
        <is>
          <t>Commission</t>
        </is>
      </c>
      <c r="D10" s="14" t="inlineStr">
        <is>
          <t>Commission</t>
        </is>
      </c>
      <c r="E10" s="14" t="inlineStr">
        <is>
          <t>DUE_FOR_DISBURSEMENT, INCENTIVE_INCOME, OUTPUT_VAT</t>
        </is>
      </c>
      <c r="F10" s="14" t="inlineStr">
        <is>
          <t>Template D0-08 (sheet D0-08 Accounting rules)</t>
        </is>
      </c>
      <c r="G10" s="14" t="inlineStr">
        <is>
          <t>Not started</t>
        </is>
      </c>
      <c r="H10" s="14" t="n"/>
    </row>
    <row r="11">
      <c r="A11" s="14" t="inlineStr">
        <is>
          <t>ASSET_ACQUISITION</t>
        </is>
      </c>
      <c r="B11" s="14" t="inlineStr">
        <is>
          <t>Fixed asset capitalized</t>
        </is>
      </c>
      <c r="C11" s="14" t="inlineStr">
        <is>
          <t>Payment</t>
        </is>
      </c>
      <c r="D11" s="14" t="inlineStr">
        <is>
          <t>Payment</t>
        </is>
      </c>
      <c r="E11" s="14" t="inlineStr">
        <is>
          <t>COST</t>
        </is>
      </c>
      <c r="F11" s="14" t="inlineStr">
        <is>
          <t>Template D0-08 (sheet D0-08 Accounting rules)</t>
        </is>
      </c>
      <c r="G11" s="14" t="inlineStr">
        <is>
          <t>Not started</t>
        </is>
      </c>
      <c r="H11" s="14" t="n"/>
    </row>
    <row r="12">
      <c r="A12" s="14" t="inlineStr">
        <is>
          <t>COMMISSION_PAYMENT</t>
        </is>
      </c>
      <c r="B12" s="14" t="inlineStr">
        <is>
          <t>Commission payment</t>
        </is>
      </c>
      <c r="C12" s="14" t="inlineStr">
        <is>
          <t>Payment</t>
        </is>
      </c>
      <c r="D12" s="14" t="inlineStr">
        <is>
          <t>Payment</t>
        </is>
      </c>
      <c r="E12" s="14" t="inlineStr">
        <is>
          <t>AMOUNT</t>
        </is>
      </c>
      <c r="F12" s="14" t="inlineStr">
        <is>
          <t>Template D0-08 (sheet D0-08 Accounting rules)</t>
        </is>
      </c>
      <c r="G12" s="14" t="inlineStr">
        <is>
          <t>Not started</t>
        </is>
      </c>
      <c r="H12" s="14" t="n"/>
    </row>
    <row r="13">
      <c r="A13" s="14" t="inlineStr">
        <is>
          <t>DISB_CHECK_NEGOTIATED</t>
        </is>
      </c>
      <c r="B13" s="14" t="inlineStr">
        <is>
          <t>Check negotiated</t>
        </is>
      </c>
      <c r="C13" s="14" t="inlineStr">
        <is>
          <t>Payment</t>
        </is>
      </c>
      <c r="D13" s="14" t="inlineStr">
        <is>
          <t>Payment</t>
        </is>
      </c>
      <c r="E13" s="14" t="inlineStr">
        <is>
          <t>AMOUNT</t>
        </is>
      </c>
      <c r="F13" s="14" t="inlineStr">
        <is>
          <t>Template D0-08 (sheet D0-08 Accounting rules)</t>
        </is>
      </c>
      <c r="G13" s="14" t="inlineStr">
        <is>
          <t>Not started</t>
        </is>
      </c>
      <c r="H13" s="14" t="n"/>
    </row>
    <row r="14">
      <c r="A14" s="14" t="inlineStr">
        <is>
          <t>DISB_CHECK_STALE</t>
        </is>
      </c>
      <c r="B14" s="14" t="inlineStr">
        <is>
          <t>Check staled</t>
        </is>
      </c>
      <c r="C14" s="14" t="inlineStr">
        <is>
          <t>Payment</t>
        </is>
      </c>
      <c r="D14" s="14" t="inlineStr">
        <is>
          <t>Payment</t>
        </is>
      </c>
      <c r="E14" s="14" t="inlineStr">
        <is>
          <t>AMOUNT</t>
        </is>
      </c>
      <c r="F14" s="14" t="inlineStr">
        <is>
          <t>Template D0-08 (sheet D0-08 Accounting rules)</t>
        </is>
      </c>
      <c r="G14" s="14" t="inlineStr">
        <is>
          <t>Not started</t>
        </is>
      </c>
      <c r="H14" s="14" t="n"/>
    </row>
    <row r="15">
      <c r="A15" s="14" t="inlineStr">
        <is>
          <t>DISB_VOUCHER</t>
        </is>
      </c>
      <c r="B15" s="14" t="inlineStr">
        <is>
          <t>Disbursement voucher approved</t>
        </is>
      </c>
      <c r="C15" s="14" t="inlineStr">
        <is>
          <t>Payment</t>
        </is>
      </c>
      <c r="D15" s="14" t="inlineStr">
        <is>
          <t>Payment</t>
        </is>
      </c>
      <c r="E15" s="14" t="inlineStr">
        <is>
          <t>REMITTANCE, REFUND, REFUND_FROM_INSURER, SUPPLIER, GOVERNMENT, OTHER_BANK_UNIT, EMPLOYEE, CASH_ADVANCE, SERVICE_FEE, PASS_ON, STALE_REISSUE, OTHER, PAID, EWT</t>
        </is>
      </c>
      <c r="F15" s="14" t="inlineStr">
        <is>
          <t>Template D0-08 (sheet D0-08 Accounting rules)</t>
        </is>
      </c>
      <c r="G15" s="14" t="inlineStr">
        <is>
          <t>Not started</t>
        </is>
      </c>
      <c r="H15" s="14" t="n"/>
    </row>
    <row r="16">
      <c r="A16" s="14" t="inlineStr">
        <is>
          <t>FRBS_SERVICE_FEE_ACCRUE</t>
        </is>
      </c>
      <c r="B16" s="14" t="inlineStr">
        <is>
          <t>Service fee accrual</t>
        </is>
      </c>
      <c r="C16" s="14" t="inlineStr">
        <is>
          <t>Payment</t>
        </is>
      </c>
      <c r="D16" s="14" t="inlineStr">
        <is>
          <t>Payment</t>
        </is>
      </c>
      <c r="E16" s="14" t="inlineStr">
        <is>
          <t>AMOUNT</t>
        </is>
      </c>
      <c r="F16" s="14" t="inlineStr">
        <is>
          <t>Template D0-08 (sheet D0-08 Accounting rules)</t>
        </is>
      </c>
      <c r="G16" s="14" t="inlineStr">
        <is>
          <t>Not started</t>
        </is>
      </c>
      <c r="H16" s="14" t="n"/>
    </row>
    <row r="17">
      <c r="A17" s="14" t="inlineStr">
        <is>
          <t>MISC_PAYMENT</t>
        </is>
      </c>
      <c r="B17" s="14" t="inlineStr">
        <is>
          <t>Miscellaneous payment</t>
        </is>
      </c>
      <c r="C17" s="14" t="inlineStr">
        <is>
          <t>Payment</t>
        </is>
      </c>
      <c r="D17" s="14" t="inlineStr">
        <is>
          <t>Payment</t>
        </is>
      </c>
      <c r="E17" s="14" t="inlineStr">
        <is>
          <t>AMOUNT</t>
        </is>
      </c>
      <c r="F17" s="14" t="inlineStr">
        <is>
          <t>Template D0-08 (sheet D0-08 Accounting rules)</t>
        </is>
      </c>
      <c r="G17" s="14" t="inlineStr">
        <is>
          <t>Not started</t>
        </is>
      </c>
      <c r="H17" s="14" t="n"/>
    </row>
    <row r="18">
      <c r="A18" s="14" t="inlineStr">
        <is>
          <t>OPS_REMITTANCE</t>
        </is>
      </c>
      <c r="B18" s="14" t="inlineStr">
        <is>
          <t>Remittance to insurer</t>
        </is>
      </c>
      <c r="C18" s="14" t="inlineStr">
        <is>
          <t>Payment</t>
        </is>
      </c>
      <c r="D18" s="14" t="inlineStr">
        <is>
          <t>Payment</t>
        </is>
      </c>
      <c r="E18" s="14" t="inlineStr">
        <is>
          <t>DTIP, CWT, COMMISSION_RECEIVABLE, DUE_FOR_DISBURSEMENT</t>
        </is>
      </c>
      <c r="F18" s="14" t="inlineStr">
        <is>
          <t>Template D0-08 (sheet D0-08 Accounting rules)</t>
        </is>
      </c>
      <c r="G18" s="14" t="inlineStr">
        <is>
          <t>Not started</t>
        </is>
      </c>
      <c r="H18" s="14" t="n"/>
    </row>
    <row r="19">
      <c r="A19" s="14" t="inlineStr">
        <is>
          <t>OPS_REMIT_DEDUCTION</t>
        </is>
      </c>
      <c r="B19" s="14" t="inlineStr">
        <is>
          <t>Remittance deduction on insurer confirmation</t>
        </is>
      </c>
      <c r="C19" s="14" t="inlineStr">
        <is>
          <t>Payment</t>
        </is>
      </c>
      <c r="D19" s="14" t="inlineStr">
        <is>
          <t>Payment</t>
        </is>
      </c>
      <c r="E19" s="14" t="inlineStr">
        <is>
          <t>AMOUNT</t>
        </is>
      </c>
      <c r="F19" s="14" t="inlineStr">
        <is>
          <t>Template D0-08 (sheet D0-08 Accounting rules)</t>
        </is>
      </c>
      <c r="G19" s="14" t="inlineStr">
        <is>
          <t>Not started</t>
        </is>
      </c>
      <c r="H19" s="14" t="n"/>
    </row>
    <row r="20">
      <c r="A20" s="14" t="inlineStr">
        <is>
          <t>PDC_ISSUED_PRESENTED</t>
        </is>
      </c>
      <c r="B20" s="14" t="inlineStr">
        <is>
          <t>Issued PDC presented</t>
        </is>
      </c>
      <c r="C20" s="14" t="inlineStr">
        <is>
          <t>Payment</t>
        </is>
      </c>
      <c r="D20" s="14" t="inlineStr">
        <is>
          <t>Payment</t>
        </is>
      </c>
      <c r="E20" s="14" t="inlineStr">
        <is>
          <t>AMOUNT</t>
        </is>
      </c>
      <c r="F20" s="14" t="inlineStr">
        <is>
          <t>Template D0-08 (sheet D0-08 Accounting rules)</t>
        </is>
      </c>
      <c r="G20" s="14" t="inlineStr">
        <is>
          <t>Not started</t>
        </is>
      </c>
      <c r="H20" s="14" t="n"/>
    </row>
    <row r="21">
      <c r="A21" s="14" t="inlineStr">
        <is>
          <t>PETTY_CASH_EXPENSE</t>
        </is>
      </c>
      <c r="B21" s="14" t="inlineStr">
        <is>
          <t>Petty cash disbursement</t>
        </is>
      </c>
      <c r="C21" s="14" t="inlineStr">
        <is>
          <t>Payment</t>
        </is>
      </c>
      <c r="D21" s="14" t="inlineStr">
        <is>
          <t>Payment</t>
        </is>
      </c>
      <c r="E21" s="14" t="inlineStr">
        <is>
          <t>AMOUNT</t>
        </is>
      </c>
      <c r="F21" s="14" t="inlineStr">
        <is>
          <t>Template D0-08 (sheet D0-08 Accounting rules)</t>
        </is>
      </c>
      <c r="G21" s="14" t="inlineStr">
        <is>
          <t>Not started</t>
        </is>
      </c>
      <c r="H21" s="14" t="n"/>
    </row>
    <row r="22">
      <c r="A22" s="14" t="inlineStr">
        <is>
          <t>PETTY_CASH_REPLENISHMENT</t>
        </is>
      </c>
      <c r="B22" s="14" t="inlineStr">
        <is>
          <t>Petty cash reimbursement</t>
        </is>
      </c>
      <c r="C22" s="14" t="inlineStr">
        <is>
          <t>Payment</t>
        </is>
      </c>
      <c r="D22" s="14" t="inlineStr">
        <is>
          <t>Payment</t>
        </is>
      </c>
      <c r="E22" s="14" t="inlineStr">
        <is>
          <t>AMOUNT</t>
        </is>
      </c>
      <c r="F22" s="14" t="inlineStr">
        <is>
          <t>Template D0-08 (sheet D0-08 Accounting rules)</t>
        </is>
      </c>
      <c r="G22" s="14" t="inlineStr">
        <is>
          <t>Not started</t>
        </is>
      </c>
      <c r="H22" s="14" t="n"/>
    </row>
    <row r="23">
      <c r="A23" s="14" t="inlineStr">
        <is>
          <t>PREMIUM_REFUND_PAYMENT</t>
        </is>
      </c>
      <c r="B23" s="14" t="inlineStr">
        <is>
          <t>Premium refund payment</t>
        </is>
      </c>
      <c r="C23" s="14" t="inlineStr">
        <is>
          <t>Payment</t>
        </is>
      </c>
      <c r="D23" s="14" t="inlineStr">
        <is>
          <t>Payment</t>
        </is>
      </c>
      <c r="E23" s="14" t="inlineStr">
        <is>
          <t>AMOUNT</t>
        </is>
      </c>
      <c r="F23" s="14" t="inlineStr">
        <is>
          <t>Template D0-08 (sheet D0-08 Accounting rules)</t>
        </is>
      </c>
      <c r="G23" s="14" t="inlineStr">
        <is>
          <t>Not started</t>
        </is>
      </c>
      <c r="H23" s="14" t="n"/>
    </row>
    <row r="24">
      <c r="A24" s="14" t="inlineStr">
        <is>
          <t>PRQ_CA_LIQUIDATION</t>
        </is>
      </c>
      <c r="B24" s="14" t="inlineStr">
        <is>
          <t>Cash advance liquidation</t>
        </is>
      </c>
      <c r="C24" s="14" t="inlineStr">
        <is>
          <t>Payment</t>
        </is>
      </c>
      <c r="D24" s="14" t="inlineStr">
        <is>
          <t>Payment</t>
        </is>
      </c>
      <c r="E24" s="14" t="inlineStr">
        <is>
          <t>PER_DIEM, REPRESENTATION, TRANSPORT, LODGING, OTHER, CASH_RETURNED, SHORTAGE, ADVANCE</t>
        </is>
      </c>
      <c r="F24" s="14" t="inlineStr">
        <is>
          <t>Template D0-08 (sheet D0-08 Accounting rules)</t>
        </is>
      </c>
      <c r="G24" s="14" t="inlineStr">
        <is>
          <t>Not started</t>
        </is>
      </c>
      <c r="H24" s="14" t="n"/>
    </row>
    <row r="25">
      <c r="A25" s="14" t="inlineStr">
        <is>
          <t>SUPPLIER_INVOICE</t>
        </is>
      </c>
      <c r="B25" s="14" t="inlineStr">
        <is>
          <t>Supplier invoice</t>
        </is>
      </c>
      <c r="C25" s="14" t="inlineStr">
        <is>
          <t>Payment</t>
        </is>
      </c>
      <c r="D25" s="14" t="inlineStr">
        <is>
          <t>Payment</t>
        </is>
      </c>
      <c r="E25" s="14" t="inlineStr">
        <is>
          <t>NET_AMOUNT, INPUT_VAT, WITHHOLDING_TAX, PAYABLE</t>
        </is>
      </c>
      <c r="F25" s="14" t="inlineStr">
        <is>
          <t>Template D0-08 (sheet D0-08 Accounting rules)</t>
        </is>
      </c>
      <c r="G25" s="14" t="inlineStr">
        <is>
          <t>Not started</t>
        </is>
      </c>
      <c r="H25" s="14" t="n"/>
    </row>
    <row r="26">
      <c r="A26" s="14" t="inlineStr">
        <is>
          <t>SUPPLIER_PAYMENT</t>
        </is>
      </c>
      <c r="B26" s="14" t="inlineStr">
        <is>
          <t>Supplier payment</t>
        </is>
      </c>
      <c r="C26" s="14" t="inlineStr">
        <is>
          <t>Payment</t>
        </is>
      </c>
      <c r="D26" s="14" t="inlineStr">
        <is>
          <t>Payment</t>
        </is>
      </c>
      <c r="E26" s="14" t="inlineStr">
        <is>
          <t>AMOUNT</t>
        </is>
      </c>
      <c r="F26" s="14" t="inlineStr">
        <is>
          <t>Template D0-08 (sheet D0-08 Accounting rules)</t>
        </is>
      </c>
      <c r="G26" s="14" t="inlineStr">
        <is>
          <t>Not started</t>
        </is>
      </c>
      <c r="H26" s="14" t="n"/>
    </row>
    <row r="27">
      <c r="A27" s="14" t="inlineStr">
        <is>
          <t>TAX_REMITTANCE</t>
        </is>
      </c>
      <c r="B27" s="14" t="inlineStr">
        <is>
          <t>Tax remittance</t>
        </is>
      </c>
      <c r="C27" s="14" t="inlineStr">
        <is>
          <t>Payment</t>
        </is>
      </c>
      <c r="D27" s="14" t="inlineStr">
        <is>
          <t>Payment</t>
        </is>
      </c>
      <c r="E27" s="14" t="inlineStr">
        <is>
          <t>TAX_PAYABLE, TAX_CREDIT, AMOUNT</t>
        </is>
      </c>
      <c r="F27" s="14" t="inlineStr">
        <is>
          <t>Template D0-08 (sheet D0-08 Accounting rules)</t>
        </is>
      </c>
      <c r="G27" s="14" t="inlineStr">
        <is>
          <t>Not started</t>
        </is>
      </c>
      <c r="H27" s="14" t="n"/>
    </row>
    <row r="28">
      <c r="A28" s="14" t="inlineStr">
        <is>
          <t>BROKER_BOOKING</t>
        </is>
      </c>
      <c r="B28" s="14" t="inlineStr">
        <is>
          <t>Broker booking</t>
        </is>
      </c>
      <c r="C28" s="14" t="inlineStr">
        <is>
          <t>Premium</t>
        </is>
      </c>
      <c r="D28" s="14" t="inlineStr">
        <is>
          <t>Premium</t>
        </is>
      </c>
      <c r="E28" s="14" t="inlineStr">
        <is>
          <t>PR_BASIC, PR_DST, PR_PTX_VAT, PR_LGT, PR_FST, PR_OTHER, DTIP, COMMISSION_RECEIVABLE, UNREALIZED_COMMISSION, DEFERRED_OUTPUT_VAT, COMMISSION_INCOME, OUTPUT_VAT</t>
        </is>
      </c>
      <c r="F28" s="14" t="inlineStr">
        <is>
          <t>Template D0-08 (sheet D0-08 Accounting rules)</t>
        </is>
      </c>
      <c r="G28" s="14" t="inlineStr">
        <is>
          <t>Not started</t>
        </is>
      </c>
      <c r="H28" s="14" t="n"/>
    </row>
    <row r="29">
      <c r="A29" s="14" t="inlineStr">
        <is>
          <t>MIG_LEGACY_INVOICE_OPENING</t>
        </is>
      </c>
      <c r="B29" s="14" t="inlineStr">
        <is>
          <t>Legacy invoice opening</t>
        </is>
      </c>
      <c r="C29" s="14" t="inlineStr">
        <is>
          <t>Premium</t>
        </is>
      </c>
      <c r="D29" s="14" t="inlineStr">
        <is>
          <t>Opening</t>
        </is>
      </c>
      <c r="E29" s="14" t="inlineStr">
        <is>
          <t>LG_PR_BASIC, LG_PR_DST, LG_PR_PTX_VAT, LG_PR_LGT, LG_PR_FST, LG_PR_OTHER, LG_PR2307, LG_DTIP, LG_COMMISSION, LG_COMMISSION_VAT, LG_UNREALIZED, LG_DEFERRED_VAT, CLEARING</t>
        </is>
      </c>
      <c r="F29" s="14" t="inlineStr">
        <is>
          <t>Template D0-08 (sheet D0-08 Accounting rules)</t>
        </is>
      </c>
      <c r="G29" s="14" t="inlineStr">
        <is>
          <t>Not started</t>
        </is>
      </c>
      <c r="H29" s="14" t="n"/>
    </row>
    <row r="30">
      <c r="A30" s="14" t="inlineStr">
        <is>
          <t>MIG_LEGACY_POSITION_TRUEUP</t>
        </is>
      </c>
      <c r="B30" s="14" t="inlineStr">
        <is>
          <t>Legacy open-item adjustment</t>
        </is>
      </c>
      <c r="C30" s="14" t="inlineStr">
        <is>
          <t>Premium</t>
        </is>
      </c>
      <c r="D30" s="14" t="inlineStr">
        <is>
          <t>Opening</t>
        </is>
      </c>
      <c r="E30" s="14" t="inlineStr">
        <is>
          <t>LG_PR_BASIC, LG_PR_DST, LG_PR_PTX_VAT, LG_PR_LGT, LG_PR_FST, LG_PR_OTHER, LG_PR2307, LG_DTIP, LG_COMMISSION, LG_COMMISSION_VAT, LG_UNREALIZED, LG_DEFERRED_VAT, LG_AMOUNT, CLEARING</t>
        </is>
      </c>
      <c r="F30" s="14" t="inlineStr">
        <is>
          <t>Template D0-08 (sheet D0-08 Accounting rules)</t>
        </is>
      </c>
      <c r="G30" s="14" t="inlineStr">
        <is>
          <t>Not started</t>
        </is>
      </c>
      <c r="H30" s="14" t="n"/>
    </row>
    <row r="31">
      <c r="A31" s="14" t="inlineStr">
        <is>
          <t>OPS_AR_INSURER_SETUP</t>
        </is>
      </c>
      <c r="B31" s="14" t="inlineStr">
        <is>
          <t>AR Insurer set-up after a remitted decrease</t>
        </is>
      </c>
      <c r="C31" s="14" t="inlineStr">
        <is>
          <t>Premium</t>
        </is>
      </c>
      <c r="D31" s="14" t="inlineStr">
        <is>
          <t>Premium</t>
        </is>
      </c>
      <c r="E31" s="14" t="inlineStr">
        <is>
          <t>AR_INSURER</t>
        </is>
      </c>
      <c r="F31" s="14" t="inlineStr">
        <is>
          <t>Template D0-08 (sheet D0-08 Accounting rules)</t>
        </is>
      </c>
      <c r="G31" s="14" t="inlineStr">
        <is>
          <t>Not started</t>
        </is>
      </c>
      <c r="H31" s="14" t="n"/>
    </row>
    <row r="32">
      <c r="A32" s="14" t="inlineStr">
        <is>
          <t>OPS_WRITE_OFF</t>
        </is>
      </c>
      <c r="B32" s="14" t="inlineStr">
        <is>
          <t>Minimal balance write-off / credit</t>
        </is>
      </c>
      <c r="C32" s="14" t="inlineStr">
        <is>
          <t>Premium</t>
        </is>
      </c>
      <c r="D32" s="14" t="inlineStr">
        <is>
          <t>Premium</t>
        </is>
      </c>
      <c r="E32" s="14" t="inlineStr">
        <is>
          <t>WRITE_OFF, PR_BASIC, PR_DST, PR_PTX_VAT, PR_LGT, PR_FST, PR_OTHER, CREDIT_BALANCE</t>
        </is>
      </c>
      <c r="F32" s="14" t="inlineStr">
        <is>
          <t>Template D0-08 (sheet D0-08 Accounting rules)</t>
        </is>
      </c>
      <c r="G32" s="14" t="inlineStr">
        <is>
          <t>Not started</t>
        </is>
      </c>
      <c r="H32" s="14" t="n"/>
    </row>
    <row r="33">
      <c r="A33" s="14" t="inlineStr">
        <is>
          <t>ASSET_DEPRECIATION</t>
        </is>
      </c>
      <c r="B33" s="14" t="inlineStr">
        <is>
          <t>Monthly depreciation</t>
        </is>
      </c>
      <c r="C33" s="14" t="inlineStr">
        <is>
          <t>Provision</t>
        </is>
      </c>
      <c r="D33" s="14" t="inlineStr">
        <is>
          <t>Provision</t>
        </is>
      </c>
      <c r="E33" s="14" t="inlineStr">
        <is>
          <t>DEPRECIATION</t>
        </is>
      </c>
      <c r="F33" s="14" t="inlineStr">
        <is>
          <t>Template D0-08 (sheet D0-08 Accounting rules)</t>
        </is>
      </c>
      <c r="G33" s="14" t="inlineStr">
        <is>
          <t>Not started</t>
        </is>
      </c>
      <c r="H33" s="14" t="n"/>
    </row>
    <row r="34">
      <c r="A34" s="14" t="inlineStr">
        <is>
          <t>ASSET_TAKE_ON</t>
        </is>
      </c>
      <c r="B34" s="14" t="inlineStr">
        <is>
          <t>Fixed asset opening balance</t>
        </is>
      </c>
      <c r="C34" s="14" t="inlineStr">
        <is>
          <t>Provision</t>
        </is>
      </c>
      <c r="D34" s="14" t="inlineStr">
        <is>
          <t>Opening</t>
        </is>
      </c>
      <c r="E34" s="14" t="inlineStr">
        <is>
          <t>COST, ACCUMULATED_DEPRECIATION, NET_BOOK_VALUE</t>
        </is>
      </c>
      <c r="F34" s="14" t="inlineStr">
        <is>
          <t>Template D0-08 (sheet D0-08 Accounting rules)</t>
        </is>
      </c>
      <c r="G34" s="14" t="inlineStr">
        <is>
          <t>Not started</t>
        </is>
      </c>
      <c r="H34" s="14" t="n"/>
    </row>
    <row r="35">
      <c r="A35" s="14" t="inlineStr">
        <is>
          <t>ASSET_TRANSFER</t>
        </is>
      </c>
      <c r="B35" s="14" t="inlineStr">
        <is>
          <t>Inter-branch asset transfer</t>
        </is>
      </c>
      <c r="C35" s="14" t="inlineStr">
        <is>
          <t>Provision</t>
        </is>
      </c>
      <c r="D35" s="14" t="inlineStr">
        <is>
          <t>Provision</t>
        </is>
      </c>
      <c r="E35" s="14" t="inlineStr">
        <is>
          <t>COST, ACCUMULATED_DEPRECIATION, NET_BOOK_VALUE</t>
        </is>
      </c>
      <c r="F35" s="14" t="inlineStr">
        <is>
          <t>Template D0-08 (sheet D0-08 Accounting rules)</t>
        </is>
      </c>
      <c r="G35" s="14" t="inlineStr">
        <is>
          <t>Not started</t>
        </is>
      </c>
      <c r="H35" s="14" t="n"/>
    </row>
    <row r="36">
      <c r="A36" s="14" t="inlineStr">
        <is>
          <t>ASSET_DISPOSAL</t>
        </is>
      </c>
      <c r="B36" s="14" t="inlineStr">
        <is>
          <t>Fixed asset disposal</t>
        </is>
      </c>
      <c r="C36" s="14" t="inlineStr">
        <is>
          <t>Receipt</t>
        </is>
      </c>
      <c r="D36" s="14" t="inlineStr">
        <is>
          <t>Receipt</t>
        </is>
      </c>
      <c r="E36" s="14" t="inlineStr">
        <is>
          <t>COST, ACCUMULATED_DEPRECIATION, PROCEEDS, GAIN, LOSS</t>
        </is>
      </c>
      <c r="F36" s="14" t="inlineStr">
        <is>
          <t>Template D0-08 (sheet D0-08 Accounting rules)</t>
        </is>
      </c>
      <c r="G36" s="14" t="inlineStr">
        <is>
          <t>Not started</t>
        </is>
      </c>
      <c r="H36" s="14" t="n"/>
    </row>
    <row r="37">
      <c r="A37" s="14" t="inlineStr">
        <is>
          <t>MIG_UPP_OPENING</t>
        </is>
      </c>
      <c r="B37" s="14" t="inlineStr">
        <is>
          <t>Legacy unapplied payment opening</t>
        </is>
      </c>
      <c r="C37" s="14" t="inlineStr">
        <is>
          <t>Receipt</t>
        </is>
      </c>
      <c r="D37" s="14" t="inlineStr">
        <is>
          <t>Opening</t>
        </is>
      </c>
      <c r="E37" s="14" t="inlineStr">
        <is>
          <t>LG_AMOUNT, CLEARING</t>
        </is>
      </c>
      <c r="F37" s="14" t="inlineStr">
        <is>
          <t>Template D0-08 (sheet D0-08 Accounting rules)</t>
        </is>
      </c>
      <c r="G37" s="14" t="inlineStr">
        <is>
          <t>Not started</t>
        </is>
      </c>
      <c r="H37" s="14" t="n"/>
    </row>
    <row r="38">
      <c r="A38" s="14" t="inlineStr">
        <is>
          <t>MISC_RECEIPT</t>
        </is>
      </c>
      <c r="B38" s="14" t="inlineStr">
        <is>
          <t>Miscellaneous receipt</t>
        </is>
      </c>
      <c r="C38" s="14" t="inlineStr">
        <is>
          <t>Receipt</t>
        </is>
      </c>
      <c r="D38" s="14" t="inlineStr">
        <is>
          <t>Receipt</t>
        </is>
      </c>
      <c r="E38" s="14" t="inlineStr">
        <is>
          <t>AMOUNT</t>
        </is>
      </c>
      <c r="F38" s="14" t="inlineStr">
        <is>
          <t>Template D0-08 (sheet D0-08 Accounting rules)</t>
        </is>
      </c>
      <c r="G38" s="14" t="inlineStr">
        <is>
          <t>Not started</t>
        </is>
      </c>
      <c r="H38" s="14" t="n"/>
    </row>
    <row r="39">
      <c r="A39" s="14" t="inlineStr">
        <is>
          <t>OPS_AR_INSURANCE_RECEIPT</t>
        </is>
      </c>
      <c r="B39" s="14" t="inlineStr">
        <is>
          <t>Insurer non-premium receipt</t>
        </is>
      </c>
      <c r="C39" s="14" t="inlineStr">
        <is>
          <t>Receipt</t>
        </is>
      </c>
      <c r="D39" s="14" t="inlineStr">
        <is>
          <t>Receipt</t>
        </is>
      </c>
      <c r="E39" s="14" t="inlineStr">
        <is>
          <t>AMOUNT</t>
        </is>
      </c>
      <c r="F39" s="14" t="inlineStr">
        <is>
          <t>Template D0-08 (sheet D0-08 Accounting rules)</t>
        </is>
      </c>
      <c r="G39" s="14" t="inlineStr">
        <is>
          <t>Not started</t>
        </is>
      </c>
      <c r="H39" s="14" t="n"/>
    </row>
    <row r="40">
      <c r="A40" s="14" t="inlineStr">
        <is>
          <t>OPS_AR_RECEIPT</t>
        </is>
      </c>
      <c r="B40" s="14" t="inlineStr">
        <is>
          <t>Acknowledgement receipt (premium)</t>
        </is>
      </c>
      <c r="C40" s="14" t="inlineStr">
        <is>
          <t>Receipt</t>
        </is>
      </c>
      <c r="D40" s="14" t="inlineStr">
        <is>
          <t>Receipt</t>
        </is>
      </c>
      <c r="E40" s="14" t="inlineStr">
        <is>
          <t>AMOUNT</t>
        </is>
      </c>
      <c r="F40" s="14" t="inlineStr">
        <is>
          <t>Template D0-08 (sheet D0-08 Accounting rules)</t>
        </is>
      </c>
      <c r="G40" s="14" t="inlineStr">
        <is>
          <t>Not started</t>
        </is>
      </c>
      <c r="H40" s="14" t="n"/>
    </row>
    <row r="41">
      <c r="A41" s="14" t="inlineStr">
        <is>
          <t>OPS_CWT_DTIP_OFFSET</t>
        </is>
      </c>
      <c r="B41" s="14" t="inlineStr">
        <is>
          <t>2307 certificate offset against DTIP</t>
        </is>
      </c>
      <c r="C41" s="14" t="inlineStr">
        <is>
          <t>Receipt</t>
        </is>
      </c>
      <c r="D41" s="14" t="inlineStr">
        <is>
          <t>Receipt</t>
        </is>
      </c>
      <c r="E41" s="14" t="inlineStr">
        <is>
          <t>DTIP, PR2307</t>
        </is>
      </c>
      <c r="F41" s="14" t="inlineStr">
        <is>
          <t>Template D0-08 (sheet D0-08 Accounting rules)</t>
        </is>
      </c>
      <c r="G41" s="14" t="inlineStr">
        <is>
          <t>Not started</t>
        </is>
      </c>
      <c r="H41" s="14" t="n"/>
    </row>
    <row r="42">
      <c r="A42" s="14" t="inlineStr">
        <is>
          <t>OPS_CWT_RECLASS</t>
        </is>
      </c>
      <c r="B42" s="14" t="inlineStr">
        <is>
          <t>PR reclassified to the client 2307</t>
        </is>
      </c>
      <c r="C42" s="14" t="inlineStr">
        <is>
          <t>Receipt</t>
        </is>
      </c>
      <c r="D42" s="14" t="inlineStr">
        <is>
          <t>Receipt</t>
        </is>
      </c>
      <c r="E42" s="14" t="inlineStr">
        <is>
          <t>PR2307, PR_BASIC, PR_DST, PR_PTX_VAT, PR_LGT, PR_FST, PR_OTHER</t>
        </is>
      </c>
      <c r="F42" s="14" t="inlineStr">
        <is>
          <t>Template D0-08 (sheet D0-08 Accounting rules)</t>
        </is>
      </c>
      <c r="G42" s="14" t="inlineStr">
        <is>
          <t>Not started</t>
        </is>
      </c>
      <c r="H42" s="14" t="n"/>
    </row>
    <row r="43">
      <c r="A43" s="14" t="inlineStr">
        <is>
          <t>OPS_DP_COMMISSION_COLLECT</t>
        </is>
      </c>
      <c r="B43" s="14" t="inlineStr">
        <is>
          <t>Direct payment commission collected</t>
        </is>
      </c>
      <c r="C43" s="14" t="inlineStr">
        <is>
          <t>Receipt</t>
        </is>
      </c>
      <c r="D43" s="14" t="inlineStr">
        <is>
          <t>Receipt</t>
        </is>
      </c>
      <c r="E43" s="14" t="inlineStr">
        <is>
          <t>CASH, CWT, COMMISSION_RECEIVABLE, REALIZED_COMMISSION, REALIZED_VAT</t>
        </is>
      </c>
      <c r="F43" s="14" t="inlineStr">
        <is>
          <t>Template D0-08 (sheet D0-08 Accounting rules)</t>
        </is>
      </c>
      <c r="G43" s="14" t="inlineStr">
        <is>
          <t>Not started</t>
        </is>
      </c>
      <c r="H43" s="14" t="n"/>
    </row>
    <row r="44">
      <c r="A44" s="14" t="inlineStr">
        <is>
          <t>OPS_DP_PR_REVERSAL</t>
        </is>
      </c>
      <c r="B44" s="14" t="inlineStr">
        <is>
          <t>Direct payment PR reversal</t>
        </is>
      </c>
      <c r="C44" s="14" t="inlineStr">
        <is>
          <t>Receipt</t>
        </is>
      </c>
      <c r="D44" s="14" t="inlineStr">
        <is>
          <t>Receipt</t>
        </is>
      </c>
      <c r="E44" s="14" t="inlineStr">
        <is>
          <t>DTIP, PR_BASIC, PR_DST, PR_PTX_VAT, PR_LGT, PR_FST, PR_OTHER</t>
        </is>
      </c>
      <c r="F44" s="14" t="inlineStr">
        <is>
          <t>Template D0-08 (sheet D0-08 Accounting rules)</t>
        </is>
      </c>
      <c r="G44" s="14" t="inlineStr">
        <is>
          <t>Not started</t>
        </is>
      </c>
      <c r="H44" s="14" t="n"/>
    </row>
    <row r="45">
      <c r="A45" s="14" t="inlineStr">
        <is>
          <t>OPS_DP_REINSTATE</t>
        </is>
      </c>
      <c r="B45" s="14" t="inlineStr">
        <is>
          <t>Direct payment reinstatement</t>
        </is>
      </c>
      <c r="C45" s="14" t="inlineStr">
        <is>
          <t>Receipt</t>
        </is>
      </c>
      <c r="D45" s="14" t="inlineStr">
        <is>
          <t>Receipt</t>
        </is>
      </c>
      <c r="E45" s="14" t="inlineStr">
        <is>
          <t>DTIP, PR_BASIC, PR_DST, PR_PTX_VAT, PR_LGT, PR_FST, PR_OTHER</t>
        </is>
      </c>
      <c r="F45" s="14" t="inlineStr">
        <is>
          <t>Template D0-08 (sheet D0-08 Accounting rules)</t>
        </is>
      </c>
      <c r="G45" s="14" t="inlineStr">
        <is>
          <t>Not started</t>
        </is>
      </c>
      <c r="H45" s="14" t="n"/>
    </row>
    <row r="46">
      <c r="A46" s="14" t="inlineStr">
        <is>
          <t>OPS_EXCESS_TO_OVERAGES</t>
        </is>
      </c>
      <c r="B46" s="14" t="inlineStr">
        <is>
          <t>Minimal excess to AP overages</t>
        </is>
      </c>
      <c r="C46" s="14" t="inlineStr">
        <is>
          <t>Receipt</t>
        </is>
      </c>
      <c r="D46" s="14" t="inlineStr">
        <is>
          <t>Receipt</t>
        </is>
      </c>
      <c r="E46" s="14" t="inlineStr">
        <is>
          <t>AMOUNT</t>
        </is>
      </c>
      <c r="F46" s="14" t="inlineStr">
        <is>
          <t>Template D0-08 (sheet D0-08 Accounting rules)</t>
        </is>
      </c>
      <c r="G46" s="14" t="inlineStr">
        <is>
          <t>Not started</t>
        </is>
      </c>
      <c r="H46" s="14" t="n"/>
    </row>
    <row r="47">
      <c r="A47" s="14" t="inlineStr">
        <is>
          <t>OPS_MINIMAL_BALANCE_REVERSAL</t>
        </is>
      </c>
      <c r="B47" s="14" t="inlineStr">
        <is>
          <t>Premium minimal balance reversal</t>
        </is>
      </c>
      <c r="C47" s="14" t="inlineStr">
        <is>
          <t>Receipt</t>
        </is>
      </c>
      <c r="D47" s="14" t="inlineStr">
        <is>
          <t>Receipt</t>
        </is>
      </c>
      <c r="E47" s="14" t="inlineStr">
        <is>
          <t>TOTAL, PR_BASIC, PR_DST, PR_PTX_VAT, PR_LGT, PR_FST, PR_OTHER</t>
        </is>
      </c>
      <c r="F47" s="14" t="inlineStr">
        <is>
          <t>Template D0-08 (sheet D0-08 Accounting rules)</t>
        </is>
      </c>
      <c r="G47" s="14" t="inlineStr">
        <is>
          <t>Not started</t>
        </is>
      </c>
      <c r="H47" s="14" t="n"/>
    </row>
    <row r="48">
      <c r="A48" s="14" t="inlineStr">
        <is>
          <t>OPS_OR_ISSUE</t>
        </is>
      </c>
      <c r="B48" s="14" t="inlineStr">
        <is>
          <t>Official receipt issued</t>
        </is>
      </c>
      <c r="C48" s="14" t="inlineStr">
        <is>
          <t>Receipt</t>
        </is>
      </c>
      <c r="D48" s="14" t="inlineStr">
        <is>
          <t>Receipt</t>
        </is>
      </c>
      <c r="E48" s="14" t="inlineStr">
        <is>
          <t>CASH, CWT, SERVICE_FEE_INCOME, PROFIT_SHARE_INCOME, INCENTIVE_INCOME, OTHER_INCOME, OUTPUT_VAT, COMMISSION_COLLECTED, VAT_DUE</t>
        </is>
      </c>
      <c r="F48" s="14" t="inlineStr">
        <is>
          <t>Template D0-08 (sheet D0-08 Accounting rules)</t>
        </is>
      </c>
      <c r="G48" s="14" t="inlineStr">
        <is>
          <t>Not started</t>
        </is>
      </c>
      <c r="H48" s="14" t="n"/>
    </row>
    <row r="49">
      <c r="A49" s="14" t="inlineStr">
        <is>
          <t>OPS_PAYMENT_APPLY</t>
        </is>
      </c>
      <c r="B49" s="14" t="inlineStr">
        <is>
          <t>Payment applied to a booked invoice</t>
        </is>
      </c>
      <c r="C49" s="14" t="inlineStr">
        <is>
          <t>Receipt</t>
        </is>
      </c>
      <c r="D49" s="14" t="inlineStr">
        <is>
          <t>Receipt</t>
        </is>
      </c>
      <c r="E49" s="14" t="inlineStr">
        <is>
          <t>APPLIED, PR_BASIC, PR_DST, PR_PTX_VAT, PR_LGT, PR_FST, PR_OTHER, REALIZED_COMMISSION, REALIZED_VAT</t>
        </is>
      </c>
      <c r="F49" s="14" t="inlineStr">
        <is>
          <t>Template D0-08 (sheet D0-08 Accounting rules)</t>
        </is>
      </c>
      <c r="G49" s="14" t="inlineStr">
        <is>
          <t>Not started</t>
        </is>
      </c>
      <c r="H49" s="14" t="n"/>
    </row>
    <row r="50">
      <c r="A50" s="14" t="inlineStr">
        <is>
          <t>OPS_RECEIPT_REINSTATE</t>
        </is>
      </c>
      <c r="B50" s="14" t="inlineStr">
        <is>
          <t>Receipt reinstated</t>
        </is>
      </c>
      <c r="C50" s="14" t="inlineStr">
        <is>
          <t>Receipt</t>
        </is>
      </c>
      <c r="D50" s="14" t="inlineStr">
        <is>
          <t>Receipt</t>
        </is>
      </c>
      <c r="E50" s="14" t="inlineStr">
        <is>
          <t>AMOUNT</t>
        </is>
      </c>
      <c r="F50" s="14" t="inlineStr">
        <is>
          <t>Template D0-08 (sheet D0-08 Accounting rules)</t>
        </is>
      </c>
      <c r="G50" s="14" t="inlineStr">
        <is>
          <t>Not started</t>
        </is>
      </c>
      <c r="H50" s="14" t="n"/>
    </row>
    <row r="51">
      <c r="A51" s="14" t="inlineStr">
        <is>
          <t>OPS_UNAPPLIED_RECLASS</t>
        </is>
      </c>
      <c r="B51" s="14" t="inlineStr">
        <is>
          <t>Unapplied payment reclassified</t>
        </is>
      </c>
      <c r="C51" s="14" t="inlineStr">
        <is>
          <t>Receipt</t>
        </is>
      </c>
      <c r="D51" s="14" t="inlineStr">
        <is>
          <t>Receipt</t>
        </is>
      </c>
      <c r="E51" s="14" t="inlineStr">
        <is>
          <t>RELEASED, ASSIGNED</t>
        </is>
      </c>
      <c r="F51" s="14" t="inlineStr">
        <is>
          <t>Template D0-08 (sheet D0-08 Accounting rules)</t>
        </is>
      </c>
      <c r="G51" s="14" t="inlineStr">
        <is>
          <t>Not started</t>
        </is>
      </c>
      <c r="H51" s="14" t="n"/>
    </row>
    <row r="52">
      <c r="A52" s="14" t="inlineStr">
        <is>
          <t>OPS_UNAPPLIED_REFUND</t>
        </is>
      </c>
      <c r="B52" s="14" t="inlineStr">
        <is>
          <t>Unapplied payment refunded</t>
        </is>
      </c>
      <c r="C52" s="14" t="inlineStr">
        <is>
          <t>Receipt</t>
        </is>
      </c>
      <c r="D52" s="14" t="inlineStr">
        <is>
          <t>Receipt</t>
        </is>
      </c>
      <c r="E52" s="14" t="inlineStr">
        <is>
          <t>AMOUNT</t>
        </is>
      </c>
      <c r="F52" s="14" t="inlineStr">
        <is>
          <t>Template D0-08 (sheet D0-08 Accounting rules)</t>
        </is>
      </c>
      <c r="G52" s="14" t="inlineStr">
        <is>
          <t>Not started</t>
        </is>
      </c>
      <c r="H52" s="14" t="n"/>
    </row>
    <row r="53">
      <c r="A53" s="14" t="inlineStr">
        <is>
          <t>OPS_UNAPPLIED_TO_INCOME</t>
        </is>
      </c>
      <c r="B53" s="14" t="inlineStr">
        <is>
          <t>Unapplied payment reclassified to other income</t>
        </is>
      </c>
      <c r="C53" s="14" t="inlineStr">
        <is>
          <t>Receipt</t>
        </is>
      </c>
      <c r="D53" s="14" t="inlineStr">
        <is>
          <t>Receipt</t>
        </is>
      </c>
      <c r="E53" s="14" t="inlineStr">
        <is>
          <t>AMOUNT, LG_AMOUNT</t>
        </is>
      </c>
      <c r="F53" s="14" t="inlineStr">
        <is>
          <t>Template D0-08 (sheet D0-08 Accounting rules)</t>
        </is>
      </c>
      <c r="G53" s="14" t="inlineStr">
        <is>
          <t>Not started</t>
        </is>
      </c>
      <c r="H53" s="14" t="n"/>
    </row>
    <row r="54">
      <c r="A54" s="14" t="inlineStr">
        <is>
          <t>PREMIUM_DEPOSIT</t>
        </is>
      </c>
      <c r="B54" s="14" t="inlineStr">
        <is>
          <t>Unapplied collection</t>
        </is>
      </c>
      <c r="C54" s="14" t="inlineStr">
        <is>
          <t>Receipt</t>
        </is>
      </c>
      <c r="D54" s="14" t="inlineStr">
        <is>
          <t>Receipt</t>
        </is>
      </c>
      <c r="E54" s="14" t="inlineStr">
        <is>
          <t>AMOUNT</t>
        </is>
      </c>
      <c r="F54" s="14" t="inlineStr">
        <is>
          <t>Template D0-08 (sheet D0-08 Accounting rules)</t>
        </is>
      </c>
      <c r="G54" s="14" t="inlineStr">
        <is>
          <t>Not started</t>
        </is>
      </c>
      <c r="H54" s="14" t="n"/>
    </row>
    <row r="55">
      <c r="A55" s="14" t="inlineStr">
        <is>
          <t>PREMIUM_RECEIPT</t>
        </is>
      </c>
      <c r="B55" s="14" t="inlineStr">
        <is>
          <t>Premium collection</t>
        </is>
      </c>
      <c r="C55" s="14" t="inlineStr">
        <is>
          <t>Receipt</t>
        </is>
      </c>
      <c r="D55" s="14" t="inlineStr">
        <is>
          <t>Receipt</t>
        </is>
      </c>
      <c r="E55" s="14" t="inlineStr">
        <is>
          <t>AMOUNT</t>
        </is>
      </c>
      <c r="F55" s="14" t="inlineStr">
        <is>
          <t>Template D0-08 (sheet D0-08 Accounting rules)</t>
        </is>
      </c>
      <c r="G55" s="14" t="inlineStr">
        <is>
          <t>Not started</t>
        </is>
      </c>
      <c r="H55" s="14" t="n"/>
    </row>
    <row r="56">
      <c r="A56" s="14" t="inlineStr">
        <is>
          <t>SBM_HANDLING_FEE</t>
        </is>
      </c>
      <c r="B56" s="14" t="inlineStr">
        <is>
          <t>Handling fee recognised</t>
        </is>
      </c>
      <c r="C56" s="14" t="inlineStr">
        <is>
          <t>Receipt</t>
        </is>
      </c>
      <c r="D56" s="14" t="inlineStr">
        <is>
          <t>Receipt</t>
        </is>
      </c>
      <c r="E56" s="14" t="inlineStr">
        <is>
          <t>AMOUNT, INCOME, OUTPUT_VAT</t>
        </is>
      </c>
      <c r="F56" s="14" t="inlineStr">
        <is>
          <t>Template D0-08 (sheet D0-08 Accounting rules)</t>
        </is>
      </c>
      <c r="G56" s="14" t="inlineStr">
        <is>
          <t>Not started</t>
        </is>
      </c>
      <c r="H56" s="14" t="n"/>
    </row>
    <row r="57">
      <c r="A57" s="14" t="inlineStr">
        <is>
          <t>SBM_NO_TOUCH_FEE</t>
        </is>
      </c>
      <c r="B57" s="14" t="inlineStr">
        <is>
          <t>No Touch service fee billed</t>
        </is>
      </c>
      <c r="C57" s="14" t="inlineStr">
        <is>
          <t>Receipt</t>
        </is>
      </c>
      <c r="D57" s="14" t="inlineStr">
        <is>
          <t>Receipt</t>
        </is>
      </c>
      <c r="E57" s="14" t="inlineStr">
        <is>
          <t>RECEIVABLE, INCOME, OUTPUT_VAT</t>
        </is>
      </c>
      <c r="F57" s="14" t="inlineStr">
        <is>
          <t>Template D0-08 (sheet D0-08 Accounting rules)</t>
        </is>
      </c>
      <c r="G57" s="14" t="inlineStr">
        <is>
          <t>Not started</t>
        </is>
      </c>
      <c r="H57" s="14" t="n"/>
    </row>
    <row r="58">
      <c r="A58" s="14" t="inlineStr">
        <is>
          <t>TAX_CWT_CERT_RECEIVED</t>
        </is>
      </c>
      <c r="B58" s="14" t="inlineStr">
        <is>
          <t>Insurer 2307 certificate received</t>
        </is>
      </c>
      <c r="C58" s="14" t="inlineStr">
        <is>
          <t>Receipt</t>
        </is>
      </c>
      <c r="D58" s="14" t="inlineStr">
        <is>
          <t>Receipt</t>
        </is>
      </c>
      <c r="E58" s="14" t="inlineStr">
        <is>
          <t>COMMISSION_CWT, INCENTIVE_CWT</t>
        </is>
      </c>
      <c r="F58" s="14" t="inlineStr">
        <is>
          <t>Template D0-08 (sheet D0-08 Accounting rules)</t>
        </is>
      </c>
      <c r="G58" s="14" t="inlineStr">
        <is>
          <t>Not started</t>
        </is>
      </c>
      <c r="H58" s="14" t="n"/>
    </row>
    <row r="59">
      <c r="A59" s="14" t="inlineStr">
        <is>
          <t>UNAPPLIED_APPLICATION</t>
        </is>
      </c>
      <c r="B59" s="14" t="inlineStr">
        <is>
          <t>Application of unapplied collection</t>
        </is>
      </c>
      <c r="C59" s="14" t="inlineStr">
        <is>
          <t>Receipt</t>
        </is>
      </c>
      <c r="D59" s="14" t="inlineStr">
        <is>
          <t>Receipt</t>
        </is>
      </c>
      <c r="E59" s="14" t="inlineStr">
        <is>
          <t>AMOUNT</t>
        </is>
      </c>
      <c r="F59" s="14" t="inlineStr">
        <is>
          <t>Template D0-08 (sheet D0-08 Accounting rules)</t>
        </is>
      </c>
      <c r="G59" s="14" t="inlineStr">
        <is>
          <t>Not started</t>
        </is>
      </c>
      <c r="H59" s="14" t="n"/>
    </row>
    <row r="60">
      <c r="A60" s="14" t="inlineStr">
        <is>
          <t>BANK_TRANSFER</t>
        </is>
      </c>
      <c r="B60" s="14" t="inlineStr">
        <is>
          <t>Bank transfer</t>
        </is>
      </c>
      <c r="C60" s="14" t="inlineStr">
        <is>
          <t>Treasury</t>
        </is>
      </c>
      <c r="D60" s="14" t="inlineStr">
        <is>
          <t>Payment</t>
        </is>
      </c>
      <c r="E60" s="14" t="inlineStr">
        <is>
          <t>AMOUNT</t>
        </is>
      </c>
      <c r="F60" s="14" t="inlineStr">
        <is>
          <t>Template D0-08 (sheet D0-08 Accounting rules)</t>
        </is>
      </c>
      <c r="G60" s="14" t="inlineStr">
        <is>
          <t>Not started</t>
        </is>
      </c>
      <c r="H60" s="14" t="n"/>
    </row>
    <row r="61">
      <c r="A61" s="14" t="inlineStr">
        <is>
          <t>DISB_FUND_TRANSFER</t>
        </is>
      </c>
      <c r="B61" s="14" t="inlineStr">
        <is>
          <t>Account funding transfer</t>
        </is>
      </c>
      <c r="C61" s="14" t="inlineStr">
        <is>
          <t>Treasury</t>
        </is>
      </c>
      <c r="D61" s="14" t="inlineStr">
        <is>
          <t>Payment</t>
        </is>
      </c>
      <c r="E61" s="14" t="inlineStr">
        <is>
          <t>AMOUNT</t>
        </is>
      </c>
      <c r="F61" s="14" t="inlineStr">
        <is>
          <t>Template D0-08 (sheet D0-08 Accounting rules)</t>
        </is>
      </c>
      <c r="G61" s="14" t="inlineStr">
        <is>
          <t>Not started</t>
        </is>
      </c>
      <c r="H61" s="14" t="n"/>
    </row>
    <row r="62">
      <c r="A62" s="14" t="inlineStr">
        <is>
          <t>INVESTMENT_AMORTIZATION</t>
        </is>
      </c>
      <c r="B62" s="14" t="inlineStr">
        <is>
          <t>Premium / discount amortization</t>
        </is>
      </c>
      <c r="C62" s="14" t="inlineStr">
        <is>
          <t>Treasury</t>
        </is>
      </c>
      <c r="D62" s="14" t="inlineStr">
        <is>
          <t>Investment</t>
        </is>
      </c>
      <c r="E62" s="14" t="inlineStr">
        <is>
          <t>AMORTIZATION</t>
        </is>
      </c>
      <c r="F62" s="14" t="inlineStr">
        <is>
          <t>Template D0-08 (sheet D0-08 Accounting rules)</t>
        </is>
      </c>
      <c r="G62" s="14" t="inlineStr">
        <is>
          <t>Not started</t>
        </is>
      </c>
      <c r="H62" s="14" t="n"/>
    </row>
    <row r="63">
      <c r="A63" s="14" t="inlineStr">
        <is>
          <t>INVESTMENT_FAIR_VALUE</t>
        </is>
      </c>
      <c r="B63" s="14" t="inlineStr">
        <is>
          <t>Investment fair value change</t>
        </is>
      </c>
      <c r="C63" s="14" t="inlineStr">
        <is>
          <t>Treasury</t>
        </is>
      </c>
      <c r="D63" s="14" t="inlineStr">
        <is>
          <t>Revaluation</t>
        </is>
      </c>
      <c r="E63" s="14" t="inlineStr">
        <is>
          <t>FAIR_VALUE_CHANGE</t>
        </is>
      </c>
      <c r="F63" s="14" t="inlineStr">
        <is>
          <t>Template D0-08 (sheet D0-08 Accounting rules)</t>
        </is>
      </c>
      <c r="G63" s="14" t="inlineStr">
        <is>
          <t>Not started</t>
        </is>
      </c>
      <c r="H63" s="14" t="n"/>
    </row>
    <row r="64">
      <c r="A64" s="14" t="inlineStr">
        <is>
          <t>INVESTMENT_INTEREST_ACCRUAL</t>
        </is>
      </c>
      <c r="B64" s="14" t="inlineStr">
        <is>
          <t>Investment interest accrual</t>
        </is>
      </c>
      <c r="C64" s="14" t="inlineStr">
        <is>
          <t>Treasury</t>
        </is>
      </c>
      <c r="D64" s="14" t="inlineStr">
        <is>
          <t>Investment</t>
        </is>
      </c>
      <c r="E64" s="14" t="inlineStr">
        <is>
          <t>INTEREST</t>
        </is>
      </c>
      <c r="F64" s="14" t="inlineStr">
        <is>
          <t>Template D0-08 (sheet D0-08 Accounting rules)</t>
        </is>
      </c>
      <c r="G64" s="14" t="inlineStr">
        <is>
          <t>Not started</t>
        </is>
      </c>
      <c r="H64" s="14" t="n"/>
    </row>
    <row r="65">
      <c r="A65" s="14" t="inlineStr">
        <is>
          <t>INVESTMENT_INTEREST_RECEIPT</t>
        </is>
      </c>
      <c r="B65" s="14" t="inlineStr">
        <is>
          <t>Coupon / interest received</t>
        </is>
      </c>
      <c r="C65" s="14" t="inlineStr">
        <is>
          <t>Treasury</t>
        </is>
      </c>
      <c r="D65" s="14" t="inlineStr">
        <is>
          <t>Investment</t>
        </is>
      </c>
      <c r="E65" s="14" t="inlineStr">
        <is>
          <t>CASH, FINAL_TAX, ACCRUED_INTEREST, INCOME_ADJUSTMENT</t>
        </is>
      </c>
      <c r="F65" s="14" t="inlineStr">
        <is>
          <t>Template D0-08 (sheet D0-08 Accounting rules)</t>
        </is>
      </c>
      <c r="G65" s="14" t="inlineStr">
        <is>
          <t>Not started</t>
        </is>
      </c>
      <c r="H65" s="14" t="n"/>
    </row>
    <row r="66">
      <c r="A66" s="14" t="inlineStr">
        <is>
          <t>INVESTMENT_MATURITY</t>
        </is>
      </c>
      <c r="B66" s="14" t="inlineStr">
        <is>
          <t>Investment maturity</t>
        </is>
      </c>
      <c r="C66" s="14" t="inlineStr">
        <is>
          <t>Treasury</t>
        </is>
      </c>
      <c r="D66" s="14" t="inlineStr">
        <is>
          <t>Investment</t>
        </is>
      </c>
      <c r="E66" s="14" t="inlineStr">
        <is>
          <t>PROCEEDS, FINAL_TAX, FV_RESERVE, CARRYING_AMOUNT, ACCRUED_INTEREST, REALIZED_GAIN</t>
        </is>
      </c>
      <c r="F66" s="14" t="inlineStr">
        <is>
          <t>Template D0-08 (sheet D0-08 Accounting rules)</t>
        </is>
      </c>
      <c r="G66" s="14" t="inlineStr">
        <is>
          <t>Not started</t>
        </is>
      </c>
      <c r="H66" s="14" t="n"/>
    </row>
    <row r="67">
      <c r="A67" s="14" t="inlineStr">
        <is>
          <t>INVESTMENT_PURCHASE</t>
        </is>
      </c>
      <c r="B67" s="14" t="inlineStr">
        <is>
          <t>Investment purchase</t>
        </is>
      </c>
      <c r="C67" s="14" t="inlineStr">
        <is>
          <t>Treasury</t>
        </is>
      </c>
      <c r="D67" s="14" t="inlineStr">
        <is>
          <t>Investment</t>
        </is>
      </c>
      <c r="E67" s="14" t="inlineStr">
        <is>
          <t>COST, PURCHASED_INTEREST, TOTAL</t>
        </is>
      </c>
      <c r="F67" s="14" t="inlineStr">
        <is>
          <t>Template D0-08 (sheet D0-08 Accounting rules)</t>
        </is>
      </c>
      <c r="G67" s="14" t="inlineStr">
        <is>
          <t>Not started</t>
        </is>
      </c>
      <c r="H67" s="14" t="n"/>
    </row>
    <row r="68">
      <c r="A68" s="14" t="inlineStr">
        <is>
          <t>INVESTMENT_SALE</t>
        </is>
      </c>
      <c r="B68" s="14" t="inlineStr">
        <is>
          <t>Investment sale</t>
        </is>
      </c>
      <c r="C68" s="14" t="inlineStr">
        <is>
          <t>Treasury</t>
        </is>
      </c>
      <c r="D68" s="14" t="inlineStr">
        <is>
          <t>Investment</t>
        </is>
      </c>
      <c r="E68" s="14" t="inlineStr">
        <is>
          <t>PROCEEDS, FINAL_TAX, FV_RESERVE, CARRYING_AMOUNT, ACCRUED_INTEREST, REALIZED_GAIN</t>
        </is>
      </c>
      <c r="F68" s="14" t="inlineStr">
        <is>
          <t>Template D0-08 (sheet D0-08 Accounting rules)</t>
        </is>
      </c>
      <c r="G68" s="14" t="inlineStr">
        <is>
          <t>Not started</t>
        </is>
      </c>
      <c r="H68" s="14" t="n"/>
    </row>
    <row r="69">
      <c r="A69" s="14" t="inlineStr">
        <is>
          <t>INVESTMENT_TAKE_ON</t>
        </is>
      </c>
      <c r="B69" s="14" t="inlineStr">
        <is>
          <t>Investment opening balance</t>
        </is>
      </c>
      <c r="C69" s="14" t="inlineStr">
        <is>
          <t>Treasury</t>
        </is>
      </c>
      <c r="D69" s="14" t="inlineStr">
        <is>
          <t>Opening</t>
        </is>
      </c>
      <c r="E69" s="14" t="inlineStr">
        <is>
          <t>CARRYING_AMOUNT, ACCRUED_INTEREST, TOTAL</t>
        </is>
      </c>
      <c r="F69" s="14" t="inlineStr">
        <is>
          <t>Template D0-08 (sheet D0-08 Accounting rules)</t>
        </is>
      </c>
      <c r="G69" s="14" t="inlineStr">
        <is>
          <t>Not started</t>
        </is>
      </c>
      <c r="H69" s="14" t="n"/>
    </row>
  </sheetData>
  <autoFilter ref="A4:H69"/>
  <conditionalFormatting sqref="G5:G69">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H69">
    <cfRule type="expression" priority="6" dxfId="7">
      <formula>AND(MOD(ROW(),2)=0,$A5&lt;&gt;"")</formula>
    </cfRule>
  </conditionalFormatting>
  <dataValidations count="1">
    <dataValidation sqref="G5:G69"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63.xml><?xml version="1.0" encoding="utf-8"?>
<worksheet xmlns="http://schemas.openxmlformats.org/spreadsheetml/2006/main">
  <sheetPr>
    <outlinePr summaryBelow="1" summaryRight="1"/>
    <pageSetUpPr fitToPage="1"/>
  </sheetPr>
  <dimension ref="A1:I34"/>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50" customWidth="1" min="3" max="3"/>
    <col width="9" customWidth="1" min="4" max="4"/>
    <col width="26" customWidth="1" min="5" max="5"/>
    <col width="34" customWidth="1" min="6" max="6"/>
    <col width="26" customWidth="1" min="7" max="7"/>
    <col width="14" customWidth="1" min="8" max="8"/>
    <col width="36" customWidth="1" min="9" max="9"/>
  </cols>
  <sheetData>
    <row r="1" ht="26" customHeight="1">
      <c r="A1" s="25" t="inlineStr">
        <is>
          <t>Datasets configured on screens</t>
        </is>
      </c>
    </row>
    <row r="2">
      <c r="A2" s="27" t="inlineStr">
        <is>
          <t>← Back to Start here</t>
        </is>
      </c>
      <c r="B2" s="55" t="inlineStr">
        <is>
          <t>Set-up that BDOI decides and the BIBS configuration team enters on the named screen in a working session; there is no template to fill in, the decisions go into BDOI comments</t>
        </is>
      </c>
    </row>
    <row r="4" ht="30" customHeight="1">
      <c r="A4" s="11" t="inlineStr">
        <is>
          <t>ID</t>
        </is>
      </c>
      <c r="B4" s="11" t="inlineStr">
        <is>
          <t>Dataset</t>
        </is>
      </c>
      <c r="C4" s="11" t="inlineStr">
        <is>
          <t>What BDOI decides or provides</t>
        </is>
      </c>
      <c r="D4" s="11" t="inlineStr">
        <is>
          <t>BRD</t>
        </is>
      </c>
      <c r="E4" s="11" t="inlineStr">
        <is>
          <t>Owner (BDOI unit)</t>
        </is>
      </c>
      <c r="F4" s="11" t="inlineStr">
        <is>
          <t>Configured on</t>
        </is>
      </c>
      <c r="G4" s="11" t="inlineStr">
        <is>
          <t>Due</t>
        </is>
      </c>
      <c r="H4" s="11" t="inlineStr">
        <is>
          <t>Status</t>
        </is>
      </c>
      <c r="I4" s="11" t="inlineStr">
        <is>
          <t>BDOI comments</t>
        </is>
      </c>
    </row>
    <row r="5">
      <c r="A5" s="14" t="inlineStr">
        <is>
          <t>CFG-006</t>
        </is>
      </c>
      <c r="B5" s="14" t="inlineStr">
        <is>
          <t>Cost-centre rules</t>
        </is>
      </c>
      <c r="C5" s="14" t="inlineStr">
        <is>
          <t>Which cost centre an automatic posting takes by module, event, branch, party or account</t>
        </is>
      </c>
      <c r="D5" s="14" t="inlineStr">
        <is>
          <t>BRD-05</t>
        </is>
      </c>
      <c r="E5" s="14" t="inlineStr">
        <is>
          <t>Head, Comptrollership</t>
        </is>
      </c>
      <c r="F5" s="14" t="inlineStr">
        <is>
          <t>Setup &amp; Administration › Setup › Cost-Centre Rules</t>
        </is>
      </c>
      <c r="G5" s="14" t="inlineStr">
        <is>
          <t>16-Jul-2027 – Values for UAT</t>
        </is>
      </c>
      <c r="H5" s="14" t="inlineStr">
        <is>
          <t>Not started</t>
        </is>
      </c>
      <c r="I5" s="14" t="n"/>
    </row>
    <row r="6">
      <c r="A6" s="14" t="inlineStr">
        <is>
          <t>CFG-008</t>
        </is>
      </c>
      <c r="B6" s="14" t="inlineStr">
        <is>
          <t>Production targets</t>
        </is>
      </c>
      <c r="C6" s="14" t="inlineStr">
        <is>
          <t>The 2028 production targets per sales unit and officer for the New Business reports</t>
        </is>
      </c>
      <c r="D6" s="14" t="inlineStr">
        <is>
          <t>BRD-01</t>
        </is>
      </c>
      <c r="E6" s="14" t="inlineStr">
        <is>
          <t>Product Owner, BDOI (New Business)</t>
        </is>
      </c>
      <c r="F6" s="14" t="inlineStr">
        <is>
          <t>Reports › New Business Reports › Production Targets</t>
        </is>
      </c>
      <c r="G6" s="14" t="inlineStr">
        <is>
          <t>16-Jul-2027 – Values for UAT</t>
        </is>
      </c>
      <c r="H6" s="14" t="inlineStr">
        <is>
          <t>Not started</t>
        </is>
      </c>
      <c r="I6" s="14" t="n"/>
    </row>
    <row r="7">
      <c r="A7" s="14" t="inlineStr">
        <is>
          <t>CFG-009</t>
        </is>
      </c>
      <c r="B7" s="14" t="inlineStr">
        <is>
          <t>Financial year and periods</t>
        </is>
      </c>
      <c r="C7" s="14" t="inlineStr">
        <is>
          <t>Financial year 2028 and its periods, opened by Comptrollership; FY2027 stays in legacy (year-end option A)</t>
        </is>
      </c>
      <c r="D7" s="14" t="inlineStr">
        <is>
          <t>BRD-05</t>
        </is>
      </c>
      <c r="E7" s="14" t="inlineStr">
        <is>
          <t>Head, Comptrollership</t>
        </is>
      </c>
      <c r="F7" s="14" t="inlineStr">
        <is>
          <t>Finance › General Ledger › Financial Periods</t>
        </is>
      </c>
      <c r="G7" s="14" t="inlineStr">
        <is>
          <t>1-Nov-2027 – Production values before the dress rehearsal</t>
        </is>
      </c>
      <c r="H7" s="14" t="inlineStr">
        <is>
          <t>Not started</t>
        </is>
      </c>
      <c r="I7" s="14" t="n"/>
    </row>
    <row r="8">
      <c r="A8" s="14" t="inlineStr">
        <is>
          <t>CFG-026</t>
        </is>
      </c>
      <c r="B8" s="14" t="inlineStr">
        <is>
          <t>Financial statement formats and account schedules</t>
        </is>
      </c>
      <c r="C8" s="14" t="inlineStr">
        <is>
          <t>The lines of the financial statements and MIS formats and the accounts in each, as Comptrollership reports them</t>
        </is>
      </c>
      <c r="D8" s="14" t="inlineStr">
        <is>
          <t>BRD-05</t>
        </is>
      </c>
      <c r="E8" s="14" t="inlineStr">
        <is>
          <t>Head, Comptrollership</t>
        </is>
      </c>
      <c r="F8" s="14" t="inlineStr">
        <is>
          <t>Finance › Accounting Reports › Account Schedules</t>
        </is>
      </c>
      <c r="G8" s="14" t="inlineStr">
        <is>
          <t>16-Jul-2027 – Values for UAT</t>
        </is>
      </c>
      <c r="H8" s="14" t="inlineStr">
        <is>
          <t>Not started</t>
        </is>
      </c>
      <c r="I8" s="14" t="n"/>
    </row>
    <row r="9">
      <c r="A9" s="14" t="inlineStr">
        <is>
          <t>CFG-027</t>
        </is>
      </c>
      <c r="B9" s="14" t="inlineStr">
        <is>
          <t>Recurring journals</t>
        </is>
      </c>
      <c r="C9" s="14" t="inlineStr">
        <is>
          <t>The monthly accruals and allocations Comptrollership posts as recurring journals from January 2028</t>
        </is>
      </c>
      <c r="D9" s="14" t="inlineStr">
        <is>
          <t>BRD-05</t>
        </is>
      </c>
      <c r="E9" s="14" t="inlineStr">
        <is>
          <t>Head, Comptrollership</t>
        </is>
      </c>
      <c r="F9" s="14" t="inlineStr">
        <is>
          <t>Finance › General Ledger › Recurring Journals</t>
        </is>
      </c>
      <c r="G9" s="14" t="inlineStr">
        <is>
          <t>1-Nov-2027 – Production values before the dress rehearsal</t>
        </is>
      </c>
      <c r="H9" s="14" t="inlineStr">
        <is>
          <t>Not started</t>
        </is>
      </c>
      <c r="I9" s="14" t="n"/>
    </row>
    <row r="10">
      <c r="A10" s="14" t="inlineStr">
        <is>
          <t>CFG-028</t>
        </is>
      </c>
      <c r="B10" s="14" t="inlineStr">
        <is>
          <t>Asset categories</t>
        </is>
      </c>
      <c r="C10" s="14" t="inlineStr">
        <is>
          <t>Fixed-asset categories with their useful life, method and accounts</t>
        </is>
      </c>
      <c r="D10" s="14" t="inlineStr">
        <is>
          <t>BRD-05</t>
        </is>
      </c>
      <c r="E10" s="14" t="inlineStr">
        <is>
          <t>Head, Comptrollership</t>
        </is>
      </c>
      <c r="F10" s="14" t="inlineStr">
        <is>
          <t>Finance › Assets &amp; Investments › Asset Categories</t>
        </is>
      </c>
      <c r="G10" s="14" t="inlineStr">
        <is>
          <t>16-Jul-2027 – Values for UAT</t>
        </is>
      </c>
      <c r="H10" s="14" t="inlineStr">
        <is>
          <t>Not started</t>
        </is>
      </c>
      <c r="I10" s="14" t="n"/>
    </row>
    <row r="11">
      <c r="A11" s="14" t="inlineStr">
        <is>
          <t>CFG-029</t>
        </is>
      </c>
      <c r="B11" s="14" t="inlineStr">
        <is>
          <t>Investment portfolios</t>
        </is>
      </c>
      <c r="C11" s="14" t="inlineStr">
        <is>
          <t>The investment portfolios and their accounts, when BDOI keeps investments in BIBS</t>
        </is>
      </c>
      <c r="D11" s="14" t="inlineStr">
        <is>
          <t>BRD-05</t>
        </is>
      </c>
      <c r="E11" s="14" t="inlineStr">
        <is>
          <t>Head, Comptrollership</t>
        </is>
      </c>
      <c r="F11" s="14" t="inlineStr">
        <is>
          <t>Finance › Assets &amp; Investments › Investment Portfolios</t>
        </is>
      </c>
      <c r="G11" s="14" t="inlineStr">
        <is>
          <t>16-Jul-2027 – Values for UAT</t>
        </is>
      </c>
      <c r="H11" s="14" t="inlineStr">
        <is>
          <t>Not started</t>
        </is>
      </c>
      <c r="I11" s="14" t="n"/>
    </row>
    <row r="12">
      <c r="A12" s="14" t="inlineStr">
        <is>
          <t>CFG-030</t>
        </is>
      </c>
      <c r="B12" s="14" t="inlineStr">
        <is>
          <t>GL-SL reconciliation controls (ACSL)</t>
        </is>
      </c>
      <c r="C12" s="14" t="inlineStr">
        <is>
          <t>The control accounts reconciled against their sub-ledgers and the tolerance of each</t>
        </is>
      </c>
      <c r="D12" s="14" t="inlineStr">
        <is>
          <t>BRD-05</t>
        </is>
      </c>
      <c r="E12" s="14" t="inlineStr">
        <is>
          <t>Head, Comptrollership</t>
        </is>
      </c>
      <c r="F12" s="14" t="inlineStr">
        <is>
          <t>Finance › ACSL › GL-SL Reconciliation</t>
        </is>
      </c>
      <c r="G12" s="14" t="inlineStr">
        <is>
          <t>16-Jul-2027 – Values for UAT</t>
        </is>
      </c>
      <c r="H12" s="14" t="inlineStr">
        <is>
          <t>Not started</t>
        </is>
      </c>
      <c r="I12" s="14" t="n"/>
    </row>
    <row r="13">
      <c r="A13" s="14" t="inlineStr">
        <is>
          <t>CFG-031</t>
        </is>
      </c>
      <c r="B13" s="14" t="inlineStr">
        <is>
          <t>Service fee rates</t>
        </is>
      </c>
      <c r="C13" s="14" t="inlineStr">
        <is>
          <t>The service fee rates per segment and their recipients</t>
        </is>
      </c>
      <c r="D13" s="14" t="inlineStr">
        <is>
          <t>BRD-05</t>
        </is>
      </c>
      <c r="E13" s="14" t="inlineStr">
        <is>
          <t>Head, Comptrollership</t>
        </is>
      </c>
      <c r="F13" s="14" t="inlineStr">
        <is>
          <t>Finance › Accounting Reports › Service Fee Rates</t>
        </is>
      </c>
      <c r="G13" s="14" t="inlineStr">
        <is>
          <t>16-Jul-2027 – Values for UAT</t>
        </is>
      </c>
      <c r="H13" s="14" t="inlineStr">
        <is>
          <t>Not started</t>
        </is>
      </c>
      <c r="I13" s="14" t="n"/>
    </row>
    <row r="14">
      <c r="A14" s="14" t="inlineStr">
        <is>
          <t>CFG-044</t>
        </is>
      </c>
      <c r="B14" s="14" t="inlineStr">
        <is>
          <t>Payment file layouts of the collection channels</t>
        </is>
      </c>
      <c r="C14" s="14" t="inlineStr">
        <is>
          <t>Confirmation of the payment files received from Bills Payment, Trade, Direct Credit, CLPC and PMS and their field names</t>
        </is>
      </c>
      <c r="D14" s="14" t="inlineStr">
        <is>
          <t>BRD-02</t>
        </is>
      </c>
      <c r="E14" s="14" t="inlineStr">
        <is>
          <t>Head, Operations Services</t>
        </is>
      </c>
      <c r="F14" s="14" t="inlineStr">
        <is>
          <t>Finance › Cashiering › Cashiering Setup</t>
        </is>
      </c>
      <c r="G14" s="14" t="inlineStr">
        <is>
          <t>16-Jul-2027 – Values for UAT</t>
        </is>
      </c>
      <c r="H14" s="14" t="inlineStr">
        <is>
          <t>Not started</t>
        </is>
      </c>
      <c r="I14" s="14" t="n"/>
    </row>
    <row r="15">
      <c r="A15" s="14" t="inlineStr">
        <is>
          <t>CFG-072</t>
        </is>
      </c>
      <c r="B15" s="14" t="inlineStr">
        <is>
          <t>Exception codes and alert thresholds</t>
        </is>
      </c>
      <c r="C15" s="14" t="inlineStr">
        <is>
          <t>Which exceptions raise an alert, with their severity and the amount or day threshold of each</t>
        </is>
      </c>
      <c r="D15" s="14" t="inlineStr">
        <is>
          <t>BRD-00</t>
        </is>
      </c>
      <c r="E15" s="14" t="inlineStr">
        <is>
          <t>BDOI IT</t>
        </is>
      </c>
      <c r="F15" s="14" t="inlineStr">
        <is>
          <t>Setup &amp; Administration › Administration › Exception Codes</t>
        </is>
      </c>
      <c r="G15" s="14" t="inlineStr">
        <is>
          <t>16-Jul-2027 – Values for UAT</t>
        </is>
      </c>
      <c r="H15" s="14" t="inlineStr">
        <is>
          <t>Not started</t>
        </is>
      </c>
      <c r="I15" s="14" t="n"/>
    </row>
    <row r="16">
      <c r="A16" s="14" t="inlineStr">
        <is>
          <t>CFG-073</t>
        </is>
      </c>
      <c r="B16" s="14" t="inlineStr">
        <is>
          <t>Scheduled job times</t>
        </is>
      </c>
      <c r="C16" s="14" t="inlineStr">
        <is>
          <t>The run time of each daily and monthly job in Philippine time, and the blackout windows</t>
        </is>
      </c>
      <c r="D16" s="14" t="inlineStr">
        <is>
          <t>BRD-00</t>
        </is>
      </c>
      <c r="E16" s="14" t="inlineStr">
        <is>
          <t>BDOI IT</t>
        </is>
      </c>
      <c r="F16" s="14" t="inlineStr">
        <is>
          <t>Setup &amp; Administration › Administration › Scheduled Jobs</t>
        </is>
      </c>
      <c r="G16" s="14" t="inlineStr">
        <is>
          <t>16-Jul-2027 – Values for UAT</t>
        </is>
      </c>
      <c r="H16" s="14" t="inlineStr">
        <is>
          <t>Not started</t>
        </is>
      </c>
      <c r="I16" s="14" t="n"/>
    </row>
    <row r="17">
      <c r="A17" s="14" t="inlineStr">
        <is>
          <t>CFG-074</t>
        </is>
      </c>
      <c r="B17" s="14" t="inlineStr">
        <is>
          <t>Data retention rules</t>
        </is>
      </c>
      <c r="C17" s="14" t="inlineStr">
        <is>
          <t>Years online and in the archive per record type, and the action at the end, as Compliance sets them</t>
        </is>
      </c>
      <c r="D17" s="14" t="inlineStr">
        <is>
          <t>BRD-10</t>
        </is>
      </c>
      <c r="E17" s="14" t="inlineStr">
        <is>
          <t>Compliance</t>
        </is>
      </c>
      <c r="F17" s="14" t="inlineStr">
        <is>
          <t>Setup &amp; Administration › Broking Setup › Data Retention</t>
        </is>
      </c>
      <c r="G17" s="14" t="inlineStr">
        <is>
          <t>16-Jul-2027 – Values for UAT</t>
        </is>
      </c>
      <c r="H17" s="14" t="inlineStr">
        <is>
          <t>Not started</t>
        </is>
      </c>
      <c r="I17" s="14" t="n"/>
    </row>
    <row r="18">
      <c r="A18" s="14" t="inlineStr">
        <is>
          <t>CFG-075</t>
        </is>
      </c>
      <c r="B18" s="14" t="inlineStr">
        <is>
          <t>Directory sign-in and provisioning (EIAM, UIDM-ISC)</t>
        </is>
      </c>
      <c r="C18" s="14" t="inlineStr">
        <is>
          <t>The sign-in mode, the EIAM tenant and claims, and the UIDM-ISC option (clarifications CLR-UA-01 and CLR-UA-03)</t>
        </is>
      </c>
      <c r="D18" s="14" t="inlineStr">
        <is>
          <t>BRD-00</t>
        </is>
      </c>
      <c r="E18" s="14" t="inlineStr">
        <is>
          <t>BDOI IT</t>
        </is>
      </c>
      <c r="F18" s="14" t="inlineStr">
        <is>
          <t>Setup &amp; Administration › Administration › System Parameters</t>
        </is>
      </c>
      <c r="G18" s="14" t="inlineStr">
        <is>
          <t>1-Dec-2026 – Drafts with the Drop 0 sign-off</t>
        </is>
      </c>
      <c r="H18" s="14" t="inlineStr">
        <is>
          <t>Not started</t>
        </is>
      </c>
      <c r="I18" s="14" t="n"/>
    </row>
    <row r="19">
      <c r="A19" s="14" t="inlineStr">
        <is>
          <t>CFG-083</t>
        </is>
      </c>
      <c r="B19" s="14" t="inlineStr">
        <is>
          <t>Screening forms and STR layout</t>
        </is>
      </c>
      <c r="C19" s="14" t="inlineStr">
        <is>
          <t>The screening forms and the STR report layout Compliance submits</t>
        </is>
      </c>
      <c r="D19" s="14" t="inlineStr">
        <is>
          <t>BRD-10</t>
        </is>
      </c>
      <c r="E19" s="14" t="inlineStr">
        <is>
          <t>Compliance</t>
        </is>
      </c>
      <c r="F19" s="14" t="inlineStr">
        <is>
          <t>Setup &amp; Administration › Compliance Setup › Templates</t>
        </is>
      </c>
      <c r="G19" s="14" t="inlineStr">
        <is>
          <t>16-Jul-2027 – Values for UAT</t>
        </is>
      </c>
      <c r="H19" s="14" t="inlineStr">
        <is>
          <t>Not started</t>
        </is>
      </c>
      <c r="I19" s="14" t="n"/>
    </row>
    <row r="20">
      <c r="A20" s="14" t="inlineStr">
        <is>
          <t>CFG-102</t>
        </is>
      </c>
      <c r="B20" s="14" t="inlineStr">
        <is>
          <t>Business partners other than insurers (suppliers, service providers)</t>
        </is>
      </c>
      <c r="C20" s="14" t="inlineStr">
        <is>
          <t>Suppliers and other partners paid through Payables, with TIN, address and bank details</t>
        </is>
      </c>
      <c r="D20" s="14" t="inlineStr">
        <is>
          <t>BRD-05</t>
        </is>
      </c>
      <c r="E20" s="14" t="inlineStr">
        <is>
          <t>Head, Comptrollership</t>
        </is>
      </c>
      <c r="F20" s="14" t="inlineStr">
        <is>
          <t>Setup &amp; Administration › Setup › Business Partners</t>
        </is>
      </c>
      <c r="G20" s="14" t="inlineStr">
        <is>
          <t>16-Jul-2027 – Values for UAT</t>
        </is>
      </c>
      <c r="H20" s="14" t="inlineStr">
        <is>
          <t>Not started</t>
        </is>
      </c>
      <c r="I20" s="14" t="n"/>
    </row>
    <row r="21">
      <c r="A21" s="14" t="inlineStr">
        <is>
          <t>CFG-104</t>
        </is>
      </c>
      <c r="B21" s="14" t="inlineStr">
        <is>
          <t>Insurer location references (claims)</t>
        </is>
      </c>
      <c r="C21" s="14" t="inlineStr">
        <is>
          <t>The claim location references of each insurer, entered or uploaded on Insurer Location References</t>
        </is>
      </c>
      <c r="D21" s="14" t="inlineStr">
        <is>
          <t>BRD-07</t>
        </is>
      </c>
      <c r="E21" s="14" t="inlineStr">
        <is>
          <t>Product Owner, Claims</t>
        </is>
      </c>
      <c r="F21" s="14" t="inlineStr">
        <is>
          <t>Claims &amp; Insurance › Claims Handling › Insurer Location References</t>
        </is>
      </c>
      <c r="G21" s="14" t="inlineStr">
        <is>
          <t>16-Jul-2027 – Values for UAT</t>
        </is>
      </c>
      <c r="H21" s="14" t="inlineStr">
        <is>
          <t>Not started</t>
        </is>
      </c>
      <c r="I21" s="14" t="n"/>
    </row>
    <row r="22">
      <c r="A22" s="14" t="inlineStr">
        <is>
          <t>CFG-115</t>
        </is>
      </c>
      <c r="B22" s="14" t="inlineStr">
        <is>
          <t>User scope of Submitted Policies</t>
        </is>
      </c>
      <c r="C22" s="14" t="inlineStr">
        <is>
          <t>The segments and units each Submitted Policies user may see</t>
        </is>
      </c>
      <c r="D22" s="14" t="inlineStr">
        <is>
          <t>BRD-12</t>
        </is>
      </c>
      <c r="E22" s="14" t="inlineStr">
        <is>
          <t>Product Owner, Submitted Policies</t>
        </is>
      </c>
      <c r="F22" s="14" t="inlineStr">
        <is>
          <t>Client &amp; Policy › Submitted Policies › Submitted Policies Setup</t>
        </is>
      </c>
      <c r="G22" s="14" t="inlineStr">
        <is>
          <t>16-Jul-2027 – Values for UAT</t>
        </is>
      </c>
      <c r="H22" s="14" t="inlineStr">
        <is>
          <t>Not started</t>
        </is>
      </c>
      <c r="I22" s="14" t="n"/>
    </row>
    <row r="23">
      <c r="A23" s="14" t="inlineStr">
        <is>
          <t>CFG-120</t>
        </is>
      </c>
      <c r="B23" s="14" t="inlineStr">
        <is>
          <t>Booking rules and incentive rules</t>
        </is>
      </c>
      <c r="C23" s="14" t="inlineStr">
        <is>
          <t>The automatic booking rules and the booking incentive rules</t>
        </is>
      </c>
      <c r="D23" s="14" t="inlineStr">
        <is>
          <t>BRD-01</t>
        </is>
      </c>
      <c r="E23" s="14" t="inlineStr">
        <is>
          <t>Product Owner, BDOI (New Business)</t>
        </is>
      </c>
      <c r="F23" s="14" t="inlineStr">
        <is>
          <t>Client &amp; Policy › Booking › Booking Setup</t>
        </is>
      </c>
      <c r="G23" s="14" t="inlineStr">
        <is>
          <t>16-Jul-2027 – Values for UAT</t>
        </is>
      </c>
      <c r="H23" s="14" t="inlineStr">
        <is>
          <t>Not started</t>
        </is>
      </c>
      <c r="I23" s="14" t="n"/>
    </row>
    <row r="24">
      <c r="A24" s="14" t="inlineStr">
        <is>
          <t>CFG-121</t>
        </is>
      </c>
      <c r="B24" s="14" t="inlineStr">
        <is>
          <t>Remittance incentive rules</t>
        </is>
      </c>
      <c r="C24" s="14" t="inlineStr">
        <is>
          <t>The incentive deductions applied at remittance</t>
        </is>
      </c>
      <c r="D24" s="14" t="inlineStr">
        <is>
          <t>BRD-02</t>
        </is>
      </c>
      <c r="E24" s="14" t="inlineStr">
        <is>
          <t>Head, Operations Services</t>
        </is>
      </c>
      <c r="F24" s="14" t="inlineStr">
        <is>
          <t>Finance › Remittance › Incentive Rules</t>
        </is>
      </c>
      <c r="G24" s="14" t="inlineStr">
        <is>
          <t>16-Jul-2027 – Values for UAT</t>
        </is>
      </c>
      <c r="H24" s="14" t="inlineStr">
        <is>
          <t>Not started</t>
        </is>
      </c>
      <c r="I24" s="14" t="n"/>
    </row>
    <row r="25">
      <c r="A25" s="14" t="inlineStr">
        <is>
          <t>CFG-122</t>
        </is>
      </c>
      <c r="B25" s="14" t="inlineStr">
        <is>
          <t>Commission incentive schemes</t>
        </is>
      </c>
      <c r="C25" s="14" t="inlineStr">
        <is>
          <t>The commission incentive schemes and their rates</t>
        </is>
      </c>
      <c r="D25" s="14" t="inlineStr">
        <is>
          <t>BRD-04</t>
        </is>
      </c>
      <c r="E25" s="14" t="inlineStr">
        <is>
          <t>VP and Head, BDOI Operations (Collections)</t>
        </is>
      </c>
      <c r="F25" s="14" t="inlineStr">
        <is>
          <t>Finance › Commission Receivables › Incentive Schemes</t>
        </is>
      </c>
      <c r="G25" s="14" t="inlineStr">
        <is>
          <t>16-Jul-2027 – Values for UAT</t>
        </is>
      </c>
      <c r="H25" s="14" t="inlineStr">
        <is>
          <t>Not started</t>
        </is>
      </c>
      <c r="I25" s="14" t="n"/>
    </row>
    <row r="26">
      <c r="A26" s="14" t="inlineStr">
        <is>
          <t>CFG-123</t>
        </is>
      </c>
      <c r="B26" s="14" t="inlineStr">
        <is>
          <t>Collections assignment and escalation rules</t>
        </is>
      </c>
      <c r="C26" s="14" t="inlineStr">
        <is>
          <t>How accounts are assigned to collectors and when they escalate to the team lead and the unit head</t>
        </is>
      </c>
      <c r="D26" s="14" t="inlineStr">
        <is>
          <t>BRD-04</t>
        </is>
      </c>
      <c r="E26" s="14" t="inlineStr">
        <is>
          <t>VP and Head, BDOI Operations (Collections)</t>
        </is>
      </c>
      <c r="F26" s="14" t="inlineStr">
        <is>
          <t>Finance › Collections › Collections Setup</t>
        </is>
      </c>
      <c r="G26" s="14" t="inlineStr">
        <is>
          <t>16-Jul-2027 – Values for UAT</t>
        </is>
      </c>
      <c r="H26" s="14" t="inlineStr">
        <is>
          <t>Not started</t>
        </is>
      </c>
      <c r="I26" s="14" t="n"/>
    </row>
    <row r="27">
      <c r="A27" s="14" t="inlineStr">
        <is>
          <t>CFG-124</t>
        </is>
      </c>
      <c r="B27" s="14" t="inlineStr">
        <is>
          <t>Renewal buckets and decision matrix</t>
        </is>
      </c>
      <c r="C27" s="14" t="inlineStr">
        <is>
          <t>The renewal bucket rules, the decision matrix and the non-renewable risk codes</t>
        </is>
      </c>
      <c r="D27" s="14" t="inlineStr">
        <is>
          <t>BRD-06</t>
        </is>
      </c>
      <c r="E27" s="14" t="inlineStr">
        <is>
          <t>Product Owner, Renewal</t>
        </is>
      </c>
      <c r="F27" s="14" t="inlineStr">
        <is>
          <t>Client &amp; Policy › Renewal › Renewal Setup</t>
        </is>
      </c>
      <c r="G27" s="14" t="inlineStr">
        <is>
          <t>16-Jul-2027 – Values for UAT</t>
        </is>
      </c>
      <c r="H27" s="14" t="inlineStr">
        <is>
          <t>Not started</t>
        </is>
      </c>
      <c r="I27" s="14" t="n"/>
    </row>
    <row r="28">
      <c r="A28" s="14" t="inlineStr">
        <is>
          <t>CFG-125</t>
        </is>
      </c>
      <c r="B28" s="14" t="inlineStr">
        <is>
          <t>Submitted Policies rules, limits and letters</t>
        </is>
      </c>
      <c r="C28" s="14" t="inlineStr">
        <is>
          <t>The processing rules, insurer rules and limits, and the letter rules of Submitted Policies</t>
        </is>
      </c>
      <c r="D28" s="14" t="inlineStr">
        <is>
          <t>BRD-12</t>
        </is>
      </c>
      <c r="E28" s="14" t="inlineStr">
        <is>
          <t>Product Owner, Submitted Policies</t>
        </is>
      </c>
      <c r="F28" s="14" t="inlineStr">
        <is>
          <t>Client &amp; Policy › Submitted Policies › Submitted Policies Setup</t>
        </is>
      </c>
      <c r="G28" s="14" t="inlineStr">
        <is>
          <t>16-Jul-2027 – Values for UAT</t>
        </is>
      </c>
      <c r="H28" s="14" t="inlineStr">
        <is>
          <t>Not started</t>
        </is>
      </c>
      <c r="I28" s="14" t="n"/>
    </row>
    <row r="29">
      <c r="A29" s="14" t="inlineStr">
        <is>
          <t>CFG-126</t>
        </is>
      </c>
      <c r="B29" s="14" t="inlineStr">
        <is>
          <t>Screening configuration</t>
        </is>
      </c>
      <c r="C29" s="14" t="inlineStr">
        <is>
          <t>Match rules, risk categories and rules, assignment, service levels and validation rules of Sanction Screening</t>
        </is>
      </c>
      <c r="D29" s="14" t="inlineStr">
        <is>
          <t>BRD-10</t>
        </is>
      </c>
      <c r="E29" s="14" t="inlineStr">
        <is>
          <t>Compliance</t>
        </is>
      </c>
      <c r="F29" s="14" t="inlineStr">
        <is>
          <t>Setup &amp; Administration › Compliance Setup › Configuration Versions</t>
        </is>
      </c>
      <c r="G29" s="14" t="inlineStr">
        <is>
          <t>16-Jul-2027 – Values for UAT</t>
        </is>
      </c>
      <c r="H29" s="14" t="inlineStr">
        <is>
          <t>Not started</t>
        </is>
      </c>
      <c r="I29" s="14" t="n"/>
    </row>
    <row r="30">
      <c r="A30" s="14" t="inlineStr">
        <is>
          <t>CFG-127</t>
        </is>
      </c>
      <c r="B30" s="14" t="inlineStr">
        <is>
          <t>Watchlist sources and entries</t>
        </is>
      </c>
      <c r="C30" s="14" t="inlineStr">
        <is>
          <t>The sanctions and PEP list sources, their load schedule and the first load</t>
        </is>
      </c>
      <c r="D30" s="14" t="inlineStr">
        <is>
          <t>BRD-10</t>
        </is>
      </c>
      <c r="E30" s="14" t="inlineStr">
        <is>
          <t>Compliance</t>
        </is>
      </c>
      <c r="F30" s="14" t="inlineStr">
        <is>
          <t>Setup &amp; Administration › Compliance Setup › List Sources and Runs</t>
        </is>
      </c>
      <c r="G30" s="14" t="inlineStr">
        <is>
          <t>16-Jul-2027 – Values for UAT</t>
        </is>
      </c>
      <c r="H30" s="14" t="inlineStr">
        <is>
          <t>Not started</t>
        </is>
      </c>
      <c r="I30" s="14" t="n"/>
    </row>
    <row r="31">
      <c r="A31" s="14" t="inlineStr">
        <is>
          <t>CFG-128</t>
        </is>
      </c>
      <c r="B31" s="14" t="inlineStr">
        <is>
          <t>Employee Benefits set-up</t>
        </is>
      </c>
      <c r="C31" s="14" t="inlineStr">
        <is>
          <t>The required documents per process and the other Employee Benefits settings</t>
        </is>
      </c>
      <c r="D31" s="14" t="inlineStr">
        <is>
          <t>BRD-08</t>
        </is>
      </c>
      <c r="E31" s="14" t="inlineStr">
        <is>
          <t>Product Owner, Employee Benefits</t>
        </is>
      </c>
      <c r="F31" s="14" t="inlineStr">
        <is>
          <t>Client &amp; Policy › Employee Benefits › EB Setup</t>
        </is>
      </c>
      <c r="G31" s="14" t="inlineStr">
        <is>
          <t>16-Jul-2027 – Values for UAT</t>
        </is>
      </c>
      <c r="H31" s="14" t="inlineStr">
        <is>
          <t>Not started</t>
        </is>
      </c>
      <c r="I31" s="14" t="n"/>
    </row>
    <row r="32">
      <c r="A32" s="14" t="inlineStr">
        <is>
          <t>CFG-129</t>
        </is>
      </c>
      <c r="B32" s="14" t="inlineStr">
        <is>
          <t>Claims handlers and set-up</t>
        </is>
      </c>
      <c r="C32" s="14" t="inlineStr">
        <is>
          <t>The claims handlers per unit and the Claims settings</t>
        </is>
      </c>
      <c r="D32" s="14" t="inlineStr">
        <is>
          <t>BRD-07</t>
        </is>
      </c>
      <c r="E32" s="14" t="inlineStr">
        <is>
          <t>Product Owner, Claims</t>
        </is>
      </c>
      <c r="F32" s="14" t="inlineStr">
        <is>
          <t>Claims &amp; Insurance › Claims Handling › Claims Setup</t>
        </is>
      </c>
      <c r="G32" s="14" t="inlineStr">
        <is>
          <t>16-Jul-2027 – Values for UAT</t>
        </is>
      </c>
      <c r="H32" s="14" t="inlineStr">
        <is>
          <t>Not started</t>
        </is>
      </c>
      <c r="I32" s="14" t="n"/>
    </row>
    <row r="33">
      <c r="A33" s="14" t="inlineStr">
        <is>
          <t>CFG-130</t>
        </is>
      </c>
      <c r="B33" s="14" t="inlineStr">
        <is>
          <t>Production reconciliation extract schedules</t>
        </is>
      </c>
      <c r="C33" s="14" t="inlineStr">
        <is>
          <t>The insurers and the schedule of the production extracts sent for reconciliation</t>
        </is>
      </c>
      <c r="D33" s="14" t="inlineStr">
        <is>
          <t>BRD-02</t>
        </is>
      </c>
      <c r="E33" s="14" t="inlineStr">
        <is>
          <t>Head, Operations Services</t>
        </is>
      </c>
      <c r="F33" s="14" t="inlineStr">
        <is>
          <t>Client &amp; Policy › Production Reconciliation › Extract Schedules</t>
        </is>
      </c>
      <c r="G33" s="14" t="inlineStr">
        <is>
          <t>16-Jul-2027 – Values for UAT</t>
        </is>
      </c>
      <c r="H33" s="14" t="inlineStr">
        <is>
          <t>Not started</t>
        </is>
      </c>
      <c r="I33" s="14" t="n"/>
    </row>
    <row r="34">
      <c r="A34" s="14" t="inlineStr">
        <is>
          <t>CFG-131</t>
        </is>
      </c>
      <c r="B34" s="14" t="inlineStr">
        <is>
          <t>New Business report variants</t>
        </is>
      </c>
      <c r="C34" s="14" t="inlineStr">
        <is>
          <t>The report variants the units use</t>
        </is>
      </c>
      <c r="D34" s="14" t="inlineStr">
        <is>
          <t>BRD-01</t>
        </is>
      </c>
      <c r="E34" s="14" t="inlineStr">
        <is>
          <t>Product Owner, BDOI (New Business)</t>
        </is>
      </c>
      <c r="F34" s="14" t="inlineStr">
        <is>
          <t>Reports › New Business Reports › New Business Reports</t>
        </is>
      </c>
      <c r="G34" s="14" t="inlineStr">
        <is>
          <t>16-Jul-2027 – Values for UAT</t>
        </is>
      </c>
      <c r="H34" s="14" t="inlineStr">
        <is>
          <t>Not started</t>
        </is>
      </c>
      <c r="I34" s="14" t="n"/>
    </row>
  </sheetData>
  <autoFilter ref="A4:I34"/>
  <conditionalFormatting sqref="H5:H34">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I34">
    <cfRule type="expression" priority="6" dxfId="7">
      <formula>AND(MOD(ROW(),2)=0,$A5&lt;&gt;"")</formula>
    </cfRule>
  </conditionalFormatting>
  <dataValidations count="1">
    <dataValidation sqref="H5:H34" showDropDown="0" showInputMessage="1" showErrorMessage="1" allowBlank="1" errorTitle="Status" error="Choose a value of the list Status (sheet Reference lists)." promptTitle="Status" prompt="Status of the item"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64.xml><?xml version="1.0" encoding="utf-8"?>
<worksheet xmlns="http://schemas.openxmlformats.org/spreadsheetml/2006/main">
  <sheetPr>
    <outlinePr summaryBelow="1" summaryRight="1"/>
    <pageSetUpPr fitToPage="1"/>
  </sheetPr>
  <dimension ref="A1:J16"/>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30" customWidth="1" min="3" max="3"/>
    <col width="9" customWidth="1" min="4" max="4"/>
    <col width="30" customWidth="1" min="5" max="5"/>
    <col width="34" customWidth="1" min="6" max="6"/>
    <col width="8" customWidth="1" min="7" max="7"/>
    <col width="9" customWidth="1" min="8" max="8"/>
    <col width="24" customWidth="1" min="9" max="9"/>
    <col width="60" customWidth="1" min="10" max="10"/>
  </cols>
  <sheetData>
    <row r="1" ht="26" customHeight="1">
      <c r="A1" s="25" t="inlineStr">
        <is>
          <t>Gaps</t>
        </is>
      </c>
    </row>
    <row r="2">
      <c r="A2" s="27" t="inlineStr">
        <is>
          <t>← Back to Start here</t>
        </is>
      </c>
      <c r="B2" s="55" t="inlineStr">
        <is>
          <t>Datasets whose template rows the platform cannot take by file (keyed on the screen from the filled-in template), and data BDOI may need that BIBS does not hold (asked as a question in the BDOI Requirements and Inputs workbook)</t>
        </is>
      </c>
    </row>
    <row r="4" ht="30" customHeight="1">
      <c r="A4" s="11" t="inlineStr">
        <is>
          <t>Kind of gap</t>
        </is>
      </c>
      <c r="B4" s="11" t="inlineStr">
        <is>
          <t>Template or question</t>
        </is>
      </c>
      <c r="C4" s="11" t="inlineStr">
        <is>
          <t>Dataset</t>
        </is>
      </c>
      <c r="D4" s="11" t="inlineStr">
        <is>
          <t>BRD</t>
        </is>
      </c>
      <c r="E4" s="11" t="inlineStr">
        <is>
          <t>Provided by</t>
        </is>
      </c>
      <c r="F4" s="11" t="inlineStr">
        <is>
          <t>Keyed on</t>
        </is>
      </c>
      <c r="G4" s="11" t="inlineStr">
        <is>
          <t>Columns</t>
        </is>
      </c>
      <c r="H4" s="11" t="inlineStr">
        <is>
          <t>Mandatory</t>
        </is>
      </c>
      <c r="I4" s="11" t="inlineStr">
        <is>
          <t>Due</t>
        </is>
      </c>
      <c r="J4" s="11" t="inlineStr">
        <is>
          <t>How the rows get into BIBS, or what is asked</t>
        </is>
      </c>
    </row>
    <row r="5">
      <c r="A5" s="14" t="inlineStr">
        <is>
          <t>No upload route: keyed on the screen from the template</t>
        </is>
      </c>
      <c r="B5" s="56" t="inlineStr">
        <is>
          <t>MD-02</t>
        </is>
      </c>
      <c r="C5" s="14" t="inlineStr">
        <is>
          <t>Currencies</t>
        </is>
      </c>
      <c r="D5" s="14" t="inlineStr">
        <is>
          <t>BRD-05</t>
        </is>
      </c>
      <c r="E5" s="14" t="inlineStr">
        <is>
          <t>Head, Comptrollership (Treasury)</t>
        </is>
      </c>
      <c r="F5" s="14" t="inlineStr">
        <is>
          <t>Setup &amp; Administration › Setup › Currencies &amp; Rates</t>
        </is>
      </c>
      <c r="G5" s="14" t="n">
        <v>5</v>
      </c>
      <c r="H5" s="14" t="n">
        <v>4</v>
      </c>
      <c r="I5" s="14" t="inlineStr">
        <is>
          <t>4-Jan-2027 – Platform set-up for Drop 1 SIT</t>
        </is>
      </c>
      <c r="J5" s="14" t="inlineStr">
        <is>
          <t>Configuration screen – no upload: BDOI fills in this template and the rows are keyed on the screen, each record authorised by a second user</t>
        </is>
      </c>
    </row>
    <row r="6">
      <c r="A6" s="14" t="inlineStr">
        <is>
          <t>No upload route: keyed on the screen from the template</t>
        </is>
      </c>
      <c r="B6" s="56" t="inlineStr">
        <is>
          <t>MD-03</t>
        </is>
      </c>
      <c r="C6" s="14" t="inlineStr">
        <is>
          <t>Exchange rates and their source</t>
        </is>
      </c>
      <c r="D6" s="14" t="inlineStr">
        <is>
          <t>BRD-05</t>
        </is>
      </c>
      <c r="E6" s="14" t="inlineStr">
        <is>
          <t>Head, Comptrollership (Treasury)</t>
        </is>
      </c>
      <c r="F6" s="14" t="inlineStr">
        <is>
          <t>Setup &amp; Administration › Setup › Currencies &amp; Rates</t>
        </is>
      </c>
      <c r="G6" s="14" t="n">
        <v>4</v>
      </c>
      <c r="H6" s="14" t="n">
        <v>4</v>
      </c>
      <c r="I6" s="14" t="inlineStr">
        <is>
          <t>16-Jul-2027 – Values for UAT</t>
        </is>
      </c>
      <c r="J6" s="14" t="inlineStr">
        <is>
          <t>Configuration screen – no upload: BDOI fills in this template and the rows are keyed on the screen, each record authorised by a second user</t>
        </is>
      </c>
    </row>
    <row r="7">
      <c r="A7" s="14" t="inlineStr">
        <is>
          <t>No upload route: keyed on the screen from the template</t>
        </is>
      </c>
      <c r="B7" s="56" t="inlineStr">
        <is>
          <t>TX-02</t>
        </is>
      </c>
      <c r="C7" s="14" t="inlineStr">
        <is>
          <t>Tax forms and filing calendar</t>
        </is>
      </c>
      <c r="D7" s="14" t="inlineStr">
        <is>
          <t>BRD-05</t>
        </is>
      </c>
      <c r="E7" s="14" t="inlineStr">
        <is>
          <t>Head, Comptrollership (Tax)</t>
        </is>
      </c>
      <c r="F7" s="14" t="inlineStr">
        <is>
          <t>Finance › Tax &amp; Statutory › Tax Codes &amp; Forms</t>
        </is>
      </c>
      <c r="G7" s="14" t="n">
        <v>10</v>
      </c>
      <c r="H7" s="14" t="n">
        <v>8</v>
      </c>
      <c r="I7" s="14" t="inlineStr">
        <is>
          <t>16-Jul-2027 – Values for UAT</t>
        </is>
      </c>
      <c r="J7" s="14" t="inlineStr">
        <is>
          <t>Configuration screen – no upload: BDOI fills in this template and the rows are keyed on the screen, each record authorised by a second user</t>
        </is>
      </c>
    </row>
    <row r="8">
      <c r="A8" s="14" t="inlineStr">
        <is>
          <t>No upload route: keyed on the screen from the template</t>
        </is>
      </c>
      <c r="B8" s="56" t="inlineStr">
        <is>
          <t>TX-01</t>
        </is>
      </c>
      <c r="C8" s="14" t="inlineStr">
        <is>
          <t>Party tax profiles (clients, insurers, payees)</t>
        </is>
      </c>
      <c r="D8" s="14" t="inlineStr">
        <is>
          <t>BRD-05</t>
        </is>
      </c>
      <c r="E8" s="14" t="inlineStr">
        <is>
          <t>Head, Comptrollership (Tax)</t>
        </is>
      </c>
      <c r="F8" s="14" t="inlineStr">
        <is>
          <t>Finance › Tax &amp; Statutory › Party Tax Profiles</t>
        </is>
      </c>
      <c r="G8" s="14" t="n">
        <v>18</v>
      </c>
      <c r="H8" s="14" t="n">
        <v>4</v>
      </c>
      <c r="I8" s="14" t="inlineStr">
        <is>
          <t>16-Jul-2027 – Values for UAT</t>
        </is>
      </c>
      <c r="J8" s="14" t="inlineStr">
        <is>
          <t>Configuration screen – no upload: BDOI fills in this template and the rows are keyed on the screen, each record authorised by a second user</t>
        </is>
      </c>
    </row>
    <row r="9">
      <c r="A9" s="14" t="inlineStr">
        <is>
          <t>Not held by BIBS: question to BDOI</t>
        </is>
      </c>
      <c r="B9" s="14" t="inlineStr">
        <is>
          <t>MD-Q02</t>
        </is>
      </c>
      <c r="C9" s="14" t="inlineStr">
        <is>
          <t>Geographic master (province, city / municipality, barangay, ZIP) and the LGU of the LGT</t>
        </is>
      </c>
      <c r="D9" s="14" t="inlineStr">
        <is>
          <t>BRD-01</t>
        </is>
      </c>
      <c r="E9" s="14" t="inlineStr">
        <is>
          <t>Product Owner, New Business</t>
        </is>
      </c>
      <c r="F9" s="14" t="inlineStr">
        <is>
          <t>-</t>
        </is>
      </c>
      <c r="G9" s="14" t="n"/>
      <c r="H9" s="14" t="n"/>
      <c r="I9" s="14" t="inlineStr">
        <is>
          <t>30-Nov-2026</t>
        </is>
      </c>
      <c r="J9" s="14" t="inlineStr">
        <is>
          <t>Addresses are free text (address, city, province, postal code); LGT follows the insurer branch rate (R04B), not the LGU Question MD-Q02 of the BDOI Requirements and Inputs workbook.</t>
        </is>
      </c>
    </row>
    <row r="10">
      <c r="A10" s="14" t="inlineStr">
        <is>
          <t>Not held by BIBS: question to BDOI</t>
        </is>
      </c>
      <c r="B10" s="14" t="inlineStr">
        <is>
          <t>MD-Q03</t>
        </is>
      </c>
      <c r="C10" s="14" t="inlineStr">
        <is>
          <t>Motor vehicle master (make, model, body type, FMV / depreciation schedule)</t>
        </is>
      </c>
      <c r="D10" s="14" t="inlineStr">
        <is>
          <t>BRD-01</t>
        </is>
      </c>
      <c r="E10" s="14" t="inlineStr">
        <is>
          <t>Product Owner, New Business</t>
        </is>
      </c>
      <c r="F10" s="14" t="inlineStr">
        <is>
          <t>-</t>
        </is>
      </c>
      <c r="G10" s="14" t="n"/>
      <c r="H10" s="14" t="n"/>
      <c r="I10" s="14" t="inlineStr">
        <is>
          <t>30-Nov-2026</t>
        </is>
      </c>
      <c r="J10" s="14" t="inlineStr">
        <is>
          <t>Make and model are free text; motor rating uses the sum insured, the own damage factor and the rate, with no FMV or depreciation schedule Question MD-Q03 of the BDOI Requirements and Inputs workbook.</t>
        </is>
      </c>
    </row>
    <row r="11">
      <c r="A11" s="14" t="inlineStr">
        <is>
          <t>Not held by BIBS: question to BDOI</t>
        </is>
      </c>
      <c r="B11" s="14" t="inlineStr">
        <is>
          <t>MD-Q04</t>
        </is>
      </c>
      <c r="C11" s="14" t="inlineStr">
        <is>
          <t>Industry codes (PSIC)</t>
        </is>
      </c>
      <c r="D11" s="14" t="inlineStr">
        <is>
          <t>BRD-10</t>
        </is>
      </c>
      <c r="E11" s="14" t="inlineStr">
        <is>
          <t>Compliance Officer</t>
        </is>
      </c>
      <c r="F11" s="14" t="inlineStr">
        <is>
          <t>-</t>
        </is>
      </c>
      <c r="G11" s="14" t="n"/>
      <c r="H11" s="14" t="n"/>
      <c r="I11" s="14" t="inlineStr">
        <is>
          <t>30-Nov-2026</t>
        </is>
      </c>
      <c r="J11" s="14" t="inlineStr">
        <is>
          <t>No industry field on the client Question MD-Q04 of the BDOI Requirements and Inputs workbook.</t>
        </is>
      </c>
    </row>
    <row r="12">
      <c r="A12" s="14" t="inlineStr">
        <is>
          <t>Not held by BIBS: question to BDOI</t>
        </is>
      </c>
      <c r="B12" s="14" t="inlineStr">
        <is>
          <t>MD-Q04</t>
        </is>
      </c>
      <c r="C12" s="14" t="inlineStr">
        <is>
          <t>Countries and nationalities for KYC / AML</t>
        </is>
      </c>
      <c r="D12" s="14" t="inlineStr">
        <is>
          <t>BRD-10</t>
        </is>
      </c>
      <c r="E12" s="14" t="inlineStr">
        <is>
          <t>Compliance Officer</t>
        </is>
      </c>
      <c r="F12" s="14" t="inlineStr">
        <is>
          <t>-</t>
        </is>
      </c>
      <c r="G12" s="14" t="n"/>
      <c r="H12" s="14" t="n"/>
      <c r="I12" s="14" t="inlineStr">
        <is>
          <t>30-Nov-2026</t>
        </is>
      </c>
      <c r="J12" s="14" t="inlineStr">
        <is>
          <t>Nationality is a list; there is no country list for addresses or residence Question MD-Q04 of the BDOI Requirements and Inputs workbook.</t>
        </is>
      </c>
    </row>
    <row r="13">
      <c r="A13" s="14" t="inlineStr">
        <is>
          <t>Not held by BIBS: question to BDOI</t>
        </is>
      </c>
      <c r="B13" s="14" t="inlineStr">
        <is>
          <t>MD-Q05</t>
        </is>
      </c>
      <c r="C13" s="14" t="inlineStr">
        <is>
          <t>Authorised signatories for letters, checks and BIR forms</t>
        </is>
      </c>
      <c r="D13" s="14" t="inlineStr">
        <is>
          <t>BRD-00</t>
        </is>
      </c>
      <c r="E13" s="14" t="inlineStr">
        <is>
          <t>Accounting Head / Controller</t>
        </is>
      </c>
      <c r="F13" s="14" t="inlineStr">
        <is>
          <t>-</t>
        </is>
      </c>
      <c r="G13" s="14" t="n"/>
      <c r="H13" s="14" t="n"/>
      <c r="I13" s="14" t="inlineStr">
        <is>
          <t>16-Jul-2027</t>
        </is>
      </c>
      <c r="J13" s="14" t="inlineStr">
        <is>
          <t>Documents print signature lines; there is no signatory master for checks, letters and BIR forms Question MD-Q05 of the BDOI Requirements and Inputs workbook.</t>
        </is>
      </c>
    </row>
    <row r="14">
      <c r="A14" s="14" t="inlineStr">
        <is>
          <t>Not held by BIBS: question to BDOI</t>
        </is>
      </c>
      <c r="B14" s="14" t="inlineStr">
        <is>
          <t>MD-Q06</t>
        </is>
      </c>
      <c r="C14" s="14" t="inlineStr">
        <is>
          <t>Report recipients and schedules</t>
        </is>
      </c>
      <c r="D14" s="14" t="inlineStr">
        <is>
          <t>BRD-00</t>
        </is>
      </c>
      <c r="E14" s="14" t="inlineStr">
        <is>
          <t>BIBS Product Owner</t>
        </is>
      </c>
      <c r="F14" s="14" t="inlineStr">
        <is>
          <t>-</t>
        </is>
      </c>
      <c r="G14" s="14" t="n"/>
      <c r="H14" s="14" t="n"/>
      <c r="I14" s="14" t="inlineStr">
        <is>
          <t>30-Nov-2026</t>
        </is>
      </c>
      <c r="J14" s="14" t="inlineStr">
        <is>
          <t>No report subscription: reports are run on demand except the production reconciliation extracts Question MD-Q06 of the BDOI Requirements and Inputs workbook.</t>
        </is>
      </c>
    </row>
    <row r="15">
      <c r="A15" s="14" t="inlineStr">
        <is>
          <t>Not held by BIBS: question to BDOI</t>
        </is>
      </c>
      <c r="B15" s="14" t="inlineStr">
        <is>
          <t>MD-Q07</t>
        </is>
      </c>
      <c r="C15" s="14" t="inlineStr">
        <is>
          <t>E-mail and SMS sender settings</t>
        </is>
      </c>
      <c r="D15" s="14" t="inlineStr">
        <is>
          <t>BRD-00</t>
        </is>
      </c>
      <c r="E15" s="14" t="inlineStr">
        <is>
          <t>BDOI IT</t>
        </is>
      </c>
      <c r="F15" s="14" t="inlineStr">
        <is>
          <t>-</t>
        </is>
      </c>
      <c r="G15" s="14" t="n"/>
      <c r="H15" s="14" t="n"/>
      <c r="I15" s="14" t="inlineStr">
        <is>
          <t>31-Jan-2027</t>
        </is>
      </c>
      <c r="J15" s="14" t="inlineStr">
        <is>
          <t>E-mail sender and fixed recipients are parameters; BIBS sends no SMS Question MD-Q07 of the BDOI Requirements and Inputs workbook.</t>
        </is>
      </c>
    </row>
    <row r="16">
      <c r="A16" s="14" t="inlineStr">
        <is>
          <t>Not held by BIBS: question to BDOI</t>
        </is>
      </c>
      <c r="B16" s="14" t="inlineStr">
        <is>
          <t>MD-Q08</t>
        </is>
      </c>
      <c r="C16" s="14" t="inlineStr">
        <is>
          <t>Insurer contacts</t>
        </is>
      </c>
      <c r="D16" s="14" t="inlineStr">
        <is>
          <t>BRD-03</t>
        </is>
      </c>
      <c r="E16" s="14" t="inlineStr">
        <is>
          <t>Operations Head</t>
        </is>
      </c>
      <c r="F16" s="14" t="inlineStr">
        <is>
          <t>-</t>
        </is>
      </c>
      <c r="G16" s="14" t="n"/>
      <c r="H16" s="14" t="n"/>
      <c r="I16" s="14" t="inlineStr">
        <is>
          <t>30-Nov-2026</t>
        </is>
      </c>
      <c r="J16" s="14" t="inlineStr">
        <is>
          <t>No contact persons per insurer Question MD-Q08 of the BDOI Requirements and Inputs workbook.</t>
        </is>
      </c>
    </row>
  </sheetData>
  <autoFilter ref="A4:J16"/>
  <conditionalFormatting sqref="A5:J16">
    <cfRule type="expression" priority="1" dxfId="7">
      <formula>AND(MOD(ROW(),2)=0,$A5&lt;&gt;"")</formula>
    </cfRule>
  </conditionalFormatting>
  <dataValidations count="1">
    <dataValidation sqref="A5:A16" showDropDown="0" showInputMessage="1" showErrorMessage="1" allowBlank="1" errorTitle="Kind of gap" error="Choose a value of the list Kind of gap (sheet Reference lists)." promptTitle="Kind of gap" prompt="No upload route, or not held by BIBS" type="list" errorStyle="stop">
      <formula1>=LIST_KIND_OF_GAP</formula1>
    </dataValidation>
  </dataValidations>
  <hyperlinks>
    <hyperlink ref="A2" location="'Start here'!A1"/>
    <hyperlink ref="B5" location="'MD-02 Currencies'!A1"/>
    <hyperlink ref="B6" location="'MD-03 Exchange rates'!A1"/>
    <hyperlink ref="B7" location="'TX-02 Tax forms'!A1"/>
    <hyperlink ref="B8" location="'TX-01 Party tax profiles'!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65.xml><?xml version="1.0" encoding="utf-8"?>
<worksheet xmlns="http://schemas.openxmlformats.org/spreadsheetml/2006/main">
  <sheetPr>
    <outlinePr summaryBelow="1" summaryRight="1"/>
    <pageSetUpPr fitToPage="1"/>
  </sheetPr>
  <dimension ref="A1:E20"/>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46" customWidth="1" min="2" max="2"/>
    <col width="10" customWidth="1" min="3" max="3"/>
    <col width="60" customWidth="1" min="4" max="4"/>
    <col width="10" customWidth="1" min="5" max="5"/>
  </cols>
  <sheetData>
    <row r="1" ht="26" customHeight="1">
      <c r="A1" s="25" t="inlineStr">
        <is>
          <t>Coverage check</t>
        </is>
      </c>
    </row>
    <row r="2">
      <c r="A2" s="27" t="inlineStr">
        <is>
          <t>← Back to Start here</t>
        </is>
      </c>
      <c r="B2" s="55" t="inlineStr">
        <is>
          <t>The datasets the product owner asked about and where each is in this workbook, or why BIBS does not hold it</t>
        </is>
      </c>
    </row>
    <row r="4" ht="30" customHeight="1">
      <c r="A4" s="11" t="inlineStr">
        <is>
          <t>Dataset</t>
        </is>
      </c>
      <c r="B4" s="11" t="inlineStr">
        <is>
          <t>Where it is in this workbook</t>
        </is>
      </c>
      <c r="C4" s="11" t="inlineStr">
        <is>
          <t>Held by BIBS</t>
        </is>
      </c>
      <c r="D4" s="11" t="inlineStr">
        <is>
          <t>Note</t>
        </is>
      </c>
      <c r="E4" s="11" t="inlineStr">
        <is>
          <t>Question</t>
        </is>
      </c>
    </row>
    <row r="5">
      <c r="A5" s="14" t="inlineStr">
        <is>
          <t>Currencies and exchange-rate source</t>
        </is>
      </c>
      <c r="B5" s="14" t="inlineStr">
        <is>
          <t>MD-02 Currencies; MD-03 Exchange rates</t>
        </is>
      </c>
      <c r="C5" s="14" t="inlineStr">
        <is>
          <t>Yes</t>
        </is>
      </c>
      <c r="D5" s="14" t="inlineStr">
        <is>
          <t>Four rate types (spot, closing, average, budget); the source and owner of the daily rate is a question</t>
        </is>
      </c>
      <c r="E5" s="14" t="inlineStr">
        <is>
          <t>MD-Q01</t>
        </is>
      </c>
    </row>
    <row r="6">
      <c r="A6" s="14" t="inlineStr">
        <is>
          <t>Geographic master (province, city / municipality, barangay, ZIP) and the LGU of the LGT</t>
        </is>
      </c>
      <c r="B6" s="14" t="inlineStr">
        <is>
          <t>Not held</t>
        </is>
      </c>
      <c r="C6" s="14" t="inlineStr">
        <is>
          <t>No</t>
        </is>
      </c>
      <c r="D6" s="14" t="inlineStr">
        <is>
          <t>Addresses are free text (address, city, province, postal code); LGT follows the insurer branch rate (R04B), not the LGU</t>
        </is>
      </c>
      <c r="E6" s="14" t="inlineStr">
        <is>
          <t>MD-Q02</t>
        </is>
      </c>
    </row>
    <row r="7">
      <c r="A7" s="14" t="inlineStr">
        <is>
          <t>Motor vehicle master (make, model, body type, FMV / depreciation schedule)</t>
        </is>
      </c>
      <c r="B7" s="14" t="inlineStr">
        <is>
          <t>Lists of values: VEHICLE_BODY_TYPE</t>
        </is>
      </c>
      <c r="C7" s="14" t="inlineStr">
        <is>
          <t>Partly</t>
        </is>
      </c>
      <c r="D7" s="14" t="inlineStr">
        <is>
          <t>Make and model are free text; motor rating uses the sum insured, the own damage factor and the rate, with no FMV or depreciation schedule</t>
        </is>
      </c>
      <c r="E7" s="14" t="inlineStr">
        <is>
          <t>MD-Q03</t>
        </is>
      </c>
    </row>
    <row r="8">
      <c r="A8" s="14" t="inlineStr">
        <is>
          <t>Fire occupancy and construction class codes</t>
        </is>
      </c>
      <c r="B8" s="14" t="inlineStr">
        <is>
          <t>Lists of values: OCCUPANCY, CONSTRUCTION_CLASS</t>
        </is>
      </c>
      <c r="C8" s="14" t="inlineStr">
        <is>
          <t>Yes</t>
        </is>
      </c>
      <c r="D8" s="14" t="inlineStr">
        <is>
          <t>Values given on the sheet Lists of values</t>
        </is>
      </c>
      <c r="E8" s="14" t="inlineStr">
        <is>
          <t>-</t>
        </is>
      </c>
    </row>
    <row r="9">
      <c r="A9" s="14" t="inlineStr">
        <is>
          <t>Industry codes (PSIC)</t>
        </is>
      </c>
      <c r="B9" s="14" t="inlineStr">
        <is>
          <t>Not held</t>
        </is>
      </c>
      <c r="C9" s="14" t="inlineStr">
        <is>
          <t>No</t>
        </is>
      </c>
      <c r="D9" s="14" t="inlineStr">
        <is>
          <t>No industry field on the client</t>
        </is>
      </c>
      <c r="E9" s="14" t="inlineStr">
        <is>
          <t>MD-Q04</t>
        </is>
      </c>
    </row>
    <row r="10">
      <c r="A10" s="14" t="inlineStr">
        <is>
          <t>Countries and nationalities for KYC / AML</t>
        </is>
      </c>
      <c r="B10" s="14" t="inlineStr">
        <is>
          <t>Lists of values: NATIONALITY</t>
        </is>
      </c>
      <c r="C10" s="14" t="inlineStr">
        <is>
          <t>Partly</t>
        </is>
      </c>
      <c r="D10" s="14" t="inlineStr">
        <is>
          <t>Nationality is a list; there is no country list for addresses or residence</t>
        </is>
      </c>
      <c r="E10" s="14" t="inlineStr">
        <is>
          <t>MD-Q04</t>
        </is>
      </c>
    </row>
    <row r="11">
      <c r="A11" s="14" t="inlineStr">
        <is>
          <t>AML risk rating matrix</t>
        </is>
      </c>
      <c r="B11" s="14" t="inlineStr">
        <is>
          <t>Lists of values: KYC_RISK_RATING; Configured on screens: CFG-126 Screening configuration</t>
        </is>
      </c>
      <c r="C11" s="14" t="inlineStr">
        <is>
          <t>Yes</t>
        </is>
      </c>
      <c r="D11" s="14" t="inlineStr">
        <is>
          <t>Risk categories and rules are set on Compliance Setup › Configuration Versions</t>
        </is>
      </c>
      <c r="E11" s="14" t="inlineStr">
        <is>
          <t>-</t>
        </is>
      </c>
    </row>
    <row r="12">
      <c r="A12" s="14" t="inlineStr">
        <is>
          <t>KYC document checklist by client type</t>
        </is>
      </c>
      <c r="B12" s="14" t="inlineStr">
        <is>
          <t>Lists of values: KYC_DOCS_INDIVIDUAL, KYC_DOCS_CORPORATE, ID_TYPE</t>
        </is>
      </c>
      <c r="C12" s="14" t="inlineStr">
        <is>
          <t>Yes</t>
        </is>
      </c>
      <c r="D12" s="14" t="inlineStr">
        <is>
          <t>-</t>
        </is>
      </c>
      <c r="E12" s="14" t="inlineStr">
        <is>
          <t>-</t>
        </is>
      </c>
    </row>
    <row r="13">
      <c r="A13" s="14" t="inlineStr">
        <is>
          <t>Authorised signatories for letters, checks and BIR forms</t>
        </is>
      </c>
      <c r="B13" s="14" t="inlineStr">
        <is>
          <t>D0-15 (signatory title of the approval matrices)</t>
        </is>
      </c>
      <c r="C13" s="14" t="inlineStr">
        <is>
          <t>Partly</t>
        </is>
      </c>
      <c r="D13" s="14" t="inlineStr">
        <is>
          <t>Documents print signature lines; there is no signatory master for checks, letters and BIR forms</t>
        </is>
      </c>
      <c r="E13" s="14" t="inlineStr">
        <is>
          <t>MD-Q05</t>
        </is>
      </c>
    </row>
    <row r="14">
      <c r="A14" s="14" t="inlineStr">
        <is>
          <t>Report recipients and schedules</t>
        </is>
      </c>
      <c r="B14" s="14" t="inlineStr">
        <is>
          <t>Configured on screens: CFG-130; System parameters (job failure recipients)</t>
        </is>
      </c>
      <c r="C14" s="14" t="inlineStr">
        <is>
          <t>Partly</t>
        </is>
      </c>
      <c r="D14" s="14" t="inlineStr">
        <is>
          <t>No report subscription: reports are run on demand except the production reconciliation extracts</t>
        </is>
      </c>
      <c r="E14" s="14" t="inlineStr">
        <is>
          <t>MD-Q06</t>
        </is>
      </c>
    </row>
    <row r="15">
      <c r="A15" s="14" t="inlineStr">
        <is>
          <t>E-mail and SMS sender settings</t>
        </is>
      </c>
      <c r="B15" s="14" t="inlineStr">
        <is>
          <t>System parameters (Messaging: sender address, fixed recipients)</t>
        </is>
      </c>
      <c r="C15" s="14" t="inlineStr">
        <is>
          <t>Partly</t>
        </is>
      </c>
      <c r="D15" s="14" t="inlineStr">
        <is>
          <t>E-mail sender and fixed recipients are parameters; BIBS sends no SMS</t>
        </is>
      </c>
      <c r="E15" s="14" t="inlineStr">
        <is>
          <t>MD-Q07</t>
        </is>
      </c>
    </row>
    <row r="16">
      <c r="A16" s="14" t="inlineStr">
        <is>
          <t>Data retention schedule</t>
        </is>
      </c>
      <c r="B16" s="14" t="inlineStr">
        <is>
          <t>Configured on screens: CFG-074 Data retention rules</t>
        </is>
      </c>
      <c r="C16" s="14" t="inlineStr">
        <is>
          <t>Yes</t>
        </is>
      </c>
      <c r="D16" s="14" t="inlineStr">
        <is>
          <t>-</t>
        </is>
      </c>
      <c r="E16" s="14" t="inlineStr">
        <is>
          <t>-</t>
        </is>
      </c>
    </row>
    <row r="17">
      <c r="A17" s="14" t="inlineStr">
        <is>
          <t>Adjusters and surveyors</t>
        </is>
      </c>
      <c r="B17" s="14" t="inlineStr">
        <is>
          <t>Lists of values: BCL_ADJUSTER; MD-01 (type Surveyor or adjuster)</t>
        </is>
      </c>
      <c r="C17" s="14" t="inlineStr">
        <is>
          <t>Yes</t>
        </is>
      </c>
      <c r="D17" s="14" t="inlineStr">
        <is>
          <t>-</t>
        </is>
      </c>
      <c r="E17" s="14" t="inlineStr">
        <is>
          <t>-</t>
        </is>
      </c>
    </row>
    <row r="18">
      <c r="A18" s="14" t="inlineStr">
        <is>
          <t>Insurer contacts</t>
        </is>
      </c>
      <c r="B18" s="14" t="inlineStr">
        <is>
          <t>R04 placement e-mail; R04B branch e-mail</t>
        </is>
      </c>
      <c r="C18" s="14" t="inlineStr">
        <is>
          <t>Partly</t>
        </is>
      </c>
      <c r="D18" s="14" t="inlineStr">
        <is>
          <t>No contact persons per insurer</t>
        </is>
      </c>
      <c r="E18" s="14" t="inlineStr">
        <is>
          <t>MD-Q08</t>
        </is>
      </c>
    </row>
    <row r="19">
      <c r="A19" s="14" t="inlineStr">
        <is>
          <t>Premium charges (DST, premium tax, VAT, FST, LGT, VAT on commission) and other charges</t>
        </is>
      </c>
      <c r="B19" s="14" t="inlineStr">
        <is>
          <t>PM-04 with its charges checklist; PM-04C other charges; R04B LGT; insurer tax status on the insurer screen</t>
        </is>
      </c>
      <c r="C19" s="14" t="inlineStr">
        <is>
          <t>Yes</t>
        </is>
      </c>
      <c r="D19" s="14" t="inlineStr">
        <is>
          <t>Other charges (COCAF / LTO authentication, notarial, documentation fees) are billed only while the system parameter Other charges enabled is on</t>
        </is>
      </c>
      <c r="E19" s="14" t="inlineStr">
        <is>
          <t>TX-Q04</t>
        </is>
      </c>
    </row>
    <row r="20">
      <c r="A20" s="14" t="inlineStr">
        <is>
          <t>BDOI's own taxes, tax profiles and tax forms</t>
        </is>
      </c>
      <c r="B20" s="14" t="inlineStr">
        <is>
          <t>D0-10 with its tax checklist; TX-01; TX-02; D0-01 and D0-02 tax registration</t>
        </is>
      </c>
      <c r="C20" s="14" t="inlineStr">
        <is>
          <t>Yes</t>
        </is>
      </c>
      <c r="D20" s="14" t="inlineStr">
        <is>
          <t>Final taxes, percentage tax, withholding agent and government payor flags and exemption certificates are kept</t>
        </is>
      </c>
      <c r="E20" s="14" t="inlineStr">
        <is>
          <t>TX-Q06</t>
        </is>
      </c>
    </row>
  </sheetData>
  <autoFilter ref="A4:E20"/>
  <conditionalFormatting sqref="A5:E20">
    <cfRule type="expression" priority="1" dxfId="7">
      <formula>AND(MOD(ROW(),2)=0,$A5&lt;&gt;"")</formula>
    </cfRule>
  </conditionalFormatting>
  <dataValidations count="1">
    <dataValidation sqref="C5:C20" showDropDown="0" showInputMessage="1" showErrorMessage="1" allowBlank="1" errorTitle="Held by BIBS" error="Choose a value of the list Held by BIBS (sheet Reference lists)." promptTitle="Held by BIBS" prompt="Yes, Partly or No" type="list" errorStyle="stop">
      <formula1>=LIST_HELD_BY_BIBS_2</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legacyDrawing xmlns:r="http://schemas.openxmlformats.org/officeDocument/2006/relationships" r:id="anysvml"/>
</worksheet>
</file>

<file path=xl/worksheets/sheet66.xml><?xml version="1.0" encoding="utf-8"?>
<worksheet xmlns="http://schemas.openxmlformats.org/spreadsheetml/2006/main">
  <sheetPr>
    <outlinePr summaryBelow="1" summaryRight="1"/>
    <pageSetUpPr fitToPage="1"/>
  </sheetPr>
  <dimension ref="A1:E689"/>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5" t="inlineStr">
        <is>
          <t>Reference lists</t>
        </is>
      </c>
    </row>
    <row r="2">
      <c r="A2" s="27" t="inlineStr">
        <is>
          <t>← Back to Start here</t>
        </is>
      </c>
      <c r="B2" s="55" t="inlineStr">
        <is>
          <t>Every list of allowed values used by the drop-downs, with its code and label. A drop-down accepts the codes of its list.</t>
        </is>
      </c>
    </row>
    <row r="4">
      <c r="A4" s="57" t="inlineStr">
        <is>
          <t>List</t>
        </is>
      </c>
      <c r="B4" s="57" t="inlineStr">
        <is>
          <t>Used in</t>
        </is>
      </c>
      <c r="C4" s="57" t="inlineStr">
        <is>
          <t>Code</t>
        </is>
      </c>
      <c r="D4" s="57" t="inlineStr">
        <is>
          <t>Label</t>
        </is>
      </c>
      <c r="E4" s="57" t="inlineStr">
        <is>
          <t>Note</t>
        </is>
      </c>
    </row>
    <row r="5" ht="640.5" customHeight="1">
      <c r="A5" s="41" t="inlineStr">
        <is>
          <t>Yes or no (YES_NO)</t>
        </is>
      </c>
      <c r="B5" s="19" t="inlineStr">
        <is>
          <t>D0-02 Branches: Head office
D0-02 Branches: Foreign currency authorised
D0-04 Dimensions: Active
D0-07 Categories and numbering: Bank category
MD-02 Currencies: Active
R01 Lists of values and MIS val: active_flag
D0-06 Chart of accounts: Control Account
D0-06 Chart of accounts: Manual Posting
D0-06 Chart of accounts: Cost Centre Required
D0-06 Chart of accounts: Revaluation Required
R03 Sales organisation (units a: active_flag
R05 Product lines, cover types,: packaged_flag
R02 Branches and invoicing bran: invoicing_branch_flag
R02 Branches and invoicing bran: active_flag
UP-01 Clients (upload): Bank Client
C01 Client master: bank_client_flag
PM-01 Product catalogue: Package
PM-01 Product catalogue: Fleet
PM-01 Product catalogue: Mortgage related
PM-01 Product catalogue: Direct payment allowed
PM-01 Product catalogue: Free First Year
R08 Chart of accounts mapping: branch_specific_flag
D0-01 Company: VAT registered
UA-03 Approval rules: Any approver may decide
PM-02 Coverages and rules: Basic
PM-02 Coverages and rules: Mandatory
C02 Client addresses and contac: primary_flag
C03 Client payout accounts: active_flag
TX-01 Party tax profiles: Withholding agent
TX-01 Party tax profiles: Top withholding agent
TX-01 Party tax profiles: Government payor
Notification events: In-app wanted
Notification events: E-mail wanted
Document templates: BDOI layout attached</t>
        </is>
      </c>
      <c r="C5" s="58" t="inlineStr">
        <is>
          <t>Y</t>
        </is>
      </c>
      <c r="D5" s="19" t="inlineStr">
        <is>
          <t>Yes</t>
        </is>
      </c>
      <c r="E5" s="19" t="n"/>
    </row>
    <row r="6">
      <c r="A6" s="41" t="n"/>
      <c r="B6" s="19" t="n"/>
      <c r="C6" s="58" t="inlineStr">
        <is>
          <t>N</t>
        </is>
      </c>
      <c r="D6" s="19" t="inlineStr">
        <is>
          <t>No</t>
        </is>
      </c>
      <c r="E6" s="19" t="n"/>
    </row>
    <row r="7" ht="28" customHeight="1">
      <c r="A7" s="59" t="inlineStr">
        <is>
          <t>Market segment (MARKET_SEGMENT)</t>
        </is>
      </c>
      <c r="B7" s="14" t="inlineStr">
        <is>
          <t>PM-01 Product catalogue: Market segments</t>
        </is>
      </c>
      <c r="C7" s="60" t="inlineStr">
        <is>
          <t>CBG</t>
        </is>
      </c>
      <c r="D7" s="14" t="inlineStr">
        <is>
          <t>Consumer Banking Group (CBG)</t>
        </is>
      </c>
      <c r="E7" s="14" t="inlineStr">
        <is>
          <t>The values of the list MARKET_SEGMENT as delivered with BIBS; a new value is added with its template and may then be used here.</t>
        </is>
      </c>
    </row>
    <row r="8">
      <c r="A8" s="59" t="n"/>
      <c r="B8" s="14" t="n"/>
      <c r="C8" s="60" t="inlineStr">
        <is>
          <t>COMBANK</t>
        </is>
      </c>
      <c r="D8" s="14" t="inlineStr">
        <is>
          <t>Commercial Banking</t>
        </is>
      </c>
      <c r="E8" s="14" t="n"/>
    </row>
    <row r="9">
      <c r="A9" s="59" t="n"/>
      <c r="B9" s="14" t="n"/>
      <c r="C9" s="60" t="inlineStr">
        <is>
          <t>CORBANK</t>
        </is>
      </c>
      <c r="D9" s="14" t="inlineStr">
        <is>
          <t>Corporate Banking</t>
        </is>
      </c>
      <c r="E9" s="14" t="n"/>
    </row>
    <row r="10">
      <c r="A10" s="59" t="n"/>
      <c r="B10" s="14" t="n"/>
      <c r="C10" s="60" t="inlineStr">
        <is>
          <t>RETAIL</t>
        </is>
      </c>
      <c r="D10" s="14" t="inlineStr">
        <is>
          <t>Retail Marketing</t>
        </is>
      </c>
      <c r="E10" s="14" t="n"/>
    </row>
    <row r="11">
      <c r="A11" s="59" t="n"/>
      <c r="B11" s="14" t="n"/>
      <c r="C11" s="60" t="inlineStr">
        <is>
          <t>INSTITUTIONAL</t>
        </is>
      </c>
      <c r="D11" s="14" t="inlineStr">
        <is>
          <t>Institutional Banking / SM / BDO accounts</t>
        </is>
      </c>
      <c r="E11" s="14" t="n"/>
    </row>
    <row r="12">
      <c r="A12" s="41" t="inlineStr">
        <is>
          <t>Placement after (PLACEMENT_GATE)</t>
        </is>
      </c>
      <c r="B12" s="19" t="inlineStr">
        <is>
          <t>PM-01 Product catalogue: Placement after</t>
        </is>
      </c>
      <c r="C12" s="58" t="inlineStr">
        <is>
          <t>PAID</t>
        </is>
      </c>
      <c r="D12" s="19" t="inlineStr">
        <is>
          <t>Premium paid</t>
        </is>
      </c>
      <c r="E12" s="19" t="n"/>
    </row>
    <row r="13">
      <c r="A13" s="41" t="n"/>
      <c r="B13" s="19" t="n"/>
      <c r="C13" s="58" t="inlineStr">
        <is>
          <t>CLIENT_CONFIRMATION</t>
        </is>
      </c>
      <c r="D13" s="19" t="inlineStr">
        <is>
          <t>Client confirmation</t>
        </is>
      </c>
      <c r="E13" s="19" t="n"/>
    </row>
    <row r="14">
      <c r="A14" s="59" t="inlineStr">
        <is>
          <t>TSU review (TSU_REVIEW)</t>
        </is>
      </c>
      <c r="B14" s="14" t="inlineStr">
        <is>
          <t>PM-01 Product catalogue: TSU review</t>
        </is>
      </c>
      <c r="C14" s="60" t="inlineStr">
        <is>
          <t>BY_RULES</t>
        </is>
      </c>
      <c r="D14" s="14" t="inlineStr">
        <is>
          <t>By the review rules</t>
        </is>
      </c>
      <c r="E14" s="14" t="n"/>
    </row>
    <row r="15">
      <c r="A15" s="59" t="n"/>
      <c r="B15" s="14" t="n"/>
      <c r="C15" s="60" t="inlineStr">
        <is>
          <t>ALWAYS</t>
        </is>
      </c>
      <c r="D15" s="14" t="inlineStr">
        <is>
          <t>Always</t>
        </is>
      </c>
      <c r="E15" s="14" t="n"/>
    </row>
    <row r="16">
      <c r="A16" s="59" t="n"/>
      <c r="B16" s="14" t="n"/>
      <c r="C16" s="60" t="inlineStr">
        <is>
          <t>NEVER</t>
        </is>
      </c>
      <c r="D16" s="14" t="inlineStr">
        <is>
          <t>Never</t>
        </is>
      </c>
      <c r="E16" s="14" t="n"/>
    </row>
    <row r="17" ht="28" customHeight="1">
      <c r="A17" s="41" t="inlineStr">
        <is>
          <t>Coverage and rule record (CI02_RECORD)</t>
        </is>
      </c>
      <c r="B17" s="19" t="inlineStr"/>
      <c r="C17" s="58" t="inlineStr">
        <is>
          <t>COVERAGE</t>
        </is>
      </c>
      <c r="D17" s="19" t="inlineStr">
        <is>
          <t>Coverage or peril of a line</t>
        </is>
      </c>
      <c r="E17" s="19" t="n"/>
    </row>
    <row r="18">
      <c r="A18" s="41" t="n"/>
      <c r="B18" s="19" t="n"/>
      <c r="C18" s="58" t="inlineStr">
        <is>
          <t>FIELD_RULE</t>
        </is>
      </c>
      <c r="D18" s="19" t="inlineStr">
        <is>
          <t>Field an account of the product needs</t>
        </is>
      </c>
      <c r="E18" s="19" t="n"/>
    </row>
    <row r="19">
      <c r="A19" s="41" t="n"/>
      <c r="B19" s="19" t="n"/>
      <c r="C19" s="58" t="inlineStr">
        <is>
          <t>DOCUMENT_RULE</t>
        </is>
      </c>
      <c r="D19" s="19" t="inlineStr">
        <is>
          <t>Document an account of the product needs</t>
        </is>
      </c>
      <c r="E19" s="19" t="n"/>
    </row>
    <row r="20" ht="28" customHeight="1">
      <c r="A20" s="59" t="inlineStr">
        <is>
          <t>Document type (DOCUMENT_TYPE)</t>
        </is>
      </c>
      <c r="B20" s="14" t="inlineStr"/>
      <c r="C20" s="60" t="inlineStr">
        <is>
          <t>IDF</t>
        </is>
      </c>
      <c r="D20" s="14" t="inlineStr">
        <is>
          <t>Insurance Declaration Form (IDF)</t>
        </is>
      </c>
      <c r="E20" s="14" t="inlineStr">
        <is>
          <t>The values of the list DOCUMENT_TYPE as delivered with BIBS; a new value is added with its template and may then be used here.</t>
        </is>
      </c>
    </row>
    <row r="21">
      <c r="A21" s="59" t="n"/>
      <c r="B21" s="14" t="n"/>
      <c r="C21" s="60" t="inlineStr">
        <is>
          <t>VALID_ID</t>
        </is>
      </c>
      <c r="D21" s="14" t="inlineStr">
        <is>
          <t>Valid ID</t>
        </is>
      </c>
      <c r="E21" s="14" t="n"/>
    </row>
    <row r="22">
      <c r="A22" s="59" t="n"/>
      <c r="B22" s="14" t="n"/>
      <c r="C22" s="60" t="inlineStr">
        <is>
          <t>BIRTH_CERTIFICATE</t>
        </is>
      </c>
      <c r="D22" s="14" t="inlineStr">
        <is>
          <t>Birth certificate</t>
        </is>
      </c>
      <c r="E22" s="14" t="n"/>
    </row>
    <row r="23">
      <c r="A23" s="59" t="n"/>
      <c r="B23" s="14" t="n"/>
      <c r="C23" s="60" t="inlineStr">
        <is>
          <t>ACCOUNT_LIST</t>
        </is>
      </c>
      <c r="D23" s="14" t="inlineStr">
        <is>
          <t>List of account details (Excel)</t>
        </is>
      </c>
      <c r="E23" s="14" t="n"/>
    </row>
    <row r="24">
      <c r="A24" s="59" t="n"/>
      <c r="B24" s="14" t="n"/>
      <c r="C24" s="60" t="inlineStr">
        <is>
          <t>QUOTATION</t>
        </is>
      </c>
      <c r="D24" s="14" t="inlineStr">
        <is>
          <t>Quotation / proposal</t>
        </is>
      </c>
      <c r="E24" s="14" t="n"/>
    </row>
    <row r="25">
      <c r="A25" s="59" t="n"/>
      <c r="B25" s="14" t="n"/>
      <c r="C25" s="60" t="inlineStr">
        <is>
          <t>CLIENT_ACCEPTANCE</t>
        </is>
      </c>
      <c r="D25" s="14" t="inlineStr">
        <is>
          <t>Client acceptance e-mail</t>
        </is>
      </c>
      <c r="E25" s="14" t="n"/>
    </row>
    <row r="26">
      <c r="A26" s="59" t="n"/>
      <c r="B26" s="14" t="n"/>
      <c r="C26" s="60" t="inlineStr">
        <is>
          <t>EPOLICY</t>
        </is>
      </c>
      <c r="D26" s="14" t="inlineStr">
        <is>
          <t>E-policy</t>
        </is>
      </c>
      <c r="E26" s="14" t="n"/>
    </row>
    <row r="27">
      <c r="A27" s="59" t="n"/>
      <c r="B27" s="14" t="n"/>
      <c r="C27" s="60" t="inlineStr">
        <is>
          <t>OFFICIAL_RECEIPT</t>
        </is>
      </c>
      <c r="D27" s="14" t="inlineStr">
        <is>
          <t>Official receipt</t>
        </is>
      </c>
      <c r="E27" s="14" t="n"/>
    </row>
    <row r="28">
      <c r="A28" s="59" t="n"/>
      <c r="B28" s="14" t="n"/>
      <c r="C28" s="60" t="inlineStr">
        <is>
          <t>POLICY_COPY</t>
        </is>
      </c>
      <c r="D28" s="14" t="inlineStr">
        <is>
          <t>Issued policy copy</t>
        </is>
      </c>
      <c r="E28" s="14" t="n"/>
    </row>
    <row r="29">
      <c r="A29" s="59" t="n"/>
      <c r="B29" s="14" t="n"/>
      <c r="C29" s="60" t="inlineStr">
        <is>
          <t>OTHERS</t>
        </is>
      </c>
      <c r="D29" s="14" t="inlineStr">
        <is>
          <t>Others</t>
        </is>
      </c>
      <c r="E29" s="14" t="n"/>
    </row>
    <row r="30">
      <c r="A30" s="59" t="n"/>
      <c r="B30" s="14" t="n"/>
      <c r="C30" s="60" t="inlineStr">
        <is>
          <t>KYC_FORM</t>
        </is>
      </c>
      <c r="D30" s="14" t="inlineStr">
        <is>
          <t>Client information sheet / KYC form</t>
        </is>
      </c>
      <c r="E30" s="14" t="n"/>
    </row>
    <row r="31">
      <c r="A31" s="59" t="n"/>
      <c r="B31" s="14" t="n"/>
      <c r="C31" s="60" t="inlineStr">
        <is>
          <t>PROOF_OF_ADDRESS</t>
        </is>
      </c>
      <c r="D31" s="14" t="inlineStr">
        <is>
          <t>Proof of address</t>
        </is>
      </c>
      <c r="E31" s="14" t="n"/>
    </row>
    <row r="32">
      <c r="A32" s="59" t="n"/>
      <c r="B32" s="14" t="n"/>
      <c r="C32" s="60" t="inlineStr">
        <is>
          <t>SEC_CERTIFICATE</t>
        </is>
      </c>
      <c r="D32" s="14" t="inlineStr">
        <is>
          <t>SEC / DTI certificate of registration</t>
        </is>
      </c>
      <c r="E32" s="14" t="n"/>
    </row>
    <row r="33">
      <c r="A33" s="59" t="n"/>
      <c r="B33" s="14" t="n"/>
      <c r="C33" s="60" t="inlineStr">
        <is>
          <t>GIS</t>
        </is>
      </c>
      <c r="D33" s="14" t="inlineStr">
        <is>
          <t>General Information Sheet (GIS)</t>
        </is>
      </c>
      <c r="E33" s="14" t="n"/>
    </row>
    <row r="34">
      <c r="A34" s="59" t="n"/>
      <c r="B34" s="14" t="n"/>
      <c r="C34" s="60" t="inlineStr">
        <is>
          <t>SECRETARY_CERTIFICATE</t>
        </is>
      </c>
      <c r="D34" s="14" t="inlineStr">
        <is>
          <t>Secretary's certificate / board resolution</t>
        </is>
      </c>
      <c r="E34" s="14" t="n"/>
    </row>
    <row r="35">
      <c r="A35" s="59" t="n"/>
      <c r="B35" s="14" t="n"/>
      <c r="C35" s="60" t="inlineStr">
        <is>
          <t>PKG_REQUEST_FORM</t>
        </is>
      </c>
      <c r="D35" s="14" t="inlineStr">
        <is>
          <t>Package request form</t>
        </is>
      </c>
      <c r="E35" s="14" t="n"/>
    </row>
    <row r="36">
      <c r="A36" s="59" t="n"/>
      <c r="B36" s="14" t="n"/>
      <c r="C36" s="60" t="inlineStr">
        <is>
          <t>PKG_QUOTATION_SLIP</t>
        </is>
      </c>
      <c r="D36" s="14" t="inlineStr">
        <is>
          <t>Package quotation slip</t>
        </is>
      </c>
      <c r="E36" s="14" t="n"/>
    </row>
    <row r="37">
      <c r="A37" s="59" t="n"/>
      <c r="B37" s="14" t="n"/>
      <c r="C37" s="60" t="inlineStr">
        <is>
          <t>PKG_INSURER_RESPONSE</t>
        </is>
      </c>
      <c r="D37" s="14" t="inlineStr">
        <is>
          <t>Insurer package terms</t>
        </is>
      </c>
      <c r="E37" s="14" t="n"/>
    </row>
    <row r="38">
      <c r="A38" s="59" t="n"/>
      <c r="B38" s="14" t="n"/>
      <c r="C38" s="60" t="inlineStr">
        <is>
          <t>PKG_COMPARATIVE</t>
        </is>
      </c>
      <c r="D38" s="14" t="inlineStr">
        <is>
          <t>Package comparative table</t>
        </is>
      </c>
      <c r="E38" s="14" t="n"/>
    </row>
    <row r="39">
      <c r="A39" s="59" t="n"/>
      <c r="B39" s="14" t="n"/>
      <c r="C39" s="60" t="inlineStr">
        <is>
          <t>PKG_SLIP_SIGNED</t>
        </is>
      </c>
      <c r="D39" s="14" t="inlineStr">
        <is>
          <t>Package slip (signed)</t>
        </is>
      </c>
      <c r="E39" s="14" t="n"/>
    </row>
    <row r="40">
      <c r="A40" s="59" t="n"/>
      <c r="B40" s="14" t="n"/>
      <c r="C40" s="60" t="inlineStr">
        <is>
          <t>MANCOM_SIGNOFF</t>
        </is>
      </c>
      <c r="D40" s="14" t="inlineStr">
        <is>
          <t>ManCom sign-off</t>
        </is>
      </c>
      <c r="E40" s="14" t="n"/>
    </row>
    <row r="41">
      <c r="A41" s="59" t="n"/>
      <c r="B41" s="14" t="n"/>
      <c r="C41" s="60" t="inlineStr">
        <is>
          <t>PKG_ADVISORY</t>
        </is>
      </c>
      <c r="D41" s="14" t="inlineStr">
        <is>
          <t>Package advisory</t>
        </is>
      </c>
      <c r="E41" s="14" t="n"/>
    </row>
    <row r="42">
      <c r="A42" s="59" t="n"/>
      <c r="B42" s="14" t="n"/>
      <c r="C42" s="60" t="inlineStr">
        <is>
          <t>REQUEST_EMAIL</t>
        </is>
      </c>
      <c r="D42" s="14" t="inlineStr">
        <is>
          <t>Quotation / proposal request e-mail</t>
        </is>
      </c>
      <c r="E42" s="14" t="n"/>
    </row>
    <row r="43">
      <c r="A43" s="59" t="n"/>
      <c r="B43" s="14" t="n"/>
      <c r="C43" s="60" t="inlineStr">
        <is>
          <t>QUOTATION_SLIP</t>
        </is>
      </c>
      <c r="D43" s="14" t="inlineStr">
        <is>
          <t>Quotation slip</t>
        </is>
      </c>
      <c r="E43" s="14" t="n"/>
    </row>
    <row r="44">
      <c r="A44" s="59" t="n"/>
      <c r="B44" s="14" t="n"/>
      <c r="C44" s="60" t="inlineStr">
        <is>
          <t>INSURER_RESPONSE</t>
        </is>
      </c>
      <c r="D44" s="14" t="inlineStr">
        <is>
          <t>Insurer response / terms</t>
        </is>
      </c>
      <c r="E44" s="14" t="n"/>
    </row>
    <row r="45">
      <c r="A45" s="59" t="n"/>
      <c r="B45" s="14" t="n"/>
      <c r="C45" s="60" t="inlineStr">
        <is>
          <t>COMPARATIVE_TABLE</t>
        </is>
      </c>
      <c r="D45" s="14" t="inlineStr">
        <is>
          <t>Comparative table</t>
        </is>
      </c>
      <c r="E45" s="14" t="n"/>
    </row>
    <row r="46">
      <c r="A46" s="59" t="n"/>
      <c r="B46" s="14" t="n"/>
      <c r="C46" s="60" t="inlineStr">
        <is>
          <t>PROPOSAL_SLIP</t>
        </is>
      </c>
      <c r="D46" s="14" t="inlineStr">
        <is>
          <t>Proposal slip</t>
        </is>
      </c>
      <c r="E46" s="14" t="n"/>
    </row>
    <row r="47">
      <c r="A47" s="59" t="n"/>
      <c r="B47" s="14" t="n"/>
      <c r="C47" s="60" t="inlineStr">
        <is>
          <t>PAYMENT_CONFIRMATION</t>
        </is>
      </c>
      <c r="D47" s="14" t="inlineStr">
        <is>
          <t>Payment / client confirmation</t>
        </is>
      </c>
      <c r="E47" s="14" t="n"/>
    </row>
    <row r="48">
      <c r="A48" s="59" t="n"/>
      <c r="B48" s="14" t="n"/>
      <c r="C48" s="60" t="inlineStr">
        <is>
          <t>HOLD_COVER</t>
        </is>
      </c>
      <c r="D48" s="14" t="inlineStr">
        <is>
          <t>Hold cover confirmation</t>
        </is>
      </c>
      <c r="E48" s="14" t="n"/>
    </row>
    <row r="49">
      <c r="A49" s="59" t="n"/>
      <c r="B49" s="14" t="n"/>
      <c r="C49" s="60" t="inlineStr">
        <is>
          <t>INSURANCE_ADVICE</t>
        </is>
      </c>
      <c r="D49" s="14" t="inlineStr">
        <is>
          <t>Insurance Advice</t>
        </is>
      </c>
      <c r="E49" s="14" t="n"/>
    </row>
    <row r="50">
      <c r="A50" s="59" t="n"/>
      <c r="B50" s="14" t="n"/>
      <c r="C50" s="60" t="inlineStr">
        <is>
          <t>RENEWAL_ADVICE</t>
        </is>
      </c>
      <c r="D50" s="14" t="inlineStr">
        <is>
          <t>Renewal advice</t>
        </is>
      </c>
      <c r="E50" s="14" t="n"/>
    </row>
    <row r="51">
      <c r="A51" s="59" t="n"/>
      <c r="B51" s="14" t="n"/>
      <c r="C51" s="60" t="inlineStr">
        <is>
          <t>RA_ACCEPTANCE</t>
        </is>
      </c>
      <c r="D51" s="14" t="inlineStr">
        <is>
          <t>Renewal advice acceptance (e-mail)</t>
        </is>
      </c>
      <c r="E51" s="14" t="n"/>
    </row>
    <row r="52">
      <c r="A52" s="59" t="n"/>
      <c r="B52" s="14" t="n"/>
      <c r="C52" s="60" t="inlineStr">
        <is>
          <t>SIGNED_RA</t>
        </is>
      </c>
      <c r="D52" s="14" t="inlineStr">
        <is>
          <t>Signed renewal advice</t>
        </is>
      </c>
      <c r="E52" s="14" t="n"/>
    </row>
    <row r="53">
      <c r="A53" s="59" t="n"/>
      <c r="B53" s="14" t="n"/>
      <c r="C53" s="60" t="inlineStr">
        <is>
          <t>LAMD_REPORT</t>
        </is>
      </c>
      <c r="D53" s="14" t="inlineStr">
        <is>
          <t>LAMD loan report</t>
        </is>
      </c>
      <c r="E53" s="14" t="n"/>
    </row>
    <row r="54">
      <c r="A54" s="59" t="n"/>
      <c r="B54" s="14" t="n"/>
      <c r="C54" s="60" t="inlineStr">
        <is>
          <t>INSURER_RENEWAL_FILE</t>
        </is>
      </c>
      <c r="D54" s="14" t="inlineStr">
        <is>
          <t>Insurer renewal file</t>
        </is>
      </c>
      <c r="E54" s="14" t="n"/>
    </row>
    <row r="55">
      <c r="A55" s="59" t="n"/>
      <c r="B55" s="14" t="n"/>
      <c r="C55" s="60" t="inlineStr">
        <is>
          <t>RENEWAL_LETTER</t>
        </is>
      </c>
      <c r="D55" s="14" t="inlineStr">
        <is>
          <t>Renewal letter</t>
        </is>
      </c>
      <c r="E55" s="14" t="n"/>
    </row>
    <row r="56">
      <c r="A56" s="59" t="n"/>
      <c r="B56" s="14" t="n"/>
      <c r="C56" s="60" t="inlineStr">
        <is>
          <t>CLAIM_REPORT</t>
        </is>
      </c>
      <c r="D56" s="14" t="inlineStr">
        <is>
          <t>Claims report</t>
        </is>
      </c>
      <c r="E56" s="14" t="n"/>
    </row>
    <row r="57">
      <c r="A57" s="59" t="n"/>
      <c r="B57" s="14" t="n"/>
      <c r="C57" s="60" t="inlineStr">
        <is>
          <t>EB_CLIENT_FEEDBACK</t>
        </is>
      </c>
      <c r="D57" s="14" t="inlineStr">
        <is>
          <t>EB client feedback</t>
        </is>
      </c>
      <c r="E57" s="14" t="n"/>
    </row>
    <row r="58">
      <c r="A58" s="59" t="n"/>
      <c r="B58" s="14" t="n"/>
      <c r="C58" s="60" t="inlineStr">
        <is>
          <t>EB_BOR</t>
        </is>
      </c>
      <c r="D58" s="14" t="inlineStr">
        <is>
          <t>Broker on Record (signed)</t>
        </is>
      </c>
      <c r="E58" s="14" t="n"/>
    </row>
    <row r="59">
      <c r="A59" s="59" t="n"/>
      <c r="B59" s="14" t="n"/>
      <c r="C59" s="60" t="inlineStr">
        <is>
          <t>EB_TOR</t>
        </is>
      </c>
      <c r="D59" s="14" t="inlineStr">
        <is>
          <t>Terms of Reference (TOR)</t>
        </is>
      </c>
      <c r="E59" s="14" t="n"/>
    </row>
    <row r="60">
      <c r="A60" s="59" t="n"/>
      <c r="B60" s="14" t="n"/>
      <c r="C60" s="60" t="inlineStr">
        <is>
          <t>EB_MASTERLIST</t>
        </is>
      </c>
      <c r="D60" s="14" t="inlineStr">
        <is>
          <t>Master list (named)</t>
        </is>
      </c>
      <c r="E60" s="14" t="n"/>
    </row>
    <row r="61">
      <c r="A61" s="59" t="n"/>
      <c r="B61" s="14" t="n"/>
      <c r="C61" s="60" t="inlineStr">
        <is>
          <t>EB_MASTERLIST_UNNAMED</t>
        </is>
      </c>
      <c r="D61" s="14" t="inlineStr">
        <is>
          <t>Unnamed master list (census)</t>
        </is>
      </c>
      <c r="E61" s="14" t="n"/>
    </row>
    <row r="62">
      <c r="A62" s="59" t="n"/>
      <c r="B62" s="14" t="n"/>
      <c r="C62" s="60" t="inlineStr">
        <is>
          <t>EB_UTILIZATION</t>
        </is>
      </c>
      <c r="D62" s="14" t="inlineStr">
        <is>
          <t>Utilization report</t>
        </is>
      </c>
      <c r="E62" s="14" t="n"/>
    </row>
    <row r="63">
      <c r="A63" s="59" t="n"/>
      <c r="B63" s="14" t="n"/>
      <c r="C63" s="60" t="inlineStr">
        <is>
          <t>EB_INDICATIVE_PROPOSAL</t>
        </is>
      </c>
      <c r="D63" s="14" t="inlineStr">
        <is>
          <t>Indicative (incumbent) proposal</t>
        </is>
      </c>
      <c r="E63" s="14" t="n"/>
    </row>
    <row r="64">
      <c r="A64" s="59" t="n"/>
      <c r="B64" s="14" t="n"/>
      <c r="C64" s="60" t="inlineStr">
        <is>
          <t>EB_PROPOSAL</t>
        </is>
      </c>
      <c r="D64" s="14" t="inlineStr">
        <is>
          <t>Insurer proposal</t>
        </is>
      </c>
      <c r="E64" s="14" t="n"/>
    </row>
    <row r="65">
      <c r="A65" s="59" t="n"/>
      <c r="B65" s="14" t="n"/>
      <c r="C65" s="60" t="inlineStr">
        <is>
          <t>EB_COMPARATIVE</t>
        </is>
      </c>
      <c r="D65" s="14" t="inlineStr">
        <is>
          <t>Comparative analysis</t>
        </is>
      </c>
      <c r="E65" s="14" t="n"/>
    </row>
    <row r="66">
      <c r="A66" s="59" t="n"/>
      <c r="B66" s="14" t="n"/>
      <c r="C66" s="60" t="inlineStr">
        <is>
          <t>EB_FRANCHISE_FORM</t>
        </is>
      </c>
      <c r="D66" s="14" t="inlineStr">
        <is>
          <t>Franchise request form</t>
        </is>
      </c>
      <c r="E66" s="14" t="n"/>
    </row>
    <row r="67">
      <c r="A67" s="59" t="n"/>
      <c r="B67" s="14" t="n"/>
      <c r="C67" s="60" t="inlineStr">
        <is>
          <t>EB_CLIENT_CONFIRMATION</t>
        </is>
      </c>
      <c r="D67" s="14" t="inlineStr">
        <is>
          <t>Client confirmation of the chosen proposal</t>
        </is>
      </c>
      <c r="E67" s="14" t="n"/>
    </row>
    <row r="68">
      <c r="A68" s="59" t="n"/>
      <c r="B68" s="14" t="n"/>
      <c r="C68" s="60" t="inlineStr">
        <is>
          <t>EB_POLICY_FORM</t>
        </is>
      </c>
      <c r="D68" s="14" t="inlineStr">
        <is>
          <t>EB policy form / contract</t>
        </is>
      </c>
      <c r="E68" s="14" t="n"/>
    </row>
    <row r="69">
      <c r="A69" s="59" t="n"/>
      <c r="B69" s="14" t="n"/>
      <c r="C69" s="60" t="inlineStr">
        <is>
          <t>EB_DIRECT_BILLING</t>
        </is>
      </c>
      <c r="D69" s="14" t="inlineStr">
        <is>
          <t>Insurer direct billing (EB changes)</t>
        </is>
      </c>
      <c r="E69" s="14" t="n"/>
    </row>
    <row r="70">
      <c r="A70" s="59" t="n"/>
      <c r="B70" s="14" t="n"/>
      <c r="C70" s="60" t="inlineStr">
        <is>
          <t>EB_SOA</t>
        </is>
      </c>
      <c r="D70" s="14" t="inlineStr">
        <is>
          <t>Insurer statement of account (EB)</t>
        </is>
      </c>
      <c r="E70" s="14" t="n"/>
    </row>
    <row r="71">
      <c r="A71" s="59" t="n"/>
      <c r="B71" s="14" t="n"/>
      <c r="C71" s="60" t="inlineStr">
        <is>
          <t>EB_MEMBER_CHANGE</t>
        </is>
      </c>
      <c r="D71" s="14" t="inlineStr">
        <is>
          <t>Member change request</t>
        </is>
      </c>
      <c r="E71" s="14" t="n"/>
    </row>
    <row r="72">
      <c r="A72" s="59" t="n"/>
      <c r="B72" s="14" t="n"/>
      <c r="C72" s="60" t="inlineStr">
        <is>
          <t>EB_ISACOM_APPROVAL</t>
        </is>
      </c>
      <c r="D72" s="14" t="inlineStr">
        <is>
          <t>ISACOM approval (non-accredited provider)</t>
        </is>
      </c>
      <c r="E72" s="14" t="n"/>
    </row>
    <row r="73">
      <c r="A73" s="59" t="n"/>
      <c r="B73" s="14" t="n"/>
      <c r="C73" s="60" t="inlineStr">
        <is>
          <t>CLIENT_REQUEST</t>
        </is>
      </c>
      <c r="D73" s="14" t="inlineStr">
        <is>
          <t>Client request or letter</t>
        </is>
      </c>
      <c r="E73" s="14" t="n"/>
    </row>
    <row r="74">
      <c r="A74" s="59" t="n"/>
      <c r="B74" s="14" t="n"/>
      <c r="C74" s="60" t="inlineStr">
        <is>
          <t>CLIENT_PHOTO</t>
        </is>
      </c>
      <c r="D74" s="14" t="inlineStr">
        <is>
          <t>Photo sent by the client</t>
        </is>
      </c>
      <c r="E74" s="14" t="n"/>
    </row>
    <row r="75">
      <c r="A75" s="59" t="n"/>
      <c r="B75" s="14" t="n"/>
      <c r="C75" s="60" t="inlineStr">
        <is>
          <t>SUBMITTED_POLICY</t>
        </is>
      </c>
      <c r="D75" s="14" t="inlineStr">
        <is>
          <t>Submitted policy document</t>
        </is>
      </c>
      <c r="E75" s="14" t="n"/>
    </row>
    <row r="76">
      <c r="A76" s="59" t="n"/>
      <c r="B76" s="14" t="n"/>
      <c r="C76" s="60" t="inlineStr">
        <is>
          <t>SBM_IAAF</t>
        </is>
      </c>
      <c r="D76" s="14" t="inlineStr">
        <is>
          <t>Insurance Adequacy Assessment Form (IAAF)</t>
        </is>
      </c>
      <c r="E76" s="14" t="n"/>
    </row>
    <row r="77">
      <c r="A77" s="59" t="n"/>
      <c r="B77" s="14" t="n"/>
      <c r="C77" s="60" t="inlineStr">
        <is>
          <t>SBM_TOR</t>
        </is>
      </c>
      <c r="D77" s="14" t="inlineStr">
        <is>
          <t>Terms of Reference (TOR)</t>
        </is>
      </c>
      <c r="E77" s="14" t="n"/>
    </row>
    <row r="78">
      <c r="A78" s="59" t="n"/>
      <c r="B78" s="14" t="n"/>
      <c r="C78" s="60" t="inlineStr">
        <is>
          <t>SBM_LETTER</t>
        </is>
      </c>
      <c r="D78" s="14" t="inlineStr">
        <is>
          <t>Submitted policy letter</t>
        </is>
      </c>
      <c r="E78" s="14" t="n"/>
    </row>
    <row r="79">
      <c r="A79" s="59" t="n"/>
      <c r="B79" s="14" t="n"/>
      <c r="C79" s="60" t="inlineStr">
        <is>
          <t>LEGACY_DOCUMENT</t>
        </is>
      </c>
      <c r="D79" s="14" t="inlineStr">
        <is>
          <t>Legacy document (archive)</t>
        </is>
      </c>
      <c r="E79" s="14" t="n"/>
    </row>
    <row r="80">
      <c r="A80" s="59" t="n"/>
      <c r="B80" s="14" t="n"/>
      <c r="C80" s="60" t="inlineStr">
        <is>
          <t>MIG_EVIDENCE</t>
        </is>
      </c>
      <c r="D80" s="14" t="inlineStr">
        <is>
          <t>Migration sign-off evidence</t>
        </is>
      </c>
      <c r="E80" s="14" t="n"/>
    </row>
    <row r="81" ht="28" customHeight="1">
      <c r="A81" s="41" t="inlineStr">
        <is>
          <t>Clause kind (CLAUSE_KIND)</t>
        </is>
      </c>
      <c r="B81" s="19" t="inlineStr"/>
      <c r="C81" s="58" t="inlineStr">
        <is>
          <t>WARRANTY</t>
        </is>
      </c>
      <c r="D81" s="19" t="inlineStr">
        <is>
          <t>Warranty</t>
        </is>
      </c>
      <c r="E81" s="19" t="inlineStr">
        <is>
          <t>The values of the list CLAUSE_KIND as delivered with BIBS; a new value is added with its template and may then be used here.</t>
        </is>
      </c>
    </row>
    <row r="82">
      <c r="A82" s="41" t="n"/>
      <c r="B82" s="19" t="n"/>
      <c r="C82" s="58" t="inlineStr">
        <is>
          <t>CLAUSE</t>
        </is>
      </c>
      <c r="D82" s="19" t="inlineStr">
        <is>
          <t>Clause</t>
        </is>
      </c>
      <c r="E82" s="19" t="n"/>
    </row>
    <row r="83">
      <c r="A83" s="41" t="n"/>
      <c r="B83" s="19" t="n"/>
      <c r="C83" s="58" t="inlineStr">
        <is>
          <t>EXCLUSION</t>
        </is>
      </c>
      <c r="D83" s="19" t="inlineStr">
        <is>
          <t>Exclusion</t>
        </is>
      </c>
      <c r="E83" s="19" t="n"/>
    </row>
    <row r="84">
      <c r="A84" s="41" t="n"/>
      <c r="B84" s="19" t="n"/>
      <c r="C84" s="58" t="inlineStr">
        <is>
          <t>DEDUCTIBLE_WORDING</t>
        </is>
      </c>
      <c r="D84" s="19" t="inlineStr">
        <is>
          <t>Deductible wording</t>
        </is>
      </c>
      <c r="E84" s="19" t="n"/>
    </row>
    <row r="85">
      <c r="A85" s="59" t="inlineStr">
        <is>
          <t>Rate table (RATE_TABLE)</t>
        </is>
      </c>
      <c r="B85" s="14" t="inlineStr"/>
      <c r="C85" s="60" t="inlineStr">
        <is>
          <t>TAX</t>
        </is>
      </c>
      <c r="D85" s="14" t="inlineStr">
        <is>
          <t>Statutory charge or rating factor</t>
        </is>
      </c>
      <c r="E85" s="14" t="n"/>
    </row>
    <row r="86">
      <c r="A86" s="59" t="n"/>
      <c r="B86" s="14" t="n"/>
      <c r="C86" s="60" t="inlineStr">
        <is>
          <t>SHORT_PERIOD</t>
        </is>
      </c>
      <c r="D86" s="14" t="inlineStr">
        <is>
          <t>Short-period table</t>
        </is>
      </c>
      <c r="E86" s="14" t="n"/>
    </row>
    <row r="87">
      <c r="A87" s="59" t="n"/>
      <c r="B87" s="14" t="n"/>
      <c r="C87" s="60" t="inlineStr">
        <is>
          <t>MOTOR_LIMIT</t>
        </is>
      </c>
      <c r="D87" s="14" t="inlineStr">
        <is>
          <t>Motor BI / PD limit premium</t>
        </is>
      </c>
      <c r="E87" s="14" t="n"/>
    </row>
    <row r="88">
      <c r="A88" s="41" t="inlineStr">
        <is>
          <t>Package map action (MAP_ACTION)</t>
        </is>
      </c>
      <c r="B88" s="19" t="inlineStr"/>
      <c r="C88" s="58" t="inlineStr">
        <is>
          <t>MAP</t>
        </is>
      </c>
      <c r="D88" s="19" t="inlineStr">
        <is>
          <t>Renew with the BIBS package version</t>
        </is>
      </c>
      <c r="E88" s="19" t="n"/>
    </row>
    <row r="89">
      <c r="A89" s="41" t="n"/>
      <c r="B89" s="19" t="n"/>
      <c r="C89" s="58" t="inlineStr">
        <is>
          <t>REJECT</t>
        </is>
      </c>
      <c r="D89" s="19" t="inlineStr">
        <is>
          <t>Send the candidate to the Renewal Exception bucket</t>
        </is>
      </c>
      <c r="E89" s="19" t="n"/>
    </row>
    <row r="90" ht="28" customHeight="1">
      <c r="A90" s="59" t="inlineStr">
        <is>
          <t>Package document template (PKG_DOCUMENT)</t>
        </is>
      </c>
      <c r="B90" s="14" t="inlineStr"/>
      <c r="C90" s="60" t="inlineStr">
        <is>
          <t>PKG_REQUEST_FORM</t>
        </is>
      </c>
      <c r="D90" s="14" t="inlineStr">
        <is>
          <t>Package Request Form</t>
        </is>
      </c>
      <c r="E90" s="14" t="n"/>
    </row>
    <row r="91">
      <c r="A91" s="59" t="n"/>
      <c r="B91" s="14" t="n"/>
      <c r="C91" s="60" t="inlineStr">
        <is>
          <t>PKG_QUOTATION_SLIP</t>
        </is>
      </c>
      <c r="D91" s="14" t="inlineStr">
        <is>
          <t>Package quotation slip</t>
        </is>
      </c>
      <c r="E91" s="14" t="n"/>
    </row>
    <row r="92">
      <c r="A92" s="59" t="n"/>
      <c r="B92" s="14" t="n"/>
      <c r="C92" s="60" t="inlineStr">
        <is>
          <t>PKG_COMPARATIVE</t>
        </is>
      </c>
      <c r="D92" s="14" t="inlineStr">
        <is>
          <t>Package comparative table</t>
        </is>
      </c>
      <c r="E92" s="14" t="n"/>
    </row>
    <row r="93">
      <c r="A93" s="59" t="n"/>
      <c r="B93" s="14" t="n"/>
      <c r="C93" s="60" t="inlineStr">
        <is>
          <t>PKG_SLIP</t>
        </is>
      </c>
      <c r="D93" s="14" t="inlineStr">
        <is>
          <t>Package slip</t>
        </is>
      </c>
      <c r="E93" s="14" t="n"/>
    </row>
    <row r="94">
      <c r="A94" s="59" t="n"/>
      <c r="B94" s="14" t="n"/>
      <c r="C94" s="60" t="inlineStr">
        <is>
          <t>PKG_ADVISORY</t>
        </is>
      </c>
      <c r="D94" s="14" t="inlineStr">
        <is>
          <t>Package advisory</t>
        </is>
      </c>
      <c r="E94" s="14" t="n"/>
    </row>
    <row r="95">
      <c r="A95" s="59" t="n"/>
      <c r="B95" s="14" t="n"/>
      <c r="C95" s="60" t="inlineStr">
        <is>
          <t>PKG_RENEWAL_ADVISORY</t>
        </is>
      </c>
      <c r="D95" s="14" t="inlineStr">
        <is>
          <t>Package renewal advisory</t>
        </is>
      </c>
      <c r="E95" s="14" t="n"/>
    </row>
    <row r="96" ht="28" customHeight="1">
      <c r="A96" s="41" t="inlineStr">
        <is>
          <t>Product Maintenance list or parameter (PM_LIST_OR_PARAMETER)</t>
        </is>
      </c>
      <c r="B96" s="19" t="inlineStr"/>
      <c r="C96" s="58" t="inlineStr">
        <is>
          <t>PKG_REQUEST_REASON</t>
        </is>
      </c>
      <c r="D96" s="19" t="inlineStr">
        <is>
          <t>List: Package request reason</t>
        </is>
      </c>
      <c r="E96" s="19" t="n"/>
    </row>
    <row r="97">
      <c r="A97" s="41" t="n"/>
      <c r="B97" s="19" t="n"/>
      <c r="C97" s="58" t="inlineStr">
        <is>
          <t>PKG_RESPONSE_OUTCOME</t>
        </is>
      </c>
      <c r="D97" s="19" t="inlineStr">
        <is>
          <t>List: Insurer response outcome</t>
        </is>
      </c>
      <c r="E97" s="19" t="n"/>
    </row>
    <row r="98">
      <c r="A98" s="41" t="n"/>
      <c r="B98" s="19" t="n"/>
      <c r="C98" s="58" t="inlineStr">
        <is>
          <t>PKG_ADVISORY_GROUP</t>
        </is>
      </c>
      <c r="D98" s="19" t="inlineStr">
        <is>
          <t>List: Advisory recipient group</t>
        </is>
      </c>
      <c r="E98" s="19" t="n"/>
    </row>
    <row r="99">
      <c r="A99" s="41" t="n"/>
      <c r="B99" s="19" t="n"/>
      <c r="C99" s="58" t="inlineStr">
        <is>
          <t>PKG_NOT_PROCEEDED_REASON</t>
        </is>
      </c>
      <c r="D99" s="19" t="inlineStr">
        <is>
          <t>List: Package not proceeded reason</t>
        </is>
      </c>
      <c r="E99" s="19" t="n"/>
    </row>
    <row r="100">
      <c r="A100" s="41" t="n"/>
      <c r="B100" s="19" t="n"/>
      <c r="C100" s="58" t="inlineStr">
        <is>
          <t>PKG_REQUEST_TYPE</t>
        </is>
      </c>
      <c r="D100" s="19" t="inlineStr">
        <is>
          <t>List: Package request type</t>
        </is>
      </c>
      <c r="E100" s="19" t="n"/>
    </row>
    <row r="101">
      <c r="A101" s="41" t="n"/>
      <c r="B101" s="19" t="n"/>
      <c r="C101" s="58" t="inlineStr">
        <is>
          <t>INCENTIVE_TYPE</t>
        </is>
      </c>
      <c r="D101" s="19" t="inlineStr">
        <is>
          <t>List: Incentive type</t>
        </is>
      </c>
      <c r="E101" s="19" t="n"/>
    </row>
    <row r="102">
      <c r="A102" s="41" t="n"/>
      <c r="B102" s="19" t="n"/>
      <c r="C102" s="58" t="inlineStr">
        <is>
          <t>COVERAGE_KIND</t>
        </is>
      </c>
      <c r="D102" s="19" t="inlineStr">
        <is>
          <t>List: Coverage kind</t>
        </is>
      </c>
      <c r="E102" s="19" t="n"/>
    </row>
    <row r="103">
      <c r="A103" s="41" t="n"/>
      <c r="B103" s="19" t="n"/>
      <c r="C103" s="58" t="inlineStr">
        <is>
          <t>CLAUSE_KIND</t>
        </is>
      </c>
      <c r="D103" s="19" t="inlineStr">
        <is>
          <t>List: Clause kind</t>
        </is>
      </c>
      <c r="E103" s="19" t="n"/>
    </row>
    <row r="104">
      <c r="A104" s="41" t="n"/>
      <c r="B104" s="19" t="n"/>
      <c r="C104" s="58" t="inlineStr">
        <is>
          <t>DOCUMENT_TYPE</t>
        </is>
      </c>
      <c r="D104" s="19" t="inlineStr">
        <is>
          <t>List: Document type</t>
        </is>
      </c>
      <c r="E104" s="19" t="n"/>
    </row>
    <row r="105">
      <c r="A105" s="41" t="n"/>
      <c r="B105" s="19" t="n"/>
      <c r="C105" s="58" t="inlineStr">
        <is>
          <t>MARKET_SEGMENT</t>
        </is>
      </c>
      <c r="D105" s="19" t="inlineStr">
        <is>
          <t>List: Market segment</t>
        </is>
      </c>
      <c r="E105" s="19" t="n"/>
    </row>
    <row r="106" ht="28" customHeight="1">
      <c r="A106" s="41" t="n"/>
      <c r="B106" s="19" t="n"/>
      <c r="C106" s="58" t="inlineStr">
        <is>
          <t>PKG_REQUEST_PREFIX</t>
        </is>
      </c>
      <c r="D106" s="19" t="inlineStr">
        <is>
          <t>Parameter: Prefix of package request numbers; the year is appended</t>
        </is>
      </c>
      <c r="E106" s="19" t="n"/>
    </row>
    <row r="107" ht="28" customHeight="1">
      <c r="A107" s="41" t="n"/>
      <c r="B107" s="19" t="n"/>
      <c r="C107" s="58" t="inlineStr">
        <is>
          <t>PKG_QS_PREFIX</t>
        </is>
      </c>
      <c r="D107" s="19" t="inlineStr">
        <is>
          <t>Parameter: Prefix of package quotation slip numbers; the year is appended</t>
        </is>
      </c>
      <c r="E107" s="19" t="n"/>
    </row>
    <row r="108" ht="28" customHeight="1">
      <c r="A108" s="41" t="n"/>
      <c r="B108" s="19" t="n"/>
      <c r="C108" s="58" t="inlineStr">
        <is>
          <t>PKG_QS_REPLY_DAYS</t>
        </is>
      </c>
      <c r="D108" s="19" t="inlineStr">
        <is>
          <t>Parameter: Days insurers have to reply to a package quotation slip</t>
        </is>
      </c>
      <c r="E108" s="19" t="n"/>
    </row>
    <row r="109" ht="40.5" customHeight="1">
      <c r="A109" s="41" t="n"/>
      <c r="B109" s="19" t="n"/>
      <c r="C109" s="58" t="inlineStr">
        <is>
          <t>PACKAGE_EXPIRY_NOTICE_DAYS</t>
        </is>
      </c>
      <c r="D109" s="19" t="inlineStr">
        <is>
          <t>Parameter: Days before the package end date at which PACKAGE_EXPIRING is first raised; again at 30 and 7 days</t>
        </is>
      </c>
      <c r="E109" s="19" t="n"/>
    </row>
    <row r="110" ht="28" customHeight="1">
      <c r="A110" s="41" t="n"/>
      <c r="B110" s="19" t="n"/>
      <c r="C110" s="58" t="inlineStr">
        <is>
          <t>PACKAGE_RENEWAL_AUTODRAFT</t>
        </is>
      </c>
      <c r="D110" s="19" t="inlineStr">
        <is>
          <t>Parameter: The expiry monitor drafts a RENEW package request for packages reaching the notice period</t>
        </is>
      </c>
      <c r="E110" s="19" t="n"/>
    </row>
    <row r="111" ht="28" customHeight="1">
      <c r="A111" s="41" t="n"/>
      <c r="B111" s="19" t="n"/>
      <c r="C111" s="58" t="inlineStr">
        <is>
          <t>PKG_SLA_MKT_APPROVAL</t>
        </is>
      </c>
      <c r="D111" s="19" t="inlineStr">
        <is>
          <t>Parameter: SLA hours of the Marketing approval of a package request</t>
        </is>
      </c>
      <c r="E111" s="19" t="n"/>
    </row>
    <row r="112" ht="28" customHeight="1">
      <c r="A112" s="41" t="n"/>
      <c r="B112" s="19" t="n"/>
      <c r="C112" s="58" t="inlineStr">
        <is>
          <t>PKG_SLA_TSU_REVIEW</t>
        </is>
      </c>
      <c r="D112" s="19" t="inlineStr">
        <is>
          <t>Parameter: SLA hours of the TSU Team Lead review and recommendation</t>
        </is>
      </c>
      <c r="E112" s="19" t="n"/>
    </row>
    <row r="113">
      <c r="A113" s="41" t="n"/>
      <c r="B113" s="19" t="n"/>
      <c r="C113" s="58" t="inlineStr">
        <is>
          <t>PKG_SLA_TSU_APPROVAL</t>
        </is>
      </c>
      <c r="D113" s="19" t="inlineStr">
        <is>
          <t>Parameter: SLA hours of the TSU Team Head approval</t>
        </is>
      </c>
      <c r="E113" s="19" t="n"/>
    </row>
    <row r="114" ht="28" customHeight="1">
      <c r="A114" s="41" t="n"/>
      <c r="B114" s="19" t="n"/>
      <c r="C114" s="58" t="inlineStr">
        <is>
          <t>PKG_SLA_NEGOTIATION</t>
        </is>
      </c>
      <c r="D114" s="19" t="inlineStr">
        <is>
          <t>Parameter: SLA hours of the insurer negotiation stage</t>
        </is>
      </c>
      <c r="E114" s="19" t="n"/>
    </row>
    <row r="115">
      <c r="A115" s="41" t="n"/>
      <c r="B115" s="19" t="n"/>
      <c r="C115" s="58" t="inlineStr">
        <is>
          <t>PKG_SLA_MANCOM</t>
        </is>
      </c>
      <c r="D115" s="19" t="inlineStr">
        <is>
          <t>Parameter: SLA hours of the ManCom sign-off</t>
        </is>
      </c>
      <c r="E115" s="19" t="n"/>
    </row>
    <row r="116">
      <c r="A116" s="41" t="n"/>
      <c r="B116" s="19" t="n"/>
      <c r="C116" s="58" t="inlineStr">
        <is>
          <t>PKG_SLA_MBS_SETUP</t>
        </is>
      </c>
      <c r="D116" s="19" t="inlineStr">
        <is>
          <t>Parameter: SLA hours of the MBS package set-up</t>
        </is>
      </c>
      <c r="E116" s="19" t="n"/>
    </row>
    <row r="117" ht="40.5" customHeight="1">
      <c r="A117" s="41" t="n"/>
      <c r="B117" s="19" t="n"/>
      <c r="C117" s="58" t="inlineStr">
        <is>
          <t>PACKAGE_EXPIRY_REMINDER_DAYS</t>
        </is>
      </c>
      <c r="D117" s="19" t="inlineStr">
        <is>
          <t>Parameter: Days before the package end date at which PACKAGE_EXPIRING is raised again after the first notice</t>
        </is>
      </c>
      <c r="E117" s="19" t="n"/>
    </row>
    <row r="118" ht="28" customHeight="1">
      <c r="A118" s="41" t="n"/>
      <c r="B118" s="19" t="n"/>
      <c r="C118" s="58" t="inlineStr">
        <is>
          <t>PKG_ADVISORY_GROUPS</t>
        </is>
      </c>
      <c r="D118" s="19" t="inlineStr">
        <is>
          <t>Parameter: Recipient groups (list PKG_ADVISORY_GROUP) proposed on a new package advisory</t>
        </is>
      </c>
      <c r="E118" s="19" t="n"/>
    </row>
    <row r="119" ht="40.5" customHeight="1">
      <c r="A119" s="41" t="n"/>
      <c r="B119" s="19" t="n"/>
      <c r="C119" s="58" t="inlineStr">
        <is>
          <t>OTHER_CHARGES_ENABLED</t>
        </is>
      </c>
      <c r="D119" s="19" t="inlineStr">
        <is>
          <t>Parameter: Bill the other charges of the products (documentation, notarial and authentication fees) with the premium</t>
        </is>
      </c>
      <c r="E119" s="19" t="n"/>
    </row>
    <row r="120" ht="28" customHeight="1">
      <c r="A120" s="59" t="inlineStr">
        <is>
          <t>Incentive type (INCENTIVE_TYPE)</t>
        </is>
      </c>
      <c r="B120" s="14" t="inlineStr"/>
      <c r="C120" s="60" t="inlineStr">
        <is>
          <t>OTHERS</t>
        </is>
      </c>
      <c r="D120" s="14" t="inlineStr">
        <is>
          <t>Others (see description)</t>
        </is>
      </c>
      <c r="E120" s="14" t="inlineStr">
        <is>
          <t>The values of the list INCENTIVE_TYPE as delivered with BIBS; a new value is added with its template and may then be used here.</t>
        </is>
      </c>
    </row>
    <row r="121">
      <c r="A121" s="59" t="n"/>
      <c r="B121" s="14" t="n"/>
      <c r="C121" s="60" t="inlineStr">
        <is>
          <t>MIGRATED</t>
        </is>
      </c>
      <c r="D121" s="14" t="inlineStr">
        <is>
          <t>Migrated booking incentive rule</t>
        </is>
      </c>
      <c r="E121" s="14" t="n"/>
    </row>
    <row r="122">
      <c r="A122" s="41" t="inlineStr">
        <is>
          <t>Bulk request action (UA_ACTION)</t>
        </is>
      </c>
      <c r="B122" s="19" t="inlineStr">
        <is>
          <t>UA-01 Users and roles: Action</t>
        </is>
      </c>
      <c r="C122" s="58" t="inlineStr">
        <is>
          <t>ENROL</t>
        </is>
      </c>
      <c r="D122" s="19" t="inlineStr">
        <is>
          <t>Enrol a new user</t>
        </is>
      </c>
      <c r="E122" s="19" t="n"/>
    </row>
    <row r="123">
      <c r="A123" s="41" t="n"/>
      <c r="B123" s="19" t="n"/>
      <c r="C123" s="58" t="inlineStr">
        <is>
          <t>MODIFY</t>
        </is>
      </c>
      <c r="D123" s="19" t="inlineStr">
        <is>
          <t>Modify a user</t>
        </is>
      </c>
      <c r="E123" s="19" t="n"/>
    </row>
    <row r="124">
      <c r="A124" s="41" t="n"/>
      <c r="B124" s="19" t="n"/>
      <c r="C124" s="58" t="inlineStr">
        <is>
          <t>DEACTIVATE</t>
        </is>
      </c>
      <c r="D124" s="19" t="inlineStr">
        <is>
          <t>Deactivate a user</t>
        </is>
      </c>
      <c r="E124" s="19" t="n"/>
    </row>
    <row r="125">
      <c r="A125" s="41" t="n"/>
      <c r="B125" s="19" t="n"/>
      <c r="C125" s="58" t="inlineStr">
        <is>
          <t>REACTIVATE</t>
        </is>
      </c>
      <c r="D125" s="19" t="inlineStr">
        <is>
          <t>Reactivate a user</t>
        </is>
      </c>
      <c r="E125" s="19" t="n"/>
    </row>
    <row r="126">
      <c r="A126" s="59" t="inlineStr">
        <is>
          <t>Privilege level (PRIVILEGE_LEVEL)</t>
        </is>
      </c>
      <c r="B126" s="14" t="inlineStr"/>
      <c r="C126" s="60" t="inlineStr">
        <is>
          <t>Low</t>
        </is>
      </c>
      <c r="D126" s="14" t="inlineStr">
        <is>
          <t>Low</t>
        </is>
      </c>
      <c r="E126" s="14" t="n"/>
    </row>
    <row r="127">
      <c r="A127" s="59" t="n"/>
      <c r="B127" s="14" t="n"/>
      <c r="C127" s="60" t="inlineStr">
        <is>
          <t>Standard</t>
        </is>
      </c>
      <c r="D127" s="14" t="inlineStr">
        <is>
          <t>Standard</t>
        </is>
      </c>
      <c r="E127" s="14" t="n"/>
    </row>
    <row r="128">
      <c r="A128" s="59" t="n"/>
      <c r="B128" s="14" t="n"/>
      <c r="C128" s="60" t="inlineStr">
        <is>
          <t>High</t>
        </is>
      </c>
      <c r="D128" s="14" t="inlineStr">
        <is>
          <t>High: a second approval when given or raised</t>
        </is>
      </c>
      <c r="E128" s="14" t="n"/>
    </row>
    <row r="129">
      <c r="A129" s="59" t="n"/>
      <c r="B129" s="14" t="n"/>
      <c r="C129" s="60" t="inlineStr">
        <is>
          <t>Admin</t>
        </is>
      </c>
      <c r="D129" s="14" t="inlineStr">
        <is>
          <t>Admin: a second approval when given or raised</t>
        </is>
      </c>
      <c r="E129" s="14" t="n"/>
    </row>
    <row r="130" ht="28" customHeight="1">
      <c r="A130" s="41" t="inlineStr">
        <is>
          <t>Change against the matrix (KEEP_ADD_REMOVE)</t>
        </is>
      </c>
      <c r="B130" s="19" t="inlineStr"/>
      <c r="C130" s="58" t="inlineStr">
        <is>
          <t>KEEP</t>
        </is>
      </c>
      <c r="D130" s="19" t="inlineStr">
        <is>
          <t>Keep the permission</t>
        </is>
      </c>
      <c r="E130" s="19" t="n"/>
    </row>
    <row r="131">
      <c r="A131" s="41" t="n"/>
      <c r="B131" s="19" t="n"/>
      <c r="C131" s="58" t="inlineStr">
        <is>
          <t>ADD</t>
        </is>
      </c>
      <c r="D131" s="19" t="inlineStr">
        <is>
          <t>Add the permission</t>
        </is>
      </c>
      <c r="E131" s="19" t="n"/>
    </row>
    <row r="132">
      <c r="A132" s="41" t="n"/>
      <c r="B132" s="19" t="n"/>
      <c r="C132" s="58" t="inlineStr">
        <is>
          <t>REMOVE</t>
        </is>
      </c>
      <c r="D132" s="19" t="inlineStr">
        <is>
          <t>Remove the permission</t>
        </is>
      </c>
      <c r="E132" s="19" t="n"/>
    </row>
    <row r="133">
      <c r="A133" s="59" t="inlineStr">
        <is>
          <t>Role in user access (UA_ROLE)</t>
        </is>
      </c>
      <c r="B133" s="14" t="inlineStr"/>
      <c r="C133" s="60" t="inlineStr">
        <is>
          <t>Requestor</t>
        </is>
      </c>
      <c r="D133" s="14" t="inlineStr">
        <is>
          <t>Raises access requests for the unit</t>
        </is>
      </c>
      <c r="E133" s="14" t="n"/>
    </row>
    <row r="134">
      <c r="A134" s="59" t="n"/>
      <c r="B134" s="14" t="n"/>
      <c r="C134" s="60" t="inlineStr">
        <is>
          <t>Approver</t>
        </is>
      </c>
      <c r="D134" s="14" t="inlineStr">
        <is>
          <t>Approves access requests</t>
        </is>
      </c>
      <c r="E134" s="14" t="n"/>
    </row>
    <row r="135">
      <c r="A135" s="59" t="n"/>
      <c r="B135" s="14" t="n"/>
      <c r="C135" s="60" t="inlineStr">
        <is>
          <t>Second Approver</t>
        </is>
      </c>
      <c r="D135" s="14" t="inlineStr">
        <is>
          <t>Second approval of High and Admin privileges</t>
        </is>
      </c>
      <c r="E135" s="14" t="n"/>
    </row>
    <row r="136">
      <c r="A136" s="59" t="n"/>
      <c r="B136" s="14" t="n"/>
      <c r="C136" s="60" t="inlineStr">
        <is>
          <t>Group-profile requester</t>
        </is>
      </c>
      <c r="D136" s="14" t="inlineStr">
        <is>
          <t>Raises group-profile requests</t>
        </is>
      </c>
      <c r="E136" s="14" t="n"/>
    </row>
    <row r="137" ht="28" customHeight="1">
      <c r="A137" s="59" t="n"/>
      <c r="B137" s="14" t="n"/>
      <c r="C137" s="60" t="inlineStr">
        <is>
          <t>Implementer</t>
        </is>
      </c>
      <c r="D137" s="14" t="inlineStr">
        <is>
          <t>System Administrator who implements approved requests</t>
        </is>
      </c>
      <c r="E137" s="14" t="n"/>
    </row>
    <row r="138" ht="28" customHeight="1">
      <c r="A138" s="41" t="inlineStr">
        <is>
          <t>Separation-of-duties rule status (SOD_STATUS)</t>
        </is>
      </c>
      <c r="B138" s="19" t="inlineStr"/>
      <c r="C138" s="58" t="inlineStr">
        <is>
          <t>Enforced</t>
        </is>
      </c>
      <c r="D138" s="19" t="inlineStr">
        <is>
          <t>A fixed rule of BIBS</t>
        </is>
      </c>
      <c r="E138" s="19" t="n"/>
    </row>
    <row r="139">
      <c r="A139" s="41" t="n"/>
      <c r="B139" s="19" t="n"/>
      <c r="C139" s="58" t="inlineStr">
        <is>
          <t>To confirm</t>
        </is>
      </c>
      <c r="D139" s="19" t="inlineStr">
        <is>
          <t>Proposed; BDOI confirms</t>
        </is>
      </c>
      <c r="E139" s="19" t="n"/>
    </row>
    <row r="140">
      <c r="A140" s="41" t="n"/>
      <c r="B140" s="19" t="n"/>
      <c r="C140" s="58" t="inlineStr">
        <is>
          <t>New</t>
        </is>
      </c>
      <c r="D140" s="19" t="inlineStr">
        <is>
          <t>Added by BDOI</t>
        </is>
      </c>
      <c r="E140" s="19" t="n"/>
    </row>
    <row r="141" ht="28" customHeight="1">
      <c r="A141" s="59" t="inlineStr">
        <is>
          <t>Separation-of-duties control (SOD_CONTROL)</t>
        </is>
      </c>
      <c r="B141" s="14" t="inlineStr"/>
      <c r="C141" s="60" t="inlineStr">
        <is>
          <t>Prevent</t>
        </is>
      </c>
      <c r="D141" s="14" t="inlineStr">
        <is>
          <t>A rule of Separation of Duties: BIBS refuses the request</t>
        </is>
      </c>
      <c r="E141" s="14" t="n"/>
    </row>
    <row r="142">
      <c r="A142" s="59" t="n"/>
      <c r="B142" s="14" t="n"/>
      <c r="C142" s="60" t="inlineStr">
        <is>
          <t>Detect by review</t>
        </is>
      </c>
      <c r="D142" s="14" t="inlineStr">
        <is>
          <t>Reviewed with the reports</t>
        </is>
      </c>
      <c r="E142" s="14" t="n"/>
    </row>
    <row r="143">
      <c r="A143" s="59" t="n"/>
      <c r="B143" s="14" t="n"/>
      <c r="C143" s="60" t="inlineStr">
        <is>
          <t>Second approval</t>
        </is>
      </c>
      <c r="D143" s="14" t="inlineStr">
        <is>
          <t>A second approver decides</t>
        </is>
      </c>
      <c r="E143" s="14" t="n"/>
    </row>
    <row r="144">
      <c r="A144" s="41" t="inlineStr">
        <is>
          <t>Review frequency (REVIEW_FREQUENCY)</t>
        </is>
      </c>
      <c r="B144" s="19" t="inlineStr"/>
      <c r="C144" s="58" t="inlineStr">
        <is>
          <t>Monthly</t>
        </is>
      </c>
      <c r="D144" s="19" t="inlineStr">
        <is>
          <t>Monthly</t>
        </is>
      </c>
      <c r="E144" s="19" t="n"/>
    </row>
    <row r="145">
      <c r="A145" s="41" t="n"/>
      <c r="B145" s="19" t="n"/>
      <c r="C145" s="58" t="inlineStr">
        <is>
          <t>Quarterly</t>
        </is>
      </c>
      <c r="D145" s="19" t="inlineStr">
        <is>
          <t>Quarterly</t>
        </is>
      </c>
      <c r="E145" s="19" t="n"/>
    </row>
    <row r="146" ht="28" customHeight="1">
      <c r="A146" s="59" t="inlineStr">
        <is>
          <t>Sign-in (UA_PARAMETER)</t>
        </is>
      </c>
      <c r="B146" s="14" t="inlineStr"/>
      <c r="C146" s="60" t="inlineStr">
        <is>
          <t>LOGIN_MAX_FAILED_ATTEMPTS</t>
        </is>
      </c>
      <c r="D146" s="14" t="inlineStr">
        <is>
          <t>Consecutive failed logins that lock a user account; applies to all users</t>
        </is>
      </c>
      <c r="E146" s="14" t="n"/>
    </row>
    <row r="147" ht="28" customHeight="1">
      <c r="A147" s="59" t="n"/>
      <c r="B147" s="14" t="n"/>
      <c r="C147" s="60" t="inlineStr">
        <is>
          <t>SESSION_IDLE_WARNING_MINUTES</t>
        </is>
      </c>
      <c r="D147" s="14" t="inlineStr">
        <is>
          <t>Minutes of inactivity after which the web client warns that the session will sign out</t>
        </is>
      </c>
      <c r="E147" s="14" t="n"/>
    </row>
    <row r="148" ht="28" customHeight="1">
      <c r="A148" s="59" t="n"/>
      <c r="B148" s="14" t="n"/>
      <c r="C148" s="60" t="inlineStr">
        <is>
          <t>SESSION_TIMEOUT_MINUTES</t>
        </is>
      </c>
      <c r="D148" s="14" t="inlineStr">
        <is>
          <t>Minutes of inactivity after which the web session signs out automatically</t>
        </is>
      </c>
      <c r="E148" s="14" t="n"/>
    </row>
    <row r="149" ht="28" customHeight="1">
      <c r="A149" s="59" t="n"/>
      <c r="B149" s="14" t="n"/>
      <c r="C149" s="60" t="inlineStr">
        <is>
          <t>SESSION_EXPIRY_WARNING_MINUTES</t>
        </is>
      </c>
      <c r="D149" s="14" t="inlineStr">
        <is>
          <t>Minutes before the system-triggered (absolute) sign-out at which the web client warns the user</t>
        </is>
      </c>
      <c r="E149" s="14" t="n"/>
    </row>
    <row r="150" ht="40.5" customHeight="1">
      <c r="A150" s="59" t="n"/>
      <c r="B150" s="14" t="n"/>
      <c r="C150" s="60" t="inlineStr">
        <is>
          <t>AUTH_MODE</t>
        </is>
      </c>
      <c r="D150" s="14" t="inlineStr">
        <is>
          <t>Sign-in mode: LOCAL (BIBS passwords) or DIRECTORY (BDO directory sign-in by Windows ID, when the EIAM sign-in is specified)</t>
        </is>
      </c>
      <c r="E150" s="14" t="n"/>
    </row>
    <row r="151" ht="28" customHeight="1">
      <c r="A151" s="59" t="n"/>
      <c r="B151" s="14" t="n"/>
      <c r="C151" s="60" t="inlineStr">
        <is>
          <t>USER_ID_PATTERN</t>
        </is>
      </c>
      <c r="D151" s="14" t="inlineStr">
        <is>
          <t>Regular expression of a new user ID on enrolment requests</t>
        </is>
      </c>
      <c r="E151" s="14" t="n"/>
    </row>
    <row r="152" ht="28" customHeight="1">
      <c r="A152" s="59" t="n"/>
      <c r="B152" s="14" t="n"/>
      <c r="C152" s="60" t="inlineStr">
        <is>
          <t>USER_ID_FORMAT_TEXT</t>
        </is>
      </c>
      <c r="D152" s="14" t="inlineStr">
        <is>
          <t>The user ID format in words, shown to the requester with the format check of USER_ID_PATTERN</t>
        </is>
      </c>
      <c r="E152" s="14" t="n"/>
    </row>
    <row r="153">
      <c r="A153" s="59" t="n"/>
      <c r="B153" s="14" t="n"/>
      <c r="C153" s="60" t="inlineStr">
        <is>
          <t>PASSWORD_HISTORY_COUNT</t>
        </is>
      </c>
      <c r="D153" s="14" t="inlineStr">
        <is>
          <t>Previous passwords a user may not reuse, LOCAL mode</t>
        </is>
      </c>
      <c r="E153" s="14" t="n"/>
    </row>
    <row r="154" ht="28" customHeight="1">
      <c r="A154" s="59" t="n"/>
      <c r="B154" s="14" t="n"/>
      <c r="C154" s="60" t="inlineStr">
        <is>
          <t>PASSWORD_MAX_AGE_DAYS</t>
        </is>
      </c>
      <c r="D154" s="14" t="inlineStr">
        <is>
          <t>Days after which a password must be changed, LOCAL mode; 0 = never</t>
        </is>
      </c>
      <c r="E154" s="14" t="n"/>
    </row>
    <row r="155" ht="28" customHeight="1">
      <c r="A155" s="59" t="n"/>
      <c r="B155" s="14" t="n"/>
      <c r="C155" s="60" t="inlineStr">
        <is>
          <t>PASSWORD_MIN_AGE_DAYS</t>
        </is>
      </c>
      <c r="D155" s="14" t="inlineStr">
        <is>
          <t>Days before a changed password may be changed again, LOCAL mode</t>
        </is>
      </c>
      <c r="E155" s="14" t="n"/>
    </row>
    <row r="156" ht="28" customHeight="1">
      <c r="A156" s="59" t="n"/>
      <c r="B156" s="14" t="n"/>
      <c r="C156" s="60" t="inlineStr">
        <is>
          <t>UAM_WORKING_HOURS</t>
        </is>
      </c>
      <c r="D156" s="14" t="inlineStr">
        <is>
          <t>Working hours; an access request submitted outside them needs a second approval</t>
        </is>
      </c>
      <c r="E156" s="14" t="n"/>
    </row>
    <row r="157" ht="40.5" customHeight="1">
      <c r="A157" s="59" t="n"/>
      <c r="B157" s="14" t="n"/>
      <c r="C157" s="60" t="inlineStr">
        <is>
          <t>UAM_ANY_APPROVER</t>
        </is>
      </c>
      <c r="D157" s="14" t="inlineStr">
        <is>
          <t>When true, any holder of ACCESS_APPROVE may decide a request, not only the approver chosen by the requester</t>
        </is>
      </c>
      <c r="E157" s="14" t="n"/>
    </row>
    <row r="158" ht="40.5" customHeight="1">
      <c r="A158" s="59" t="n"/>
      <c r="B158" s="14" t="n"/>
      <c r="C158" s="60" t="inlineStr">
        <is>
          <t>UAM_ROLE_APPLY_ON_APPROVAL</t>
        </is>
      </c>
      <c r="D158" s="14" t="inlineStr">
        <is>
          <t>When true, an approved group-profile or role-permission request applies at its last approval; when false it waits for the System Administrator to implement it</t>
        </is>
      </c>
      <c r="E158" s="14" t="n"/>
    </row>
    <row r="159" ht="40.5" customHeight="1">
      <c r="A159" s="59" t="n"/>
      <c r="B159" s="14" t="n"/>
      <c r="C159" s="60" t="inlineStr">
        <is>
          <t>UAM_EXTERNAL_USERS</t>
        </is>
      </c>
      <c r="D159" s="14" t="inlineStr">
        <is>
          <t>When true, access requests may be raised for external (portal) users; stays false while no portal is installed</t>
        </is>
      </c>
      <c r="E159" s="14" t="n"/>
    </row>
    <row r="160" ht="28" customHeight="1">
      <c r="A160" s="59" t="n"/>
      <c r="B160" s="14" t="n"/>
      <c r="C160" s="60" t="inlineStr">
        <is>
          <t>UAM_DORMANT_DAYS</t>
        </is>
      </c>
      <c r="D160" s="14" t="inlineStr">
        <is>
          <t>Days without a sign-in after which a user is deactivated by the daily dormant-user job; 0 = never</t>
        </is>
      </c>
      <c r="E160" s="14" t="n"/>
    </row>
    <row r="161" ht="28" customHeight="1">
      <c r="A161" s="59" t="n"/>
      <c r="B161" s="14" t="n"/>
      <c r="C161" s="60" t="inlineStr">
        <is>
          <t>UAM_DORMANT_NOTICE_DAYS</t>
        </is>
      </c>
      <c r="D161" s="14" t="inlineStr">
        <is>
          <t>Days before the dormant-user deactivation on which the user is told to sign in; 0 = no notice</t>
        </is>
      </c>
      <c r="E161" s="14" t="n"/>
    </row>
    <row r="162" ht="28" customHeight="1">
      <c r="A162" s="59" t="n"/>
      <c r="B162" s="14" t="n"/>
      <c r="C162" s="60" t="inlineStr">
        <is>
          <t>JOB_FAILURE_RECIPIENTS</t>
        </is>
      </c>
      <c r="D162" s="14" t="inlineStr">
        <is>
          <t>Comma separated e-mail addresses told of every failed batch job</t>
        </is>
      </c>
      <c r="E162" s="14" t="n"/>
    </row>
    <row r="163">
      <c r="A163" s="41" t="inlineStr">
        <is>
          <t>User access list (UA_LIST)</t>
        </is>
      </c>
      <c r="B163" s="19" t="inlineStr"/>
      <c r="C163" s="58" t="inlineStr">
        <is>
          <t>UAM_BUSINESS_UNIT</t>
        </is>
      </c>
      <c r="D163" s="19" t="inlineStr">
        <is>
          <t>List: Business unit group</t>
        </is>
      </c>
      <c r="E163" s="19" t="n"/>
    </row>
    <row r="164">
      <c r="A164" s="41" t="n"/>
      <c r="B164" s="19" t="n"/>
      <c r="C164" s="58" t="inlineStr">
        <is>
          <t>UAM_USER_LEVEL</t>
        </is>
      </c>
      <c r="D164" s="19" t="inlineStr">
        <is>
          <t>List: User level</t>
        </is>
      </c>
      <c r="E164" s="19" t="n"/>
    </row>
    <row r="165">
      <c r="A165" s="41" t="n"/>
      <c r="B165" s="19" t="n"/>
      <c r="C165" s="58" t="inlineStr">
        <is>
          <t>UAM_DEACTIVATION_REASON</t>
        </is>
      </c>
      <c r="D165" s="19" t="inlineStr">
        <is>
          <t>List: User deactivation reason</t>
        </is>
      </c>
      <c r="E165" s="19" t="n"/>
    </row>
    <row r="166">
      <c r="A166" s="59" t="inlineStr">
        <is>
          <t>Dimension (DIMENSION)</t>
        </is>
      </c>
      <c r="B166" s="14" t="inlineStr"/>
      <c r="C166" s="60" t="inlineStr">
        <is>
          <t>COST_CENTER</t>
        </is>
      </c>
      <c r="D166" s="14" t="inlineStr">
        <is>
          <t>Cost centre</t>
        </is>
      </c>
      <c r="E166" s="14" t="n"/>
    </row>
    <row r="167">
      <c r="A167" s="59" t="n"/>
      <c r="B167" s="14" t="n"/>
      <c r="C167" s="60" t="inlineStr">
        <is>
          <t>BUSINESS_LINE</t>
        </is>
      </c>
      <c r="D167" s="14" t="inlineStr">
        <is>
          <t>Business line</t>
        </is>
      </c>
      <c r="E167" s="14" t="n"/>
    </row>
    <row r="168">
      <c r="A168" s="41" t="inlineStr">
        <is>
          <t>Account class (ACCOUNT_CLASS)</t>
        </is>
      </c>
      <c r="B168" s="19" t="inlineStr"/>
      <c r="C168" s="58" t="inlineStr">
        <is>
          <t>ASSET</t>
        </is>
      </c>
      <c r="D168" s="19" t="inlineStr">
        <is>
          <t>Asset</t>
        </is>
      </c>
      <c r="E168" s="19" t="n"/>
    </row>
    <row r="169">
      <c r="A169" s="41" t="n"/>
      <c r="B169" s="19" t="n"/>
      <c r="C169" s="58" t="inlineStr">
        <is>
          <t>LIABILITY</t>
        </is>
      </c>
      <c r="D169" s="19" t="inlineStr">
        <is>
          <t>Liability</t>
        </is>
      </c>
      <c r="E169" s="19" t="n"/>
    </row>
    <row r="170">
      <c r="A170" s="41" t="n"/>
      <c r="B170" s="19" t="n"/>
      <c r="C170" s="58" t="inlineStr">
        <is>
          <t>EQUITY</t>
        </is>
      </c>
      <c r="D170" s="19" t="inlineStr">
        <is>
          <t>Equity</t>
        </is>
      </c>
      <c r="E170" s="19" t="n"/>
    </row>
    <row r="171">
      <c r="A171" s="41" t="n"/>
      <c r="B171" s="19" t="n"/>
      <c r="C171" s="58" t="inlineStr">
        <is>
          <t>INCOME</t>
        </is>
      </c>
      <c r="D171" s="19" t="inlineStr">
        <is>
          <t>Income</t>
        </is>
      </c>
      <c r="E171" s="19" t="n"/>
    </row>
    <row r="172">
      <c r="A172" s="41" t="n"/>
      <c r="B172" s="19" t="n"/>
      <c r="C172" s="58" t="inlineStr">
        <is>
          <t>EXPENSE</t>
        </is>
      </c>
      <c r="D172" s="19" t="inlineStr">
        <is>
          <t>Expense</t>
        </is>
      </c>
      <c r="E172" s="19" t="n"/>
    </row>
    <row r="173" ht="28" customHeight="1">
      <c r="A173" s="59" t="inlineStr">
        <is>
          <t>Account class of the chart (ACCOUNT_CLASS_CHART)</t>
        </is>
      </c>
      <c r="B173" s="14" t="inlineStr">
        <is>
          <t>D0-06 Chart of accounts: Class</t>
        </is>
      </c>
      <c r="C173" s="60" t="inlineStr">
        <is>
          <t>ASSET</t>
        </is>
      </c>
      <c r="D173" s="14" t="inlineStr">
        <is>
          <t>Asset</t>
        </is>
      </c>
      <c r="E173" s="14" t="n"/>
    </row>
    <row r="174">
      <c r="A174" s="59" t="n"/>
      <c r="B174" s="14" t="n"/>
      <c r="C174" s="60" t="inlineStr">
        <is>
          <t>LIABILITY</t>
        </is>
      </c>
      <c r="D174" s="14" t="inlineStr">
        <is>
          <t>Liability</t>
        </is>
      </c>
      <c r="E174" s="14" t="n"/>
    </row>
    <row r="175">
      <c r="A175" s="59" t="n"/>
      <c r="B175" s="14" t="n"/>
      <c r="C175" s="60" t="inlineStr">
        <is>
          <t>EQUITY</t>
        </is>
      </c>
      <c r="D175" s="14" t="inlineStr">
        <is>
          <t>Equity</t>
        </is>
      </c>
      <c r="E175" s="14" t="n"/>
    </row>
    <row r="176">
      <c r="A176" s="59" t="n"/>
      <c r="B176" s="14" t="n"/>
      <c r="C176" s="60" t="inlineStr">
        <is>
          <t>INCOME</t>
        </is>
      </c>
      <c r="D176" s="14" t="inlineStr">
        <is>
          <t>Income</t>
        </is>
      </c>
      <c r="E176" s="14" t="n"/>
    </row>
    <row r="177">
      <c r="A177" s="59" t="n"/>
      <c r="B177" s="14" t="n"/>
      <c r="C177" s="60" t="inlineStr">
        <is>
          <t>EXPENSE</t>
        </is>
      </c>
      <c r="D177" s="14" t="inlineStr">
        <is>
          <t>Expense</t>
        </is>
      </c>
      <c r="E177" s="14" t="n"/>
    </row>
    <row r="178">
      <c r="A178" s="59" t="n"/>
      <c r="B178" s="14" t="n"/>
      <c r="C178" s="60" t="inlineStr">
        <is>
          <t>MEMORANDUM</t>
        </is>
      </c>
      <c r="D178" s="14" t="inlineStr">
        <is>
          <t>Memorandum</t>
        </is>
      </c>
      <c r="E178" s="14" t="n"/>
    </row>
    <row r="179">
      <c r="A179" s="41" t="inlineStr">
        <is>
          <t>Account level (ACCOUNT_LEVEL)</t>
        </is>
      </c>
      <c r="B179" s="19" t="inlineStr">
        <is>
          <t>D0-06 Chart of accounts: Level</t>
        </is>
      </c>
      <c r="C179" s="58" t="inlineStr">
        <is>
          <t>GROUP</t>
        </is>
      </c>
      <c r="D179" s="19" t="inlineStr">
        <is>
          <t>Group</t>
        </is>
      </c>
      <c r="E179" s="19" t="n"/>
    </row>
    <row r="180">
      <c r="A180" s="41" t="n"/>
      <c r="B180" s="19" t="n"/>
      <c r="C180" s="58" t="inlineStr">
        <is>
          <t>MAIN</t>
        </is>
      </c>
      <c r="D180" s="19" t="inlineStr">
        <is>
          <t>Main account</t>
        </is>
      </c>
      <c r="E180" s="19" t="n"/>
    </row>
    <row r="181">
      <c r="A181" s="41" t="n"/>
      <c r="B181" s="19" t="n"/>
      <c r="C181" s="58" t="inlineStr">
        <is>
          <t>SUB</t>
        </is>
      </c>
      <c r="D181" s="19" t="inlineStr">
        <is>
          <t>Sub-account</t>
        </is>
      </c>
      <c r="E181" s="19" t="n"/>
    </row>
    <row r="182">
      <c r="A182" s="41" t="n"/>
      <c r="B182" s="19" t="n"/>
      <c r="C182" s="58" t="inlineStr">
        <is>
          <t>MICRO</t>
        </is>
      </c>
      <c r="D182" s="19" t="inlineStr">
        <is>
          <t>Micro account</t>
        </is>
      </c>
      <c r="E182" s="19" t="n"/>
    </row>
    <row r="183" ht="28" customHeight="1">
      <c r="A183" s="59" t="inlineStr">
        <is>
          <t>Negative balance (NEGATIVE_BALANCE)</t>
        </is>
      </c>
      <c r="B183" s="14" t="inlineStr">
        <is>
          <t>D0-06 Chart of accounts: Negative Balance</t>
        </is>
      </c>
      <c r="C183" s="60" t="inlineStr">
        <is>
          <t>ALLOW</t>
        </is>
      </c>
      <c r="D183" s="14" t="inlineStr">
        <is>
          <t>Allowed</t>
        </is>
      </c>
      <c r="E183" s="14" t="n"/>
    </row>
    <row r="184">
      <c r="A184" s="59" t="n"/>
      <c r="B184" s="14" t="n"/>
      <c r="C184" s="60" t="inlineStr">
        <is>
          <t>WARN</t>
        </is>
      </c>
      <c r="D184" s="14" t="inlineStr">
        <is>
          <t>Allowed with a warning</t>
        </is>
      </c>
      <c r="E184" s="14" t="n"/>
    </row>
    <row r="185">
      <c r="A185" s="59" t="n"/>
      <c r="B185" s="14" t="n"/>
      <c r="C185" s="60" t="inlineStr">
        <is>
          <t>BLOCK</t>
        </is>
      </c>
      <c r="D185" s="14" t="inlineStr">
        <is>
          <t>Refused</t>
        </is>
      </c>
      <c r="E185" s="14" t="n"/>
    </row>
    <row r="186" ht="28" customHeight="1">
      <c r="A186" s="41" t="inlineStr">
        <is>
          <t>Category or numbering row (CATEGORY_ROW)</t>
        </is>
      </c>
      <c r="B186" s="19" t="inlineStr"/>
      <c r="C186" s="58" t="inlineStr">
        <is>
          <t>CATEGORY</t>
        </is>
      </c>
      <c r="D186" s="19" t="inlineStr">
        <is>
          <t>GL category</t>
        </is>
      </c>
      <c r="E186" s="19" t="n"/>
    </row>
    <row r="187">
      <c r="A187" s="41" t="n"/>
      <c r="B187" s="19" t="n"/>
      <c r="C187" s="58" t="inlineStr">
        <is>
          <t>NUMBERING</t>
        </is>
      </c>
      <c r="D187" s="19" t="inlineStr">
        <is>
          <t>Numbering scheme under a parent account</t>
        </is>
      </c>
      <c r="E187" s="19" t="n"/>
    </row>
    <row r="188">
      <c r="A188" s="59" t="inlineStr">
        <is>
          <t>Accounting event (ACCOUNTING_EVENT)</t>
        </is>
      </c>
      <c r="B188" s="14" t="inlineStr"/>
      <c r="C188" s="60" t="inlineStr">
        <is>
          <t>COMMISSION_ACCRUAL</t>
        </is>
      </c>
      <c r="D188" s="14" t="inlineStr">
        <is>
          <t>Commission accrued</t>
        </is>
      </c>
      <c r="E188" s="14" t="n"/>
    </row>
    <row r="189">
      <c r="A189" s="59" t="n"/>
      <c r="B189" s="14" t="n"/>
      <c r="C189" s="60" t="inlineStr">
        <is>
          <t>OPS_ADJ_COMMISSION</t>
        </is>
      </c>
      <c r="D189" s="14" t="inlineStr">
        <is>
          <t>Commission adjustment without premium change</t>
        </is>
      </c>
      <c r="E189" s="14" t="n"/>
    </row>
    <row r="190">
      <c r="A190" s="59" t="n"/>
      <c r="B190" s="14" t="n"/>
      <c r="C190" s="60" t="inlineStr">
        <is>
          <t>OPS_INCENTIVE_ACCRUE</t>
        </is>
      </c>
      <c r="D190" s="14" t="inlineStr">
        <is>
          <t>Incentive earned from insurer</t>
        </is>
      </c>
      <c r="E190" s="14" t="n"/>
    </row>
    <row r="191">
      <c r="A191" s="59" t="n"/>
      <c r="B191" s="14" t="n"/>
      <c r="C191" s="60" t="inlineStr">
        <is>
          <t>OPS_INCENTIVE_PASS_ON</t>
        </is>
      </c>
      <c r="D191" s="14" t="inlineStr">
        <is>
          <t>Incentive pass-on to branches</t>
        </is>
      </c>
      <c r="E191" s="14" t="n"/>
    </row>
    <row r="192">
      <c r="A192" s="59" t="n"/>
      <c r="B192" s="14" t="n"/>
      <c r="C192" s="60" t="inlineStr">
        <is>
          <t>OPS_REMIT_CPC2</t>
        </is>
      </c>
      <c r="D192" s="14" t="inlineStr">
        <is>
          <t>CPC2 incentive per remittance batch</t>
        </is>
      </c>
      <c r="E192" s="14" t="n"/>
    </row>
    <row r="193">
      <c r="A193" s="59" t="n"/>
      <c r="B193" s="14" t="n"/>
      <c r="C193" s="60" t="inlineStr">
        <is>
          <t>OPS_REMIT_INCENTIVE</t>
        </is>
      </c>
      <c r="D193" s="14" t="inlineStr">
        <is>
          <t>Early remittance incentive</t>
        </is>
      </c>
      <c r="E193" s="14" t="n"/>
    </row>
    <row r="194">
      <c r="A194" s="59" t="n"/>
      <c r="B194" s="14" t="n"/>
      <c r="C194" s="60" t="inlineStr">
        <is>
          <t>ASSET_ACQUISITION</t>
        </is>
      </c>
      <c r="D194" s="14" t="inlineStr">
        <is>
          <t>Fixed asset capitalized</t>
        </is>
      </c>
      <c r="E194" s="14" t="n"/>
    </row>
    <row r="195">
      <c r="A195" s="59" t="n"/>
      <c r="B195" s="14" t="n"/>
      <c r="C195" s="60" t="inlineStr">
        <is>
          <t>COMMISSION_PAYMENT</t>
        </is>
      </c>
      <c r="D195" s="14" t="inlineStr">
        <is>
          <t>Commission payment</t>
        </is>
      </c>
      <c r="E195" s="14" t="n"/>
    </row>
    <row r="196">
      <c r="A196" s="59" t="n"/>
      <c r="B196" s="14" t="n"/>
      <c r="C196" s="60" t="inlineStr">
        <is>
          <t>DISB_CHECK_NEGOTIATED</t>
        </is>
      </c>
      <c r="D196" s="14" t="inlineStr">
        <is>
          <t>Check negotiated</t>
        </is>
      </c>
      <c r="E196" s="14" t="n"/>
    </row>
    <row r="197">
      <c r="A197" s="59" t="n"/>
      <c r="B197" s="14" t="n"/>
      <c r="C197" s="60" t="inlineStr">
        <is>
          <t>DISB_CHECK_STALE</t>
        </is>
      </c>
      <c r="D197" s="14" t="inlineStr">
        <is>
          <t>Check staled</t>
        </is>
      </c>
      <c r="E197" s="14" t="n"/>
    </row>
    <row r="198">
      <c r="A198" s="59" t="n"/>
      <c r="B198" s="14" t="n"/>
      <c r="C198" s="60" t="inlineStr">
        <is>
          <t>DISB_VOUCHER</t>
        </is>
      </c>
      <c r="D198" s="14" t="inlineStr">
        <is>
          <t>Disbursement voucher approved</t>
        </is>
      </c>
      <c r="E198" s="14" t="n"/>
    </row>
    <row r="199">
      <c r="A199" s="59" t="n"/>
      <c r="B199" s="14" t="n"/>
      <c r="C199" s="60" t="inlineStr">
        <is>
          <t>FRBS_SERVICE_FEE_ACCRUE</t>
        </is>
      </c>
      <c r="D199" s="14" t="inlineStr">
        <is>
          <t>Service fee accrual</t>
        </is>
      </c>
      <c r="E199" s="14" t="n"/>
    </row>
    <row r="200">
      <c r="A200" s="59" t="n"/>
      <c r="B200" s="14" t="n"/>
      <c r="C200" s="60" t="inlineStr">
        <is>
          <t>MISC_PAYMENT</t>
        </is>
      </c>
      <c r="D200" s="14" t="inlineStr">
        <is>
          <t>Miscellaneous payment</t>
        </is>
      </c>
      <c r="E200" s="14" t="n"/>
    </row>
    <row r="201">
      <c r="A201" s="59" t="n"/>
      <c r="B201" s="14" t="n"/>
      <c r="C201" s="60" t="inlineStr">
        <is>
          <t>OPS_REMITTANCE</t>
        </is>
      </c>
      <c r="D201" s="14" t="inlineStr">
        <is>
          <t>Remittance to insurer</t>
        </is>
      </c>
      <c r="E201" s="14" t="n"/>
    </row>
    <row r="202">
      <c r="A202" s="59" t="n"/>
      <c r="B202" s="14" t="n"/>
      <c r="C202" s="60" t="inlineStr">
        <is>
          <t>OPS_REMIT_DEDUCTION</t>
        </is>
      </c>
      <c r="D202" s="14" t="inlineStr">
        <is>
          <t>Remittance deduction on insurer confirmation</t>
        </is>
      </c>
      <c r="E202" s="14" t="n"/>
    </row>
    <row r="203">
      <c r="A203" s="59" t="n"/>
      <c r="B203" s="14" t="n"/>
      <c r="C203" s="60" t="inlineStr">
        <is>
          <t>PDC_ISSUED_PRESENTED</t>
        </is>
      </c>
      <c r="D203" s="14" t="inlineStr">
        <is>
          <t>Issued PDC presented</t>
        </is>
      </c>
      <c r="E203" s="14" t="n"/>
    </row>
    <row r="204">
      <c r="A204" s="59" t="n"/>
      <c r="B204" s="14" t="n"/>
      <c r="C204" s="60" t="inlineStr">
        <is>
          <t>PETTY_CASH_EXPENSE</t>
        </is>
      </c>
      <c r="D204" s="14" t="inlineStr">
        <is>
          <t>Petty cash disbursement</t>
        </is>
      </c>
      <c r="E204" s="14" t="n"/>
    </row>
    <row r="205">
      <c r="A205" s="59" t="n"/>
      <c r="B205" s="14" t="n"/>
      <c r="C205" s="60" t="inlineStr">
        <is>
          <t>PETTY_CASH_REPLENISHMENT</t>
        </is>
      </c>
      <c r="D205" s="14" t="inlineStr">
        <is>
          <t>Petty cash reimbursement</t>
        </is>
      </c>
      <c r="E205" s="14" t="n"/>
    </row>
    <row r="206">
      <c r="A206" s="59" t="n"/>
      <c r="B206" s="14" t="n"/>
      <c r="C206" s="60" t="inlineStr">
        <is>
          <t>PREMIUM_REFUND_PAYMENT</t>
        </is>
      </c>
      <c r="D206" s="14" t="inlineStr">
        <is>
          <t>Premium refund payment</t>
        </is>
      </c>
      <c r="E206" s="14" t="n"/>
    </row>
    <row r="207">
      <c r="A207" s="59" t="n"/>
      <c r="B207" s="14" t="n"/>
      <c r="C207" s="60" t="inlineStr">
        <is>
          <t>PRQ_CA_LIQUIDATION</t>
        </is>
      </c>
      <c r="D207" s="14" t="inlineStr">
        <is>
          <t>Cash advance liquidation</t>
        </is>
      </c>
      <c r="E207" s="14" t="n"/>
    </row>
    <row r="208">
      <c r="A208" s="59" t="n"/>
      <c r="B208" s="14" t="n"/>
      <c r="C208" s="60" t="inlineStr">
        <is>
          <t>SUPPLIER_INVOICE</t>
        </is>
      </c>
      <c r="D208" s="14" t="inlineStr">
        <is>
          <t>Supplier invoice</t>
        </is>
      </c>
      <c r="E208" s="14" t="n"/>
    </row>
    <row r="209">
      <c r="A209" s="59" t="n"/>
      <c r="B209" s="14" t="n"/>
      <c r="C209" s="60" t="inlineStr">
        <is>
          <t>SUPPLIER_PAYMENT</t>
        </is>
      </c>
      <c r="D209" s="14" t="inlineStr">
        <is>
          <t>Supplier payment</t>
        </is>
      </c>
      <c r="E209" s="14" t="n"/>
    </row>
    <row r="210">
      <c r="A210" s="59" t="n"/>
      <c r="B210" s="14" t="n"/>
      <c r="C210" s="60" t="inlineStr">
        <is>
          <t>TAX_REMITTANCE</t>
        </is>
      </c>
      <c r="D210" s="14" t="inlineStr">
        <is>
          <t>Tax remittance</t>
        </is>
      </c>
      <c r="E210" s="14" t="n"/>
    </row>
    <row r="211">
      <c r="A211" s="59" t="n"/>
      <c r="B211" s="14" t="n"/>
      <c r="C211" s="60" t="inlineStr">
        <is>
          <t>BROKER_BOOKING</t>
        </is>
      </c>
      <c r="D211" s="14" t="inlineStr">
        <is>
          <t>Broker booking</t>
        </is>
      </c>
      <c r="E211" s="14" t="n"/>
    </row>
    <row r="212">
      <c r="A212" s="59" t="n"/>
      <c r="B212" s="14" t="n"/>
      <c r="C212" s="60" t="inlineStr">
        <is>
          <t>MIG_LEGACY_INVOICE_OPENING</t>
        </is>
      </c>
      <c r="D212" s="14" t="inlineStr">
        <is>
          <t>Legacy invoice opening</t>
        </is>
      </c>
      <c r="E212" s="14" t="n"/>
    </row>
    <row r="213">
      <c r="A213" s="59" t="n"/>
      <c r="B213" s="14" t="n"/>
      <c r="C213" s="60" t="inlineStr">
        <is>
          <t>MIG_LEGACY_POSITION_TRUEUP</t>
        </is>
      </c>
      <c r="D213" s="14" t="inlineStr">
        <is>
          <t>Legacy open-item adjustment</t>
        </is>
      </c>
      <c r="E213" s="14" t="n"/>
    </row>
    <row r="214">
      <c r="A214" s="59" t="n"/>
      <c r="B214" s="14" t="n"/>
      <c r="C214" s="60" t="inlineStr">
        <is>
          <t>OPS_AR_INSURER_SETUP</t>
        </is>
      </c>
      <c r="D214" s="14" t="inlineStr">
        <is>
          <t>AR Insurer set-up after a remitted decrease</t>
        </is>
      </c>
      <c r="E214" s="14" t="n"/>
    </row>
    <row r="215">
      <c r="A215" s="59" t="n"/>
      <c r="B215" s="14" t="n"/>
      <c r="C215" s="60" t="inlineStr">
        <is>
          <t>OPS_WRITE_OFF</t>
        </is>
      </c>
      <c r="D215" s="14" t="inlineStr">
        <is>
          <t>Minimal balance write-off / credit</t>
        </is>
      </c>
      <c r="E215" s="14" t="n"/>
    </row>
    <row r="216">
      <c r="A216" s="59" t="n"/>
      <c r="B216" s="14" t="n"/>
      <c r="C216" s="60" t="inlineStr">
        <is>
          <t>ASSET_DEPRECIATION</t>
        </is>
      </c>
      <c r="D216" s="14" t="inlineStr">
        <is>
          <t>Monthly depreciation</t>
        </is>
      </c>
      <c r="E216" s="14" t="n"/>
    </row>
    <row r="217">
      <c r="A217" s="59" t="n"/>
      <c r="B217" s="14" t="n"/>
      <c r="C217" s="60" t="inlineStr">
        <is>
          <t>ASSET_TAKE_ON</t>
        </is>
      </c>
      <c r="D217" s="14" t="inlineStr">
        <is>
          <t>Fixed asset opening balance</t>
        </is>
      </c>
      <c r="E217" s="14" t="n"/>
    </row>
    <row r="218">
      <c r="A218" s="59" t="n"/>
      <c r="B218" s="14" t="n"/>
      <c r="C218" s="60" t="inlineStr">
        <is>
          <t>ASSET_TRANSFER</t>
        </is>
      </c>
      <c r="D218" s="14" t="inlineStr">
        <is>
          <t>Inter-branch asset transfer</t>
        </is>
      </c>
      <c r="E218" s="14" t="n"/>
    </row>
    <row r="219">
      <c r="A219" s="59" t="n"/>
      <c r="B219" s="14" t="n"/>
      <c r="C219" s="60" t="inlineStr">
        <is>
          <t>ASSET_DISPOSAL</t>
        </is>
      </c>
      <c r="D219" s="14" t="inlineStr">
        <is>
          <t>Fixed asset disposal</t>
        </is>
      </c>
      <c r="E219" s="14" t="n"/>
    </row>
    <row r="220">
      <c r="A220" s="59" t="n"/>
      <c r="B220" s="14" t="n"/>
      <c r="C220" s="60" t="inlineStr">
        <is>
          <t>MIG_UPP_OPENING</t>
        </is>
      </c>
      <c r="D220" s="14" t="inlineStr">
        <is>
          <t>Legacy unapplied payment opening</t>
        </is>
      </c>
      <c r="E220" s="14" t="n"/>
    </row>
    <row r="221">
      <c r="A221" s="59" t="n"/>
      <c r="B221" s="14" t="n"/>
      <c r="C221" s="60" t="inlineStr">
        <is>
          <t>MISC_RECEIPT</t>
        </is>
      </c>
      <c r="D221" s="14" t="inlineStr">
        <is>
          <t>Miscellaneous receipt</t>
        </is>
      </c>
      <c r="E221" s="14" t="n"/>
    </row>
    <row r="222">
      <c r="A222" s="59" t="n"/>
      <c r="B222" s="14" t="n"/>
      <c r="C222" s="60" t="inlineStr">
        <is>
          <t>OPS_AR_INSURANCE_RECEIPT</t>
        </is>
      </c>
      <c r="D222" s="14" t="inlineStr">
        <is>
          <t>Insurer non-premium receipt</t>
        </is>
      </c>
      <c r="E222" s="14" t="n"/>
    </row>
    <row r="223">
      <c r="A223" s="59" t="n"/>
      <c r="B223" s="14" t="n"/>
      <c r="C223" s="60" t="inlineStr">
        <is>
          <t>OPS_AR_RECEIPT</t>
        </is>
      </c>
      <c r="D223" s="14" t="inlineStr">
        <is>
          <t>Acknowledgement receipt (premium)</t>
        </is>
      </c>
      <c r="E223" s="14" t="n"/>
    </row>
    <row r="224">
      <c r="A224" s="59" t="n"/>
      <c r="B224" s="14" t="n"/>
      <c r="C224" s="60" t="inlineStr">
        <is>
          <t>OPS_CWT_DTIP_OFFSET</t>
        </is>
      </c>
      <c r="D224" s="14" t="inlineStr">
        <is>
          <t>2307 certificate offset against DTIP</t>
        </is>
      </c>
      <c r="E224" s="14" t="n"/>
    </row>
    <row r="225">
      <c r="A225" s="59" t="n"/>
      <c r="B225" s="14" t="n"/>
      <c r="C225" s="60" t="inlineStr">
        <is>
          <t>OPS_CWT_RECLASS</t>
        </is>
      </c>
      <c r="D225" s="14" t="inlineStr">
        <is>
          <t>PR reclassified to the client 2307</t>
        </is>
      </c>
      <c r="E225" s="14" t="n"/>
    </row>
    <row r="226">
      <c r="A226" s="59" t="n"/>
      <c r="B226" s="14" t="n"/>
      <c r="C226" s="60" t="inlineStr">
        <is>
          <t>OPS_DP_COMMISSION_COLLECT</t>
        </is>
      </c>
      <c r="D226" s="14" t="inlineStr">
        <is>
          <t>Direct payment commission collected</t>
        </is>
      </c>
      <c r="E226" s="14" t="n"/>
    </row>
    <row r="227">
      <c r="A227" s="59" t="n"/>
      <c r="B227" s="14" t="n"/>
      <c r="C227" s="60" t="inlineStr">
        <is>
          <t>OPS_DP_PR_REVERSAL</t>
        </is>
      </c>
      <c r="D227" s="14" t="inlineStr">
        <is>
          <t>Direct payment PR reversal</t>
        </is>
      </c>
      <c r="E227" s="14" t="n"/>
    </row>
    <row r="228">
      <c r="A228" s="59" t="n"/>
      <c r="B228" s="14" t="n"/>
      <c r="C228" s="60" t="inlineStr">
        <is>
          <t>OPS_DP_REINSTATE</t>
        </is>
      </c>
      <c r="D228" s="14" t="inlineStr">
        <is>
          <t>Direct payment reinstatement</t>
        </is>
      </c>
      <c r="E228" s="14" t="n"/>
    </row>
    <row r="229">
      <c r="A229" s="59" t="n"/>
      <c r="B229" s="14" t="n"/>
      <c r="C229" s="60" t="inlineStr">
        <is>
          <t>OPS_EXCESS_TO_OVERAGES</t>
        </is>
      </c>
      <c r="D229" s="14" t="inlineStr">
        <is>
          <t>Minimal excess to AP overages</t>
        </is>
      </c>
      <c r="E229" s="14" t="n"/>
    </row>
    <row r="230">
      <c r="A230" s="59" t="n"/>
      <c r="B230" s="14" t="n"/>
      <c r="C230" s="60" t="inlineStr">
        <is>
          <t>OPS_MINIMAL_BALANCE_REVERSAL</t>
        </is>
      </c>
      <c r="D230" s="14" t="inlineStr">
        <is>
          <t>Premium minimal balance reversal</t>
        </is>
      </c>
      <c r="E230" s="14" t="n"/>
    </row>
    <row r="231">
      <c r="A231" s="59" t="n"/>
      <c r="B231" s="14" t="n"/>
      <c r="C231" s="60" t="inlineStr">
        <is>
          <t>OPS_OR_ISSUE</t>
        </is>
      </c>
      <c r="D231" s="14" t="inlineStr">
        <is>
          <t>Official receipt issued</t>
        </is>
      </c>
      <c r="E231" s="14" t="n"/>
    </row>
    <row r="232">
      <c r="A232" s="59" t="n"/>
      <c r="B232" s="14" t="n"/>
      <c r="C232" s="60" t="inlineStr">
        <is>
          <t>OPS_PAYMENT_APPLY</t>
        </is>
      </c>
      <c r="D232" s="14" t="inlineStr">
        <is>
          <t>Payment applied to a booked invoice</t>
        </is>
      </c>
      <c r="E232" s="14" t="n"/>
    </row>
    <row r="233">
      <c r="A233" s="59" t="n"/>
      <c r="B233" s="14" t="n"/>
      <c r="C233" s="60" t="inlineStr">
        <is>
          <t>OPS_RECEIPT_REINSTATE</t>
        </is>
      </c>
      <c r="D233" s="14" t="inlineStr">
        <is>
          <t>Receipt reinstated</t>
        </is>
      </c>
      <c r="E233" s="14" t="n"/>
    </row>
    <row r="234">
      <c r="A234" s="59" t="n"/>
      <c r="B234" s="14" t="n"/>
      <c r="C234" s="60" t="inlineStr">
        <is>
          <t>OPS_UNAPPLIED_RECLASS</t>
        </is>
      </c>
      <c r="D234" s="14" t="inlineStr">
        <is>
          <t>Unapplied payment reclassified</t>
        </is>
      </c>
      <c r="E234" s="14" t="n"/>
    </row>
    <row r="235">
      <c r="A235" s="59" t="n"/>
      <c r="B235" s="14" t="n"/>
      <c r="C235" s="60" t="inlineStr">
        <is>
          <t>OPS_UNAPPLIED_REFUND</t>
        </is>
      </c>
      <c r="D235" s="14" t="inlineStr">
        <is>
          <t>Unapplied payment refunded</t>
        </is>
      </c>
      <c r="E235" s="14" t="n"/>
    </row>
    <row r="236">
      <c r="A236" s="59" t="n"/>
      <c r="B236" s="14" t="n"/>
      <c r="C236" s="60" t="inlineStr">
        <is>
          <t>OPS_UNAPPLIED_TO_INCOME</t>
        </is>
      </c>
      <c r="D236" s="14" t="inlineStr">
        <is>
          <t>Unapplied payment reclassified to other income</t>
        </is>
      </c>
      <c r="E236" s="14" t="n"/>
    </row>
    <row r="237">
      <c r="A237" s="59" t="n"/>
      <c r="B237" s="14" t="n"/>
      <c r="C237" s="60" t="inlineStr">
        <is>
          <t>PREMIUM_DEPOSIT</t>
        </is>
      </c>
      <c r="D237" s="14" t="inlineStr">
        <is>
          <t>Unapplied collection</t>
        </is>
      </c>
      <c r="E237" s="14" t="n"/>
    </row>
    <row r="238">
      <c r="A238" s="59" t="n"/>
      <c r="B238" s="14" t="n"/>
      <c r="C238" s="60" t="inlineStr">
        <is>
          <t>PREMIUM_RECEIPT</t>
        </is>
      </c>
      <c r="D238" s="14" t="inlineStr">
        <is>
          <t>Premium collection</t>
        </is>
      </c>
      <c r="E238" s="14" t="n"/>
    </row>
    <row r="239">
      <c r="A239" s="59" t="n"/>
      <c r="B239" s="14" t="n"/>
      <c r="C239" s="60" t="inlineStr">
        <is>
          <t>SBM_HANDLING_FEE</t>
        </is>
      </c>
      <c r="D239" s="14" t="inlineStr">
        <is>
          <t>Handling fee recognised</t>
        </is>
      </c>
      <c r="E239" s="14" t="n"/>
    </row>
    <row r="240">
      <c r="A240" s="59" t="n"/>
      <c r="B240" s="14" t="n"/>
      <c r="C240" s="60" t="inlineStr">
        <is>
          <t>SBM_NO_TOUCH_FEE</t>
        </is>
      </c>
      <c r="D240" s="14" t="inlineStr">
        <is>
          <t>No Touch service fee billed</t>
        </is>
      </c>
      <c r="E240" s="14" t="n"/>
    </row>
    <row r="241">
      <c r="A241" s="59" t="n"/>
      <c r="B241" s="14" t="n"/>
      <c r="C241" s="60" t="inlineStr">
        <is>
          <t>TAX_CWT_CERT_RECEIVED</t>
        </is>
      </c>
      <c r="D241" s="14" t="inlineStr">
        <is>
          <t>Insurer 2307 certificate received</t>
        </is>
      </c>
      <c r="E241" s="14" t="n"/>
    </row>
    <row r="242">
      <c r="A242" s="59" t="n"/>
      <c r="B242" s="14" t="n"/>
      <c r="C242" s="60" t="inlineStr">
        <is>
          <t>UNAPPLIED_APPLICATION</t>
        </is>
      </c>
      <c r="D242" s="14" t="inlineStr">
        <is>
          <t>Application of unapplied collection</t>
        </is>
      </c>
      <c r="E242" s="14" t="n"/>
    </row>
    <row r="243">
      <c r="A243" s="59" t="n"/>
      <c r="B243" s="14" t="n"/>
      <c r="C243" s="60" t="inlineStr">
        <is>
          <t>BANK_TRANSFER</t>
        </is>
      </c>
      <c r="D243" s="14" t="inlineStr">
        <is>
          <t>Bank transfer</t>
        </is>
      </c>
      <c r="E243" s="14" t="n"/>
    </row>
    <row r="244">
      <c r="A244" s="59" t="n"/>
      <c r="B244" s="14" t="n"/>
      <c r="C244" s="60" t="inlineStr">
        <is>
          <t>DISB_FUND_TRANSFER</t>
        </is>
      </c>
      <c r="D244" s="14" t="inlineStr">
        <is>
          <t>Account funding transfer</t>
        </is>
      </c>
      <c r="E244" s="14" t="n"/>
    </row>
    <row r="245">
      <c r="A245" s="59" t="n"/>
      <c r="B245" s="14" t="n"/>
      <c r="C245" s="60" t="inlineStr">
        <is>
          <t>INVESTMENT_AMORTIZATION</t>
        </is>
      </c>
      <c r="D245" s="14" t="inlineStr">
        <is>
          <t>Premium / discount amortization</t>
        </is>
      </c>
      <c r="E245" s="14" t="n"/>
    </row>
    <row r="246">
      <c r="A246" s="59" t="n"/>
      <c r="B246" s="14" t="n"/>
      <c r="C246" s="60" t="inlineStr">
        <is>
          <t>INVESTMENT_FAIR_VALUE</t>
        </is>
      </c>
      <c r="D246" s="14" t="inlineStr">
        <is>
          <t>Investment fair value change</t>
        </is>
      </c>
      <c r="E246" s="14" t="n"/>
    </row>
    <row r="247">
      <c r="A247" s="59" t="n"/>
      <c r="B247" s="14" t="n"/>
      <c r="C247" s="60" t="inlineStr">
        <is>
          <t>INVESTMENT_INTEREST_ACCRUAL</t>
        </is>
      </c>
      <c r="D247" s="14" t="inlineStr">
        <is>
          <t>Investment interest accrual</t>
        </is>
      </c>
      <c r="E247" s="14" t="n"/>
    </row>
    <row r="248">
      <c r="A248" s="59" t="n"/>
      <c r="B248" s="14" t="n"/>
      <c r="C248" s="60" t="inlineStr">
        <is>
          <t>INVESTMENT_INTEREST_RECEIPT</t>
        </is>
      </c>
      <c r="D248" s="14" t="inlineStr">
        <is>
          <t>Coupon / interest received</t>
        </is>
      </c>
      <c r="E248" s="14" t="n"/>
    </row>
    <row r="249">
      <c r="A249" s="59" t="n"/>
      <c r="B249" s="14" t="n"/>
      <c r="C249" s="60" t="inlineStr">
        <is>
          <t>INVESTMENT_MATURITY</t>
        </is>
      </c>
      <c r="D249" s="14" t="inlineStr">
        <is>
          <t>Investment maturity</t>
        </is>
      </c>
      <c r="E249" s="14" t="n"/>
    </row>
    <row r="250">
      <c r="A250" s="59" t="n"/>
      <c r="B250" s="14" t="n"/>
      <c r="C250" s="60" t="inlineStr">
        <is>
          <t>INVESTMENT_PURCHASE</t>
        </is>
      </c>
      <c r="D250" s="14" t="inlineStr">
        <is>
          <t>Investment purchase</t>
        </is>
      </c>
      <c r="E250" s="14" t="n"/>
    </row>
    <row r="251">
      <c r="A251" s="59" t="n"/>
      <c r="B251" s="14" t="n"/>
      <c r="C251" s="60" t="inlineStr">
        <is>
          <t>INVESTMENT_SALE</t>
        </is>
      </c>
      <c r="D251" s="14" t="inlineStr">
        <is>
          <t>Investment sale</t>
        </is>
      </c>
      <c r="E251" s="14" t="n"/>
    </row>
    <row r="252">
      <c r="A252" s="59" t="n"/>
      <c r="B252" s="14" t="n"/>
      <c r="C252" s="60" t="inlineStr">
        <is>
          <t>INVESTMENT_TAKE_ON</t>
        </is>
      </c>
      <c r="D252" s="14" t="inlineStr">
        <is>
          <t>Investment opening balance</t>
        </is>
      </c>
      <c r="E252" s="14" t="n"/>
    </row>
    <row r="253">
      <c r="A253" s="41" t="inlineStr">
        <is>
          <t>Debit or credit (DEBIT_CREDIT)</t>
        </is>
      </c>
      <c r="B253" s="19" t="inlineStr"/>
      <c r="C253" s="58" t="inlineStr">
        <is>
          <t>DEBIT</t>
        </is>
      </c>
      <c r="D253" s="19" t="inlineStr">
        <is>
          <t>Debit</t>
        </is>
      </c>
      <c r="E253" s="19" t="n"/>
    </row>
    <row r="254">
      <c r="A254" s="41" t="n"/>
      <c r="B254" s="19" t="n"/>
      <c r="C254" s="58" t="inlineStr">
        <is>
          <t>CREDIT</t>
        </is>
      </c>
      <c r="D254" s="19" t="inlineStr">
        <is>
          <t>Credit</t>
        </is>
      </c>
      <c r="E254" s="19" t="n"/>
    </row>
    <row r="255" ht="28" customHeight="1">
      <c r="A255" s="59" t="inlineStr">
        <is>
          <t>Legacy control account (LEGACY_ACCOUNT)</t>
        </is>
      </c>
      <c r="B255" s="14" t="inlineStr"/>
      <c r="C255" s="60" t="inlineStr">
        <is>
          <t>Premium Receivable - Legacy</t>
        </is>
      </c>
      <c r="D255" s="14" t="inlineStr">
        <is>
          <t>Per component</t>
        </is>
      </c>
      <c r="E255" s="14" t="n"/>
    </row>
    <row r="256">
      <c r="A256" s="59" t="n"/>
      <c r="B256" s="14" t="n"/>
      <c r="C256" s="60" t="inlineStr">
        <is>
          <t>PR 2307 - Legacy</t>
        </is>
      </c>
      <c r="D256" s="14" t="n"/>
      <c r="E256" s="14" t="n"/>
    </row>
    <row r="257">
      <c r="A257" s="59" t="n"/>
      <c r="B257" s="14" t="n"/>
      <c r="C257" s="60" t="inlineStr">
        <is>
          <t>Due to Insurers - Legacy</t>
        </is>
      </c>
      <c r="D257" s="14" t="n"/>
      <c r="E257" s="14" t="n"/>
    </row>
    <row r="258">
      <c r="A258" s="59" t="n"/>
      <c r="B258" s="14" t="n"/>
      <c r="C258" s="60" t="inlineStr">
        <is>
          <t>Commission Receivable - Legacy</t>
        </is>
      </c>
      <c r="D258" s="14" t="n"/>
      <c r="E258" s="14" t="n"/>
    </row>
    <row r="259">
      <c r="A259" s="59" t="n"/>
      <c r="B259" s="14" t="n"/>
      <c r="C259" s="60" t="inlineStr">
        <is>
          <t>Unrealised Commission - Legacy</t>
        </is>
      </c>
      <c r="D259" s="14" t="n"/>
      <c r="E259" s="14" t="n"/>
    </row>
    <row r="260">
      <c r="A260" s="59" t="n"/>
      <c r="B260" s="14" t="n"/>
      <c r="C260" s="60" t="inlineStr">
        <is>
          <t>Deferred Output VAT - Legacy</t>
        </is>
      </c>
      <c r="D260" s="14" t="n"/>
      <c r="E260" s="14" t="n"/>
    </row>
    <row r="261">
      <c r="A261" s="59" t="n"/>
      <c r="B261" s="14" t="n"/>
      <c r="C261" s="60" t="inlineStr">
        <is>
          <t>Unapplied Collections - Legacy</t>
        </is>
      </c>
      <c r="D261" s="14" t="n"/>
      <c r="E261" s="14" t="n"/>
    </row>
    <row r="262">
      <c r="A262" s="59" t="n"/>
      <c r="B262" s="14" t="n"/>
      <c r="C262" s="60" t="inlineStr">
        <is>
          <t>Migration Clearing</t>
        </is>
      </c>
      <c r="D262" s="14" t="inlineStr">
        <is>
          <t>Nets to zero after the opening</t>
        </is>
      </c>
      <c r="E262" s="14" t="n"/>
    </row>
    <row r="263">
      <c r="A263" s="41" t="inlineStr">
        <is>
          <t>Tax type (TAX_TYPE)</t>
        </is>
      </c>
      <c r="B263" s="19" t="inlineStr"/>
      <c r="C263" s="58" t="inlineStr">
        <is>
          <t>EWT</t>
        </is>
      </c>
      <c r="D263" s="19" t="inlineStr">
        <is>
          <t>Expanded withholding tax</t>
        </is>
      </c>
      <c r="E263" s="19" t="n"/>
    </row>
    <row r="264">
      <c r="A264" s="41" t="n"/>
      <c r="B264" s="19" t="n"/>
      <c r="C264" s="58" t="inlineStr">
        <is>
          <t>FWT</t>
        </is>
      </c>
      <c r="D264" s="19" t="inlineStr">
        <is>
          <t>Final withholding tax</t>
        </is>
      </c>
      <c r="E264" s="19" t="n"/>
    </row>
    <row r="265">
      <c r="A265" s="41" t="n"/>
      <c r="B265" s="19" t="n"/>
      <c r="C265" s="58" t="inlineStr">
        <is>
          <t>VAT</t>
        </is>
      </c>
      <c r="D265" s="19" t="inlineStr">
        <is>
          <t>Value-added tax</t>
        </is>
      </c>
      <c r="E265" s="19" t="n"/>
    </row>
    <row r="266">
      <c r="A266" s="41" t="n"/>
      <c r="B266" s="19" t="n"/>
      <c r="C266" s="58" t="inlineStr">
        <is>
          <t>PT</t>
        </is>
      </c>
      <c r="D266" s="19" t="inlineStr">
        <is>
          <t>Percentage tax</t>
        </is>
      </c>
      <c r="E266" s="19" t="n"/>
    </row>
    <row r="267" ht="28" customHeight="1">
      <c r="A267" s="59" t="inlineStr">
        <is>
          <t>Payee class (PAYEE_CLASS)</t>
        </is>
      </c>
      <c r="B267" s="14" t="inlineStr"/>
      <c r="C267" s="60" t="inlineStr">
        <is>
          <t>SUPPLIER</t>
        </is>
      </c>
      <c r="D267" s="14" t="inlineStr">
        <is>
          <t>Supplier</t>
        </is>
      </c>
      <c r="E267" s="14" t="inlineStr">
        <is>
          <t>The values of the list PAYEE_CLASS as delivered with BIBS; a new value is added with its template and may then be used here.</t>
        </is>
      </c>
    </row>
    <row r="268">
      <c r="A268" s="59" t="n"/>
      <c r="B268" s="14" t="n"/>
      <c r="C268" s="60" t="inlineStr">
        <is>
          <t>INSURER</t>
        </is>
      </c>
      <c r="D268" s="14" t="inlineStr">
        <is>
          <t>Insurer</t>
        </is>
      </c>
      <c r="E268" s="14" t="n"/>
    </row>
    <row r="269">
      <c r="A269" s="59" t="n"/>
      <c r="B269" s="14" t="n"/>
      <c r="C269" s="60" t="inlineStr">
        <is>
          <t>EMPLOYEE</t>
        </is>
      </c>
      <c r="D269" s="14" t="inlineStr">
        <is>
          <t>Employee</t>
        </is>
      </c>
      <c r="E269" s="14" t="n"/>
    </row>
    <row r="270">
      <c r="A270" s="59" t="n"/>
      <c r="B270" s="14" t="n"/>
      <c r="C270" s="60" t="inlineStr">
        <is>
          <t>CLIENT</t>
        </is>
      </c>
      <c r="D270" s="14" t="inlineStr">
        <is>
          <t>Client</t>
        </is>
      </c>
      <c r="E270" s="14" t="n"/>
    </row>
    <row r="271">
      <c r="A271" s="59" t="n"/>
      <c r="B271" s="14" t="n"/>
      <c r="C271" s="60" t="inlineStr">
        <is>
          <t>GOVERNMENT</t>
        </is>
      </c>
      <c r="D271" s="14" t="inlineStr">
        <is>
          <t>Government agency</t>
        </is>
      </c>
      <c r="E271" s="14" t="n"/>
    </row>
    <row r="272">
      <c r="A272" s="59" t="n"/>
      <c r="B272" s="14" t="n"/>
      <c r="C272" s="60" t="inlineStr">
        <is>
          <t>OTHER</t>
        </is>
      </c>
      <c r="D272" s="14" t="inlineStr">
        <is>
          <t>Others</t>
        </is>
      </c>
      <c r="E272" s="14" t="n"/>
    </row>
    <row r="273" ht="28" customHeight="1">
      <c r="A273" s="41" t="inlineStr">
        <is>
          <t>Module of an approval matrix (APPROVAL_MODULE)</t>
        </is>
      </c>
      <c r="B273" s="19" t="inlineStr"/>
      <c r="C273" s="58" t="inlineStr">
        <is>
          <t>Submitted Policies</t>
        </is>
      </c>
      <c r="D273" s="19" t="n"/>
      <c r="E273" s="19" t="n"/>
    </row>
    <row r="274">
      <c r="A274" s="41" t="n"/>
      <c r="B274" s="19" t="n"/>
      <c r="C274" s="58" t="inlineStr">
        <is>
          <t>Employee Benefits</t>
        </is>
      </c>
      <c r="D274" s="19" t="n"/>
      <c r="E274" s="19" t="n"/>
    </row>
    <row r="275">
      <c r="A275" s="41" t="n"/>
      <c r="B275" s="19" t="n"/>
      <c r="C275" s="58" t="inlineStr">
        <is>
          <t>Sanction Screening</t>
        </is>
      </c>
      <c r="D275" s="19" t="n"/>
      <c r="E275" s="19" t="n"/>
    </row>
    <row r="276">
      <c r="A276" s="41" t="n"/>
      <c r="B276" s="19" t="n"/>
      <c r="C276" s="58" t="inlineStr">
        <is>
          <t>Disbursement</t>
        </is>
      </c>
      <c r="D276" s="19" t="n"/>
      <c r="E276" s="19" t="n"/>
    </row>
    <row r="277">
      <c r="A277" s="59" t="inlineStr">
        <is>
          <t>Dimension (D0-04) (D0_04_DIMENSION)</t>
        </is>
      </c>
      <c r="B277" s="14" t="inlineStr">
        <is>
          <t>D0-04 Dimensions: Dimension</t>
        </is>
      </c>
      <c r="C277" s="60" t="inlineStr">
        <is>
          <t>COST_CENTER</t>
        </is>
      </c>
      <c r="D277" s="14" t="inlineStr">
        <is>
          <t>Cost center</t>
        </is>
      </c>
      <c r="E277" s="14" t="n"/>
    </row>
    <row r="278">
      <c r="A278" s="59" t="n"/>
      <c r="B278" s="14" t="n"/>
      <c r="C278" s="60" t="inlineStr">
        <is>
          <t>BUSINESS_LINE</t>
        </is>
      </c>
      <c r="D278" s="14" t="inlineStr">
        <is>
          <t>Business line</t>
        </is>
      </c>
      <c r="E278" s="14" t="n"/>
    </row>
    <row r="279">
      <c r="A279" s="59" t="n"/>
      <c r="B279" s="14" t="n"/>
      <c r="C279" s="60" t="inlineStr">
        <is>
          <t>DEPARTMENT</t>
        </is>
      </c>
      <c r="D279" s="14" t="inlineStr">
        <is>
          <t>Department</t>
        </is>
      </c>
      <c r="E279" s="14" t="n"/>
    </row>
    <row r="280" ht="28" customHeight="1">
      <c r="A280" s="41" t="inlineStr">
        <is>
          <t>R03 record_type (R03_RECORD_TYPE)</t>
        </is>
      </c>
      <c r="B280" s="19" t="inlineStr">
        <is>
          <t>R03 Sales organisation (units a: record_type</t>
        </is>
      </c>
      <c r="C280" s="58" t="inlineStr">
        <is>
          <t>REGION</t>
        </is>
      </c>
      <c r="D280" s="19" t="n"/>
      <c r="E280" s="19" t="n"/>
    </row>
    <row r="281">
      <c r="A281" s="41" t="n"/>
      <c r="B281" s="19" t="n"/>
      <c r="C281" s="58" t="inlineStr">
        <is>
          <t>DEPARTMENT</t>
        </is>
      </c>
      <c r="D281" s="19" t="n"/>
      <c r="E281" s="19" t="n"/>
    </row>
    <row r="282">
      <c r="A282" s="41" t="n"/>
      <c r="B282" s="19" t="n"/>
      <c r="C282" s="58" t="inlineStr">
        <is>
          <t>TEAM</t>
        </is>
      </c>
      <c r="D282" s="19" t="n"/>
      <c r="E282" s="19" t="n"/>
    </row>
    <row r="283">
      <c r="A283" s="41" t="n"/>
      <c r="B283" s="19" t="n"/>
      <c r="C283" s="58" t="inlineStr">
        <is>
          <t>AO</t>
        </is>
      </c>
      <c r="D283" s="19" t="n"/>
      <c r="E283" s="19" t="n"/>
    </row>
    <row r="284">
      <c r="A284" s="59" t="inlineStr">
        <is>
          <t>List (UA-06) (UA_06_LIST)</t>
        </is>
      </c>
      <c r="B284" s="14" t="inlineStr">
        <is>
          <t>UA-06 Lists of values: List</t>
        </is>
      </c>
      <c r="C284" s="60" t="inlineStr">
        <is>
          <t>UAM_BUSINESS_UNIT</t>
        </is>
      </c>
      <c r="D284" s="14" t="inlineStr">
        <is>
          <t>Uam business unit</t>
        </is>
      </c>
      <c r="E284" s="14" t="n"/>
    </row>
    <row r="285">
      <c r="A285" s="59" t="n"/>
      <c r="B285" s="14" t="n"/>
      <c r="C285" s="60" t="inlineStr">
        <is>
          <t>UAM_USER_LEVEL</t>
        </is>
      </c>
      <c r="D285" s="14" t="inlineStr">
        <is>
          <t>Uam user level</t>
        </is>
      </c>
      <c r="E285" s="14" t="n"/>
    </row>
    <row r="286">
      <c r="A286" s="59" t="n"/>
      <c r="B286" s="14" t="n"/>
      <c r="C286" s="60" t="inlineStr">
        <is>
          <t>UAM_DEACTIVATION_REASON</t>
        </is>
      </c>
      <c r="D286" s="14" t="inlineStr">
        <is>
          <t>Uam deactivation reason</t>
        </is>
      </c>
      <c r="E286" s="14" t="n"/>
    </row>
    <row r="287" ht="28" customHeight="1">
      <c r="A287" s="41" t="inlineStr">
        <is>
          <t>Privilege level (UA-02) (UA_02_PRIVILEGE_LEVEL)</t>
        </is>
      </c>
      <c r="B287" s="19" t="inlineStr">
        <is>
          <t>UA-02 Role matrix: Privilege level</t>
        </is>
      </c>
      <c r="C287" s="58" t="inlineStr">
        <is>
          <t>Low</t>
        </is>
      </c>
      <c r="D287" s="19" t="inlineStr">
        <is>
          <t>Low</t>
        </is>
      </c>
      <c r="E287" s="19" t="n"/>
    </row>
    <row r="288">
      <c r="A288" s="41" t="n"/>
      <c r="B288" s="19" t="n"/>
      <c r="C288" s="58" t="inlineStr">
        <is>
          <t>Standard</t>
        </is>
      </c>
      <c r="D288" s="19" t="inlineStr">
        <is>
          <t>Standard</t>
        </is>
      </c>
      <c r="E288" s="19" t="n"/>
    </row>
    <row r="289">
      <c r="A289" s="41" t="n"/>
      <c r="B289" s="19" t="n"/>
      <c r="C289" s="58" t="inlineStr">
        <is>
          <t>High</t>
        </is>
      </c>
      <c r="D289" s="19" t="inlineStr">
        <is>
          <t>High</t>
        </is>
      </c>
      <c r="E289" s="19" t="n"/>
    </row>
    <row r="290">
      <c r="A290" s="41" t="n"/>
      <c r="B290" s="19" t="n"/>
      <c r="C290" s="58" t="inlineStr">
        <is>
          <t>Admin</t>
        </is>
      </c>
      <c r="D290" s="19" t="inlineStr">
        <is>
          <t>Admin</t>
        </is>
      </c>
      <c r="E290" s="19" t="n"/>
    </row>
    <row r="291" ht="28" customHeight="1">
      <c r="A291" s="59" t="inlineStr">
        <is>
          <t>Keep / Add / Remove (UA-02) (UA_02_KEEP_ADD_REMOVE)</t>
        </is>
      </c>
      <c r="B291" s="14" t="inlineStr">
        <is>
          <t>UA-02 Role matrix: Keep / Add / Remove</t>
        </is>
      </c>
      <c r="C291" s="60" t="inlineStr">
        <is>
          <t>KEEP</t>
        </is>
      </c>
      <c r="D291" s="14" t="inlineStr">
        <is>
          <t>Keep</t>
        </is>
      </c>
      <c r="E291" s="14" t="n"/>
    </row>
    <row r="292">
      <c r="A292" s="59" t="n"/>
      <c r="B292" s="14" t="n"/>
      <c r="C292" s="60" t="inlineStr">
        <is>
          <t>ADD</t>
        </is>
      </c>
      <c r="D292" s="14" t="inlineStr">
        <is>
          <t>Add</t>
        </is>
      </c>
      <c r="E292" s="14" t="n"/>
    </row>
    <row r="293">
      <c r="A293" s="59" t="n"/>
      <c r="B293" s="14" t="n"/>
      <c r="C293" s="60" t="inlineStr">
        <is>
          <t>REMOVE</t>
        </is>
      </c>
      <c r="D293" s="14" t="inlineStr">
        <is>
          <t>Remove</t>
        </is>
      </c>
      <c r="E293" s="14" t="n"/>
    </row>
    <row r="294" ht="28" customHeight="1">
      <c r="A294" s="41" t="inlineStr">
        <is>
          <t>Role in user access (UA-03) (UA_03_ROLE_IN_USER_ACCESS)</t>
        </is>
      </c>
      <c r="B294" s="19" t="inlineStr">
        <is>
          <t>UA-03 Approval rules: Role in user access</t>
        </is>
      </c>
      <c r="C294" s="58" t="inlineStr">
        <is>
          <t>Requestor</t>
        </is>
      </c>
      <c r="D294" s="19" t="inlineStr">
        <is>
          <t>Requestor</t>
        </is>
      </c>
      <c r="E294" s="19" t="n"/>
    </row>
    <row r="295">
      <c r="A295" s="41" t="n"/>
      <c r="B295" s="19" t="n"/>
      <c r="C295" s="58" t="inlineStr">
        <is>
          <t>Approver</t>
        </is>
      </c>
      <c r="D295" s="19" t="inlineStr">
        <is>
          <t>Approver</t>
        </is>
      </c>
      <c r="E295" s="19" t="n"/>
    </row>
    <row r="296">
      <c r="A296" s="41" t="n"/>
      <c r="B296" s="19" t="n"/>
      <c r="C296" s="58" t="inlineStr">
        <is>
          <t>Second Approver</t>
        </is>
      </c>
      <c r="D296" s="19" t="inlineStr">
        <is>
          <t>Second Approver</t>
        </is>
      </c>
      <c r="E296" s="19" t="n"/>
    </row>
    <row r="297">
      <c r="A297" s="41" t="n"/>
      <c r="B297" s="19" t="n"/>
      <c r="C297" s="58" t="inlineStr">
        <is>
          <t>Group-profile requester</t>
        </is>
      </c>
      <c r="D297" s="19" t="inlineStr">
        <is>
          <t>Group-profile requester</t>
        </is>
      </c>
      <c r="E297" s="19" t="n"/>
    </row>
    <row r="298">
      <c r="A298" s="41" t="n"/>
      <c r="B298" s="19" t="n"/>
      <c r="C298" s="58" t="inlineStr">
        <is>
          <t>Implementer</t>
        </is>
      </c>
      <c r="D298" s="19" t="inlineStr">
        <is>
          <t>Implementer</t>
        </is>
      </c>
      <c r="E298" s="19" t="n"/>
    </row>
    <row r="299">
      <c r="A299" s="59" t="inlineStr">
        <is>
          <t>Status (UA-04) (UA_04_STATUS)</t>
        </is>
      </c>
      <c r="B299" s="14" t="inlineStr">
        <is>
          <t>UA-04 SoD rules: Status</t>
        </is>
      </c>
      <c r="C299" s="60" t="inlineStr">
        <is>
          <t>Enforced</t>
        </is>
      </c>
      <c r="D299" s="14" t="inlineStr">
        <is>
          <t>Enforced</t>
        </is>
      </c>
      <c r="E299" s="14" t="n"/>
    </row>
    <row r="300">
      <c r="A300" s="59" t="n"/>
      <c r="B300" s="14" t="n"/>
      <c r="C300" s="60" t="inlineStr">
        <is>
          <t>To confirm</t>
        </is>
      </c>
      <c r="D300" s="14" t="inlineStr">
        <is>
          <t>To confirm</t>
        </is>
      </c>
      <c r="E300" s="14" t="n"/>
    </row>
    <row r="301">
      <c r="A301" s="59" t="n"/>
      <c r="B301" s="14" t="n"/>
      <c r="C301" s="60" t="inlineStr">
        <is>
          <t>New</t>
        </is>
      </c>
      <c r="D301" s="14" t="inlineStr">
        <is>
          <t>New</t>
        </is>
      </c>
      <c r="E301" s="14" t="n"/>
    </row>
    <row r="302">
      <c r="A302" s="41" t="inlineStr">
        <is>
          <t>Control (UA-04) (UA_04_CONTROL)</t>
        </is>
      </c>
      <c r="B302" s="19" t="inlineStr">
        <is>
          <t>UA-04 SoD rules: Control</t>
        </is>
      </c>
      <c r="C302" s="58" t="inlineStr">
        <is>
          <t>Prevent</t>
        </is>
      </c>
      <c r="D302" s="19" t="inlineStr">
        <is>
          <t>Prevent</t>
        </is>
      </c>
      <c r="E302" s="19" t="n"/>
    </row>
    <row r="303">
      <c r="A303" s="41" t="n"/>
      <c r="B303" s="19" t="n"/>
      <c r="C303" s="58" t="inlineStr">
        <is>
          <t>Detect by review</t>
        </is>
      </c>
      <c r="D303" s="19" t="inlineStr">
        <is>
          <t>Detect by review</t>
        </is>
      </c>
      <c r="E303" s="19" t="n"/>
    </row>
    <row r="304">
      <c r="A304" s="41" t="n"/>
      <c r="B304" s="19" t="n"/>
      <c r="C304" s="58" t="inlineStr">
        <is>
          <t>Second approval</t>
        </is>
      </c>
      <c r="D304" s="19" t="inlineStr">
        <is>
          <t>Second approval</t>
        </is>
      </c>
      <c r="E304" s="19" t="n"/>
    </row>
    <row r="305" ht="28" customHeight="1">
      <c r="A305" s="59" t="inlineStr">
        <is>
          <t>Review frequency (UA-04) (UA_04_REVIEW_FREQUENCY)</t>
        </is>
      </c>
      <c r="B305" s="14" t="inlineStr">
        <is>
          <t>UA-04 SoD rules: Review frequency</t>
        </is>
      </c>
      <c r="C305" s="60" t="inlineStr">
        <is>
          <t>Monthly</t>
        </is>
      </c>
      <c r="D305" s="14" t="inlineStr">
        <is>
          <t>Monthly</t>
        </is>
      </c>
      <c r="E305" s="14" t="n"/>
    </row>
    <row r="306">
      <c r="A306" s="59" t="n"/>
      <c r="B306" s="14" t="n"/>
      <c r="C306" s="60" t="inlineStr">
        <is>
          <t>Quarterly</t>
        </is>
      </c>
      <c r="D306" s="14" t="inlineStr">
        <is>
          <t>Quarterly</t>
        </is>
      </c>
      <c r="E306" s="14" t="n"/>
    </row>
    <row r="307">
      <c r="A307" s="41" t="inlineStr">
        <is>
          <t>Parameter (UA-05) (UA_05_PARAMETER)</t>
        </is>
      </c>
      <c r="B307" s="19" t="inlineStr">
        <is>
          <t>UA-05 Parameters: Parameter</t>
        </is>
      </c>
      <c r="C307" s="58" t="inlineStr">
        <is>
          <t>LOGIN_MAX_FAILED_ATTEMPTS</t>
        </is>
      </c>
      <c r="D307" s="19" t="inlineStr">
        <is>
          <t>Login max failed attempts</t>
        </is>
      </c>
      <c r="E307" s="19" t="n"/>
    </row>
    <row r="308">
      <c r="A308" s="41" t="n"/>
      <c r="B308" s="19" t="n"/>
      <c r="C308" s="58" t="inlineStr">
        <is>
          <t>SESSION_IDLE_WARNING_MINUTES</t>
        </is>
      </c>
      <c r="D308" s="19" t="inlineStr">
        <is>
          <t>Session idle warning minutes</t>
        </is>
      </c>
      <c r="E308" s="19" t="n"/>
    </row>
    <row r="309">
      <c r="A309" s="41" t="n"/>
      <c r="B309" s="19" t="n"/>
      <c r="C309" s="58" t="inlineStr">
        <is>
          <t>SESSION_TIMEOUT_MINUTES</t>
        </is>
      </c>
      <c r="D309" s="19" t="inlineStr">
        <is>
          <t>Session timeout minutes</t>
        </is>
      </c>
      <c r="E309" s="19" t="n"/>
    </row>
    <row r="310">
      <c r="A310" s="41" t="n"/>
      <c r="B310" s="19" t="n"/>
      <c r="C310" s="58" t="inlineStr">
        <is>
          <t>SESSION_EXPIRY_WARNING_MINUTES</t>
        </is>
      </c>
      <c r="D310" s="19" t="inlineStr">
        <is>
          <t>Session expiry warning minutes</t>
        </is>
      </c>
      <c r="E310" s="19" t="n"/>
    </row>
    <row r="311">
      <c r="A311" s="41" t="n"/>
      <c r="B311" s="19" t="n"/>
      <c r="C311" s="58" t="inlineStr">
        <is>
          <t>AUTH_MODE</t>
        </is>
      </c>
      <c r="D311" s="19" t="inlineStr">
        <is>
          <t>Auth mode</t>
        </is>
      </c>
      <c r="E311" s="19" t="n"/>
    </row>
    <row r="312">
      <c r="A312" s="41" t="n"/>
      <c r="B312" s="19" t="n"/>
      <c r="C312" s="58" t="inlineStr">
        <is>
          <t>USER_ID_PATTERN</t>
        </is>
      </c>
      <c r="D312" s="19" t="inlineStr">
        <is>
          <t>User id pattern</t>
        </is>
      </c>
      <c r="E312" s="19" t="n"/>
    </row>
    <row r="313">
      <c r="A313" s="41" t="n"/>
      <c r="B313" s="19" t="n"/>
      <c r="C313" s="58" t="inlineStr">
        <is>
          <t>USER_ID_FORMAT_TEXT</t>
        </is>
      </c>
      <c r="D313" s="19" t="inlineStr">
        <is>
          <t>User id format text</t>
        </is>
      </c>
      <c r="E313" s="19" t="n"/>
    </row>
    <row r="314">
      <c r="A314" s="41" t="n"/>
      <c r="B314" s="19" t="n"/>
      <c r="C314" s="58" t="inlineStr">
        <is>
          <t>PASSWORD_HISTORY_COUNT</t>
        </is>
      </c>
      <c r="D314" s="19" t="inlineStr">
        <is>
          <t>Password history count</t>
        </is>
      </c>
      <c r="E314" s="19" t="n"/>
    </row>
    <row r="315">
      <c r="A315" s="41" t="n"/>
      <c r="B315" s="19" t="n"/>
      <c r="C315" s="58" t="inlineStr">
        <is>
          <t>PASSWORD_MAX_AGE_DAYS</t>
        </is>
      </c>
      <c r="D315" s="19" t="inlineStr">
        <is>
          <t>Password max age days</t>
        </is>
      </c>
      <c r="E315" s="19" t="n"/>
    </row>
    <row r="316">
      <c r="A316" s="41" t="n"/>
      <c r="B316" s="19" t="n"/>
      <c r="C316" s="58" t="inlineStr">
        <is>
          <t>PASSWORD_MIN_AGE_DAYS</t>
        </is>
      </c>
      <c r="D316" s="19" t="inlineStr">
        <is>
          <t>Password min age days</t>
        </is>
      </c>
      <c r="E316" s="19" t="n"/>
    </row>
    <row r="317">
      <c r="A317" s="41" t="n"/>
      <c r="B317" s="19" t="n"/>
      <c r="C317" s="58" t="inlineStr">
        <is>
          <t>UAM_WORKING_HOURS</t>
        </is>
      </c>
      <c r="D317" s="19" t="inlineStr">
        <is>
          <t>Uam working hours</t>
        </is>
      </c>
      <c r="E317" s="19" t="n"/>
    </row>
    <row r="318">
      <c r="A318" s="41" t="n"/>
      <c r="B318" s="19" t="n"/>
      <c r="C318" s="58" t="inlineStr">
        <is>
          <t>UAM_ANY_APPROVER</t>
        </is>
      </c>
      <c r="D318" s="19" t="inlineStr">
        <is>
          <t>Uam any approver</t>
        </is>
      </c>
      <c r="E318" s="19" t="n"/>
    </row>
    <row r="319">
      <c r="A319" s="41" t="n"/>
      <c r="B319" s="19" t="n"/>
      <c r="C319" s="58" t="inlineStr">
        <is>
          <t>UAM_ROLE_APPLY_ON_APPROVAL</t>
        </is>
      </c>
      <c r="D319" s="19" t="inlineStr">
        <is>
          <t>Uam role apply on approval</t>
        </is>
      </c>
      <c r="E319" s="19" t="n"/>
    </row>
    <row r="320">
      <c r="A320" s="41" t="n"/>
      <c r="B320" s="19" t="n"/>
      <c r="C320" s="58" t="inlineStr">
        <is>
          <t>UAM_EXTERNAL_USERS</t>
        </is>
      </c>
      <c r="D320" s="19" t="inlineStr">
        <is>
          <t>Uam external users</t>
        </is>
      </c>
      <c r="E320" s="19" t="n"/>
    </row>
    <row r="321">
      <c r="A321" s="41" t="n"/>
      <c r="B321" s="19" t="n"/>
      <c r="C321" s="58" t="inlineStr">
        <is>
          <t>UAM_DORMANT_DAYS</t>
        </is>
      </c>
      <c r="D321" s="19" t="inlineStr">
        <is>
          <t>Uam dormant days</t>
        </is>
      </c>
      <c r="E321" s="19" t="n"/>
    </row>
    <row r="322">
      <c r="A322" s="41" t="n"/>
      <c r="B322" s="19" t="n"/>
      <c r="C322" s="58" t="inlineStr">
        <is>
          <t>UAM_DORMANT_NOTICE_DAYS</t>
        </is>
      </c>
      <c r="D322" s="19" t="inlineStr">
        <is>
          <t>Uam dormant notice days</t>
        </is>
      </c>
      <c r="E322" s="19" t="n"/>
    </row>
    <row r="323">
      <c r="A323" s="41" t="n"/>
      <c r="B323" s="19" t="n"/>
      <c r="C323" s="58" t="inlineStr">
        <is>
          <t>JOB_FAILURE_RECIPIENTS</t>
        </is>
      </c>
      <c r="D323" s="19" t="inlineStr">
        <is>
          <t>Job failure recipients</t>
        </is>
      </c>
      <c r="E323" s="19" t="n"/>
    </row>
    <row r="324">
      <c r="A324" s="59" t="inlineStr">
        <is>
          <t>Module (D0-15) (D0_15_MODULE)</t>
        </is>
      </c>
      <c r="B324" s="14" t="inlineStr">
        <is>
          <t>D0-15 Approval limits: Module</t>
        </is>
      </c>
      <c r="C324" s="60" t="inlineStr">
        <is>
          <t>Submitted Policies</t>
        </is>
      </c>
      <c r="D324" s="14" t="inlineStr">
        <is>
          <t>Submitted Policies</t>
        </is>
      </c>
      <c r="E324" s="14" t="n"/>
    </row>
    <row r="325">
      <c r="A325" s="59" t="n"/>
      <c r="B325" s="14" t="n"/>
      <c r="C325" s="60" t="inlineStr">
        <is>
          <t>Employee Benefits</t>
        </is>
      </c>
      <c r="D325" s="14" t="inlineStr">
        <is>
          <t>Employee Benefits</t>
        </is>
      </c>
      <c r="E325" s="14" t="n"/>
    </row>
    <row r="326">
      <c r="A326" s="59" t="n"/>
      <c r="B326" s="14" t="n"/>
      <c r="C326" s="60" t="inlineStr">
        <is>
          <t>Sanction Screening</t>
        </is>
      </c>
      <c r="D326" s="14" t="inlineStr">
        <is>
          <t>Sanction Screening</t>
        </is>
      </c>
      <c r="E326" s="14" t="n"/>
    </row>
    <row r="327">
      <c r="A327" s="59" t="n"/>
      <c r="B327" s="14" t="n"/>
      <c r="C327" s="60" t="inlineStr">
        <is>
          <t>Disbursement</t>
        </is>
      </c>
      <c r="D327" s="14" t="inlineStr">
        <is>
          <t>Disbursement</t>
        </is>
      </c>
      <c r="E327" s="14" t="n"/>
    </row>
    <row r="328">
      <c r="A328" s="41" t="inlineStr">
        <is>
          <t>Row (D0-07) (D0_07_ROW)</t>
        </is>
      </c>
      <c r="B328" s="19" t="inlineStr">
        <is>
          <t>D0-07 Categories and numbering: Row</t>
        </is>
      </c>
      <c r="C328" s="58" t="inlineStr">
        <is>
          <t>CATEGORY</t>
        </is>
      </c>
      <c r="D328" s="19" t="inlineStr">
        <is>
          <t>Category</t>
        </is>
      </c>
      <c r="E328" s="19" t="n"/>
    </row>
    <row r="329">
      <c r="A329" s="41" t="n"/>
      <c r="B329" s="19" t="n"/>
      <c r="C329" s="58" t="inlineStr">
        <is>
          <t>NUMBERING</t>
        </is>
      </c>
      <c r="D329" s="19" t="inlineStr">
        <is>
          <t>Numbering</t>
        </is>
      </c>
      <c r="E329" s="19" t="n"/>
    </row>
    <row r="330" ht="28" customHeight="1">
      <c r="A330" s="59" t="inlineStr">
        <is>
          <t>Account class (D0-07) (D0_07_ACCOUNT_CLASS)</t>
        </is>
      </c>
      <c r="B330" s="14" t="inlineStr">
        <is>
          <t>D0-07 Categories and numbering: Account class</t>
        </is>
      </c>
      <c r="C330" s="60" t="inlineStr">
        <is>
          <t>ASSET</t>
        </is>
      </c>
      <c r="D330" s="14" t="inlineStr">
        <is>
          <t>Asset</t>
        </is>
      </c>
      <c r="E330" s="14" t="n"/>
    </row>
    <row r="331">
      <c r="A331" s="59" t="n"/>
      <c r="B331" s="14" t="n"/>
      <c r="C331" s="60" t="inlineStr">
        <is>
          <t>LIABILITY</t>
        </is>
      </c>
      <c r="D331" s="14" t="inlineStr">
        <is>
          <t>Liability</t>
        </is>
      </c>
      <c r="E331" s="14" t="n"/>
    </row>
    <row r="332">
      <c r="A332" s="59" t="n"/>
      <c r="B332" s="14" t="n"/>
      <c r="C332" s="60" t="inlineStr">
        <is>
          <t>EQUITY</t>
        </is>
      </c>
      <c r="D332" s="14" t="inlineStr">
        <is>
          <t>Equity</t>
        </is>
      </c>
      <c r="E332" s="14" t="n"/>
    </row>
    <row r="333">
      <c r="A333" s="59" t="n"/>
      <c r="B333" s="14" t="n"/>
      <c r="C333" s="60" t="inlineStr">
        <is>
          <t>INCOME</t>
        </is>
      </c>
      <c r="D333" s="14" t="inlineStr">
        <is>
          <t>Income</t>
        </is>
      </c>
      <c r="E333" s="14" t="n"/>
    </row>
    <row r="334">
      <c r="A334" s="59" t="n"/>
      <c r="B334" s="14" t="n"/>
      <c r="C334" s="60" t="inlineStr">
        <is>
          <t>EXPENSE</t>
        </is>
      </c>
      <c r="D334" s="14" t="inlineStr">
        <is>
          <t>Expense</t>
        </is>
      </c>
      <c r="E334" s="14" t="n"/>
    </row>
    <row r="335">
      <c r="A335" s="59" t="n"/>
      <c r="B335" s="14" t="n"/>
      <c r="C335" s="60" t="inlineStr">
        <is>
          <t>MEMORANDUM</t>
        </is>
      </c>
      <c r="D335" s="14" t="inlineStr">
        <is>
          <t>Memorandum</t>
        </is>
      </c>
      <c r="E335" s="14" t="n"/>
    </row>
    <row r="336" ht="28" customHeight="1">
      <c r="A336" s="41" t="inlineStr">
        <is>
          <t>Separator (D0-07) (D0_07_SEPARATOR)</t>
        </is>
      </c>
      <c r="B336" s="19" t="inlineStr">
        <is>
          <t>D0-07 Categories and numbering: Separator</t>
        </is>
      </c>
      <c r="C336" s="58" t="inlineStr">
        <is>
          <t>.</t>
        </is>
      </c>
      <c r="D336" s="19" t="inlineStr">
        <is>
          <t>.</t>
        </is>
      </c>
      <c r="E336" s="19" t="n"/>
    </row>
    <row r="337">
      <c r="A337" s="41" t="n"/>
      <c r="B337" s="19" t="n"/>
      <c r="C337" s="58" t="inlineStr">
        <is>
          <t>-</t>
        </is>
      </c>
      <c r="D337" s="19" t="inlineStr">
        <is>
          <t>-</t>
        </is>
      </c>
      <c r="E337" s="19" t="n"/>
    </row>
    <row r="338" ht="28" customHeight="1">
      <c r="A338" s="59" t="inlineStr">
        <is>
          <t>R08 account_type (R08_ACCOUNT_TYPE)</t>
        </is>
      </c>
      <c r="B338" s="14" t="inlineStr">
        <is>
          <t>R08 Chart of accounts mapping: account_type</t>
        </is>
      </c>
      <c r="C338" s="60" t="inlineStr">
        <is>
          <t>ASSET</t>
        </is>
      </c>
      <c r="D338" s="14" t="n"/>
      <c r="E338" s="14" t="n"/>
    </row>
    <row r="339">
      <c r="A339" s="59" t="n"/>
      <c r="B339" s="14" t="n"/>
      <c r="C339" s="60" t="inlineStr">
        <is>
          <t>LIABILITY</t>
        </is>
      </c>
      <c r="D339" s="14" t="n"/>
      <c r="E339" s="14" t="n"/>
    </row>
    <row r="340">
      <c r="A340" s="59" t="n"/>
      <c r="B340" s="14" t="n"/>
      <c r="C340" s="60" t="inlineStr">
        <is>
          <t>EQUITY</t>
        </is>
      </c>
      <c r="D340" s="14" t="n"/>
      <c r="E340" s="14" t="n"/>
    </row>
    <row r="341">
      <c r="A341" s="59" t="n"/>
      <c r="B341" s="14" t="n"/>
      <c r="C341" s="60" t="inlineStr">
        <is>
          <t>INCOME</t>
        </is>
      </c>
      <c r="D341" s="14" t="n"/>
      <c r="E341" s="14" t="n"/>
    </row>
    <row r="342">
      <c r="A342" s="59" t="n"/>
      <c r="B342" s="14" t="n"/>
      <c r="C342" s="60" t="inlineStr">
        <is>
          <t>EXPENSE</t>
        </is>
      </c>
      <c r="D342" s="14" t="n"/>
      <c r="E342" s="14" t="n"/>
    </row>
    <row r="343" ht="28" customHeight="1">
      <c r="A343" s="41" t="inlineStr">
        <is>
          <t>R08 normal_balance (R08_NORMAL_BALANCE)</t>
        </is>
      </c>
      <c r="B343" s="19" t="inlineStr">
        <is>
          <t>R08 Chart of accounts mapping: normal_balance</t>
        </is>
      </c>
      <c r="C343" s="58" t="inlineStr">
        <is>
          <t>DR</t>
        </is>
      </c>
      <c r="D343" s="19" t="n"/>
      <c r="E343" s="19" t="n"/>
    </row>
    <row r="344">
      <c r="A344" s="41" t="n"/>
      <c r="B344" s="19" t="n"/>
      <c r="C344" s="58" t="inlineStr">
        <is>
          <t>CR</t>
        </is>
      </c>
      <c r="D344" s="19" t="n"/>
      <c r="E344" s="19" t="n"/>
    </row>
    <row r="345" ht="28" customHeight="1">
      <c r="A345" s="59" t="inlineStr">
        <is>
          <t>R08 legacy_control_type (R08_LEGACY_CONTROL_TYPE)</t>
        </is>
      </c>
      <c r="B345" s="14" t="inlineStr">
        <is>
          <t>R08 Chart of accounts mapping: legacy_control_type</t>
        </is>
      </c>
      <c r="C345" s="60" t="inlineStr">
        <is>
          <t>PR</t>
        </is>
      </c>
      <c r="D345" s="14" t="n"/>
      <c r="E345" s="14" t="n"/>
    </row>
    <row r="346">
      <c r="A346" s="59" t="n"/>
      <c r="B346" s="14" t="n"/>
      <c r="C346" s="60" t="inlineStr">
        <is>
          <t>PR2307</t>
        </is>
      </c>
      <c r="D346" s="14" t="n"/>
      <c r="E346" s="14" t="n"/>
    </row>
    <row r="347">
      <c r="A347" s="59" t="n"/>
      <c r="B347" s="14" t="n"/>
      <c r="C347" s="60" t="inlineStr">
        <is>
          <t>DTIP</t>
        </is>
      </c>
      <c r="D347" s="14" t="n"/>
      <c r="E347" s="14" t="n"/>
    </row>
    <row r="348">
      <c r="A348" s="59" t="n"/>
      <c r="B348" s="14" t="n"/>
      <c r="C348" s="60" t="inlineStr">
        <is>
          <t>COMMISSION_REC</t>
        </is>
      </c>
      <c r="D348" s="14" t="n"/>
      <c r="E348" s="14" t="n"/>
    </row>
    <row r="349">
      <c r="A349" s="59" t="n"/>
      <c r="B349" s="14" t="n"/>
      <c r="C349" s="60" t="inlineStr">
        <is>
          <t>UNREALIZED_COMM</t>
        </is>
      </c>
      <c r="D349" s="14" t="n"/>
      <c r="E349" s="14" t="n"/>
    </row>
    <row r="350">
      <c r="A350" s="59" t="n"/>
      <c r="B350" s="14" t="n"/>
      <c r="C350" s="60" t="inlineStr">
        <is>
          <t>DEFERRED_VAT</t>
        </is>
      </c>
      <c r="D350" s="14" t="n"/>
      <c r="E350" s="14" t="n"/>
    </row>
    <row r="351">
      <c r="A351" s="59" t="n"/>
      <c r="B351" s="14" t="n"/>
      <c r="C351" s="60" t="inlineStr">
        <is>
          <t>UPP</t>
        </is>
      </c>
      <c r="D351" s="14" t="n"/>
      <c r="E351" s="14" t="n"/>
    </row>
    <row r="352">
      <c r="A352" s="59" t="n"/>
      <c r="B352" s="14" t="n"/>
      <c r="C352" s="60" t="inlineStr">
        <is>
          <t>NONE</t>
        </is>
      </c>
      <c r="D352" s="14" t="n"/>
      <c r="E352" s="14" t="n"/>
    </row>
    <row r="353" ht="28" customHeight="1">
      <c r="A353" s="41" t="inlineStr">
        <is>
          <t>Legacy account (D0-09) (D0_09_LEGACY_ACCOUNT)</t>
        </is>
      </c>
      <c r="B353" s="19" t="inlineStr">
        <is>
          <t>D0-09 Legacy accounts: Legacy account</t>
        </is>
      </c>
      <c r="C353" s="58" t="inlineStr">
        <is>
          <t>Premium Receivable - Legacy</t>
        </is>
      </c>
      <c r="D353" s="19" t="inlineStr">
        <is>
          <t>Premium Receivable - Legacy</t>
        </is>
      </c>
      <c r="E353" s="19" t="n"/>
    </row>
    <row r="354">
      <c r="A354" s="41" t="n"/>
      <c r="B354" s="19" t="n"/>
      <c r="C354" s="58" t="inlineStr">
        <is>
          <t>PR 2307 - Legacy</t>
        </is>
      </c>
      <c r="D354" s="19" t="inlineStr">
        <is>
          <t>PR 2307 - Legacy</t>
        </is>
      </c>
      <c r="E354" s="19" t="n"/>
    </row>
    <row r="355">
      <c r="A355" s="41" t="n"/>
      <c r="B355" s="19" t="n"/>
      <c r="C355" s="58" t="inlineStr">
        <is>
          <t>Due to Insurers - Legacy</t>
        </is>
      </c>
      <c r="D355" s="19" t="inlineStr">
        <is>
          <t>Due to Insurers - Legacy</t>
        </is>
      </c>
      <c r="E355" s="19" t="n"/>
    </row>
    <row r="356">
      <c r="A356" s="41" t="n"/>
      <c r="B356" s="19" t="n"/>
      <c r="C356" s="58" t="inlineStr">
        <is>
          <t>Commission Receivable - Legacy</t>
        </is>
      </c>
      <c r="D356" s="19" t="inlineStr">
        <is>
          <t>Commission Receivable - Legacy</t>
        </is>
      </c>
      <c r="E356" s="19" t="n"/>
    </row>
    <row r="357">
      <c r="A357" s="41" t="n"/>
      <c r="B357" s="19" t="n"/>
      <c r="C357" s="58" t="inlineStr">
        <is>
          <t>Unrealised Commission - Legacy</t>
        </is>
      </c>
      <c r="D357" s="19" t="inlineStr">
        <is>
          <t>Unrealised Commission - Legacy</t>
        </is>
      </c>
      <c r="E357" s="19" t="n"/>
    </row>
    <row r="358">
      <c r="A358" s="41" t="n"/>
      <c r="B358" s="19" t="n"/>
      <c r="C358" s="58" t="inlineStr">
        <is>
          <t>Deferred Output VAT - Legacy</t>
        </is>
      </c>
      <c r="D358" s="19" t="inlineStr">
        <is>
          <t>Deferred Output VAT - Legacy</t>
        </is>
      </c>
      <c r="E358" s="19" t="n"/>
    </row>
    <row r="359">
      <c r="A359" s="41" t="n"/>
      <c r="B359" s="19" t="n"/>
      <c r="C359" s="58" t="inlineStr">
        <is>
          <t>Unapplied Collections - Legacy</t>
        </is>
      </c>
      <c r="D359" s="19" t="inlineStr">
        <is>
          <t>Unapplied Collections - Legacy</t>
        </is>
      </c>
      <c r="E359" s="19" t="n"/>
    </row>
    <row r="360">
      <c r="A360" s="41" t="n"/>
      <c r="B360" s="19" t="n"/>
      <c r="C360" s="58" t="inlineStr">
        <is>
          <t>Migration Clearing</t>
        </is>
      </c>
      <c r="D360" s="19" t="inlineStr">
        <is>
          <t>Migration Clearing</t>
        </is>
      </c>
      <c r="E360" s="19" t="n"/>
    </row>
    <row r="361" ht="28" customHeight="1">
      <c r="A361" s="59" t="inlineStr">
        <is>
          <t>Debit or credit (D0-08) (D0_08_DEBIT_OR_CREDIT)</t>
        </is>
      </c>
      <c r="B361" s="14" t="inlineStr">
        <is>
          <t>D0-08 Accounting rules: Debit or credit</t>
        </is>
      </c>
      <c r="C361" s="60" t="inlineStr">
        <is>
          <t>DEBIT</t>
        </is>
      </c>
      <c r="D361" s="14" t="inlineStr">
        <is>
          <t>Debit</t>
        </is>
      </c>
      <c r="E361" s="14" t="n"/>
    </row>
    <row r="362">
      <c r="A362" s="59" t="n"/>
      <c r="B362" s="14" t="n"/>
      <c r="C362" s="60" t="inlineStr">
        <is>
          <t>CREDIT</t>
        </is>
      </c>
      <c r="D362" s="14" t="inlineStr">
        <is>
          <t>Credit</t>
        </is>
      </c>
      <c r="E362" s="14" t="n"/>
    </row>
    <row r="363">
      <c r="A363" s="41" t="inlineStr">
        <is>
          <t>Tax type (BIBS) (D0_10_TAX_TYPE)</t>
        </is>
      </c>
      <c r="B363" s="19" t="inlineStr">
        <is>
          <t>D0-10 Tax codes: Tax type</t>
        </is>
      </c>
      <c r="C363" s="58" t="inlineStr">
        <is>
          <t>VAT_OUTPUT</t>
        </is>
      </c>
      <c r="D363" s="19" t="inlineStr">
        <is>
          <t>Output VAT (12 %) on BDOI's sales</t>
        </is>
      </c>
      <c r="E363" s="19" t="n"/>
    </row>
    <row r="364">
      <c r="A364" s="41" t="n"/>
      <c r="B364" s="19" t="n"/>
      <c r="C364" s="58" t="inlineStr">
        <is>
          <t>VAT_INPUT</t>
        </is>
      </c>
      <c r="D364" s="19" t="inlineStr">
        <is>
          <t>Input VAT on purchases</t>
        </is>
      </c>
      <c r="E364" s="19" t="n"/>
    </row>
    <row r="365">
      <c r="A365" s="41" t="n"/>
      <c r="B365" s="19" t="n"/>
      <c r="C365" s="58" t="inlineStr">
        <is>
          <t>VAT_ZERO_RATED</t>
        </is>
      </c>
      <c r="D365" s="19" t="inlineStr">
        <is>
          <t>Zero-rated sales and purchases</t>
        </is>
      </c>
      <c r="E365" s="19" t="n"/>
    </row>
    <row r="366">
      <c r="A366" s="41" t="n"/>
      <c r="B366" s="19" t="n"/>
      <c r="C366" s="58" t="inlineStr">
        <is>
          <t>VAT_EXEMPT</t>
        </is>
      </c>
      <c r="D366" s="19" t="inlineStr">
        <is>
          <t>VAT-exempt sales and purchases</t>
        </is>
      </c>
      <c r="E366" s="19" t="n"/>
    </row>
    <row r="367">
      <c r="A367" s="41" t="n"/>
      <c r="B367" s="19" t="n"/>
      <c r="C367" s="58" t="inlineStr">
        <is>
          <t>PREMIUM_TAX</t>
        </is>
      </c>
      <c r="D367" s="19" t="inlineStr">
        <is>
          <t>Premium tax (insurer return; only if BDOI confirms)</t>
        </is>
      </c>
      <c r="E367" s="19" t="n"/>
    </row>
    <row r="368" ht="28" customHeight="1">
      <c r="A368" s="41" t="n"/>
      <c r="B368" s="19" t="n"/>
      <c r="C368" s="58" t="inlineStr">
        <is>
          <t>DST</t>
        </is>
      </c>
      <c r="D368" s="19" t="inlineStr">
        <is>
          <t>Documentary stamp tax (insurer return; only if BDOI confirms)</t>
        </is>
      </c>
      <c r="E368" s="19" t="n"/>
    </row>
    <row r="369" ht="28" customHeight="1">
      <c r="A369" s="41" t="n"/>
      <c r="B369" s="19" t="n"/>
      <c r="C369" s="58" t="inlineStr">
        <is>
          <t>LGT</t>
        </is>
      </c>
      <c r="D369" s="19" t="inlineStr">
        <is>
          <t>Local government tax (insurer return; only if BDOI confirms)</t>
        </is>
      </c>
      <c r="E369" s="19" t="n"/>
    </row>
    <row r="370" ht="28" customHeight="1">
      <c r="A370" s="41" t="n"/>
      <c r="B370" s="19" t="n"/>
      <c r="C370" s="58" t="inlineStr">
        <is>
          <t>FST</t>
        </is>
      </c>
      <c r="D370" s="19" t="inlineStr">
        <is>
          <t>Fire service tax (insurer return; only if BDOI confirms)</t>
        </is>
      </c>
      <c r="E370" s="19" t="n"/>
    </row>
    <row r="371">
      <c r="A371" s="41" t="n"/>
      <c r="B371" s="19" t="n"/>
      <c r="C371" s="58" t="inlineStr">
        <is>
          <t>EWT</t>
        </is>
      </c>
      <c r="D371" s="19" t="inlineStr">
        <is>
          <t>Creditable (expanded) withholding tax per ATC</t>
        </is>
      </c>
      <c r="E371" s="19" t="n"/>
    </row>
    <row r="372" ht="28" customHeight="1">
      <c r="A372" s="41" t="n"/>
      <c r="B372" s="19" t="n"/>
      <c r="C372" s="58" t="inlineStr">
        <is>
          <t>FWT</t>
        </is>
      </c>
      <c r="D372" s="19" t="inlineStr">
        <is>
          <t>Final withholding tax per ATC (government payors, final tax on bank interest)</t>
        </is>
      </c>
      <c r="E372" s="19" t="n"/>
    </row>
    <row r="373">
      <c r="A373" s="41" t="n"/>
      <c r="B373" s="19" t="n"/>
      <c r="C373" s="58" t="inlineStr">
        <is>
          <t>FINAL_VAT</t>
        </is>
      </c>
      <c r="D373" s="19" t="inlineStr">
        <is>
          <t>Final VAT withheld by government payors</t>
        </is>
      </c>
      <c r="E373" s="19" t="n"/>
    </row>
    <row r="374" ht="28" customHeight="1">
      <c r="A374" s="41" t="n"/>
      <c r="B374" s="19" t="n"/>
      <c r="C374" s="58" t="inlineStr">
        <is>
          <t>PERCENTAGE_TAX</t>
        </is>
      </c>
      <c r="D374" s="19" t="inlineStr">
        <is>
          <t>Percentage tax on BDOI's own receipts not subject to VAT</t>
        </is>
      </c>
      <c r="E374" s="19" t="n"/>
    </row>
    <row r="375" ht="28" customHeight="1">
      <c r="A375" s="59" t="inlineStr">
        <is>
          <t>Payee class (BIR) (D0_10_PAYEE_CLASS)</t>
        </is>
      </c>
      <c r="B375" s="14" t="inlineStr">
        <is>
          <t>D0-10 Tax codes: Payee class</t>
        </is>
      </c>
      <c r="C375" s="60" t="inlineStr">
        <is>
          <t>INDIVIDUAL</t>
        </is>
      </c>
      <c r="D375" s="14" t="inlineStr">
        <is>
          <t>Individual</t>
        </is>
      </c>
      <c r="E375" s="14" t="n"/>
    </row>
    <row r="376">
      <c r="A376" s="59" t="n"/>
      <c r="B376" s="14" t="n"/>
      <c r="C376" s="60" t="inlineStr">
        <is>
          <t>CORPORATE</t>
        </is>
      </c>
      <c r="D376" s="14" t="inlineStr">
        <is>
          <t>Corporate (juridical person)</t>
        </is>
      </c>
      <c r="E376" s="14" t="n"/>
    </row>
    <row r="377">
      <c r="A377" s="41" t="inlineStr">
        <is>
          <t>Tax authority (TAX_AUTHORITY)</t>
        </is>
      </c>
      <c r="B377" s="19" t="inlineStr">
        <is>
          <t>TX-02 Tax forms: Authority</t>
        </is>
      </c>
      <c r="C377" s="58" t="inlineStr">
        <is>
          <t>BIR</t>
        </is>
      </c>
      <c r="D377" s="19" t="inlineStr">
        <is>
          <t>Bureau of Internal Revenue</t>
        </is>
      </c>
      <c r="E377" s="19" t="n"/>
    </row>
    <row r="378">
      <c r="A378" s="41" t="n"/>
      <c r="B378" s="19" t="n"/>
      <c r="C378" s="58" t="inlineStr">
        <is>
          <t>LGU</t>
        </is>
      </c>
      <c r="D378" s="19" t="inlineStr">
        <is>
          <t>Local government unit</t>
        </is>
      </c>
      <c r="E378" s="19" t="n"/>
    </row>
    <row r="379">
      <c r="A379" s="41" t="n"/>
      <c r="B379" s="19" t="n"/>
      <c r="C379" s="58" t="inlineStr">
        <is>
          <t>BFP</t>
        </is>
      </c>
      <c r="D379" s="19" t="inlineStr">
        <is>
          <t>Bureau of Fire Protection</t>
        </is>
      </c>
      <c r="E379" s="19" t="n"/>
    </row>
    <row r="380">
      <c r="A380" s="59" t="inlineStr">
        <is>
          <t>Filing frequency (FILING_FREQUENCY)</t>
        </is>
      </c>
      <c r="B380" s="14" t="inlineStr">
        <is>
          <t>TX-02 Tax forms: Frequency</t>
        </is>
      </c>
      <c r="C380" s="60" t="inlineStr">
        <is>
          <t>MONTHLY</t>
        </is>
      </c>
      <c r="D380" s="14" t="inlineStr">
        <is>
          <t>Monthly</t>
        </is>
      </c>
      <c r="E380" s="14" t="n"/>
    </row>
    <row r="381">
      <c r="A381" s="59" t="n"/>
      <c r="B381" s="14" t="n"/>
      <c r="C381" s="60" t="inlineStr">
        <is>
          <t>QUARTERLY</t>
        </is>
      </c>
      <c r="D381" s="14" t="inlineStr">
        <is>
          <t>Quarterly</t>
        </is>
      </c>
      <c r="E381" s="14" t="n"/>
    </row>
    <row r="382">
      <c r="A382" s="59" t="n"/>
      <c r="B382" s="14" t="n"/>
      <c r="C382" s="60" t="inlineStr">
        <is>
          <t>MONTHLY_EXCEPT_QUARTER_END</t>
        </is>
      </c>
      <c r="D382" s="14" t="inlineStr">
        <is>
          <t>Monthly except the quarter-end month</t>
        </is>
      </c>
      <c r="E382" s="14" t="n"/>
    </row>
    <row r="383">
      <c r="A383" s="59" t="n"/>
      <c r="B383" s="14" t="n"/>
      <c r="C383" s="60" t="inlineStr">
        <is>
          <t>ANNUAL</t>
        </is>
      </c>
      <c r="D383" s="14" t="inlineStr">
        <is>
          <t>Annual</t>
        </is>
      </c>
      <c r="E383" s="14" t="n"/>
    </row>
    <row r="384">
      <c r="A384" s="41" t="inlineStr">
        <is>
          <t>Tax worksheet (TAX_WORKSHEET)</t>
        </is>
      </c>
      <c r="B384" s="19" t="inlineStr">
        <is>
          <t>TX-02 Tax forms: Worksheet</t>
        </is>
      </c>
      <c r="C384" s="58" t="inlineStr">
        <is>
          <t>VAT</t>
        </is>
      </c>
      <c r="D384" s="19" t="inlineStr">
        <is>
          <t>VAT worksheet</t>
        </is>
      </c>
      <c r="E384" s="19" t="n"/>
    </row>
    <row r="385">
      <c r="A385" s="41" t="n"/>
      <c r="B385" s="19" t="n"/>
      <c r="C385" s="58" t="inlineStr">
        <is>
          <t>EWT</t>
        </is>
      </c>
      <c r="D385" s="19" t="inlineStr">
        <is>
          <t>Withholding tax worksheet</t>
        </is>
      </c>
      <c r="E385" s="19" t="n"/>
    </row>
    <row r="386">
      <c r="A386" s="41" t="n"/>
      <c r="B386" s="19" t="n"/>
      <c r="C386" s="58" t="inlineStr">
        <is>
          <t>NONE</t>
        </is>
      </c>
      <c r="D386" s="19" t="inlineStr">
        <is>
          <t>Prepared outside BIBS (reminder only)</t>
        </is>
      </c>
      <c r="E386" s="19" t="n"/>
    </row>
    <row r="387">
      <c r="A387" s="59" t="inlineStr">
        <is>
          <t>Payee class (BIR) (TAX_PAYEE_CLASS)</t>
        </is>
      </c>
      <c r="B387" s="14" t="inlineStr">
        <is>
          <t>TX-01 Party tax profiles: Payee class</t>
        </is>
      </c>
      <c r="C387" s="60" t="inlineStr">
        <is>
          <t>INDIVIDUAL</t>
        </is>
      </c>
      <c r="D387" s="14" t="inlineStr">
        <is>
          <t>Individual</t>
        </is>
      </c>
      <c r="E387" s="14" t="n"/>
    </row>
    <row r="388">
      <c r="A388" s="59" t="n"/>
      <c r="B388" s="14" t="n"/>
      <c r="C388" s="60" t="inlineStr">
        <is>
          <t>CORPORATE</t>
        </is>
      </c>
      <c r="D388" s="14" t="inlineStr">
        <is>
          <t>Corporate (juridical person)</t>
        </is>
      </c>
      <c r="E388" s="14" t="n"/>
    </row>
    <row r="389" ht="28" customHeight="1">
      <c r="A389" s="41" t="inlineStr">
        <is>
          <t>VAT treatment (VAT_TREATMENT)</t>
        </is>
      </c>
      <c r="B389" s="19" t="inlineStr">
        <is>
          <t>TX-01 Party tax profiles: VAT treatment</t>
        </is>
      </c>
      <c r="C389" s="58" t="inlineStr">
        <is>
          <t>REGULAR</t>
        </is>
      </c>
      <c r="D389" s="19" t="inlineStr">
        <is>
          <t>Regular: sales with VAT are taxable, without VAT exempt</t>
        </is>
      </c>
      <c r="E389" s="19" t="n"/>
    </row>
    <row r="390" ht="28" customHeight="1">
      <c r="A390" s="41" t="n"/>
      <c r="B390" s="19" t="n"/>
      <c r="C390" s="58" t="inlineStr">
        <is>
          <t>ZERO_RATED</t>
        </is>
      </c>
      <c r="D390" s="19" t="inlineStr">
        <is>
          <t>Zero-rated (for example PEZA or BOI-registered exporters)</t>
        </is>
      </c>
      <c r="E390" s="19" t="n"/>
    </row>
    <row r="391">
      <c r="A391" s="41" t="n"/>
      <c r="B391" s="19" t="n"/>
      <c r="C391" s="58" t="inlineStr">
        <is>
          <t>EXEMPT</t>
        </is>
      </c>
      <c r="D391" s="19" t="inlineStr">
        <is>
          <t>Exempt</t>
        </is>
      </c>
      <c r="E391" s="19" t="n"/>
    </row>
    <row r="392">
      <c r="A392" s="59" t="inlineStr">
        <is>
          <t>Exchange rate type (FX_RATE_TYPE)</t>
        </is>
      </c>
      <c r="B392" s="14" t="inlineStr">
        <is>
          <t>MD-03 Exchange rates: Rate type</t>
        </is>
      </c>
      <c r="C392" s="60" t="inlineStr">
        <is>
          <t>SPOT</t>
        </is>
      </c>
      <c r="D392" s="14" t="inlineStr">
        <is>
          <t>Daily transaction rate</t>
        </is>
      </c>
      <c r="E392" s="14" t="n"/>
    </row>
    <row r="393">
      <c r="A393" s="59" t="n"/>
      <c r="B393" s="14" t="n"/>
      <c r="C393" s="60" t="inlineStr">
        <is>
          <t>CLOSING</t>
        </is>
      </c>
      <c r="D393" s="14" t="inlineStr">
        <is>
          <t>Month-end closing rate</t>
        </is>
      </c>
      <c r="E393" s="14" t="n"/>
    </row>
    <row r="394">
      <c r="A394" s="59" t="n"/>
      <c r="B394" s="14" t="n"/>
      <c r="C394" s="60" t="inlineStr">
        <is>
          <t>AVERAGE</t>
        </is>
      </c>
      <c r="D394" s="14" t="inlineStr">
        <is>
          <t>Period average rate</t>
        </is>
      </c>
      <c r="E394" s="14" t="n"/>
    </row>
    <row r="395">
      <c r="A395" s="59" t="n"/>
      <c r="B395" s="14" t="n"/>
      <c r="C395" s="60" t="inlineStr">
        <is>
          <t>BUDGET</t>
        </is>
      </c>
      <c r="D395" s="14" t="inlineStr">
        <is>
          <t>Planning rate</t>
        </is>
      </c>
      <c r="E395" s="14" t="n"/>
    </row>
    <row r="396">
      <c r="A396" s="41" t="inlineStr">
        <is>
          <t>G01 tb_version (G01_TB_VERSION)</t>
        </is>
      </c>
      <c r="B396" s="19" t="inlineStr">
        <is>
          <t>G01 GL opening trial balance: tb_version</t>
        </is>
      </c>
      <c r="C396" s="58" t="inlineStr">
        <is>
          <t>PROVISIONAL</t>
        </is>
      </c>
      <c r="D396" s="19" t="n"/>
      <c r="E396" s="19" t="n"/>
    </row>
    <row r="397">
      <c r="A397" s="41" t="n"/>
      <c r="B397" s="19" t="n"/>
      <c r="C397" s="58" t="inlineStr">
        <is>
          <t>TU1</t>
        </is>
      </c>
      <c r="D397" s="19" t="n"/>
      <c r="E397" s="19" t="n"/>
    </row>
    <row r="398">
      <c r="A398" s="41" t="n"/>
      <c r="B398" s="19" t="n"/>
      <c r="C398" s="58" t="inlineStr">
        <is>
          <t>TU2</t>
        </is>
      </c>
      <c r="D398" s="19" t="n"/>
      <c r="E398" s="19" t="n"/>
    </row>
    <row r="399">
      <c r="A399" s="41" t="n"/>
      <c r="B399" s="19" t="n"/>
      <c r="C399" s="58" t="inlineStr">
        <is>
          <t>TU3</t>
        </is>
      </c>
      <c r="D399" s="19" t="n"/>
      <c r="E399" s="19" t="n"/>
    </row>
    <row r="400">
      <c r="A400" s="41" t="n"/>
      <c r="B400" s="19" t="n"/>
      <c r="C400" s="58" t="inlineStr">
        <is>
          <t>FINAL</t>
        </is>
      </c>
      <c r="D400" s="19" t="n"/>
      <c r="E400" s="19" t="n"/>
    </row>
    <row r="401" ht="28" customHeight="1">
      <c r="A401" s="59" t="inlineStr">
        <is>
          <t>Payment notification format (D0-11) (D0_11_PAYMENT_NOTIFICATION_FORMAT)</t>
        </is>
      </c>
      <c r="B401" s="14" t="inlineStr">
        <is>
          <t>D0-11 Bank accounts: Payment notification format</t>
        </is>
      </c>
      <c r="C401" s="60" t="inlineStr">
        <is>
          <t>FIXED_WIDTH</t>
        </is>
      </c>
      <c r="D401" s="14" t="inlineStr">
        <is>
          <t>Fixed width</t>
        </is>
      </c>
      <c r="E401" s="14" t="n"/>
    </row>
    <row r="402">
      <c r="A402" s="59" t="n"/>
      <c r="B402" s="14" t="n"/>
      <c r="C402" s="60" t="inlineStr">
        <is>
          <t>CSV</t>
        </is>
      </c>
      <c r="D402" s="14" t="inlineStr">
        <is>
          <t>Csv</t>
        </is>
      </c>
      <c r="E402" s="14" t="n"/>
    </row>
    <row r="403">
      <c r="A403" s="59" t="n"/>
      <c r="B403" s="14" t="n"/>
      <c r="C403" s="60" t="inlineStr">
        <is>
          <t>DCTF</t>
        </is>
      </c>
      <c r="D403" s="14" t="inlineStr">
        <is>
          <t>Dctf</t>
        </is>
      </c>
      <c r="E403" s="14" t="n"/>
    </row>
    <row r="404">
      <c r="A404" s="41" t="inlineStr">
        <is>
          <t>R11 kind (R11_KIND)</t>
        </is>
      </c>
      <c r="B404" s="19" t="inlineStr">
        <is>
          <t>R11 Receipt series in use: kind</t>
        </is>
      </c>
      <c r="C404" s="58" t="inlineStr">
        <is>
          <t>AR</t>
        </is>
      </c>
      <c r="D404" s="19" t="n"/>
      <c r="E404" s="19" t="n"/>
    </row>
    <row r="405">
      <c r="A405" s="41" t="n"/>
      <c r="B405" s="19" t="n"/>
      <c r="C405" s="58" t="inlineStr">
        <is>
          <t>OR</t>
        </is>
      </c>
      <c r="D405" s="19" t="n"/>
      <c r="E405" s="19" t="n"/>
    </row>
    <row r="406" ht="28" customHeight="1">
      <c r="A406" s="59" t="inlineStr">
        <is>
          <t>List or parameter (PM-09) (PM_09_LIST_OR_PARAMETER)</t>
        </is>
      </c>
      <c r="B406" s="14" t="inlineStr">
        <is>
          <t>PM-09 Lists and parameters: List or parameter</t>
        </is>
      </c>
      <c r="C406" s="60" t="inlineStr">
        <is>
          <t>PKG_REQUEST_REASON</t>
        </is>
      </c>
      <c r="D406" s="14" t="inlineStr">
        <is>
          <t>Pkg request reason</t>
        </is>
      </c>
      <c r="E406" s="14" t="n"/>
    </row>
    <row r="407">
      <c r="A407" s="59" t="n"/>
      <c r="B407" s="14" t="n"/>
      <c r="C407" s="60" t="inlineStr">
        <is>
          <t>PKG_RESPONSE_OUTCOME</t>
        </is>
      </c>
      <c r="D407" s="14" t="inlineStr">
        <is>
          <t>Pkg response outcome</t>
        </is>
      </c>
      <c r="E407" s="14" t="n"/>
    </row>
    <row r="408">
      <c r="A408" s="59" t="n"/>
      <c r="B408" s="14" t="n"/>
      <c r="C408" s="60" t="inlineStr">
        <is>
          <t>PKG_ADVISORY_GROUP</t>
        </is>
      </c>
      <c r="D408" s="14" t="inlineStr">
        <is>
          <t>Pkg advisory group</t>
        </is>
      </c>
      <c r="E408" s="14" t="n"/>
    </row>
    <row r="409">
      <c r="A409" s="59" t="n"/>
      <c r="B409" s="14" t="n"/>
      <c r="C409" s="60" t="inlineStr">
        <is>
          <t>PKG_NOT_PROCEEDED_REASON</t>
        </is>
      </c>
      <c r="D409" s="14" t="inlineStr">
        <is>
          <t>Pkg not proceeded reason</t>
        </is>
      </c>
      <c r="E409" s="14" t="n"/>
    </row>
    <row r="410">
      <c r="A410" s="59" t="n"/>
      <c r="B410" s="14" t="n"/>
      <c r="C410" s="60" t="inlineStr">
        <is>
          <t>PKG_REQUEST_TYPE</t>
        </is>
      </c>
      <c r="D410" s="14" t="inlineStr">
        <is>
          <t>Pkg request type</t>
        </is>
      </c>
      <c r="E410" s="14" t="n"/>
    </row>
    <row r="411">
      <c r="A411" s="59" t="n"/>
      <c r="B411" s="14" t="n"/>
      <c r="C411" s="60" t="inlineStr">
        <is>
          <t>INCENTIVE_TYPE</t>
        </is>
      </c>
      <c r="D411" s="14" t="inlineStr">
        <is>
          <t>Incentive type</t>
        </is>
      </c>
      <c r="E411" s="14" t="n"/>
    </row>
    <row r="412">
      <c r="A412" s="59" t="n"/>
      <c r="B412" s="14" t="n"/>
      <c r="C412" s="60" t="inlineStr">
        <is>
          <t>COVERAGE_KIND</t>
        </is>
      </c>
      <c r="D412" s="14" t="inlineStr">
        <is>
          <t>Coverage kind</t>
        </is>
      </c>
      <c r="E412" s="14" t="n"/>
    </row>
    <row r="413">
      <c r="A413" s="59" t="n"/>
      <c r="B413" s="14" t="n"/>
      <c r="C413" s="60" t="inlineStr">
        <is>
          <t>CLAUSE_KIND</t>
        </is>
      </c>
      <c r="D413" s="14" t="inlineStr">
        <is>
          <t>Clause kind</t>
        </is>
      </c>
      <c r="E413" s="14" t="n"/>
    </row>
    <row r="414">
      <c r="A414" s="59" t="n"/>
      <c r="B414" s="14" t="n"/>
      <c r="C414" s="60" t="inlineStr">
        <is>
          <t>DOCUMENT_TYPE</t>
        </is>
      </c>
      <c r="D414" s="14" t="inlineStr">
        <is>
          <t>Document type</t>
        </is>
      </c>
      <c r="E414" s="14" t="n"/>
    </row>
    <row r="415">
      <c r="A415" s="59" t="n"/>
      <c r="B415" s="14" t="n"/>
      <c r="C415" s="60" t="inlineStr">
        <is>
          <t>MARKET_SEGMENT</t>
        </is>
      </c>
      <c r="D415" s="14" t="inlineStr">
        <is>
          <t>Market segment</t>
        </is>
      </c>
      <c r="E415" s="14" t="n"/>
    </row>
    <row r="416">
      <c r="A416" s="59" t="n"/>
      <c r="B416" s="14" t="n"/>
      <c r="C416" s="60" t="inlineStr">
        <is>
          <t>PKG_REQUEST_PREFIX</t>
        </is>
      </c>
      <c r="D416" s="14" t="inlineStr">
        <is>
          <t>Pkg request prefix</t>
        </is>
      </c>
      <c r="E416" s="14" t="n"/>
    </row>
    <row r="417">
      <c r="A417" s="59" t="n"/>
      <c r="B417" s="14" t="n"/>
      <c r="C417" s="60" t="inlineStr">
        <is>
          <t>PKG_QS_PREFIX</t>
        </is>
      </c>
      <c r="D417" s="14" t="inlineStr">
        <is>
          <t>Pkg QS prefix</t>
        </is>
      </c>
      <c r="E417" s="14" t="n"/>
    </row>
    <row r="418">
      <c r="A418" s="59" t="n"/>
      <c r="B418" s="14" t="n"/>
      <c r="C418" s="60" t="inlineStr">
        <is>
          <t>PKG_QS_REPLY_DAYS</t>
        </is>
      </c>
      <c r="D418" s="14" t="inlineStr">
        <is>
          <t>Pkg QS reply days</t>
        </is>
      </c>
      <c r="E418" s="14" t="n"/>
    </row>
    <row r="419">
      <c r="A419" s="59" t="n"/>
      <c r="B419" s="14" t="n"/>
      <c r="C419" s="60" t="inlineStr">
        <is>
          <t>PACKAGE_EXPIRY_NOTICE_DAYS</t>
        </is>
      </c>
      <c r="D419" s="14" t="inlineStr">
        <is>
          <t>Package expiry notice days</t>
        </is>
      </c>
      <c r="E419" s="14" t="n"/>
    </row>
    <row r="420">
      <c r="A420" s="59" t="n"/>
      <c r="B420" s="14" t="n"/>
      <c r="C420" s="60" t="inlineStr">
        <is>
          <t>PACKAGE_RENEWAL_AUTODRAFT</t>
        </is>
      </c>
      <c r="D420" s="14" t="inlineStr">
        <is>
          <t>Package renewal autodraft</t>
        </is>
      </c>
      <c r="E420" s="14" t="n"/>
    </row>
    <row r="421">
      <c r="A421" s="59" t="n"/>
      <c r="B421" s="14" t="n"/>
      <c r="C421" s="60" t="inlineStr">
        <is>
          <t>PKG_SLA_MKT_APPROVAL</t>
        </is>
      </c>
      <c r="D421" s="14" t="inlineStr">
        <is>
          <t>Pkg sla mkt approval</t>
        </is>
      </c>
      <c r="E421" s="14" t="n"/>
    </row>
    <row r="422">
      <c r="A422" s="59" t="n"/>
      <c r="B422" s="14" t="n"/>
      <c r="C422" s="60" t="inlineStr">
        <is>
          <t>PKG_SLA_TSU_REVIEW</t>
        </is>
      </c>
      <c r="D422" s="14" t="inlineStr">
        <is>
          <t>Pkg sla TSU review</t>
        </is>
      </c>
      <c r="E422" s="14" t="n"/>
    </row>
    <row r="423">
      <c r="A423" s="59" t="n"/>
      <c r="B423" s="14" t="n"/>
      <c r="C423" s="60" t="inlineStr">
        <is>
          <t>PKG_SLA_TSU_APPROVAL</t>
        </is>
      </c>
      <c r="D423" s="14" t="inlineStr">
        <is>
          <t>Pkg sla TSU approval</t>
        </is>
      </c>
      <c r="E423" s="14" t="n"/>
    </row>
    <row r="424">
      <c r="A424" s="59" t="n"/>
      <c r="B424" s="14" t="n"/>
      <c r="C424" s="60" t="inlineStr">
        <is>
          <t>PKG_SLA_NEGOTIATION</t>
        </is>
      </c>
      <c r="D424" s="14" t="inlineStr">
        <is>
          <t>Pkg sla negotiation</t>
        </is>
      </c>
      <c r="E424" s="14" t="n"/>
    </row>
    <row r="425">
      <c r="A425" s="59" t="n"/>
      <c r="B425" s="14" t="n"/>
      <c r="C425" s="60" t="inlineStr">
        <is>
          <t>PKG_SLA_MANCOM</t>
        </is>
      </c>
      <c r="D425" s="14" t="inlineStr">
        <is>
          <t>Pkg sla mancom</t>
        </is>
      </c>
      <c r="E425" s="14" t="n"/>
    </row>
    <row r="426">
      <c r="A426" s="59" t="n"/>
      <c r="B426" s="14" t="n"/>
      <c r="C426" s="60" t="inlineStr">
        <is>
          <t>PKG_SLA_MBS_SETUP</t>
        </is>
      </c>
      <c r="D426" s="14" t="inlineStr">
        <is>
          <t>Pkg sla mbs setup</t>
        </is>
      </c>
      <c r="E426" s="14" t="n"/>
    </row>
    <row r="427">
      <c r="A427" s="59" t="n"/>
      <c r="B427" s="14" t="n"/>
      <c r="C427" s="60" t="inlineStr">
        <is>
          <t>PACKAGE_EXPIRY_REMINDER_DAYS</t>
        </is>
      </c>
      <c r="D427" s="14" t="inlineStr">
        <is>
          <t>Package expiry reminder days</t>
        </is>
      </c>
      <c r="E427" s="14" t="n"/>
    </row>
    <row r="428">
      <c r="A428" s="59" t="n"/>
      <c r="B428" s="14" t="n"/>
      <c r="C428" s="60" t="inlineStr">
        <is>
          <t>PKG_ADVISORY_GROUPS</t>
        </is>
      </c>
      <c r="D428" s="14" t="inlineStr">
        <is>
          <t>Pkg advisory groups</t>
        </is>
      </c>
      <c r="E428" s="14" t="n"/>
    </row>
    <row r="429">
      <c r="A429" s="41" t="inlineStr">
        <is>
          <t>Record (PM-02) (PM_02_RECORD)</t>
        </is>
      </c>
      <c r="B429" s="19" t="inlineStr">
        <is>
          <t>PM-02 Coverages and rules: Record</t>
        </is>
      </c>
      <c r="C429" s="58" t="inlineStr">
        <is>
          <t>COVERAGE</t>
        </is>
      </c>
      <c r="D429" s="19" t="inlineStr">
        <is>
          <t>Coverage</t>
        </is>
      </c>
      <c r="E429" s="19" t="n"/>
    </row>
    <row r="430">
      <c r="A430" s="41" t="n"/>
      <c r="B430" s="19" t="n"/>
      <c r="C430" s="58" t="inlineStr">
        <is>
          <t>FIELD_RULE</t>
        </is>
      </c>
      <c r="D430" s="19" t="inlineStr">
        <is>
          <t>Field rule</t>
        </is>
      </c>
      <c r="E430" s="19" t="n"/>
    </row>
    <row r="431">
      <c r="A431" s="41" t="n"/>
      <c r="B431" s="19" t="n"/>
      <c r="C431" s="58" t="inlineStr">
        <is>
          <t>DOCUMENT_RULE</t>
        </is>
      </c>
      <c r="D431" s="19" t="inlineStr">
        <is>
          <t>Document rule</t>
        </is>
      </c>
      <c r="E431" s="19" t="n"/>
    </row>
    <row r="432" ht="28" customHeight="1">
      <c r="A432" s="59" t="inlineStr">
        <is>
          <t>Document type (LOV_DOCUMENT_TYPE)</t>
        </is>
      </c>
      <c r="B432" s="14" t="inlineStr">
        <is>
          <t>PM-02 Coverages and rules: Document type</t>
        </is>
      </c>
      <c r="C432" s="60" t="inlineStr">
        <is>
          <t>IDF</t>
        </is>
      </c>
      <c r="D432" s="14" t="inlineStr">
        <is>
          <t>Insurance Declaration Form (IDF)</t>
        </is>
      </c>
      <c r="E432" s="14" t="inlineStr">
        <is>
          <t>The values of the list as delivered with BIBS; a new value is added on Lists of Values first.</t>
        </is>
      </c>
    </row>
    <row r="433">
      <c r="A433" s="59" t="n"/>
      <c r="B433" s="14" t="n"/>
      <c r="C433" s="60" t="inlineStr">
        <is>
          <t>VALID_ID</t>
        </is>
      </c>
      <c r="D433" s="14" t="inlineStr">
        <is>
          <t>Valid ID</t>
        </is>
      </c>
      <c r="E433" s="14" t="n"/>
    </row>
    <row r="434">
      <c r="A434" s="59" t="n"/>
      <c r="B434" s="14" t="n"/>
      <c r="C434" s="60" t="inlineStr">
        <is>
          <t>BIRTH_CERTIFICATE</t>
        </is>
      </c>
      <c r="D434" s="14" t="inlineStr">
        <is>
          <t>Birth certificate</t>
        </is>
      </c>
      <c r="E434" s="14" t="n"/>
    </row>
    <row r="435">
      <c r="A435" s="59" t="n"/>
      <c r="B435" s="14" t="n"/>
      <c r="C435" s="60" t="inlineStr">
        <is>
          <t>ACCOUNT_LIST</t>
        </is>
      </c>
      <c r="D435" s="14" t="inlineStr">
        <is>
          <t>List of account details (Excel)</t>
        </is>
      </c>
      <c r="E435" s="14" t="n"/>
    </row>
    <row r="436">
      <c r="A436" s="59" t="n"/>
      <c r="B436" s="14" t="n"/>
      <c r="C436" s="60" t="inlineStr">
        <is>
          <t>QUOTATION</t>
        </is>
      </c>
      <c r="D436" s="14" t="inlineStr">
        <is>
          <t>Quotation / proposal</t>
        </is>
      </c>
      <c r="E436" s="14" t="n"/>
    </row>
    <row r="437">
      <c r="A437" s="59" t="n"/>
      <c r="B437" s="14" t="n"/>
      <c r="C437" s="60" t="inlineStr">
        <is>
          <t>CLIENT_ACCEPTANCE</t>
        </is>
      </c>
      <c r="D437" s="14" t="inlineStr">
        <is>
          <t>Client acceptance e-mail</t>
        </is>
      </c>
      <c r="E437" s="14" t="n"/>
    </row>
    <row r="438">
      <c r="A438" s="59" t="n"/>
      <c r="B438" s="14" t="n"/>
      <c r="C438" s="60" t="inlineStr">
        <is>
          <t>EPOLICY</t>
        </is>
      </c>
      <c r="D438" s="14" t="inlineStr">
        <is>
          <t>E-policy</t>
        </is>
      </c>
      <c r="E438" s="14" t="n"/>
    </row>
    <row r="439">
      <c r="A439" s="59" t="n"/>
      <c r="B439" s="14" t="n"/>
      <c r="C439" s="60" t="inlineStr">
        <is>
          <t>OFFICIAL_RECEIPT</t>
        </is>
      </c>
      <c r="D439" s="14" t="inlineStr">
        <is>
          <t>Official receipt</t>
        </is>
      </c>
      <c r="E439" s="14" t="n"/>
    </row>
    <row r="440">
      <c r="A440" s="59" t="n"/>
      <c r="B440" s="14" t="n"/>
      <c r="C440" s="60" t="inlineStr">
        <is>
          <t>POLICY_COPY</t>
        </is>
      </c>
      <c r="D440" s="14" t="inlineStr">
        <is>
          <t>Issued policy copy</t>
        </is>
      </c>
      <c r="E440" s="14" t="n"/>
    </row>
    <row r="441">
      <c r="A441" s="59" t="n"/>
      <c r="B441" s="14" t="n"/>
      <c r="C441" s="60" t="inlineStr">
        <is>
          <t>OTHERS</t>
        </is>
      </c>
      <c r="D441" s="14" t="inlineStr">
        <is>
          <t>Others</t>
        </is>
      </c>
      <c r="E441" s="14" t="n"/>
    </row>
    <row r="442">
      <c r="A442" s="59" t="n"/>
      <c r="B442" s="14" t="n"/>
      <c r="C442" s="60" t="inlineStr">
        <is>
          <t>KYC_FORM</t>
        </is>
      </c>
      <c r="D442" s="14" t="inlineStr">
        <is>
          <t>Client information sheet / KYC form</t>
        </is>
      </c>
      <c r="E442" s="14" t="n"/>
    </row>
    <row r="443">
      <c r="A443" s="59" t="n"/>
      <c r="B443" s="14" t="n"/>
      <c r="C443" s="60" t="inlineStr">
        <is>
          <t>PROOF_OF_ADDRESS</t>
        </is>
      </c>
      <c r="D443" s="14" t="inlineStr">
        <is>
          <t>Proof of address</t>
        </is>
      </c>
      <c r="E443" s="14" t="n"/>
    </row>
    <row r="444">
      <c r="A444" s="59" t="n"/>
      <c r="B444" s="14" t="n"/>
      <c r="C444" s="60" t="inlineStr">
        <is>
          <t>SEC_CERTIFICATE</t>
        </is>
      </c>
      <c r="D444" s="14" t="inlineStr">
        <is>
          <t>SEC / DTI certificate of registration</t>
        </is>
      </c>
      <c r="E444" s="14" t="n"/>
    </row>
    <row r="445">
      <c r="A445" s="59" t="n"/>
      <c r="B445" s="14" t="n"/>
      <c r="C445" s="60" t="inlineStr">
        <is>
          <t>GIS</t>
        </is>
      </c>
      <c r="D445" s="14" t="inlineStr">
        <is>
          <t>General Information Sheet (GIS)</t>
        </is>
      </c>
      <c r="E445" s="14" t="n"/>
    </row>
    <row r="446">
      <c r="A446" s="59" t="n"/>
      <c r="B446" s="14" t="n"/>
      <c r="C446" s="60" t="inlineStr">
        <is>
          <t>SECRETARY_CERTIFICATE</t>
        </is>
      </c>
      <c r="D446" s="14" t="inlineStr">
        <is>
          <t>Secretary's certificate / board resolution</t>
        </is>
      </c>
      <c r="E446" s="14" t="n"/>
    </row>
    <row r="447">
      <c r="A447" s="59" t="n"/>
      <c r="B447" s="14" t="n"/>
      <c r="C447" s="60" t="inlineStr">
        <is>
          <t>PKG_REQUEST_FORM</t>
        </is>
      </c>
      <c r="D447" s="14" t="inlineStr">
        <is>
          <t>Package request form</t>
        </is>
      </c>
      <c r="E447" s="14" t="n"/>
    </row>
    <row r="448">
      <c r="A448" s="59" t="n"/>
      <c r="B448" s="14" t="n"/>
      <c r="C448" s="60" t="inlineStr">
        <is>
          <t>PKG_QUOTATION_SLIP</t>
        </is>
      </c>
      <c r="D448" s="14" t="inlineStr">
        <is>
          <t>Package quotation slip</t>
        </is>
      </c>
      <c r="E448" s="14" t="n"/>
    </row>
    <row r="449">
      <c r="A449" s="59" t="n"/>
      <c r="B449" s="14" t="n"/>
      <c r="C449" s="60" t="inlineStr">
        <is>
          <t>PKG_INSURER_RESPONSE</t>
        </is>
      </c>
      <c r="D449" s="14" t="inlineStr">
        <is>
          <t>Insurer package terms</t>
        </is>
      </c>
      <c r="E449" s="14" t="n"/>
    </row>
    <row r="450">
      <c r="A450" s="59" t="n"/>
      <c r="B450" s="14" t="n"/>
      <c r="C450" s="60" t="inlineStr">
        <is>
          <t>PKG_COMPARATIVE</t>
        </is>
      </c>
      <c r="D450" s="14" t="inlineStr">
        <is>
          <t>Package comparative table</t>
        </is>
      </c>
      <c r="E450" s="14" t="n"/>
    </row>
    <row r="451">
      <c r="A451" s="59" t="n"/>
      <c r="B451" s="14" t="n"/>
      <c r="C451" s="60" t="inlineStr">
        <is>
          <t>PKG_SLIP_SIGNED</t>
        </is>
      </c>
      <c r="D451" s="14" t="inlineStr">
        <is>
          <t>Package slip (signed)</t>
        </is>
      </c>
      <c r="E451" s="14" t="n"/>
    </row>
    <row r="452">
      <c r="A452" s="59" t="n"/>
      <c r="B452" s="14" t="n"/>
      <c r="C452" s="60" t="inlineStr">
        <is>
          <t>MANCOM_SIGNOFF</t>
        </is>
      </c>
      <c r="D452" s="14" t="inlineStr">
        <is>
          <t>ManCom sign-off</t>
        </is>
      </c>
      <c r="E452" s="14" t="n"/>
    </row>
    <row r="453">
      <c r="A453" s="59" t="n"/>
      <c r="B453" s="14" t="n"/>
      <c r="C453" s="60" t="inlineStr">
        <is>
          <t>PKG_ADVISORY</t>
        </is>
      </c>
      <c r="D453" s="14" t="inlineStr">
        <is>
          <t>Package advisory</t>
        </is>
      </c>
      <c r="E453" s="14" t="n"/>
    </row>
    <row r="454">
      <c r="A454" s="59" t="n"/>
      <c r="B454" s="14" t="n"/>
      <c r="C454" s="60" t="inlineStr">
        <is>
          <t>REQUEST_EMAIL</t>
        </is>
      </c>
      <c r="D454" s="14" t="inlineStr">
        <is>
          <t>Quotation / proposal request e-mail</t>
        </is>
      </c>
      <c r="E454" s="14" t="n"/>
    </row>
    <row r="455">
      <c r="A455" s="59" t="n"/>
      <c r="B455" s="14" t="n"/>
      <c r="C455" s="60" t="inlineStr">
        <is>
          <t>QUOTATION_SLIP</t>
        </is>
      </c>
      <c r="D455" s="14" t="inlineStr">
        <is>
          <t>Quotation slip</t>
        </is>
      </c>
      <c r="E455" s="14" t="n"/>
    </row>
    <row r="456">
      <c r="A456" s="59" t="n"/>
      <c r="B456" s="14" t="n"/>
      <c r="C456" s="60" t="inlineStr">
        <is>
          <t>INSURER_RESPONSE</t>
        </is>
      </c>
      <c r="D456" s="14" t="inlineStr">
        <is>
          <t>Insurer response / terms</t>
        </is>
      </c>
      <c r="E456" s="14" t="n"/>
    </row>
    <row r="457">
      <c r="A457" s="59" t="n"/>
      <c r="B457" s="14" t="n"/>
      <c r="C457" s="60" t="inlineStr">
        <is>
          <t>COMPARATIVE_TABLE</t>
        </is>
      </c>
      <c r="D457" s="14" t="inlineStr">
        <is>
          <t>Comparative table</t>
        </is>
      </c>
      <c r="E457" s="14" t="n"/>
    </row>
    <row r="458">
      <c r="A458" s="59" t="n"/>
      <c r="B458" s="14" t="n"/>
      <c r="C458" s="60" t="inlineStr">
        <is>
          <t>PROPOSAL_SLIP</t>
        </is>
      </c>
      <c r="D458" s="14" t="inlineStr">
        <is>
          <t>Proposal slip</t>
        </is>
      </c>
      <c r="E458" s="14" t="n"/>
    </row>
    <row r="459">
      <c r="A459" s="59" t="n"/>
      <c r="B459" s="14" t="n"/>
      <c r="C459" s="60" t="inlineStr">
        <is>
          <t>PAYMENT_CONFIRMATION</t>
        </is>
      </c>
      <c r="D459" s="14" t="inlineStr">
        <is>
          <t>Payment / client confirmation</t>
        </is>
      </c>
      <c r="E459" s="14" t="n"/>
    </row>
    <row r="460">
      <c r="A460" s="59" t="n"/>
      <c r="B460" s="14" t="n"/>
      <c r="C460" s="60" t="inlineStr">
        <is>
          <t>HOLD_COVER</t>
        </is>
      </c>
      <c r="D460" s="14" t="inlineStr">
        <is>
          <t>Hold cover confirmation</t>
        </is>
      </c>
      <c r="E460" s="14" t="n"/>
    </row>
    <row r="461">
      <c r="A461" s="59" t="n"/>
      <c r="B461" s="14" t="n"/>
      <c r="C461" s="60" t="inlineStr">
        <is>
          <t>INSURANCE_ADVICE</t>
        </is>
      </c>
      <c r="D461" s="14" t="inlineStr">
        <is>
          <t>Insurance Advice</t>
        </is>
      </c>
      <c r="E461" s="14" t="n"/>
    </row>
    <row r="462">
      <c r="A462" s="59" t="n"/>
      <c r="B462" s="14" t="n"/>
      <c r="C462" s="60" t="inlineStr">
        <is>
          <t>RENEWAL_ADVICE</t>
        </is>
      </c>
      <c r="D462" s="14" t="inlineStr">
        <is>
          <t>Renewal advice</t>
        </is>
      </c>
      <c r="E462" s="14" t="n"/>
    </row>
    <row r="463">
      <c r="A463" s="59" t="n"/>
      <c r="B463" s="14" t="n"/>
      <c r="C463" s="60" t="inlineStr">
        <is>
          <t>RA_ACCEPTANCE</t>
        </is>
      </c>
      <c r="D463" s="14" t="inlineStr">
        <is>
          <t>Renewal advice acceptance (e-mail)</t>
        </is>
      </c>
      <c r="E463" s="14" t="n"/>
    </row>
    <row r="464">
      <c r="A464" s="59" t="n"/>
      <c r="B464" s="14" t="n"/>
      <c r="C464" s="60" t="inlineStr">
        <is>
          <t>SIGNED_RA</t>
        </is>
      </c>
      <c r="D464" s="14" t="inlineStr">
        <is>
          <t>Signed renewal advice</t>
        </is>
      </c>
      <c r="E464" s="14" t="n"/>
    </row>
    <row r="465">
      <c r="A465" s="59" t="n"/>
      <c r="B465" s="14" t="n"/>
      <c r="C465" s="60" t="inlineStr">
        <is>
          <t>LAMD_REPORT</t>
        </is>
      </c>
      <c r="D465" s="14" t="inlineStr">
        <is>
          <t>LAMD loan report</t>
        </is>
      </c>
      <c r="E465" s="14" t="n"/>
    </row>
    <row r="466">
      <c r="A466" s="59" t="n"/>
      <c r="B466" s="14" t="n"/>
      <c r="C466" s="60" t="inlineStr">
        <is>
          <t>INSURER_RENEWAL_FILE</t>
        </is>
      </c>
      <c r="D466" s="14" t="inlineStr">
        <is>
          <t>Insurer renewal file</t>
        </is>
      </c>
      <c r="E466" s="14" t="n"/>
    </row>
    <row r="467">
      <c r="A467" s="59" t="n"/>
      <c r="B467" s="14" t="n"/>
      <c r="C467" s="60" t="inlineStr">
        <is>
          <t>RENEWAL_LETTER</t>
        </is>
      </c>
      <c r="D467" s="14" t="inlineStr">
        <is>
          <t>Renewal letter</t>
        </is>
      </c>
      <c r="E467" s="14" t="n"/>
    </row>
    <row r="468">
      <c r="A468" s="59" t="n"/>
      <c r="B468" s="14" t="n"/>
      <c r="C468" s="60" t="inlineStr">
        <is>
          <t>CLAIM_REPORT</t>
        </is>
      </c>
      <c r="D468" s="14" t="inlineStr">
        <is>
          <t>Claims report</t>
        </is>
      </c>
      <c r="E468" s="14" t="n"/>
    </row>
    <row r="469">
      <c r="A469" s="59" t="n"/>
      <c r="B469" s="14" t="n"/>
      <c r="C469" s="60" t="inlineStr">
        <is>
          <t>EB_CLIENT_FEEDBACK</t>
        </is>
      </c>
      <c r="D469" s="14" t="inlineStr">
        <is>
          <t>EB client feedback</t>
        </is>
      </c>
      <c r="E469" s="14" t="n"/>
    </row>
    <row r="470">
      <c r="A470" s="59" t="n"/>
      <c r="B470" s="14" t="n"/>
      <c r="C470" s="60" t="inlineStr">
        <is>
          <t>EB_BOR</t>
        </is>
      </c>
      <c r="D470" s="14" t="inlineStr">
        <is>
          <t>Broker on Record (signed)</t>
        </is>
      </c>
      <c r="E470" s="14" t="n"/>
    </row>
    <row r="471">
      <c r="A471" s="59" t="n"/>
      <c r="B471" s="14" t="n"/>
      <c r="C471" s="60" t="inlineStr">
        <is>
          <t>EB_TOR</t>
        </is>
      </c>
      <c r="D471" s="14" t="inlineStr">
        <is>
          <t>Terms of Reference (TOR)</t>
        </is>
      </c>
      <c r="E471" s="14" t="n"/>
    </row>
    <row r="472">
      <c r="A472" s="59" t="n"/>
      <c r="B472" s="14" t="n"/>
      <c r="C472" s="60" t="inlineStr">
        <is>
          <t>EB_MASTERLIST</t>
        </is>
      </c>
      <c r="D472" s="14" t="inlineStr">
        <is>
          <t>Master list (named)</t>
        </is>
      </c>
      <c r="E472" s="14" t="n"/>
    </row>
    <row r="473">
      <c r="A473" s="59" t="n"/>
      <c r="B473" s="14" t="n"/>
      <c r="C473" s="60" t="inlineStr">
        <is>
          <t>EB_MASTERLIST_UNNAMED</t>
        </is>
      </c>
      <c r="D473" s="14" t="inlineStr">
        <is>
          <t>Unnamed master list (census)</t>
        </is>
      </c>
      <c r="E473" s="14" t="n"/>
    </row>
    <row r="474">
      <c r="A474" s="59" t="n"/>
      <c r="B474" s="14" t="n"/>
      <c r="C474" s="60" t="inlineStr">
        <is>
          <t>EB_UTILIZATION</t>
        </is>
      </c>
      <c r="D474" s="14" t="inlineStr">
        <is>
          <t>Utilization report</t>
        </is>
      </c>
      <c r="E474" s="14" t="n"/>
    </row>
    <row r="475">
      <c r="A475" s="59" t="n"/>
      <c r="B475" s="14" t="n"/>
      <c r="C475" s="60" t="inlineStr">
        <is>
          <t>EB_INDICATIVE_PROPOSAL</t>
        </is>
      </c>
      <c r="D475" s="14" t="inlineStr">
        <is>
          <t>Indicative (incumbent) proposal</t>
        </is>
      </c>
      <c r="E475" s="14" t="n"/>
    </row>
    <row r="476">
      <c r="A476" s="59" t="n"/>
      <c r="B476" s="14" t="n"/>
      <c r="C476" s="60" t="inlineStr">
        <is>
          <t>EB_PROPOSAL</t>
        </is>
      </c>
      <c r="D476" s="14" t="inlineStr">
        <is>
          <t>Insurer proposal</t>
        </is>
      </c>
      <c r="E476" s="14" t="n"/>
    </row>
    <row r="477">
      <c r="A477" s="59" t="n"/>
      <c r="B477" s="14" t="n"/>
      <c r="C477" s="60" t="inlineStr">
        <is>
          <t>EB_COMPARATIVE</t>
        </is>
      </c>
      <c r="D477" s="14" t="inlineStr">
        <is>
          <t>Comparative analysis</t>
        </is>
      </c>
      <c r="E477" s="14" t="n"/>
    </row>
    <row r="478">
      <c r="A478" s="59" t="n"/>
      <c r="B478" s="14" t="n"/>
      <c r="C478" s="60" t="inlineStr">
        <is>
          <t>EB_FRANCHISE_FORM</t>
        </is>
      </c>
      <c r="D478" s="14" t="inlineStr">
        <is>
          <t>Franchise request form</t>
        </is>
      </c>
      <c r="E478" s="14" t="n"/>
    </row>
    <row r="479">
      <c r="A479" s="59" t="n"/>
      <c r="B479" s="14" t="n"/>
      <c r="C479" s="60" t="inlineStr">
        <is>
          <t>EB_CLIENT_CONFIRMATION</t>
        </is>
      </c>
      <c r="D479" s="14" t="inlineStr">
        <is>
          <t>Client confirmation of the chosen proposal</t>
        </is>
      </c>
      <c r="E479" s="14" t="n"/>
    </row>
    <row r="480">
      <c r="A480" s="59" t="n"/>
      <c r="B480" s="14" t="n"/>
      <c r="C480" s="60" t="inlineStr">
        <is>
          <t>EB_POLICY_FORM</t>
        </is>
      </c>
      <c r="D480" s="14" t="inlineStr">
        <is>
          <t>EB policy form / contract</t>
        </is>
      </c>
      <c r="E480" s="14" t="n"/>
    </row>
    <row r="481">
      <c r="A481" s="59" t="n"/>
      <c r="B481" s="14" t="n"/>
      <c r="C481" s="60" t="inlineStr">
        <is>
          <t>EB_DIRECT_BILLING</t>
        </is>
      </c>
      <c r="D481" s="14" t="inlineStr">
        <is>
          <t>Insurer direct billing (EB changes)</t>
        </is>
      </c>
      <c r="E481" s="14" t="n"/>
    </row>
    <row r="482">
      <c r="A482" s="59" t="n"/>
      <c r="B482" s="14" t="n"/>
      <c r="C482" s="60" t="inlineStr">
        <is>
          <t>EB_SOA</t>
        </is>
      </c>
      <c r="D482" s="14" t="inlineStr">
        <is>
          <t>Insurer statement of account (EB)</t>
        </is>
      </c>
      <c r="E482" s="14" t="n"/>
    </row>
    <row r="483">
      <c r="A483" s="59" t="n"/>
      <c r="B483" s="14" t="n"/>
      <c r="C483" s="60" t="inlineStr">
        <is>
          <t>EB_MEMBER_CHANGE</t>
        </is>
      </c>
      <c r="D483" s="14" t="inlineStr">
        <is>
          <t>Member change request</t>
        </is>
      </c>
      <c r="E483" s="14" t="n"/>
    </row>
    <row r="484">
      <c r="A484" s="59" t="n"/>
      <c r="B484" s="14" t="n"/>
      <c r="C484" s="60" t="inlineStr">
        <is>
          <t>EB_ISACOM_APPROVAL</t>
        </is>
      </c>
      <c r="D484" s="14" t="inlineStr">
        <is>
          <t>ISACOM approval (non-accredited provider)</t>
        </is>
      </c>
      <c r="E484" s="14" t="n"/>
    </row>
    <row r="485">
      <c r="A485" s="59" t="n"/>
      <c r="B485" s="14" t="n"/>
      <c r="C485" s="60" t="inlineStr">
        <is>
          <t>CLIENT_REQUEST</t>
        </is>
      </c>
      <c r="D485" s="14" t="inlineStr">
        <is>
          <t>Client request or letter</t>
        </is>
      </c>
      <c r="E485" s="14" t="n"/>
    </row>
    <row r="486">
      <c r="A486" s="59" t="n"/>
      <c r="B486" s="14" t="n"/>
      <c r="C486" s="60" t="inlineStr">
        <is>
          <t>CLIENT_PHOTO</t>
        </is>
      </c>
      <c r="D486" s="14" t="inlineStr">
        <is>
          <t>Photo sent by the client</t>
        </is>
      </c>
      <c r="E486" s="14" t="n"/>
    </row>
    <row r="487">
      <c r="A487" s="59" t="n"/>
      <c r="B487" s="14" t="n"/>
      <c r="C487" s="60" t="inlineStr">
        <is>
          <t>SUBMITTED_POLICY</t>
        </is>
      </c>
      <c r="D487" s="14" t="inlineStr">
        <is>
          <t>Submitted policy document</t>
        </is>
      </c>
      <c r="E487" s="14" t="n"/>
    </row>
    <row r="488">
      <c r="A488" s="59" t="n"/>
      <c r="B488" s="14" t="n"/>
      <c r="C488" s="60" t="inlineStr">
        <is>
          <t>SBM_IAAF</t>
        </is>
      </c>
      <c r="D488" s="14" t="inlineStr">
        <is>
          <t>Insurance Adequacy Assessment Form (IAAF)</t>
        </is>
      </c>
      <c r="E488" s="14" t="n"/>
    </row>
    <row r="489">
      <c r="A489" s="59" t="n"/>
      <c r="B489" s="14" t="n"/>
      <c r="C489" s="60" t="inlineStr">
        <is>
          <t>SBM_TOR</t>
        </is>
      </c>
      <c r="D489" s="14" t="inlineStr">
        <is>
          <t>Terms of Reference (TOR)</t>
        </is>
      </c>
      <c r="E489" s="14" t="n"/>
    </row>
    <row r="490">
      <c r="A490" s="59" t="n"/>
      <c r="B490" s="14" t="n"/>
      <c r="C490" s="60" t="inlineStr">
        <is>
          <t>SBM_LETTER</t>
        </is>
      </c>
      <c r="D490" s="14" t="inlineStr">
        <is>
          <t>Submitted policy letter</t>
        </is>
      </c>
      <c r="E490" s="14" t="n"/>
    </row>
    <row r="491">
      <c r="A491" s="59" t="n"/>
      <c r="B491" s="14" t="n"/>
      <c r="C491" s="60" t="inlineStr">
        <is>
          <t>LEGACY_DOCUMENT</t>
        </is>
      </c>
      <c r="D491" s="14" t="inlineStr">
        <is>
          <t>Legacy document (archive)</t>
        </is>
      </c>
      <c r="E491" s="14" t="n"/>
    </row>
    <row r="492">
      <c r="A492" s="59" t="n"/>
      <c r="B492" s="14" t="n"/>
      <c r="C492" s="60" t="inlineStr">
        <is>
          <t>MIG_EVIDENCE</t>
        </is>
      </c>
      <c r="D492" s="14" t="inlineStr">
        <is>
          <t>Migration sign-off evidence</t>
        </is>
      </c>
      <c r="E492" s="14" t="n"/>
    </row>
    <row r="493" ht="28" customHeight="1">
      <c r="A493" s="41" t="inlineStr">
        <is>
          <t>Clause kind (LOV_CLAUSE_KIND)</t>
        </is>
      </c>
      <c r="B493" s="19" t="inlineStr">
        <is>
          <t>PM-03 Clause library: Kind</t>
        </is>
      </c>
      <c r="C493" s="58" t="inlineStr">
        <is>
          <t>WARRANTY</t>
        </is>
      </c>
      <c r="D493" s="19" t="inlineStr">
        <is>
          <t>Warranty</t>
        </is>
      </c>
      <c r="E493" s="19" t="inlineStr">
        <is>
          <t>The values of the list as delivered with BIBS; a new value is added on Lists of Values first.</t>
        </is>
      </c>
    </row>
    <row r="494">
      <c r="A494" s="41" t="n"/>
      <c r="B494" s="19" t="n"/>
      <c r="C494" s="58" t="inlineStr">
        <is>
          <t>CLAUSE</t>
        </is>
      </c>
      <c r="D494" s="19" t="inlineStr">
        <is>
          <t>Clause</t>
        </is>
      </c>
      <c r="E494" s="19" t="n"/>
    </row>
    <row r="495">
      <c r="A495" s="41" t="n"/>
      <c r="B495" s="19" t="n"/>
      <c r="C495" s="58" t="inlineStr">
        <is>
          <t>EXCLUSION</t>
        </is>
      </c>
      <c r="D495" s="19" t="inlineStr">
        <is>
          <t>Exclusion</t>
        </is>
      </c>
      <c r="E495" s="19" t="n"/>
    </row>
    <row r="496">
      <c r="A496" s="41" t="n"/>
      <c r="B496" s="19" t="n"/>
      <c r="C496" s="58" t="inlineStr">
        <is>
          <t>DEDUCTIBLE_WORDING</t>
        </is>
      </c>
      <c r="D496" s="19" t="inlineStr">
        <is>
          <t>Deductible wording</t>
        </is>
      </c>
      <c r="E496" s="19" t="n"/>
    </row>
    <row r="497">
      <c r="A497" s="59" t="inlineStr">
        <is>
          <t>Table (PM-04) (PM_04_TABLE)</t>
        </is>
      </c>
      <c r="B497" s="14" t="inlineStr">
        <is>
          <t>PM-04 Rate tables: Table</t>
        </is>
      </c>
      <c r="C497" s="60" t="inlineStr">
        <is>
          <t>TAX</t>
        </is>
      </c>
      <c r="D497" s="14" t="inlineStr">
        <is>
          <t>Tax</t>
        </is>
      </c>
      <c r="E497" s="14" t="n"/>
    </row>
    <row r="498">
      <c r="A498" s="59" t="n"/>
      <c r="B498" s="14" t="n"/>
      <c r="C498" s="60" t="inlineStr">
        <is>
          <t>SHORT_PERIOD</t>
        </is>
      </c>
      <c r="D498" s="14" t="inlineStr">
        <is>
          <t>Short period</t>
        </is>
      </c>
      <c r="E498" s="14" t="n"/>
    </row>
    <row r="499">
      <c r="A499" s="59" t="n"/>
      <c r="B499" s="14" t="n"/>
      <c r="C499" s="60" t="inlineStr">
        <is>
          <t>MOTOR_LIMIT</t>
        </is>
      </c>
      <c r="D499" s="14" t="inlineStr">
        <is>
          <t>Motor limit</t>
        </is>
      </c>
      <c r="E499" s="14" t="n"/>
    </row>
    <row r="500" ht="28" customHeight="1">
      <c r="A500" s="41" t="inlineStr">
        <is>
          <t>Premium charge or rating factor (BIBS) (PM_04_RATE)</t>
        </is>
      </c>
      <c r="B500" s="19" t="inlineStr">
        <is>
          <t>PM-04 Rate tables: Rate</t>
        </is>
      </c>
      <c r="C500" s="58" t="inlineStr">
        <is>
          <t>DST</t>
        </is>
      </c>
      <c r="D500" s="19" t="inlineStr">
        <is>
          <t>Documentary stamp tax</t>
        </is>
      </c>
      <c r="E500" s="19" t="n"/>
    </row>
    <row r="501">
      <c r="A501" s="41" t="n"/>
      <c r="B501" s="19" t="n"/>
      <c r="C501" s="58" t="inlineStr">
        <is>
          <t>PREMIUM_TAX</t>
        </is>
      </c>
      <c r="D501" s="19" t="inlineStr">
        <is>
          <t>Premium tax</t>
        </is>
      </c>
      <c r="E501" s="19" t="n"/>
    </row>
    <row r="502">
      <c r="A502" s="41" t="n"/>
      <c r="B502" s="19" t="n"/>
      <c r="C502" s="58" t="inlineStr">
        <is>
          <t>VAT_PREMIUM</t>
        </is>
      </c>
      <c r="D502" s="19" t="inlineStr">
        <is>
          <t>VAT on premium</t>
        </is>
      </c>
      <c r="E502" s="19" t="n"/>
    </row>
    <row r="503">
      <c r="A503" s="41" t="n"/>
      <c r="B503" s="19" t="n"/>
      <c r="C503" s="58" t="inlineStr">
        <is>
          <t>FIRE_SERVICE_TAX</t>
        </is>
      </c>
      <c r="D503" s="19" t="inlineStr">
        <is>
          <t>Fire service tax</t>
        </is>
      </c>
      <c r="E503" s="19" t="n"/>
    </row>
    <row r="504">
      <c r="A504" s="41" t="n"/>
      <c r="B504" s="19" t="n"/>
      <c r="C504" s="58" t="inlineStr">
        <is>
          <t>VAT_COMMISSION</t>
        </is>
      </c>
      <c r="D504" s="19" t="inlineStr">
        <is>
          <t>VAT on BDOI's commission</t>
        </is>
      </c>
      <c r="E504" s="19" t="n"/>
    </row>
    <row r="505">
      <c r="A505" s="41" t="n"/>
      <c r="B505" s="19" t="n"/>
      <c r="C505" s="58" t="inlineStr">
        <is>
          <t>MOTOR_OD_ANNUAL</t>
        </is>
      </c>
      <c r="D505" s="19" t="inlineStr">
        <is>
          <t>Motor own damage / theft coverage, % of TSI, annual</t>
        </is>
      </c>
      <c r="E505" s="19" t="n"/>
    </row>
    <row r="506" ht="28" customHeight="1">
      <c r="A506" s="41" t="n"/>
      <c r="B506" s="19" t="n"/>
      <c r="C506" s="58" t="inlineStr">
        <is>
          <t>MOTOR_OD_MULTI_YEAR</t>
        </is>
      </c>
      <c r="D506" s="19" t="inlineStr">
        <is>
          <t>Motor own damage / theft coverage, % of TSI, multi-year</t>
        </is>
      </c>
      <c r="E506" s="19" t="n"/>
    </row>
    <row r="507">
      <c r="A507" s="59" t="inlineStr">
        <is>
          <t>Basis (PM-04C) (PM_04C_BASIS)</t>
        </is>
      </c>
      <c r="B507" s="14" t="inlineStr">
        <is>
          <t>PM-04C Other charges: Basis</t>
        </is>
      </c>
      <c r="C507" s="60" t="inlineStr">
        <is>
          <t>AMOUNT</t>
        </is>
      </c>
      <c r="D507" s="14" t="inlineStr">
        <is>
          <t>Amount</t>
        </is>
      </c>
      <c r="E507" s="14" t="n"/>
    </row>
    <row r="508">
      <c r="A508" s="59" t="n"/>
      <c r="B508" s="14" t="n"/>
      <c r="C508" s="60" t="inlineStr">
        <is>
          <t>RATE</t>
        </is>
      </c>
      <c r="D508" s="14" t="inlineStr">
        <is>
          <t>Rate</t>
        </is>
      </c>
      <c r="E508" s="14" t="n"/>
    </row>
    <row r="509" ht="28" customHeight="1">
      <c r="A509" s="41" t="inlineStr">
        <is>
          <t>VAT treatment (PM-04C) (PM_04C_VAT_TREATMENT)</t>
        </is>
      </c>
      <c r="B509" s="19" t="inlineStr">
        <is>
          <t>PM-04C Other charges: VAT treatment</t>
        </is>
      </c>
      <c r="C509" s="58" t="inlineStr">
        <is>
          <t>VATABLE</t>
        </is>
      </c>
      <c r="D509" s="19" t="inlineStr">
        <is>
          <t>Vatable</t>
        </is>
      </c>
      <c r="E509" s="19" t="n"/>
    </row>
    <row r="510">
      <c r="A510" s="41" t="n"/>
      <c r="B510" s="19" t="n"/>
      <c r="C510" s="58" t="inlineStr">
        <is>
          <t>EXEMPT</t>
        </is>
      </c>
      <c r="D510" s="19" t="inlineStr">
        <is>
          <t>Exempt</t>
        </is>
      </c>
      <c r="E510" s="19" t="n"/>
    </row>
    <row r="511">
      <c r="A511" s="41" t="n"/>
      <c r="B511" s="19" t="n"/>
      <c r="C511" s="58" t="inlineStr">
        <is>
          <t>ZERO_RATED</t>
        </is>
      </c>
      <c r="D511" s="19" t="inlineStr">
        <is>
          <t>Zero rated</t>
        </is>
      </c>
      <c r="E511" s="19" t="n"/>
    </row>
    <row r="512" ht="28" customHeight="1">
      <c r="A512" s="59" t="inlineStr">
        <is>
          <t>R06 qualifier (R06_QUALIFIER)</t>
        </is>
      </c>
      <c r="B512" s="14" t="inlineStr">
        <is>
          <t>R06 Package code map (legacy pa: qualifier</t>
        </is>
      </c>
      <c r="C512" s="60" t="inlineStr">
        <is>
          <t>RISK_CODE</t>
        </is>
      </c>
      <c r="D512" s="14" t="n"/>
      <c r="E512" s="14" t="n"/>
    </row>
    <row r="513">
      <c r="A513" s="59" t="n"/>
      <c r="B513" s="14" t="n"/>
      <c r="C513" s="60" t="inlineStr">
        <is>
          <t>INSURER</t>
        </is>
      </c>
      <c r="D513" s="14" t="n"/>
      <c r="E513" s="14" t="n"/>
    </row>
    <row r="514">
      <c r="A514" s="59" t="n"/>
      <c r="B514" s="14" t="n"/>
      <c r="C514" s="60" t="inlineStr">
        <is>
          <t>SI_BAND</t>
        </is>
      </c>
      <c r="D514" s="14" t="n"/>
      <c r="E514" s="14" t="n"/>
    </row>
    <row r="515">
      <c r="A515" s="41" t="inlineStr">
        <is>
          <t>R06 action (R06_ACTION)</t>
        </is>
      </c>
      <c r="B515" s="19" t="inlineStr">
        <is>
          <t>R06 Package code map (legacy pa: action</t>
        </is>
      </c>
      <c r="C515" s="58" t="inlineStr">
        <is>
          <t>MAP</t>
        </is>
      </c>
      <c r="D515" s="19" t="n"/>
      <c r="E515" s="19" t="n"/>
    </row>
    <row r="516">
      <c r="A516" s="41" t="n"/>
      <c r="B516" s="19" t="n"/>
      <c r="C516" s="58" t="inlineStr">
        <is>
          <t>REJECT</t>
        </is>
      </c>
      <c r="D516" s="19" t="n"/>
      <c r="E516" s="19" t="n"/>
    </row>
    <row r="517" ht="28" customHeight="1">
      <c r="A517" s="59" t="inlineStr">
        <is>
          <t>Incentive type (LOV_INCENTIVE_TYPE)</t>
        </is>
      </c>
      <c r="B517" s="14" t="inlineStr">
        <is>
          <t>PM-10 Incentive criteria: Incentive type</t>
        </is>
      </c>
      <c r="C517" s="60" t="inlineStr">
        <is>
          <t>OTHERS</t>
        </is>
      </c>
      <c r="D517" s="14" t="inlineStr">
        <is>
          <t>Others (see description)</t>
        </is>
      </c>
      <c r="E517" s="14" t="inlineStr">
        <is>
          <t>The values of the list as delivered with BIBS; a new value is added on Lists of Values first.</t>
        </is>
      </c>
    </row>
    <row r="518">
      <c r="A518" s="59" t="n"/>
      <c r="B518" s="14" t="n"/>
      <c r="C518" s="60" t="inlineStr">
        <is>
          <t>MIGRATED</t>
        </is>
      </c>
      <c r="D518" s="14" t="inlineStr">
        <is>
          <t>Migrated booking incentive rule</t>
        </is>
      </c>
      <c r="E518" s="14" t="n"/>
    </row>
    <row r="519">
      <c r="A519" s="41" t="inlineStr">
        <is>
          <t>Template (PM-08) (PM_08_TEMPLATE)</t>
        </is>
      </c>
      <c r="B519" s="19" t="inlineStr">
        <is>
          <t>PM-08 Document templates: Template</t>
        </is>
      </c>
      <c r="C519" s="58" t="inlineStr">
        <is>
          <t>PKG_REQUEST_FORM</t>
        </is>
      </c>
      <c r="D519" s="19" t="inlineStr">
        <is>
          <t>Pkg request form</t>
        </is>
      </c>
      <c r="E519" s="19" t="n"/>
    </row>
    <row r="520">
      <c r="A520" s="41" t="n"/>
      <c r="B520" s="19" t="n"/>
      <c r="C520" s="58" t="inlineStr">
        <is>
          <t>PKG_QUOTATION_SLIP</t>
        </is>
      </c>
      <c r="D520" s="19" t="inlineStr">
        <is>
          <t>Pkg quotation slip</t>
        </is>
      </c>
      <c r="E520" s="19" t="n"/>
    </row>
    <row r="521">
      <c r="A521" s="41" t="n"/>
      <c r="B521" s="19" t="n"/>
      <c r="C521" s="58" t="inlineStr">
        <is>
          <t>PKG_COMPARATIVE</t>
        </is>
      </c>
      <c r="D521" s="19" t="inlineStr">
        <is>
          <t>Pkg comparative</t>
        </is>
      </c>
      <c r="E521" s="19" t="n"/>
    </row>
    <row r="522">
      <c r="A522" s="41" t="n"/>
      <c r="B522" s="19" t="n"/>
      <c r="C522" s="58" t="inlineStr">
        <is>
          <t>PKG_SLIP</t>
        </is>
      </c>
      <c r="D522" s="19" t="inlineStr">
        <is>
          <t>Pkg slip</t>
        </is>
      </c>
      <c r="E522" s="19" t="n"/>
    </row>
    <row r="523">
      <c r="A523" s="41" t="n"/>
      <c r="B523" s="19" t="n"/>
      <c r="C523" s="58" t="inlineStr">
        <is>
          <t>PKG_ADVISORY</t>
        </is>
      </c>
      <c r="D523" s="19" t="inlineStr">
        <is>
          <t>Pkg advisory</t>
        </is>
      </c>
      <c r="E523" s="19" t="n"/>
    </row>
    <row r="524">
      <c r="A524" s="41" t="n"/>
      <c r="B524" s="19" t="n"/>
      <c r="C524" s="58" t="inlineStr">
        <is>
          <t>PKG_RENEWAL_ADVISORY</t>
        </is>
      </c>
      <c r="D524" s="19" t="inlineStr">
        <is>
          <t>Pkg renewal advisory</t>
        </is>
      </c>
      <c r="E524" s="19" t="n"/>
    </row>
    <row r="525">
      <c r="A525" s="59" t="inlineStr">
        <is>
          <t>Business partner type (PARTY_TYPE)</t>
        </is>
      </c>
      <c r="B525" s="14" t="inlineStr"/>
      <c r="C525" s="60" t="inlineStr">
        <is>
          <t>AGENT</t>
        </is>
      </c>
      <c r="D525" s="14" t="inlineStr">
        <is>
          <t>Agent</t>
        </is>
      </c>
      <c r="E525" s="14" t="n"/>
    </row>
    <row r="526">
      <c r="A526" s="59" t="n"/>
      <c r="B526" s="14" t="n"/>
      <c r="C526" s="60" t="inlineStr">
        <is>
          <t>BROKER</t>
        </is>
      </c>
      <c r="D526" s="14" t="inlineStr">
        <is>
          <t>Broker</t>
        </is>
      </c>
      <c r="E526" s="14" t="n"/>
    </row>
    <row r="527">
      <c r="A527" s="59" t="n"/>
      <c r="B527" s="14" t="n"/>
      <c r="C527" s="60" t="inlineStr">
        <is>
          <t>REINSURER</t>
        </is>
      </c>
      <c r="D527" s="14" t="inlineStr">
        <is>
          <t>Reinsurer</t>
        </is>
      </c>
      <c r="E527" s="14" t="n"/>
    </row>
    <row r="528">
      <c r="A528" s="59" t="n"/>
      <c r="B528" s="14" t="n"/>
      <c r="C528" s="60" t="inlineStr">
        <is>
          <t>RI_BROKER</t>
        </is>
      </c>
      <c r="D528" s="14" t="inlineStr">
        <is>
          <t>Reinsurance broker</t>
        </is>
      </c>
      <c r="E528" s="14" t="n"/>
    </row>
    <row r="529">
      <c r="A529" s="59" t="n"/>
      <c r="B529" s="14" t="n"/>
      <c r="C529" s="60" t="inlineStr">
        <is>
          <t>COINSURER</t>
        </is>
      </c>
      <c r="D529" s="14" t="inlineStr">
        <is>
          <t>Co-insurer</t>
        </is>
      </c>
      <c r="E529" s="14" t="n"/>
    </row>
    <row r="530">
      <c r="A530" s="59" t="n"/>
      <c r="B530" s="14" t="n"/>
      <c r="C530" s="60" t="inlineStr">
        <is>
          <t>SUPPLIER</t>
        </is>
      </c>
      <c r="D530" s="14" t="inlineStr">
        <is>
          <t>Supplier</t>
        </is>
      </c>
      <c r="E530" s="14" t="n"/>
    </row>
    <row r="531">
      <c r="A531" s="59" t="n"/>
      <c r="B531" s="14" t="n"/>
      <c r="C531" s="60" t="inlineStr">
        <is>
          <t>GARAGE</t>
        </is>
      </c>
      <c r="D531" s="14" t="inlineStr">
        <is>
          <t>Garage</t>
        </is>
      </c>
      <c r="E531" s="14" t="n"/>
    </row>
    <row r="532">
      <c r="A532" s="59" t="n"/>
      <c r="B532" s="14" t="n"/>
      <c r="C532" s="60" t="inlineStr">
        <is>
          <t>SURVEYOR</t>
        </is>
      </c>
      <c r="D532" s="14" t="inlineStr">
        <is>
          <t>Surveyor or adjuster</t>
        </is>
      </c>
      <c r="E532" s="14" t="n"/>
    </row>
    <row r="533">
      <c r="A533" s="59" t="n"/>
      <c r="B533" s="14" t="n"/>
      <c r="C533" s="60" t="inlineStr">
        <is>
          <t>BANK</t>
        </is>
      </c>
      <c r="D533" s="14" t="inlineStr">
        <is>
          <t>Bank</t>
        </is>
      </c>
      <c r="E533" s="14" t="n"/>
    </row>
    <row r="534">
      <c r="A534" s="59" t="n"/>
      <c r="B534" s="14" t="n"/>
      <c r="C534" s="60" t="inlineStr">
        <is>
          <t>EMPLOYEE</t>
        </is>
      </c>
      <c r="D534" s="14" t="inlineStr">
        <is>
          <t>Employee</t>
        </is>
      </c>
      <c r="E534" s="14" t="n"/>
    </row>
    <row r="535">
      <c r="A535" s="59" t="n"/>
      <c r="B535" s="14" t="n"/>
      <c r="C535" s="60" t="inlineStr">
        <is>
          <t>GOVERNMENT</t>
        </is>
      </c>
      <c r="D535" s="14" t="inlineStr">
        <is>
          <t>Government agency</t>
        </is>
      </c>
      <c r="E535" s="14" t="n"/>
    </row>
    <row r="536">
      <c r="A536" s="59" t="n"/>
      <c r="B536" s="14" t="n"/>
      <c r="C536" s="60" t="inlineStr">
        <is>
          <t>OTHER_PAYEE</t>
        </is>
      </c>
      <c r="D536" s="14" t="inlineStr">
        <is>
          <t>Other payee</t>
        </is>
      </c>
      <c r="E536" s="14" t="n"/>
    </row>
    <row r="537">
      <c r="A537" s="41" t="inlineStr">
        <is>
          <t>Currency (CURRENCY)</t>
        </is>
      </c>
      <c r="B537" s="19" t="inlineStr"/>
      <c r="C537" s="58" t="inlineStr">
        <is>
          <t>PHP</t>
        </is>
      </c>
      <c r="D537" s="19" t="inlineStr">
        <is>
          <t>Philippine peso</t>
        </is>
      </c>
      <c r="E537" s="19" t="n"/>
    </row>
    <row r="538">
      <c r="A538" s="41" t="n"/>
      <c r="B538" s="19" t="n"/>
      <c r="C538" s="58" t="inlineStr">
        <is>
          <t>USD</t>
        </is>
      </c>
      <c r="D538" s="19" t="inlineStr">
        <is>
          <t>US dollar</t>
        </is>
      </c>
      <c r="E538" s="19" t="n"/>
    </row>
    <row r="539">
      <c r="A539" s="41" t="n"/>
      <c r="B539" s="19" t="n"/>
      <c r="C539" s="58" t="inlineStr">
        <is>
          <t>EUR</t>
        </is>
      </c>
      <c r="D539" s="19" t="inlineStr">
        <is>
          <t>Euro</t>
        </is>
      </c>
      <c r="E539" s="19" t="n"/>
    </row>
    <row r="540">
      <c r="A540" s="41" t="n"/>
      <c r="B540" s="19" t="n"/>
      <c r="C540" s="58" t="inlineStr">
        <is>
          <t>JPY</t>
        </is>
      </c>
      <c r="D540" s="19" t="inlineStr">
        <is>
          <t>Japanese yen</t>
        </is>
      </c>
      <c r="E540" s="19" t="n"/>
    </row>
    <row r="541">
      <c r="A541" s="41" t="n"/>
      <c r="B541" s="19" t="n"/>
      <c r="C541" s="58" t="inlineStr">
        <is>
          <t>GBP</t>
        </is>
      </c>
      <c r="D541" s="19" t="inlineStr">
        <is>
          <t>Pound sterling</t>
        </is>
      </c>
      <c r="E541" s="19" t="n"/>
    </row>
    <row r="542">
      <c r="A542" s="41" t="n"/>
      <c r="B542" s="19" t="n"/>
      <c r="C542" s="58" t="inlineStr">
        <is>
          <t>SGD</t>
        </is>
      </c>
      <c r="D542" s="19" t="inlineStr">
        <is>
          <t>Singapore dollar</t>
        </is>
      </c>
      <c r="E542" s="19" t="n"/>
    </row>
    <row r="543">
      <c r="A543" s="41" t="n"/>
      <c r="B543" s="19" t="n"/>
      <c r="C543" s="58" t="inlineStr">
        <is>
          <t>HKD</t>
        </is>
      </c>
      <c r="D543" s="19" t="inlineStr">
        <is>
          <t>Hong Kong dollar</t>
        </is>
      </c>
      <c r="E543" s="19" t="n"/>
    </row>
    <row r="544">
      <c r="A544" s="41" t="n"/>
      <c r="B544" s="19" t="n"/>
      <c r="C544" s="58" t="inlineStr">
        <is>
          <t>AUD</t>
        </is>
      </c>
      <c r="D544" s="19" t="inlineStr">
        <is>
          <t>Australian dollar</t>
        </is>
      </c>
      <c r="E544" s="19" t="n"/>
    </row>
    <row r="545">
      <c r="A545" s="41" t="n"/>
      <c r="B545" s="19" t="n"/>
      <c r="C545" s="58" t="inlineStr">
        <is>
          <t>CNY</t>
        </is>
      </c>
      <c r="D545" s="19" t="inlineStr">
        <is>
          <t>Chinese yuan</t>
        </is>
      </c>
      <c r="E545" s="19" t="n"/>
    </row>
    <row r="546" ht="28" customHeight="1">
      <c r="A546" s="59" t="inlineStr">
        <is>
          <t>Party type (MD-01) (MD_01_PARTY_TYPE)</t>
        </is>
      </c>
      <c r="B546" s="14" t="inlineStr">
        <is>
          <t>MD-01 Business partners: Party type</t>
        </is>
      </c>
      <c r="C546" s="60" t="inlineStr">
        <is>
          <t>AGENT</t>
        </is>
      </c>
      <c r="D546" s="14" t="inlineStr">
        <is>
          <t>Agent</t>
        </is>
      </c>
      <c r="E546" s="14" t="n"/>
    </row>
    <row r="547">
      <c r="A547" s="59" t="n"/>
      <c r="B547" s="14" t="n"/>
      <c r="C547" s="60" t="inlineStr">
        <is>
          <t>BROKER</t>
        </is>
      </c>
      <c r="D547" s="14" t="inlineStr">
        <is>
          <t>Broker</t>
        </is>
      </c>
      <c r="E547" s="14" t="n"/>
    </row>
    <row r="548">
      <c r="A548" s="59" t="n"/>
      <c r="B548" s="14" t="n"/>
      <c r="C548" s="60" t="inlineStr">
        <is>
          <t>REINSURER</t>
        </is>
      </c>
      <c r="D548" s="14" t="inlineStr">
        <is>
          <t>Reinsurer</t>
        </is>
      </c>
      <c r="E548" s="14" t="n"/>
    </row>
    <row r="549">
      <c r="A549" s="59" t="n"/>
      <c r="B549" s="14" t="n"/>
      <c r="C549" s="60" t="inlineStr">
        <is>
          <t>RI_BROKER</t>
        </is>
      </c>
      <c r="D549" s="14" t="inlineStr">
        <is>
          <t>Ri broker</t>
        </is>
      </c>
      <c r="E549" s="14" t="n"/>
    </row>
    <row r="550">
      <c r="A550" s="59" t="n"/>
      <c r="B550" s="14" t="n"/>
      <c r="C550" s="60" t="inlineStr">
        <is>
          <t>COINSURER</t>
        </is>
      </c>
      <c r="D550" s="14" t="inlineStr">
        <is>
          <t>Coinsurer</t>
        </is>
      </c>
      <c r="E550" s="14" t="n"/>
    </row>
    <row r="551">
      <c r="A551" s="59" t="n"/>
      <c r="B551" s="14" t="n"/>
      <c r="C551" s="60" t="inlineStr">
        <is>
          <t>SUPPLIER</t>
        </is>
      </c>
      <c r="D551" s="14" t="inlineStr">
        <is>
          <t>Supplier</t>
        </is>
      </c>
      <c r="E551" s="14" t="n"/>
    </row>
    <row r="552">
      <c r="A552" s="59" t="n"/>
      <c r="B552" s="14" t="n"/>
      <c r="C552" s="60" t="inlineStr">
        <is>
          <t>GARAGE</t>
        </is>
      </c>
      <c r="D552" s="14" t="inlineStr">
        <is>
          <t>Garage</t>
        </is>
      </c>
      <c r="E552" s="14" t="n"/>
    </row>
    <row r="553">
      <c r="A553" s="59" t="n"/>
      <c r="B553" s="14" t="n"/>
      <c r="C553" s="60" t="inlineStr">
        <is>
          <t>SURVEYOR</t>
        </is>
      </c>
      <c r="D553" s="14" t="inlineStr">
        <is>
          <t>Surveyor</t>
        </is>
      </c>
      <c r="E553" s="14" t="n"/>
    </row>
    <row r="554">
      <c r="A554" s="59" t="n"/>
      <c r="B554" s="14" t="n"/>
      <c r="C554" s="60" t="inlineStr">
        <is>
          <t>BANK</t>
        </is>
      </c>
      <c r="D554" s="14" t="inlineStr">
        <is>
          <t>Bank</t>
        </is>
      </c>
      <c r="E554" s="14" t="n"/>
    </row>
    <row r="555">
      <c r="A555" s="59" t="n"/>
      <c r="B555" s="14" t="n"/>
      <c r="C555" s="60" t="inlineStr">
        <is>
          <t>EMPLOYEE</t>
        </is>
      </c>
      <c r="D555" s="14" t="inlineStr">
        <is>
          <t>Employee</t>
        </is>
      </c>
      <c r="E555" s="14" t="n"/>
    </row>
    <row r="556">
      <c r="A556" s="59" t="n"/>
      <c r="B556" s="14" t="n"/>
      <c r="C556" s="60" t="inlineStr">
        <is>
          <t>GOVERNMENT</t>
        </is>
      </c>
      <c r="D556" s="14" t="inlineStr">
        <is>
          <t>Government</t>
        </is>
      </c>
      <c r="E556" s="14" t="n"/>
    </row>
    <row r="557">
      <c r="A557" s="59" t="n"/>
      <c r="B557" s="14" t="n"/>
      <c r="C557" s="60" t="inlineStr">
        <is>
          <t>OTHER_PAYEE</t>
        </is>
      </c>
      <c r="D557" s="14" t="inlineStr">
        <is>
          <t>Other payee</t>
        </is>
      </c>
      <c r="E557" s="14" t="n"/>
    </row>
    <row r="558" ht="28" customHeight="1">
      <c r="A558" s="41" t="inlineStr">
        <is>
          <t>Payee class (LOV_PAYEE_CLASS)</t>
        </is>
      </c>
      <c r="B558" s="19" t="inlineStr">
        <is>
          <t>UP-02 Payees (upload): Payee class</t>
        </is>
      </c>
      <c r="C558" s="58" t="inlineStr">
        <is>
          <t>SUPPLIER</t>
        </is>
      </c>
      <c r="D558" s="19" t="inlineStr">
        <is>
          <t>Supplier</t>
        </is>
      </c>
      <c r="E558" s="19" t="inlineStr">
        <is>
          <t>The values of the list as delivered with BIBS; a new value is added on Lists of Values first.</t>
        </is>
      </c>
    </row>
    <row r="559">
      <c r="A559" s="41" t="n"/>
      <c r="B559" s="19" t="n"/>
      <c r="C559" s="58" t="inlineStr">
        <is>
          <t>INSURER</t>
        </is>
      </c>
      <c r="D559" s="19" t="inlineStr">
        <is>
          <t>Insurer</t>
        </is>
      </c>
      <c r="E559" s="19" t="n"/>
    </row>
    <row r="560">
      <c r="A560" s="41" t="n"/>
      <c r="B560" s="19" t="n"/>
      <c r="C560" s="58" t="inlineStr">
        <is>
          <t>EMPLOYEE</t>
        </is>
      </c>
      <c r="D560" s="19" t="inlineStr">
        <is>
          <t>Employee</t>
        </is>
      </c>
      <c r="E560" s="19" t="n"/>
    </row>
    <row r="561">
      <c r="A561" s="41" t="n"/>
      <c r="B561" s="19" t="n"/>
      <c r="C561" s="58" t="inlineStr">
        <is>
          <t>CLIENT</t>
        </is>
      </c>
      <c r="D561" s="19" t="inlineStr">
        <is>
          <t>Client</t>
        </is>
      </c>
      <c r="E561" s="19" t="n"/>
    </row>
    <row r="562">
      <c r="A562" s="41" t="n"/>
      <c r="B562" s="19" t="n"/>
      <c r="C562" s="58" t="inlineStr">
        <is>
          <t>GOVERNMENT</t>
        </is>
      </c>
      <c r="D562" s="19" t="inlineStr">
        <is>
          <t>Government agency</t>
        </is>
      </c>
      <c r="E562" s="19" t="n"/>
    </row>
    <row r="563">
      <c r="A563" s="41" t="n"/>
      <c r="B563" s="19" t="n"/>
      <c r="C563" s="58" t="inlineStr">
        <is>
          <t>OTHER</t>
        </is>
      </c>
      <c r="D563" s="19" t="inlineStr">
        <is>
          <t>Others</t>
        </is>
      </c>
      <c r="E563" s="19" t="n"/>
    </row>
    <row r="564" ht="28" customHeight="1">
      <c r="A564" s="59" t="inlineStr">
        <is>
          <t>Default mode (UP-02) (UP_02_DEFAULT_MODE)</t>
        </is>
      </c>
      <c r="B564" s="14" t="inlineStr">
        <is>
          <t>UP-02 Payees (upload): Default mode</t>
        </is>
      </c>
      <c r="C564" s="60" t="inlineStr">
        <is>
          <t>CTA</t>
        </is>
      </c>
      <c r="D564" s="14" t="inlineStr">
        <is>
          <t>Credit to account</t>
        </is>
      </c>
      <c r="E564" s="14" t="n"/>
    </row>
    <row r="565">
      <c r="A565" s="59" t="n"/>
      <c r="B565" s="14" t="n"/>
      <c r="C565" s="60" t="inlineStr">
        <is>
          <t>ATD</t>
        </is>
      </c>
      <c r="D565" s="14" t="inlineStr">
        <is>
          <t>Authority to debit</t>
        </is>
      </c>
      <c r="E565" s="14" t="n"/>
    </row>
    <row r="566">
      <c r="A566" s="59" t="n"/>
      <c r="B566" s="14" t="n"/>
      <c r="C566" s="60" t="inlineStr">
        <is>
          <t>MC_DD</t>
        </is>
      </c>
      <c r="D566" s="14" t="inlineStr">
        <is>
          <t>Manager's check or demand draft</t>
        </is>
      </c>
      <c r="E566" s="14" t="n"/>
    </row>
    <row r="567">
      <c r="A567" s="59" t="n"/>
      <c r="B567" s="14" t="n"/>
      <c r="C567" s="60" t="inlineStr">
        <is>
          <t>CREDIT_TICKET</t>
        </is>
      </c>
      <c r="D567" s="14" t="inlineStr">
        <is>
          <t>Credit ticket</t>
        </is>
      </c>
      <c r="E567" s="14" t="n"/>
    </row>
    <row r="568">
      <c r="A568" s="59" t="n"/>
      <c r="B568" s="14" t="n"/>
      <c r="C568" s="60" t="inlineStr">
        <is>
          <t>TT</t>
        </is>
      </c>
      <c r="D568" s="14" t="inlineStr">
        <is>
          <t>Telegraphic transfer</t>
        </is>
      </c>
      <c r="E568" s="14" t="n"/>
    </row>
    <row r="569">
      <c r="A569" s="59" t="n"/>
      <c r="B569" s="14" t="n"/>
      <c r="C569" s="60" t="inlineStr">
        <is>
          <t>ONLINE_BANKING</t>
        </is>
      </c>
      <c r="D569" s="14" t="inlineStr">
        <is>
          <t>Business online banking</t>
        </is>
      </c>
      <c r="E569" s="14" t="n"/>
    </row>
    <row r="570">
      <c r="A570" s="59" t="n"/>
      <c r="B570" s="14" t="n"/>
      <c r="C570" s="60" t="inlineStr">
        <is>
          <t>CHECK</t>
        </is>
      </c>
      <c r="D570" s="14" t="inlineStr">
        <is>
          <t>Check</t>
        </is>
      </c>
      <c r="E570" s="14" t="n"/>
    </row>
    <row r="571">
      <c r="A571" s="41" t="inlineStr">
        <is>
          <t>C01 client_type (C01_CLIENT_TYPE)</t>
        </is>
      </c>
      <c r="B571" s="19" t="inlineStr">
        <is>
          <t>C01 Client master: client_type</t>
        </is>
      </c>
      <c r="C571" s="58" t="inlineStr">
        <is>
          <t>I</t>
        </is>
      </c>
      <c r="D571" s="19" t="n"/>
      <c r="E571" s="19" t="n"/>
    </row>
    <row r="572">
      <c r="A572" s="41" t="n"/>
      <c r="B572" s="19" t="n"/>
      <c r="C572" s="58" t="inlineStr">
        <is>
          <t>C</t>
        </is>
      </c>
      <c r="D572" s="19" t="n"/>
      <c r="E572" s="19" t="n"/>
    </row>
    <row r="573" ht="28" customHeight="1">
      <c r="A573" s="59" t="inlineStr">
        <is>
          <t>C02 record_type (C02_RECORD_TYPE)</t>
        </is>
      </c>
      <c r="B573" s="14" t="inlineStr">
        <is>
          <t>C02 Client addresses and contac: record_type</t>
        </is>
      </c>
      <c r="C573" s="60" t="inlineStr">
        <is>
          <t>ADDRESS</t>
        </is>
      </c>
      <c r="D573" s="14" t="n"/>
      <c r="E573" s="14" t="n"/>
    </row>
    <row r="574">
      <c r="A574" s="59" t="n"/>
      <c r="B574" s="14" t="n"/>
      <c r="C574" s="60" t="inlineStr">
        <is>
          <t>CONTACT</t>
        </is>
      </c>
      <c r="D574" s="14" t="n"/>
      <c r="E574" s="14" t="n"/>
    </row>
    <row r="575" ht="28" customHeight="1">
      <c r="A575" s="41" t="inlineStr">
        <is>
          <t>C02 address_type (C02_ADDRESS_TYPE)</t>
        </is>
      </c>
      <c r="B575" s="19" t="inlineStr">
        <is>
          <t>C02 Client addresses and contac: address_type</t>
        </is>
      </c>
      <c r="C575" s="58" t="inlineStr">
        <is>
          <t>HOME</t>
        </is>
      </c>
      <c r="D575" s="19" t="n"/>
      <c r="E575" s="19" t="n"/>
    </row>
    <row r="576">
      <c r="A576" s="41" t="n"/>
      <c r="B576" s="19" t="n"/>
      <c r="C576" s="58" t="inlineStr">
        <is>
          <t>BUSINESS</t>
        </is>
      </c>
      <c r="D576" s="19" t="n"/>
      <c r="E576" s="19" t="n"/>
    </row>
    <row r="577">
      <c r="A577" s="41" t="n"/>
      <c r="B577" s="19" t="n"/>
      <c r="C577" s="58" t="inlineStr">
        <is>
          <t>MAILING</t>
        </is>
      </c>
      <c r="D577" s="19" t="n"/>
      <c r="E577" s="19" t="n"/>
    </row>
    <row r="578">
      <c r="A578" s="41" t="n"/>
      <c r="B578" s="19" t="n"/>
      <c r="C578" s="58" t="inlineStr">
        <is>
          <t>BILLING</t>
        </is>
      </c>
      <c r="D578" s="19" t="n"/>
      <c r="E578" s="19" t="n"/>
    </row>
    <row r="579">
      <c r="A579" s="59" t="inlineStr">
        <is>
          <t>C03 mode (C03_MODE)</t>
        </is>
      </c>
      <c r="B579" s="14" t="inlineStr">
        <is>
          <t>C03 Client payout accounts: mode</t>
        </is>
      </c>
      <c r="C579" s="60" t="inlineStr">
        <is>
          <t>CTA</t>
        </is>
      </c>
      <c r="D579" s="14" t="n"/>
      <c r="E579" s="14" t="n"/>
    </row>
    <row r="580">
      <c r="A580" s="59" t="n"/>
      <c r="B580" s="14" t="n"/>
      <c r="C580" s="60" t="inlineStr">
        <is>
          <t>CHECK</t>
        </is>
      </c>
      <c r="D580" s="14" t="n"/>
      <c r="E580" s="14" t="n"/>
    </row>
    <row r="581" ht="28" customHeight="1">
      <c r="A581" s="41" t="inlineStr">
        <is>
          <t>Client Type (UP-01) (UP_01_CLIENT_TYPE)</t>
        </is>
      </c>
      <c r="B581" s="19" t="inlineStr">
        <is>
          <t>UP-01 Clients (upload): Client Type</t>
        </is>
      </c>
      <c r="C581" s="58" t="inlineStr">
        <is>
          <t>INDIVIDUAL</t>
        </is>
      </c>
      <c r="D581" s="19" t="inlineStr">
        <is>
          <t>Individual</t>
        </is>
      </c>
      <c r="E581" s="19" t="n"/>
    </row>
    <row r="582">
      <c r="A582" s="41" t="n"/>
      <c r="B582" s="19" t="n"/>
      <c r="C582" s="58" t="inlineStr">
        <is>
          <t>CORPORATE</t>
        </is>
      </c>
      <c r="D582" s="19" t="inlineStr">
        <is>
          <t>Corporate</t>
        </is>
      </c>
      <c r="E582" s="19" t="n"/>
    </row>
    <row r="583" ht="28" customHeight="1">
      <c r="A583" s="59" t="inlineStr">
        <is>
          <t>Identification document (LOV_ID_TYPE)</t>
        </is>
      </c>
      <c r="B583" s="14" t="inlineStr">
        <is>
          <t>UP-01 Clients (upload): ID Type</t>
        </is>
      </c>
      <c r="C583" s="60" t="inlineStr">
        <is>
          <t>PASSPORT</t>
        </is>
      </c>
      <c r="D583" s="14" t="inlineStr">
        <is>
          <t>Passport</t>
        </is>
      </c>
      <c r="E583" s="14" t="inlineStr">
        <is>
          <t>The values of the list as delivered with BIBS; a new value is added on Lists of Values first.</t>
        </is>
      </c>
    </row>
    <row r="584">
      <c r="A584" s="59" t="n"/>
      <c r="B584" s="14" t="n"/>
      <c r="C584" s="60" t="inlineStr">
        <is>
          <t>DRIVERS_LICENSE</t>
        </is>
      </c>
      <c r="D584" s="14" t="inlineStr">
        <is>
          <t>Driver's license</t>
        </is>
      </c>
      <c r="E584" s="14" t="n"/>
    </row>
    <row r="585">
      <c r="A585" s="59" t="n"/>
      <c r="B585" s="14" t="n"/>
      <c r="C585" s="60" t="inlineStr">
        <is>
          <t>UMID</t>
        </is>
      </c>
      <c r="D585" s="14" t="inlineStr">
        <is>
          <t>UMID</t>
        </is>
      </c>
      <c r="E585" s="14" t="n"/>
    </row>
    <row r="586">
      <c r="A586" s="59" t="n"/>
      <c r="B586" s="14" t="n"/>
      <c r="C586" s="60" t="inlineStr">
        <is>
          <t>PHILSYS</t>
        </is>
      </c>
      <c r="D586" s="14" t="inlineStr">
        <is>
          <t>PhilSys national ID</t>
        </is>
      </c>
      <c r="E586" s="14" t="n"/>
    </row>
    <row r="587">
      <c r="A587" s="59" t="n"/>
      <c r="B587" s="14" t="n"/>
      <c r="C587" s="60" t="inlineStr">
        <is>
          <t>SSS</t>
        </is>
      </c>
      <c r="D587" s="14" t="inlineStr">
        <is>
          <t>SSS ID</t>
        </is>
      </c>
      <c r="E587" s="14" t="n"/>
    </row>
    <row r="588">
      <c r="A588" s="59" t="n"/>
      <c r="B588" s="14" t="n"/>
      <c r="C588" s="60" t="inlineStr">
        <is>
          <t>PRC</t>
        </is>
      </c>
      <c r="D588" s="14" t="inlineStr">
        <is>
          <t>PRC ID</t>
        </is>
      </c>
      <c r="E588" s="14" t="n"/>
    </row>
    <row r="589">
      <c r="A589" s="59" t="n"/>
      <c r="B589" s="14" t="n"/>
      <c r="C589" s="60" t="inlineStr">
        <is>
          <t>POSTAL</t>
        </is>
      </c>
      <c r="D589" s="14" t="inlineStr">
        <is>
          <t>Postal ID</t>
        </is>
      </c>
      <c r="E589" s="14" t="n"/>
    </row>
    <row r="590">
      <c r="A590" s="59" t="n"/>
      <c r="B590" s="14" t="n"/>
      <c r="C590" s="60" t="inlineStr">
        <is>
          <t>TIN_ID</t>
        </is>
      </c>
      <c r="D590" s="14" t="inlineStr">
        <is>
          <t>TIN ID</t>
        </is>
      </c>
      <c r="E590" s="14" t="n"/>
    </row>
    <row r="591">
      <c r="A591" s="59" t="n"/>
      <c r="B591" s="14" t="n"/>
      <c r="C591" s="60" t="inlineStr">
        <is>
          <t>SEC_REG</t>
        </is>
      </c>
      <c r="D591" s="14" t="inlineStr">
        <is>
          <t>SEC registration (corporate)</t>
        </is>
      </c>
      <c r="E591" s="14" t="n"/>
    </row>
    <row r="592">
      <c r="A592" s="59" t="n"/>
      <c r="B592" s="14" t="n"/>
      <c r="C592" s="60" t="inlineStr">
        <is>
          <t>DTI_REG</t>
        </is>
      </c>
      <c r="D592" s="14" t="inlineStr">
        <is>
          <t>DTI registration (sole proprietor)</t>
        </is>
      </c>
      <c r="E592" s="14" t="n"/>
    </row>
    <row r="593" ht="28" customHeight="1">
      <c r="A593" s="41" t="inlineStr">
        <is>
          <t>Market segment (LOV_MARKET_SEGMENT)</t>
        </is>
      </c>
      <c r="B593" s="19" t="inlineStr">
        <is>
          <t>UP-01 Clients (upload): Market Segment</t>
        </is>
      </c>
      <c r="C593" s="58" t="inlineStr">
        <is>
          <t>CBG</t>
        </is>
      </c>
      <c r="D593" s="19" t="inlineStr">
        <is>
          <t>Consumer Banking Group (CBG)</t>
        </is>
      </c>
      <c r="E593" s="19" t="inlineStr">
        <is>
          <t>The values of the list as delivered with BIBS; a new value is added on Lists of Values first.</t>
        </is>
      </c>
    </row>
    <row r="594">
      <c r="A594" s="41" t="n"/>
      <c r="B594" s="19" t="n"/>
      <c r="C594" s="58" t="inlineStr">
        <is>
          <t>COMBANK</t>
        </is>
      </c>
      <c r="D594" s="19" t="inlineStr">
        <is>
          <t>Commercial Banking</t>
        </is>
      </c>
      <c r="E594" s="19" t="n"/>
    </row>
    <row r="595">
      <c r="A595" s="41" t="n"/>
      <c r="B595" s="19" t="n"/>
      <c r="C595" s="58" t="inlineStr">
        <is>
          <t>CORBANK</t>
        </is>
      </c>
      <c r="D595" s="19" t="inlineStr">
        <is>
          <t>Corporate Banking</t>
        </is>
      </c>
      <c r="E595" s="19" t="n"/>
    </row>
    <row r="596">
      <c r="A596" s="41" t="n"/>
      <c r="B596" s="19" t="n"/>
      <c r="C596" s="58" t="inlineStr">
        <is>
          <t>RETAIL</t>
        </is>
      </c>
      <c r="D596" s="19" t="inlineStr">
        <is>
          <t>Retail Marketing</t>
        </is>
      </c>
      <c r="E596" s="19" t="n"/>
    </row>
    <row r="597">
      <c r="A597" s="41" t="n"/>
      <c r="B597" s="19" t="n"/>
      <c r="C597" s="58" t="inlineStr">
        <is>
          <t>INSTITUTIONAL</t>
        </is>
      </c>
      <c r="D597" s="19" t="inlineStr">
        <is>
          <t>Institutional Banking / SM / BDO accounts</t>
        </is>
      </c>
      <c r="E597" s="19" t="n"/>
    </row>
    <row r="598" ht="28" customHeight="1">
      <c r="A598" s="59" t="inlineStr">
        <is>
          <t>Nationality (LOV_NATIONALITY)</t>
        </is>
      </c>
      <c r="B598" s="14" t="inlineStr">
        <is>
          <t>UP-01 Clients (upload): Nationality</t>
        </is>
      </c>
      <c r="C598" s="60" t="inlineStr">
        <is>
          <t>FILIPINO</t>
        </is>
      </c>
      <c r="D598" s="14" t="inlineStr">
        <is>
          <t>Filipino</t>
        </is>
      </c>
      <c r="E598" s="14" t="inlineStr">
        <is>
          <t>The values of the list as delivered with BIBS; a new value is added on Lists of Values first.</t>
        </is>
      </c>
    </row>
    <row r="599">
      <c r="A599" s="59" t="n"/>
      <c r="B599" s="14" t="n"/>
      <c r="C599" s="60" t="inlineStr">
        <is>
          <t>AMERICAN</t>
        </is>
      </c>
      <c r="D599" s="14" t="inlineStr">
        <is>
          <t>American</t>
        </is>
      </c>
      <c r="E599" s="14" t="n"/>
    </row>
    <row r="600">
      <c r="A600" s="59" t="n"/>
      <c r="B600" s="14" t="n"/>
      <c r="C600" s="60" t="inlineStr">
        <is>
          <t>CHINESE</t>
        </is>
      </c>
      <c r="D600" s="14" t="inlineStr">
        <is>
          <t>Chinese</t>
        </is>
      </c>
      <c r="E600" s="14" t="n"/>
    </row>
    <row r="601">
      <c r="A601" s="59" t="n"/>
      <c r="B601" s="14" t="n"/>
      <c r="C601" s="60" t="inlineStr">
        <is>
          <t>JAPANESE</t>
        </is>
      </c>
      <c r="D601" s="14" t="inlineStr">
        <is>
          <t>Japanese</t>
        </is>
      </c>
      <c r="E601" s="14" t="n"/>
    </row>
    <row r="602">
      <c r="A602" s="59" t="n"/>
      <c r="B602" s="14" t="n"/>
      <c r="C602" s="60" t="inlineStr">
        <is>
          <t>KOREAN</t>
        </is>
      </c>
      <c r="D602" s="14" t="inlineStr">
        <is>
          <t>Korean</t>
        </is>
      </c>
      <c r="E602" s="14" t="n"/>
    </row>
    <row r="603">
      <c r="A603" s="59" t="n"/>
      <c r="B603" s="14" t="n"/>
      <c r="C603" s="60" t="inlineStr">
        <is>
          <t>OTHERS</t>
        </is>
      </c>
      <c r="D603" s="14" t="inlineStr">
        <is>
          <t>Others</t>
        </is>
      </c>
      <c r="E603" s="14" t="n"/>
    </row>
    <row r="604" ht="28" customHeight="1">
      <c r="A604" s="41" t="inlineStr">
        <is>
          <t>Source of funds (LOV_SOURCE_OF_FUNDS)</t>
        </is>
      </c>
      <c r="B604" s="19" t="inlineStr">
        <is>
          <t>UP-01 Clients (upload): Source of Funds</t>
        </is>
      </c>
      <c r="C604" s="58" t="inlineStr">
        <is>
          <t>SALARY</t>
        </is>
      </c>
      <c r="D604" s="19" t="inlineStr">
        <is>
          <t>Salary / employment</t>
        </is>
      </c>
      <c r="E604" s="19" t="inlineStr">
        <is>
          <t>The values of the list as delivered with BIBS; a new value is added on Lists of Values first.</t>
        </is>
      </c>
    </row>
    <row r="605">
      <c r="A605" s="41" t="n"/>
      <c r="B605" s="19" t="n"/>
      <c r="C605" s="58" t="inlineStr">
        <is>
          <t>BUSINESS</t>
        </is>
      </c>
      <c r="D605" s="19" t="inlineStr">
        <is>
          <t>Business income</t>
        </is>
      </c>
      <c r="E605" s="19" t="n"/>
    </row>
    <row r="606">
      <c r="A606" s="41" t="n"/>
      <c r="B606" s="19" t="n"/>
      <c r="C606" s="58" t="inlineStr">
        <is>
          <t>REMITTANCE</t>
        </is>
      </c>
      <c r="D606" s="19" t="inlineStr">
        <is>
          <t>Remittance</t>
        </is>
      </c>
      <c r="E606" s="19" t="n"/>
    </row>
    <row r="607">
      <c r="A607" s="41" t="n"/>
      <c r="B607" s="19" t="n"/>
      <c r="C607" s="58" t="inlineStr">
        <is>
          <t>INVESTMENT</t>
        </is>
      </c>
      <c r="D607" s="19" t="inlineStr">
        <is>
          <t>Investments / savings</t>
        </is>
      </c>
      <c r="E607" s="19" t="n"/>
    </row>
    <row r="608">
      <c r="A608" s="41" t="n"/>
      <c r="B608" s="19" t="n"/>
      <c r="C608" s="58" t="inlineStr">
        <is>
          <t>PENSION</t>
        </is>
      </c>
      <c r="D608" s="19" t="inlineStr">
        <is>
          <t>Pension</t>
        </is>
      </c>
      <c r="E608" s="19" t="n"/>
    </row>
    <row r="609">
      <c r="A609" s="41" t="n"/>
      <c r="B609" s="19" t="n"/>
      <c r="C609" s="58" t="inlineStr">
        <is>
          <t>OTHERS</t>
        </is>
      </c>
      <c r="D609" s="19" t="inlineStr">
        <is>
          <t>Others</t>
        </is>
      </c>
      <c r="E609" s="19" t="n"/>
    </row>
    <row r="610" ht="28" customHeight="1">
      <c r="A610" s="59" t="inlineStr">
        <is>
          <t>KYC risk rating (LOV_KYC_RISK_RATING)</t>
        </is>
      </c>
      <c r="B610" s="14" t="inlineStr">
        <is>
          <t>UP-01 Clients (upload): Risk Rating</t>
        </is>
      </c>
      <c r="C610" s="60" t="inlineStr">
        <is>
          <t>LOW</t>
        </is>
      </c>
      <c r="D610" s="14" t="inlineStr">
        <is>
          <t>Low</t>
        </is>
      </c>
      <c r="E610" s="14" t="inlineStr">
        <is>
          <t>The values of the list as delivered with BIBS; a new value is added on Lists of Values first.</t>
        </is>
      </c>
    </row>
    <row r="611">
      <c r="A611" s="59" t="n"/>
      <c r="B611" s="14" t="n"/>
      <c r="C611" s="60" t="inlineStr">
        <is>
          <t>STANDARD</t>
        </is>
      </c>
      <c r="D611" s="14" t="inlineStr">
        <is>
          <t>Standard</t>
        </is>
      </c>
      <c r="E611" s="14" t="n"/>
    </row>
    <row r="612">
      <c r="A612" s="59" t="n"/>
      <c r="B612" s="14" t="n"/>
      <c r="C612" s="60" t="inlineStr">
        <is>
          <t>HIGH</t>
        </is>
      </c>
      <c r="D612" s="14" t="inlineStr">
        <is>
          <t>High (enhanced due diligence)</t>
        </is>
      </c>
      <c r="E612" s="14" t="n"/>
    </row>
    <row r="613" ht="28" customHeight="1">
      <c r="A613" s="41" t="inlineStr">
        <is>
          <t>Entity Type (UP-03) (UP_03_ENTITY_TYPE)</t>
        </is>
      </c>
      <c r="B613" s="19" t="inlineStr">
        <is>
          <t>UP-03 Watchlist entries (upload: Entity Type</t>
        </is>
      </c>
      <c r="C613" s="58" t="inlineStr">
        <is>
          <t>INDIVIDUAL</t>
        </is>
      </c>
      <c r="D613" s="19" t="inlineStr">
        <is>
          <t>Individual</t>
        </is>
      </c>
      <c r="E613" s="19" t="n"/>
    </row>
    <row r="614">
      <c r="A614" s="41" t="n"/>
      <c r="B614" s="19" t="n"/>
      <c r="C614" s="58" t="inlineStr">
        <is>
          <t>ENTITY</t>
        </is>
      </c>
      <c r="D614" s="19" t="inlineStr">
        <is>
          <t>Entity</t>
        </is>
      </c>
      <c r="E614" s="19" t="n"/>
    </row>
    <row r="615" ht="28" customHeight="1">
      <c r="A615" s="59" t="inlineStr">
        <is>
          <t>List Type (UP-03) (UP_03_LIST_TYPE)</t>
        </is>
      </c>
      <c r="B615" s="14" t="inlineStr">
        <is>
          <t>UP-03 Watchlist entries (upload: List Type</t>
        </is>
      </c>
      <c r="C615" s="60" t="inlineStr">
        <is>
          <t>SANCTION</t>
        </is>
      </c>
      <c r="D615" s="14" t="inlineStr">
        <is>
          <t>Sanctions list</t>
        </is>
      </c>
      <c r="E615" s="14" t="n"/>
    </row>
    <row r="616">
      <c r="A616" s="59" t="n"/>
      <c r="B616" s="14" t="n"/>
      <c r="C616" s="60" t="inlineStr">
        <is>
          <t>PEP</t>
        </is>
      </c>
      <c r="D616" s="14" t="inlineStr">
        <is>
          <t>Politically exposed persons</t>
        </is>
      </c>
      <c r="E616" s="14" t="n"/>
    </row>
    <row r="617">
      <c r="A617" s="59" t="n"/>
      <c r="B617" s="14" t="n"/>
      <c r="C617" s="60" t="inlineStr">
        <is>
          <t>INTERNAL</t>
        </is>
      </c>
      <c r="D617" s="14" t="inlineStr">
        <is>
          <t>Internal list</t>
        </is>
      </c>
      <c r="E617" s="14" t="n"/>
    </row>
    <row r="618">
      <c r="A618" s="41" t="inlineStr">
        <is>
          <t>Route (ROUTE)</t>
        </is>
      </c>
      <c r="B618" s="19" t="inlineStr">
        <is>
          <t>Lists of values: Route</t>
        </is>
      </c>
      <c r="C618" s="58" t="inlineStr">
        <is>
          <t>Migration Console</t>
        </is>
      </c>
      <c r="D618" s="19" t="n"/>
      <c r="E618" s="19" t="n"/>
    </row>
    <row r="619">
      <c r="A619" s="41" t="n"/>
      <c r="B619" s="19" t="n"/>
      <c r="C619" s="58" t="inlineStr">
        <is>
          <t>Configuration screen</t>
        </is>
      </c>
      <c r="D619" s="19" t="n"/>
      <c r="E619" s="19" t="n"/>
    </row>
    <row r="620" ht="140.5" customHeight="1">
      <c r="A620" s="59" t="inlineStr">
        <is>
          <t>Status (STATUS)</t>
        </is>
      </c>
      <c r="B620" s="14" t="inlineStr">
        <is>
          <t>Lists of values: Status
System parameters: Status
SLA and turnaround: Status
Numbering prefixes: Status
Notification events: Status
Document templates: Status
Accounting events: Status
Configured on screens: Status
PM-04 Charges checklist: Status
D0-10 Tax checklist: Status
Start here: Status</t>
        </is>
      </c>
      <c r="C620" s="60" t="inlineStr">
        <is>
          <t>Not started</t>
        </is>
      </c>
      <c r="D620" s="14" t="n"/>
      <c r="E620" s="14" t="n"/>
    </row>
    <row r="621">
      <c r="A621" s="59" t="n"/>
      <c r="B621" s="14" t="n"/>
      <c r="C621" s="60" t="inlineStr">
        <is>
          <t>In progress</t>
        </is>
      </c>
      <c r="D621" s="14" t="n"/>
      <c r="E621" s="14" t="n"/>
    </row>
    <row r="622">
      <c r="A622" s="59" t="n"/>
      <c r="B622" s="14" t="n"/>
      <c r="C622" s="60" t="inlineStr">
        <is>
          <t>Ready for review</t>
        </is>
      </c>
      <c r="D622" s="14" t="n"/>
      <c r="E622" s="14" t="n"/>
    </row>
    <row r="623">
      <c r="A623" s="59" t="n"/>
      <c r="B623" s="14" t="n"/>
      <c r="C623" s="60" t="inlineStr">
        <is>
          <t>Confirmed</t>
        </is>
      </c>
      <c r="D623" s="14" t="n"/>
      <c r="E623" s="14" t="n"/>
    </row>
    <row r="624">
      <c r="A624" s="59" t="n"/>
      <c r="B624" s="14" t="n"/>
      <c r="C624" s="60" t="inlineStr">
        <is>
          <t>Not applicable</t>
        </is>
      </c>
      <c r="D624" s="14" t="n"/>
      <c r="E624" s="14" t="n"/>
    </row>
    <row r="625" ht="28" customHeight="1">
      <c r="A625" s="41" t="inlineStr">
        <is>
          <t>Kind of gap (KIND_OF_GAP)</t>
        </is>
      </c>
      <c r="B625" s="19" t="inlineStr">
        <is>
          <t>Gaps: Kind of gap</t>
        </is>
      </c>
      <c r="C625" s="58" t="inlineStr">
        <is>
          <t>No upload route: keyed on the screen from the template</t>
        </is>
      </c>
      <c r="D625" s="19" t="n"/>
      <c r="E625" s="19" t="n"/>
    </row>
    <row r="626" ht="28" customHeight="1">
      <c r="A626" s="41" t="n"/>
      <c r="B626" s="19" t="n"/>
      <c r="C626" s="58" t="inlineStr">
        <is>
          <t>Not held by BIBS: question to BDOI</t>
        </is>
      </c>
      <c r="D626" s="19" t="n"/>
      <c r="E626" s="19" t="n"/>
    </row>
    <row r="627" ht="28" customHeight="1">
      <c r="A627" s="59" t="inlineStr">
        <is>
          <t>Held by BIBS (HELD_BY_BIBS)</t>
        </is>
      </c>
      <c r="B627" s="14" t="inlineStr">
        <is>
          <t>PM-04 Charges checklist: Held by BIBS
D0-10 Tax checklist: Held by BIBS</t>
        </is>
      </c>
      <c r="C627" s="60" t="inlineStr">
        <is>
          <t>Yes</t>
        </is>
      </c>
      <c r="D627" s="14" t="n"/>
      <c r="E627" s="14" t="n"/>
    </row>
    <row r="628">
      <c r="A628" s="59" t="n"/>
      <c r="B628" s="14" t="n"/>
      <c r="C628" s="60" t="inlineStr">
        <is>
          <t>No</t>
        </is>
      </c>
      <c r="D628" s="14" t="n"/>
      <c r="E628" s="14" t="n"/>
    </row>
    <row r="629" ht="28" customHeight="1">
      <c r="A629" s="41" t="inlineStr">
        <is>
          <t>Rule confirmed (RULE_CONFIRMED)</t>
        </is>
      </c>
      <c r="B629" s="19" t="inlineStr">
        <is>
          <t>PM-04 Charges checklist: Rule confirmed
D0-10 Tax checklist: Rule confirmed</t>
        </is>
      </c>
      <c r="C629" s="58" t="inlineStr">
        <is>
          <t>Agree</t>
        </is>
      </c>
      <c r="D629" s="19" t="n"/>
      <c r="E629" s="19" t="n"/>
    </row>
    <row r="630">
      <c r="A630" s="41" t="n"/>
      <c r="B630" s="19" t="n"/>
      <c r="C630" s="58" t="inlineStr">
        <is>
          <t>Change</t>
        </is>
      </c>
      <c r="D630" s="19" t="n"/>
      <c r="E630" s="19" t="n"/>
    </row>
    <row r="631">
      <c r="A631" s="59" t="inlineStr">
        <is>
          <t>Held by BIBS (HELD_BY_BIBS_2)</t>
        </is>
      </c>
      <c r="B631" s="14" t="inlineStr">
        <is>
          <t>Coverage check: Held by BIBS</t>
        </is>
      </c>
      <c r="C631" s="60" t="inlineStr">
        <is>
          <t>Yes</t>
        </is>
      </c>
      <c r="D631" s="14" t="n"/>
      <c r="E631" s="14" t="n"/>
    </row>
    <row r="632">
      <c r="A632" s="59" t="n"/>
      <c r="B632" s="14" t="n"/>
      <c r="C632" s="60" t="inlineStr">
        <is>
          <t>Partly</t>
        </is>
      </c>
      <c r="D632" s="14" t="n"/>
      <c r="E632" s="14" t="n"/>
    </row>
    <row r="633">
      <c r="A633" s="59" t="n"/>
      <c r="B633" s="14" t="n"/>
      <c r="C633" s="60" t="inlineStr">
        <is>
          <t>No</t>
        </is>
      </c>
      <c r="D633" s="14" t="n"/>
      <c r="E633" s="14" t="n"/>
    </row>
    <row r="634" ht="28" customHeight="1">
      <c r="A634" s="41" t="inlineStr">
        <is>
          <t>Templates of this workbook (TEMPLATES)</t>
        </is>
      </c>
      <c r="B634" s="19" t="inlineStr">
        <is>
          <t>Questions and comments: Template</t>
        </is>
      </c>
      <c r="C634" s="58" t="inlineStr">
        <is>
          <t>D0-02 Branches</t>
        </is>
      </c>
      <c r="D634" s="19" t="n"/>
      <c r="E634" s="19" t="n"/>
    </row>
    <row r="635" ht="28" customHeight="1">
      <c r="A635" s="41" t="n"/>
      <c r="B635" s="19" t="n"/>
      <c r="C635" s="58" t="inlineStr">
        <is>
          <t>D0-04 Cost centres and business lines</t>
        </is>
      </c>
      <c r="D635" s="19" t="n"/>
      <c r="E635" s="19" t="n"/>
    </row>
    <row r="636" ht="28" customHeight="1">
      <c r="A636" s="41" t="n"/>
      <c r="B636" s="19" t="n"/>
      <c r="C636" s="58" t="inlineStr">
        <is>
          <t>D0-07 Account categories and numbering</t>
        </is>
      </c>
      <c r="D636" s="19" t="n"/>
      <c r="E636" s="19" t="n"/>
    </row>
    <row r="637">
      <c r="A637" s="41" t="n"/>
      <c r="B637" s="19" t="n"/>
      <c r="C637" s="58" t="inlineStr">
        <is>
          <t>MD-02 Currencies</t>
        </is>
      </c>
      <c r="D637" s="19" t="n"/>
      <c r="E637" s="19" t="n"/>
    </row>
    <row r="638" ht="28" customHeight="1">
      <c r="A638" s="41" t="n"/>
      <c r="B638" s="19" t="n"/>
      <c r="C638" s="58" t="inlineStr">
        <is>
          <t>PM-09 Lists of values and parameters</t>
        </is>
      </c>
      <c r="D638" s="19" t="n"/>
      <c r="E638" s="19" t="n"/>
    </row>
    <row r="639" ht="28" customHeight="1">
      <c r="A639" s="41" t="n"/>
      <c r="B639" s="19" t="n"/>
      <c r="C639" s="58" t="inlineStr">
        <is>
          <t>R01 Lists of values and MIS values</t>
        </is>
      </c>
      <c r="D639" s="19" t="n"/>
      <c r="E639" s="19" t="n"/>
    </row>
    <row r="640">
      <c r="A640" s="41" t="n"/>
      <c r="B640" s="19" t="n"/>
      <c r="C640" s="58" t="inlineStr">
        <is>
          <t>R04 Insurers</t>
        </is>
      </c>
      <c r="D640" s="19" t="n"/>
      <c r="E640" s="19" t="n"/>
    </row>
    <row r="641">
      <c r="A641" s="41" t="n"/>
      <c r="B641" s="19" t="n"/>
      <c r="C641" s="58" t="inlineStr">
        <is>
          <t>UA-02 Role-to-permission matrix</t>
        </is>
      </c>
      <c r="D641" s="19" t="n"/>
      <c r="E641" s="19" t="n"/>
    </row>
    <row r="642">
      <c r="A642" s="41" t="n"/>
      <c r="B642" s="19" t="n"/>
      <c r="C642" s="58" t="inlineStr">
        <is>
          <t>UA-06 Lists of values</t>
        </is>
      </c>
      <c r="D642" s="19" t="n"/>
      <c r="E642" s="19" t="n"/>
    </row>
    <row r="643">
      <c r="A643" s="41" t="n"/>
      <c r="B643" s="19" t="n"/>
      <c r="C643" s="58" t="inlineStr">
        <is>
          <t>D0-05 Employees</t>
        </is>
      </c>
      <c r="D643" s="19" t="n"/>
      <c r="E643" s="19" t="n"/>
    </row>
    <row r="644">
      <c r="A644" s="41" t="n"/>
      <c r="B644" s="19" t="n"/>
      <c r="C644" s="58" t="inlineStr">
        <is>
          <t>D0-06 Chart of accounts</t>
        </is>
      </c>
      <c r="D644" s="19" t="n"/>
      <c r="E644" s="19" t="n"/>
    </row>
    <row r="645" ht="40.5" customHeight="1">
      <c r="A645" s="41" t="n"/>
      <c r="B645" s="19" t="n"/>
      <c r="C645" s="58" t="inlineStr">
        <is>
          <t>MD-01 Business partners (reinsurers, intermediaries, suppliers)</t>
        </is>
      </c>
      <c r="D645" s="19" t="n"/>
      <c r="E645" s="19" t="n"/>
    </row>
    <row r="646" ht="28" customHeight="1">
      <c r="A646" s="41" t="n"/>
      <c r="B646" s="19" t="n"/>
      <c r="C646" s="58" t="inlineStr">
        <is>
          <t>R03 Sales organisation (units and account officers)</t>
        </is>
      </c>
      <c r="D646" s="19" t="n"/>
      <c r="E646" s="19" t="n"/>
    </row>
    <row r="647" ht="28" customHeight="1">
      <c r="A647" s="41" t="n"/>
      <c r="B647" s="19" t="n"/>
      <c r="C647" s="58" t="inlineStr">
        <is>
          <t>R05 Product lines, cover types, products and risk codes</t>
        </is>
      </c>
      <c r="D647" s="19" t="n"/>
      <c r="E647" s="19" t="n"/>
    </row>
    <row r="648">
      <c r="A648" s="41" t="n"/>
      <c r="B648" s="19" t="n"/>
      <c r="C648" s="58" t="inlineStr">
        <is>
          <t>UA-01 Users and roles load</t>
        </is>
      </c>
      <c r="D648" s="19" t="n"/>
      <c r="E648" s="19" t="n"/>
    </row>
    <row r="649">
      <c r="A649" s="41" t="n"/>
      <c r="B649" s="19" t="n"/>
      <c r="C649" s="58" t="inlineStr">
        <is>
          <t>D0-03 Holiday calendar</t>
        </is>
      </c>
      <c r="D649" s="19" t="n"/>
      <c r="E649" s="19" t="n"/>
    </row>
    <row r="650" ht="28" customHeight="1">
      <c r="A650" s="41" t="n"/>
      <c r="B650" s="19" t="n"/>
      <c r="C650" s="58" t="inlineStr">
        <is>
          <t>MD-03 Exchange rates and their source</t>
        </is>
      </c>
      <c r="D650" s="19" t="n"/>
      <c r="E650" s="19" t="n"/>
    </row>
    <row r="651" ht="28" customHeight="1">
      <c r="A651" s="41" t="n"/>
      <c r="B651" s="19" t="n"/>
      <c r="C651" s="58" t="inlineStr">
        <is>
          <t>R02 Branches and invoicing branches</t>
        </is>
      </c>
      <c r="D651" s="19" t="n"/>
      <c r="E651" s="19" t="n"/>
    </row>
    <row r="652">
      <c r="A652" s="41" t="n"/>
      <c r="B652" s="19" t="n"/>
      <c r="C652" s="58" t="inlineStr">
        <is>
          <t>R04B Insurer branches</t>
        </is>
      </c>
      <c r="D652" s="19" t="n"/>
      <c r="E652" s="19" t="n"/>
    </row>
    <row r="653">
      <c r="A653" s="41" t="n"/>
      <c r="B653" s="19" t="n"/>
      <c r="C653" s="58" t="inlineStr">
        <is>
          <t>R11 Receipt series in use</t>
        </is>
      </c>
      <c r="D653" s="19" t="n"/>
      <c r="E653" s="19" t="n"/>
    </row>
    <row r="654" ht="28" customHeight="1">
      <c r="A654" s="41" t="n"/>
      <c r="B654" s="19" t="n"/>
      <c r="C654" s="58" t="inlineStr">
        <is>
          <t>UA-04 Separation-of-duties rules</t>
        </is>
      </c>
      <c r="D654" s="19" t="n"/>
      <c r="E654" s="19" t="n"/>
    </row>
    <row r="655" ht="28" customHeight="1">
      <c r="A655" s="41" t="n"/>
      <c r="B655" s="19" t="n"/>
      <c r="C655" s="58" t="inlineStr">
        <is>
          <t>UP-01 Clients not held in the legacy systems</t>
        </is>
      </c>
      <c r="D655" s="19" t="n"/>
      <c r="E655" s="19" t="n"/>
    </row>
    <row r="656">
      <c r="A656" s="41" t="n"/>
      <c r="B656" s="19" t="n"/>
      <c r="C656" s="58" t="inlineStr">
        <is>
          <t>C01 Client master</t>
        </is>
      </c>
      <c r="D656" s="19" t="n"/>
      <c r="E656" s="19" t="n"/>
    </row>
    <row r="657">
      <c r="A657" s="41" t="n"/>
      <c r="B657" s="19" t="n"/>
      <c r="C657" s="58" t="inlineStr">
        <is>
          <t>D0-10 Tax codes</t>
        </is>
      </c>
      <c r="D657" s="19" t="n"/>
      <c r="E657" s="19" t="n"/>
    </row>
    <row r="658">
      <c r="A658" s="41" t="n"/>
      <c r="B658" s="19" t="n"/>
      <c r="C658" s="58" t="inlineStr">
        <is>
          <t>D0-11 Company bank accounts</t>
        </is>
      </c>
      <c r="D658" s="19" t="n"/>
      <c r="E658" s="19" t="n"/>
    </row>
    <row r="659">
      <c r="A659" s="41" t="n"/>
      <c r="B659" s="19" t="n"/>
      <c r="C659" s="58" t="inlineStr">
        <is>
          <t>PM-01 Product catalogue</t>
        </is>
      </c>
      <c r="D659" s="19" t="n"/>
      <c r="E659" s="19" t="n"/>
    </row>
    <row r="660">
      <c r="A660" s="41" t="n"/>
      <c r="B660" s="19" t="n"/>
      <c r="C660" s="58" t="inlineStr">
        <is>
          <t>R08 Chart of accounts mapping</t>
        </is>
      </c>
      <c r="D660" s="19" t="n"/>
      <c r="E660" s="19" t="n"/>
    </row>
    <row r="661">
      <c r="A661" s="41" t="n"/>
      <c r="B661" s="19" t="n"/>
      <c r="C661" s="58" t="inlineStr">
        <is>
          <t>UP-02 Payees</t>
        </is>
      </c>
      <c r="D661" s="19" t="n"/>
      <c r="E661" s="19" t="n"/>
    </row>
    <row r="662">
      <c r="A662" s="41" t="n"/>
      <c r="B662" s="19" t="n"/>
      <c r="C662" s="58" t="inlineStr">
        <is>
          <t>D0-01 Company</t>
        </is>
      </c>
      <c r="D662" s="19" t="n"/>
      <c r="E662" s="19" t="n"/>
    </row>
    <row r="663">
      <c r="A663" s="41" t="n"/>
      <c r="B663" s="19" t="n"/>
      <c r="C663" s="58" t="inlineStr">
        <is>
          <t>D0-08 Accounting rules</t>
        </is>
      </c>
      <c r="D663" s="19" t="n"/>
      <c r="E663" s="19" t="n"/>
    </row>
    <row r="664">
      <c r="A664" s="41" t="n"/>
      <c r="B664" s="19" t="n"/>
      <c r="C664" s="58" t="inlineStr">
        <is>
          <t>D0-09 Legacy control accounts</t>
        </is>
      </c>
      <c r="D664" s="19" t="n"/>
      <c r="E664" s="19" t="n"/>
    </row>
    <row r="665" ht="28" customHeight="1">
      <c r="A665" s="41" t="n"/>
      <c r="B665" s="19" t="n"/>
      <c r="C665" s="58" t="inlineStr">
        <is>
          <t>D0-15 Approval limits and matrices</t>
        </is>
      </c>
      <c r="D665" s="19" t="n"/>
      <c r="E665" s="19" t="n"/>
    </row>
    <row r="666" ht="28" customHeight="1">
      <c r="A666" s="41" t="n"/>
      <c r="B666" s="19" t="n"/>
      <c r="C666" s="58" t="inlineStr">
        <is>
          <t>R07 Commission rates by insurer and product</t>
        </is>
      </c>
      <c r="D666" s="19" t="n"/>
      <c r="E666" s="19" t="n"/>
    </row>
    <row r="667" ht="28" customHeight="1">
      <c r="A667" s="41" t="n"/>
      <c r="B667" s="19" t="n"/>
      <c r="C667" s="58" t="inlineStr">
        <is>
          <t>TX-02 Tax forms and filing calendar</t>
        </is>
      </c>
      <c r="D667" s="19" t="n"/>
      <c r="E667" s="19" t="n"/>
    </row>
    <row r="668" ht="28" customHeight="1">
      <c r="A668" s="41" t="n"/>
      <c r="B668" s="19" t="n"/>
      <c r="C668" s="58" t="inlineStr">
        <is>
          <t>UA-03 Approvers, approval rules and limits</t>
        </is>
      </c>
      <c r="D668" s="19" t="n"/>
      <c r="E668" s="19" t="n"/>
    </row>
    <row r="669" ht="28" customHeight="1">
      <c r="A669" s="41" t="n"/>
      <c r="B669" s="19" t="n"/>
      <c r="C669" s="58" t="inlineStr">
        <is>
          <t>PM-02 Coverages, perils and field rules</t>
        </is>
      </c>
      <c r="D669" s="19" t="n"/>
      <c r="E669" s="19" t="n"/>
    </row>
    <row r="670">
      <c r="A670" s="41" t="n"/>
      <c r="B670" s="19" t="n"/>
      <c r="C670" s="58" t="inlineStr">
        <is>
          <t>PM-03 Clause library</t>
        </is>
      </c>
      <c r="D670" s="19" t="n"/>
      <c r="E670" s="19" t="n"/>
    </row>
    <row r="671" ht="28" customHeight="1">
      <c r="A671" s="41" t="n"/>
      <c r="B671" s="19" t="n"/>
      <c r="C671" s="58" t="inlineStr">
        <is>
          <t>C02 Client addresses and contacts</t>
        </is>
      </c>
      <c r="D671" s="19" t="n"/>
      <c r="E671" s="19" t="n"/>
    </row>
    <row r="672">
      <c r="A672" s="41" t="n"/>
      <c r="B672" s="19" t="n"/>
      <c r="C672" s="58" t="inlineStr">
        <is>
          <t>C03 Client payout accounts</t>
        </is>
      </c>
      <c r="D672" s="19" t="n"/>
      <c r="E672" s="19" t="n"/>
    </row>
    <row r="673">
      <c r="A673" s="41" t="n"/>
      <c r="B673" s="19" t="n"/>
      <c r="C673" s="58" t="inlineStr">
        <is>
          <t>D0-12 Check books</t>
        </is>
      </c>
      <c r="D673" s="19" t="n"/>
      <c r="E673" s="19" t="n"/>
    </row>
    <row r="674">
      <c r="A674" s="41" t="n"/>
      <c r="B674" s="19" t="n"/>
      <c r="C674" s="58" t="inlineStr">
        <is>
          <t>D0-13 Petty cash funds</t>
        </is>
      </c>
      <c r="D674" s="19" t="n"/>
      <c r="E674" s="19" t="n"/>
    </row>
    <row r="675">
      <c r="A675" s="41" t="n"/>
      <c r="B675" s="19" t="n"/>
      <c r="C675" s="58" t="inlineStr">
        <is>
          <t>D0-14 Bank statement layouts</t>
        </is>
      </c>
      <c r="D675" s="19" t="n"/>
      <c r="E675" s="19" t="n"/>
    </row>
    <row r="676">
      <c r="A676" s="41" t="n"/>
      <c r="B676" s="19" t="n"/>
      <c r="C676" s="58" t="inlineStr">
        <is>
          <t>G01 GL opening trial balance</t>
        </is>
      </c>
      <c r="D676" s="19" t="n"/>
      <c r="E676" s="19" t="n"/>
    </row>
    <row r="677">
      <c r="A677" s="41" t="n"/>
      <c r="B677" s="19" t="n"/>
      <c r="C677" s="58" t="inlineStr">
        <is>
          <t>PM-04 Rate tables</t>
        </is>
      </c>
      <c r="D677" s="19" t="n"/>
      <c r="E677" s="19" t="n"/>
    </row>
    <row r="678" ht="28" customHeight="1">
      <c r="A678" s="41" t="n"/>
      <c r="B678" s="19" t="n"/>
      <c r="C678" s="58" t="inlineStr">
        <is>
          <t>PM-04C Other charges billed with the premium</t>
        </is>
      </c>
      <c r="D678" s="19" t="n"/>
      <c r="E678" s="19" t="n"/>
    </row>
    <row r="679">
      <c r="A679" s="41" t="n"/>
      <c r="B679" s="19" t="n"/>
      <c r="C679" s="58" t="inlineStr">
        <is>
          <t>PM-10 Incentive criteria</t>
        </is>
      </c>
      <c r="D679" s="19" t="n"/>
      <c r="E679" s="19" t="n"/>
    </row>
    <row r="680" ht="28" customHeight="1">
      <c r="A680" s="41" t="n"/>
      <c r="B680" s="19" t="n"/>
      <c r="C680" s="58" t="inlineStr">
        <is>
          <t>TX-01 Party tax profiles (clients, insurers, payees)</t>
        </is>
      </c>
      <c r="D680" s="19" t="n"/>
      <c r="E680" s="19" t="n"/>
    </row>
    <row r="681" ht="28" customHeight="1">
      <c r="A681" s="41" t="n"/>
      <c r="B681" s="19" t="n"/>
      <c r="C681" s="58" t="inlineStr">
        <is>
          <t>PM-06 Packages in force at go-live</t>
        </is>
      </c>
      <c r="D681" s="19" t="n"/>
      <c r="E681" s="19" t="n"/>
    </row>
    <row r="682" ht="28" customHeight="1">
      <c r="A682" s="41" t="n"/>
      <c r="B682" s="19" t="n"/>
      <c r="C682" s="58" t="inlineStr">
        <is>
          <t>R06 Package code map (legacy package to BIBS package version)</t>
        </is>
      </c>
      <c r="D682" s="19" t="n"/>
      <c r="E682" s="19" t="n"/>
    </row>
    <row r="683">
      <c r="A683" s="41" t="n"/>
      <c r="B683" s="19" t="n"/>
      <c r="C683" s="58" t="inlineStr">
        <is>
          <t>PM-08 Document templates</t>
        </is>
      </c>
      <c r="D683" s="19" t="n"/>
      <c r="E683" s="19" t="n"/>
    </row>
    <row r="684" ht="28" customHeight="1">
      <c r="A684" s="41" t="n"/>
      <c r="B684" s="19" t="n"/>
      <c r="C684" s="58" t="inlineStr">
        <is>
          <t>UA-05 Password, session and sign-in parameters</t>
        </is>
      </c>
      <c r="D684" s="19" t="n"/>
      <c r="E684" s="19" t="n"/>
    </row>
    <row r="685" ht="28" customHeight="1">
      <c r="A685" s="41" t="n"/>
      <c r="B685" s="19" t="n"/>
      <c r="C685" s="58" t="inlineStr">
        <is>
          <t>UP-03 Watchlist entries (sanctions, PEP and internal lists)</t>
        </is>
      </c>
      <c r="D685" s="19" t="n"/>
      <c r="E685" s="19" t="n"/>
    </row>
    <row r="686">
      <c r="A686" s="41" t="n"/>
      <c r="B686" s="19" t="n"/>
      <c r="C686" s="58" t="inlineStr">
        <is>
          <t>General</t>
        </is>
      </c>
      <c r="D686" s="19" t="n"/>
      <c r="E686" s="19" t="n"/>
    </row>
    <row r="687">
      <c r="A687" s="59" t="inlineStr">
        <is>
          <t>Question status (QUESTION_STATUS)</t>
        </is>
      </c>
      <c r="B687" s="14" t="inlineStr">
        <is>
          <t>Questions and comments: Status</t>
        </is>
      </c>
      <c r="C687" s="60" t="inlineStr">
        <is>
          <t>Open</t>
        </is>
      </c>
      <c r="D687" s="14" t="n"/>
      <c r="E687" s="14" t="n"/>
    </row>
    <row r="688">
      <c r="A688" s="59" t="n"/>
      <c r="B688" s="14" t="n"/>
      <c r="C688" s="60" t="inlineStr">
        <is>
          <t>Answered</t>
        </is>
      </c>
      <c r="D688" s="14" t="n"/>
      <c r="E688" s="14" t="n"/>
    </row>
    <row r="689">
      <c r="A689" s="59" t="n"/>
      <c r="B689" s="14" t="n"/>
      <c r="C689" s="60" t="inlineStr">
        <is>
          <t>Closed</t>
        </is>
      </c>
      <c r="D689" s="14" t="n"/>
      <c r="E689" s="14" t="n"/>
    </row>
  </sheetData>
  <autoFilter ref="A4:E689"/>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7.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5" t="inlineStr">
        <is>
          <t>Questions and comments</t>
        </is>
      </c>
    </row>
    <row r="2">
      <c r="A2" s="27" t="inlineStr">
        <is>
          <t>← Back to Start here</t>
        </is>
      </c>
      <c r="B2" s="55"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61" t="n">
        <v>1</v>
      </c>
      <c r="B5" s="14" t="n"/>
      <c r="C5" s="14" t="n"/>
      <c r="D5" s="14" t="n"/>
      <c r="E5" s="14" t="n"/>
      <c r="F5" s="62" t="n"/>
      <c r="G5" s="14" t="n"/>
      <c r="H5" s="14" t="n"/>
      <c r="I5" s="14" t="n"/>
    </row>
    <row r="6">
      <c r="A6" s="61" t="n">
        <v>2</v>
      </c>
      <c r="B6" s="14" t="n"/>
      <c r="C6" s="14" t="n"/>
      <c r="D6" s="14" t="n"/>
      <c r="E6" s="14" t="n"/>
      <c r="F6" s="62" t="n"/>
      <c r="G6" s="14" t="n"/>
      <c r="H6" s="14" t="n"/>
      <c r="I6" s="14" t="n"/>
    </row>
    <row r="7">
      <c r="A7" s="61" t="n">
        <v>3</v>
      </c>
      <c r="B7" s="14" t="n"/>
      <c r="C7" s="14" t="n"/>
      <c r="D7" s="14" t="n"/>
      <c r="E7" s="14" t="n"/>
      <c r="F7" s="62" t="n"/>
      <c r="G7" s="14" t="n"/>
      <c r="H7" s="14" t="n"/>
      <c r="I7" s="14" t="n"/>
    </row>
    <row r="8">
      <c r="A8" s="61" t="n">
        <v>4</v>
      </c>
      <c r="B8" s="14" t="n"/>
      <c r="C8" s="14" t="n"/>
      <c r="D8" s="14" t="n"/>
      <c r="E8" s="14" t="n"/>
      <c r="F8" s="62" t="n"/>
      <c r="G8" s="14" t="n"/>
      <c r="H8" s="14" t="n"/>
      <c r="I8" s="14" t="n"/>
    </row>
    <row r="9">
      <c r="A9" s="61" t="n">
        <v>5</v>
      </c>
      <c r="B9" s="14" t="n"/>
      <c r="C9" s="14" t="n"/>
      <c r="D9" s="14" t="n"/>
      <c r="E9" s="14" t="n"/>
      <c r="F9" s="62" t="n"/>
      <c r="G9" s="14" t="n"/>
      <c r="H9" s="14" t="n"/>
      <c r="I9" s="14" t="n"/>
    </row>
    <row r="10">
      <c r="A10" s="61" t="n">
        <v>6</v>
      </c>
      <c r="B10" s="14" t="n"/>
      <c r="C10" s="14" t="n"/>
      <c r="D10" s="14" t="n"/>
      <c r="E10" s="14" t="n"/>
      <c r="F10" s="62" t="n"/>
      <c r="G10" s="14" t="n"/>
      <c r="H10" s="14" t="n"/>
      <c r="I10" s="14" t="n"/>
    </row>
    <row r="11">
      <c r="A11" s="61" t="n">
        <v>7</v>
      </c>
      <c r="B11" s="14" t="n"/>
      <c r="C11" s="14" t="n"/>
      <c r="D11" s="14" t="n"/>
      <c r="E11" s="14" t="n"/>
      <c r="F11" s="62" t="n"/>
      <c r="G11" s="14" t="n"/>
      <c r="H11" s="14" t="n"/>
      <c r="I11" s="14" t="n"/>
    </row>
    <row r="12">
      <c r="A12" s="61" t="n">
        <v>8</v>
      </c>
      <c r="B12" s="14" t="n"/>
      <c r="C12" s="14" t="n"/>
      <c r="D12" s="14" t="n"/>
      <c r="E12" s="14" t="n"/>
      <c r="F12" s="62" t="n"/>
      <c r="G12" s="14" t="n"/>
      <c r="H12" s="14" t="n"/>
      <c r="I12" s="14" t="n"/>
    </row>
    <row r="13">
      <c r="A13" s="61" t="n">
        <v>9</v>
      </c>
      <c r="B13" s="14" t="n"/>
      <c r="C13" s="14" t="n"/>
      <c r="D13" s="14" t="n"/>
      <c r="E13" s="14" t="n"/>
      <c r="F13" s="62" t="n"/>
      <c r="G13" s="14" t="n"/>
      <c r="H13" s="14" t="n"/>
      <c r="I13" s="14" t="n"/>
    </row>
    <row r="14">
      <c r="A14" s="61" t="n">
        <v>10</v>
      </c>
      <c r="B14" s="14" t="n"/>
      <c r="C14" s="14" t="n"/>
      <c r="D14" s="14" t="n"/>
      <c r="E14" s="14" t="n"/>
      <c r="F14" s="62" t="n"/>
      <c r="G14" s="14" t="n"/>
      <c r="H14" s="14" t="n"/>
      <c r="I14" s="14" t="n"/>
    </row>
    <row r="15">
      <c r="A15" s="61" t="n">
        <v>11</v>
      </c>
      <c r="B15" s="14" t="n"/>
      <c r="C15" s="14" t="n"/>
      <c r="D15" s="14" t="n"/>
      <c r="E15" s="14" t="n"/>
      <c r="F15" s="62" t="n"/>
      <c r="G15" s="14" t="n"/>
      <c r="H15" s="14" t="n"/>
      <c r="I15" s="14" t="n"/>
    </row>
    <row r="16">
      <c r="A16" s="61" t="n">
        <v>12</v>
      </c>
      <c r="B16" s="14" t="n"/>
      <c r="C16" s="14" t="n"/>
      <c r="D16" s="14" t="n"/>
      <c r="E16" s="14" t="n"/>
      <c r="F16" s="62" t="n"/>
      <c r="G16" s="14" t="n"/>
      <c r="H16" s="14" t="n"/>
      <c r="I16" s="14" t="n"/>
    </row>
    <row r="17">
      <c r="A17" s="61" t="n">
        <v>13</v>
      </c>
      <c r="B17" s="14" t="n"/>
      <c r="C17" s="14" t="n"/>
      <c r="D17" s="14" t="n"/>
      <c r="E17" s="14" t="n"/>
      <c r="F17" s="62" t="n"/>
      <c r="G17" s="14" t="n"/>
      <c r="H17" s="14" t="n"/>
      <c r="I17" s="14" t="n"/>
    </row>
    <row r="18">
      <c r="A18" s="61" t="n">
        <v>14</v>
      </c>
      <c r="B18" s="14" t="n"/>
      <c r="C18" s="14" t="n"/>
      <c r="D18" s="14" t="n"/>
      <c r="E18" s="14" t="n"/>
      <c r="F18" s="62" t="n"/>
      <c r="G18" s="14" t="n"/>
      <c r="H18" s="14" t="n"/>
      <c r="I18" s="14" t="n"/>
    </row>
    <row r="19">
      <c r="A19" s="61" t="n">
        <v>15</v>
      </c>
      <c r="B19" s="14" t="n"/>
      <c r="C19" s="14" t="n"/>
      <c r="D19" s="14" t="n"/>
      <c r="E19" s="14" t="n"/>
      <c r="F19" s="62" t="n"/>
      <c r="G19" s="14" t="n"/>
      <c r="H19" s="14" t="n"/>
      <c r="I19" s="14" t="n"/>
    </row>
    <row r="20">
      <c r="A20" s="61" t="n">
        <v>16</v>
      </c>
      <c r="B20" s="14" t="n"/>
      <c r="C20" s="14" t="n"/>
      <c r="D20" s="14" t="n"/>
      <c r="E20" s="14" t="n"/>
      <c r="F20" s="62" t="n"/>
      <c r="G20" s="14" t="n"/>
      <c r="H20" s="14" t="n"/>
      <c r="I20" s="14" t="n"/>
    </row>
    <row r="21">
      <c r="A21" s="61" t="n">
        <v>17</v>
      </c>
      <c r="B21" s="14" t="n"/>
      <c r="C21" s="14" t="n"/>
      <c r="D21" s="14" t="n"/>
      <c r="E21" s="14" t="n"/>
      <c r="F21" s="62" t="n"/>
      <c r="G21" s="14" t="n"/>
      <c r="H21" s="14" t="n"/>
      <c r="I21" s="14" t="n"/>
    </row>
    <row r="22">
      <c r="A22" s="61" t="n">
        <v>18</v>
      </c>
      <c r="B22" s="14" t="n"/>
      <c r="C22" s="14" t="n"/>
      <c r="D22" s="14" t="n"/>
      <c r="E22" s="14" t="n"/>
      <c r="F22" s="62" t="n"/>
      <c r="G22" s="14" t="n"/>
      <c r="H22" s="14" t="n"/>
      <c r="I22" s="14" t="n"/>
    </row>
    <row r="23">
      <c r="A23" s="61" t="n">
        <v>19</v>
      </c>
      <c r="B23" s="14" t="n"/>
      <c r="C23" s="14" t="n"/>
      <c r="D23" s="14" t="n"/>
      <c r="E23" s="14" t="n"/>
      <c r="F23" s="62" t="n"/>
      <c r="G23" s="14" t="n"/>
      <c r="H23" s="14" t="n"/>
      <c r="I23" s="14" t="n"/>
    </row>
    <row r="24">
      <c r="A24" s="61" t="n">
        <v>20</v>
      </c>
      <c r="B24" s="14" t="n"/>
      <c r="C24" s="14" t="n"/>
      <c r="D24" s="14" t="n"/>
      <c r="E24" s="14" t="n"/>
      <c r="F24" s="62" t="n"/>
      <c r="G24" s="14" t="n"/>
      <c r="H24" s="14" t="n"/>
      <c r="I24" s="14" t="n"/>
    </row>
    <row r="25">
      <c r="A25" s="61" t="n">
        <v>21</v>
      </c>
      <c r="B25" s="14" t="n"/>
      <c r="C25" s="14" t="n"/>
      <c r="D25" s="14" t="n"/>
      <c r="E25" s="14" t="n"/>
      <c r="F25" s="62" t="n"/>
      <c r="G25" s="14" t="n"/>
      <c r="H25" s="14" t="n"/>
      <c r="I25" s="14" t="n"/>
    </row>
    <row r="26">
      <c r="A26" s="61" t="n">
        <v>22</v>
      </c>
      <c r="B26" s="14" t="n"/>
      <c r="C26" s="14" t="n"/>
      <c r="D26" s="14" t="n"/>
      <c r="E26" s="14" t="n"/>
      <c r="F26" s="62" t="n"/>
      <c r="G26" s="14" t="n"/>
      <c r="H26" s="14" t="n"/>
      <c r="I26" s="14" t="n"/>
    </row>
    <row r="27">
      <c r="A27" s="61" t="n">
        <v>23</v>
      </c>
      <c r="B27" s="14" t="n"/>
      <c r="C27" s="14" t="n"/>
      <c r="D27" s="14" t="n"/>
      <c r="E27" s="14" t="n"/>
      <c r="F27" s="62" t="n"/>
      <c r="G27" s="14" t="n"/>
      <c r="H27" s="14" t="n"/>
      <c r="I27" s="14" t="n"/>
    </row>
    <row r="28">
      <c r="A28" s="61" t="n">
        <v>24</v>
      </c>
      <c r="B28" s="14" t="n"/>
      <c r="C28" s="14" t="n"/>
      <c r="D28" s="14" t="n"/>
      <c r="E28" s="14" t="n"/>
      <c r="F28" s="62" t="n"/>
      <c r="G28" s="14" t="n"/>
      <c r="H28" s="14" t="n"/>
      <c r="I28" s="14" t="n"/>
    </row>
    <row r="29">
      <c r="A29" s="61" t="n">
        <v>25</v>
      </c>
      <c r="B29" s="14" t="n"/>
      <c r="C29" s="14" t="n"/>
      <c r="D29" s="14" t="n"/>
      <c r="E29" s="14" t="n"/>
      <c r="F29" s="62" t="n"/>
      <c r="G29" s="14" t="n"/>
      <c r="H29" s="14" t="n"/>
      <c r="I29" s="14" t="n"/>
    </row>
    <row r="30">
      <c r="A30" s="61" t="n">
        <v>26</v>
      </c>
      <c r="B30" s="14" t="n"/>
      <c r="C30" s="14" t="n"/>
      <c r="D30" s="14" t="n"/>
      <c r="E30" s="14" t="n"/>
      <c r="F30" s="62" t="n"/>
      <c r="G30" s="14" t="n"/>
      <c r="H30" s="14" t="n"/>
      <c r="I30" s="14" t="n"/>
    </row>
    <row r="31">
      <c r="A31" s="61" t="n">
        <v>27</v>
      </c>
      <c r="B31" s="14" t="n"/>
      <c r="C31" s="14" t="n"/>
      <c r="D31" s="14" t="n"/>
      <c r="E31" s="14" t="n"/>
      <c r="F31" s="62" t="n"/>
      <c r="G31" s="14" t="n"/>
      <c r="H31" s="14" t="n"/>
      <c r="I31" s="14" t="n"/>
    </row>
    <row r="32">
      <c r="A32" s="61" t="n">
        <v>28</v>
      </c>
      <c r="B32" s="14" t="n"/>
      <c r="C32" s="14" t="n"/>
      <c r="D32" s="14" t="n"/>
      <c r="E32" s="14" t="n"/>
      <c r="F32" s="62" t="n"/>
      <c r="G32" s="14" t="n"/>
      <c r="H32" s="14" t="n"/>
      <c r="I32" s="14" t="n"/>
    </row>
    <row r="33">
      <c r="A33" s="61" t="n">
        <v>29</v>
      </c>
      <c r="B33" s="14" t="n"/>
      <c r="C33" s="14" t="n"/>
      <c r="D33" s="14" t="n"/>
      <c r="E33" s="14" t="n"/>
      <c r="F33" s="62" t="n"/>
      <c r="G33" s="14" t="n"/>
      <c r="H33" s="14" t="n"/>
      <c r="I33" s="14" t="n"/>
    </row>
    <row r="34">
      <c r="A34" s="61" t="n">
        <v>30</v>
      </c>
      <c r="B34" s="14" t="n"/>
      <c r="C34" s="14" t="n"/>
      <c r="D34" s="14" t="n"/>
      <c r="E34" s="14" t="n"/>
      <c r="F34" s="62" t="n"/>
      <c r="G34" s="14" t="n"/>
      <c r="H34" s="14" t="n"/>
      <c r="I34" s="14" t="n"/>
    </row>
    <row r="35">
      <c r="A35" s="61" t="n">
        <v>31</v>
      </c>
      <c r="B35" s="14" t="n"/>
      <c r="C35" s="14" t="n"/>
      <c r="D35" s="14" t="n"/>
      <c r="E35" s="14" t="n"/>
      <c r="F35" s="62" t="n"/>
      <c r="G35" s="14" t="n"/>
      <c r="H35" s="14" t="n"/>
      <c r="I35" s="14" t="n"/>
    </row>
    <row r="36">
      <c r="A36" s="61" t="n">
        <v>32</v>
      </c>
      <c r="B36" s="14" t="n"/>
      <c r="C36" s="14" t="n"/>
      <c r="D36" s="14" t="n"/>
      <c r="E36" s="14" t="n"/>
      <c r="F36" s="62" t="n"/>
      <c r="G36" s="14" t="n"/>
      <c r="H36" s="14" t="n"/>
      <c r="I36" s="14" t="n"/>
    </row>
    <row r="37">
      <c r="A37" s="61" t="n">
        <v>33</v>
      </c>
      <c r="B37" s="14" t="n"/>
      <c r="C37" s="14" t="n"/>
      <c r="D37" s="14" t="n"/>
      <c r="E37" s="14" t="n"/>
      <c r="F37" s="62" t="n"/>
      <c r="G37" s="14" t="n"/>
      <c r="H37" s="14" t="n"/>
      <c r="I37" s="14" t="n"/>
    </row>
    <row r="38">
      <c r="A38" s="61" t="n">
        <v>34</v>
      </c>
      <c r="B38" s="14" t="n"/>
      <c r="C38" s="14" t="n"/>
      <c r="D38" s="14" t="n"/>
      <c r="E38" s="14" t="n"/>
      <c r="F38" s="62" t="n"/>
      <c r="G38" s="14" t="n"/>
      <c r="H38" s="14" t="n"/>
      <c r="I38" s="14" t="n"/>
    </row>
    <row r="39">
      <c r="A39" s="61" t="n">
        <v>35</v>
      </c>
      <c r="B39" s="14" t="n"/>
      <c r="C39" s="14" t="n"/>
      <c r="D39" s="14" t="n"/>
      <c r="E39" s="14" t="n"/>
      <c r="F39" s="62" t="n"/>
      <c r="G39" s="14" t="n"/>
      <c r="H39" s="14" t="n"/>
      <c r="I39" s="14" t="n"/>
    </row>
    <row r="40">
      <c r="A40" s="61" t="n">
        <v>36</v>
      </c>
      <c r="B40" s="14" t="n"/>
      <c r="C40" s="14" t="n"/>
      <c r="D40" s="14" t="n"/>
      <c r="E40" s="14" t="n"/>
      <c r="F40" s="62" t="n"/>
      <c r="G40" s="14" t="n"/>
      <c r="H40" s="14" t="n"/>
      <c r="I40" s="14" t="n"/>
    </row>
    <row r="41">
      <c r="A41" s="61" t="n">
        <v>37</v>
      </c>
      <c r="B41" s="14" t="n"/>
      <c r="C41" s="14" t="n"/>
      <c r="D41" s="14" t="n"/>
      <c r="E41" s="14" t="n"/>
      <c r="F41" s="62" t="n"/>
      <c r="G41" s="14" t="n"/>
      <c r="H41" s="14" t="n"/>
      <c r="I41" s="14" t="n"/>
    </row>
    <row r="42">
      <c r="A42" s="61" t="n">
        <v>38</v>
      </c>
      <c r="B42" s="14" t="n"/>
      <c r="C42" s="14" t="n"/>
      <c r="D42" s="14" t="n"/>
      <c r="E42" s="14" t="n"/>
      <c r="F42" s="62" t="n"/>
      <c r="G42" s="14" t="n"/>
      <c r="H42" s="14" t="n"/>
      <c r="I42" s="14" t="n"/>
    </row>
    <row r="43">
      <c r="A43" s="61" t="n">
        <v>39</v>
      </c>
      <c r="B43" s="14" t="n"/>
      <c r="C43" s="14" t="n"/>
      <c r="D43" s="14" t="n"/>
      <c r="E43" s="14" t="n"/>
      <c r="F43" s="62" t="n"/>
      <c r="G43" s="14" t="n"/>
      <c r="H43" s="14" t="n"/>
      <c r="I43" s="14" t="n"/>
    </row>
    <row r="44">
      <c r="A44" s="61" t="n">
        <v>40</v>
      </c>
      <c r="B44" s="14" t="n"/>
      <c r="C44" s="14" t="n"/>
      <c r="D44" s="14" t="n"/>
      <c r="E44" s="14" t="n"/>
      <c r="F44" s="62" t="n"/>
      <c r="G44" s="14" t="n"/>
      <c r="H44" s="14" t="n"/>
      <c r="I44" s="14" t="n"/>
    </row>
    <row r="45">
      <c r="A45" s="61" t="n">
        <v>41</v>
      </c>
      <c r="B45" s="14" t="n"/>
      <c r="C45" s="14" t="n"/>
      <c r="D45" s="14" t="n"/>
      <c r="E45" s="14" t="n"/>
      <c r="F45" s="62" t="n"/>
      <c r="G45" s="14" t="n"/>
      <c r="H45" s="14" t="n"/>
      <c r="I45" s="14" t="n"/>
    </row>
    <row r="46">
      <c r="A46" s="61" t="n">
        <v>42</v>
      </c>
      <c r="B46" s="14" t="n"/>
      <c r="C46" s="14" t="n"/>
      <c r="D46" s="14" t="n"/>
      <c r="E46" s="14" t="n"/>
      <c r="F46" s="62" t="n"/>
      <c r="G46" s="14" t="n"/>
      <c r="H46" s="14" t="n"/>
      <c r="I46" s="14" t="n"/>
    </row>
    <row r="47">
      <c r="A47" s="61" t="n">
        <v>43</v>
      </c>
      <c r="B47" s="14" t="n"/>
      <c r="C47" s="14" t="n"/>
      <c r="D47" s="14" t="n"/>
      <c r="E47" s="14" t="n"/>
      <c r="F47" s="62" t="n"/>
      <c r="G47" s="14" t="n"/>
      <c r="H47" s="14" t="n"/>
      <c r="I47" s="14" t="n"/>
    </row>
    <row r="48">
      <c r="A48" s="61" t="n">
        <v>44</v>
      </c>
      <c r="B48" s="14" t="n"/>
      <c r="C48" s="14" t="n"/>
      <c r="D48" s="14" t="n"/>
      <c r="E48" s="14" t="n"/>
      <c r="F48" s="62" t="n"/>
      <c r="G48" s="14" t="n"/>
      <c r="H48" s="14" t="n"/>
      <c r="I48" s="14" t="n"/>
    </row>
    <row r="49">
      <c r="A49" s="61" t="n">
        <v>45</v>
      </c>
      <c r="B49" s="14" t="n"/>
      <c r="C49" s="14" t="n"/>
      <c r="D49" s="14" t="n"/>
      <c r="E49" s="14" t="n"/>
      <c r="F49" s="62" t="n"/>
      <c r="G49" s="14" t="n"/>
      <c r="H49" s="14" t="n"/>
      <c r="I49" s="14" t="n"/>
    </row>
    <row r="50">
      <c r="A50" s="61" t="n">
        <v>46</v>
      </c>
      <c r="B50" s="14" t="n"/>
      <c r="C50" s="14" t="n"/>
      <c r="D50" s="14" t="n"/>
      <c r="E50" s="14" t="n"/>
      <c r="F50" s="62" t="n"/>
      <c r="G50" s="14" t="n"/>
      <c r="H50" s="14" t="n"/>
      <c r="I50" s="14" t="n"/>
    </row>
    <row r="51">
      <c r="A51" s="61" t="n">
        <v>47</v>
      </c>
      <c r="B51" s="14" t="n"/>
      <c r="C51" s="14" t="n"/>
      <c r="D51" s="14" t="n"/>
      <c r="E51" s="14" t="n"/>
      <c r="F51" s="62" t="n"/>
      <c r="G51" s="14" t="n"/>
      <c r="H51" s="14" t="n"/>
      <c r="I51" s="14" t="n"/>
    </row>
    <row r="52">
      <c r="A52" s="61" t="n">
        <v>48</v>
      </c>
      <c r="B52" s="14" t="n"/>
      <c r="C52" s="14" t="n"/>
      <c r="D52" s="14" t="n"/>
      <c r="E52" s="14" t="n"/>
      <c r="F52" s="62" t="n"/>
      <c r="G52" s="14" t="n"/>
      <c r="H52" s="14" t="n"/>
      <c r="I52" s="14" t="n"/>
    </row>
    <row r="53">
      <c r="A53" s="61" t="n">
        <v>49</v>
      </c>
      <c r="B53" s="14" t="n"/>
      <c r="C53" s="14" t="n"/>
      <c r="D53" s="14" t="n"/>
      <c r="E53" s="14" t="n"/>
      <c r="F53" s="62" t="n"/>
      <c r="G53" s="14" t="n"/>
      <c r="H53" s="14" t="n"/>
      <c r="I53" s="14" t="n"/>
    </row>
    <row r="54">
      <c r="A54" s="61" t="n">
        <v>50</v>
      </c>
      <c r="B54" s="14" t="n"/>
      <c r="C54" s="14" t="n"/>
      <c r="D54" s="14" t="n"/>
      <c r="E54" s="14" t="n"/>
      <c r="F54" s="62" t="n"/>
      <c r="G54" s="14" t="n"/>
      <c r="H54" s="14" t="n"/>
      <c r="I54" s="14" t="n"/>
    </row>
    <row r="55">
      <c r="A55" s="61" t="n">
        <v>51</v>
      </c>
      <c r="B55" s="14" t="n"/>
      <c r="C55" s="14" t="n"/>
      <c r="D55" s="14" t="n"/>
      <c r="E55" s="14" t="n"/>
      <c r="F55" s="62" t="n"/>
      <c r="G55" s="14" t="n"/>
      <c r="H55" s="14" t="n"/>
      <c r="I55" s="14" t="n"/>
    </row>
    <row r="56">
      <c r="A56" s="61" t="n">
        <v>52</v>
      </c>
      <c r="B56" s="14" t="n"/>
      <c r="C56" s="14" t="n"/>
      <c r="D56" s="14" t="n"/>
      <c r="E56" s="14" t="n"/>
      <c r="F56" s="62" t="n"/>
      <c r="G56" s="14" t="n"/>
      <c r="H56" s="14" t="n"/>
      <c r="I56" s="14" t="n"/>
    </row>
    <row r="57">
      <c r="A57" s="61" t="n">
        <v>53</v>
      </c>
      <c r="B57" s="14" t="n"/>
      <c r="C57" s="14" t="n"/>
      <c r="D57" s="14" t="n"/>
      <c r="E57" s="14" t="n"/>
      <c r="F57" s="62" t="n"/>
      <c r="G57" s="14" t="n"/>
      <c r="H57" s="14" t="n"/>
      <c r="I57" s="14" t="n"/>
    </row>
    <row r="58">
      <c r="A58" s="61" t="n">
        <v>54</v>
      </c>
      <c r="B58" s="14" t="n"/>
      <c r="C58" s="14" t="n"/>
      <c r="D58" s="14" t="n"/>
      <c r="E58" s="14" t="n"/>
      <c r="F58" s="62" t="n"/>
      <c r="G58" s="14" t="n"/>
      <c r="H58" s="14" t="n"/>
      <c r="I58" s="14" t="n"/>
    </row>
    <row r="59">
      <c r="A59" s="61" t="n">
        <v>55</v>
      </c>
      <c r="B59" s="14" t="n"/>
      <c r="C59" s="14" t="n"/>
      <c r="D59" s="14" t="n"/>
      <c r="E59" s="14" t="n"/>
      <c r="F59" s="62" t="n"/>
      <c r="G59" s="14" t="n"/>
      <c r="H59" s="14" t="n"/>
      <c r="I59" s="14" t="n"/>
    </row>
    <row r="60">
      <c r="A60" s="61" t="n">
        <v>56</v>
      </c>
      <c r="B60" s="14" t="n"/>
      <c r="C60" s="14" t="n"/>
      <c r="D60" s="14" t="n"/>
      <c r="E60" s="14" t="n"/>
      <c r="F60" s="62" t="n"/>
      <c r="G60" s="14" t="n"/>
      <c r="H60" s="14" t="n"/>
      <c r="I60" s="14" t="n"/>
    </row>
    <row r="61">
      <c r="A61" s="61" t="n">
        <v>57</v>
      </c>
      <c r="B61" s="14" t="n"/>
      <c r="C61" s="14" t="n"/>
      <c r="D61" s="14" t="n"/>
      <c r="E61" s="14" t="n"/>
      <c r="F61" s="62" t="n"/>
      <c r="G61" s="14" t="n"/>
      <c r="H61" s="14" t="n"/>
      <c r="I61" s="14" t="n"/>
    </row>
    <row r="62">
      <c r="A62" s="61" t="n">
        <v>58</v>
      </c>
      <c r="B62" s="14" t="n"/>
      <c r="C62" s="14" t="n"/>
      <c r="D62" s="14" t="n"/>
      <c r="E62" s="14" t="n"/>
      <c r="F62" s="62" t="n"/>
      <c r="G62" s="14" t="n"/>
      <c r="H62" s="14" t="n"/>
      <c r="I62" s="14" t="n"/>
    </row>
    <row r="63">
      <c r="A63" s="61" t="n">
        <v>59</v>
      </c>
      <c r="B63" s="14" t="n"/>
      <c r="C63" s="14" t="n"/>
      <c r="D63" s="14" t="n"/>
      <c r="E63" s="14" t="n"/>
      <c r="F63" s="62" t="n"/>
      <c r="G63" s="14" t="n"/>
      <c r="H63" s="14" t="n"/>
      <c r="I63" s="14" t="n"/>
    </row>
    <row r="64">
      <c r="A64" s="61" t="n">
        <v>60</v>
      </c>
      <c r="B64" s="14" t="n"/>
      <c r="C64" s="14" t="n"/>
      <c r="D64" s="14" t="n"/>
      <c r="E64" s="14" t="n"/>
      <c r="F64" s="62" t="n"/>
      <c r="G64" s="14" t="n"/>
      <c r="H64" s="14" t="n"/>
      <c r="I64" s="14" t="n"/>
    </row>
    <row r="65">
      <c r="A65" s="61" t="n">
        <v>61</v>
      </c>
      <c r="B65" s="14" t="n"/>
      <c r="C65" s="14" t="n"/>
      <c r="D65" s="14" t="n"/>
      <c r="E65" s="14" t="n"/>
      <c r="F65" s="62" t="n"/>
      <c r="G65" s="14" t="n"/>
      <c r="H65" s="14" t="n"/>
      <c r="I65" s="14" t="n"/>
    </row>
    <row r="66">
      <c r="A66" s="61" t="n">
        <v>62</v>
      </c>
      <c r="B66" s="14" t="n"/>
      <c r="C66" s="14" t="n"/>
      <c r="D66" s="14" t="n"/>
      <c r="E66" s="14" t="n"/>
      <c r="F66" s="62" t="n"/>
      <c r="G66" s="14" t="n"/>
      <c r="H66" s="14" t="n"/>
      <c r="I66" s="14" t="n"/>
    </row>
    <row r="67">
      <c r="A67" s="61" t="n">
        <v>63</v>
      </c>
      <c r="B67" s="14" t="n"/>
      <c r="C67" s="14" t="n"/>
      <c r="D67" s="14" t="n"/>
      <c r="E67" s="14" t="n"/>
      <c r="F67" s="62" t="n"/>
      <c r="G67" s="14" t="n"/>
      <c r="H67" s="14" t="n"/>
      <c r="I67" s="14" t="n"/>
    </row>
    <row r="68">
      <c r="A68" s="61" t="n">
        <v>64</v>
      </c>
      <c r="B68" s="14" t="n"/>
      <c r="C68" s="14" t="n"/>
      <c r="D68" s="14" t="n"/>
      <c r="E68" s="14" t="n"/>
      <c r="F68" s="62" t="n"/>
      <c r="G68" s="14" t="n"/>
      <c r="H68" s="14" t="n"/>
      <c r="I68" s="14" t="n"/>
    </row>
    <row r="69">
      <c r="A69" s="61" t="n">
        <v>65</v>
      </c>
      <c r="B69" s="14" t="n"/>
      <c r="C69" s="14" t="n"/>
      <c r="D69" s="14" t="n"/>
      <c r="E69" s="14" t="n"/>
      <c r="F69" s="62" t="n"/>
      <c r="G69" s="14" t="n"/>
      <c r="H69" s="14" t="n"/>
      <c r="I69" s="14" t="n"/>
    </row>
    <row r="70">
      <c r="A70" s="61" t="n">
        <v>66</v>
      </c>
      <c r="B70" s="14" t="n"/>
      <c r="C70" s="14" t="n"/>
      <c r="D70" s="14" t="n"/>
      <c r="E70" s="14" t="n"/>
      <c r="F70" s="62" t="n"/>
      <c r="G70" s="14" t="n"/>
      <c r="H70" s="14" t="n"/>
      <c r="I70" s="14" t="n"/>
    </row>
    <row r="71">
      <c r="A71" s="61" t="n">
        <v>67</v>
      </c>
      <c r="B71" s="14" t="n"/>
      <c r="C71" s="14" t="n"/>
      <c r="D71" s="14" t="n"/>
      <c r="E71" s="14" t="n"/>
      <c r="F71" s="62" t="n"/>
      <c r="G71" s="14" t="n"/>
      <c r="H71" s="14" t="n"/>
      <c r="I71" s="14" t="n"/>
    </row>
    <row r="72">
      <c r="A72" s="61" t="n">
        <v>68</v>
      </c>
      <c r="B72" s="14" t="n"/>
      <c r="C72" s="14" t="n"/>
      <c r="D72" s="14" t="n"/>
      <c r="E72" s="14" t="n"/>
      <c r="F72" s="62" t="n"/>
      <c r="G72" s="14" t="n"/>
      <c r="H72" s="14" t="n"/>
      <c r="I72" s="14" t="n"/>
    </row>
    <row r="73">
      <c r="A73" s="61" t="n">
        <v>69</v>
      </c>
      <c r="B73" s="14" t="n"/>
      <c r="C73" s="14" t="n"/>
      <c r="D73" s="14" t="n"/>
      <c r="E73" s="14" t="n"/>
      <c r="F73" s="62" t="n"/>
      <c r="G73" s="14" t="n"/>
      <c r="H73" s="14" t="n"/>
      <c r="I73" s="14" t="n"/>
    </row>
    <row r="74">
      <c r="A74" s="61" t="n">
        <v>70</v>
      </c>
      <c r="B74" s="14" t="n"/>
      <c r="C74" s="14" t="n"/>
      <c r="D74" s="14" t="n"/>
      <c r="E74" s="14" t="n"/>
      <c r="F74" s="62" t="n"/>
      <c r="G74" s="14" t="n"/>
      <c r="H74" s="14" t="n"/>
      <c r="I74" s="14" t="n"/>
    </row>
    <row r="75">
      <c r="A75" s="61" t="n">
        <v>71</v>
      </c>
      <c r="B75" s="14" t="n"/>
      <c r="C75" s="14" t="n"/>
      <c r="D75" s="14" t="n"/>
      <c r="E75" s="14" t="n"/>
      <c r="F75" s="62" t="n"/>
      <c r="G75" s="14" t="n"/>
      <c r="H75" s="14" t="n"/>
      <c r="I75" s="14" t="n"/>
    </row>
    <row r="76">
      <c r="A76" s="61" t="n">
        <v>72</v>
      </c>
      <c r="B76" s="14" t="n"/>
      <c r="C76" s="14" t="n"/>
      <c r="D76" s="14" t="n"/>
      <c r="E76" s="14" t="n"/>
      <c r="F76" s="62" t="n"/>
      <c r="G76" s="14" t="n"/>
      <c r="H76" s="14" t="n"/>
      <c r="I76" s="14" t="n"/>
    </row>
    <row r="77">
      <c r="A77" s="61" t="n">
        <v>73</v>
      </c>
      <c r="B77" s="14" t="n"/>
      <c r="C77" s="14" t="n"/>
      <c r="D77" s="14" t="n"/>
      <c r="E77" s="14" t="n"/>
      <c r="F77" s="62" t="n"/>
      <c r="G77" s="14" t="n"/>
      <c r="H77" s="14" t="n"/>
      <c r="I77" s="14" t="n"/>
    </row>
    <row r="78">
      <c r="A78" s="61" t="n">
        <v>74</v>
      </c>
      <c r="B78" s="14" t="n"/>
      <c r="C78" s="14" t="n"/>
      <c r="D78" s="14" t="n"/>
      <c r="E78" s="14" t="n"/>
      <c r="F78" s="62" t="n"/>
      <c r="G78" s="14" t="n"/>
      <c r="H78" s="14" t="n"/>
      <c r="I78" s="14" t="n"/>
    </row>
    <row r="79">
      <c r="A79" s="61" t="n">
        <v>75</v>
      </c>
      <c r="B79" s="14" t="n"/>
      <c r="C79" s="14" t="n"/>
      <c r="D79" s="14" t="n"/>
      <c r="E79" s="14" t="n"/>
      <c r="F79" s="62" t="n"/>
      <c r="G79" s="14" t="n"/>
      <c r="H79" s="14" t="n"/>
      <c r="I79" s="14" t="n"/>
    </row>
    <row r="80">
      <c r="A80" s="61" t="n">
        <v>76</v>
      </c>
      <c r="B80" s="14" t="n"/>
      <c r="C80" s="14" t="n"/>
      <c r="D80" s="14" t="n"/>
      <c r="E80" s="14" t="n"/>
      <c r="F80" s="62" t="n"/>
      <c r="G80" s="14" t="n"/>
      <c r="H80" s="14" t="n"/>
      <c r="I80" s="14" t="n"/>
    </row>
    <row r="81">
      <c r="A81" s="61" t="n">
        <v>77</v>
      </c>
      <c r="B81" s="14" t="n"/>
      <c r="C81" s="14" t="n"/>
      <c r="D81" s="14" t="n"/>
      <c r="E81" s="14" t="n"/>
      <c r="F81" s="62" t="n"/>
      <c r="G81" s="14" t="n"/>
      <c r="H81" s="14" t="n"/>
      <c r="I81" s="14" t="n"/>
    </row>
    <row r="82">
      <c r="A82" s="61" t="n">
        <v>78</v>
      </c>
      <c r="B82" s="14" t="n"/>
      <c r="C82" s="14" t="n"/>
      <c r="D82" s="14" t="n"/>
      <c r="E82" s="14" t="n"/>
      <c r="F82" s="62" t="n"/>
      <c r="G82" s="14" t="n"/>
      <c r="H82" s="14" t="n"/>
      <c r="I82" s="14" t="n"/>
    </row>
    <row r="83">
      <c r="A83" s="61" t="n">
        <v>79</v>
      </c>
      <c r="B83" s="14" t="n"/>
      <c r="C83" s="14" t="n"/>
      <c r="D83" s="14" t="n"/>
      <c r="E83" s="14" t="n"/>
      <c r="F83" s="62" t="n"/>
      <c r="G83" s="14" t="n"/>
      <c r="H83" s="14" t="n"/>
      <c r="I83" s="14" t="n"/>
    </row>
    <row r="84">
      <c r="A84" s="61" t="n">
        <v>80</v>
      </c>
      <c r="B84" s="14" t="n"/>
      <c r="C84" s="14" t="n"/>
      <c r="D84" s="14" t="n"/>
      <c r="E84" s="14" t="n"/>
      <c r="F84" s="62" t="n"/>
      <c r="G84" s="14" t="n"/>
      <c r="H84" s="14" t="n"/>
      <c r="I84" s="14" t="n"/>
    </row>
    <row r="85">
      <c r="A85" s="61" t="n">
        <v>81</v>
      </c>
      <c r="B85" s="14" t="n"/>
      <c r="C85" s="14" t="n"/>
      <c r="D85" s="14" t="n"/>
      <c r="E85" s="14" t="n"/>
      <c r="F85" s="62" t="n"/>
      <c r="G85" s="14" t="n"/>
      <c r="H85" s="14" t="n"/>
      <c r="I85" s="14" t="n"/>
    </row>
    <row r="86">
      <c r="A86" s="61" t="n">
        <v>82</v>
      </c>
      <c r="B86" s="14" t="n"/>
      <c r="C86" s="14" t="n"/>
      <c r="D86" s="14" t="n"/>
      <c r="E86" s="14" t="n"/>
      <c r="F86" s="62" t="n"/>
      <c r="G86" s="14" t="n"/>
      <c r="H86" s="14" t="n"/>
      <c r="I86" s="14" t="n"/>
    </row>
    <row r="87">
      <c r="A87" s="61" t="n">
        <v>83</v>
      </c>
      <c r="B87" s="14" t="n"/>
      <c r="C87" s="14" t="n"/>
      <c r="D87" s="14" t="n"/>
      <c r="E87" s="14" t="n"/>
      <c r="F87" s="62" t="n"/>
      <c r="G87" s="14" t="n"/>
      <c r="H87" s="14" t="n"/>
      <c r="I87" s="14" t="n"/>
    </row>
    <row r="88">
      <c r="A88" s="61" t="n">
        <v>84</v>
      </c>
      <c r="B88" s="14" t="n"/>
      <c r="C88" s="14" t="n"/>
      <c r="D88" s="14" t="n"/>
      <c r="E88" s="14" t="n"/>
      <c r="F88" s="62" t="n"/>
      <c r="G88" s="14" t="n"/>
      <c r="H88" s="14" t="n"/>
      <c r="I88" s="14" t="n"/>
    </row>
    <row r="89">
      <c r="A89" s="61" t="n">
        <v>85</v>
      </c>
      <c r="B89" s="14" t="n"/>
      <c r="C89" s="14" t="n"/>
      <c r="D89" s="14" t="n"/>
      <c r="E89" s="14" t="n"/>
      <c r="F89" s="62" t="n"/>
      <c r="G89" s="14" t="n"/>
      <c r="H89" s="14" t="n"/>
      <c r="I89" s="14" t="n"/>
    </row>
    <row r="90">
      <c r="A90" s="61" t="n">
        <v>86</v>
      </c>
      <c r="B90" s="14" t="n"/>
      <c r="C90" s="14" t="n"/>
      <c r="D90" s="14" t="n"/>
      <c r="E90" s="14" t="n"/>
      <c r="F90" s="62" t="n"/>
      <c r="G90" s="14" t="n"/>
      <c r="H90" s="14" t="n"/>
      <c r="I90" s="14" t="n"/>
    </row>
    <row r="91">
      <c r="A91" s="61" t="n">
        <v>87</v>
      </c>
      <c r="B91" s="14" t="n"/>
      <c r="C91" s="14" t="n"/>
      <c r="D91" s="14" t="n"/>
      <c r="E91" s="14" t="n"/>
      <c r="F91" s="62" t="n"/>
      <c r="G91" s="14" t="n"/>
      <c r="H91" s="14" t="n"/>
      <c r="I91" s="14" t="n"/>
    </row>
    <row r="92">
      <c r="A92" s="61" t="n">
        <v>88</v>
      </c>
      <c r="B92" s="14" t="n"/>
      <c r="C92" s="14" t="n"/>
      <c r="D92" s="14" t="n"/>
      <c r="E92" s="14" t="n"/>
      <c r="F92" s="62" t="n"/>
      <c r="G92" s="14" t="n"/>
      <c r="H92" s="14" t="n"/>
      <c r="I92" s="14" t="n"/>
    </row>
    <row r="93">
      <c r="A93" s="61" t="n">
        <v>89</v>
      </c>
      <c r="B93" s="14" t="n"/>
      <c r="C93" s="14" t="n"/>
      <c r="D93" s="14" t="n"/>
      <c r="E93" s="14" t="n"/>
      <c r="F93" s="62" t="n"/>
      <c r="G93" s="14" t="n"/>
      <c r="H93" s="14" t="n"/>
      <c r="I93" s="14" t="n"/>
    </row>
    <row r="94">
      <c r="A94" s="61" t="n">
        <v>90</v>
      </c>
      <c r="B94" s="14" t="n"/>
      <c r="C94" s="14" t="n"/>
      <c r="D94" s="14" t="n"/>
      <c r="E94" s="14" t="n"/>
      <c r="F94" s="62" t="n"/>
      <c r="G94" s="14" t="n"/>
      <c r="H94" s="14" t="n"/>
      <c r="I94" s="14" t="n"/>
    </row>
    <row r="95">
      <c r="A95" s="61" t="n">
        <v>91</v>
      </c>
      <c r="B95" s="14" t="n"/>
      <c r="C95" s="14" t="n"/>
      <c r="D95" s="14" t="n"/>
      <c r="E95" s="14" t="n"/>
      <c r="F95" s="62" t="n"/>
      <c r="G95" s="14" t="n"/>
      <c r="H95" s="14" t="n"/>
      <c r="I95" s="14" t="n"/>
    </row>
    <row r="96">
      <c r="A96" s="61" t="n">
        <v>92</v>
      </c>
      <c r="B96" s="14" t="n"/>
      <c r="C96" s="14" t="n"/>
      <c r="D96" s="14" t="n"/>
      <c r="E96" s="14" t="n"/>
      <c r="F96" s="62" t="n"/>
      <c r="G96" s="14" t="n"/>
      <c r="H96" s="14" t="n"/>
      <c r="I96" s="14" t="n"/>
    </row>
    <row r="97">
      <c r="A97" s="61" t="n">
        <v>93</v>
      </c>
      <c r="B97" s="14" t="n"/>
      <c r="C97" s="14" t="n"/>
      <c r="D97" s="14" t="n"/>
      <c r="E97" s="14" t="n"/>
      <c r="F97" s="62" t="n"/>
      <c r="G97" s="14" t="n"/>
      <c r="H97" s="14" t="n"/>
      <c r="I97" s="14" t="n"/>
    </row>
    <row r="98">
      <c r="A98" s="61" t="n">
        <v>94</v>
      </c>
      <c r="B98" s="14" t="n"/>
      <c r="C98" s="14" t="n"/>
      <c r="D98" s="14" t="n"/>
      <c r="E98" s="14" t="n"/>
      <c r="F98" s="62" t="n"/>
      <c r="G98" s="14" t="n"/>
      <c r="H98" s="14" t="n"/>
      <c r="I98" s="14" t="n"/>
    </row>
    <row r="99">
      <c r="A99" s="61" t="n">
        <v>95</v>
      </c>
      <c r="B99" s="14" t="n"/>
      <c r="C99" s="14" t="n"/>
      <c r="D99" s="14" t="n"/>
      <c r="E99" s="14" t="n"/>
      <c r="F99" s="62" t="n"/>
      <c r="G99" s="14" t="n"/>
      <c r="H99" s="14" t="n"/>
      <c r="I99" s="14" t="n"/>
    </row>
    <row r="100">
      <c r="A100" s="61" t="n">
        <v>96</v>
      </c>
      <c r="B100" s="14" t="n"/>
      <c r="C100" s="14" t="n"/>
      <c r="D100" s="14" t="n"/>
      <c r="E100" s="14" t="n"/>
      <c r="F100" s="62" t="n"/>
      <c r="G100" s="14" t="n"/>
      <c r="H100" s="14" t="n"/>
      <c r="I100" s="14" t="n"/>
    </row>
    <row r="101">
      <c r="A101" s="61" t="n">
        <v>97</v>
      </c>
      <c r="B101" s="14" t="n"/>
      <c r="C101" s="14" t="n"/>
      <c r="D101" s="14" t="n"/>
      <c r="E101" s="14" t="n"/>
      <c r="F101" s="62" t="n"/>
      <c r="G101" s="14" t="n"/>
      <c r="H101" s="14" t="n"/>
      <c r="I101" s="14" t="n"/>
    </row>
    <row r="102">
      <c r="A102" s="61" t="n">
        <v>98</v>
      </c>
      <c r="B102" s="14" t="n"/>
      <c r="C102" s="14" t="n"/>
      <c r="D102" s="14" t="n"/>
      <c r="E102" s="14" t="n"/>
      <c r="F102" s="62" t="n"/>
      <c r="G102" s="14" t="n"/>
      <c r="H102" s="14" t="n"/>
      <c r="I102" s="14" t="n"/>
    </row>
    <row r="103">
      <c r="A103" s="61" t="n">
        <v>99</v>
      </c>
      <c r="B103" s="14" t="n"/>
      <c r="C103" s="14" t="n"/>
      <c r="D103" s="14" t="n"/>
      <c r="E103" s="14" t="n"/>
      <c r="F103" s="62" t="n"/>
      <c r="G103" s="14" t="n"/>
      <c r="H103" s="14" t="n"/>
      <c r="I103" s="14" t="n"/>
    </row>
    <row r="104">
      <c r="A104" s="61" t="n">
        <v>100</v>
      </c>
      <c r="B104" s="14" t="n"/>
      <c r="C104" s="14" t="n"/>
      <c r="D104" s="14" t="n"/>
      <c r="E104" s="14" t="n"/>
      <c r="F104" s="62"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&amp;K004EA8Master Data and Configuration Upload Templates&amp;R&amp;8 &amp;K656565BDO Insure | BIBS – BDOI Broker System</oddHeader>
    <oddFooter>&amp;L&amp;8 &amp;K656565Confidential – BDOI&amp;C&amp;8 &amp;K656565Page &amp;P of &amp;N&amp;R&amp;8 &amp;K656565Version 1.2</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Templates BRD-00 Master Data and Configuration Upload Templates v1.2</dc:title>
  <dc:subject>BDO Insure Brokering System (BIBS)</dc:subject>
  <dc:creator>iorta TechNXT</dc:creator>
  <cp:lastModifiedBy>iorta TechNXT</cp:lastModifiedBy>
  <dcterms:created xsi:type="dcterms:W3CDTF">2026-10-09T03:02:44Z</dcterms:created>
  <dcterms:modified xsi:type="dcterms:W3CDTF">2026-10-09T03:02:50Z</dcterms:modified>
</cp:coreProperties>
</file>