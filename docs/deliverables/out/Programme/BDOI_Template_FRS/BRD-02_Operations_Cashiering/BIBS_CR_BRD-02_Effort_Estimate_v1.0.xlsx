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CR Effort" sheetId="4" state="visible" r:id="rId4"/>
    <sheet xmlns:r="http://schemas.openxmlformats.org/officeDocument/2006/relationships" name="Beyond the BRD - OOTB" sheetId="5" state="visible" r:id="rId5"/>
    <sheet xmlns:r="http://schemas.openxmlformats.org/officeDocument/2006/relationships" name="BRD covered - OOTB" sheetId="6" state="visible" r:id="rId6"/>
    <sheet xmlns:r="http://schemas.openxmlformats.org/officeDocument/2006/relationships" name="Integration &amp; DM scope" sheetId="7" state="visible" r:id="rId7"/>
    <sheet xmlns:r="http://schemas.openxmlformats.org/officeDocument/2006/relationships" name="Best practice (blue)" sheetId="8" state="visible" r:id="rId8"/>
    <sheet xmlns:r="http://schemas.openxmlformats.org/officeDocument/2006/relationships" name="BRD items to deliver" sheetId="9" state="visible" r:id="rId9"/>
    <sheet xmlns:r="http://schemas.openxmlformats.org/officeDocument/2006/relationships" name="Assumptions" sheetId="10" state="visible" r:id="rId10"/>
    <sheet xmlns:r="http://schemas.openxmlformats.org/officeDocument/2006/relationships" name="Lists" sheetId="11" state="visible" r:id="rId11"/>
  </sheets>
  <definedNames>
    <definedName name="Accuracy">Assumptions!$B$6</definedName>
    <definedName name="DayRate">Assumptions!$B$7</definedName>
    <definedName name="_xlnm._FilterDatabase" localSheetId="1" hidden="1">'README'!$A$4:$D$58</definedName>
    <definedName name="_xlnm.Print_Titles" localSheetId="1">'README'!$4:$4</definedName>
    <definedName name="_xlnm._FilterDatabase" localSheetId="2" hidden="1">'Summary'!$A$4:$B$19</definedName>
    <definedName name="_xlnm.Print_Titles" localSheetId="2">'Summary'!$4:$4</definedName>
    <definedName name="_xlnm._FilterDatabase" localSheetId="3" hidden="1">'CR Effort'!$A$4:$X$7</definedName>
    <definedName name="_xlnm.Print_Titles" localSheetId="3">'CR Effort'!$4:$4</definedName>
    <definedName name="_xlnm._FilterDatabase" localSheetId="4" hidden="1">'Beyond the BRD - OOTB'!$A$4:$G$5</definedName>
    <definedName name="_xlnm.Print_Titles" localSheetId="4">'Beyond the BRD - OOTB'!$4:$4</definedName>
    <definedName name="_xlnm._FilterDatabase" localSheetId="5" hidden="1">'BRD covered - OOTB'!$A$4:$G$5</definedName>
    <definedName name="_xlnm.Print_Titles" localSheetId="5">'BRD covered - OOTB'!$4:$4</definedName>
    <definedName name="_xlnm._FilterDatabase" localSheetId="6" hidden="1">'Integration &amp; DM scope'!$A$4:$D$33</definedName>
    <definedName name="_xlnm.Print_Titles" localSheetId="6">'Integration &amp; DM scope'!$4:$4</definedName>
    <definedName name="_xlnm._FilterDatabase" localSheetId="7" hidden="1">'Best practice (blue)'!$A$4:$E$7</definedName>
    <definedName name="_xlnm.Print_Titles" localSheetId="7">'Best practice (blue)'!$4:$4</definedName>
    <definedName name="_xlnm._FilterDatabase" localSheetId="8" hidden="1">'BRD items to deliver'!$A$4:$E$55</definedName>
    <definedName name="_xlnm.Print_Titles" localSheetId="8">'BRD items to deliver'!$4:$4</definedName>
    <definedName name="_xlnm._FilterDatabase" localSheetId="9" hidden="1">'Assumptions'!$A$3:$C$12</definedName>
    <definedName name="_xlnm.Print_Titles" localSheetId="9">'Assumptions'!$3:$3</definedName>
    <definedName name="_xlnm.Print_Titles" localSheetId="10">'Lists'!$1:$1</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s>
  <fills count="5">
    <fill>
      <patternFill/>
    </fill>
    <fill>
      <patternFill patternType="gray125"/>
    </fill>
    <fill>
      <patternFill patternType="solid">
        <fgColor rgb="00004EA8"/>
      </patternFill>
    </fill>
    <fill>
      <patternFill patternType="solid">
        <fgColor rgb="00FFF59D"/>
      </patternFill>
    </fill>
    <fill>
      <patternFill patternType="solid">
        <fgColor rgb="00E5F5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31">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4" borderId="2" applyAlignment="1" pivotButton="0" quotePrefix="0" xfId="0">
      <alignment vertical="top" wrapText="1"/>
    </xf>
    <xf numFmtId="0" fontId="4" fillId="4" borderId="2" applyAlignment="1" pivotButton="0" quotePrefix="0" xfId="0">
      <alignment vertical="top" wrapText="1"/>
    </xf>
    <xf numFmtId="0" fontId="2" fillId="0" borderId="0" pivotButton="0" quotePrefix="0" xfId="0"/>
    <xf numFmtId="0" fontId="1" fillId="0" borderId="0" pivotButton="0" quotePrefix="0" xfId="0"/>
    <xf numFmtId="0" fontId="14" fillId="0" borderId="2" applyAlignment="1" pivotButton="0" quotePrefix="0" xfId="0">
      <alignment vertical="top" wrapText="1"/>
    </xf>
    <xf numFmtId="0" fontId="14" fillId="4"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4" fontId="4" fillId="0" borderId="2" applyAlignment="1" pivotButton="0" quotePrefix="0" xfId="0">
      <alignment vertical="top" wrapText="1"/>
    </xf>
    <xf numFmtId="2" fontId="4" fillId="0" borderId="2" applyAlignment="1" pivotButton="0" quotePrefix="0" xfId="0">
      <alignment vertical="top" wrapText="1"/>
    </xf>
    <xf numFmtId="2" fontId="4" fillId="0" borderId="2" applyAlignment="1" pivotButton="0" quotePrefix="0" xfId="0">
      <alignment vertical="top"/>
    </xf>
    <xf numFmtId="4" fontId="4" fillId="0" borderId="2" applyAlignment="1" pivotButton="0" quotePrefix="0" xfId="0">
      <alignment vertical="top"/>
    </xf>
    <xf numFmtId="0" fontId="3" fillId="2" borderId="0" pivotButton="0" quotePrefix="0" xfId="0"/>
    <xf numFmtId="0" fontId="5" fillId="0" borderId="2" applyAlignment="1" pivotButton="0" quotePrefix="0" xfId="0">
      <alignment vertical="top" wrapText="1"/>
    </xf>
    <xf numFmtId="9" fontId="5" fillId="0" borderId="2" applyAlignment="1" pivotButton="0" quotePrefix="0" xfId="0">
      <alignment vertical="top" wrapText="1"/>
    </xf>
    <xf numFmtId="4" fontId="5" fillId="3" borderId="2" applyAlignment="1" pivotButton="0" quotePrefix="0" xfId="0">
      <alignment vertical="top" wrapText="1"/>
    </xf>
    <xf numFmtId="0" fontId="4" fillId="0" borderId="0" pivotButton="0" quotePrefix="0" xfId="0"/>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30</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CR Effort'!A1" TargetMode="External" Id="rId3"/><Relationship Type="http://schemas.openxmlformats.org/officeDocument/2006/relationships/hyperlink" Target="#'Beyond the BRD - OOTB'!A1" TargetMode="External" Id="rId4"/><Relationship Type="http://schemas.openxmlformats.org/officeDocument/2006/relationships/hyperlink" Target="#'BRD covered - OOTB'!A1" TargetMode="External" Id="rId5"/><Relationship Type="http://schemas.openxmlformats.org/officeDocument/2006/relationships/hyperlink" Target="#'Integration &amp; DM scope'!A1" TargetMode="External" Id="rId6"/><Relationship Type="http://schemas.openxmlformats.org/officeDocument/2006/relationships/hyperlink" Target="#'Best practice (blue)'!A1" TargetMode="External" Id="rId7"/><Relationship Type="http://schemas.openxmlformats.org/officeDocument/2006/relationships/hyperlink" Target="#'BRD items to deliver'!A1" TargetMode="External" Id="rId8"/><Relationship Type="http://schemas.openxmlformats.org/officeDocument/2006/relationships/hyperlink" Target="#'Assumption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A1:E31"/>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1"/>
    <row r="2" ht="40" customHeight="1"/>
    <row r="3"/>
    <row r="4" ht="6" customHeight="1">
      <c r="B4" s="1" t="n"/>
      <c r="C4" s="1" t="n"/>
      <c r="D4" s="1" t="n"/>
      <c r="E4" s="1" t="n"/>
    </row>
    <row r="5"/>
    <row r="6">
      <c r="B6" s="2" t="inlineStr">
        <is>
          <t>ESTIMATE</t>
        </is>
      </c>
    </row>
    <row r="7" ht="32" customHeight="1">
      <c r="B7" s="3" t="inlineStr">
        <is>
          <t>Change Request Effort Estimate</t>
        </is>
      </c>
    </row>
    <row r="8">
      <c r="B8" s="4" t="inlineStr">
        <is>
          <t>BRD-02 Operations Cashiering - points beyond the BRD of the FRS v3.3: change requests with their effort</t>
        </is>
      </c>
    </row>
    <row r="9">
      <c r="B9" s="5" t="inlineStr">
        <is>
          <t>BIBS – BDOI Broker System</t>
        </is>
      </c>
    </row>
    <row r="10"/>
    <row r="11">
      <c r="B11" s="6" t="inlineStr">
        <is>
          <t>Client</t>
        </is>
      </c>
      <c r="C11" s="7" t="inlineStr">
        <is>
          <t>BDO Insurance and Reinsurance Brokers, Inc.</t>
        </is>
      </c>
    </row>
    <row r="12">
      <c r="B12" s="6" t="inlineStr">
        <is>
          <t>BRD</t>
        </is>
      </c>
      <c r="C12" s="7" t="inlineStr">
        <is>
          <t>BRD-02</t>
        </is>
      </c>
    </row>
    <row r="13">
      <c r="B13" s="6" t="inlineStr">
        <is>
          <t>Version</t>
        </is>
      </c>
      <c r="C13" s="7" t="inlineStr">
        <is>
          <t>1.0</t>
        </is>
      </c>
    </row>
    <row r="14">
      <c r="B14" s="6" t="inlineStr">
        <is>
          <t>Date</t>
        </is>
      </c>
      <c r="C14" s="7" t="inlineStr">
        <is>
          <t>11 October 2026</t>
        </is>
      </c>
    </row>
    <row r="15">
      <c r="B15" s="6" t="inlineStr">
        <is>
          <t>Classification</t>
        </is>
      </c>
      <c r="C15" s="8" t="inlineStr">
        <is>
          <t>Confidential</t>
        </is>
      </c>
    </row>
    <row r="16">
      <c r="B16" s="6" t="inlineStr">
        <is>
          <t>Prepared by</t>
        </is>
      </c>
      <c r="C16" s="7" t="inlineStr">
        <is>
          <t>iorta TechNXT</t>
        </is>
      </c>
    </row>
    <row r="17"/>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Totals of the points beyond the BRD of the FRS v3.3 (Appendix W)</t>
        </is>
      </c>
      <c r="D21" s="14" t="n">
        <v>15</v>
      </c>
    </row>
    <row r="22">
      <c r="B22" s="11" t="inlineStr">
        <is>
          <t>CR Effort</t>
        </is>
      </c>
      <c r="C22" s="12" t="inlineStr">
        <is>
          <t>One row per orange point of the FRS v3.3 (Appendix W.2), effort in man-days</t>
        </is>
      </c>
      <c r="D22" s="12" t="n">
        <v>3</v>
      </c>
    </row>
    <row r="23">
      <c r="B23" s="13" t="inlineStr">
        <is>
          <t>Beyond the BRD - OOTB</t>
        </is>
      </c>
      <c r="C23" s="14" t="inlineStr">
        <is>
          <t>Points beyond the BRD that the iNXT BrokerVerse OOTB platform provides (green): no cost</t>
        </is>
      </c>
      <c r="D23" s="14" t="n">
        <v>1</v>
      </c>
    </row>
    <row r="24">
      <c r="B24" s="11" t="inlineStr">
        <is>
          <t>BRD covered - OOTB</t>
        </is>
      </c>
      <c r="C24" s="12" t="inlineStr">
        <is>
          <t>BRD requirements (black in the FRS, in scope) that the iNXT BrokerVerse OOTB platform provides: no change request, no effort</t>
        </is>
      </c>
      <c r="D24" s="12" t="n">
        <v>1</v>
      </c>
    </row>
    <row r="25">
      <c r="B25" s="13" t="inlineStr">
        <is>
          <t>Integration &amp; DM scope</t>
        </is>
      </c>
      <c r="C25" s="14" t="inlineStr">
        <is>
          <t>Covered by the Integration scope or the Data Migration scope (BRD-13): no CR cost here</t>
        </is>
      </c>
      <c r="D25" s="14" t="n">
        <v>29</v>
      </c>
    </row>
    <row r="26">
      <c r="B26" s="11" t="inlineStr">
        <is>
          <t>Best practice (blue)</t>
        </is>
      </c>
      <c r="C26" s="12" t="inlineStr">
        <is>
          <t>Not in the BRD, the FRS or the OOTB platform: recommendations (Appendix W.6), not commitments</t>
        </is>
      </c>
      <c r="D26" s="12" t="n">
        <v>3</v>
      </c>
    </row>
    <row r="27">
      <c r="B27" s="13" t="inlineStr">
        <is>
          <t>BRD items to deliver</t>
        </is>
      </c>
      <c r="C27" s="14" t="inlineStr">
        <is>
          <t>BRD requirements not fully met by the OOTB platform: in-scope delivery work for planning, not CRs</t>
        </is>
      </c>
      <c r="D27" s="14" t="n">
        <v>51</v>
      </c>
    </row>
    <row r="28">
      <c r="B28" s="11" t="inlineStr">
        <is>
          <t>Assumptions</t>
        </is>
      </c>
      <c r="C28" s="12" t="inlineStr">
        <is>
          <t>Man-day, range and day rate used by the formulas</t>
        </is>
      </c>
      <c r="D28" s="12" t="n">
        <v>0</v>
      </c>
    </row>
    <row r="29"/>
    <row r="30"/>
    <row r="31" ht="26" customHeight="1">
      <c r="B31" s="15"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&amp;K004EA8Change Request Effort Estimate&amp;C&amp;8 &amp;K656565&amp;F&amp;R&amp;8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58"/>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6" t="inlineStr">
        <is>
          <t>README – columns of each sheet</t>
        </is>
      </c>
    </row>
    <row r="2">
      <c r="A2" s="15" t="inlineStr">
        <is>
          <t>Change Request Effort Estimate, version 1.0. Drop-down columns accept only the listed values.</t>
        </is>
      </c>
    </row>
    <row r="3"/>
    <row r="4">
      <c r="A4" s="10" t="inlineStr">
        <is>
          <t>Sheet</t>
        </is>
      </c>
      <c r="B4" s="10" t="inlineStr">
        <is>
          <t>Column</t>
        </is>
      </c>
      <c r="C4" s="10" t="inlineStr">
        <is>
          <t>Meaning</t>
        </is>
      </c>
      <c r="D4" s="10" t="inlineStr">
        <is>
          <t>Allowed values</t>
        </is>
      </c>
    </row>
    <row r="5">
      <c r="A5" s="12" t="inlineStr">
        <is>
          <t>Summary</t>
        </is>
      </c>
      <c r="B5" s="17" t="inlineStr">
        <is>
          <t>Item</t>
        </is>
      </c>
      <c r="C5" s="12" t="inlineStr">
        <is>
          <t>What is counted</t>
        </is>
      </c>
      <c r="D5" s="12" t="inlineStr"/>
    </row>
    <row r="6">
      <c r="A6" s="14" t="inlineStr">
        <is>
          <t>Summary</t>
        </is>
      </c>
      <c r="B6" s="18" t="inlineStr">
        <is>
          <t>Value</t>
        </is>
      </c>
      <c r="C6" s="14" t="inlineStr">
        <is>
          <t>Count, man-days or cost</t>
        </is>
      </c>
      <c r="D6" s="14" t="inlineStr"/>
    </row>
    <row r="7">
      <c r="A7" s="12" t="inlineStr">
        <is>
          <t>CR Effort</t>
        </is>
      </c>
      <c r="B7" s="17" t="inlineStr">
        <is>
          <t>CR No.</t>
        </is>
      </c>
      <c r="C7" s="12" t="inlineStr">
        <is>
          <t>Change request (FRS Appendix W.2 and the CR register)</t>
        </is>
      </c>
      <c r="D7" s="12" t="inlineStr"/>
    </row>
    <row r="8">
      <c r="A8" s="14" t="inlineStr">
        <is>
          <t>CR Effort</t>
        </is>
      </c>
      <c r="B8" s="18" t="inlineStr">
        <is>
          <t>Title</t>
        </is>
      </c>
      <c r="C8" s="14" t="inlineStr">
        <is>
          <t>The change</t>
        </is>
      </c>
      <c r="D8" s="14" t="inlineStr"/>
    </row>
    <row r="9">
      <c r="A9" s="12" t="inlineStr">
        <is>
          <t>CR Effort</t>
        </is>
      </c>
      <c r="B9" s="17" t="inlineStr">
        <is>
          <t>FRS reference</t>
        </is>
      </c>
      <c r="C9" s="12" t="inlineStr">
        <is>
          <t>FR item or annex row</t>
        </is>
      </c>
      <c r="D9" s="12" t="inlineStr"/>
    </row>
    <row r="10">
      <c r="A10" s="14" t="inlineStr">
        <is>
          <t>CR Effort</t>
        </is>
      </c>
      <c r="B10" s="18" t="inlineStr">
        <is>
          <t>BRD reference</t>
        </is>
      </c>
      <c r="C10" s="14" t="inlineStr">
        <is>
          <t>BRD ID it extends, or 'Not in BRD'</t>
        </is>
      </c>
      <c r="D10" s="14" t="inlineStr"/>
    </row>
    <row r="11">
      <c r="A11" s="12" t="inlineStr">
        <is>
          <t>CR Effort</t>
        </is>
      </c>
      <c r="B11" s="17" t="inlineStr">
        <is>
          <t>BRD relation</t>
        </is>
      </c>
      <c r="C11" s="12" t="inlineStr">
        <is>
          <t>Extends a BRD requirement / Not in any BRD</t>
        </is>
      </c>
      <c r="D11" s="12" t="inlineStr">
        <is>
          <t>Extends a BRD requirement, Not in any BRD</t>
        </is>
      </c>
    </row>
    <row r="12">
      <c r="A12" s="14" t="inlineStr">
        <is>
          <t>CR Effort</t>
        </is>
      </c>
      <c r="B12" s="18" t="inlineStr">
        <is>
          <t>Where the point comes from</t>
        </is>
      </c>
      <c r="C12" s="14" t="inlineStr">
        <is>
          <t>Document and section</t>
        </is>
      </c>
      <c r="D12" s="14" t="inlineStr"/>
    </row>
    <row r="13">
      <c r="A13" s="12" t="inlineStr">
        <is>
          <t>CR Effort</t>
        </is>
      </c>
      <c r="B13" s="17" t="inlineStr">
        <is>
          <t>Why needed</t>
        </is>
      </c>
      <c r="C13" s="12" t="inlineStr">
        <is>
          <t>Business reason</t>
        </is>
      </c>
      <c r="D13" s="12" t="inlineStr"/>
    </row>
    <row r="14">
      <c r="A14" s="14" t="inlineStr">
        <is>
          <t>CR Effort</t>
        </is>
      </c>
      <c r="B14" s="18" t="inlineStr">
        <is>
          <t>Feature List ID / OOTB status</t>
        </is>
      </c>
      <c r="C14" s="14" t="inlineStr">
        <is>
          <t>Programme Feature List, column OOTB platform</t>
        </is>
      </c>
      <c r="D14" s="14" t="inlineStr"/>
    </row>
    <row r="15">
      <c r="A15" s="12" t="inlineStr">
        <is>
          <t>CR Effort</t>
        </is>
      </c>
      <c r="B15" s="17" t="inlineStr">
        <is>
          <t>OOTB evidence</t>
        </is>
      </c>
      <c r="C15" s="12" t="inlineStr">
        <is>
          <t>Screen or function of brokerverse-platform, or 'not found'</t>
        </is>
      </c>
      <c r="D15" s="12" t="inlineStr"/>
    </row>
    <row r="16">
      <c r="A16" s="14" t="inlineStr">
        <is>
          <t>CR Effort</t>
        </is>
      </c>
      <c r="B16" s="18" t="inlineStr">
        <is>
          <t>Effort covers</t>
        </is>
      </c>
      <c r="C16" s="14" t="inlineStr">
        <is>
          <t>For a Partial feature: the missing part only</t>
        </is>
      </c>
      <c r="D16" s="14" t="inlineStr"/>
    </row>
    <row r="17">
      <c r="A17" s="12" t="inlineStr">
        <is>
          <t>CR Effort</t>
        </is>
      </c>
      <c r="B17" s="17" t="inlineStr">
        <is>
          <t>Estimate basis</t>
        </is>
      </c>
      <c r="C17" s="12" t="inlineStr">
        <is>
          <t>Size of the platform parts the change touches</t>
        </is>
      </c>
      <c r="D17" s="12" t="inlineStr"/>
    </row>
    <row r="18">
      <c r="A18" s="14" t="inlineStr">
        <is>
          <t>CR Effort</t>
        </is>
      </c>
      <c r="B18" s="18" t="inlineStr">
        <is>
          <t>Analysis &amp; design (md)</t>
        </is>
      </c>
      <c r="C18" s="14" t="inlineStr">
        <is>
          <t>Man-days</t>
        </is>
      </c>
      <c r="D18" s="14" t="inlineStr"/>
    </row>
    <row r="19">
      <c r="A19" s="12" t="inlineStr">
        <is>
          <t>CR Effort</t>
        </is>
      </c>
      <c r="B19" s="17" t="inlineStr">
        <is>
          <t>Backend (md)</t>
        </is>
      </c>
      <c r="C19" s="12" t="inlineStr">
        <is>
          <t>Man-days</t>
        </is>
      </c>
      <c r="D19" s="12" t="inlineStr"/>
    </row>
    <row r="20">
      <c r="A20" s="14" t="inlineStr">
        <is>
          <t>CR Effort</t>
        </is>
      </c>
      <c r="B20" s="18" t="inlineStr">
        <is>
          <t>Frontend (md)</t>
        </is>
      </c>
      <c r="C20" s="14" t="inlineStr">
        <is>
          <t>Man-days</t>
        </is>
      </c>
      <c r="D20" s="14" t="inlineStr"/>
    </row>
    <row r="21">
      <c r="A21" s="12" t="inlineStr">
        <is>
          <t>CR Effort</t>
        </is>
      </c>
      <c r="B21" s="17" t="inlineStr">
        <is>
          <t>Testing (md)</t>
        </is>
      </c>
      <c r="C21" s="12" t="inlineStr">
        <is>
          <t>Man-days</t>
        </is>
      </c>
      <c r="D21" s="12" t="inlineStr"/>
    </row>
    <row r="22">
      <c r="A22" s="14" t="inlineStr">
        <is>
          <t>CR Effort</t>
        </is>
      </c>
      <c r="B22" s="18" t="inlineStr">
        <is>
          <t>Documentation / UAT support (md)</t>
        </is>
      </c>
      <c r="C22" s="14" t="inlineStr">
        <is>
          <t>Man-days</t>
        </is>
      </c>
      <c r="D22" s="14" t="inlineStr"/>
    </row>
    <row r="23">
      <c r="A23" s="12" t="inlineStr">
        <is>
          <t>CR Effort</t>
        </is>
      </c>
      <c r="B23" s="17" t="inlineStr">
        <is>
          <t>Total (md)</t>
        </is>
      </c>
      <c r="C23" s="12" t="inlineStr">
        <is>
          <t>Sum of the activities</t>
        </is>
      </c>
      <c r="D23" s="12" t="inlineStr"/>
    </row>
    <row r="24">
      <c r="A24" s="14" t="inlineStr">
        <is>
          <t>CR Effort</t>
        </is>
      </c>
      <c r="B24" s="18" t="inlineStr">
        <is>
          <t>Low (-20%)</t>
        </is>
      </c>
      <c r="C24" s="14" t="inlineStr">
        <is>
          <t>Total less the range</t>
        </is>
      </c>
      <c r="D24" s="14" t="inlineStr"/>
    </row>
    <row r="25">
      <c r="A25" s="12" t="inlineStr">
        <is>
          <t>CR Effort</t>
        </is>
      </c>
      <c r="B25" s="17" t="inlineStr">
        <is>
          <t>High (+20%)</t>
        </is>
      </c>
      <c r="C25" s="12" t="inlineStr">
        <is>
          <t>Total plus the range</t>
        </is>
      </c>
      <c r="D25" s="12" t="inlineStr"/>
    </row>
    <row r="26">
      <c r="A26" s="14" t="inlineStr">
        <is>
          <t>CR Effort</t>
        </is>
      </c>
      <c r="B26" s="18" t="inlineStr">
        <is>
          <t>Cost (PHP)</t>
        </is>
      </c>
      <c r="C26" s="14" t="inlineStr">
        <is>
          <t>Total x day rate (Assumptions)</t>
        </is>
      </c>
      <c r="D26" s="14" t="inlineStr"/>
    </row>
    <row r="27">
      <c r="A27" s="12" t="inlineStr">
        <is>
          <t>CR Effort</t>
        </is>
      </c>
      <c r="B27" s="17" t="inlineStr">
        <is>
          <t>Complexity</t>
        </is>
      </c>
      <c r="C27" s="12" t="inlineStr">
        <is>
          <t>Low / Medium / High</t>
        </is>
      </c>
      <c r="D27" s="12" t="inlineStr">
        <is>
          <t>Low, Medium, High</t>
        </is>
      </c>
    </row>
    <row r="28">
      <c r="A28" s="14" t="inlineStr">
        <is>
          <t>CR Effort</t>
        </is>
      </c>
      <c r="B28" s="18" t="inlineStr">
        <is>
          <t>Priority</t>
        </is>
      </c>
      <c r="C28" s="14" t="inlineStr">
        <is>
          <t>High / Medium / Low</t>
        </is>
      </c>
      <c r="D28" s="14" t="inlineStr">
        <is>
          <t>High, Medium, Low</t>
        </is>
      </c>
    </row>
    <row r="29">
      <c r="A29" s="12" t="inlineStr">
        <is>
          <t>CR Effort</t>
        </is>
      </c>
      <c r="B29" s="17" t="inlineStr">
        <is>
          <t>Dependencies</t>
        </is>
      </c>
      <c r="C29" s="12" t="inlineStr">
        <is>
          <t>What the change needs first</t>
        </is>
      </c>
      <c r="D29" s="12" t="inlineStr"/>
    </row>
    <row r="30">
      <c r="A30" s="14" t="inlineStr">
        <is>
          <t>CR Effort</t>
        </is>
      </c>
      <c r="B30" s="18" t="inlineStr">
        <is>
          <t>Assumptions</t>
        </is>
      </c>
      <c r="C30" s="14" t="inlineStr">
        <is>
          <t>Scope assumed by the estimate</t>
        </is>
      </c>
      <c r="D30" s="14" t="inlineStr"/>
    </row>
    <row r="31">
      <c r="A31" s="12" t="inlineStr">
        <is>
          <t>Beyond the BRD - OOTB</t>
        </is>
      </c>
      <c r="B31" s="17" t="inlineStr">
        <is>
          <t>No.</t>
        </is>
      </c>
      <c r="C31" s="12" t="inlineStr">
        <is>
          <t>Point (Appendix W.3)</t>
        </is>
      </c>
      <c r="D31" s="12" t="inlineStr"/>
    </row>
    <row r="32">
      <c r="A32" s="14" t="inlineStr">
        <is>
          <t>Beyond the BRD - OOTB</t>
        </is>
      </c>
      <c r="B32" s="18" t="inlineStr">
        <is>
          <t>Point</t>
        </is>
      </c>
      <c r="C32" s="14" t="inlineStr">
        <is>
          <t>The point of the FRS</t>
        </is>
      </c>
      <c r="D32" s="14" t="inlineStr"/>
    </row>
    <row r="33">
      <c r="A33" s="12" t="inlineStr">
        <is>
          <t>Beyond the BRD - OOTB</t>
        </is>
      </c>
      <c r="B33" s="17" t="inlineStr">
        <is>
          <t>FRS reference</t>
        </is>
      </c>
      <c r="C33" s="12" t="inlineStr">
        <is>
          <t>FR item or annex</t>
        </is>
      </c>
      <c r="D33" s="12" t="inlineStr"/>
    </row>
    <row r="34">
      <c r="A34" s="14" t="inlineStr">
        <is>
          <t>Beyond the BRD - OOTB</t>
        </is>
      </c>
      <c r="B34" s="18" t="inlineStr">
        <is>
          <t>Feature List ID / OOTB status</t>
        </is>
      </c>
      <c r="C34" s="14" t="inlineStr">
        <is>
          <t>Programme Feature List, column OOTB platform</t>
        </is>
      </c>
      <c r="D34" s="14" t="inlineStr"/>
    </row>
    <row r="35">
      <c r="A35" s="12" t="inlineStr">
        <is>
          <t>Beyond the BRD - OOTB</t>
        </is>
      </c>
      <c r="B35" s="17" t="inlineStr">
        <is>
          <t>OOTB evidence</t>
        </is>
      </c>
      <c r="C35" s="12" t="inlineStr">
        <is>
          <t>Screen or function of brokerverse-platform</t>
        </is>
      </c>
      <c r="D35" s="12" t="inlineStr"/>
    </row>
    <row r="36">
      <c r="A36" s="14" t="inlineStr">
        <is>
          <t>Beyond the BRD - OOTB</t>
        </is>
      </c>
      <c r="B36" s="18" t="inlineStr">
        <is>
          <t>BRD reference</t>
        </is>
      </c>
      <c r="C36" s="14" t="inlineStr">
        <is>
          <t>Not in the BRD</t>
        </is>
      </c>
      <c r="D36" s="14" t="inlineStr"/>
    </row>
    <row r="37">
      <c r="A37" s="12" t="inlineStr">
        <is>
          <t>Beyond the BRD - OOTB</t>
        </is>
      </c>
      <c r="B37" s="17" t="inlineStr">
        <is>
          <t>Cost (md)</t>
        </is>
      </c>
      <c r="C37" s="12" t="inlineStr">
        <is>
          <t>Zero</t>
        </is>
      </c>
      <c r="D37" s="12" t="inlineStr"/>
    </row>
    <row r="38">
      <c r="A38" s="14" t="inlineStr">
        <is>
          <t>BRD covered - OOTB</t>
        </is>
      </c>
      <c r="B38" s="18" t="inlineStr">
        <is>
          <t>No.</t>
        </is>
      </c>
      <c r="C38" s="14" t="inlineStr">
        <is>
          <t>Former green point</t>
        </is>
      </c>
      <c r="D38" s="14" t="inlineStr"/>
    </row>
    <row r="39">
      <c r="A39" s="12" t="inlineStr">
        <is>
          <t>BRD covered - OOTB</t>
        </is>
      </c>
      <c r="B39" s="17" t="inlineStr">
        <is>
          <t>Point</t>
        </is>
      </c>
      <c r="C39" s="12" t="inlineStr">
        <is>
          <t>The point of the FRS</t>
        </is>
      </c>
      <c r="D39" s="12" t="inlineStr"/>
    </row>
    <row r="40">
      <c r="A40" s="14" t="inlineStr">
        <is>
          <t>BRD covered - OOTB</t>
        </is>
      </c>
      <c r="B40" s="18" t="inlineStr">
        <is>
          <t>FRS reference</t>
        </is>
      </c>
      <c r="C40" s="14" t="inlineStr">
        <is>
          <t>FR item or annex</t>
        </is>
      </c>
      <c r="D40" s="14" t="inlineStr"/>
    </row>
    <row r="41">
      <c r="A41" s="12" t="inlineStr">
        <is>
          <t>BRD covered - OOTB</t>
        </is>
      </c>
      <c r="B41" s="17" t="inlineStr">
        <is>
          <t>BRD line</t>
        </is>
      </c>
      <c r="C41" s="12" t="inlineStr">
        <is>
          <t>The BRD line that asks for it (BRD, BRD-00 or programme-wide NFR)</t>
        </is>
      </c>
      <c r="D41" s="12" t="inlineStr"/>
    </row>
    <row r="42">
      <c r="A42" s="14" t="inlineStr">
        <is>
          <t>BRD covered - OOTB</t>
        </is>
      </c>
      <c r="B42" s="18" t="inlineStr">
        <is>
          <t>Feature List ID / OOTB status</t>
        </is>
      </c>
      <c r="C42" s="14" t="inlineStr">
        <is>
          <t>Programme Feature List, column OOTB platform</t>
        </is>
      </c>
      <c r="D42" s="14" t="inlineStr"/>
    </row>
    <row r="43">
      <c r="A43" s="12" t="inlineStr">
        <is>
          <t>BRD covered - OOTB</t>
        </is>
      </c>
      <c r="B43" s="17" t="inlineStr">
        <is>
          <t>OOTB evidence</t>
        </is>
      </c>
      <c r="C43" s="12" t="inlineStr">
        <is>
          <t>Screen or function of brokerverse-platform</t>
        </is>
      </c>
      <c r="D43" s="12" t="inlineStr"/>
    </row>
    <row r="44">
      <c r="A44" s="14" t="inlineStr">
        <is>
          <t>BRD covered - OOTB</t>
        </is>
      </c>
      <c r="B44" s="18" t="inlineStr">
        <is>
          <t>Effort (md)</t>
        </is>
      </c>
      <c r="C44" s="14" t="inlineStr">
        <is>
          <t>Zero: offered OOTB</t>
        </is>
      </c>
      <c r="D44" s="14" t="inlineStr"/>
    </row>
    <row r="45">
      <c r="A45" s="12" t="inlineStr">
        <is>
          <t>Integration &amp; DM scope</t>
        </is>
      </c>
      <c r="B45" s="17" t="inlineStr">
        <is>
          <t>Item</t>
        </is>
      </c>
      <c r="C45" s="12" t="inlineStr">
        <is>
          <t>Interface or data load</t>
        </is>
      </c>
      <c r="D45" s="12" t="inlineStr"/>
    </row>
    <row r="46">
      <c r="A46" s="14" t="inlineStr">
        <is>
          <t>Integration &amp; DM scope</t>
        </is>
      </c>
      <c r="B46" s="18" t="inlineStr">
        <is>
          <t>Scope</t>
        </is>
      </c>
      <c r="C46" s="14" t="inlineStr">
        <is>
          <t>Integration or Data Migration</t>
        </is>
      </c>
      <c r="D46" s="14" t="inlineStr">
        <is>
          <t>Integration scope, Data Migration scope</t>
        </is>
      </c>
    </row>
    <row r="47">
      <c r="A47" s="12" t="inlineStr">
        <is>
          <t>Integration &amp; DM scope</t>
        </is>
      </c>
      <c r="B47" s="17" t="inlineStr">
        <is>
          <t>What</t>
        </is>
      </c>
      <c r="C47" s="12" t="inlineStr">
        <is>
          <t>What is exchanged or loaded</t>
        </is>
      </c>
      <c r="D47" s="12" t="inlineStr"/>
    </row>
    <row r="48">
      <c r="A48" s="14" t="inlineStr">
        <is>
          <t>Integration &amp; DM scope</t>
        </is>
      </c>
      <c r="B48" s="18" t="inlineStr">
        <is>
          <t>Where in the FRS</t>
        </is>
      </c>
      <c r="C48" s="14" t="inlineStr">
        <is>
          <t>Annex</t>
        </is>
      </c>
      <c r="D48" s="14" t="inlineStr"/>
    </row>
    <row r="49">
      <c r="A49" s="12" t="inlineStr">
        <is>
          <t>Best practice (blue)</t>
        </is>
      </c>
      <c r="B49" s="17" t="inlineStr">
        <is>
          <t>ID</t>
        </is>
      </c>
      <c r="C49" s="12" t="inlineStr">
        <is>
          <t>Best practice</t>
        </is>
      </c>
      <c r="D49" s="12" t="inlineStr"/>
    </row>
    <row r="50">
      <c r="A50" s="14" t="inlineStr">
        <is>
          <t>Best practice (blue)</t>
        </is>
      </c>
      <c r="B50" s="18" t="inlineStr">
        <is>
          <t>Practice</t>
        </is>
      </c>
      <c r="C50" s="14" t="inlineStr">
        <is>
          <t>Insurance-broking practice</t>
        </is>
      </c>
      <c r="D50" s="14" t="inlineStr"/>
    </row>
    <row r="51">
      <c r="A51" s="12" t="inlineStr">
        <is>
          <t>Best practice (blue)</t>
        </is>
      </c>
      <c r="B51" s="17" t="inlineStr">
        <is>
          <t>Why it matters for a broker</t>
        </is>
      </c>
      <c r="C51" s="12" t="inlineStr">
        <is>
          <t>Philippine market where relevant</t>
        </is>
      </c>
      <c r="D51" s="12" t="inlineStr"/>
    </row>
    <row r="52">
      <c r="A52" s="14" t="inlineStr">
        <is>
          <t>Best practice (blue)</t>
        </is>
      </c>
      <c r="B52" s="18" t="inlineStr">
        <is>
          <t>Suggested priority</t>
        </is>
      </c>
      <c r="C52" s="14" t="inlineStr">
        <is>
          <t>High / Medium / Low</t>
        </is>
      </c>
      <c r="D52" s="14" t="inlineStr">
        <is>
          <t>High, Medium, Low</t>
        </is>
      </c>
    </row>
    <row r="53">
      <c r="A53" s="12" t="inlineStr">
        <is>
          <t>Best practice (blue)</t>
        </is>
      </c>
      <c r="B53" s="17" t="inlineStr">
        <is>
          <t>Indicative man-days</t>
        </is>
      </c>
      <c r="C53" s="12" t="inlineStr">
        <is>
          <t>Indicative; not in the CR total</t>
        </is>
      </c>
      <c r="D53" s="12" t="inlineStr"/>
    </row>
    <row r="54">
      <c r="A54" s="14" t="inlineStr">
        <is>
          <t>BRD items to deliver</t>
        </is>
      </c>
      <c r="B54" s="18" t="inlineStr">
        <is>
          <t>BRD ID</t>
        </is>
      </c>
      <c r="C54" s="14" t="inlineStr">
        <is>
          <t>BRD requirement</t>
        </is>
      </c>
      <c r="D54" s="14" t="inlineStr"/>
    </row>
    <row r="55">
      <c r="A55" s="12" t="inlineStr">
        <is>
          <t>BRD items to deliver</t>
        </is>
      </c>
      <c r="B55" s="17" t="inlineStr">
        <is>
          <t>BRD requirement</t>
        </is>
      </c>
      <c r="C55" s="12" t="inlineStr">
        <is>
          <t>Text of the BRD</t>
        </is>
      </c>
      <c r="D55" s="12" t="inlineStr"/>
    </row>
    <row r="56">
      <c r="A56" s="14" t="inlineStr">
        <is>
          <t>BRD items to deliver</t>
        </is>
      </c>
      <c r="B56" s="18" t="inlineStr">
        <is>
          <t>Fit</t>
        </is>
      </c>
      <c r="C56" s="14" t="inlineStr">
        <is>
          <t>Fit class of the fit-gap workbook</t>
        </is>
      </c>
      <c r="D56" s="14" t="inlineStr"/>
    </row>
    <row r="57">
      <c r="A57" s="12" t="inlineStr">
        <is>
          <t>BRD items to deliver</t>
        </is>
      </c>
      <c r="B57" s="17" t="inlineStr">
        <is>
          <t>What iNXT BrokerVerse offers out of the box</t>
        </is>
      </c>
      <c r="C57" s="12" t="inlineStr">
        <is>
          <t>OOTB capability</t>
        </is>
      </c>
      <c r="D57" s="12" t="inlineStr"/>
    </row>
    <row r="58">
      <c r="A58" s="14" t="inlineStr">
        <is>
          <t>BRD items to deliver</t>
        </is>
      </c>
      <c r="B58" s="18" t="inlineStr">
        <is>
          <t>Planning man-days</t>
        </is>
      </c>
      <c r="C58" s="14" t="inlineStr">
        <is>
          <t>For the points of BDOI's FRS covered by a BRD line</t>
        </is>
      </c>
      <c r="D58" s="14" t="inlineStr"/>
    </row>
  </sheetData>
  <autoFilter ref="A4:D58"/>
  <printOptions horizontalCentered="1"/>
  <pageMargins left="0.4" right="0.4" top="0.6" bottom="0.6" header="0.5" footer="0.5"/>
  <pageSetup orientation="landscape" paperSize="1" fitToHeight="0" fitToWidth="1"/>
  <headerFooter>
    <oddHeader>&amp;L&amp;8 &amp;K004EA8Change Request Effort Estimate&amp;C&amp;8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B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0" customWidth="1" min="1" max="1"/>
    <col width="16" customWidth="1" min="2" max="2"/>
  </cols>
  <sheetData>
    <row r="1" ht="24" customHeight="1">
      <c r="A1" s="16" t="inlineStr">
        <is>
          <t>Summary</t>
        </is>
      </c>
    </row>
    <row r="2">
      <c r="A2" s="19" t="inlineStr">
        <is>
          <t>Totals of the points beyond the BRD of the FRS v3.3 (Appendix W)</t>
        </is>
      </c>
    </row>
    <row r="3" ht="6" customHeight="1">
      <c r="A3" s="20" t="n"/>
      <c r="B3" s="20" t="n"/>
    </row>
    <row r="4" ht="30" customHeight="1">
      <c r="A4" s="21" t="inlineStr">
        <is>
          <t>Item</t>
        </is>
      </c>
      <c r="B4" s="21" t="inlineStr">
        <is>
          <t>Value</t>
        </is>
      </c>
    </row>
    <row r="5">
      <c r="A5" s="12" t="inlineStr">
        <is>
          <t>Points beyond the BRD available OOTB (green, no cost)</t>
        </is>
      </c>
      <c r="B5" s="22" t="n">
        <v>1</v>
      </c>
    </row>
    <row r="6">
      <c r="A6" s="12" t="inlineStr">
        <is>
          <t>BRD requirements offered OOTB (black, in scope, no effort)</t>
        </is>
      </c>
      <c r="B6" s="12" t="n">
        <v>1</v>
      </c>
    </row>
    <row r="7">
      <c r="A7" s="12" t="inlineStr">
        <is>
          <t>Change requests (orange)</t>
        </is>
      </c>
      <c r="B7" s="12" t="n">
        <v>2</v>
      </c>
    </row>
    <row r="8">
      <c r="A8" s="12" t="inlineStr">
        <is>
          <t>Man-days: Analysis &amp; design</t>
        </is>
      </c>
      <c r="B8" s="23">
        <f>SUM('CR Effort'!L5:L6)</f>
        <v/>
      </c>
    </row>
    <row r="9">
      <c r="A9" s="12" t="inlineStr">
        <is>
          <t>Man-days: Backend</t>
        </is>
      </c>
      <c r="B9" s="23">
        <f>SUM('CR Effort'!M5:M6)</f>
        <v/>
      </c>
    </row>
    <row r="10">
      <c r="A10" s="12" t="inlineStr">
        <is>
          <t>Man-days: Frontend</t>
        </is>
      </c>
      <c r="B10" s="23">
        <f>SUM('CR Effort'!N5:N6)</f>
        <v/>
      </c>
    </row>
    <row r="11">
      <c r="A11" s="12" t="inlineStr">
        <is>
          <t>Man-days: Testing</t>
        </is>
      </c>
      <c r="B11" s="23">
        <f>SUM('CR Effort'!O5:O6)</f>
        <v/>
      </c>
    </row>
    <row r="12">
      <c r="A12" s="12" t="inlineStr">
        <is>
          <t>Man-days: Documentation / UAT support</t>
        </is>
      </c>
      <c r="B12" s="23">
        <f>SUM('CR Effort'!P5:P6)</f>
        <v/>
      </c>
    </row>
    <row r="13">
      <c r="A13" s="12" t="inlineStr">
        <is>
          <t>Total change request man-days</t>
        </is>
      </c>
      <c r="B13" s="23">
        <f>SUM('CR Effort'!Q5:Q6)</f>
        <v/>
      </c>
    </row>
    <row r="14">
      <c r="A14" s="12" t="inlineStr">
        <is>
          <t>Range low (-20%)</t>
        </is>
      </c>
      <c r="B14" s="23">
        <f>SUM('CR Effort'!R5:R6)</f>
        <v/>
      </c>
    </row>
    <row r="15">
      <c r="A15" s="12" t="inlineStr">
        <is>
          <t>Range high (+20%)</t>
        </is>
      </c>
      <c r="B15" s="23">
        <f>SUM('CR Effort'!S5:S6)</f>
        <v/>
      </c>
    </row>
    <row r="16">
      <c r="A16" s="12" t="inlineStr">
        <is>
          <t>Cost in PHP at the day rate of the Assumptions sheet</t>
        </is>
      </c>
      <c r="B16" s="22">
        <f>SUM('CR Effort'!T5:T6)</f>
        <v/>
      </c>
    </row>
    <row r="17">
      <c r="A17" s="12" t="inlineStr">
        <is>
          <t>Items covered by the Integration or Data Migration scope (no CR cost)</t>
        </is>
      </c>
      <c r="B17" s="22" t="n">
        <v>29</v>
      </c>
    </row>
    <row r="18">
      <c r="A18" s="12" t="inlineStr">
        <is>
          <t>Best-practice recommendations (blue; indicative, not in the CR total)</t>
        </is>
      </c>
      <c r="B18" s="12" t="n">
        <v>3</v>
      </c>
    </row>
    <row r="19">
      <c r="A19" s="12" t="inlineStr">
        <is>
          <t>Best-practice indicative man-days (not in the CR total)</t>
        </is>
      </c>
      <c r="B19" s="23" t="n">
        <v>15</v>
      </c>
    </row>
  </sheetData>
  <autoFilter ref="A4:B19"/>
  <mergeCells count="1">
    <mergeCell ref="A2:B2"/>
  </mergeCells>
  <conditionalFormatting sqref="A5:B51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&amp;K004EA8Change Request Effort Estimate&amp;C&amp;8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X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22" customWidth="1" min="3" max="3"/>
    <col width="15" customWidth="1" min="4" max="4"/>
    <col width="16" customWidth="1" min="5" max="5"/>
    <col width="26" customWidth="1" min="6" max="6"/>
    <col width="38" customWidth="1" min="7" max="7"/>
    <col width="34" customWidth="1" min="8" max="8"/>
    <col width="34" customWidth="1" min="9" max="9"/>
    <col width="34" customWidth="1" min="10" max="10"/>
    <col width="28" customWidth="1" min="11" max="11"/>
    <col width="10" customWidth="1" min="12" max="12"/>
    <col width="10" customWidth="1" min="13" max="13"/>
    <col width="10" customWidth="1" min="14" max="14"/>
    <col width="10" customWidth="1" min="15" max="15"/>
    <col width="10" customWidth="1" min="16" max="16"/>
    <col width="10" customWidth="1" min="17" max="17"/>
    <col width="9" customWidth="1" min="18" max="18"/>
    <col width="9" customWidth="1" min="19" max="19"/>
    <col width="13" customWidth="1" min="20" max="20"/>
    <col width="11" customWidth="1" min="21" max="21"/>
    <col width="10" customWidth="1" min="22" max="22"/>
    <col width="26" customWidth="1" min="23" max="23"/>
    <col width="34" customWidth="1" min="24" max="24"/>
  </cols>
  <sheetData>
    <row r="1" ht="24" customHeight="1">
      <c r="A1" s="16" t="inlineStr">
        <is>
          <t>CR Effort</t>
        </is>
      </c>
    </row>
    <row r="2">
      <c r="A2" s="19" t="inlineStr">
        <is>
          <t>One row per orange point of the FRS v3.3 (Appendix W.2), effort in man-days</t>
        </is>
      </c>
    </row>
    <row r="3" ht="6" customHeight="1">
      <c r="A3" s="20" t="n"/>
      <c r="B3" s="20" t="n"/>
      <c r="C3" s="20" t="n"/>
      <c r="D3" s="20" t="n"/>
      <c r="E3" s="20" t="n"/>
      <c r="F3" s="20" t="n"/>
      <c r="G3" s="20" t="n"/>
      <c r="H3" s="20" t="n"/>
      <c r="I3" s="20" t="n"/>
      <c r="J3" s="20" t="n"/>
      <c r="K3" s="20" t="n"/>
      <c r="L3" s="20" t="n"/>
      <c r="M3" s="20" t="n"/>
      <c r="N3" s="20" t="n"/>
      <c r="O3" s="20" t="n"/>
      <c r="P3" s="20" t="n"/>
      <c r="Q3" s="20" t="n"/>
      <c r="R3" s="20" t="n"/>
      <c r="S3" s="20" t="n"/>
      <c r="T3" s="20" t="n"/>
      <c r="U3" s="20" t="n"/>
      <c r="V3" s="20" t="n"/>
      <c r="W3" s="20" t="n"/>
      <c r="X3" s="20" t="n"/>
    </row>
    <row r="4" ht="30" customHeight="1">
      <c r="A4" s="21" t="inlineStr">
        <is>
          <t>CR No.</t>
        </is>
      </c>
      <c r="B4" s="21" t="inlineStr">
        <is>
          <t>Title</t>
        </is>
      </c>
      <c r="C4" s="21" t="inlineStr">
        <is>
          <t>FRS reference</t>
        </is>
      </c>
      <c r="D4" s="21" t="inlineStr">
        <is>
          <t>BRD reference</t>
        </is>
      </c>
      <c r="E4" s="21" t="inlineStr">
        <is>
          <t>BRD relation</t>
        </is>
      </c>
      <c r="F4" s="21" t="inlineStr">
        <is>
          <t>Where the point comes from</t>
        </is>
      </c>
      <c r="G4" s="21" t="inlineStr">
        <is>
          <t>Why needed</t>
        </is>
      </c>
      <c r="H4" s="21" t="inlineStr">
        <is>
          <t>Feature List ID / OOTB status</t>
        </is>
      </c>
      <c r="I4" s="21" t="inlineStr">
        <is>
          <t>OOTB evidence</t>
        </is>
      </c>
      <c r="J4" s="21" t="inlineStr">
        <is>
          <t>Effort covers</t>
        </is>
      </c>
      <c r="K4" s="21" t="inlineStr">
        <is>
          <t>Estimate basis</t>
        </is>
      </c>
      <c r="L4" s="21" t="inlineStr">
        <is>
          <t>Analysis &amp; design (md)</t>
        </is>
      </c>
      <c r="M4" s="21" t="inlineStr">
        <is>
          <t>Backend (md)</t>
        </is>
      </c>
      <c r="N4" s="21" t="inlineStr">
        <is>
          <t>Frontend (md)</t>
        </is>
      </c>
      <c r="O4" s="21" t="inlineStr">
        <is>
          <t>Testing (md)</t>
        </is>
      </c>
      <c r="P4" s="21" t="inlineStr">
        <is>
          <t>Documentation / UAT support (md)</t>
        </is>
      </c>
      <c r="Q4" s="21" t="inlineStr">
        <is>
          <t>Total (md)</t>
        </is>
      </c>
      <c r="R4" s="21" t="inlineStr">
        <is>
          <t>Low (-20%)</t>
        </is>
      </c>
      <c r="S4" s="21" t="inlineStr">
        <is>
          <t>High (+20%)</t>
        </is>
      </c>
      <c r="T4" s="21" t="inlineStr">
        <is>
          <t>Cost (PHP)</t>
        </is>
      </c>
      <c r="U4" s="21" t="inlineStr">
        <is>
          <t>Complexity</t>
        </is>
      </c>
      <c r="V4" s="21" t="inlineStr">
        <is>
          <t>Priority</t>
        </is>
      </c>
      <c r="W4" s="21" t="inlineStr">
        <is>
          <t>Dependencies</t>
        </is>
      </c>
      <c r="X4" s="21" t="inlineStr">
        <is>
          <t>Assumptions</t>
        </is>
      </c>
    </row>
    <row r="5">
      <c r="A5" s="12" t="inlineStr">
        <is>
          <t>CR-CSH-101</t>
        </is>
      </c>
      <c r="B5" s="12" t="inlineStr">
        <is>
          <t>Time rules of the Cashiering stages: overdue marker and reminder</t>
        </is>
      </c>
      <c r="C5" s="12" t="inlineStr">
        <is>
          <t>Appendix J (time rules); FRS.CSH.02.05, FRS.CSH.03.01, FRS.CSH.04.01, FRS.CSH.06.02</t>
        </is>
      </c>
      <c r="D5" s="12" t="inlineStr">
        <is>
          <t>Not in BRD</t>
        </is>
      </c>
      <c r="E5" s="12" t="inlineStr">
        <is>
          <t>Not in any BRD</t>
        </is>
      </c>
      <c r="F5" s="12" t="inlineStr">
        <is>
          <t>FRS v3.2 Appendix J (times proposed by iorta TechNXT; the BRD and BDOI's FRS set no time)</t>
        </is>
      </c>
      <c r="G5" s="12" t="inlineStr">
        <is>
          <t>Records waiting for posting or approval are visible on the dashboard but nothing marks them late; a time rule per stage with a marker and a reminder keeps receipts issued the same day.</t>
        </is>
      </c>
      <c r="H5" s="12" t="inlineStr">
        <is>
          <t>WFL-007 Partial (deadlines and escalation for claims, complaints, leads and collections; no general turnaround engine)</t>
        </is>
      </c>
      <c r="I5" s="12" t="inlineStr">
        <is>
          <t>not found for receipts: deadlines exist for claims, leads and collections only</t>
        </is>
      </c>
      <c r="J5" s="12" t="inlineStr">
        <is>
          <t>Partial in BrokerVerse OOTB; the effort covers the missing part only: time rules, overdue marker and reminder for the Cashiering stages.</t>
        </is>
      </c>
      <c r="K5" s="12" t="inlineStr">
        <is>
          <t>Turnaround parts of the platform reused; Cashiering decision services and dashboard counts extended.</t>
        </is>
      </c>
      <c r="L5" s="24" t="n">
        <v>1</v>
      </c>
      <c r="M5" s="24" t="n">
        <v>2.5</v>
      </c>
      <c r="N5" s="24" t="n">
        <v>1</v>
      </c>
      <c r="O5" s="24" t="n">
        <v>1.5</v>
      </c>
      <c r="P5" s="24" t="n">
        <v>0.5</v>
      </c>
      <c r="Q5" s="24">
        <f>SUM(L5:P5)</f>
        <v/>
      </c>
      <c r="R5" s="24">
        <f>ROUND(Q5*(1-Assumptions!$B$6),1)</f>
        <v/>
      </c>
      <c r="S5" s="24">
        <f>ROUND(Q5*(1+Assumptions!$B$6),1)</f>
        <v/>
      </c>
      <c r="T5" s="25">
        <f>Q5*Assumptions!$B$7</f>
        <v/>
      </c>
      <c r="U5" s="12" t="inlineStr">
        <is>
          <t>Medium</t>
        </is>
      </c>
      <c r="V5" s="12" t="inlineStr">
        <is>
          <t>Medium</t>
        </is>
      </c>
      <c r="W5" s="12" t="inlineStr">
        <is>
          <t>BDOI to confirm the times (Appendix R, Appendix S)</t>
        </is>
      </c>
      <c r="X5" s="12" t="inlineStr">
        <is>
          <t>Four stages (posting, cancellation / reinstatement posting, disposition, approval); times as parameters; one reminder to the poster or approver; no escalation.</t>
        </is>
      </c>
    </row>
    <row r="6">
      <c r="A6" s="12" t="inlineStr">
        <is>
          <t>CR-CSH-102</t>
        </is>
      </c>
      <c r="B6" s="12" t="inlineStr">
        <is>
          <t>Each user chooses an e-mail copy of the Cashiering notices</t>
        </is>
      </c>
      <c r="C6" s="12" t="inlineStr">
        <is>
          <t>Appendix G (channel of each notice)</t>
        </is>
      </c>
      <c r="D6" s="12" t="inlineStr">
        <is>
          <t>Not in BRD</t>
        </is>
      </c>
      <c r="E6" s="12" t="inlineStr">
        <is>
          <t>Not in any BRD</t>
        </is>
      </c>
      <c r="F6" s="12" t="inlineStr">
        <is>
          <t>FRS v3.2 Appendix G (proposed, Appendix R)</t>
        </is>
      </c>
      <c r="G6" s="12" t="inlineStr">
        <is>
          <t>Team Leaders who post from branches want the notices also by e-mail; the choice per user and per notice avoids e-mail floods.</t>
        </is>
      </c>
      <c r="H6" s="12" t="inlineStr">
        <is>
          <t>WFL-011 Available (e-mail notifications from templates); WFL-012 Partial. Disagreement: the Feature List says Available, the OOTB code has no per-user e-mail choice</t>
        </is>
      </c>
      <c r="I6" s="12" t="inlineStr">
        <is>
          <t>Notifications: in-app notices; no per-user choice of an e-mail copy</t>
        </is>
      </c>
      <c r="J6" s="12" t="inlineStr">
        <is>
          <t>Partial in BrokerVerse OOTB; the effort is that of the missing part (per-user, per-notice e-mail choice).</t>
        </is>
      </c>
      <c r="K6" s="12" t="inlineStr">
        <is>
          <t>Notification service of the platform; one settings screen.</t>
        </is>
      </c>
      <c r="L6" s="24" t="n">
        <v>0.5</v>
      </c>
      <c r="M6" s="24" t="n">
        <v>1</v>
      </c>
      <c r="N6" s="24" t="n">
        <v>1</v>
      </c>
      <c r="O6" s="24" t="n">
        <v>0.5</v>
      </c>
      <c r="P6" s="24" t="n">
        <v>0.5</v>
      </c>
      <c r="Q6" s="24">
        <f>SUM(L6:P6)</f>
        <v/>
      </c>
      <c r="R6" s="24">
        <f>ROUND(Q6*(1-Assumptions!$B$6),1)</f>
        <v/>
      </c>
      <c r="S6" s="24">
        <f>ROUND(Q6*(1+Assumptions!$B$6),1)</f>
        <v/>
      </c>
      <c r="T6" s="25">
        <f>Q6*Assumptions!$B$7</f>
        <v/>
      </c>
      <c r="U6" s="12" t="inlineStr">
        <is>
          <t>Low</t>
        </is>
      </c>
      <c r="V6" s="12" t="inlineStr">
        <is>
          <t>Low</t>
        </is>
      </c>
      <c r="W6" s="12" t="inlineStr">
        <is>
          <t>E-mail channel of BDOI</t>
        </is>
      </c>
      <c r="X6" s="12" t="inlineStr">
        <is>
          <t>Choice per user and per notice type; default in-app only.</t>
        </is>
      </c>
    </row>
    <row r="7">
      <c r="A7" s="12" t="inlineStr">
        <is>
          <t>Total</t>
        </is>
      </c>
      <c r="B7" s="12" t="inlineStr">
        <is>
          <t>2 change requests</t>
        </is>
      </c>
      <c r="C7" s="12" t="n"/>
      <c r="D7" s="12" t="n"/>
      <c r="E7" s="12" t="n"/>
      <c r="F7" s="12" t="n"/>
      <c r="G7" s="12" t="n"/>
      <c r="H7" s="12" t="n"/>
      <c r="I7" s="12" t="n"/>
      <c r="J7" s="12" t="n"/>
      <c r="K7" s="12" t="n"/>
      <c r="L7" s="24">
        <f>SUM(L5:L6)</f>
        <v/>
      </c>
      <c r="M7" s="24">
        <f>SUM(M5:M6)</f>
        <v/>
      </c>
      <c r="N7" s="24">
        <f>SUM(N5:N6)</f>
        <v/>
      </c>
      <c r="O7" s="24">
        <f>SUM(O5:O6)</f>
        <v/>
      </c>
      <c r="P7" s="24">
        <f>SUM(P5:P6)</f>
        <v/>
      </c>
      <c r="Q7" s="24">
        <f>SUM(Q5:Q6)</f>
        <v/>
      </c>
      <c r="R7" s="24">
        <f>SUM(R5:R6)</f>
        <v/>
      </c>
      <c r="S7" s="24">
        <f>SUM(S5:S6)</f>
        <v/>
      </c>
      <c r="T7" s="25">
        <f>SUM(T5:T6)</f>
        <v/>
      </c>
      <c r="U7" s="12" t="n"/>
      <c r="V7" s="12" t="n"/>
      <c r="W7" s="12" t="n"/>
      <c r="X7" s="12" t="n"/>
    </row>
  </sheetData>
  <autoFilter ref="A4:X7"/>
  <mergeCells count="1">
    <mergeCell ref="A2:X2"/>
  </mergeCells>
  <conditionalFormatting sqref="A5:X507">
    <cfRule type="expression" priority="1" dxfId="0">
      <formula>AND(MOD(ROW(),2)=0,$A5&lt;&gt;"")</formula>
    </cfRule>
  </conditionalFormatting>
  <dataValidations count="3">
    <dataValidation sqref="E5:E507" showDropDown="0" showInputMessage="0" showErrorMessage="1" allowBlank="1" errorTitle="BRD relation" error="Choose a value from the list (BRD relation)." type="list">
      <formula1>'Lists'!$A$2:$A$3</formula1>
    </dataValidation>
    <dataValidation sqref="U5:U507" showDropDown="0" showInputMessage="0" showErrorMessage="1" allowBlank="1" errorTitle="Complexity" error="Choose a value from the list (Complexity)." type="list">
      <formula1>'Lists'!$B$2:$B$4</formula1>
    </dataValidation>
    <dataValidation sqref="V5:V507" showDropDown="0" showInputMessage="0" showErrorMessage="1" allowBlank="1" errorTitle="Priority" error="Choose a value from the list (Priority)." type="list">
      <formula1>'Lists'!$C$2:$C$4</formula1>
    </dataValidation>
  </dataValidations>
  <printOptions horizontalCentered="1"/>
  <pageMargins left="0.4" right="0.4" top="0.6" bottom="0.6" header="0.5" footer="0.5"/>
  <pageSetup orientation="landscape" paperSize="1" fitToHeight="0" fitToWidth="1"/>
  <headerFooter>
    <oddHeader>&amp;L&amp;8 &amp;K004EA8Change Request Effort Estimate&amp;C&amp;8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44" customWidth="1" min="2" max="2"/>
    <col width="16" customWidth="1" min="3" max="3"/>
    <col width="34" customWidth="1" min="4" max="4"/>
    <col width="40" customWidth="1" min="5" max="5"/>
    <col width="12" customWidth="1" min="6" max="6"/>
    <col width="10" customWidth="1" min="7" max="7"/>
  </cols>
  <sheetData>
    <row r="1" ht="24" customHeight="1">
      <c r="A1" s="16" t="inlineStr">
        <is>
          <t>Beyond the BRD - OOTB</t>
        </is>
      </c>
    </row>
    <row r="2">
      <c r="A2" s="19" t="inlineStr">
        <is>
          <t>Points beyond the BRD that the iNXT BrokerVerse OOTB platform provides (green): no cost</t>
        </is>
      </c>
    </row>
    <row r="3" ht="6" customHeight="1">
      <c r="A3" s="20" t="n"/>
      <c r="B3" s="20" t="n"/>
      <c r="C3" s="20" t="n"/>
      <c r="D3" s="20" t="n"/>
      <c r="E3" s="20" t="n"/>
      <c r="F3" s="20" t="n"/>
      <c r="G3" s="20" t="n"/>
    </row>
    <row r="4" ht="30" customHeight="1">
      <c r="A4" s="21" t="inlineStr">
        <is>
          <t>No.</t>
        </is>
      </c>
      <c r="B4" s="21" t="inlineStr">
        <is>
          <t>Point</t>
        </is>
      </c>
      <c r="C4" s="21" t="inlineStr">
        <is>
          <t>FRS reference</t>
        </is>
      </c>
      <c r="D4" s="21" t="inlineStr">
        <is>
          <t>Feature List ID / OOTB status</t>
        </is>
      </c>
      <c r="E4" s="21" t="inlineStr">
        <is>
          <t>OOTB evidence</t>
        </is>
      </c>
      <c r="F4" s="21" t="inlineStr">
        <is>
          <t>BRD reference</t>
        </is>
      </c>
      <c r="G4" s="21" t="inlineStr">
        <is>
          <t>Cost (md)</t>
        </is>
      </c>
    </row>
    <row r="5">
      <c r="A5" s="12" t="inlineStr">
        <is>
          <t>G-01b</t>
        </is>
      </c>
      <c r="B5" s="12" t="inlineStr">
        <is>
          <t>Scheduled weekly run of the Unapplied Premium Payment Transaction report</t>
        </is>
      </c>
      <c r="C5" s="12" t="inlineStr">
        <is>
          <t>FRS.CSH.09.02.11; Appendix M</t>
        </is>
      </c>
      <c r="D5" s="12" t="inlineStr">
        <is>
          <t>RPT-007 Available (user-scheduled reports with recipients)</t>
        </is>
      </c>
      <c r="E5" s="12" t="inlineStr">
        <is>
          <t>Reports &gt; Schedules: timing, format and recipients</t>
        </is>
      </c>
      <c r="F5" s="12" t="inlineStr">
        <is>
          <t>Not in BRD</t>
        </is>
      </c>
      <c r="G5" s="22" t="n">
        <v>0</v>
      </c>
    </row>
  </sheetData>
  <autoFilter ref="A4:G5"/>
  <mergeCells count="1">
    <mergeCell ref="A2:G2"/>
  </mergeCells>
  <conditionalFormatting sqref="A5:G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&amp;K004EA8Change Request Effort Estimate&amp;C&amp;8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G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44" customWidth="1" min="2" max="2"/>
    <col width="16" customWidth="1" min="3" max="3"/>
    <col width="60" customWidth="1" min="4" max="4"/>
    <col width="34" customWidth="1" min="5" max="5"/>
    <col width="40" customWidth="1" min="6" max="6"/>
    <col width="10" customWidth="1" min="7" max="7"/>
  </cols>
  <sheetData>
    <row r="1" ht="24" customHeight="1">
      <c r="A1" s="16" t="inlineStr">
        <is>
          <t>BRD covered - OOTB</t>
        </is>
      </c>
    </row>
    <row r="2">
      <c r="A2" s="19" t="inlineStr">
        <is>
          <t>BRD requirements (black in the FRS, in scope) that the iNXT BrokerVerse OOTB platform provides: no change request, no effort</t>
        </is>
      </c>
    </row>
    <row r="3" ht="6" customHeight="1">
      <c r="A3" s="20" t="n"/>
      <c r="B3" s="20" t="n"/>
      <c r="C3" s="20" t="n"/>
      <c r="D3" s="20" t="n"/>
      <c r="E3" s="20" t="n"/>
      <c r="F3" s="20" t="n"/>
      <c r="G3" s="20" t="n"/>
    </row>
    <row r="4" ht="30" customHeight="1">
      <c r="A4" s="21" t="inlineStr">
        <is>
          <t>No.</t>
        </is>
      </c>
      <c r="B4" s="21" t="inlineStr">
        <is>
          <t>Point</t>
        </is>
      </c>
      <c r="C4" s="21" t="inlineStr">
        <is>
          <t>FRS reference</t>
        </is>
      </c>
      <c r="D4" s="21" t="inlineStr">
        <is>
          <t>BRD line</t>
        </is>
      </c>
      <c r="E4" s="21" t="inlineStr">
        <is>
          <t>Feature List ID / OOTB status</t>
        </is>
      </c>
      <c r="F4" s="21" t="inlineStr">
        <is>
          <t>OOTB evidence</t>
        </is>
      </c>
      <c r="G4" s="21" t="inlineStr">
        <is>
          <t>Effort (md)</t>
        </is>
      </c>
    </row>
    <row r="5">
      <c r="A5" s="12" t="inlineStr">
        <is>
          <t>G-01</t>
        </is>
      </c>
      <c r="B5" s="12" t="inlineStr">
        <is>
          <t>Scheduled daily run of the Daily Cash Reconciliation Reports</t>
        </is>
      </c>
      <c r="C5" s="12" t="inlineStr">
        <is>
          <t>FRS.CSH.09.02.10; Appendix M</t>
        </is>
      </c>
      <c r="D5" s="12" t="inlineStr">
        <is>
          <t>CSHID.023 "Capability to generate reports. See Cashiering Reports list under Annex"; Report List (Operations - Cashiering): "Daily Cash Reconciliation Reports - Summarizes daily cash receipts and deposits", frequency "Daily"</t>
        </is>
      </c>
      <c r="E5" s="12" t="inlineStr">
        <is>
          <t>RPT-007 Available (user-scheduled reports with recipients)</t>
        </is>
      </c>
      <c r="F5" s="12" t="inlineStr">
        <is>
          <t>Reports &gt; Schedules: timing, format and recipients</t>
        </is>
      </c>
      <c r="G5" s="23" t="n">
        <v>0</v>
      </c>
    </row>
  </sheetData>
  <autoFilter ref="A4:G5"/>
  <mergeCells count="1">
    <mergeCell ref="A2:G2"/>
  </mergeCells>
  <conditionalFormatting sqref="A5:G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&amp;K004EA8Change Request Effort Estimate&amp;C&amp;8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D3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20" customWidth="1" min="2" max="2"/>
    <col width="60" customWidth="1" min="3" max="3"/>
    <col width="22" customWidth="1" min="4" max="4"/>
  </cols>
  <sheetData>
    <row r="1" ht="24" customHeight="1">
      <c r="A1" s="16" t="inlineStr">
        <is>
          <t>Integration &amp; DM scope</t>
        </is>
      </c>
    </row>
    <row r="2">
      <c r="A2" s="19" t="inlineStr">
        <is>
          <t>Covered by the Integration scope or the Data Migration scope (BRD-13): no CR cost here</t>
        </is>
      </c>
    </row>
    <row r="3" ht="6" customHeight="1">
      <c r="A3" s="20" t="n"/>
      <c r="B3" s="20" t="n"/>
      <c r="C3" s="20" t="n"/>
      <c r="D3" s="20" t="n"/>
    </row>
    <row r="4" ht="30" customHeight="1">
      <c r="A4" s="21" t="inlineStr">
        <is>
          <t>Item</t>
        </is>
      </c>
      <c r="B4" s="21" t="inlineStr">
        <is>
          <t>Scope</t>
        </is>
      </c>
      <c r="C4" s="21" t="inlineStr">
        <is>
          <t>What</t>
        </is>
      </c>
      <c r="D4" s="21" t="inlineStr">
        <is>
          <t>Where in the FRS</t>
        </is>
      </c>
    </row>
    <row r="5">
      <c r="A5" s="12" t="inlineStr">
        <is>
          <t>OBPCS (Online Bills Payment Consolidation System)</t>
        </is>
      </c>
      <c r="B5" s="12" t="inlineStr">
        <is>
          <t>Integration scope</t>
        </is>
      </c>
      <c r="C5" s="12" t="inlineStr">
        <is>
          <t>Bills Payment file BDOIYYYYMMDD.txt with its header record (Appendix D.1)</t>
        </is>
      </c>
      <c r="D5" s="12" t="inlineStr">
        <is>
          <t>FRS Appendix N</t>
        </is>
      </c>
    </row>
    <row r="6">
      <c r="A6" s="12" t="inlineStr">
        <is>
          <t>PMS (PDC Management System)</t>
        </is>
      </c>
      <c r="B6" s="12" t="inlineStr">
        <is>
          <t>Integration scope</t>
        </is>
      </c>
      <c r="C6" s="12" t="inlineStr">
        <is>
          <t>Matured post-dated checks BDOIYYYYMMDDPMS.txt (Appendix D.2)</t>
        </is>
      </c>
      <c r="D6" s="12" t="inlineStr">
        <is>
          <t>FRS Appendix N</t>
        </is>
      </c>
    </row>
    <row r="7">
      <c r="A7" s="12" t="inlineStr">
        <is>
          <t>TFS / CIB (Trade)</t>
        </is>
      </c>
      <c r="B7" s="12" t="inlineStr">
        <is>
          <t>Integration scope</t>
        </is>
      </c>
      <c r="C7" s="12" t="inlineStr">
        <is>
          <t>Trade file UploadTrade_MM.DD.YYYY.txt (Appendix D.4)</t>
        </is>
      </c>
      <c r="D7" s="12" t="inlineStr">
        <is>
          <t>FRS Appendix N</t>
        </is>
      </c>
    </row>
    <row r="8">
      <c r="A8" s="12" t="inlineStr">
        <is>
          <t>Direct Credit (bank credit of payments)</t>
        </is>
      </c>
      <c r="B8" s="12" t="inlineStr">
        <is>
          <t>Integration scope</t>
        </is>
      </c>
      <c r="C8" s="12" t="inlineStr">
        <is>
          <t>Direct Credit file OTCYYYYMMDD-&lt;branch&gt;.txt (Appendix D.5) identifying the payments of a Bills Payment file (setting, Appendix H.8)</t>
        </is>
      </c>
      <c r="D8" s="12" t="inlineStr">
        <is>
          <t>FRS Appendix N</t>
        </is>
      </c>
    </row>
    <row r="9">
      <c r="A9" s="12" t="inlineStr">
        <is>
          <t>CLPC (Consumer Lending Processing Center)</t>
        </is>
      </c>
      <c r="B9" s="12" t="inlineStr">
        <is>
          <t>Integration scope</t>
        </is>
      </c>
      <c r="C9" s="12" t="inlineStr">
        <is>
          <t>CLPC file CLPC-MonDDYYYY.xlsx with its TOTAL row (Appendix D.3)</t>
        </is>
      </c>
      <c r="D9" s="12" t="inlineStr">
        <is>
          <t>FRS Appendix N</t>
        </is>
      </c>
    </row>
    <row r="10">
      <c r="A10" s="12" t="inlineStr">
        <is>
          <t>Insurers (Commission Schedule)</t>
        </is>
      </c>
      <c r="B10" s="12" t="inlineStr">
        <is>
          <t>Integration scope</t>
        </is>
      </c>
      <c r="C10" s="12" t="inlineStr">
        <is>
          <t>Commission Schedule of the commission paid by an insurer, matched to the commission receivable of each account</t>
        </is>
      </c>
      <c r="D10" s="12" t="inlineStr">
        <is>
          <t>FRS Appendix N</t>
        </is>
      </c>
    </row>
    <row r="11">
      <c r="A11" s="12" t="inlineStr">
        <is>
          <t>Test files of the payment channels (SIT and UAT)</t>
        </is>
      </c>
      <c r="B11" s="12" t="inlineStr">
        <is>
          <t>Integration scope</t>
        </is>
      </c>
      <c r="C11" s="12" t="inlineStr">
        <is>
          <t>Payment files of every type in BDOI's layouts for booked accounts, one account not yet booked and one unknown reference, dropped in the MFT folders or handed for upload</t>
        </is>
      </c>
      <c r="D11" s="12" t="inlineStr">
        <is>
          <t>FRS Appendix N</t>
        </is>
      </c>
    </row>
    <row r="12">
      <c r="A12" s="12" t="inlineStr">
        <is>
          <t>BIBS New Business</t>
        </is>
      </c>
      <c r="B12" s="12" t="inlineStr">
        <is>
          <t>Integration scope</t>
        </is>
      </c>
      <c r="C12" s="12" t="inlineStr">
        <is>
          <t>Booked accounts with their components (in); payment confirmation of each account (out)</t>
        </is>
      </c>
      <c r="D12" s="12" t="inlineStr">
        <is>
          <t>FRS Appendix N</t>
        </is>
      </c>
    </row>
    <row r="13">
      <c r="A13" s="12" t="inlineStr">
        <is>
          <t>BIBS Collections</t>
        </is>
      </c>
      <c r="B13" s="12" t="inlineStr">
        <is>
          <t>Integration scope</t>
        </is>
      </c>
      <c r="C13" s="12" t="inlineStr">
        <is>
          <t>Collector requests on unapplied payments; commission payment details; their result</t>
        </is>
      </c>
      <c r="D13" s="12" t="inlineStr">
        <is>
          <t>FRS Appendix N</t>
        </is>
      </c>
    </row>
    <row r="14">
      <c r="A14" s="12" t="inlineStr">
        <is>
          <t>BIBS Disbursement</t>
        </is>
      </c>
      <c r="B14" s="12" t="inlineStr">
        <is>
          <t>Integration scope</t>
        </is>
      </c>
      <c r="C14" s="12" t="inlineStr">
        <is>
          <t>Refund requests (out); their status and the approved insurer settlements that trigger the automatic OR (in)</t>
        </is>
      </c>
      <c r="D14" s="12" t="inlineStr">
        <is>
          <t>FRS Appendix N</t>
        </is>
      </c>
    </row>
    <row r="15">
      <c r="A15" s="12" t="inlineStr">
        <is>
          <t>BIBS Remittance</t>
        </is>
      </c>
      <c r="B15" s="12" t="inlineStr">
        <is>
          <t>Integration scope</t>
        </is>
      </c>
      <c r="C15" s="12" t="inlineStr">
        <is>
          <t>Paid and applied premium of each account (out); remittance status (in)</t>
        </is>
      </c>
      <c r="D15" s="12" t="inlineStr">
        <is>
          <t>FRS Appendix N</t>
        </is>
      </c>
    </row>
    <row r="16">
      <c r="A16" s="12" t="inlineStr">
        <is>
          <t>BIBS Accounting</t>
        </is>
      </c>
      <c r="B16" s="12" t="inlineStr">
        <is>
          <t>Integration scope</t>
        </is>
      </c>
      <c r="C16" s="12" t="inlineStr">
        <is>
          <t>The journal of every posting (out); the exchange rates and the accounts of the entries (in)</t>
        </is>
      </c>
      <c r="D16" s="12" t="inlineStr">
        <is>
          <t>FRS Appendix N</t>
        </is>
      </c>
    </row>
    <row r="17">
      <c r="A17" s="12" t="inlineStr">
        <is>
          <t>Marketing Collection / Commission Receivable</t>
        </is>
      </c>
      <c r="B17" s="12" t="inlineStr">
        <is>
          <t>Integration scope</t>
        </is>
      </c>
      <c r="C17" s="12" t="inlineStr">
        <is>
          <t>Unapplied records of their units; AP Unapplied Commission; PR 2307 kept outstanding</t>
        </is>
      </c>
      <c r="D17" s="12" t="inlineStr">
        <is>
          <t>FRS Appendix N</t>
        </is>
      </c>
    </row>
    <row r="18">
      <c r="A18" s="12" t="inlineStr">
        <is>
          <t>BRD-13 Data Migration</t>
        </is>
      </c>
      <c r="B18" s="12" t="inlineStr">
        <is>
          <t>Integration scope</t>
        </is>
      </c>
      <c r="C18" s="12" t="inlineStr">
        <is>
          <t>Open accounts with legacy numbers, unapplied payments, post-dated checks, receipt series in use (Appendix P)</t>
        </is>
      </c>
      <c r="D18" s="12" t="inlineStr">
        <is>
          <t>FRS Appendix N</t>
        </is>
      </c>
    </row>
    <row r="19">
      <c r="A19" s="12" t="inlineStr">
        <is>
          <t>Receipt series in use (branch, kind, prefix, range, ATP, next number)</t>
        </is>
      </c>
      <c r="B19" s="12" t="inlineStr">
        <is>
          <t>Data Migration scope</t>
        </is>
      </c>
      <c r="C19" s="12" t="inlineStr">
        <is>
          <t>Current receipts of each branch</t>
        </is>
      </c>
      <c r="D19" s="12" t="inlineStr">
        <is>
          <t>FRS Appendix P</t>
        </is>
      </c>
    </row>
    <row r="20">
      <c r="A20" s="12" t="inlineStr">
        <is>
          <t>Company bank accounts (Post to Bank Account list)</t>
        </is>
      </c>
      <c r="B20" s="12" t="inlineStr">
        <is>
          <t>Data Migration scope</t>
        </is>
      </c>
      <c r="C20" s="12" t="inlineStr">
        <is>
          <t>Treasury</t>
        </is>
      </c>
      <c r="D20" s="12" t="inlineStr">
        <is>
          <t>FRS Appendix P</t>
        </is>
      </c>
    </row>
    <row r="21">
      <c r="A21" s="12" t="inlineStr">
        <is>
          <t>Branches and branch indicators</t>
        </is>
      </c>
      <c r="B21" s="12" t="inlineStr">
        <is>
          <t>Data Migration scope</t>
        </is>
      </c>
      <c r="C21" s="12" t="inlineStr">
        <is>
          <t>Organisation</t>
        </is>
      </c>
      <c r="D21" s="12" t="inlineStr">
        <is>
          <t>FRS Appendix P</t>
        </is>
      </c>
    </row>
    <row r="22">
      <c r="A22" s="12" t="inlineStr">
        <is>
          <t>Exchange rates and their source</t>
        </is>
      </c>
      <c r="B22" s="12" t="inlineStr">
        <is>
          <t>Data Migration scope</t>
        </is>
      </c>
      <c r="C22" s="12" t="inlineStr">
        <is>
          <t>Comptrollership rate table</t>
        </is>
      </c>
      <c r="D22" s="12" t="inlineStr">
        <is>
          <t>FRS Appendix P</t>
        </is>
      </c>
    </row>
    <row r="23">
      <c r="A23" s="12" t="inlineStr">
        <is>
          <t>Holiday calendar</t>
        </is>
      </c>
      <c r="B23" s="12" t="inlineStr">
        <is>
          <t>Data Migration scope</t>
        </is>
      </c>
      <c r="C23" s="12" t="inlineStr">
        <is>
          <t>Organisation</t>
        </is>
      </c>
      <c r="D23" s="12" t="inlineStr">
        <is>
          <t>FRS Appendix P</t>
        </is>
      </c>
    </row>
    <row r="24">
      <c r="A24" s="12" t="inlineStr">
        <is>
          <t>Accounting rules of the Cashiering events</t>
        </is>
      </c>
      <c r="B24" s="12" t="inlineStr">
        <is>
          <t>Data Migration scope</t>
        </is>
      </c>
      <c r="C24" s="12" t="inlineStr">
        <is>
          <t>Comptrollership</t>
        </is>
      </c>
      <c r="D24" s="12" t="inlineStr">
        <is>
          <t>FRS Appendix P</t>
        </is>
      </c>
    </row>
    <row r="25">
      <c r="A25" s="12" t="inlineStr">
        <is>
          <t>Insurers with their banking list and TIN</t>
        </is>
      </c>
      <c r="B25" s="12" t="inlineStr">
        <is>
          <t>Data Migration scope</t>
        </is>
      </c>
      <c r="C25" s="12" t="inlineStr">
        <is>
          <t>Legacy insurer master</t>
        </is>
      </c>
      <c r="D25" s="12" t="inlineStr">
        <is>
          <t>FRS Appendix P</t>
        </is>
      </c>
    </row>
    <row r="26">
      <c r="A26" s="12" t="inlineStr">
        <is>
          <t>Clients with the BIR 2307 tag</t>
        </is>
      </c>
      <c r="B26" s="12" t="inlineStr">
        <is>
          <t>Data Migration scope</t>
        </is>
      </c>
      <c r="C26" s="12" t="inlineStr">
        <is>
          <t>Legacy client master</t>
        </is>
      </c>
      <c r="D26" s="12" t="inlineStr">
        <is>
          <t>FRS Appendix P</t>
        </is>
      </c>
    </row>
    <row r="27">
      <c r="A27" s="12" t="inlineStr">
        <is>
          <t>Users and roles of Cashiering</t>
        </is>
      </c>
      <c r="B27" s="12" t="inlineStr">
        <is>
          <t>Data Migration scope</t>
        </is>
      </c>
      <c r="C27" s="12" t="inlineStr">
        <is>
          <t>Business units</t>
        </is>
      </c>
      <c r="D27" s="12" t="inlineStr">
        <is>
          <t>FRS Appendix P</t>
        </is>
      </c>
    </row>
    <row r="28">
      <c r="A28" s="12" t="inlineStr">
        <is>
          <t>Lists of values (reasons, OR types, disposition types, payment file types)</t>
        </is>
      </c>
      <c r="B28" s="12" t="inlineStr">
        <is>
          <t>Data Migration scope</t>
        </is>
      </c>
      <c r="C28" s="12" t="inlineStr">
        <is>
          <t>This FRS (Appendix H)</t>
        </is>
      </c>
      <c r="D28" s="12" t="inlineStr">
        <is>
          <t>FRS Appendix P</t>
        </is>
      </c>
    </row>
    <row r="29">
      <c r="A29" s="12" t="inlineStr">
        <is>
          <t>Open accounts with outstanding premium and the legacy numbers (QPS, ISYS, Ebix, PN, Loan Application Number)</t>
        </is>
      </c>
      <c r="B29" s="12" t="inlineStr">
        <is>
          <t>Data Migration scope</t>
        </is>
      </c>
      <c r="C29" s="12" t="inlineStr">
        <is>
          <t>Legacy systems</t>
        </is>
      </c>
      <c r="D29" s="12" t="inlineStr">
        <is>
          <t>FRS Appendix P</t>
        </is>
      </c>
    </row>
    <row r="30">
      <c r="A30" s="12" t="inlineStr">
        <is>
          <t>Open unapplied payments (excess, unbooked, pre-booked) with their source</t>
        </is>
      </c>
      <c r="B30" s="12" t="inlineStr">
        <is>
          <t>Data Migration scope</t>
        </is>
      </c>
      <c r="C30" s="12" t="inlineStr">
        <is>
          <t>Legacy systems</t>
        </is>
      </c>
      <c r="D30" s="12" t="inlineStr">
        <is>
          <t>FRS Appendix P</t>
        </is>
      </c>
    </row>
    <row r="31">
      <c r="A31" s="12" t="inlineStr">
        <is>
          <t>Post-dated checks in the warehouse at cut-over</t>
        </is>
      </c>
      <c r="B31" s="12" t="inlineStr">
        <is>
          <t>Data Migration scope</t>
        </is>
      </c>
      <c r="C31" s="12" t="inlineStr">
        <is>
          <t>PMS and the vault</t>
        </is>
      </c>
      <c r="D31" s="12" t="inlineStr">
        <is>
          <t>FRS Appendix P</t>
        </is>
      </c>
    </row>
    <row r="32">
      <c r="A32" s="12" t="inlineStr">
        <is>
          <t>Payment file layouts of the channels</t>
        </is>
      </c>
      <c r="B32" s="12" t="inlineStr">
        <is>
          <t>Data Migration scope</t>
        </is>
      </c>
      <c r="C32" s="12" t="inlineStr">
        <is>
          <t>OBPCS, PMS, TFS, banks</t>
        </is>
      </c>
      <c r="D32" s="12" t="inlineStr">
        <is>
          <t>FRS Appendix P</t>
        </is>
      </c>
    </row>
    <row r="33">
      <c r="A33" s="12" t="inlineStr">
        <is>
          <t>AR and OR templates</t>
        </is>
      </c>
      <c r="B33" s="12" t="inlineStr">
        <is>
          <t>Data Migration scope</t>
        </is>
      </c>
      <c r="C33" s="12" t="inlineStr">
        <is>
          <t>BDOI forms (Appendix A)</t>
        </is>
      </c>
      <c r="D33" s="12" t="inlineStr">
        <is>
          <t>FRS Appendix P</t>
        </is>
      </c>
    </row>
  </sheetData>
  <autoFilter ref="A4:D33"/>
  <mergeCells count="1">
    <mergeCell ref="A2:D2"/>
  </mergeCells>
  <conditionalFormatting sqref="A5:D533">
    <cfRule type="expression" priority="1" dxfId="0">
      <formula>AND(MOD(ROW(),2)=0,$A5&lt;&gt;"")</formula>
    </cfRule>
  </conditionalFormatting>
  <dataValidations count="1">
    <dataValidation sqref="B5:B533" showDropDown="0" showInputMessage="0" showErrorMessage="1" allowBlank="1" errorTitle="Scope" error="Choose a value from the list (Scope)." type="list">
      <formula1>'Lists'!$D$2:$D$3</formula1>
    </dataValidation>
  </dataValidations>
  <printOptions horizontalCentered="1"/>
  <pageMargins left="0.4" right="0.4" top="0.6" bottom="0.6" header="0.5" footer="0.5"/>
  <pageSetup orientation="landscape" paperSize="1" fitToHeight="0" fitToWidth="1"/>
  <headerFooter>
    <oddHeader>&amp;L&amp;8 &amp;K004EA8Change Request Effort Estimate&amp;C&amp;8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60" customWidth="1" min="2" max="2"/>
    <col width="60" customWidth="1" min="3" max="3"/>
    <col width="12" customWidth="1" min="4" max="4"/>
    <col width="12" customWidth="1" min="5" max="5"/>
  </cols>
  <sheetData>
    <row r="1" ht="24" customHeight="1">
      <c r="A1" s="16" t="inlineStr">
        <is>
          <t>Best practice (blue)</t>
        </is>
      </c>
    </row>
    <row r="2">
      <c r="A2" s="19" t="inlineStr">
        <is>
          <t>Not in the BRD, the FRS or the OOTB platform: recommendations (Appendix W.6), not commitments</t>
        </is>
      </c>
    </row>
    <row r="3" ht="6" customHeight="1">
      <c r="A3" s="20" t="n"/>
      <c r="B3" s="20" t="n"/>
      <c r="C3" s="20" t="n"/>
      <c r="D3" s="20" t="n"/>
      <c r="E3" s="20" t="n"/>
    </row>
    <row r="4" ht="30" customHeight="1">
      <c r="A4" s="21" t="inlineStr">
        <is>
          <t>ID</t>
        </is>
      </c>
      <c r="B4" s="21" t="inlineStr">
        <is>
          <t>Practice</t>
        </is>
      </c>
      <c r="C4" s="21" t="inlineStr">
        <is>
          <t>Why it matters for a broker</t>
        </is>
      </c>
      <c r="D4" s="21" t="inlineStr">
        <is>
          <t>Suggested priority</t>
        </is>
      </c>
      <c r="E4" s="21" t="inlineStr">
        <is>
          <t>Indicative man-days</t>
        </is>
      </c>
    </row>
    <row r="5">
      <c r="A5" s="12" t="inlineStr">
        <is>
          <t>BP-CSH-01</t>
        </is>
      </c>
      <c r="B5" s="12" t="inlineStr">
        <is>
          <t>End-of-day cash count by denomination for each cashier, compared with the receipts of the day, with any variance explained and approved by the Team Leader</t>
        </is>
      </c>
      <c r="C5" s="12" t="inlineStr">
        <is>
          <t>Cash handling control expected by auditors; shortages and overages are found the same day</t>
        </is>
      </c>
      <c r="D5" s="12" t="inlineStr">
        <is>
          <t>High</t>
        </is>
      </c>
      <c r="E5" s="23" t="n">
        <v>6</v>
      </c>
    </row>
    <row r="6">
      <c r="A6" s="12" t="inlineStr">
        <is>
          <t>BP-CSH-02</t>
        </is>
      </c>
      <c r="B6" s="12" t="inlineStr">
        <is>
          <t>Cash acceptance limits per cashier and per payment, with a supervisor override recorded with its reason</t>
        </is>
      </c>
      <c r="C6" s="12" t="inlineStr">
        <is>
          <t>Limits the cash held at branches and supports AMLA vigilance on large cash payments</t>
        </is>
      </c>
      <c r="D6" s="12" t="inlineStr">
        <is>
          <t>Medium</t>
        </is>
      </c>
      <c r="E6" s="23" t="n">
        <v>4</v>
      </c>
    </row>
    <row r="7">
      <c r="A7" s="12" t="inlineStr">
        <is>
          <t>BP-CSH-03</t>
        </is>
      </c>
      <c r="B7" s="12" t="inlineStr">
        <is>
          <t>Dormant unapplied money: unapplied payments older than a set period are flagged for client contact and, after the legal period, reported under the Unclaimed Balances Law (Act No. 3936)</t>
        </is>
      </c>
      <c r="C7" s="12" t="inlineStr">
        <is>
          <t>Client money left unapplied must be returned or reported; the law sets the reporting duty for dormant balances</t>
        </is>
      </c>
      <c r="D7" s="12" t="inlineStr">
        <is>
          <t>Medium</t>
        </is>
      </c>
      <c r="E7" s="23" t="n">
        <v>5</v>
      </c>
    </row>
  </sheetData>
  <autoFilter ref="A4:E7"/>
  <mergeCells count="1">
    <mergeCell ref="A2:E2"/>
  </mergeCells>
  <conditionalFormatting sqref="A5:E507">
    <cfRule type="expression" priority="1" dxfId="0">
      <formula>AND(MOD(ROW(),2)=0,$A5&lt;&gt;"")</formula>
    </cfRule>
  </conditionalFormatting>
  <dataValidations count="1">
    <dataValidation sqref="D5:D507" showDropDown="0" showInputMessage="0" showErrorMessage="1" allowBlank="1" errorTitle="Suggested priority" error="Choose a value from the list (Suggested priority)." type="list">
      <formula1>'Lists'!$C$2:$C$4</formula1>
    </dataValidation>
  </dataValidations>
  <printOptions horizontalCentered="1"/>
  <pageMargins left="0.4" right="0.4" top="0.6" bottom="0.6" header="0.5" footer="0.5"/>
  <pageSetup orientation="landscape" paperSize="1" fitToHeight="0" fitToWidth="1"/>
  <headerFooter>
    <oddHeader>&amp;L&amp;8 &amp;K004EA8Change Request Effort Estimate&amp;C&amp;8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5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60" customWidth="1" min="2" max="2"/>
    <col width="16" customWidth="1" min="3" max="3"/>
    <col width="60" customWidth="1" min="4" max="4"/>
    <col width="12" customWidth="1" min="5" max="5"/>
  </cols>
  <sheetData>
    <row r="1" ht="24" customHeight="1">
      <c r="A1" s="16" t="inlineStr">
        <is>
          <t>BRD items to deliver</t>
        </is>
      </c>
    </row>
    <row r="2">
      <c r="A2" s="19" t="inlineStr">
        <is>
          <t>BRD requirements not fully met by the OOTB platform: in-scope delivery work for planning, not CRs</t>
        </is>
      </c>
    </row>
    <row r="3" ht="6" customHeight="1">
      <c r="A3" s="20" t="n"/>
      <c r="B3" s="20" t="n"/>
      <c r="C3" s="20" t="n"/>
      <c r="D3" s="20" t="n"/>
      <c r="E3" s="20" t="n"/>
    </row>
    <row r="4" ht="30" customHeight="1">
      <c r="A4" s="21" t="inlineStr">
        <is>
          <t>BRD ID</t>
        </is>
      </c>
      <c r="B4" s="21" t="inlineStr">
        <is>
          <t>BRD requirement</t>
        </is>
      </c>
      <c r="C4" s="21" t="inlineStr">
        <is>
          <t>Fit</t>
        </is>
      </c>
      <c r="D4" s="21" t="inlineStr">
        <is>
          <t>What iNXT BrokerVerse offers out of the box</t>
        </is>
      </c>
      <c r="E4" s="21" t="inlineStr">
        <is>
          <t>Planning man-days</t>
        </is>
      </c>
    </row>
    <row r="5">
      <c r="A5" s="12" t="inlineStr">
        <is>
          <t>BRQID.001</t>
        </is>
      </c>
      <c r="B5" s="12" t="inlineStr">
        <is>
          <t>Access and log-in to the system.</t>
        </is>
      </c>
      <c r="C5" s="12" t="inlineStr">
        <is>
          <t>Configure</t>
        </is>
      </c>
      <c r="D5" s="12" t="inlineStr">
        <is>
          <t>Sign-in, roles and permissions per action and segregation of duties are standard; the Cashiering permissions are given to the roles by configuration (Appendix H).</t>
        </is>
      </c>
      <c r="E5" s="12" t="n"/>
    </row>
    <row r="6">
      <c r="A6" s="12" t="inlineStr">
        <is>
          <t>BRQID.002</t>
        </is>
      </c>
      <c r="B6" s="12" t="inlineStr">
        <is>
          <t>Restrict access to authorized users so that only authorized personnel can access the system.</t>
        </is>
      </c>
      <c r="C6" s="12" t="inlineStr">
        <is>
          <t>Configure</t>
        </is>
      </c>
      <c r="D6" s="12" t="inlineStr">
        <is>
          <t>Sign-in, roles and permissions per action and segregation of duties are standard; the Cashiering permissions are given to the roles by configuration (Appendix H).</t>
        </is>
      </c>
      <c r="E6" s="12" t="n"/>
    </row>
    <row r="7">
      <c r="A7" s="12" t="inlineStr">
        <is>
          <t>BRQID.003</t>
        </is>
      </c>
      <c r="B7" s="12" t="inlineStr">
        <is>
          <t>Upon successful login, the system must immediately present the User with access to the Operations functionality, displayed prominently on the dashboard. The User must be able to select and view specific operational sections based on their role, preference, or task at hand. The system must ensure intuitive navigation, allowing users to switch between sections efficiently, with each section offering its full suite of functionalities, validations, reporting tools, ability to open a link to applications it integrates with.</t>
        </is>
      </c>
      <c r="C7" s="12" t="inlineStr">
        <is>
          <t>Extend</t>
        </is>
      </c>
      <c r="D7" s="12" t="inlineStr">
        <is>
          <t>Role home pages with live work counts are standard; the Cashiering dashboard with count and amount per receipt type and status is an extension (the counts are available, the amounts per type follow BDOI's FRS.CSH.01.03.02).</t>
        </is>
      </c>
      <c r="E7" s="12" t="n"/>
    </row>
    <row r="8">
      <c r="A8" s="12" t="inlineStr">
        <is>
          <t>BRQID.004</t>
        </is>
      </c>
      <c r="B8" s="12" t="inlineStr">
        <is>
          <t>Integrate with other systems / applications / modules to fetch or flow-in data. (i.e. Collection, Accounting, Disbursement, Marketing, Claims).</t>
        </is>
      </c>
      <c r="C8" s="12" t="inlineStr">
        <is>
          <t>Extend</t>
        </is>
      </c>
      <c r="D8" s="12" t="inlineStr">
        <is>
          <t>File uploads with runs, records and alerts, and the exchanges between the BIBS modules are standard; the MFT intake of the OBPCS and PMS files is an extension to agree with BDOI IT.</t>
        </is>
      </c>
      <c r="E8" s="12" t="n"/>
    </row>
    <row r="9">
      <c r="A9" s="12" t="inlineStr">
        <is>
          <t>BRQID.005</t>
        </is>
      </c>
      <c r="B9" s="12" t="inlineStr">
        <is>
          <t>Facility to fetch from other systems / applications / modules the necessary data that are required to flow-in to support Operations processes.</t>
        </is>
      </c>
      <c r="C9" s="12" t="inlineStr">
        <is>
          <t>Extend</t>
        </is>
      </c>
      <c r="D9" s="12" t="inlineStr">
        <is>
          <t>File uploads with runs, records and alerts, and the exchanges between the BIBS modules are standard; the MFT intake of the OBPCS and PMS files is an extension to agree with BDOI IT.</t>
        </is>
      </c>
      <c r="E9" s="12" t="n"/>
    </row>
    <row r="10">
      <c r="A10" s="12" t="inlineStr">
        <is>
          <t>CSHID.001</t>
        </is>
      </c>
      <c r="B10" s="12" t="inlineStr">
        <is>
          <t>Create, cancel, and reinstate Acknowledgement Receipt (AR). 1. Premium Payments - Bills Payments, OTC, Trade, CLPC, PDC. 2. Non-Premium Payments - Insurance Payments (Refund, Other expenses, AR Insurance)</t>
        </is>
      </c>
      <c r="C10" s="12" t="inlineStr">
        <is>
          <t>Extend</t>
        </is>
      </c>
      <c r="D10" s="12" t="inlineStr">
        <is>
          <t>Receipts with payor, references, amount, currency and mode, matched and applied at once, are standard; the posting step by a second user, the entry type and the bank account of BDOI's FRS are extensions (Appendix R, C1).</t>
        </is>
      </c>
      <c r="E10" s="12" t="n"/>
    </row>
    <row r="11">
      <c r="A11" s="12" t="inlineStr">
        <is>
          <t>CSHID.002</t>
        </is>
      </c>
      <c r="B11" s="12" t="inlineStr">
        <is>
          <t>Create, cancel, and reinstate Official Receipt (OR). 1. Service Fee Income (e.g. risk management fee, consultancy fee) 2. Insurance Profit Share 3. Commissions (e.g. e.g. VAT or W/Tax) 4. Incentives 5. Others (discount)</t>
        </is>
      </c>
      <c r="C11" s="12" t="inlineStr">
        <is>
          <t>Configure</t>
        </is>
      </c>
      <c r="D11" s="12" t="inlineStr">
        <is>
          <t>Head Office receipts of income with VAT and withholding tax lines and the income account of each type are standard; the types are a maintained list.</t>
        </is>
      </c>
      <c r="E11" s="12" t="n"/>
    </row>
    <row r="12">
      <c r="A12" s="12" t="inlineStr">
        <is>
          <t>CSHID.003</t>
        </is>
      </c>
      <c r="B12" s="12" t="inlineStr">
        <is>
          <t>Facility to allow User to choose the reason for AR or OR cancellation.</t>
        </is>
      </c>
      <c r="C12" s="12" t="inlineStr">
        <is>
          <t>Extend</t>
        </is>
      </c>
      <c r="D12" s="12" t="inlineStr">
        <is>
          <t>Cancellation and reinstatement as requests with a reason, approved by a second user, with reversal entries, are standard; the remitted / not remitted branches and AP Unapplied Commission of BDOI's FRS are extensions.</t>
        </is>
      </c>
      <c r="E12" s="12" t="n"/>
    </row>
    <row r="13">
      <c r="A13" s="12" t="inlineStr">
        <is>
          <t>CSHID.004</t>
        </is>
      </c>
      <c r="B13" s="12" t="inlineStr">
        <is>
          <t>Facility to allow User to choose the reason for Reinstatement.</t>
        </is>
      </c>
      <c r="C13" s="12" t="inlineStr">
        <is>
          <t>Extend</t>
        </is>
      </c>
      <c r="D13" s="12" t="inlineStr">
        <is>
          <t>Cancellation and reinstatement as requests with a reason, approved by a second user, with reversal entries, are standard; the remitted / not remitted branches and AP Unapplied Commission of BDOI's FRS are extensions.</t>
        </is>
      </c>
      <c r="E13" s="12" t="n"/>
    </row>
    <row r="14">
      <c r="A14" s="12" t="inlineStr">
        <is>
          <t>CSHID.005</t>
        </is>
      </c>
      <c r="B14" s="12" t="inlineStr">
        <is>
          <t>Facility to allow User to encode the required information for Reinstatement. 1. Premium Payment Invoice number Acknowledgment Receipt number Assured/Payor name Amount reinstated Account officer Unit Head Team Leader 2. Direct Payment Invoice number OR number Assured/Payor name Amount reinstated</t>
        </is>
      </c>
      <c r="C14" s="12" t="inlineStr">
        <is>
          <t>Extend</t>
        </is>
      </c>
      <c r="D14" s="12" t="inlineStr">
        <is>
          <t>Cancellation and reinstatement as requests with a reason, approved by a second user, with reversal entries, are standard; the remitted / not remitted branches and AP Unapplied Commission of BDOI's FRS are extensions.</t>
        </is>
      </c>
      <c r="E14" s="12" t="n"/>
    </row>
    <row r="15">
      <c r="A15" s="12" t="inlineStr">
        <is>
          <t>CSHID.006</t>
        </is>
      </c>
      <c r="B15" s="12" t="inlineStr">
        <is>
          <t>Auto-assign AR/OR numbers per transaction based on branch. Note: OR issuance is exclusively done by HO.</t>
        </is>
      </c>
      <c r="C15" s="12" t="inlineStr">
        <is>
          <t>Configure</t>
        </is>
      </c>
      <c r="D15" s="12" t="inlineStr">
        <is>
          <t>Series per branch and kind with ATP, range, warning level and maker-checker; numbering under a lock and a depleted-series stop are standard.</t>
        </is>
      </c>
      <c r="E15" s="12" t="n"/>
    </row>
    <row r="16">
      <c r="A16" s="12" t="inlineStr">
        <is>
          <t>CSHID.007</t>
        </is>
      </c>
      <c r="B16" s="12" t="inlineStr">
        <is>
          <t>Issue an individual OR per commission check or credited amount or multiple payments in one OR as long as one Insurer / Payee (one certificate). Source of data: 1. Uploaded commission payment details from collection. 2. Remittance Schedule.</t>
        </is>
      </c>
      <c r="C16" s="12" t="inlineStr">
        <is>
          <t>Extend</t>
        </is>
      </c>
      <c r="D16" s="12" t="inlineStr">
        <is>
          <t>Commission payment details uploaded and issued as ORs per insurer and certificate are standard; the Commission Schedule matching and the trigger at the Disbursement approval of BDOI's FRS are extensions.</t>
        </is>
      </c>
      <c r="E16" s="12" t="n"/>
    </row>
    <row r="17">
      <c r="A17" s="12" t="inlineStr">
        <is>
          <t>CSHID.008</t>
        </is>
      </c>
      <c r="B17" s="12" t="inlineStr">
        <is>
          <t>For AR, allow uploads for Bills, Trade, CLPC payments, matured PDC, Direct Credit for batch processing. Sources of files and file type: a. Bills Payment: TXT (FS01) from IT-DCO b. Trade Payment: TXT from CIB c. CLPC Payment: EXCEL d. PDC Payment file in excel for upload e. Direct Credit: TXT FS01/04: All via batch process. Trade, Direct Credit, CLPC – manually prepared by BU, send to IT, IT to run batch process – FS04.</t>
        </is>
      </c>
      <c r="C17" s="12" t="inlineStr">
        <is>
          <t>Extend</t>
        </is>
      </c>
      <c r="D17" s="12" t="inlineStr">
        <is>
          <t>Uploads of the channel files with configurable layouts, duplicate refusal and the post-dated check warehouse with its daily maturity are standard; MFT intake, several files per event, file-name and header total checks are extensions.</t>
        </is>
      </c>
      <c r="E17" s="12" t="n"/>
    </row>
    <row r="18">
      <c r="A18" s="12" t="inlineStr">
        <is>
          <t>CSHID.009</t>
        </is>
      </c>
      <c r="B18" s="12" t="inlineStr">
        <is>
          <t>Facility to accept check with “for check pick up” from Collection.</t>
        </is>
      </c>
      <c r="C18" s="12" t="inlineStr">
        <is>
          <t>Removed from the BRD</t>
        </is>
      </c>
      <c r="D18" s="12" t="inlineStr">
        <is>
          <t>Not offered for Cashiering (check pick-up and the Cashiering BIR 2307 processing are withdrawn).</t>
        </is>
      </c>
      <c r="E18" s="12" t="n"/>
    </row>
    <row r="19">
      <c r="A19" s="12" t="inlineStr">
        <is>
          <t>CSHID.012</t>
        </is>
      </c>
      <c r="B19" s="12" t="inlineStr">
        <is>
          <t>Post Accounting entries once cancellation is posted.</t>
        </is>
      </c>
      <c r="C19" s="12" t="inlineStr">
        <is>
          <t>Configure</t>
        </is>
      </c>
      <c r="D19" s="12" t="inlineStr">
        <is>
          <t>Every Cashiering event posts a balanced journal through rules maintained by Comptrollership; no account is fixed in the system.</t>
        </is>
      </c>
      <c r="E19" s="12" t="n"/>
    </row>
    <row r="20">
      <c r="A20" s="12" t="inlineStr">
        <is>
          <t>CSHID.013</t>
        </is>
      </c>
      <c r="B20" s="12" t="inlineStr">
        <is>
          <t>Post Accounting entries once reinstatement is posted.</t>
        </is>
      </c>
      <c r="C20" s="12" t="inlineStr">
        <is>
          <t>Configure</t>
        </is>
      </c>
      <c r="D20" s="12" t="inlineStr">
        <is>
          <t>Every Cashiering event posts a balanced journal through rules maintained by Comptrollership; no account is fixed in the system.</t>
        </is>
      </c>
      <c r="E20" s="12" t="n"/>
    </row>
    <row r="21">
      <c r="A21" s="12" t="inlineStr">
        <is>
          <t>CSHID.014</t>
        </is>
      </c>
      <c r="B21" s="12" t="inlineStr">
        <is>
          <t>Post Accounting entries for AR/OR.</t>
        </is>
      </c>
      <c r="C21" s="12" t="inlineStr">
        <is>
          <t>Configure</t>
        </is>
      </c>
      <c r="D21" s="12" t="inlineStr">
        <is>
          <t>Every Cashiering event posts a balanced journal through rules maintained by Comptrollership; no account is fixed in the system.</t>
        </is>
      </c>
      <c r="E21" s="12" t="n"/>
    </row>
    <row r="22">
      <c r="A22" s="12" t="inlineStr">
        <is>
          <t>CSHID.015</t>
        </is>
      </c>
      <c r="B22" s="12" t="inlineStr">
        <is>
          <t>Validate AR/OR series is not depleted before transaction processing.</t>
        </is>
      </c>
      <c r="C22" s="12" t="inlineStr">
        <is>
          <t>Configure</t>
        </is>
      </c>
      <c r="D22" s="12" t="inlineStr">
        <is>
          <t>Series per branch and kind with ATP, range, warning level and maker-checker; numbering under a lock and a depleted-series stop are standard.</t>
        </is>
      </c>
      <c r="E22" s="12" t="n"/>
    </row>
    <row r="23">
      <c r="A23" s="12" t="inlineStr">
        <is>
          <t>CSHID.016</t>
        </is>
      </c>
      <c r="B23" s="12" t="inlineStr">
        <is>
          <t>Automatically reverse Premium Receivables with minimal balances and below (Php 10.00 and below) if not equal to the following: a. Two percent (2%) creditable withholding tax b. Amount of DST charged into the account c. Amount of the entire premium</t>
        </is>
      </c>
      <c r="C23" s="12" t="inlineStr">
        <is>
          <t>Configure</t>
        </is>
      </c>
      <c r="D23" s="12" t="inlineStr">
        <is>
          <t>Minimal balances cleared when the payment is processed with a configurable threshold and the three exceptions are standard.</t>
        </is>
      </c>
      <c r="E23" s="12" t="n"/>
    </row>
    <row r="24">
      <c r="A24" s="12" t="inlineStr">
        <is>
          <t>CSHID.017</t>
        </is>
      </c>
      <c r="B24" s="12" t="inlineStr">
        <is>
          <t>Facility to allow authorized Users to generate, download, or print reports.</t>
        </is>
      </c>
      <c r="C24" s="12" t="inlineStr">
        <is>
          <t>Extend</t>
        </is>
      </c>
      <c r="D24" s="12" t="inlineStr">
        <is>
          <t>Reports with separate view and export rights and an archive of every run are standard; the layouts of BDOI's FRS.CSH.09.02 are set up as report layouts.</t>
        </is>
      </c>
      <c r="E24" s="12" t="n"/>
    </row>
    <row r="25">
      <c r="A25" s="12" t="inlineStr">
        <is>
          <t>CSHID.018</t>
        </is>
      </c>
      <c r="B25" s="12" t="inlineStr">
        <is>
          <t>Facility to allow selected Users to view generated report.</t>
        </is>
      </c>
      <c r="C25" s="12" t="inlineStr">
        <is>
          <t>Extend</t>
        </is>
      </c>
      <c r="D25" s="12" t="inlineStr">
        <is>
          <t>Reports with separate view and export rights and an archive of every run are standard; the layouts of BDOI's FRS.CSH.09.02 are set up as report layouts.</t>
        </is>
      </c>
      <c r="E25" s="12" t="n"/>
    </row>
    <row r="26">
      <c r="A26" s="12" t="inlineStr">
        <is>
          <t>CSHID.019</t>
        </is>
      </c>
      <c r="B26" s="12" t="inlineStr">
        <is>
          <t>Facility to perform batch printing of AR / OR.</t>
        </is>
      </c>
      <c r="C26" s="12" t="inlineStr">
        <is>
          <t>Extend</t>
        </is>
      </c>
      <c r="D26" s="12" t="inlineStr">
        <is>
          <t>Batch printing of receipts with a print log is standard; the ZIP of single PDFs, the certificate number and the REPRINT mark of BDOI's FRS are extensions.</t>
        </is>
      </c>
      <c r="E26" s="12" t="n"/>
    </row>
    <row r="27">
      <c r="A27" s="12" t="inlineStr">
        <is>
          <t>CSHID.020</t>
        </is>
      </c>
      <c r="B27" s="12" t="inlineStr">
        <is>
          <t>Perform matching at the point of payment acceptance except for issued PDC.</t>
        </is>
      </c>
      <c r="C27" s="12" t="inlineStr">
        <is>
          <t>Extend</t>
        </is>
      </c>
      <c r="D27" s="12" t="inlineStr">
        <is>
          <t>Matching on the account references with pre-booked, excess, unmatched and cancelled-reference outcomes is standard; the legacy numbers as keys and the Direct Credit identification of BDOI's FRS are extensions.</t>
        </is>
      </c>
      <c r="E27" s="12" t="n"/>
    </row>
    <row r="28">
      <c r="A28" s="12" t="inlineStr">
        <is>
          <t>CSHID.022</t>
        </is>
      </c>
      <c r="B28" s="12" t="inlineStr">
        <is>
          <t>Apply payments based on defined hierarchy of payment application. Per Transaction Level hierarchy: 1. Premium Receivable - DST 2. Premium Receivable - Premium Tax (VAT) 3. Premium Receivable - LGT 4. Premium Receivable - Other Charges 5. Premium Receivable - Basic Premium Mode of Payment hierarchy: 1. Check Cash</t>
        </is>
      </c>
      <c r="C28" s="12" t="inlineStr">
        <is>
          <t>Configure</t>
        </is>
      </c>
      <c r="D28" s="12" t="inlineStr">
        <is>
          <t>Application by component in a fixed order (DST, VAT, LGT, FST, other charges, basic premium), never to the premium due to the insurer.</t>
        </is>
      </c>
      <c r="E28" s="12" t="n"/>
    </row>
    <row r="29">
      <c r="A29" s="12" t="inlineStr">
        <is>
          <t>CSHID.023</t>
        </is>
      </c>
      <c r="B29" s="12" t="inlineStr">
        <is>
          <t>Capability to generate reports. 2. See Cashiering Reports list under Annex.</t>
        </is>
      </c>
      <c r="C29" s="12" t="inlineStr">
        <is>
          <t>Extend</t>
        </is>
      </c>
      <c r="D29" s="12" t="inlineStr">
        <is>
          <t>Reports with separate view and export rights and an archive of every run are standard; the layouts of BDOI's FRS.CSH.09.02 are set up as report layouts.</t>
        </is>
      </c>
      <c r="E29" s="12" t="n"/>
    </row>
    <row r="30">
      <c r="A30" s="12" t="inlineStr">
        <is>
          <t>CSHID.024</t>
        </is>
      </c>
      <c r="B30" s="12" t="inlineStr">
        <is>
          <t>Facility where users can view and manage dispositions for unapplied payments, ensuring proper tracking, approval, and processing of various disposition types. Example of Disposition Types: Apply to other invoice DST payment application Refund Reclass Transfer to other marketing unit Others (customizable)</t>
        </is>
      </c>
      <c r="C30" s="12" t="inlineStr">
        <is>
          <t>Extend</t>
        </is>
      </c>
      <c r="D30" s="12" t="inlineStr">
        <is>
          <t>Unapplied workbench with disposition types, approval rule per type, tabs by status, reversal and refund to Disbursement is an extension of the platform.</t>
        </is>
      </c>
      <c r="E30" s="12" t="n"/>
    </row>
    <row r="31">
      <c r="A31" s="12" t="inlineStr">
        <is>
          <t>CSHID.025</t>
        </is>
      </c>
      <c r="B31" s="12" t="inlineStr">
        <is>
          <t>Facility to display information as per Disposition Tabs 1. Unapplied - Displays payments with no disposition assigned. 2. Monitoring - Displays payments with disposition already assigned. 3. For Approval - Displays payments requiring Team approval.</t>
        </is>
      </c>
      <c r="C31" s="12" t="inlineStr">
        <is>
          <t>Extend</t>
        </is>
      </c>
      <c r="D31" s="12" t="inlineStr">
        <is>
          <t>Unapplied workbench with disposition types, approval rule per type, tabs by status, reversal and refund to Disbursement is an extension of the platform.</t>
        </is>
      </c>
      <c r="E31" s="12" t="n"/>
    </row>
    <row r="32">
      <c r="A32" s="12" t="inlineStr">
        <is>
          <t>CSHID.026</t>
        </is>
      </c>
      <c r="B32" s="12" t="inlineStr">
        <is>
          <t>Facility to receive tagged BIR 2307 data from Marketing Collection, process payments (cash or certificate), and remit accordingly. Issue ARs, reverse premiums, and forward transactions to Disbursement.</t>
        </is>
      </c>
      <c r="C32" s="12" t="inlineStr">
        <is>
          <t>Removed from the BRD</t>
        </is>
      </c>
      <c r="D32" s="12" t="inlineStr">
        <is>
          <t>Not offered for Cashiering (check pick-up and the Cashiering BIR 2307 processing are withdrawn).</t>
        </is>
      </c>
      <c r="E32" s="12" t="n"/>
    </row>
    <row r="33">
      <c r="A33" s="12" t="inlineStr">
        <is>
          <t>CSHID.027</t>
        </is>
      </c>
      <c r="B33" s="12" t="inlineStr">
        <is>
          <t>Facility to provide capability to Operations to process BIR 2307 reversals using reference numbers generated by Marketing. This is to validate the data, generate the transaction report, and route it directly to Disbursement without going through the Remittance function.</t>
        </is>
      </c>
      <c r="C33" s="12" t="inlineStr">
        <is>
          <t>Removed from the BRD</t>
        </is>
      </c>
      <c r="D33" s="12" t="inlineStr">
        <is>
          <t>Not offered for Cashiering (check pick-up and the Cashiering BIR 2307 processing are withdrawn).</t>
        </is>
      </c>
      <c r="E33" s="12" t="n"/>
    </row>
    <row r="34">
      <c r="A34" s="12" t="inlineStr">
        <is>
          <t>DBMID.001</t>
        </is>
      </c>
      <c r="B34" s="12" t="inlineStr">
        <is>
          <t>Receive and process BIR 2307 Report. Receive sorted BIR 2307 certificates and supporting documents from Marketing Collection.</t>
        </is>
      </c>
      <c r="C34" s="12" t="inlineStr">
        <is>
          <t>Specified in another FRS</t>
        </is>
      </c>
      <c r="D34" s="12" t="inlineStr">
        <is>
          <t>Specified in the FRS of Marketing Collection and Disbursement; Cashiering keeps the PR 2307 outstanding at payment.</t>
        </is>
      </c>
      <c r="E34" s="12" t="n"/>
    </row>
    <row r="35">
      <c r="A35" s="12" t="inlineStr">
        <is>
          <t>MKTID.013</t>
        </is>
      </c>
      <c r="B35" s="12" t="inlineStr">
        <is>
          <t>Facility to tag Reversal Transactions for BIR 2307, submit certificates received from clients, and enforce system validations on reversal amounts. The system must validate certificate amounts against the computed PR 2307 amount, and the outstanding PR balance, to ensure accuracy, compliance, and prevention of over-reversal.</t>
        </is>
      </c>
      <c r="C35" s="12" t="inlineStr">
        <is>
          <t>Specified in another FRS</t>
        </is>
      </c>
      <c r="D35" s="12" t="inlineStr">
        <is>
          <t>Specified in the FRS of Marketing Collection and Disbursement; Cashiering keeps the PR 2307 outstanding at payment.</t>
        </is>
      </c>
      <c r="E35" s="12" t="n"/>
    </row>
    <row r="36">
      <c r="A36" s="12" t="inlineStr">
        <is>
          <t>CSH-NFR-01</t>
        </is>
      </c>
      <c r="B36" s="12" t="inlineStr">
        <is>
          <t>Users: Cashiering HO 11, branches 5; TL / TH 5 + 5</t>
        </is>
      </c>
      <c r="C36" s="12" t="inlineStr">
        <is>
          <t>Configure</t>
        </is>
      </c>
      <c r="D36" s="12" t="inlineStr">
        <is>
          <t>Within the programme sizing for all BRDs</t>
        </is>
      </c>
      <c r="E36" s="12" t="n"/>
    </row>
    <row r="37">
      <c r="A37" s="12" t="inlineStr">
        <is>
          <t>CSH-NFR-02</t>
        </is>
      </c>
      <c r="B37" s="12" t="inlineStr">
        <is>
          <t>Volumes: Not stated</t>
        </is>
      </c>
      <c r="C37" s="12" t="inlineStr">
        <is>
          <t>Configure</t>
        </is>
      </c>
      <c r="D37" s="12" t="inlineStr">
        <is>
          <t>Assumed within the programme sizing; to confirm</t>
        </is>
      </c>
      <c r="E37" s="12" t="n"/>
    </row>
    <row r="38">
      <c r="A38" s="12" t="inlineStr">
        <is>
          <t>CSH-NFR-03</t>
        </is>
      </c>
      <c r="B38" s="12" t="inlineStr">
        <is>
          <t>Response time: Under 5 seconds for every function; section navigation under 5 seconds</t>
        </is>
      </c>
      <c r="C38" s="12" t="inlineStr">
        <is>
          <t>Configure</t>
        </is>
      </c>
      <c r="D38" s="12" t="inlineStr">
        <is>
          <t>Screens within 3 seconds for 95% of requests; file processing and printing run in the background with progress</t>
        </is>
      </c>
      <c r="E38" s="12" t="n"/>
    </row>
    <row r="39">
      <c r="A39" s="12" t="inlineStr">
        <is>
          <t>CSH-NFR-04</t>
        </is>
      </c>
      <c r="B39" s="12" t="inlineStr">
        <is>
          <t>Batch printing: 50 documents under 10 seconds</t>
        </is>
      </c>
      <c r="C39" s="12" t="inlineStr">
        <is>
          <t>Configure</t>
        </is>
      </c>
      <c r="D39" s="12" t="inlineStr">
        <is>
          <t>Print batches of up to 500 receipts</t>
        </is>
      </c>
      <c r="E39" s="12" t="n"/>
    </row>
    <row r="40">
      <c r="A40" s="12" t="inlineStr">
        <is>
          <t>CSH-NFR-05</t>
        </is>
      </c>
      <c r="B40" s="12" t="inlineStr">
        <is>
          <t>File size: Not stated (BDOI FRS: 50 MB)</t>
        </is>
      </c>
      <c r="C40" s="12" t="inlineStr">
        <is>
          <t>Configure</t>
        </is>
      </c>
      <c r="D40" s="12" t="inlineStr">
        <is>
          <t>Files up to 50 MB; each row processed on its own</t>
        </is>
      </c>
      <c r="E40" s="12" t="n"/>
    </row>
    <row r="41">
      <c r="A41" s="12" t="inlineStr">
        <is>
          <t>CSH-NFR-06</t>
        </is>
      </c>
      <c r="B41" s="12" t="inlineStr">
        <is>
          <t>Peak: 15th and 30th of the month; peak hours 08:00-17:30</t>
        </is>
      </c>
      <c r="C41" s="12" t="inlineStr">
        <is>
          <t>Configure</t>
        </is>
      </c>
      <c r="D41" s="12" t="inlineStr">
        <is>
          <t>Runs scheduled outside the peak hours (Appendix M)</t>
        </is>
      </c>
      <c r="E41" s="12" t="n"/>
    </row>
    <row r="42">
      <c r="A42" s="12" t="inlineStr">
        <is>
          <t>CSH-NFR-07</t>
        </is>
      </c>
      <c r="B42" s="12" t="inlineStr">
        <is>
          <t>Availability: 99.9%; use 07:00-18:30</t>
        </is>
      </c>
      <c r="C42" s="12" t="inlineStr">
        <is>
          <t>Configure</t>
        </is>
      </c>
      <c r="D42" s="12" t="inlineStr">
        <is>
          <t>Same service window as BIBS</t>
        </is>
      </c>
      <c r="E42" s="12" t="n"/>
    </row>
    <row r="43">
      <c r="A43" s="12" t="inlineStr">
        <is>
          <t>CSH-NFR-08</t>
        </is>
      </c>
      <c r="B43" s="12" t="inlineStr">
        <is>
          <t>Recovery: RTO 4 hours, RPO 24 hours</t>
        </is>
      </c>
      <c r="C43" s="12" t="inlineStr">
        <is>
          <t>Configure</t>
        </is>
      </c>
      <c r="D43" s="12" t="inlineStr">
        <is>
          <t>Programme backup and recovery</t>
        </is>
      </c>
      <c r="E43" s="12" t="n"/>
    </row>
    <row r="44">
      <c r="A44" s="12" t="inlineStr">
        <is>
          <t>CSH-NFR-09</t>
        </is>
      </c>
      <c r="B44" s="12" t="inlineStr">
        <is>
          <t>Retention: Logs and history 5 years online, 15 years archive; backup every 4 hours kept 7 years</t>
        </is>
      </c>
      <c r="C44" s="12" t="inlineStr">
        <is>
          <t>Configure</t>
        </is>
      </c>
      <c r="D44" s="12" t="inlineStr">
        <is>
          <t>Retention per record type</t>
        </is>
      </c>
      <c r="E44" s="12" t="n"/>
    </row>
    <row r="45">
      <c r="A45" s="12" t="inlineStr">
        <is>
          <t>CSH-NFR-10</t>
        </is>
      </c>
      <c r="B45" s="12" t="inlineStr">
        <is>
          <t>Devices: Same performance on mobile and desktop</t>
        </is>
      </c>
      <c r="C45" s="12" t="inlineStr">
        <is>
          <t>Configure</t>
        </is>
      </c>
      <c r="D45" s="12" t="inlineStr">
        <is>
          <t>Responsive screens; BDO-issued devices (FRS.OPS.001)</t>
        </is>
      </c>
      <c r="E45" s="12" t="n"/>
    </row>
    <row r="46">
      <c r="A46" s="12" t="inlineStr">
        <is>
          <t>CSH-NFR-11</t>
        </is>
      </c>
      <c r="B46" s="12" t="inlineStr">
        <is>
          <t>Security: Authorised users only; protected files</t>
        </is>
      </c>
      <c r="C46" s="12" t="inlineStr">
        <is>
          <t>Configure</t>
        </is>
      </c>
      <c r="D46" s="12" t="inlineStr">
        <is>
          <t>Role-based access, segregation of duties, files stored read-only</t>
        </is>
      </c>
      <c r="E46" s="12" t="n"/>
    </row>
    <row r="47">
      <c r="A47" s="12" t="inlineStr">
        <is>
          <t>CSH-NFR-12</t>
        </is>
      </c>
      <c r="B47" s="12" t="inlineStr">
        <is>
          <t>Audit: All actions logged; the seven items of the BDO IT audit trail standard (sign-off condition of BRD v1.01, p.67)</t>
        </is>
      </c>
      <c r="C47" s="12" t="inlineStr">
        <is>
          <t>Configure</t>
        </is>
      </c>
      <c r="D47" s="12" t="inlineStr">
        <is>
          <t>Audit trail that no user can change, refused actions recorded</t>
        </is>
      </c>
      <c r="E47" s="12" t="n"/>
    </row>
    <row r="48">
      <c r="A48" s="12" t="inlineStr">
        <is>
          <t>CSH-NFR-13</t>
        </is>
      </c>
      <c r="B48" s="12" t="inlineStr">
        <is>
          <t>Amounts and dates: Philippine peso and US dollar; two decimals</t>
        </is>
      </c>
      <c r="C48" s="12" t="inlineStr">
        <is>
          <t>Configure</t>
        </is>
      </c>
      <c r="D48" s="12" t="inlineStr">
        <is>
          <t>Amounts with thousands separators and two decimals; dates dd-MMM-yyyy; Philippine time</t>
        </is>
      </c>
      <c r="E48" s="12" t="n"/>
    </row>
    <row r="49">
      <c r="A49" s="12" t="inlineStr">
        <is>
          <t>CSH-NFR-14</t>
        </is>
      </c>
      <c r="B49" s="12" t="inlineStr">
        <is>
          <t>Configuration: Lists and thresholds maintained by the business</t>
        </is>
      </c>
      <c r="C49" s="12" t="inlineStr">
        <is>
          <t>Configure</t>
        </is>
      </c>
      <c r="D49" s="12" t="inlineStr">
        <is>
          <t>Parameters and lists of Appendix H changed without a change to the system</t>
        </is>
      </c>
      <c r="E49" s="12" t="n"/>
    </row>
    <row r="50">
      <c r="A50" s="12" t="inlineStr">
        <is>
          <t>CSH-NFR-15</t>
        </is>
      </c>
      <c r="B50" s="12" t="inlineStr">
        <is>
          <t>Maintenance: As per bank standard</t>
        </is>
      </c>
      <c r="C50" s="12" t="inlineStr">
        <is>
          <t>Configure</t>
        </is>
      </c>
      <c r="D50" s="12" t="inlineStr">
        <is>
          <t>Planned maintenance within the maintenance windows of the bank standard; users told in advance</t>
        </is>
      </c>
      <c r="E50" s="12" t="n"/>
    </row>
    <row r="51">
      <c r="A51" s="12" t="inlineStr">
        <is>
          <t>CSH-NFR-16</t>
        </is>
      </c>
      <c r="B51" s="12" t="inlineStr">
        <is>
          <t>Disaster: Business continuity threshold: RTO 4 hours, RPO 24 hours</t>
        </is>
      </c>
      <c r="C51" s="12" t="inlineStr">
        <is>
          <t>Configure</t>
        </is>
      </c>
      <c r="D51" s="12" t="inlineStr">
        <is>
          <t>Programme disaster recovery; the targets of CSH-NFR-08 apply</t>
        </is>
      </c>
      <c r="E51" s="12" t="n"/>
    </row>
    <row r="52">
      <c r="A52" s="12" t="inlineStr">
        <is>
          <t>CSH-NFR-17</t>
        </is>
      </c>
      <c r="B52" s="12" t="inlineStr">
        <is>
          <t>Sessions: Programme NFR 10.07 (Collections addendum): one session per device</t>
        </is>
      </c>
      <c r="C52" s="12" t="inlineStr">
        <is>
          <t>Configure</t>
        </is>
      </c>
      <c r="D52" s="12" t="inlineStr">
        <is>
          <t>A second sign-in on another device ends the first (User Access Maintenance FRS)</t>
        </is>
      </c>
      <c r="E52" s="12" t="n"/>
    </row>
    <row r="53">
      <c r="A53" s="12" t="inlineStr">
        <is>
          <t>CSH-NFR-18</t>
        </is>
      </c>
      <c r="B53" s="12" t="inlineStr">
        <is>
          <t>Audit source: Programme NFR 4.03 (CLM, CLXN, RI addenda): source / IP address in the audit log</t>
        </is>
      </c>
      <c r="C53" s="12" t="inlineStr">
        <is>
          <t>Configure</t>
        </is>
      </c>
      <c r="D53" s="12" t="inlineStr">
        <is>
          <t>The audit log records the workstation / IP address of every action</t>
        </is>
      </c>
      <c r="E53" s="12" t="n"/>
    </row>
    <row r="54">
      <c r="A54" s="12" t="inlineStr">
        <is>
          <t>D-CSH-01</t>
        </is>
      </c>
      <c r="B54" s="12" t="inlineStr">
        <is>
          <t>E-mail to a recipient list when a scheduled Cashiering run fails (FRS.CSH.10.03; Appendix G (failed batch run)). BRD line: BRQID.005 AC5: 'System alerts users in case of failed data fetch or mismatched data'; BRQID.006 batch job processing</t>
        </is>
      </c>
      <c r="C54" s="12" t="inlineStr">
        <is>
          <t>BRD point to deliver</t>
        </is>
      </c>
      <c r="D54" s="12" t="inlineStr">
        <is>
          <t>WFL-013 Partial (a failed job raises an in-app notification to the schedule administrators; no e-mail to a recipient list). Partial in BrokerVerse OOTB; the planning effort is that of the missing part (e-mail to a recipient list).</t>
        </is>
      </c>
      <c r="E54" s="23" t="n">
        <v>2.5</v>
      </c>
    </row>
    <row r="55">
      <c r="A55" s="12" t="inlineStr">
        <is>
          <t>D-CSH-02</t>
        </is>
      </c>
      <c r="B55" s="12" t="inlineStr">
        <is>
          <t>Excel export of the Cashiering lists (FRS.CSH.01.03.04). BRD line: CSHID.017 AC4: 'Download reports in supported formats (e.g., PDF, Excel)'; CSHID.023 'Capability to generate reports'</t>
        </is>
      </c>
      <c r="C55" s="12" t="inlineStr">
        <is>
          <t>BRD point to deliver</t>
        </is>
      </c>
      <c r="D55" s="12" t="inlineStr">
        <is>
          <t>BIL-016 Available (receipts register with filters); RPT-003 Partial. Disagreement: the Feature List says Available, the OOTB code exports the receipt list to PDF only. Partial in BrokerVerse OOTB; the planning effort is that of the missing part (Excel export of the lists).</t>
        </is>
      </c>
      <c r="E55" s="23" t="n">
        <v>3</v>
      </c>
    </row>
  </sheetData>
  <autoFilter ref="A4:E55"/>
  <mergeCells count="1">
    <mergeCell ref="A2:E2"/>
  </mergeCells>
  <conditionalFormatting sqref="A5:E55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&amp;K004EA8Change Request Effort Estimate&amp;C&amp;8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C12"/>
  <sheetViews>
    <sheetView showGridLines="0" workbookViewId="0">
      <pane ySplit="3" topLeftCell="A4" activePane="bottomLeft" state="frozen"/>
      <selection pane="bottomLeft" activeCell="A1" sqref="A1"/>
    </sheetView>
  </sheetViews>
  <sheetFormatPr baseColWidth="8" defaultRowHeight="15"/>
  <cols>
    <col width="34" customWidth="1" min="1" max="1"/>
    <col width="20" customWidth="1" min="2" max="2"/>
    <col width="80" customWidth="1" min="3" max="3"/>
  </cols>
  <sheetData>
    <row r="1">
      <c r="A1" s="16" t="inlineStr">
        <is>
          <t>Assumptions</t>
        </is>
      </c>
    </row>
    <row r="2"/>
    <row r="3">
      <c r="A3" s="26" t="inlineStr">
        <is>
          <t>Item</t>
        </is>
      </c>
      <c r="B3" s="26" t="inlineStr">
        <is>
          <t>Value</t>
        </is>
      </c>
      <c r="C3" s="26" t="inlineStr">
        <is>
          <t>Note</t>
        </is>
      </c>
    </row>
    <row r="4">
      <c r="A4" s="27" t="inlineStr">
        <is>
          <t>Hours in a man-day</t>
        </is>
      </c>
      <c r="B4" s="27" t="n">
        <v>8</v>
      </c>
      <c r="C4" s="27" t="inlineStr">
        <is>
          <t>One man-day (md) = 8 working hours</t>
        </is>
      </c>
    </row>
    <row r="5">
      <c r="A5" s="27" t="inlineStr">
        <is>
          <t>Currency</t>
        </is>
      </c>
      <c r="B5" s="27" t="inlineStr">
        <is>
          <t>PHP</t>
        </is>
      </c>
      <c r="C5" s="27" t="inlineStr">
        <is>
          <t>Philippine peso</t>
        </is>
      </c>
    </row>
    <row r="6">
      <c r="A6" s="27" t="inlineStr">
        <is>
          <t>Estimate range (plus or minus)</t>
        </is>
      </c>
      <c r="B6" s="28" t="n">
        <v>0.2</v>
      </c>
      <c r="C6" s="27" t="inlineStr">
        <is>
          <t>Each total is an estimate within plus or minus 20%</t>
        </is>
      </c>
    </row>
    <row r="7">
      <c r="A7" s="27" t="inlineStr">
        <is>
          <t>DayRate (PHP per man-day)</t>
        </is>
      </c>
      <c r="B7" s="29" t="n"/>
      <c r="C7" s="27" t="inlineStr">
        <is>
          <t>Enter the agreed day rate; the cost columns follow by formula</t>
        </is>
      </c>
    </row>
    <row r="8">
      <c r="A8" s="27" t="inlineStr">
        <is>
          <t>OOTB baseline</t>
        </is>
      </c>
      <c r="B8" s="27" t="inlineStr">
        <is>
          <t>brokerverse-platform</t>
        </is>
      </c>
      <c r="C8" s="27" t="inlineStr">
        <is>
          <t>iNXT BrokerVerse OOTB platform (brokerverse-platform), with the programme Feature List (column OOTB platform) as a cross-check</t>
        </is>
      </c>
    </row>
    <row r="9">
      <c r="A9" s="27" t="inlineStr">
        <is>
          <t>Basis</t>
        </is>
      </c>
      <c r="B9" s="27" t="inlineStr">
        <is>
          <t>Platform size</t>
        </is>
      </c>
      <c r="C9" s="27" t="inlineStr">
        <is>
          <t>Effort from the size of the platform parts each change touches and a similar existing function; for a Partial feature, the missing part only</t>
        </is>
      </c>
    </row>
    <row r="10">
      <c r="A10" s="27" t="inlineStr">
        <is>
          <t>Not change requests</t>
        </is>
      </c>
      <c r="B10" s="27" t="inlineStr">
        <is>
          <t>-</t>
        </is>
      </c>
      <c r="C10" s="27" t="inlineStr">
        <is>
          <t>BRD requirements (in scope), Integration scope and Data Migration scope items, best-practice recommendations</t>
        </is>
      </c>
    </row>
    <row r="11">
      <c r="A11" s="27" t="inlineStr">
        <is>
          <t>Excluded</t>
        </is>
      </c>
      <c r="B11" s="27" t="inlineStr">
        <is>
          <t>-</t>
        </is>
      </c>
      <c r="C11" s="27" t="inlineStr">
        <is>
          <t>BDOI decisions and inputs, BDOI testing time, infrastructure</t>
        </is>
      </c>
    </row>
    <row r="12">
      <c r="A12" s="27" t="inlineStr">
        <is>
          <t>Validity</t>
        </is>
      </c>
      <c r="B12" s="27" t="inlineStr">
        <is>
          <t>30 days</t>
        </is>
      </c>
      <c r="C12" s="27" t="inlineStr">
        <is>
          <t>Estimated again if the scope of a change request changes</t>
        </is>
      </c>
    </row>
  </sheetData>
  <autoFilter ref="A3:C12"/>
  <pageMargins left="0.75" right="0.75" top="1" bottom="1" header="0.5" footer="0.5"/>
  <pageSetup orientation="landscape" fitToHeight="0" fitToWidth="1"/>
  <headerFooter>
    <oddHeader>&amp;C&amp;8 &amp;K656565&amp;F</oddHeader>
    <oddFooter>&amp;L&amp;8 &amp;K656565Confidential – BDOI&amp;C&amp;8 &amp;K656565Page &amp;P of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D4"/>
  <sheetViews>
    <sheetView workbookViewId="0">
      <pane ySplit="1" topLeftCell="A2" activePane="bottomLeft" state="frozen"/>
      <selection pane="bottomLeft" activeCell="A1" sqref="A1"/>
    </sheetView>
  </sheetViews>
  <sheetFormatPr baseColWidth="8" defaultRowHeight="15"/>
  <cols>
    <col width="29" customWidth="1" min="1" max="1"/>
    <col width="18" customWidth="1" min="2" max="2"/>
    <col width="18" customWidth="1" min="3" max="3"/>
    <col width="24" customWidth="1" min="4" max="4"/>
  </cols>
  <sheetData>
    <row r="1">
      <c r="A1" s="26" t="inlineStr">
        <is>
          <t>BRD relation</t>
        </is>
      </c>
      <c r="B1" s="26" t="inlineStr">
        <is>
          <t>Complexity</t>
        </is>
      </c>
      <c r="C1" s="26" t="inlineStr">
        <is>
          <t>Priority</t>
        </is>
      </c>
      <c r="D1" s="26" t="inlineStr">
        <is>
          <t>Scope</t>
        </is>
      </c>
    </row>
    <row r="2">
      <c r="A2" s="30" t="inlineStr">
        <is>
          <t>Extends a BRD requirement</t>
        </is>
      </c>
      <c r="B2" s="30" t="inlineStr">
        <is>
          <t>Low</t>
        </is>
      </c>
      <c r="C2" s="30" t="inlineStr">
        <is>
          <t>High</t>
        </is>
      </c>
      <c r="D2" s="30" t="inlineStr">
        <is>
          <t>Integration scope</t>
        </is>
      </c>
    </row>
    <row r="3">
      <c r="A3" s="30" t="inlineStr">
        <is>
          <t>Not in any BRD</t>
        </is>
      </c>
      <c r="B3" s="30" t="inlineStr">
        <is>
          <t>Medium</t>
        </is>
      </c>
      <c r="C3" s="30" t="inlineStr">
        <is>
          <t>Medium</t>
        </is>
      </c>
      <c r="D3" s="30" t="inlineStr">
        <is>
          <t>Data Migration scope</t>
        </is>
      </c>
    </row>
    <row r="4">
      <c r="B4" s="30" t="inlineStr">
        <is>
          <t>High</t>
        </is>
      </c>
      <c r="C4" s="30" t="inlineStr">
        <is>
          <t>Low</t>
        </is>
      </c>
    </row>
  </sheetData>
  <printOptions horizontalCentered="1"/>
  <pageMargins left="0.4" right="0.4" top="0.6" bottom="0.6" header="0.5" footer="0.5"/>
  <pageSetup orientation="landscape" paperSize="1" fitToHeight="0" fitToWidth="1"/>
  <headerFooter>
    <oddHeader>&amp;L&amp;8 &amp;K004EA8Change Request Effort Estimate&amp;C&amp;8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Change Request Effort Estimate</dc:title>
  <dc:subject xmlns:dc="http://purl.org/dc/elements/1.1/">BIBS – BDOI Broker System</dc:subject>
  <dcterms:created xmlns:dcterms="http://purl.org/dc/terms/" xmlns:xsi="http://www.w3.org/2001/XMLSchema-instance" xsi:type="dcterms:W3CDTF">2026-10-11T20:27:40Z</dcterms:created>
  <dcterms:modified xmlns:dcterms="http://purl.org/dc/terms/" xmlns:xsi="http://www.w3.org/2001/XMLSchema-instance" xsi:type="dcterms:W3CDTF">2026-10-11T20:27:40Z</dcterms:modified>
  <cp:keywords>Estimate, BRD-02, BIBS, BDOI</cp:keywords>
</cp:coreProperties>
</file>