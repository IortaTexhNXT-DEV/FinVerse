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Integration &amp; DM scope" sheetId="6" state="visible" r:id="rId6"/>
    <sheet xmlns:r="http://schemas.openxmlformats.org/officeDocument/2006/relationships" name="Best practice (blue)" sheetId="7" state="visible" r:id="rId7"/>
    <sheet xmlns:r="http://schemas.openxmlformats.org/officeDocument/2006/relationships" name="BRD items to deliver" sheetId="8" state="visible" r:id="rId8"/>
    <sheet xmlns:r="http://schemas.openxmlformats.org/officeDocument/2006/relationships" name="Assumptions" sheetId="9" state="visible" r:id="rId9"/>
    <sheet xmlns:r="http://schemas.openxmlformats.org/officeDocument/2006/relationships" name="Lists" sheetId="10" state="visible" r:id="rId10"/>
  </sheets>
  <definedNames>
    <definedName name="_xlnm._FilterDatabase" localSheetId="1" hidden="1">'README'!$A$4:$D$51</definedName>
    <definedName name="_xlnm.Print_Titles" localSheetId="1">'README'!$4:$4</definedName>
    <definedName name="_xlnm._FilterDatabase" localSheetId="2" hidden="1">'Summary'!$A$4:$B$18</definedName>
    <definedName name="_xlnm.Print_Titles" localSheetId="2">'Summary'!$4:$4</definedName>
    <definedName name="_xlnm._FilterDatabase" localSheetId="3" hidden="1">'CR Effort'!$A$4:$Y$9</definedName>
    <definedName name="_xlnm.Print_Titles" localSheetId="3">'CR Effort'!$4:$4</definedName>
    <definedName name="_xlnm._FilterDatabase" localSheetId="4" hidden="1">'Beyond the BRD - OOTB'!$A$4:$G$6</definedName>
    <definedName name="_xlnm.Print_Titles" localSheetId="4">'Beyond the BRD - OOTB'!$4:$4</definedName>
    <definedName name="_xlnm._FilterDatabase" localSheetId="5" hidden="1">'Integration &amp; DM scope'!$A$4:$D$33</definedName>
    <definedName name="_xlnm.Print_Titles" localSheetId="5">'Integration &amp; DM scope'!$4:$4</definedName>
    <definedName name="_xlnm._FilterDatabase" localSheetId="6" hidden="1">'Best practice (blue)'!$A$4:$E$7</definedName>
    <definedName name="_xlnm.Print_Titles" localSheetId="6">'Best practice (blue)'!$4:$4</definedName>
    <definedName name="_xlnm._FilterDatabase" localSheetId="7" hidden="1">'BRD items to deliver'!$A$4:$D$53</definedName>
    <definedName name="_xlnm.Print_Titles" localSheetId="7">'BRD items to deliver'!$4:$4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5">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4" borderId="2" applyAlignment="1" pivotButton="0" quotePrefix="0" xfId="0">
      <alignment vertical="top" wrapText="1"/>
    </xf>
    <xf numFmtId="0" fontId="4" fillId="4" borderId="2" applyAlignment="1" pivotButton="0" quotePrefix="0" xfId="0">
      <alignment vertical="top" wrapText="1"/>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4" fillId="0" borderId="2" applyAlignment="1" pivotButton="0" quotePrefix="0" xfId="0">
      <alignment vertical="top"/>
    </xf>
    <xf numFmtId="4" fontId="4" fillId="0" borderId="2" applyAlignment="1" pivotButton="0" quotePrefix="0" xfId="0">
      <alignment vertical="top"/>
    </xf>
    <xf numFmtId="0" fontId="3" fillId="2" borderId="0" pivotButton="0" quotePrefix="0" xfId="0"/>
    <xf numFmtId="0" fontId="5" fillId="0" borderId="2" applyAlignment="1" pivotButton="0" quotePrefix="0" xfId="0">
      <alignment vertical="top" wrapText="1"/>
    </xf>
    <xf numFmtId="9" fontId="5" fillId="0" borderId="2" applyAlignment="1" pivotButton="0" quotePrefix="0" xfId="0">
      <alignment vertical="top" wrapText="1"/>
    </xf>
    <xf numFmtId="4" fontId="5" fillId="3" borderId="2" applyAlignment="1" pivotButton="0" quotePrefix="0" xfId="0">
      <alignment vertical="top" wrapText="1"/>
    </xf>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29</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Integration &amp; DM scope'!A1" TargetMode="External" Id="rId5"/><Relationship Type="http://schemas.openxmlformats.org/officeDocument/2006/relationships/hyperlink" Target="#'Best practice (blue)'!A1" TargetMode="External" Id="rId6"/><Relationship Type="http://schemas.openxmlformats.org/officeDocument/2006/relationships/hyperlink" Target="#'BRD items to deliver'!A1" TargetMode="External" Id="rId7"/><Relationship Type="http://schemas.openxmlformats.org/officeDocument/2006/relationships/hyperlink" Target="#'Assumption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0"/>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ESTIMATE</t>
        </is>
      </c>
    </row>
    <row r="7" ht="32" customHeight="1">
      <c r="B7" s="3" t="inlineStr">
        <is>
          <t>Change Request Effort Estimate</t>
        </is>
      </c>
    </row>
    <row r="8">
      <c r="B8" s="4" t="inlineStr">
        <is>
          <t>BRD-02 Operations Cashiering - points beyond the BRD of the FRS v3.3: change requests with their effort</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points beyond the BRD of the FRS v3.3 (Appendix W)</t>
        </is>
      </c>
      <c r="D21" s="14" t="n">
        <v>14</v>
      </c>
    </row>
    <row r="22">
      <c r="B22" s="11" t="inlineStr">
        <is>
          <t>CR Effort</t>
        </is>
      </c>
      <c r="C22" s="12" t="inlineStr">
        <is>
          <t>One row per orange point of the FRS v3.3 (Appendix W.2), effort in man-days</t>
        </is>
      </c>
      <c r="D22" s="12" t="n">
        <v>5</v>
      </c>
    </row>
    <row r="23">
      <c r="B23" s="13" t="inlineStr">
        <is>
          <t>Beyond the BRD - OOTB</t>
        </is>
      </c>
      <c r="C23" s="14" t="inlineStr">
        <is>
          <t>Points beyond the BRD that the iNXT BrokerVerse OOTB platform provides (green): no cost</t>
        </is>
      </c>
      <c r="D23" s="14" t="n">
        <v>2</v>
      </c>
    </row>
    <row r="24">
      <c r="B24" s="11" t="inlineStr">
        <is>
          <t>Integration &amp; DM scope</t>
        </is>
      </c>
      <c r="C24" s="12" t="inlineStr">
        <is>
          <t>Covered by the Integration scope or the Data Migration scope (BRD-13): no CR cost here</t>
        </is>
      </c>
      <c r="D24" s="12" t="n">
        <v>29</v>
      </c>
    </row>
    <row r="25">
      <c r="B25" s="13" t="inlineStr">
        <is>
          <t>Best practice (blue)</t>
        </is>
      </c>
      <c r="C25" s="14" t="inlineStr">
        <is>
          <t>Not in the BRD, the FRS or the OOTB platform: recommendations (Appendix W.6), not commitments</t>
        </is>
      </c>
      <c r="D25" s="14" t="n">
        <v>3</v>
      </c>
    </row>
    <row r="26">
      <c r="B26" s="11" t="inlineStr">
        <is>
          <t>BRD items to deliver</t>
        </is>
      </c>
      <c r="C26" s="12" t="inlineStr">
        <is>
          <t>BRD requirements not fully met by the OOTB platform: in-scope delivery work for planning, not CRs</t>
        </is>
      </c>
      <c r="D26" s="12" t="n">
        <v>49</v>
      </c>
    </row>
    <row r="27">
      <c r="B27" s="13" t="inlineStr">
        <is>
          <t>Assumptions</t>
        </is>
      </c>
      <c r="C27" s="14" t="inlineStr">
        <is>
          <t>Man-day, range and day rate used by the formulas</t>
        </is>
      </c>
      <c r="D27" s="14" t="n">
        <v>0</v>
      </c>
    </row>
    <row r="30" ht="26" customHeight="1">
      <c r="B30"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Change Request Effort Estimate,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7" t="inlineStr">
        <is>
          <t>Item</t>
        </is>
      </c>
      <c r="C5" s="12" t="inlineStr">
        <is>
          <t>What is counted</t>
        </is>
      </c>
      <c r="D5" s="12" t="inlineStr"/>
    </row>
    <row r="6">
      <c r="A6" s="14" t="inlineStr">
        <is>
          <t>Summary</t>
        </is>
      </c>
      <c r="B6" s="18" t="inlineStr">
        <is>
          <t>Value</t>
        </is>
      </c>
      <c r="C6" s="14" t="inlineStr">
        <is>
          <t>Count, man-days or cost</t>
        </is>
      </c>
      <c r="D6" s="14" t="inlineStr"/>
    </row>
    <row r="7">
      <c r="A7" s="12" t="inlineStr">
        <is>
          <t>CR Effort</t>
        </is>
      </c>
      <c r="B7" s="17" t="inlineStr">
        <is>
          <t>CR No.</t>
        </is>
      </c>
      <c r="C7" s="12" t="inlineStr">
        <is>
          <t>Change request (FRS Appendix W.2 and the CR register)</t>
        </is>
      </c>
      <c r="D7" s="12" t="inlineStr"/>
    </row>
    <row r="8">
      <c r="A8" s="14" t="inlineStr">
        <is>
          <t>CR Effort</t>
        </is>
      </c>
      <c r="B8" s="18" t="inlineStr">
        <is>
          <t>Title</t>
        </is>
      </c>
      <c r="C8" s="14" t="inlineStr">
        <is>
          <t>The change</t>
        </is>
      </c>
      <c r="D8" s="14" t="inlineStr"/>
    </row>
    <row r="9">
      <c r="A9" s="12" t="inlineStr">
        <is>
          <t>CR Effort</t>
        </is>
      </c>
      <c r="B9" s="17" t="inlineStr">
        <is>
          <t>FRS reference</t>
        </is>
      </c>
      <c r="C9" s="12" t="inlineStr">
        <is>
          <t>FR item or annex row</t>
        </is>
      </c>
      <c r="D9" s="12" t="inlineStr"/>
    </row>
    <row r="10">
      <c r="A10" s="14" t="inlineStr">
        <is>
          <t>CR Effort</t>
        </is>
      </c>
      <c r="B10" s="18" t="inlineStr">
        <is>
          <t>BRD reference</t>
        </is>
      </c>
      <c r="C10" s="14" t="inlineStr">
        <is>
          <t>BRD ID it extends, or 'Not in BRD'</t>
        </is>
      </c>
      <c r="D10" s="14" t="inlineStr"/>
    </row>
    <row r="11">
      <c r="A11" s="12" t="inlineStr">
        <is>
          <t>CR Effort</t>
        </is>
      </c>
      <c r="B11" s="17" t="inlineStr">
        <is>
          <t>BRD relation</t>
        </is>
      </c>
      <c r="C11" s="12" t="inlineStr">
        <is>
          <t>Extends a BRD requirement / Not in any BRD</t>
        </is>
      </c>
      <c r="D11" s="12" t="inlineStr">
        <is>
          <t>Extends a BRD requirement, Not in any BRD</t>
        </is>
      </c>
    </row>
    <row r="12">
      <c r="A12" s="14" t="inlineStr">
        <is>
          <t>CR Effort</t>
        </is>
      </c>
      <c r="B12" s="18" t="inlineStr">
        <is>
          <t>Where the point comes from</t>
        </is>
      </c>
      <c r="C12" s="14" t="inlineStr">
        <is>
          <t>Document and section</t>
        </is>
      </c>
      <c r="D12" s="14" t="inlineStr"/>
    </row>
    <row r="13">
      <c r="A13" s="12" t="inlineStr">
        <is>
          <t>CR Effort</t>
        </is>
      </c>
      <c r="B13" s="17" t="inlineStr">
        <is>
          <t>Why needed</t>
        </is>
      </c>
      <c r="C13" s="12" t="inlineStr">
        <is>
          <t>Business reason</t>
        </is>
      </c>
      <c r="D13" s="12" t="inlineStr"/>
    </row>
    <row r="14">
      <c r="A14" s="14" t="inlineStr">
        <is>
          <t>CR Effort</t>
        </is>
      </c>
      <c r="B14" s="18" t="inlineStr">
        <is>
          <t>Feature List ID / OOTB status</t>
        </is>
      </c>
      <c r="C14" s="14" t="inlineStr">
        <is>
          <t>Programme Feature List, column OOTB platform</t>
        </is>
      </c>
      <c r="D14" s="14" t="inlineStr"/>
    </row>
    <row r="15">
      <c r="A15" s="12" t="inlineStr">
        <is>
          <t>CR Effort</t>
        </is>
      </c>
      <c r="B15" s="17" t="inlineStr">
        <is>
          <t>OOTB evidence</t>
        </is>
      </c>
      <c r="C15" s="12" t="inlineStr">
        <is>
          <t>Screen or function of brokerverse-platform, or 'not found'</t>
        </is>
      </c>
      <c r="D15" s="12" t="inlineStr"/>
    </row>
    <row r="16">
      <c r="A16" s="14" t="inlineStr">
        <is>
          <t>CR Effort</t>
        </is>
      </c>
      <c r="B16" s="18" t="inlineStr">
        <is>
          <t>Prepared for BIBS?</t>
        </is>
      </c>
      <c r="C16" s="14" t="inlineStr">
        <is>
          <t>Yes / No / Partly, with what was done for BIBS in this project (the effort is given anyway: the value of the change request)</t>
        </is>
      </c>
      <c r="D16" s="14" t="inlineStr"/>
    </row>
    <row r="17">
      <c r="A17" s="12" t="inlineStr">
        <is>
          <t>CR Effort</t>
        </is>
      </c>
      <c r="B17" s="17" t="inlineStr">
        <is>
          <t>Effort covers</t>
        </is>
      </c>
      <c r="C17" s="12" t="inlineStr">
        <is>
          <t>For a Partial feature: the missing part only</t>
        </is>
      </c>
      <c r="D17" s="12" t="inlineStr"/>
    </row>
    <row r="18">
      <c r="A18" s="14" t="inlineStr">
        <is>
          <t>CR Effort</t>
        </is>
      </c>
      <c r="B18" s="18" t="inlineStr">
        <is>
          <t>Estimate basis</t>
        </is>
      </c>
      <c r="C18" s="14" t="inlineStr">
        <is>
          <t>Size of the platform parts the change touches</t>
        </is>
      </c>
      <c r="D18" s="14" t="inlineStr"/>
    </row>
    <row r="19">
      <c r="A19" s="12" t="inlineStr">
        <is>
          <t>CR Effort</t>
        </is>
      </c>
      <c r="B19" s="17" t="inlineStr">
        <is>
          <t>Analysis &amp; design (md)</t>
        </is>
      </c>
      <c r="C19" s="12" t="inlineStr">
        <is>
          <t>Man-days</t>
        </is>
      </c>
      <c r="D19" s="12" t="inlineStr"/>
    </row>
    <row r="20">
      <c r="A20" s="14" t="inlineStr">
        <is>
          <t>CR Effort</t>
        </is>
      </c>
      <c r="B20" s="18" t="inlineStr">
        <is>
          <t>Backend (md)</t>
        </is>
      </c>
      <c r="C20" s="14" t="inlineStr">
        <is>
          <t>Man-days</t>
        </is>
      </c>
      <c r="D20" s="14" t="inlineStr"/>
    </row>
    <row r="21">
      <c r="A21" s="12" t="inlineStr">
        <is>
          <t>CR Effort</t>
        </is>
      </c>
      <c r="B21" s="17" t="inlineStr">
        <is>
          <t>Frontend (md)</t>
        </is>
      </c>
      <c r="C21" s="12" t="inlineStr">
        <is>
          <t>Man-days</t>
        </is>
      </c>
      <c r="D21" s="12" t="inlineStr"/>
    </row>
    <row r="22">
      <c r="A22" s="14" t="inlineStr">
        <is>
          <t>CR Effort</t>
        </is>
      </c>
      <c r="B22" s="18" t="inlineStr">
        <is>
          <t>Testing (md)</t>
        </is>
      </c>
      <c r="C22" s="14" t="inlineStr">
        <is>
          <t>Man-days</t>
        </is>
      </c>
      <c r="D22" s="14" t="inlineStr"/>
    </row>
    <row r="23">
      <c r="A23" s="12" t="inlineStr">
        <is>
          <t>CR Effort</t>
        </is>
      </c>
      <c r="B23" s="17" t="inlineStr">
        <is>
          <t>Documentation / UAT support (md)</t>
        </is>
      </c>
      <c r="C23" s="12" t="inlineStr">
        <is>
          <t>Man-days</t>
        </is>
      </c>
      <c r="D23" s="12" t="inlineStr"/>
    </row>
    <row r="24">
      <c r="A24" s="14" t="inlineStr">
        <is>
          <t>CR Effort</t>
        </is>
      </c>
      <c r="B24" s="18" t="inlineStr">
        <is>
          <t>Total (md)</t>
        </is>
      </c>
      <c r="C24" s="14" t="inlineStr">
        <is>
          <t>Sum of the activities</t>
        </is>
      </c>
      <c r="D24" s="14" t="inlineStr"/>
    </row>
    <row r="25">
      <c r="A25" s="12" t="inlineStr">
        <is>
          <t>CR Effort</t>
        </is>
      </c>
      <c r="B25" s="17" t="inlineStr">
        <is>
          <t>Low (-20%)</t>
        </is>
      </c>
      <c r="C25" s="12" t="inlineStr">
        <is>
          <t>Total less the range</t>
        </is>
      </c>
      <c r="D25" s="12" t="inlineStr"/>
    </row>
    <row r="26">
      <c r="A26" s="14" t="inlineStr">
        <is>
          <t>CR Effort</t>
        </is>
      </c>
      <c r="B26" s="18" t="inlineStr">
        <is>
          <t>High (+20%)</t>
        </is>
      </c>
      <c r="C26" s="14" t="inlineStr">
        <is>
          <t>Total plus the range</t>
        </is>
      </c>
      <c r="D26" s="14" t="inlineStr"/>
    </row>
    <row r="27">
      <c r="A27" s="12" t="inlineStr">
        <is>
          <t>CR Effort</t>
        </is>
      </c>
      <c r="B27" s="17" t="inlineStr">
        <is>
          <t>Cost (PHP)</t>
        </is>
      </c>
      <c r="C27" s="12" t="inlineStr">
        <is>
          <t>Total x day rate (Assumptions)</t>
        </is>
      </c>
      <c r="D27" s="12" t="inlineStr"/>
    </row>
    <row r="28">
      <c r="A28" s="14" t="inlineStr">
        <is>
          <t>CR Effort</t>
        </is>
      </c>
      <c r="B28" s="18" t="inlineStr">
        <is>
          <t>Complexity</t>
        </is>
      </c>
      <c r="C28" s="14" t="inlineStr">
        <is>
          <t>Low / Medium / High</t>
        </is>
      </c>
      <c r="D28" s="14" t="inlineStr">
        <is>
          <t>Low, Medium, High</t>
        </is>
      </c>
    </row>
    <row r="29">
      <c r="A29" s="12" t="inlineStr">
        <is>
          <t>CR Effort</t>
        </is>
      </c>
      <c r="B29" s="17" t="inlineStr">
        <is>
          <t>Priority</t>
        </is>
      </c>
      <c r="C29" s="12" t="inlineStr">
        <is>
          <t>High / Medium / Low</t>
        </is>
      </c>
      <c r="D29" s="12" t="inlineStr">
        <is>
          <t>High, Medium, Low</t>
        </is>
      </c>
    </row>
    <row r="30">
      <c r="A30" s="14" t="inlineStr">
        <is>
          <t>CR Effort</t>
        </is>
      </c>
      <c r="B30" s="18" t="inlineStr">
        <is>
          <t>Dependencies</t>
        </is>
      </c>
      <c r="C30" s="14" t="inlineStr">
        <is>
          <t>What the change needs first</t>
        </is>
      </c>
      <c r="D30" s="14" t="inlineStr"/>
    </row>
    <row r="31">
      <c r="A31" s="12" t="inlineStr">
        <is>
          <t>CR Effort</t>
        </is>
      </c>
      <c r="B31" s="17" t="inlineStr">
        <is>
          <t>Assumptions</t>
        </is>
      </c>
      <c r="C31" s="12" t="inlineStr">
        <is>
          <t>Scope assumed by the estimate</t>
        </is>
      </c>
      <c r="D31" s="12" t="inlineStr"/>
    </row>
    <row r="32">
      <c r="A32" s="14" t="inlineStr">
        <is>
          <t>Beyond the BRD - OOTB</t>
        </is>
      </c>
      <c r="B32" s="18" t="inlineStr">
        <is>
          <t>No.</t>
        </is>
      </c>
      <c r="C32" s="14" t="inlineStr">
        <is>
          <t>Point (Appendix W.3)</t>
        </is>
      </c>
      <c r="D32" s="14" t="inlineStr"/>
    </row>
    <row r="33">
      <c r="A33" s="12" t="inlineStr">
        <is>
          <t>Beyond the BRD - OOTB</t>
        </is>
      </c>
      <c r="B33" s="17" t="inlineStr">
        <is>
          <t>Point</t>
        </is>
      </c>
      <c r="C33" s="12" t="inlineStr">
        <is>
          <t>The point of the FRS</t>
        </is>
      </c>
      <c r="D33" s="12" t="inlineStr"/>
    </row>
    <row r="34">
      <c r="A34" s="14" t="inlineStr">
        <is>
          <t>Beyond the BRD - OOTB</t>
        </is>
      </c>
      <c r="B34" s="18" t="inlineStr">
        <is>
          <t>FRS reference</t>
        </is>
      </c>
      <c r="C34" s="14" t="inlineStr">
        <is>
          <t>FR item or annex</t>
        </is>
      </c>
      <c r="D34" s="14" t="inlineStr"/>
    </row>
    <row r="35">
      <c r="A35" s="12" t="inlineStr">
        <is>
          <t>Beyond the BRD - OOTB</t>
        </is>
      </c>
      <c r="B35" s="17" t="inlineStr">
        <is>
          <t>Feature List ID / OOTB status</t>
        </is>
      </c>
      <c r="C35" s="12" t="inlineStr">
        <is>
          <t>Programme Feature List, column OOTB platform</t>
        </is>
      </c>
      <c r="D35" s="12" t="inlineStr"/>
    </row>
    <row r="36">
      <c r="A36" s="14" t="inlineStr">
        <is>
          <t>Beyond the BRD - OOTB</t>
        </is>
      </c>
      <c r="B36" s="18" t="inlineStr">
        <is>
          <t>OOTB evidence</t>
        </is>
      </c>
      <c r="C36" s="14" t="inlineStr">
        <is>
          <t>Screen or function of brokerverse-platform</t>
        </is>
      </c>
      <c r="D36" s="14" t="inlineStr"/>
    </row>
    <row r="37">
      <c r="A37" s="12" t="inlineStr">
        <is>
          <t>Beyond the BRD - OOTB</t>
        </is>
      </c>
      <c r="B37" s="17" t="inlineStr">
        <is>
          <t>BRD reference</t>
        </is>
      </c>
      <c r="C37" s="12" t="inlineStr">
        <is>
          <t>Not in the BRD</t>
        </is>
      </c>
      <c r="D37" s="12" t="inlineStr"/>
    </row>
    <row r="38">
      <c r="A38" s="14" t="inlineStr">
        <is>
          <t>Beyond the BRD - OOTB</t>
        </is>
      </c>
      <c r="B38" s="18" t="inlineStr">
        <is>
          <t>Cost (md)</t>
        </is>
      </c>
      <c r="C38" s="14" t="inlineStr">
        <is>
          <t>Zero</t>
        </is>
      </c>
      <c r="D38" s="14" t="inlineStr"/>
    </row>
    <row r="39">
      <c r="A39" s="12" t="inlineStr">
        <is>
          <t>Integration &amp; DM scope</t>
        </is>
      </c>
      <c r="B39" s="17" t="inlineStr">
        <is>
          <t>Item</t>
        </is>
      </c>
      <c r="C39" s="12" t="inlineStr">
        <is>
          <t>Interface or data load</t>
        </is>
      </c>
      <c r="D39" s="12" t="inlineStr"/>
    </row>
    <row r="40">
      <c r="A40" s="14" t="inlineStr">
        <is>
          <t>Integration &amp; DM scope</t>
        </is>
      </c>
      <c r="B40" s="18" t="inlineStr">
        <is>
          <t>Scope</t>
        </is>
      </c>
      <c r="C40" s="14" t="inlineStr">
        <is>
          <t>Integration or Data Migration</t>
        </is>
      </c>
      <c r="D40" s="14" t="inlineStr">
        <is>
          <t>Integration scope, Data Migration scope</t>
        </is>
      </c>
    </row>
    <row r="41">
      <c r="A41" s="12" t="inlineStr">
        <is>
          <t>Integration &amp; DM scope</t>
        </is>
      </c>
      <c r="B41" s="17" t="inlineStr">
        <is>
          <t>What</t>
        </is>
      </c>
      <c r="C41" s="12" t="inlineStr">
        <is>
          <t>What is exchanged or loaded</t>
        </is>
      </c>
      <c r="D41" s="12" t="inlineStr"/>
    </row>
    <row r="42">
      <c r="A42" s="14" t="inlineStr">
        <is>
          <t>Integration &amp; DM scope</t>
        </is>
      </c>
      <c r="B42" s="18" t="inlineStr">
        <is>
          <t>Where in the FRS</t>
        </is>
      </c>
      <c r="C42" s="14" t="inlineStr">
        <is>
          <t>Annex</t>
        </is>
      </c>
      <c r="D42" s="14" t="inlineStr"/>
    </row>
    <row r="43">
      <c r="A43" s="12" t="inlineStr">
        <is>
          <t>Best practice (blue)</t>
        </is>
      </c>
      <c r="B43" s="17" t="inlineStr">
        <is>
          <t>ID</t>
        </is>
      </c>
      <c r="C43" s="12" t="inlineStr">
        <is>
          <t>Best practice</t>
        </is>
      </c>
      <c r="D43" s="12" t="inlineStr"/>
    </row>
    <row r="44">
      <c r="A44" s="14" t="inlineStr">
        <is>
          <t>Best practice (blue)</t>
        </is>
      </c>
      <c r="B44" s="18" t="inlineStr">
        <is>
          <t>Practice</t>
        </is>
      </c>
      <c r="C44" s="14" t="inlineStr">
        <is>
          <t>Insurance-broking practice</t>
        </is>
      </c>
      <c r="D44" s="14" t="inlineStr"/>
    </row>
    <row r="45">
      <c r="A45" s="12" t="inlineStr">
        <is>
          <t>Best practice (blue)</t>
        </is>
      </c>
      <c r="B45" s="17" t="inlineStr">
        <is>
          <t>Why it matters for a broker</t>
        </is>
      </c>
      <c r="C45" s="12" t="inlineStr">
        <is>
          <t>Philippine market where relevant</t>
        </is>
      </c>
      <c r="D45" s="12" t="inlineStr"/>
    </row>
    <row r="46">
      <c r="A46" s="14" t="inlineStr">
        <is>
          <t>Best practice (blue)</t>
        </is>
      </c>
      <c r="B46" s="18" t="inlineStr">
        <is>
          <t>Suggested priority</t>
        </is>
      </c>
      <c r="C46" s="14" t="inlineStr">
        <is>
          <t>High / Medium / Low</t>
        </is>
      </c>
      <c r="D46" s="14" t="inlineStr">
        <is>
          <t>High, Medium, Low</t>
        </is>
      </c>
    </row>
    <row r="47">
      <c r="A47" s="12" t="inlineStr">
        <is>
          <t>Best practice (blue)</t>
        </is>
      </c>
      <c r="B47" s="17" t="inlineStr">
        <is>
          <t>Indicative man-days</t>
        </is>
      </c>
      <c r="C47" s="12" t="inlineStr">
        <is>
          <t>Indicative; not in the CR total</t>
        </is>
      </c>
      <c r="D47" s="12" t="inlineStr"/>
    </row>
    <row r="48">
      <c r="A48" s="14" t="inlineStr">
        <is>
          <t>BRD items to deliver</t>
        </is>
      </c>
      <c r="B48" s="18" t="inlineStr">
        <is>
          <t>BRD ID</t>
        </is>
      </c>
      <c r="C48" s="14" t="inlineStr">
        <is>
          <t>BRD requirement</t>
        </is>
      </c>
      <c r="D48" s="14" t="inlineStr"/>
    </row>
    <row r="49">
      <c r="A49" s="12" t="inlineStr">
        <is>
          <t>BRD items to deliver</t>
        </is>
      </c>
      <c r="B49" s="17" t="inlineStr">
        <is>
          <t>BRD requirement</t>
        </is>
      </c>
      <c r="C49" s="12" t="inlineStr">
        <is>
          <t>Text of the BRD</t>
        </is>
      </c>
      <c r="D49" s="12" t="inlineStr"/>
    </row>
    <row r="50">
      <c r="A50" s="14" t="inlineStr">
        <is>
          <t>BRD items to deliver</t>
        </is>
      </c>
      <c r="B50" s="18" t="inlineStr">
        <is>
          <t>Fit</t>
        </is>
      </c>
      <c r="C50" s="14" t="inlineStr">
        <is>
          <t>Fit class of the fit-gap workbook</t>
        </is>
      </c>
      <c r="D50" s="14" t="inlineStr"/>
    </row>
    <row r="51">
      <c r="A51" s="12" t="inlineStr">
        <is>
          <t>BRD items to deliver</t>
        </is>
      </c>
      <c r="B51" s="17" t="inlineStr">
        <is>
          <t>What iNXT BrokerVerse offers out of the box</t>
        </is>
      </c>
      <c r="C51" s="12" t="inlineStr">
        <is>
          <t>OOTB capability</t>
        </is>
      </c>
      <c r="D51" s="12" t="inlineStr"/>
    </row>
  </sheetData>
  <autoFilter ref="A4:D51"/>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0" customWidth="1" min="1" max="1"/>
    <col width="16" customWidth="1" min="2" max="2"/>
  </cols>
  <sheetData>
    <row r="1" ht="24" customHeight="1">
      <c r="A1" s="16" t="inlineStr">
        <is>
          <t>Summary</t>
        </is>
      </c>
    </row>
    <row r="2">
      <c r="A2" s="19" t="inlineStr">
        <is>
          <t>Totals of the points beyond the BRD of the FRS v3.3 (Appendix W)</t>
        </is>
      </c>
    </row>
    <row r="3" ht="6" customHeight="1">
      <c r="A3" s="20" t="n"/>
      <c r="B3" s="20" t="n"/>
    </row>
    <row r="4" ht="30" customHeight="1">
      <c r="A4" s="21" t="inlineStr">
        <is>
          <t>Item</t>
        </is>
      </c>
      <c r="B4" s="21" t="inlineStr">
        <is>
          <t>Value</t>
        </is>
      </c>
    </row>
    <row r="5">
      <c r="A5" s="12" t="inlineStr">
        <is>
          <t>Points beyond the BRD available OOTB (green, no cost)</t>
        </is>
      </c>
      <c r="B5" s="12" t="n">
        <v>2</v>
      </c>
    </row>
    <row r="6">
      <c r="A6" s="12" t="inlineStr">
        <is>
          <t>Change requests (orange)</t>
        </is>
      </c>
      <c r="B6" s="12" t="n">
        <v>4</v>
      </c>
    </row>
    <row r="7">
      <c r="A7" s="12" t="inlineStr">
        <is>
          <t>Man-days: Analysis &amp; design</t>
        </is>
      </c>
      <c r="B7" s="12">
        <f>SUM('CR Effort'!M5:M8)</f>
        <v/>
      </c>
    </row>
    <row r="8">
      <c r="A8" s="12" t="inlineStr">
        <is>
          <t>Man-days: Backend</t>
        </is>
      </c>
      <c r="B8" s="12">
        <f>SUM('CR Effort'!N5:N8)</f>
        <v/>
      </c>
    </row>
    <row r="9">
      <c r="A9" s="12" t="inlineStr">
        <is>
          <t>Man-days: Frontend</t>
        </is>
      </c>
      <c r="B9" s="12">
        <f>SUM('CR Effort'!O5:O8)</f>
        <v/>
      </c>
    </row>
    <row r="10">
      <c r="A10" s="12" t="inlineStr">
        <is>
          <t>Man-days: Testing</t>
        </is>
      </c>
      <c r="B10" s="12">
        <f>SUM('CR Effort'!P5:P8)</f>
        <v/>
      </c>
    </row>
    <row r="11">
      <c r="A11" s="12" t="inlineStr">
        <is>
          <t>Man-days: Documentation / UAT support</t>
        </is>
      </c>
      <c r="B11" s="12">
        <f>SUM('CR Effort'!Q5:Q8)</f>
        <v/>
      </c>
    </row>
    <row r="12">
      <c r="A12" s="12" t="inlineStr">
        <is>
          <t>Total change request man-days</t>
        </is>
      </c>
      <c r="B12" s="12">
        <f>SUM('CR Effort'!R5:R8)</f>
        <v/>
      </c>
    </row>
    <row r="13">
      <c r="A13" s="12" t="inlineStr">
        <is>
          <t>Range low (-20%)</t>
        </is>
      </c>
      <c r="B13" s="12">
        <f>SUM('CR Effort'!S5:S8)</f>
        <v/>
      </c>
    </row>
    <row r="14">
      <c r="A14" s="12" t="inlineStr">
        <is>
          <t>Range high (+20%)</t>
        </is>
      </c>
      <c r="B14" s="12">
        <f>SUM('CR Effort'!T5:T8)</f>
        <v/>
      </c>
    </row>
    <row r="15">
      <c r="A15" s="12" t="inlineStr">
        <is>
          <t>Cost in PHP at the day rate of the Assumptions sheet</t>
        </is>
      </c>
      <c r="B15" s="12">
        <f>SUM('CR Effort'!U5:U8)</f>
        <v/>
      </c>
    </row>
    <row r="16">
      <c r="A16" s="12" t="inlineStr">
        <is>
          <t>Items covered by the Integration or Data Migration scope (no CR cost)</t>
        </is>
      </c>
      <c r="B16" s="12" t="n">
        <v>29</v>
      </c>
    </row>
    <row r="17">
      <c r="A17" s="12" t="inlineStr">
        <is>
          <t>Best-practice recommendations (blue; indicative, not in the CR total)</t>
        </is>
      </c>
      <c r="B17" s="12" t="n">
        <v>3</v>
      </c>
    </row>
    <row r="18">
      <c r="A18" s="12" t="inlineStr">
        <is>
          <t>Best-practice indicative man-days (not in the CR total)</t>
        </is>
      </c>
      <c r="B18" s="12" t="n">
        <v>15</v>
      </c>
    </row>
  </sheetData>
  <autoFilter ref="A4:B18"/>
  <mergeCells count="1">
    <mergeCell ref="A2:B2"/>
  </mergeCells>
  <conditionalFormatting sqref="A5:B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Y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22" customWidth="1" min="3" max="3"/>
    <col width="15" customWidth="1" min="4" max="4"/>
    <col width="16" customWidth="1" min="5" max="5"/>
    <col width="26" customWidth="1" min="6" max="6"/>
    <col width="38" customWidth="1" min="7" max="7"/>
    <col width="34" customWidth="1" min="8" max="8"/>
    <col width="34" customWidth="1" min="9" max="9"/>
    <col width="26" customWidth="1" min="10" max="10"/>
    <col width="34" customWidth="1" min="11" max="11"/>
    <col width="28" customWidth="1" min="12" max="12"/>
    <col width="10" customWidth="1" min="13" max="13"/>
    <col width="10" customWidth="1" min="14" max="14"/>
    <col width="10" customWidth="1" min="15" max="15"/>
    <col width="10" customWidth="1" min="16" max="16"/>
    <col width="10" customWidth="1" min="17" max="17"/>
    <col width="10" customWidth="1" min="18" max="18"/>
    <col width="9" customWidth="1" min="19" max="19"/>
    <col width="9" customWidth="1" min="20" max="20"/>
    <col width="13" customWidth="1" min="21" max="21"/>
    <col width="11" customWidth="1" min="22" max="22"/>
    <col width="10" customWidth="1" min="23" max="23"/>
    <col width="26" customWidth="1" min="24" max="24"/>
    <col width="34" customWidth="1" min="25" max="25"/>
  </cols>
  <sheetData>
    <row r="1" ht="24" customHeight="1">
      <c r="A1" s="16" t="inlineStr">
        <is>
          <t>CR Effort</t>
        </is>
      </c>
    </row>
    <row r="2">
      <c r="A2" s="19" t="inlineStr">
        <is>
          <t>One row per orange point of the FRS v3.3 (Appendix W.2), effort in man-days</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row>
    <row r="4" ht="30" customHeight="1">
      <c r="A4" s="21" t="inlineStr">
        <is>
          <t>CR No.</t>
        </is>
      </c>
      <c r="B4" s="21" t="inlineStr">
        <is>
          <t>Title</t>
        </is>
      </c>
      <c r="C4" s="21" t="inlineStr">
        <is>
          <t>FRS reference</t>
        </is>
      </c>
      <c r="D4" s="21" t="inlineStr">
        <is>
          <t>BRD reference</t>
        </is>
      </c>
      <c r="E4" s="21" t="inlineStr">
        <is>
          <t>BRD relation</t>
        </is>
      </c>
      <c r="F4" s="21" t="inlineStr">
        <is>
          <t>Where the point comes from</t>
        </is>
      </c>
      <c r="G4" s="21" t="inlineStr">
        <is>
          <t>Why needed</t>
        </is>
      </c>
      <c r="H4" s="21" t="inlineStr">
        <is>
          <t>Feature List ID / OOTB status</t>
        </is>
      </c>
      <c r="I4" s="21" t="inlineStr">
        <is>
          <t>OOTB evidence</t>
        </is>
      </c>
      <c r="J4" s="21" t="inlineStr">
        <is>
          <t>Prepared for BIBS?</t>
        </is>
      </c>
      <c r="K4" s="21" t="inlineStr">
        <is>
          <t>Effort covers</t>
        </is>
      </c>
      <c r="L4" s="21" t="inlineStr">
        <is>
          <t>Estimate basis</t>
        </is>
      </c>
      <c r="M4" s="21" t="inlineStr">
        <is>
          <t>Analysis &amp; design (md)</t>
        </is>
      </c>
      <c r="N4" s="21" t="inlineStr">
        <is>
          <t>Backend (md)</t>
        </is>
      </c>
      <c r="O4" s="21" t="inlineStr">
        <is>
          <t>Frontend (md)</t>
        </is>
      </c>
      <c r="P4" s="21" t="inlineStr">
        <is>
          <t>Testing (md)</t>
        </is>
      </c>
      <c r="Q4" s="21" t="inlineStr">
        <is>
          <t>Documentation / UAT support (md)</t>
        </is>
      </c>
      <c r="R4" s="21" t="inlineStr">
        <is>
          <t>Total (md)</t>
        </is>
      </c>
      <c r="S4" s="21" t="inlineStr">
        <is>
          <t>Low (-20%)</t>
        </is>
      </c>
      <c r="T4" s="21" t="inlineStr">
        <is>
          <t>High (+20%)</t>
        </is>
      </c>
      <c r="U4" s="21" t="inlineStr">
        <is>
          <t>Cost (PHP)</t>
        </is>
      </c>
      <c r="V4" s="21" t="inlineStr">
        <is>
          <t>Complexity</t>
        </is>
      </c>
      <c r="W4" s="21" t="inlineStr">
        <is>
          <t>Priority</t>
        </is>
      </c>
      <c r="X4" s="21" t="inlineStr">
        <is>
          <t>Dependencies</t>
        </is>
      </c>
      <c r="Y4" s="21" t="inlineStr">
        <is>
          <t>Assumptions</t>
        </is>
      </c>
    </row>
    <row r="5">
      <c r="A5" s="12" t="inlineStr">
        <is>
          <t>CR-CSH-101</t>
        </is>
      </c>
      <c r="B5" s="12" t="inlineStr">
        <is>
          <t>Time rules of the Cashiering stages: overdue marker and reminder</t>
        </is>
      </c>
      <c r="C5" s="12" t="inlineStr">
        <is>
          <t>Appendix J (time rules); FRS.CSH.02.05, FRS.CSH.03.01, FRS.CSH.04.01, FRS.CSH.06.02</t>
        </is>
      </c>
      <c r="D5" s="12" t="inlineStr">
        <is>
          <t>Not in BRD</t>
        </is>
      </c>
      <c r="E5" s="12" t="inlineStr">
        <is>
          <t>Not in any BRD</t>
        </is>
      </c>
      <c r="F5" s="12" t="inlineStr">
        <is>
          <t>FRS v3.2 Appendix J (times proposed by iorta TechNXT; the BRD and BDOI's FRS set no time)</t>
        </is>
      </c>
      <c r="G5" s="12" t="inlineStr">
        <is>
          <t>Records waiting for posting or approval are visible on the dashboard but nothing marks them late; a time rule per stage with a marker and a reminder keeps receipts issued the same day.</t>
        </is>
      </c>
      <c r="H5" s="12" t="inlineStr">
        <is>
          <t>WFL-007 Partial (deadlines and escalation for claims, complaints, leads and collections; no general turnaround engine)</t>
        </is>
      </c>
      <c r="I5" s="12" t="inlineStr">
        <is>
          <t>not found for receipts: deadlines exist for claims, leads and collections only</t>
        </is>
      </c>
      <c r="J5" s="12" t="inlineStr">
        <is>
          <t>No: BIBS shows the records For Posting and For Approval with their age, without a time rule</t>
        </is>
      </c>
      <c r="K5" s="12" t="inlineStr">
        <is>
          <t>Partial in BrokerVerse OOTB; the effort covers the missing part only: time rules, overdue marker and reminder for the Cashiering stages.</t>
        </is>
      </c>
      <c r="L5" s="12" t="inlineStr">
        <is>
          <t>Turnaround parts of the platform reused; Cashiering decision services and dashboard counts extended.</t>
        </is>
      </c>
      <c r="M5" s="22" t="n">
        <v>1</v>
      </c>
      <c r="N5" s="22" t="n">
        <v>2.5</v>
      </c>
      <c r="O5" s="22" t="n">
        <v>1</v>
      </c>
      <c r="P5" s="22" t="n">
        <v>1.5</v>
      </c>
      <c r="Q5" s="22" t="n">
        <v>0.5</v>
      </c>
      <c r="R5" s="22">
        <f>SUM(M5:Q5)</f>
        <v/>
      </c>
      <c r="S5" s="22">
        <f>ROUND(R5*(1-Assumptions!$B$6),1)</f>
        <v/>
      </c>
      <c r="T5" s="22">
        <f>ROUND(R5*(1+Assumptions!$B$6),1)</f>
        <v/>
      </c>
      <c r="U5" s="23">
        <f>R5*Assumptions!$B$7</f>
        <v/>
      </c>
      <c r="V5" s="12" t="inlineStr">
        <is>
          <t>Medium</t>
        </is>
      </c>
      <c r="W5" s="12" t="inlineStr">
        <is>
          <t>Medium</t>
        </is>
      </c>
      <c r="X5" s="12" t="inlineStr">
        <is>
          <t>BDOI to confirm the times (Appendix R, Appendix S)</t>
        </is>
      </c>
      <c r="Y5" s="12" t="inlineStr">
        <is>
          <t>Four stages (posting, cancellation / reinstatement posting, disposition, approval); times as parameters; one reminder to the poster or approver; no escalation.</t>
        </is>
      </c>
    </row>
    <row r="6">
      <c r="A6" s="12" t="inlineStr">
        <is>
          <t>CR-CSH-102</t>
        </is>
      </c>
      <c r="B6" s="12" t="inlineStr">
        <is>
          <t>E-mail to a recipient list when a scheduled Cashiering run fails</t>
        </is>
      </c>
      <c r="C6" s="12" t="inlineStr">
        <is>
          <t>FRS.CSH.10.03; Appendix G (failed batch run)</t>
        </is>
      </c>
      <c r="D6" s="12" t="inlineStr">
        <is>
          <t>BRQID.006 (extends)</t>
        </is>
      </c>
      <c r="E6" s="12" t="inlineStr">
        <is>
          <t>Extends a BRD requirement</t>
        </is>
      </c>
      <c r="F6" s="12" t="inlineStr">
        <is>
          <t>FRS v3.2 Appendix G (failed batch run notice and its recipients)</t>
        </is>
      </c>
      <c r="G6" s="12" t="inlineStr">
        <is>
          <t>The BRD asks that users are alerted when a run fails; an e-mail to named recipients makes sure a failed overnight run is seen before the business day starts.</t>
        </is>
      </c>
      <c r="H6" s="12" t="inlineStr">
        <is>
          <t>WFL-013 Partial (a failed job raises an in-app notification to the schedule administrators; no e-mail to a recipient list)</t>
        </is>
      </c>
      <c r="I6" s="12" t="inlineStr">
        <is>
          <t>My Work: count of failed jobs; no e-mail to a recipient list</t>
        </is>
      </c>
      <c r="J6" s="12" t="inlineStr">
        <is>
          <t>Yes: the e-mail to the failed-run recipients setting was prepared for BIBS in this project</t>
        </is>
      </c>
      <c r="K6" s="12" t="inlineStr">
        <is>
          <t>Partial in BrokerVerse OOTB; the effort is that of the missing part (e-mail to a recipient list).</t>
        </is>
      </c>
      <c r="L6" s="12" t="inlineStr">
        <is>
          <t>One mail service and one setting over the job scheduler of the platform.</t>
        </is>
      </c>
      <c r="M6" s="22" t="n">
        <v>0.5</v>
      </c>
      <c r="N6" s="22" t="n">
        <v>1</v>
      </c>
      <c r="O6" s="22" t="n">
        <v>0</v>
      </c>
      <c r="P6" s="22" t="n">
        <v>0.5</v>
      </c>
      <c r="Q6" s="22" t="n">
        <v>0.5</v>
      </c>
      <c r="R6" s="22">
        <f>SUM(M6:Q6)</f>
        <v/>
      </c>
      <c r="S6" s="22">
        <f>ROUND(R6*(1-Assumptions!$B$6),1)</f>
        <v/>
      </c>
      <c r="T6" s="22">
        <f>ROUND(R6*(1+Assumptions!$B$6),1)</f>
        <v/>
      </c>
      <c r="U6" s="23">
        <f>R6*Assumptions!$B$7</f>
        <v/>
      </c>
      <c r="V6" s="12" t="inlineStr">
        <is>
          <t>Low</t>
        </is>
      </c>
      <c r="W6" s="12" t="inlineStr">
        <is>
          <t>Medium</t>
        </is>
      </c>
      <c r="X6" s="12" t="inlineStr">
        <is>
          <t>E-mail channel of BDOI</t>
        </is>
      </c>
      <c r="Y6" s="12" t="inlineStr">
        <is>
          <t>One recipient list setting for all Cashiering runs; the in-app notice stays.</t>
        </is>
      </c>
    </row>
    <row r="7">
      <c r="A7" s="12" t="inlineStr">
        <is>
          <t>CR-CSH-103</t>
        </is>
      </c>
      <c r="B7" s="12" t="inlineStr">
        <is>
          <t>Excel export of the Cashiering lists</t>
        </is>
      </c>
      <c r="C7" s="12" t="inlineStr">
        <is>
          <t>FRS.CSH.01.03.04</t>
        </is>
      </c>
      <c r="D7" s="12" t="inlineStr">
        <is>
          <t>CSHID.023 (extends)</t>
        </is>
      </c>
      <c r="E7" s="12" t="inlineStr">
        <is>
          <t>Extends a BRD requirement</t>
        </is>
      </c>
      <c r="F7" s="12" t="inlineStr">
        <is>
          <t>FRS v3.2 FRS.CSH.01.03.04</t>
        </is>
      </c>
      <c r="G7" s="12" t="inlineStr">
        <is>
          <t>Cashiers and Team Leaders work the lists in Excel for reconciliation and follow-up; the BRD asks for extracts of the reports, the FRS extends it to every list.</t>
        </is>
      </c>
      <c r="H7" s="12" t="inlineStr">
        <is>
          <t>BIL-016 Available (receipts register with filters); RPT-003 Partial. Disagreement: the Feature List says Available, the OOTB code exports the receipt list to PDF only</t>
        </is>
      </c>
      <c r="I7" s="12" t="inlineStr">
        <is>
          <t>Receipts list: filters and PDF export only (no Excel)</t>
        </is>
      </c>
      <c r="J7" s="12" t="inlineStr">
        <is>
          <t>Yes: the Cashiering lists of BIBS export to Excel</t>
        </is>
      </c>
      <c r="K7" s="12" t="inlineStr">
        <is>
          <t>Partial in BrokerVerse OOTB; the effort is that of the missing part (Excel export of the lists).</t>
        </is>
      </c>
      <c r="L7" s="12" t="inlineStr">
        <is>
          <t>List services of the receipts module; export pattern of the reports module.</t>
        </is>
      </c>
      <c r="M7" s="22" t="n">
        <v>0.5</v>
      </c>
      <c r="N7" s="22" t="n">
        <v>1</v>
      </c>
      <c r="O7" s="22" t="n">
        <v>0.5</v>
      </c>
      <c r="P7" s="22" t="n">
        <v>0.5</v>
      </c>
      <c r="Q7" s="22" t="n">
        <v>0.5</v>
      </c>
      <c r="R7" s="22">
        <f>SUM(M7:Q7)</f>
        <v/>
      </c>
      <c r="S7" s="22">
        <f>ROUND(R7*(1-Assumptions!$B$6),1)</f>
        <v/>
      </c>
      <c r="T7" s="22">
        <f>ROUND(R7*(1+Assumptions!$B$6),1)</f>
        <v/>
      </c>
      <c r="U7" s="23">
        <f>R7*Assumptions!$B$7</f>
        <v/>
      </c>
      <c r="V7" s="12" t="inlineStr">
        <is>
          <t>Low</t>
        </is>
      </c>
      <c r="W7" s="12" t="inlineStr">
        <is>
          <t>Low</t>
        </is>
      </c>
      <c r="X7" s="12" t="inlineStr">
        <is>
          <t>-</t>
        </is>
      </c>
      <c r="Y7" s="12" t="inlineStr">
        <is>
          <t>Same columns as on the screen; up to the report row limit.</t>
        </is>
      </c>
    </row>
    <row r="8">
      <c r="A8" s="12" t="inlineStr">
        <is>
          <t>CR-CSH-104</t>
        </is>
      </c>
      <c r="B8" s="12" t="inlineStr">
        <is>
          <t>Each user chooses an e-mail copy of the Cashiering notices</t>
        </is>
      </c>
      <c r="C8" s="12" t="inlineStr">
        <is>
          <t>Appendix G (channel of each notice)</t>
        </is>
      </c>
      <c r="D8" s="12" t="inlineStr">
        <is>
          <t>Not in BRD</t>
        </is>
      </c>
      <c r="E8" s="12" t="inlineStr">
        <is>
          <t>Not in any BRD</t>
        </is>
      </c>
      <c r="F8" s="12" t="inlineStr">
        <is>
          <t>FRS v3.2 Appendix G (proposed, Appendix R)</t>
        </is>
      </c>
      <c r="G8" s="12" t="inlineStr">
        <is>
          <t>Team Leaders who post from branches want the notices also by e-mail; the choice per user and per notice avoids e-mail floods.</t>
        </is>
      </c>
      <c r="H8" s="12" t="inlineStr">
        <is>
          <t>WFL-011 Available (e-mail notifications from templates); WFL-012 Partial. Disagreement: the Feature List says Available, the OOTB code has no per-user e-mail choice</t>
        </is>
      </c>
      <c r="I8" s="12" t="inlineStr">
        <is>
          <t>Notifications: in-app notices; no per-user choice of an e-mail copy</t>
        </is>
      </c>
      <c r="J8" s="12" t="inlineStr">
        <is>
          <t>Yes: the Notification Settings screen of BIBS gives this choice</t>
        </is>
      </c>
      <c r="K8" s="12" t="inlineStr">
        <is>
          <t>Partial in BrokerVerse OOTB; the effort is that of the missing part (per-user, per-notice e-mail choice).</t>
        </is>
      </c>
      <c r="L8" s="12" t="inlineStr">
        <is>
          <t>Notification service of the platform; one settings screen.</t>
        </is>
      </c>
      <c r="M8" s="22" t="n">
        <v>0.5</v>
      </c>
      <c r="N8" s="22" t="n">
        <v>1</v>
      </c>
      <c r="O8" s="22" t="n">
        <v>1</v>
      </c>
      <c r="P8" s="22" t="n">
        <v>0.5</v>
      </c>
      <c r="Q8" s="22" t="n">
        <v>0.5</v>
      </c>
      <c r="R8" s="22">
        <f>SUM(M8:Q8)</f>
        <v/>
      </c>
      <c r="S8" s="22">
        <f>ROUND(R8*(1-Assumptions!$B$6),1)</f>
        <v/>
      </c>
      <c r="T8" s="22">
        <f>ROUND(R8*(1+Assumptions!$B$6),1)</f>
        <v/>
      </c>
      <c r="U8" s="23">
        <f>R8*Assumptions!$B$7</f>
        <v/>
      </c>
      <c r="V8" s="12" t="inlineStr">
        <is>
          <t>Low</t>
        </is>
      </c>
      <c r="W8" s="12" t="inlineStr">
        <is>
          <t>Low</t>
        </is>
      </c>
      <c r="X8" s="12" t="inlineStr">
        <is>
          <t>E-mail channel of BDOI</t>
        </is>
      </c>
      <c r="Y8" s="12" t="inlineStr">
        <is>
          <t>Choice per user and per notice type; default in-app only.</t>
        </is>
      </c>
    </row>
    <row r="9">
      <c r="A9" s="12" t="inlineStr">
        <is>
          <t>Total</t>
        </is>
      </c>
      <c r="B9" s="12" t="inlineStr">
        <is>
          <t>4 change requests</t>
        </is>
      </c>
      <c r="C9" s="12" t="n"/>
      <c r="D9" s="12" t="n"/>
      <c r="E9" s="12" t="n"/>
      <c r="F9" s="12" t="n"/>
      <c r="G9" s="12" t="n"/>
      <c r="H9" s="12" t="n"/>
      <c r="I9" s="12" t="n"/>
      <c r="J9" s="12" t="n"/>
      <c r="K9" s="12" t="n"/>
      <c r="L9" s="12" t="n"/>
      <c r="M9" s="22">
        <f>SUM(M5:M8)</f>
        <v/>
      </c>
      <c r="N9" s="22">
        <f>SUM(N5:N8)</f>
        <v/>
      </c>
      <c r="O9" s="22">
        <f>SUM(O5:O8)</f>
        <v/>
      </c>
      <c r="P9" s="22">
        <f>SUM(P5:P8)</f>
        <v/>
      </c>
      <c r="Q9" s="22">
        <f>SUM(Q5:Q8)</f>
        <v/>
      </c>
      <c r="R9" s="22">
        <f>SUM(R5:R8)</f>
        <v/>
      </c>
      <c r="S9" s="22">
        <f>SUM(S5:S8)</f>
        <v/>
      </c>
      <c r="T9" s="22">
        <f>SUM(T5:T8)</f>
        <v/>
      </c>
      <c r="U9" s="23">
        <f>SUM(U5:U8)</f>
        <v/>
      </c>
      <c r="V9" s="12" t="n"/>
      <c r="W9" s="12" t="n"/>
      <c r="X9" s="12" t="n"/>
      <c r="Y9" s="12" t="n"/>
    </row>
  </sheetData>
  <autoFilter ref="A4:Y9"/>
  <mergeCells count="1">
    <mergeCell ref="A2:Y2"/>
  </mergeCells>
  <conditionalFormatting sqref="A5:Y509">
    <cfRule type="expression" priority="1" dxfId="0">
      <formula>AND(MOD(ROW(),2)=0,$A5&lt;&gt;"")</formula>
    </cfRule>
  </conditionalFormatting>
  <dataValidations count="3">
    <dataValidation sqref="E5:E509" showDropDown="0" showInputMessage="0" showErrorMessage="1" allowBlank="1" errorTitle="BRD relation" error="Choose a value from the list (BRD relation)." type="list">
      <formula1>'Lists'!$A$2:$A$3</formula1>
    </dataValidation>
    <dataValidation sqref="V5:V509" showDropDown="0" showInputMessage="0" showErrorMessage="1" allowBlank="1" errorTitle="Complexity" error="Choose a value from the list (Complexity)." type="list">
      <formula1>'Lists'!$B$2:$B$4</formula1>
    </dataValidation>
    <dataValidation sqref="W5:W509" showDropDown="0" showInputMessage="0" showErrorMessage="1" allowBlank="1" errorTitle="Priority" error="Choose a value from the list (Priority)." type="list">
      <formula1>'Lists'!$C$2:$C$4</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34" customWidth="1" min="4" max="4"/>
    <col width="40" customWidth="1" min="5" max="5"/>
    <col width="12" customWidth="1" min="6" max="6"/>
    <col width="10" customWidth="1" min="7" max="7"/>
  </cols>
  <sheetData>
    <row r="1" ht="24" customHeight="1">
      <c r="A1" s="16" t="inlineStr">
        <is>
          <t>Beyond the BRD - OOTB</t>
        </is>
      </c>
    </row>
    <row r="2">
      <c r="A2" s="19" t="inlineStr">
        <is>
          <t>Points beyond the BRD that the iNXT BrokerVerse OOTB platform provides (green): no cost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Feature List ID / OOTB status</t>
        </is>
      </c>
      <c r="E4" s="21" t="inlineStr">
        <is>
          <t>OOTB evidence</t>
        </is>
      </c>
      <c r="F4" s="21" t="inlineStr">
        <is>
          <t>BRD reference</t>
        </is>
      </c>
      <c r="G4" s="21" t="inlineStr">
        <is>
          <t>Cost (md)</t>
        </is>
      </c>
    </row>
    <row r="5">
      <c r="A5" s="12" t="inlineStr">
        <is>
          <t>G-01</t>
        </is>
      </c>
      <c r="B5" s="12" t="inlineStr">
        <is>
          <t>Scheduled daily run of the Daily Cash Reconciliation Reports</t>
        </is>
      </c>
      <c r="C5" s="12" t="inlineStr">
        <is>
          <t>FRS.CSH.09.02.10; Appendix M</t>
        </is>
      </c>
      <c r="D5" s="12" t="inlineStr">
        <is>
          <t>RPT-007 Available (user-scheduled reports with recipients)</t>
        </is>
      </c>
      <c r="E5" s="12" t="inlineStr">
        <is>
          <t>Reports &gt; Schedules: timing, format and recipients</t>
        </is>
      </c>
      <c r="F5" s="12" t="inlineStr">
        <is>
          <t>Not in BRD</t>
        </is>
      </c>
      <c r="G5" s="12" t="n">
        <v>0</v>
      </c>
    </row>
    <row r="6">
      <c r="A6" s="12" t="inlineStr">
        <is>
          <t>G-01b</t>
        </is>
      </c>
      <c r="B6" s="12" t="inlineStr">
        <is>
          <t>Scheduled weekly run of the Unapplied Premium Payment Transaction report</t>
        </is>
      </c>
      <c r="C6" s="12" t="inlineStr">
        <is>
          <t>FRS.CSH.09.02.11; Appendix M</t>
        </is>
      </c>
      <c r="D6" s="12" t="inlineStr">
        <is>
          <t>RPT-007 Available (user-scheduled reports with recipients)</t>
        </is>
      </c>
      <c r="E6" s="12" t="inlineStr">
        <is>
          <t>Reports &gt; Schedules: timing, format and recipients</t>
        </is>
      </c>
      <c r="F6" s="12" t="inlineStr">
        <is>
          <t>Not in BRD</t>
        </is>
      </c>
      <c r="G6" s="12" t="n">
        <v>0</v>
      </c>
    </row>
  </sheetData>
  <autoFilter ref="A4:G6"/>
  <mergeCells count="1">
    <mergeCell ref="A2:G2"/>
  </mergeCells>
  <conditionalFormatting sqref="A5:G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D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60" customWidth="1" min="3" max="3"/>
    <col width="22" customWidth="1" min="4" max="4"/>
  </cols>
  <sheetData>
    <row r="1" ht="24" customHeight="1">
      <c r="A1" s="16" t="inlineStr">
        <is>
          <t>Integration &amp; DM scope</t>
        </is>
      </c>
    </row>
    <row r="2">
      <c r="A2" s="19" t="inlineStr">
        <is>
          <t>Covered by the Integration scope or the Data Migration scope (BRD-13): no CR cost here</t>
        </is>
      </c>
    </row>
    <row r="3" ht="6" customHeight="1">
      <c r="A3" s="20" t="n"/>
      <c r="B3" s="20" t="n"/>
      <c r="C3" s="20" t="n"/>
      <c r="D3" s="20" t="n"/>
    </row>
    <row r="4" ht="30" customHeight="1">
      <c r="A4" s="21" t="inlineStr">
        <is>
          <t>Item</t>
        </is>
      </c>
      <c r="B4" s="21" t="inlineStr">
        <is>
          <t>Scope</t>
        </is>
      </c>
      <c r="C4" s="21" t="inlineStr">
        <is>
          <t>What</t>
        </is>
      </c>
      <c r="D4" s="21" t="inlineStr">
        <is>
          <t>Where in the FRS</t>
        </is>
      </c>
    </row>
    <row r="5">
      <c r="A5" s="12" t="inlineStr">
        <is>
          <t>OBPCS (Online Bills Payment Consolidation System)</t>
        </is>
      </c>
      <c r="B5" s="12" t="inlineStr">
        <is>
          <t>Integration scope</t>
        </is>
      </c>
      <c r="C5" s="12" t="inlineStr">
        <is>
          <t>Bills Payment file BDOIYYYYMMDD.txt with its header record (Appendix D.1)</t>
        </is>
      </c>
      <c r="D5" s="12" t="inlineStr">
        <is>
          <t>FRS Appendix N</t>
        </is>
      </c>
    </row>
    <row r="6">
      <c r="A6" s="12" t="inlineStr">
        <is>
          <t>PMS (PDC Management System)</t>
        </is>
      </c>
      <c r="B6" s="12" t="inlineStr">
        <is>
          <t>Integration scope</t>
        </is>
      </c>
      <c r="C6" s="12" t="inlineStr">
        <is>
          <t>Matured post-dated checks BDOIYYYYMMDDPMS.txt (Appendix D.2)</t>
        </is>
      </c>
      <c r="D6" s="12" t="inlineStr">
        <is>
          <t>FRS Appendix N</t>
        </is>
      </c>
    </row>
    <row r="7">
      <c r="A7" s="12" t="inlineStr">
        <is>
          <t>TFS / CIB (Trade)</t>
        </is>
      </c>
      <c r="B7" s="12" t="inlineStr">
        <is>
          <t>Integration scope</t>
        </is>
      </c>
      <c r="C7" s="12" t="inlineStr">
        <is>
          <t>Trade file UploadTrade_MM.DD.YYYY.txt (Appendix D.4)</t>
        </is>
      </c>
      <c r="D7" s="12" t="inlineStr">
        <is>
          <t>FRS Appendix N</t>
        </is>
      </c>
    </row>
    <row r="8">
      <c r="A8" s="12" t="inlineStr">
        <is>
          <t>Direct Credit (bank credit of payments)</t>
        </is>
      </c>
      <c r="B8" s="12" t="inlineStr">
        <is>
          <t>Integration scope</t>
        </is>
      </c>
      <c r="C8" s="12" t="inlineStr">
        <is>
          <t>Direct Credit file OTCYYYYMMDD-&lt;branch&gt;.txt (Appendix D.5) identifying the payments of a Bills Payment file (setting, Appendix H.8)</t>
        </is>
      </c>
      <c r="D8" s="12" t="inlineStr">
        <is>
          <t>FRS Appendix N</t>
        </is>
      </c>
    </row>
    <row r="9">
      <c r="A9" s="12" t="inlineStr">
        <is>
          <t>CLPC (Consumer Lending Processing Center)</t>
        </is>
      </c>
      <c r="B9" s="12" t="inlineStr">
        <is>
          <t>Integration scope</t>
        </is>
      </c>
      <c r="C9" s="12" t="inlineStr">
        <is>
          <t>CLPC file CLPC-MonDDYYYY.xlsx with its TOTAL row (Appendix D.3)</t>
        </is>
      </c>
      <c r="D9" s="12" t="inlineStr">
        <is>
          <t>FRS Appendix N</t>
        </is>
      </c>
    </row>
    <row r="10">
      <c r="A10" s="12" t="inlineStr">
        <is>
          <t>Insurers (Commission Schedule)</t>
        </is>
      </c>
      <c r="B10" s="12" t="inlineStr">
        <is>
          <t>Integration scope</t>
        </is>
      </c>
      <c r="C10" s="12" t="inlineStr">
        <is>
          <t>Commission Schedule of the commission paid by an insurer, matched to the commission receivable of each account</t>
        </is>
      </c>
      <c r="D10" s="12" t="inlineStr">
        <is>
          <t>FRS Appendix N</t>
        </is>
      </c>
    </row>
    <row r="11">
      <c r="A11" s="12" t="inlineStr">
        <is>
          <t>Channel simulator (SIT and UAT only)</t>
        </is>
      </c>
      <c r="B11" s="12" t="inlineStr">
        <is>
          <t>Integration scope</t>
        </is>
      </c>
      <c r="C11" s="12" t="inlineStr">
        <is>
          <t>Payment files of every type in BDOI's layouts for booked accounts, one account not yet booked and one unknown reference, dropped in the MFT folders or handed for upload</t>
        </is>
      </c>
      <c r="D11" s="12" t="inlineStr">
        <is>
          <t>FRS Appendix N</t>
        </is>
      </c>
    </row>
    <row r="12">
      <c r="A12" s="12" t="inlineStr">
        <is>
          <t>BIBS New Business</t>
        </is>
      </c>
      <c r="B12" s="12" t="inlineStr">
        <is>
          <t>Integration scope</t>
        </is>
      </c>
      <c r="C12" s="12" t="inlineStr">
        <is>
          <t>Booked accounts with their components (in); payment confirmation of each account (out)</t>
        </is>
      </c>
      <c r="D12" s="12" t="inlineStr">
        <is>
          <t>FRS Appendix N</t>
        </is>
      </c>
    </row>
    <row r="13">
      <c r="A13" s="12" t="inlineStr">
        <is>
          <t>BIBS Collections</t>
        </is>
      </c>
      <c r="B13" s="12" t="inlineStr">
        <is>
          <t>Integration scope</t>
        </is>
      </c>
      <c r="C13" s="12" t="inlineStr">
        <is>
          <t>Collector requests on unapplied payments; commission payment details; their result</t>
        </is>
      </c>
      <c r="D13" s="12" t="inlineStr">
        <is>
          <t>FRS Appendix N</t>
        </is>
      </c>
    </row>
    <row r="14">
      <c r="A14" s="12" t="inlineStr">
        <is>
          <t>BIBS Disbursement</t>
        </is>
      </c>
      <c r="B14" s="12" t="inlineStr">
        <is>
          <t>Integration scope</t>
        </is>
      </c>
      <c r="C14" s="12" t="inlineStr">
        <is>
          <t>Refund requests (out); their status and the approved insurer settlements that trigger the automatic OR (in)</t>
        </is>
      </c>
      <c r="D14" s="12" t="inlineStr">
        <is>
          <t>FRS Appendix N</t>
        </is>
      </c>
    </row>
    <row r="15">
      <c r="A15" s="12" t="inlineStr">
        <is>
          <t>BIBS Remittance</t>
        </is>
      </c>
      <c r="B15" s="12" t="inlineStr">
        <is>
          <t>Integration scope</t>
        </is>
      </c>
      <c r="C15" s="12" t="inlineStr">
        <is>
          <t>Paid and applied premium of each account (out); remittance status (in)</t>
        </is>
      </c>
      <c r="D15" s="12" t="inlineStr">
        <is>
          <t>FRS Appendix N</t>
        </is>
      </c>
    </row>
    <row r="16">
      <c r="A16" s="12" t="inlineStr">
        <is>
          <t>BIBS Accounting</t>
        </is>
      </c>
      <c r="B16" s="12" t="inlineStr">
        <is>
          <t>Integration scope</t>
        </is>
      </c>
      <c r="C16" s="12" t="inlineStr">
        <is>
          <t>The journal of every posting (out); the exchange rates and the accounts of the entries (in)</t>
        </is>
      </c>
      <c r="D16" s="12" t="inlineStr">
        <is>
          <t>FRS Appendix N</t>
        </is>
      </c>
    </row>
    <row r="17">
      <c r="A17" s="12" t="inlineStr">
        <is>
          <t>Marketing Collection / Commission Receivable</t>
        </is>
      </c>
      <c r="B17" s="12" t="inlineStr">
        <is>
          <t>Integration scope</t>
        </is>
      </c>
      <c r="C17" s="12" t="inlineStr">
        <is>
          <t>Unapplied records of their units; AP Unapplied Commission; PR 2307 kept outstanding</t>
        </is>
      </c>
      <c r="D17" s="12" t="inlineStr">
        <is>
          <t>FRS Appendix N</t>
        </is>
      </c>
    </row>
    <row r="18">
      <c r="A18" s="12" t="inlineStr">
        <is>
          <t>BRD-13 Data Migration</t>
        </is>
      </c>
      <c r="B18" s="12" t="inlineStr">
        <is>
          <t>Integration scope</t>
        </is>
      </c>
      <c r="C18" s="12" t="inlineStr">
        <is>
          <t>Open accounts with legacy numbers, unapplied payments, post-dated checks, receipt series in use (Appendix P)</t>
        </is>
      </c>
      <c r="D18" s="12" t="inlineStr">
        <is>
          <t>FRS Appendix N</t>
        </is>
      </c>
    </row>
    <row r="19">
      <c r="A19" s="12" t="inlineStr">
        <is>
          <t>Receipt series in use (branch, kind, prefix, range, ATP, next number)</t>
        </is>
      </c>
      <c r="B19" s="12" t="inlineStr">
        <is>
          <t>Data Migration scope</t>
        </is>
      </c>
      <c r="C19" s="12" t="inlineStr">
        <is>
          <t>Current receipts of each branch</t>
        </is>
      </c>
      <c r="D19" s="12" t="inlineStr">
        <is>
          <t>FRS Appendix P</t>
        </is>
      </c>
    </row>
    <row r="20">
      <c r="A20" s="12" t="inlineStr">
        <is>
          <t>Company bank accounts (Post to Bank Account list)</t>
        </is>
      </c>
      <c r="B20" s="12" t="inlineStr">
        <is>
          <t>Data Migration scope</t>
        </is>
      </c>
      <c r="C20" s="12" t="inlineStr">
        <is>
          <t>Treasury</t>
        </is>
      </c>
      <c r="D20" s="12" t="inlineStr">
        <is>
          <t>FRS Appendix P</t>
        </is>
      </c>
    </row>
    <row r="21">
      <c r="A21" s="12" t="inlineStr">
        <is>
          <t>Branches and branch indicators</t>
        </is>
      </c>
      <c r="B21" s="12" t="inlineStr">
        <is>
          <t>Data Migration scope</t>
        </is>
      </c>
      <c r="C21" s="12" t="inlineStr">
        <is>
          <t>Organisation</t>
        </is>
      </c>
      <c r="D21" s="12" t="inlineStr">
        <is>
          <t>FRS Appendix P</t>
        </is>
      </c>
    </row>
    <row r="22">
      <c r="A22" s="12" t="inlineStr">
        <is>
          <t>Exchange rates and their source</t>
        </is>
      </c>
      <c r="B22" s="12" t="inlineStr">
        <is>
          <t>Data Migration scope</t>
        </is>
      </c>
      <c r="C22" s="12" t="inlineStr">
        <is>
          <t>Comptrollership rate table</t>
        </is>
      </c>
      <c r="D22" s="12" t="inlineStr">
        <is>
          <t>FRS Appendix P</t>
        </is>
      </c>
    </row>
    <row r="23">
      <c r="A23" s="12" t="inlineStr">
        <is>
          <t>Holiday calendar</t>
        </is>
      </c>
      <c r="B23" s="12" t="inlineStr">
        <is>
          <t>Data Migration scope</t>
        </is>
      </c>
      <c r="C23" s="12" t="inlineStr">
        <is>
          <t>Organisation</t>
        </is>
      </c>
      <c r="D23" s="12" t="inlineStr">
        <is>
          <t>FRS Appendix P</t>
        </is>
      </c>
    </row>
    <row r="24">
      <c r="A24" s="12" t="inlineStr">
        <is>
          <t>Accounting rules of the Cashiering events</t>
        </is>
      </c>
      <c r="B24" s="12" t="inlineStr">
        <is>
          <t>Data Migration scope</t>
        </is>
      </c>
      <c r="C24" s="12" t="inlineStr">
        <is>
          <t>Comptrollership</t>
        </is>
      </c>
      <c r="D24" s="12" t="inlineStr">
        <is>
          <t>FRS Appendix P</t>
        </is>
      </c>
    </row>
    <row r="25">
      <c r="A25" s="12" t="inlineStr">
        <is>
          <t>Insurers with their banking list and TIN</t>
        </is>
      </c>
      <c r="B25" s="12" t="inlineStr">
        <is>
          <t>Data Migration scope</t>
        </is>
      </c>
      <c r="C25" s="12" t="inlineStr">
        <is>
          <t>Legacy insurer master</t>
        </is>
      </c>
      <c r="D25" s="12" t="inlineStr">
        <is>
          <t>FRS Appendix P</t>
        </is>
      </c>
    </row>
    <row r="26">
      <c r="A26" s="12" t="inlineStr">
        <is>
          <t>Clients with the BIR 2307 tag</t>
        </is>
      </c>
      <c r="B26" s="12" t="inlineStr">
        <is>
          <t>Data Migration scope</t>
        </is>
      </c>
      <c r="C26" s="12" t="inlineStr">
        <is>
          <t>Legacy client master</t>
        </is>
      </c>
      <c r="D26" s="12" t="inlineStr">
        <is>
          <t>FRS Appendix P</t>
        </is>
      </c>
    </row>
    <row r="27">
      <c r="A27" s="12" t="inlineStr">
        <is>
          <t>Users and roles of Cashiering</t>
        </is>
      </c>
      <c r="B27" s="12" t="inlineStr">
        <is>
          <t>Data Migration scope</t>
        </is>
      </c>
      <c r="C27" s="12" t="inlineStr">
        <is>
          <t>Business units</t>
        </is>
      </c>
      <c r="D27" s="12" t="inlineStr">
        <is>
          <t>FRS Appendix P</t>
        </is>
      </c>
    </row>
    <row r="28">
      <c r="A28" s="12" t="inlineStr">
        <is>
          <t>Lists of values (reasons, OR types, disposition types, payment file types)</t>
        </is>
      </c>
      <c r="B28" s="12" t="inlineStr">
        <is>
          <t>Data Migration scope</t>
        </is>
      </c>
      <c r="C28" s="12" t="inlineStr">
        <is>
          <t>This FRS (Appendix H)</t>
        </is>
      </c>
      <c r="D28" s="12" t="inlineStr">
        <is>
          <t>FRS Appendix P</t>
        </is>
      </c>
    </row>
    <row r="29">
      <c r="A29" s="12" t="inlineStr">
        <is>
          <t>Open accounts with outstanding premium and the legacy numbers (QPS, ISYS, Ebix, PN, Loan Application Number)</t>
        </is>
      </c>
      <c r="B29" s="12" t="inlineStr">
        <is>
          <t>Data Migration scope</t>
        </is>
      </c>
      <c r="C29" s="12" t="inlineStr">
        <is>
          <t>Legacy systems</t>
        </is>
      </c>
      <c r="D29" s="12" t="inlineStr">
        <is>
          <t>FRS Appendix P</t>
        </is>
      </c>
    </row>
    <row r="30">
      <c r="A30" s="12" t="inlineStr">
        <is>
          <t>Open unapplied payments (excess, unbooked, pre-booked) with their source</t>
        </is>
      </c>
      <c r="B30" s="12" t="inlineStr">
        <is>
          <t>Data Migration scope</t>
        </is>
      </c>
      <c r="C30" s="12" t="inlineStr">
        <is>
          <t>Legacy systems</t>
        </is>
      </c>
      <c r="D30" s="12" t="inlineStr">
        <is>
          <t>FRS Appendix P</t>
        </is>
      </c>
    </row>
    <row r="31">
      <c r="A31" s="12" t="inlineStr">
        <is>
          <t>Post-dated checks in the warehouse at cut-over</t>
        </is>
      </c>
      <c r="B31" s="12" t="inlineStr">
        <is>
          <t>Data Migration scope</t>
        </is>
      </c>
      <c r="C31" s="12" t="inlineStr">
        <is>
          <t>PMS and the vault</t>
        </is>
      </c>
      <c r="D31" s="12" t="inlineStr">
        <is>
          <t>FRS Appendix P</t>
        </is>
      </c>
    </row>
    <row r="32">
      <c r="A32" s="12" t="inlineStr">
        <is>
          <t>Payment file layouts of the channels</t>
        </is>
      </c>
      <c r="B32" s="12" t="inlineStr">
        <is>
          <t>Data Migration scope</t>
        </is>
      </c>
      <c r="C32" s="12" t="inlineStr">
        <is>
          <t>OBPCS, PMS, TFS, banks</t>
        </is>
      </c>
      <c r="D32" s="12" t="inlineStr">
        <is>
          <t>FRS Appendix P</t>
        </is>
      </c>
    </row>
    <row r="33">
      <c r="A33" s="12" t="inlineStr">
        <is>
          <t>AR and OR templates</t>
        </is>
      </c>
      <c r="B33" s="12" t="inlineStr">
        <is>
          <t>Data Migration scope</t>
        </is>
      </c>
      <c r="C33" s="12" t="inlineStr">
        <is>
          <t>BDOI forms (Appendix A)</t>
        </is>
      </c>
      <c r="D33" s="12" t="inlineStr">
        <is>
          <t>FRS Appendix P</t>
        </is>
      </c>
    </row>
  </sheetData>
  <autoFilter ref="A4:D33"/>
  <mergeCells count="1">
    <mergeCell ref="A2:D2"/>
  </mergeCells>
  <conditionalFormatting sqref="A5:D533">
    <cfRule type="expression" priority="1" dxfId="0">
      <formula>AND(MOD(ROW(),2)=0,$A5&lt;&gt;"")</formula>
    </cfRule>
  </conditionalFormatting>
  <dataValidations count="1">
    <dataValidation sqref="B5:B533" showDropDown="0" showInputMessage="0" showErrorMessage="1" allowBlank="1" errorTitle="Scope" error="Choose a value from the list (Scope)." type="list">
      <formula1>'Lists'!$D$2:$D$3</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2" customWidth="1" min="4" max="4"/>
    <col width="12" customWidth="1" min="5" max="5"/>
  </cols>
  <sheetData>
    <row r="1" ht="24" customHeight="1">
      <c r="A1" s="16" t="inlineStr">
        <is>
          <t>Best practice (blue)</t>
        </is>
      </c>
    </row>
    <row r="2">
      <c r="A2" s="19" t="inlineStr">
        <is>
          <t>Not in the BRD, the FRS or the OOTB platform: recommendations (Appendix W.6), not commitments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BP-CSH-01</t>
        </is>
      </c>
      <c r="B5" s="12" t="inlineStr">
        <is>
          <t>End-of-day cash count by denomination for each cashier, compared with the receipts of the day, with any variance explained and approved by the Team Leader</t>
        </is>
      </c>
      <c r="C5" s="12" t="inlineStr">
        <is>
          <t>Cash handling control expected by auditors; shortages and overages are found the same day</t>
        </is>
      </c>
      <c r="D5" s="12" t="inlineStr">
        <is>
          <t>High</t>
        </is>
      </c>
      <c r="E5" s="12" t="n">
        <v>6</v>
      </c>
    </row>
    <row r="6">
      <c r="A6" s="12" t="inlineStr">
        <is>
          <t>BP-CSH-02</t>
        </is>
      </c>
      <c r="B6" s="12" t="inlineStr">
        <is>
          <t>Cash acceptance limits per cashier and per payment, with a supervisor override recorded with its reason</t>
        </is>
      </c>
      <c r="C6" s="12" t="inlineStr">
        <is>
          <t>Limits the cash held at branches and supports AMLA vigilance on large cash payments</t>
        </is>
      </c>
      <c r="D6" s="12" t="inlineStr">
        <is>
          <t>Medium</t>
        </is>
      </c>
      <c r="E6" s="12" t="n">
        <v>4</v>
      </c>
    </row>
    <row r="7">
      <c r="A7" s="12" t="inlineStr">
        <is>
          <t>BP-CSH-03</t>
        </is>
      </c>
      <c r="B7" s="12" t="inlineStr">
        <is>
          <t>Dormant unapplied money: unapplied payments older than a set period are flagged for client contact and, after the legal period, reported under the Unclaimed Balances Law (Act No. 3936)</t>
        </is>
      </c>
      <c r="C7" s="12" t="inlineStr">
        <is>
          <t>Client money left unapplied must be returned or reported; the law sets the reporting duty for dormant balances</t>
        </is>
      </c>
      <c r="D7" s="12" t="inlineStr">
        <is>
          <t>Medium</t>
        </is>
      </c>
      <c r="E7" s="12" t="n">
        <v>5</v>
      </c>
    </row>
  </sheetData>
  <autoFilter ref="A4:E7"/>
  <mergeCells count="1">
    <mergeCell ref="A2:E2"/>
  </mergeCells>
  <conditionalFormatting sqref="A5:E507">
    <cfRule type="expression" priority="1" dxfId="0">
      <formula>AND(MOD(ROW(),2)=0,$A5&lt;&gt;"")</formula>
    </cfRule>
  </conditionalFormatting>
  <dataValidations count="1">
    <dataValidation sqref="D5:D507" showDropDown="0" showInputMessage="0" showErrorMessage="1" allowBlank="1" errorTitle="Suggested priority" error="Choose a value from the list (Suggested priority)." type="list">
      <formula1>'Lists'!$C$2:$C$4</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D5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60" customWidth="1" min="4" max="4"/>
  </cols>
  <sheetData>
    <row r="1" ht="24" customHeight="1">
      <c r="A1" s="16" t="inlineStr">
        <is>
          <t>BRD items to deliver</t>
        </is>
      </c>
    </row>
    <row r="2">
      <c r="A2" s="19" t="inlineStr">
        <is>
          <t>BRD requirements not fully met by the OOTB platform: in-scope delivery work for planning, not CRs</t>
        </is>
      </c>
    </row>
    <row r="3" ht="6" customHeight="1">
      <c r="A3" s="20" t="n"/>
      <c r="B3" s="20" t="n"/>
      <c r="C3" s="20" t="n"/>
      <c r="D3" s="20" t="n"/>
    </row>
    <row r="4" ht="30" customHeight="1">
      <c r="A4" s="21" t="inlineStr">
        <is>
          <t>BRD ID</t>
        </is>
      </c>
      <c r="B4" s="21" t="inlineStr">
        <is>
          <t>BRD requirement</t>
        </is>
      </c>
      <c r="C4" s="21" t="inlineStr">
        <is>
          <t>Fit</t>
        </is>
      </c>
      <c r="D4" s="21" t="inlineStr">
        <is>
          <t>What iNXT BrokerVerse offers out of the box</t>
        </is>
      </c>
    </row>
    <row r="5">
      <c r="A5" s="12" t="inlineStr">
        <is>
          <t>BRQID.001</t>
        </is>
      </c>
      <c r="B5" s="12" t="inlineStr">
        <is>
          <t>Access and log-in to the system.</t>
        </is>
      </c>
      <c r="C5" s="12" t="inlineStr">
        <is>
          <t>Configure</t>
        </is>
      </c>
      <c r="D5" s="12" t="inlineStr">
        <is>
          <t>Sign-in, roles and permissions per action and segregation of duties are standard; the Cashiering permissions are given to the roles by configuration (Appendix H).</t>
        </is>
      </c>
    </row>
    <row r="6">
      <c r="A6" s="12" t="inlineStr">
        <is>
          <t>BRQID.002</t>
        </is>
      </c>
      <c r="B6" s="12" t="inlineStr">
        <is>
          <t>Restrict access to authorized users so that only authorized personnel can access the system.</t>
        </is>
      </c>
      <c r="C6" s="12" t="inlineStr">
        <is>
          <t>Configure</t>
        </is>
      </c>
      <c r="D6" s="12" t="inlineStr">
        <is>
          <t>Sign-in, roles and permissions per action and segregation of duties are standard; the Cashiering permissions are given to the roles by configuration (Appendix H).</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Extend</t>
        </is>
      </c>
      <c r="D7" s="12" t="inlineStr">
        <is>
          <t>Role home pages with live work counts are standard; the Cashiering dashboard with count and amount per receipt type and status is an extension (the counts are available, the amounts per type follow BDOI's FRS.CSH.01.03.02).</t>
        </is>
      </c>
    </row>
    <row r="8">
      <c r="A8" s="12" t="inlineStr">
        <is>
          <t>BRQID.004</t>
        </is>
      </c>
      <c r="B8" s="12" t="inlineStr">
        <is>
          <t>Integrate with other systems / applications / modules to fetch or flow-in data. (i.e. Collection, Accounting, Disbursement, Marketing, Claims).</t>
        </is>
      </c>
      <c r="C8" s="12" t="inlineStr">
        <is>
          <t>Extend</t>
        </is>
      </c>
      <c r="D8" s="12" t="inlineStr">
        <is>
          <t>File uploads with runs, records and alerts, and the exchanges between the BIBS modules are standard; the MFT intake of the OBPCS and PMS files is an extension to agree with BDOI IT.</t>
        </is>
      </c>
    </row>
    <row r="9">
      <c r="A9" s="12" t="inlineStr">
        <is>
          <t>BRQID.005</t>
        </is>
      </c>
      <c r="B9" s="12" t="inlineStr">
        <is>
          <t>Facility to fetch from other systems / applications / modules the necessary data that are required to flow-in to support Operations processes.</t>
        </is>
      </c>
      <c r="C9" s="12" t="inlineStr">
        <is>
          <t>Extend</t>
        </is>
      </c>
      <c r="D9" s="12" t="inlineStr">
        <is>
          <t>File uploads with runs, records and alerts, and the exchanges between the BIBS modules are standard; the MFT intake of the OBPCS and PMS files is an extension to agree with BDOI IT.</t>
        </is>
      </c>
    </row>
    <row r="10">
      <c r="A10" s="12" t="inlineStr">
        <is>
          <t>CSHID.001</t>
        </is>
      </c>
      <c r="B10" s="12" t="inlineStr">
        <is>
          <t>Create, cancel, and reinstate Acknowledgement Receipt (AR). 1. Premium Payments - Bills Payments, OTC, Trade, CLPC, PDC. 2. Non-Premium Payments - Insurance Payments (Refund, Other expenses, AR Insurance)</t>
        </is>
      </c>
      <c r="C10" s="12" t="inlineStr">
        <is>
          <t>Extend</t>
        </is>
      </c>
      <c r="D10" s="12" t="inlineStr">
        <is>
          <t>Receipts with payor, references, amount, currency and mode, matched and applied at once, are standard; the posting step by a second user, the entry type and the bank account of BDOI's FRS are extensions (Appendix R, C1).</t>
        </is>
      </c>
    </row>
    <row r="11">
      <c r="A11" s="12" t="inlineStr">
        <is>
          <t>CSHID.002</t>
        </is>
      </c>
      <c r="B11" s="12" t="inlineStr">
        <is>
          <t>Create, cancel, and reinstate Official Receipt (OR). 1. Service Fee Income (e.g. risk management fee, consultancy fee) 2. Insurance Profit Share 3. Commissions (e.g. e.g. VAT or W/Tax) 4. Incentives 5. Others (discount)</t>
        </is>
      </c>
      <c r="C11" s="12" t="inlineStr">
        <is>
          <t>Configure</t>
        </is>
      </c>
      <c r="D11" s="12" t="inlineStr">
        <is>
          <t>Head Office receipts of income with VAT and withholding tax lines and the income account of each type are standard; the types are a maintained list.</t>
        </is>
      </c>
    </row>
    <row r="12">
      <c r="A12" s="12" t="inlineStr">
        <is>
          <t>CSHID.003</t>
        </is>
      </c>
      <c r="B12" s="12" t="inlineStr">
        <is>
          <t>Facility to allow User to choose the reason for AR or OR cancellation.</t>
        </is>
      </c>
      <c r="C12" s="12" t="inlineStr">
        <is>
          <t>Extend</t>
        </is>
      </c>
      <c r="D12" s="12" t="inlineStr">
        <is>
          <t>Cancellation and reinstatement as requests with a reason, approved by a second user, with reversal entries, are standard; the remitted / not remitted branches and AP Unapplied Commission of BDOI's FRS are extensions.</t>
        </is>
      </c>
    </row>
    <row r="13">
      <c r="A13" s="12" t="inlineStr">
        <is>
          <t>CSHID.004</t>
        </is>
      </c>
      <c r="B13" s="12" t="inlineStr">
        <is>
          <t>Facility to allow User to choose the reason for Reinstatement.</t>
        </is>
      </c>
      <c r="C13" s="12" t="inlineStr">
        <is>
          <t>Extend</t>
        </is>
      </c>
      <c r="D13" s="12" t="inlineStr">
        <is>
          <t>Cancellation and reinstatement as requests with a reason, approved by a second user, with reversal entries, are standard; the remitted / not remitted branches and AP Unapplied Commission of BDOI's FRS are extensions.</t>
        </is>
      </c>
    </row>
    <row r="14">
      <c r="A14" s="12" t="inlineStr">
        <is>
          <t>CSHID.005</t>
        </is>
      </c>
      <c r="B14"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4" s="12" t="inlineStr">
        <is>
          <t>Extend</t>
        </is>
      </c>
      <c r="D14" s="12" t="inlineStr">
        <is>
          <t>Cancellation and reinstatement as requests with a reason, approved by a second user, with reversal entries, are standard; the remitted / not remitted branches and AP Unapplied Commission of BDOI's FRS are extensions.</t>
        </is>
      </c>
    </row>
    <row r="15">
      <c r="A15" s="12" t="inlineStr">
        <is>
          <t>CSHID.006</t>
        </is>
      </c>
      <c r="B15" s="12" t="inlineStr">
        <is>
          <t>Auto-assign AR/OR numbers per transaction based on branch. Note: OR issuance is exclusively done by HO.</t>
        </is>
      </c>
      <c r="C15" s="12" t="inlineStr">
        <is>
          <t>Configure</t>
        </is>
      </c>
      <c r="D15" s="12" t="inlineStr">
        <is>
          <t>Series per branch and kind with ATP, range, warning level and maker-checker; numbering under a lock and a depleted-series stop are standard.</t>
        </is>
      </c>
    </row>
    <row r="16">
      <c r="A16" s="12" t="inlineStr">
        <is>
          <t>CSHID.007</t>
        </is>
      </c>
      <c r="B16" s="12" t="inlineStr">
        <is>
          <t>Issue an individual OR per commission check or credited amount or multiple payments in one OR as long as one Insurer / Payee (one certificate). Source of data: 1. Uploaded commission payment details from collection. 2. Remittance Schedule.</t>
        </is>
      </c>
      <c r="C16" s="12" t="inlineStr">
        <is>
          <t>Extend</t>
        </is>
      </c>
      <c r="D16" s="12" t="inlineStr">
        <is>
          <t>Commission payment details uploaded and issued as ORs per insurer and certificate are standard; the Commission Schedule matching and the trigger at the Disbursement approval of BDOI's FRS are extensions.</t>
        </is>
      </c>
    </row>
    <row r="17">
      <c r="A17" s="12" t="inlineStr">
        <is>
          <t>CSHID.008</t>
        </is>
      </c>
      <c r="B17"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7" s="12" t="inlineStr">
        <is>
          <t>Extend</t>
        </is>
      </c>
      <c r="D17" s="12" t="inlineStr">
        <is>
          <t>Uploads of the channel files with configurable layouts, duplicate refusal and the post-dated check warehouse with its daily maturity are standard; MFT intake, several files per event, file-name and header total checks are extensions.</t>
        </is>
      </c>
    </row>
    <row r="18">
      <c r="A18" s="12" t="inlineStr">
        <is>
          <t>CSHID.009</t>
        </is>
      </c>
      <c r="B18" s="12" t="inlineStr">
        <is>
          <t>Facility to accept check with “for check pick up” from Collection.</t>
        </is>
      </c>
      <c r="C18" s="12" t="inlineStr">
        <is>
          <t>Removed from the BRD</t>
        </is>
      </c>
      <c r="D18" s="12" t="inlineStr">
        <is>
          <t>Not offered for Cashiering (check pick-up and the Cashiering BIR 2307 processing are withdrawn).</t>
        </is>
      </c>
    </row>
    <row r="19">
      <c r="A19" s="12" t="inlineStr">
        <is>
          <t>CSHID.012</t>
        </is>
      </c>
      <c r="B19" s="12" t="inlineStr">
        <is>
          <t>Post Accounting entries once cancellation is posted.</t>
        </is>
      </c>
      <c r="C19" s="12" t="inlineStr">
        <is>
          <t>Configure</t>
        </is>
      </c>
      <c r="D19" s="12" t="inlineStr">
        <is>
          <t>Every Cashiering event posts a balanced journal through rules maintained by Comptrollership; no account is fixed in the system.</t>
        </is>
      </c>
    </row>
    <row r="20">
      <c r="A20" s="12" t="inlineStr">
        <is>
          <t>CSHID.013</t>
        </is>
      </c>
      <c r="B20" s="12" t="inlineStr">
        <is>
          <t>Post Accounting entries once reinstatement is posted.</t>
        </is>
      </c>
      <c r="C20" s="12" t="inlineStr">
        <is>
          <t>Configure</t>
        </is>
      </c>
      <c r="D20" s="12" t="inlineStr">
        <is>
          <t>Every Cashiering event posts a balanced journal through rules maintained by Comptrollership; no account is fixed in the system.</t>
        </is>
      </c>
    </row>
    <row r="21">
      <c r="A21" s="12" t="inlineStr">
        <is>
          <t>CSHID.014</t>
        </is>
      </c>
      <c r="B21" s="12" t="inlineStr">
        <is>
          <t>Post Accounting entries for AR/OR.</t>
        </is>
      </c>
      <c r="C21" s="12" t="inlineStr">
        <is>
          <t>Configure</t>
        </is>
      </c>
      <c r="D21" s="12" t="inlineStr">
        <is>
          <t>Every Cashiering event posts a balanced journal through rules maintained by Comptrollership; no account is fixed in the system.</t>
        </is>
      </c>
    </row>
    <row r="22">
      <c r="A22" s="12" t="inlineStr">
        <is>
          <t>CSHID.015</t>
        </is>
      </c>
      <c r="B22" s="12" t="inlineStr">
        <is>
          <t>Validate AR/OR series is not depleted before transaction processing.</t>
        </is>
      </c>
      <c r="C22" s="12" t="inlineStr">
        <is>
          <t>Configure</t>
        </is>
      </c>
      <c r="D22" s="12" t="inlineStr">
        <is>
          <t>Series per branch and kind with ATP, range, warning level and maker-checker; numbering under a lock and a depleted-series stop are standard.</t>
        </is>
      </c>
    </row>
    <row r="23">
      <c r="A23" s="12" t="inlineStr">
        <is>
          <t>CSHID.016</t>
        </is>
      </c>
      <c r="B23" s="12" t="inlineStr">
        <is>
          <t>Automatically reverse Premium Receivables with minimal balances and below (Php 10.00 and below) if not equal to the following: a. Two percent (2%) creditable withholding tax b. Amount of DST charged into the account c. Amount of the entire premium</t>
        </is>
      </c>
      <c r="C23" s="12" t="inlineStr">
        <is>
          <t>Configure</t>
        </is>
      </c>
      <c r="D23" s="12" t="inlineStr">
        <is>
          <t>Minimal balances cleared when the payment is processed with a configurable threshold and the three exceptions are standard.</t>
        </is>
      </c>
    </row>
    <row r="24">
      <c r="A24" s="12" t="inlineStr">
        <is>
          <t>CSHID.017</t>
        </is>
      </c>
      <c r="B24" s="12" t="inlineStr">
        <is>
          <t>Facility to allow authorized Users to generate, download, or print reports.</t>
        </is>
      </c>
      <c r="C24" s="12" t="inlineStr">
        <is>
          <t>Extend</t>
        </is>
      </c>
      <c r="D24" s="12" t="inlineStr">
        <is>
          <t>Reports with separate view and export rights and an archive of every run are standard; the layouts of BDOI's FRS.CSH.09.02 are set up as report layouts.</t>
        </is>
      </c>
    </row>
    <row r="25">
      <c r="A25" s="12" t="inlineStr">
        <is>
          <t>CSHID.018</t>
        </is>
      </c>
      <c r="B25" s="12" t="inlineStr">
        <is>
          <t>Facility to allow selected Users to view generated report.</t>
        </is>
      </c>
      <c r="C25" s="12" t="inlineStr">
        <is>
          <t>Extend</t>
        </is>
      </c>
      <c r="D25" s="12" t="inlineStr">
        <is>
          <t>Reports with separate view and export rights and an archive of every run are standard; the layouts of BDOI's FRS.CSH.09.02 are set up as report layouts.</t>
        </is>
      </c>
    </row>
    <row r="26">
      <c r="A26" s="12" t="inlineStr">
        <is>
          <t>CSHID.019</t>
        </is>
      </c>
      <c r="B26" s="12" t="inlineStr">
        <is>
          <t>Facility to perform batch printing of AR / OR.</t>
        </is>
      </c>
      <c r="C26" s="12" t="inlineStr">
        <is>
          <t>Extend</t>
        </is>
      </c>
      <c r="D26" s="12" t="inlineStr">
        <is>
          <t>Batch printing of receipts with a print log is standard; the ZIP of single PDFs, the certificate number and the REPRINT mark of BDOI's FRS are extensions.</t>
        </is>
      </c>
    </row>
    <row r="27">
      <c r="A27" s="12" t="inlineStr">
        <is>
          <t>CSHID.020</t>
        </is>
      </c>
      <c r="B27" s="12" t="inlineStr">
        <is>
          <t>Perform matching at the point of payment acceptance except for issued PDC.</t>
        </is>
      </c>
      <c r="C27" s="12" t="inlineStr">
        <is>
          <t>Extend</t>
        </is>
      </c>
      <c r="D27" s="12" t="inlineStr">
        <is>
          <t>Matching on the account references with pre-booked, excess, unmatched and cancelled-reference outcomes is standard; the legacy numbers as keys and the Direct Credit identification of BDOI's FRS are extensions.</t>
        </is>
      </c>
    </row>
    <row r="28">
      <c r="A28" s="12" t="inlineStr">
        <is>
          <t>CSHID.022</t>
        </is>
      </c>
      <c r="B28"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28" s="12" t="inlineStr">
        <is>
          <t>Configure</t>
        </is>
      </c>
      <c r="D28" s="12" t="inlineStr">
        <is>
          <t>Application by component in a fixed order (DST, VAT, LGT, FST, other charges, basic premium), never to the premium due to the insurer.</t>
        </is>
      </c>
    </row>
    <row r="29">
      <c r="A29" s="12" t="inlineStr">
        <is>
          <t>CSHID.023</t>
        </is>
      </c>
      <c r="B29" s="12" t="inlineStr">
        <is>
          <t>Capability to generate reports. 2. See Cashiering Reports list under Annex.</t>
        </is>
      </c>
      <c r="C29" s="12" t="inlineStr">
        <is>
          <t>Extend</t>
        </is>
      </c>
      <c r="D29" s="12" t="inlineStr">
        <is>
          <t>Reports with separate view and export rights and an archive of every run are standard; the layouts of BDOI's FRS.CSH.09.02 are set up as report layouts.</t>
        </is>
      </c>
    </row>
    <row r="30">
      <c r="A30" s="12" t="inlineStr">
        <is>
          <t>CSHID.024</t>
        </is>
      </c>
      <c r="B30"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0" s="12" t="inlineStr">
        <is>
          <t>Extend</t>
        </is>
      </c>
      <c r="D30" s="12" t="inlineStr">
        <is>
          <t>Unapplied workbench with disposition types, approval rule per type, tabs by status, reversal and refund to Disbursement is an extension of BIBS, available in the BIBS environment.</t>
        </is>
      </c>
    </row>
    <row r="31">
      <c r="A31" s="12" t="inlineStr">
        <is>
          <t>CSHID.025</t>
        </is>
      </c>
      <c r="B31" s="12" t="inlineStr">
        <is>
          <t>Facility to display information as per Disposition Tabs 1. Unapplied - Displays payments with no disposition assigned. 2. Monitoring - Displays payments with disposition already assigned. 3. For Approval - Displays payments requiring Team approval.</t>
        </is>
      </c>
      <c r="C31" s="12" t="inlineStr">
        <is>
          <t>Extend</t>
        </is>
      </c>
      <c r="D31" s="12" t="inlineStr">
        <is>
          <t>Unapplied workbench with disposition types, approval rule per type, tabs by status, reversal and refund to Disbursement is an extension of BIBS, available in the BIBS environment.</t>
        </is>
      </c>
    </row>
    <row r="32">
      <c r="A32" s="12" t="inlineStr">
        <is>
          <t>CSHID.026</t>
        </is>
      </c>
      <c r="B32" s="12" t="inlineStr">
        <is>
          <t>Facility to receive tagged BIR 2307 data from Marketing Collection, process payments (cash or certificate), and remit accordingly. Issue ARs, reverse premiums, and forward transactions to Disbursement.</t>
        </is>
      </c>
      <c r="C32" s="12" t="inlineStr">
        <is>
          <t>Removed from the BRD</t>
        </is>
      </c>
      <c r="D32" s="12" t="inlineStr">
        <is>
          <t>Not offered for Cashiering (check pick-up and the Cashiering BIR 2307 processing are withdrawn).</t>
        </is>
      </c>
    </row>
    <row r="33">
      <c r="A33" s="12" t="inlineStr">
        <is>
          <t>CSHID.027</t>
        </is>
      </c>
      <c r="B33"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3" s="12" t="inlineStr">
        <is>
          <t>Removed from the BRD</t>
        </is>
      </c>
      <c r="D33" s="12" t="inlineStr">
        <is>
          <t>Not offered for Cashiering (check pick-up and the Cashiering BIR 2307 processing are withdrawn).</t>
        </is>
      </c>
    </row>
    <row r="34">
      <c r="A34" s="12" t="inlineStr">
        <is>
          <t>DBMID.001</t>
        </is>
      </c>
      <c r="B34" s="12" t="inlineStr">
        <is>
          <t>Receive and process BIR 2307 Report. Receive sorted BIR 2307 certificates and supporting documents from Marketing Collection.</t>
        </is>
      </c>
      <c r="C34" s="12" t="inlineStr">
        <is>
          <t>Specified in another FRS</t>
        </is>
      </c>
      <c r="D34" s="12" t="inlineStr">
        <is>
          <t>Specified in the FRS of Marketing Collection and Disbursement; Cashiering keeps the PR 2307 outstanding at payment.</t>
        </is>
      </c>
    </row>
    <row r="35">
      <c r="A35" s="12" t="inlineStr">
        <is>
          <t>MKTID.013</t>
        </is>
      </c>
      <c r="B35"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35" s="12" t="inlineStr">
        <is>
          <t>Specified in another FRS</t>
        </is>
      </c>
      <c r="D35" s="12" t="inlineStr">
        <is>
          <t>Specified in the FRS of Marketing Collection and Disbursement; Cashiering keeps the PR 2307 outstanding at payment.</t>
        </is>
      </c>
    </row>
    <row r="36">
      <c r="A36" s="12" t="inlineStr">
        <is>
          <t>CSH-NFR-01</t>
        </is>
      </c>
      <c r="B36" s="12" t="inlineStr">
        <is>
          <t>Users: Cashiering HO 11, branches 5; TL / TH 5 + 5</t>
        </is>
      </c>
      <c r="C36" s="12" t="inlineStr">
        <is>
          <t>Configure</t>
        </is>
      </c>
      <c r="D36" s="12" t="inlineStr">
        <is>
          <t>Within the BIBS sizing for all BRDs</t>
        </is>
      </c>
    </row>
    <row r="37">
      <c r="A37" s="12" t="inlineStr">
        <is>
          <t>CSH-NFR-02</t>
        </is>
      </c>
      <c r="B37" s="12" t="inlineStr">
        <is>
          <t>Volumes: Not stated</t>
        </is>
      </c>
      <c r="C37" s="12" t="inlineStr">
        <is>
          <t>Configure</t>
        </is>
      </c>
      <c r="D37" s="12" t="inlineStr">
        <is>
          <t>Assumed within the BIBS sizing; to confirm</t>
        </is>
      </c>
    </row>
    <row r="38">
      <c r="A38" s="12" t="inlineStr">
        <is>
          <t>CSH-NFR-03</t>
        </is>
      </c>
      <c r="B38" s="12" t="inlineStr">
        <is>
          <t>Response time: Under 5 seconds for every function; section navigation under 5 seconds</t>
        </is>
      </c>
      <c r="C38" s="12" t="inlineStr">
        <is>
          <t>Configure</t>
        </is>
      </c>
      <c r="D38" s="12" t="inlineStr">
        <is>
          <t>Screens within 3 seconds for 95% of requests; file processing and printing run in the background with progress</t>
        </is>
      </c>
    </row>
    <row r="39">
      <c r="A39" s="12" t="inlineStr">
        <is>
          <t>CSH-NFR-04</t>
        </is>
      </c>
      <c r="B39" s="12" t="inlineStr">
        <is>
          <t>Batch printing: 50 documents under 10 seconds</t>
        </is>
      </c>
      <c r="C39" s="12" t="inlineStr">
        <is>
          <t>Configure</t>
        </is>
      </c>
      <c r="D39" s="12" t="inlineStr">
        <is>
          <t>Print batches of up to 500 receipts</t>
        </is>
      </c>
    </row>
    <row r="40">
      <c r="A40" s="12" t="inlineStr">
        <is>
          <t>CSH-NFR-05</t>
        </is>
      </c>
      <c r="B40" s="12" t="inlineStr">
        <is>
          <t>File size: Not stated (BDOI FRS: 50 MB)</t>
        </is>
      </c>
      <c r="C40" s="12" t="inlineStr">
        <is>
          <t>Configure</t>
        </is>
      </c>
      <c r="D40" s="12" t="inlineStr">
        <is>
          <t>Files up to 50 MB; each row processed on its own</t>
        </is>
      </c>
    </row>
    <row r="41">
      <c r="A41" s="12" t="inlineStr">
        <is>
          <t>CSH-NFR-06</t>
        </is>
      </c>
      <c r="B41" s="12" t="inlineStr">
        <is>
          <t>Peak: 15th and 30th of the month; peak hours 08:00-17:30</t>
        </is>
      </c>
      <c r="C41" s="12" t="inlineStr">
        <is>
          <t>Configure</t>
        </is>
      </c>
      <c r="D41" s="12" t="inlineStr">
        <is>
          <t>Runs scheduled outside the peak hours (Appendix M)</t>
        </is>
      </c>
    </row>
    <row r="42">
      <c r="A42" s="12" t="inlineStr">
        <is>
          <t>CSH-NFR-07</t>
        </is>
      </c>
      <c r="B42" s="12" t="inlineStr">
        <is>
          <t>Availability: 99.9%; use 07:00-18:30</t>
        </is>
      </c>
      <c r="C42" s="12" t="inlineStr">
        <is>
          <t>Configure</t>
        </is>
      </c>
      <c r="D42" s="12" t="inlineStr">
        <is>
          <t>Same service window as BIBS</t>
        </is>
      </c>
    </row>
    <row r="43">
      <c r="A43" s="12" t="inlineStr">
        <is>
          <t>CSH-NFR-08</t>
        </is>
      </c>
      <c r="B43" s="12" t="inlineStr">
        <is>
          <t>Recovery: RTO 4 hours, RPO 24 hours</t>
        </is>
      </c>
      <c r="C43" s="12" t="inlineStr">
        <is>
          <t>Configure</t>
        </is>
      </c>
      <c r="D43" s="12" t="inlineStr">
        <is>
          <t>Programme backup and recovery</t>
        </is>
      </c>
    </row>
    <row r="44">
      <c r="A44" s="12" t="inlineStr">
        <is>
          <t>CSH-NFR-09</t>
        </is>
      </c>
      <c r="B44" s="12" t="inlineStr">
        <is>
          <t>Retention: Logs and history 5 years online, 15 years archive; backup every 4 hours kept 7 years</t>
        </is>
      </c>
      <c r="C44" s="12" t="inlineStr">
        <is>
          <t>Configure</t>
        </is>
      </c>
      <c r="D44" s="12" t="inlineStr">
        <is>
          <t>Retention per record type</t>
        </is>
      </c>
    </row>
    <row r="45">
      <c r="A45" s="12" t="inlineStr">
        <is>
          <t>CSH-NFR-10</t>
        </is>
      </c>
      <c r="B45" s="12" t="inlineStr">
        <is>
          <t>Devices: Same performance on mobile and desktop</t>
        </is>
      </c>
      <c r="C45" s="12" t="inlineStr">
        <is>
          <t>Configure</t>
        </is>
      </c>
      <c r="D45" s="12" t="inlineStr">
        <is>
          <t>Responsive screens; BDO-issued devices (FRS.OPS.001)</t>
        </is>
      </c>
    </row>
    <row r="46">
      <c r="A46" s="12" t="inlineStr">
        <is>
          <t>CSH-NFR-11</t>
        </is>
      </c>
      <c r="B46" s="12" t="inlineStr">
        <is>
          <t>Security: Authorised users only; protected files</t>
        </is>
      </c>
      <c r="C46" s="12" t="inlineStr">
        <is>
          <t>Configure</t>
        </is>
      </c>
      <c r="D46" s="12" t="inlineStr">
        <is>
          <t>Role-based access, segregation of duties, files stored read-only</t>
        </is>
      </c>
    </row>
    <row r="47">
      <c r="A47" s="12" t="inlineStr">
        <is>
          <t>CSH-NFR-12</t>
        </is>
      </c>
      <c r="B47" s="12" t="inlineStr">
        <is>
          <t>Audit: All actions logged; the seven items of the BDO IT audit trail standard (sign-off condition of BRD v1.01, p.67)</t>
        </is>
      </c>
      <c r="C47" s="12" t="inlineStr">
        <is>
          <t>Configure</t>
        </is>
      </c>
      <c r="D47" s="12" t="inlineStr">
        <is>
          <t>Audit trail that no user can change, refused actions recorded</t>
        </is>
      </c>
    </row>
    <row r="48">
      <c r="A48" s="12" t="inlineStr">
        <is>
          <t>CSH-NFR-13</t>
        </is>
      </c>
      <c r="B48" s="12" t="inlineStr">
        <is>
          <t>Amounts and dates: Philippine peso and US dollar; two decimals</t>
        </is>
      </c>
      <c r="C48" s="12" t="inlineStr">
        <is>
          <t>Configure</t>
        </is>
      </c>
      <c r="D48" s="12" t="inlineStr">
        <is>
          <t>Amounts with thousands separators and two decimals; dates dd-MMM-yyyy; Philippine time</t>
        </is>
      </c>
    </row>
    <row r="49">
      <c r="A49" s="12" t="inlineStr">
        <is>
          <t>CSH-NFR-14</t>
        </is>
      </c>
      <c r="B49" s="12" t="inlineStr">
        <is>
          <t>Configuration: Lists and thresholds maintained by the business</t>
        </is>
      </c>
      <c r="C49" s="12" t="inlineStr">
        <is>
          <t>Configure</t>
        </is>
      </c>
      <c r="D49" s="12" t="inlineStr">
        <is>
          <t>Parameters and lists of Appendix H changed without a change to the system</t>
        </is>
      </c>
    </row>
    <row r="50">
      <c r="A50" s="12" t="inlineStr">
        <is>
          <t>CSH-NFR-15</t>
        </is>
      </c>
      <c r="B50" s="12" t="inlineStr">
        <is>
          <t>Maintenance: As per bank standard</t>
        </is>
      </c>
      <c r="C50" s="12" t="inlineStr">
        <is>
          <t>Configure</t>
        </is>
      </c>
      <c r="D50" s="12" t="inlineStr">
        <is>
          <t>Planned maintenance within the maintenance windows of the bank standard; users told in advance</t>
        </is>
      </c>
    </row>
    <row r="51">
      <c r="A51" s="12" t="inlineStr">
        <is>
          <t>CSH-NFR-16</t>
        </is>
      </c>
      <c r="B51" s="12" t="inlineStr">
        <is>
          <t>Disaster: Business continuity threshold: RTO 4 hours, RPO 24 hours</t>
        </is>
      </c>
      <c r="C51" s="12" t="inlineStr">
        <is>
          <t>Configure</t>
        </is>
      </c>
      <c r="D51" s="12" t="inlineStr">
        <is>
          <t>Programme disaster recovery; the targets of CSH-NFR-08 apply</t>
        </is>
      </c>
    </row>
    <row r="52">
      <c r="A52" s="12" t="inlineStr">
        <is>
          <t>CSH-NFR-17</t>
        </is>
      </c>
      <c r="B52" s="12" t="inlineStr">
        <is>
          <t>Sessions: Programme NFR 10.07 (Collections addendum): one session per device</t>
        </is>
      </c>
      <c r="C52" s="12" t="inlineStr">
        <is>
          <t>Configure</t>
        </is>
      </c>
      <c r="D52" s="12" t="inlineStr">
        <is>
          <t>A second sign-in on another device ends the first (User Access Maintenance FRS)</t>
        </is>
      </c>
    </row>
    <row r="53">
      <c r="A53" s="12" t="inlineStr">
        <is>
          <t>CSH-NFR-18</t>
        </is>
      </c>
      <c r="B53" s="12" t="inlineStr">
        <is>
          <t>Audit source: Programme NFR 4.03 (CLM, CLXN, RI addenda): source / IP address in the audit log</t>
        </is>
      </c>
      <c r="C53" s="12" t="inlineStr">
        <is>
          <t>Configure</t>
        </is>
      </c>
      <c r="D53" s="12" t="inlineStr">
        <is>
          <t>The audit log records the workstation / IP address of every action</t>
        </is>
      </c>
    </row>
  </sheetData>
  <autoFilter ref="A4:D53"/>
  <mergeCells count="1">
    <mergeCell ref="A2:D2"/>
  </mergeCells>
  <conditionalFormatting sqref="A5:D55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34" customWidth="1" min="1" max="1"/>
    <col width="20" customWidth="1" min="2" max="2"/>
    <col width="80" customWidth="1" min="3" max="3"/>
  </cols>
  <sheetData>
    <row r="1">
      <c r="A1" s="16" t="inlineStr">
        <is>
          <t>Assumptions</t>
        </is>
      </c>
    </row>
    <row r="3">
      <c r="A3" s="24" t="inlineStr">
        <is>
          <t>Item</t>
        </is>
      </c>
      <c r="B3" s="24" t="inlineStr">
        <is>
          <t>Value</t>
        </is>
      </c>
      <c r="C3" s="24" t="inlineStr">
        <is>
          <t>Note</t>
        </is>
      </c>
    </row>
    <row r="4">
      <c r="A4" s="25" t="inlineStr">
        <is>
          <t>Hours in a man-day</t>
        </is>
      </c>
      <c r="B4" s="25" t="n">
        <v>8</v>
      </c>
      <c r="C4" s="25" t="inlineStr">
        <is>
          <t>One man-day (md) = 8 working hours</t>
        </is>
      </c>
    </row>
    <row r="5">
      <c r="A5" s="25" t="inlineStr">
        <is>
          <t>Currency</t>
        </is>
      </c>
      <c r="B5" s="25" t="inlineStr">
        <is>
          <t>PHP</t>
        </is>
      </c>
      <c r="C5" s="25" t="inlineStr">
        <is>
          <t>Philippine peso</t>
        </is>
      </c>
    </row>
    <row r="6">
      <c r="A6" s="25" t="inlineStr">
        <is>
          <t>Estimate range (plus or minus)</t>
        </is>
      </c>
      <c r="B6" s="26" t="n">
        <v>0.2</v>
      </c>
      <c r="C6" s="25" t="inlineStr">
        <is>
          <t>Each total is an estimate within plus or minus 20%</t>
        </is>
      </c>
    </row>
    <row r="7">
      <c r="A7" s="25" t="inlineStr">
        <is>
          <t>DayRate (PHP per man-day)</t>
        </is>
      </c>
      <c r="B7" s="27" t="n"/>
      <c r="C7" s="25" t="inlineStr">
        <is>
          <t>Enter the agreed day rate; the cost columns follow by formula</t>
        </is>
      </c>
    </row>
    <row r="8">
      <c r="A8" s="25" t="inlineStr">
        <is>
          <t>OOTB baseline</t>
        </is>
      </c>
      <c r="B8" s="25" t="inlineStr">
        <is>
          <t>brokerverse-platform</t>
        </is>
      </c>
      <c r="C8" s="25" t="inlineStr">
        <is>
          <t>iNXT BrokerVerse OOTB platform (brokerverse-platform), with the programme Feature List (column OOTB platform) as a cross-check</t>
        </is>
      </c>
    </row>
    <row r="9">
      <c r="A9" s="25" t="inlineStr">
        <is>
          <t>Basis</t>
        </is>
      </c>
      <c r="B9" s="25" t="inlineStr">
        <is>
          <t>Platform size</t>
        </is>
      </c>
      <c r="C9" s="25" t="inlineStr">
        <is>
          <t>Effort from the size of the platform parts each change touches and a similar existing function; for a Partial feature, the missing part only</t>
        </is>
      </c>
    </row>
    <row r="10">
      <c r="A10" s="25" t="inlineStr">
        <is>
          <t>Not change requests</t>
        </is>
      </c>
      <c r="B10" s="25" t="inlineStr">
        <is>
          <t>-</t>
        </is>
      </c>
      <c r="C10" s="25" t="inlineStr">
        <is>
          <t>BRD requirements (in scope), Integration scope and Data Migration scope items, best-practice recommendations</t>
        </is>
      </c>
    </row>
    <row r="11">
      <c r="A11" s="25" t="inlineStr">
        <is>
          <t>Excluded</t>
        </is>
      </c>
      <c r="B11" s="25" t="inlineStr">
        <is>
          <t>-</t>
        </is>
      </c>
      <c r="C11" s="25" t="inlineStr">
        <is>
          <t>BDOI decisions and inputs, BDOI testing time, infrastructure</t>
        </is>
      </c>
    </row>
    <row r="12">
      <c r="A12" s="25" t="inlineStr">
        <is>
          <t>Validity</t>
        </is>
      </c>
      <c r="B12" s="25" t="inlineStr">
        <is>
          <t>30 days</t>
        </is>
      </c>
      <c r="C12" s="25" t="inlineStr">
        <is>
          <t>Estimated again if the scope of a change request changes</t>
        </is>
      </c>
    </row>
  </sheetData>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A1:D4"/>
  <sheetViews>
    <sheetView workbookViewId="0">
      <pane ySplit="1" topLeftCell="A2" activePane="bottomLeft" state="frozen"/>
      <selection pane="bottomLeft" activeCell="A1" sqref="A1"/>
    </sheetView>
  </sheetViews>
  <sheetFormatPr baseColWidth="8" defaultRowHeight="15"/>
  <cols>
    <col width="29" customWidth="1" min="1" max="1"/>
    <col width="18" customWidth="1" min="2" max="2"/>
    <col width="18" customWidth="1" min="3" max="3"/>
    <col width="24" customWidth="1" min="4" max="4"/>
  </cols>
  <sheetData>
    <row r="1">
      <c r="A1" s="24" t="inlineStr">
        <is>
          <t>BRD relation</t>
        </is>
      </c>
      <c r="B1" s="24" t="inlineStr">
        <is>
          <t>Complexity</t>
        </is>
      </c>
      <c r="C1" s="24" t="inlineStr">
        <is>
          <t>Priority</t>
        </is>
      </c>
      <c r="D1" s="24" t="inlineStr">
        <is>
          <t>Scope</t>
        </is>
      </c>
    </row>
    <row r="2">
      <c r="A2" s="28" t="inlineStr">
        <is>
          <t>Extends a BRD requirement</t>
        </is>
      </c>
      <c r="B2" s="28" t="inlineStr">
        <is>
          <t>Low</t>
        </is>
      </c>
      <c r="C2" s="28" t="inlineStr">
        <is>
          <t>High</t>
        </is>
      </c>
      <c r="D2" s="28" t="inlineStr">
        <is>
          <t>Integration scope</t>
        </is>
      </c>
    </row>
    <row r="3">
      <c r="A3" s="28" t="inlineStr">
        <is>
          <t>Not in any BRD</t>
        </is>
      </c>
      <c r="B3" s="28" t="inlineStr">
        <is>
          <t>Medium</t>
        </is>
      </c>
      <c r="C3" s="28" t="inlineStr">
        <is>
          <t>Medium</t>
        </is>
      </c>
      <c r="D3" s="28" t="inlineStr">
        <is>
          <t>Data Migration scope</t>
        </is>
      </c>
    </row>
    <row r="4">
      <c r="B4" s="28" t="inlineStr">
        <is>
          <t>High</t>
        </is>
      </c>
      <c r="C4" s="28" t="inlineStr">
        <is>
          <t>Low</t>
        </is>
      </c>
    </row>
  </sheetData>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Effort Estimate</dc:title>
  <dc:subject xmlns:dc="http://purl.org/dc/elements/1.1/">BIBS – BDOI Broker System</dc:subject>
  <dcterms:created xmlns:dcterms="http://purl.org/dc/terms/" xmlns:xsi="http://www.w3.org/2001/XMLSchema-instance" xsi:type="dcterms:W3CDTF">2026-10-11T15:09:09Z</dcterms:created>
  <dcterms:modified xmlns:dcterms="http://purl.org/dc/terms/" xmlns:xsi="http://www.w3.org/2001/XMLSchema-instance" xsi:type="dcterms:W3CDTF">2026-10-11T15:09:09Z</dcterms:modified>
  <cp:keywords>Estimate, BRD-02, BIBS, BDOI</cp:keywords>
</cp:coreProperties>
</file>