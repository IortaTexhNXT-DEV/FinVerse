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Effort'!$A$4:$X$7</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OOTB'!$A$4:$G$5</definedName>
    <definedName name="_xlnm.Print_Titles" localSheetId="5">'BRD covered - OOTB'!$4:$4</definedName>
    <definedName name="_xlnm._FilterDatabase" localSheetId="6" hidden="1">'Integration &amp; DM scope'!$A$4:$D$33</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deliver'!$A$4:$E$55</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15</v>
      </c>
    </row>
    <row r="22">
      <c r="B22" s="11" t="inlineStr">
        <is>
          <t>CR Effort</t>
        </is>
      </c>
      <c r="C22" s="12" t="inlineStr">
        <is>
          <t>One row per orange point of the FRS v3.3 (Appendix W.2), effort in man-days</t>
        </is>
      </c>
      <c r="D22" s="12" t="n">
        <v>3</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1</v>
      </c>
    </row>
    <row r="25">
      <c r="B25" s="13" t="inlineStr">
        <is>
          <t>Integration &amp; DM scope</t>
        </is>
      </c>
      <c r="C25" s="14" t="inlineStr">
        <is>
          <t>Covered by the Integration scope or the Data Migration scope (BRD-13): no CR cost here</t>
        </is>
      </c>
      <c r="D25" s="14" t="n">
        <v>29</v>
      </c>
    </row>
    <row r="26">
      <c r="B26" s="11" t="inlineStr">
        <is>
          <t>Best practice (blue)</t>
        </is>
      </c>
      <c r="C26" s="12" t="inlineStr">
        <is>
          <t>Not in the BRD, the FRS or the OOTB platform: recommendations (Appendix W.6), not commitments</t>
        </is>
      </c>
      <c r="D26" s="12" t="n">
        <v>3</v>
      </c>
    </row>
    <row r="27">
      <c r="B27" s="13" t="inlineStr">
        <is>
          <t>BRD items to deliver</t>
        </is>
      </c>
      <c r="C27" s="14" t="inlineStr">
        <is>
          <t>BRD requirements not fully met by the OOTB platform: in-scope delivery work for planning, not CRs</t>
        </is>
      </c>
      <c r="D27" s="14" t="n">
        <v>51</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(Appendix W.3)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1</v>
      </c>
    </row>
    <row r="7">
      <c r="A7" s="12" t="inlineStr">
        <is>
          <t>Change requests (orange)</t>
        </is>
      </c>
      <c r="B7" s="12" t="n">
        <v>2</v>
      </c>
    </row>
    <row r="8">
      <c r="A8" s="12" t="inlineStr">
        <is>
          <t>Man-days: Analysis &amp; design</t>
        </is>
      </c>
      <c r="B8" s="23">
        <f>SUM('CR Effort'!L5:L6)</f>
        <v/>
      </c>
    </row>
    <row r="9">
      <c r="A9" s="12" t="inlineStr">
        <is>
          <t>Man-days: Backend</t>
        </is>
      </c>
      <c r="B9" s="23">
        <f>SUM('CR Effort'!M5:M6)</f>
        <v/>
      </c>
    </row>
    <row r="10">
      <c r="A10" s="12" t="inlineStr">
        <is>
          <t>Man-days: Frontend</t>
        </is>
      </c>
      <c r="B10" s="23">
        <f>SUM('CR Effort'!N5:N6)</f>
        <v/>
      </c>
    </row>
    <row r="11">
      <c r="A11" s="12" t="inlineStr">
        <is>
          <t>Man-days: Testing</t>
        </is>
      </c>
      <c r="B11" s="23">
        <f>SUM('CR Effort'!O5:O6)</f>
        <v/>
      </c>
    </row>
    <row r="12">
      <c r="A12" s="12" t="inlineStr">
        <is>
          <t>Man-days: Documentation / UAT support</t>
        </is>
      </c>
      <c r="B12" s="23">
        <f>SUM('CR Effort'!P5:P6)</f>
        <v/>
      </c>
    </row>
    <row r="13">
      <c r="A13" s="12" t="inlineStr">
        <is>
          <t>Total change request man-days</t>
        </is>
      </c>
      <c r="B13" s="23">
        <f>SUM('CR Effort'!Q5:Q6)</f>
        <v/>
      </c>
    </row>
    <row r="14">
      <c r="A14" s="12" t="inlineStr">
        <is>
          <t>Range low (-20%)</t>
        </is>
      </c>
      <c r="B14" s="23">
        <f>SUM('CR Effort'!R5:R6)</f>
        <v/>
      </c>
    </row>
    <row r="15">
      <c r="A15" s="12" t="inlineStr">
        <is>
          <t>Range high (+20%)</t>
        </is>
      </c>
      <c r="B15" s="23">
        <f>SUM('CR Effort'!S5:S6)</f>
        <v/>
      </c>
    </row>
    <row r="16">
      <c r="A16" s="12" t="inlineStr">
        <is>
          <t>Cost in PHP at the day rate of the Assumptions sheet</t>
        </is>
      </c>
      <c r="B16" s="22">
        <f>SUM('CR Effort'!T5:T6)</f>
        <v/>
      </c>
    </row>
    <row r="17">
      <c r="A17" s="12" t="inlineStr">
        <is>
          <t>Items covered by the Integration or Data Migration scope (no CR cost)</t>
        </is>
      </c>
      <c r="B17" s="22" t="n">
        <v>29</v>
      </c>
    </row>
    <row r="18">
      <c r="A18" s="12" t="inlineStr">
        <is>
          <t>Best-practice recommendations (blue; indicative, not in the CR total)</t>
        </is>
      </c>
      <c r="B18" s="12" t="n">
        <v>3</v>
      </c>
    </row>
    <row r="19">
      <c r="A19" s="12" t="inlineStr">
        <is>
          <t>Best-practice indicative man-days (not in the CR total)</t>
        </is>
      </c>
      <c r="B19" s="23" t="n">
        <v>15</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Partial in BrokerVerse OOTB; the effort covers the missing part only: time rules, overdue marker and reminder for the Cashiering stages.</t>
        </is>
      </c>
      <c r="K5" s="12" t="inlineStr">
        <is>
          <t>Turnaround parts of the platform reused; Cashiering decision services and dashboard counts extended.</t>
        </is>
      </c>
      <c r="L5" s="24" t="n">
        <v>1</v>
      </c>
      <c r="M5" s="24" t="n">
        <v>2.5</v>
      </c>
      <c r="N5" s="24" t="n">
        <v>1</v>
      </c>
      <c r="O5" s="24" t="n">
        <v>1.5</v>
      </c>
      <c r="P5" s="24" t="n">
        <v>0.5</v>
      </c>
      <c r="Q5" s="24">
        <f>SUM(L5:P5)</f>
        <v/>
      </c>
      <c r="R5" s="24">
        <f>ROUND(Q5*(1-Assumptions!$B$6),1)</f>
        <v/>
      </c>
      <c r="S5" s="24">
        <f>ROUND(Q5*(1+Assumptions!$B$6),1)</f>
        <v/>
      </c>
      <c r="T5" s="25">
        <f>Q5*Assumptions!$B$7</f>
        <v/>
      </c>
      <c r="U5" s="12" t="inlineStr">
        <is>
          <t>Medium</t>
        </is>
      </c>
      <c r="V5" s="12" t="inlineStr">
        <is>
          <t>Medium</t>
        </is>
      </c>
      <c r="W5" s="12" t="inlineStr">
        <is>
          <t>BDOI to confirm the times (Appendix R, Appendix S)</t>
        </is>
      </c>
      <c r="X5" s="12" t="inlineStr">
        <is>
          <t>Four stages (posting, cancellation / reinstatement posting, disposition, approval); times as parameters; one reminder to the poster or approver; no escalation.</t>
        </is>
      </c>
    </row>
    <row r="6">
      <c r="A6" s="12" t="inlineStr">
        <is>
          <t>CR-CSH-102</t>
        </is>
      </c>
      <c r="B6" s="12" t="inlineStr">
        <is>
          <t>Each user chooses an e-mail copy of the Cashiering notices</t>
        </is>
      </c>
      <c r="C6" s="12" t="inlineStr">
        <is>
          <t>Appendix G (channel of each notice)</t>
        </is>
      </c>
      <c r="D6" s="12" t="inlineStr">
        <is>
          <t>Not in BRD</t>
        </is>
      </c>
      <c r="E6" s="12" t="inlineStr">
        <is>
          <t>Not in any BRD</t>
        </is>
      </c>
      <c r="F6" s="12" t="inlineStr">
        <is>
          <t>FRS v3.2 Appendix G (proposed, Appendix R)</t>
        </is>
      </c>
      <c r="G6" s="12" t="inlineStr">
        <is>
          <t>Team Leaders who post from branches want the notices also by e-mail; the choice per user and per notice avoids e-mail floods.</t>
        </is>
      </c>
      <c r="H6" s="12" t="inlineStr">
        <is>
          <t>WFL-011 Available (e-mail notifications from templates); WFL-012 Partial. Disagreement: the Feature List says Available, the OOTB code has no per-user e-mail choice</t>
        </is>
      </c>
      <c r="I6" s="12" t="inlineStr">
        <is>
          <t>Notifications: in-app notices; no per-user choice of an e-mail copy</t>
        </is>
      </c>
      <c r="J6" s="12" t="inlineStr">
        <is>
          <t>Partial in BrokerVerse OOTB; the effort is that of the missing part (per-user, per-notice e-mail choice).</t>
        </is>
      </c>
      <c r="K6" s="12" t="inlineStr">
        <is>
          <t>Notification service of the platform; one settings screen.</t>
        </is>
      </c>
      <c r="L6" s="24" t="n">
        <v>0.5</v>
      </c>
      <c r="M6" s="24" t="n">
        <v>1</v>
      </c>
      <c r="N6" s="24" t="n">
        <v>1</v>
      </c>
      <c r="O6" s="24" t="n">
        <v>0.5</v>
      </c>
      <c r="P6" s="24" t="n">
        <v>0.5</v>
      </c>
      <c r="Q6" s="24">
        <f>SUM(L6:P6)</f>
        <v/>
      </c>
      <c r="R6" s="24">
        <f>ROUND(Q6*(1-Assumptions!$B$6),1)</f>
        <v/>
      </c>
      <c r="S6" s="24">
        <f>ROUND(Q6*(1+Assumptions!$B$6),1)</f>
        <v/>
      </c>
      <c r="T6" s="25">
        <f>Q6*Assumptions!$B$7</f>
        <v/>
      </c>
      <c r="U6" s="12" t="inlineStr">
        <is>
          <t>Low</t>
        </is>
      </c>
      <c r="V6" s="12" t="inlineStr">
        <is>
          <t>Low</t>
        </is>
      </c>
      <c r="W6" s="12" t="inlineStr">
        <is>
          <t>E-mail channel of BDOI</t>
        </is>
      </c>
      <c r="X6" s="12" t="inlineStr">
        <is>
          <t>Choice per user and per notice type; default in-app only.</t>
        </is>
      </c>
    </row>
    <row r="7">
      <c r="A7" s="12" t="inlineStr">
        <is>
          <t>Total</t>
        </is>
      </c>
      <c r="B7" s="12" t="inlineStr">
        <is>
          <t>2 change requests</t>
        </is>
      </c>
      <c r="C7" s="12" t="n"/>
      <c r="D7" s="12" t="n"/>
      <c r="E7" s="12" t="n"/>
      <c r="F7" s="12" t="n"/>
      <c r="G7" s="12" t="n"/>
      <c r="H7" s="12" t="n"/>
      <c r="I7" s="12" t="n"/>
      <c r="J7" s="12" t="n"/>
      <c r="K7" s="12" t="n"/>
      <c r="L7" s="24">
        <f>SUM(L5:L6)</f>
        <v/>
      </c>
      <c r="M7" s="24">
        <f>SUM(M5:M6)</f>
        <v/>
      </c>
      <c r="N7" s="24">
        <f>SUM(N5:N6)</f>
        <v/>
      </c>
      <c r="O7" s="24">
        <f>SUM(O5:O6)</f>
        <v/>
      </c>
      <c r="P7" s="24">
        <f>SUM(P5:P6)</f>
        <v/>
      </c>
      <c r="Q7" s="24">
        <f>SUM(Q5:Q6)</f>
        <v/>
      </c>
      <c r="R7" s="24">
        <f>SUM(R5:R6)</f>
        <v/>
      </c>
      <c r="S7" s="24">
        <f>SUM(S5:S6)</f>
        <v/>
      </c>
      <c r="T7" s="25">
        <f>SUM(T5:T6)</f>
        <v/>
      </c>
      <c r="U7" s="12" t="n"/>
      <c r="V7" s="12" t="n"/>
      <c r="W7" s="12" t="n"/>
      <c r="X7" s="12" t="n"/>
    </row>
  </sheetData>
  <autoFilter ref="A4:X7"/>
  <mergeCells count="1">
    <mergeCell ref="A2:X2"/>
  </mergeCells>
  <conditionalFormatting sqref="A5:X507">
    <cfRule type="expression" priority="1" dxfId="0">
      <formula>AND(MOD(ROW(),2)=0,$A5&lt;&gt;"")</formula>
    </cfRule>
  </conditionalFormatting>
  <dataValidations count="3">
    <dataValidation sqref="E5:E507" showDropDown="0" showInputMessage="0" showErrorMessage="1" allowBlank="1" errorTitle="BRD relation" error="Choose a value from the list (BRD relation)." type="list">
      <formula1>'Lists'!$A$2:$A$3</formula1>
    </dataValidation>
    <dataValidation sqref="U5:U507" showDropDown="0" showInputMessage="0" showErrorMessage="1" allowBlank="1" errorTitle="Complexity" error="Choose a value from the list (Complexity)." type="list">
      <formula1>'Lists'!$B$2:$B$4</formula1>
    </dataValidation>
    <dataValidation sqref="V5:V507"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8"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G-01b</t>
        </is>
      </c>
      <c r="B5" s="12" t="inlineStr">
        <is>
          <t>Scheduled weekly run of the Unapplied Premium Payment Transaction report</t>
        </is>
      </c>
      <c r="C5" s="12" t="inlineStr">
        <is>
          <t>FRS.CSH.09.02.11; Appendix M</t>
        </is>
      </c>
      <c r="D5" s="12" t="inlineStr">
        <is>
          <t>RPT-007 Available (user-scheduled reports with recipients)</t>
        </is>
      </c>
      <c r="E5" s="12" t="inlineStr">
        <is>
          <t>Reports &gt; Schedules: timing, format and recipients</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Scheduled daily run of the Daily Cash Reconciliation Reports</t>
        </is>
      </c>
      <c r="C5" s="12" t="inlineStr">
        <is>
          <t>FRS.CSH.09.02.10; Appendix M</t>
        </is>
      </c>
      <c r="D5" s="12" t="inlineStr">
        <is>
          <t>CSHID.023 "Capability to generate reports. See Cashiering Reports list under Annex"; Report List (Operations - Cashiering): "Daily Cash Reconciliation Reports - Summarizes daily cash receipts and deposits", frequency "Daily"</t>
        </is>
      </c>
      <c r="E5" s="12" t="inlineStr">
        <is>
          <t>RPT-007 Available (user-scheduled reports with recipients)</t>
        </is>
      </c>
      <c r="F5" s="12" t="inlineStr">
        <is>
          <t>Reports &gt; Schedules: timing, format and recipients</t>
        </is>
      </c>
      <c r="G5" s="23"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Test files of the payment channels (SIT and UAT)</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23"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23"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23"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c r="E5" s="12" t="n"/>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c r="E6" s="12" t="n"/>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c r="E7" s="12" t="n"/>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c r="E8" s="12" t="n"/>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c r="E9" s="12" t="n"/>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c r="E10" s="12" t="n"/>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c r="E11" s="12" t="n"/>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c r="E12" s="12" t="n"/>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c r="E13" s="12" t="n"/>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c r="E14" s="12" t="n"/>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c r="E15" s="12" t="n"/>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c r="E16" s="12" t="n"/>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c r="E17" s="12" t="n"/>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c r="E18" s="12" t="n"/>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c r="E19" s="12" t="n"/>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c r="E20" s="12" t="n"/>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c r="E21" s="12" t="n"/>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c r="E22" s="12" t="n"/>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c r="E23" s="12" t="n"/>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c r="E24" s="12" t="n"/>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c r="E25" s="12" t="n"/>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c r="E26" s="12" t="n"/>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c r="E27" s="12" t="n"/>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c r="E28" s="12" t="n"/>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c r="E29" s="12" t="n"/>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the platform.</t>
        </is>
      </c>
      <c r="E30" s="12" t="n"/>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the platform.</t>
        </is>
      </c>
      <c r="E31" s="12" t="n"/>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c r="E32" s="12" t="n"/>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c r="E33" s="12" t="n"/>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c r="E34" s="12" t="n"/>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c r="E35" s="12" t="n"/>
    </row>
    <row r="36">
      <c r="A36" s="12" t="inlineStr">
        <is>
          <t>CSH-NFR-01</t>
        </is>
      </c>
      <c r="B36" s="12" t="inlineStr">
        <is>
          <t>Users: Cashiering HO 11, branches 5; TL / TH 5 + 5</t>
        </is>
      </c>
      <c r="C36" s="12" t="inlineStr">
        <is>
          <t>Configure</t>
        </is>
      </c>
      <c r="D36" s="12" t="inlineStr">
        <is>
          <t>Within the programme sizing for all BRDs</t>
        </is>
      </c>
      <c r="E36" s="12" t="n"/>
    </row>
    <row r="37">
      <c r="A37" s="12" t="inlineStr">
        <is>
          <t>CSH-NFR-02</t>
        </is>
      </c>
      <c r="B37" s="12" t="inlineStr">
        <is>
          <t>Volumes: Not stated</t>
        </is>
      </c>
      <c r="C37" s="12" t="inlineStr">
        <is>
          <t>Configure</t>
        </is>
      </c>
      <c r="D37" s="12" t="inlineStr">
        <is>
          <t>Assumed within the programme sizing; to confirm</t>
        </is>
      </c>
      <c r="E37" s="12" t="n"/>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c r="E38" s="12" t="n"/>
    </row>
    <row r="39">
      <c r="A39" s="12" t="inlineStr">
        <is>
          <t>CSH-NFR-04</t>
        </is>
      </c>
      <c r="B39" s="12" t="inlineStr">
        <is>
          <t>Batch printing: 50 documents under 10 seconds</t>
        </is>
      </c>
      <c r="C39" s="12" t="inlineStr">
        <is>
          <t>Configure</t>
        </is>
      </c>
      <c r="D39" s="12" t="inlineStr">
        <is>
          <t>Print batches of up to 500 receipts</t>
        </is>
      </c>
      <c r="E39" s="12" t="n"/>
    </row>
    <row r="40">
      <c r="A40" s="12" t="inlineStr">
        <is>
          <t>CSH-NFR-05</t>
        </is>
      </c>
      <c r="B40" s="12" t="inlineStr">
        <is>
          <t>File size: Not stated (BDOI FRS: 50 MB)</t>
        </is>
      </c>
      <c r="C40" s="12" t="inlineStr">
        <is>
          <t>Configure</t>
        </is>
      </c>
      <c r="D40" s="12" t="inlineStr">
        <is>
          <t>Files up to 50 MB; each row processed on its own</t>
        </is>
      </c>
      <c r="E40" s="12" t="n"/>
    </row>
    <row r="41">
      <c r="A41" s="12" t="inlineStr">
        <is>
          <t>CSH-NFR-06</t>
        </is>
      </c>
      <c r="B41" s="12" t="inlineStr">
        <is>
          <t>Peak: 15th and 30th of the month; peak hours 08:00-17:30</t>
        </is>
      </c>
      <c r="C41" s="12" t="inlineStr">
        <is>
          <t>Configure</t>
        </is>
      </c>
      <c r="D41" s="12" t="inlineStr">
        <is>
          <t>Runs scheduled outside the peak hours (Appendix M)</t>
        </is>
      </c>
      <c r="E41" s="12" t="n"/>
    </row>
    <row r="42">
      <c r="A42" s="12" t="inlineStr">
        <is>
          <t>CSH-NFR-07</t>
        </is>
      </c>
      <c r="B42" s="12" t="inlineStr">
        <is>
          <t>Availability: 99.9%; use 07:00-18:30</t>
        </is>
      </c>
      <c r="C42" s="12" t="inlineStr">
        <is>
          <t>Configure</t>
        </is>
      </c>
      <c r="D42" s="12" t="inlineStr">
        <is>
          <t>Same service window as BIBS</t>
        </is>
      </c>
      <c r="E42" s="12" t="n"/>
    </row>
    <row r="43">
      <c r="A43" s="12" t="inlineStr">
        <is>
          <t>CSH-NFR-08</t>
        </is>
      </c>
      <c r="B43" s="12" t="inlineStr">
        <is>
          <t>Recovery: RTO 4 hours, RPO 24 hours</t>
        </is>
      </c>
      <c r="C43" s="12" t="inlineStr">
        <is>
          <t>Configure</t>
        </is>
      </c>
      <c r="D43" s="12" t="inlineStr">
        <is>
          <t>Programme backup and recovery</t>
        </is>
      </c>
      <c r="E43" s="12" t="n"/>
    </row>
    <row r="44">
      <c r="A44" s="12" t="inlineStr">
        <is>
          <t>CSH-NFR-09</t>
        </is>
      </c>
      <c r="B44" s="12" t="inlineStr">
        <is>
          <t>Retention: Logs and history 5 years online, 15 years archive; backup every 4 hours kept 7 years</t>
        </is>
      </c>
      <c r="C44" s="12" t="inlineStr">
        <is>
          <t>Configure</t>
        </is>
      </c>
      <c r="D44" s="12" t="inlineStr">
        <is>
          <t>Retention per record type</t>
        </is>
      </c>
      <c r="E44" s="12" t="n"/>
    </row>
    <row r="45">
      <c r="A45" s="12" t="inlineStr">
        <is>
          <t>CSH-NFR-10</t>
        </is>
      </c>
      <c r="B45" s="12" t="inlineStr">
        <is>
          <t>Devices: Same performance on mobile and desktop</t>
        </is>
      </c>
      <c r="C45" s="12" t="inlineStr">
        <is>
          <t>Configure</t>
        </is>
      </c>
      <c r="D45" s="12" t="inlineStr">
        <is>
          <t>Responsive screens; BDO-issued devices (FRS.OPS.001)</t>
        </is>
      </c>
      <c r="E45" s="12" t="n"/>
    </row>
    <row r="46">
      <c r="A46" s="12" t="inlineStr">
        <is>
          <t>CSH-NFR-11</t>
        </is>
      </c>
      <c r="B46" s="12" t="inlineStr">
        <is>
          <t>Security: Authorised users only; protected files</t>
        </is>
      </c>
      <c r="C46" s="12" t="inlineStr">
        <is>
          <t>Configure</t>
        </is>
      </c>
      <c r="D46" s="12" t="inlineStr">
        <is>
          <t>Role-based access, segregation of duties, files stored read-only</t>
        </is>
      </c>
      <c r="E46" s="12" t="n"/>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c r="E47" s="12" t="n"/>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c r="E48" s="12" t="n"/>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c r="E49" s="12" t="n"/>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c r="E50" s="12" t="n"/>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c r="E51" s="12" t="n"/>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c r="E52" s="12" t="n"/>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c r="E53" s="12" t="n"/>
    </row>
    <row r="54">
      <c r="A54" s="12" t="inlineStr">
        <is>
          <t>D-CSH-01</t>
        </is>
      </c>
      <c r="B54" s="12" t="inlineStr">
        <is>
          <t>E-mail to a recipient list when a scheduled Cashiering run fails (FRS.CSH.10.03; Appendix G (failed batch run)). BRD line: BRQID.005 AC5: 'System alerts users in case of failed data fetch or mismatched data'; BRQID.006 batch job processing</t>
        </is>
      </c>
      <c r="C54" s="12" t="inlineStr">
        <is>
          <t>BRD point to deliver</t>
        </is>
      </c>
      <c r="D54" s="12" t="inlineStr">
        <is>
          <t>WFL-013 Partial (a failed job raises an in-app notification to the schedule administrators; no e-mail to a recipient list). Partial in BrokerVerse OOTB; the planning effort is that of the missing part (e-mail to a recipient list).</t>
        </is>
      </c>
      <c r="E54" s="23" t="n">
        <v>2.5</v>
      </c>
    </row>
    <row r="55">
      <c r="A55" s="12" t="inlineStr">
        <is>
          <t>D-CSH-02</t>
        </is>
      </c>
      <c r="B55" s="12" t="inlineStr">
        <is>
          <t>Excel export of the Cashiering lists (FRS.CSH.01.03.04). BRD line: CSHID.017 AC4: 'Download reports in supported formats (e.g., PDF, Excel)'; CSHID.023 'Capability to generate reports'</t>
        </is>
      </c>
      <c r="C55" s="12" t="inlineStr">
        <is>
          <t>BRD point to deliver</t>
        </is>
      </c>
      <c r="D55" s="12" t="inlineStr">
        <is>
          <t>BIL-016 Available (receipts register with filters); RPT-003 Partial. Disagreement: the Feature List says Available, the OOTB code exports the receipt list to PDF only. Partial in BrokerVerse OOTB; the planning effort is that of the missing part (Excel export of the lists).</t>
        </is>
      </c>
      <c r="E55" s="23" t="n">
        <v>3</v>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6" t="inlineStr">
        <is>
          <t>BRD relation</t>
        </is>
      </c>
      <c r="B1" s="26" t="inlineStr">
        <is>
          <t>Complexity</t>
        </is>
      </c>
      <c r="C1" s="26" t="inlineStr">
        <is>
          <t>Priority</t>
        </is>
      </c>
      <c r="D1" s="26" t="inlineStr">
        <is>
          <t>Scope</t>
        </is>
      </c>
    </row>
    <row r="2">
      <c r="A2" s="30" t="inlineStr">
        <is>
          <t>Extends a BRD requirement</t>
        </is>
      </c>
      <c r="B2" s="30" t="inlineStr">
        <is>
          <t>Low</t>
        </is>
      </c>
      <c r="C2" s="30" t="inlineStr">
        <is>
          <t>High</t>
        </is>
      </c>
      <c r="D2" s="30" t="inlineStr">
        <is>
          <t>Integration scope</t>
        </is>
      </c>
    </row>
    <row r="3">
      <c r="A3" s="30" t="inlineStr">
        <is>
          <t>Not in any BRD</t>
        </is>
      </c>
      <c r="B3" s="30" t="inlineStr">
        <is>
          <t>Medium</t>
        </is>
      </c>
      <c r="C3" s="30" t="inlineStr">
        <is>
          <t>Medium</t>
        </is>
      </c>
      <c r="D3" s="30" t="inlineStr">
        <is>
          <t>Data Migration scope</t>
        </is>
      </c>
    </row>
    <row r="4">
      <c r="B4" s="30" t="inlineStr">
        <is>
          <t>High</t>
        </is>
      </c>
      <c r="C4" s="30"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2026-10-11T20:45:36Z</dcterms:created>
  <dcterms:modified xmlns:dcterms="http://purl.org/dc/terms/" xmlns:xsi="http://www.w3.org/2001/XMLSchema-instance" xsi:type="dcterms:W3CDTF">2026-10-11T20:45:37Z</dcterms:modified>
  <cp:keywords>Estimate, BRD-02, BIBS, BDOI</cp:keywords>
</cp:coreProperties>
</file>