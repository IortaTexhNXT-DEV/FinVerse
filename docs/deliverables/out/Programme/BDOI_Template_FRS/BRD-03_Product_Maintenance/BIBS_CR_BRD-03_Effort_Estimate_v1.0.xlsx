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Change requests" sheetId="4" state="visible" r:id="rId4"/>
    <sheet xmlns:r="http://schemas.openxmlformats.org/officeDocument/2006/relationships" name="Green items (OOTB)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'README'!$A$4:$D$35</definedName>
    <definedName name="_xlnm.Print_Titles" localSheetId="1">'README'!$4:$4</definedName>
    <definedName name="_xlnm._FilterDatabase" localSheetId="2" hidden="1">'Summary'!$A$4:$B$17</definedName>
    <definedName name="_xlnm.Print_Titles" localSheetId="2">'Summary'!$4:$4</definedName>
    <definedName name="_xlnm._FilterDatabase" localSheetId="3" hidden="1">'Change requests'!$A$4:$V$10</definedName>
    <definedName name="_xlnm.Print_Titles" localSheetId="3">'Change requests'!$4:$4</definedName>
    <definedName name="_xlnm._FilterDatabase" localSheetId="4" hidden="1">'Green items (OOTB)'!$A$4:$G$12</definedName>
    <definedName name="_xlnm.Print_Titles" localSheetId="4">'Green items (OOTB)'!$4:$4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FF59D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0" borderId="3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4" pivotButton="0" quotePrefix="0" xfId="0"/>
    <xf numFmtId="0" fontId="15" fillId="0" borderId="0" pivotButton="0" quotePrefix="0" xfId="0"/>
    <xf numFmtId="0" fontId="3" fillId="2" borderId="2" pivotButton="0" quotePrefix="0" xfId="0"/>
    <xf numFmtId="0" fontId="8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4" borderId="2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top"/>
    </xf>
    <xf numFmtId="4" fontId="4" fillId="0" borderId="2" applyAlignment="1" pivotButton="0" quotePrefix="0" xfId="0">
      <alignment vertical="top"/>
    </xf>
    <xf numFmtId="0" fontId="5" fillId="0" borderId="2" applyAlignment="1" pivotButton="0" quotePrefix="0" xfId="0">
      <alignment horizontal="center" vertical="top" wrapText="1"/>
    </xf>
    <xf numFmtId="0" fontId="4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  <xf numFmtId="4" fontId="7" fillId="3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Change requests'!A1" TargetMode="External" Id="rId3"/><Relationship Type="http://schemas.openxmlformats.org/officeDocument/2006/relationships/hyperlink" Target="#'Green items (OOTB)'!A1" TargetMode="External" Id="rId4"/><Relationship Type="http://schemas.openxmlformats.org/officeDocument/2006/relationships/hyperlink" Target="#'Assump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ESTIMATE</t>
        </is>
      </c>
    </row>
    <row r="7" ht="32" customHeight="1">
      <c r="B7" s="3" t="inlineStr">
        <is>
          <t>Change Request Effort Estimate</t>
        </is>
      </c>
    </row>
    <row r="8">
      <c r="B8" s="4" t="inlineStr">
        <is>
          <t>BRD-03 Product Maintenance – change requests of the FRS v1.3 (orange points) with their effort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Totals of the change requests of the FRS BRD-03 v1.3 (Annex Y)</t>
        </is>
      </c>
      <c r="D21" s="14" t="n">
        <v>13</v>
      </c>
    </row>
    <row r="22">
      <c r="B22" s="11" t="inlineStr">
        <is>
          <t>Change requests</t>
        </is>
      </c>
      <c r="C22" s="12" t="inlineStr">
        <is>
          <t>One row per orange point of the FRS v1.3 (Annex Y.2), effort in man-days by activity</t>
        </is>
      </c>
      <c r="D22" s="12" t="n">
        <v>6</v>
      </c>
    </row>
    <row r="23">
      <c r="B23" s="13" t="inlineStr">
        <is>
          <t>Green items (OOTB)</t>
        </is>
      </c>
      <c r="C23" s="14" t="inlineStr">
        <is>
          <t>Points of the FRS beyond the BRD that BIBS already provides (green in the FRS): no cost</t>
        </is>
      </c>
      <c r="D23" s="14" t="n">
        <v>8</v>
      </c>
    </row>
    <row r="24">
      <c r="B24" s="11" t="inlineStr">
        <is>
          <t>Assumptions</t>
        </is>
      </c>
      <c r="C24" s="12" t="inlineStr">
        <is>
          <t>Man-day, range and day rate used by the formulas</t>
        </is>
      </c>
      <c r="D24" s="12" t="n">
        <v>0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Change Request Effort Estimate,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7" t="inlineStr">
        <is>
          <t>Item</t>
        </is>
      </c>
      <c r="C5" s="12" t="inlineStr">
        <is>
          <t>What is counted</t>
        </is>
      </c>
      <c r="D5" s="12" t="inlineStr"/>
    </row>
    <row r="6">
      <c r="A6" s="14" t="inlineStr">
        <is>
          <t>Summary</t>
        </is>
      </c>
      <c r="B6" s="18" t="inlineStr">
        <is>
          <t>Value</t>
        </is>
      </c>
      <c r="C6" s="14" t="inlineStr">
        <is>
          <t>Count, man-days or cost</t>
        </is>
      </c>
      <c r="D6" s="14" t="inlineStr"/>
    </row>
    <row r="7">
      <c r="A7" s="12" t="inlineStr">
        <is>
          <t>Change requests</t>
        </is>
      </c>
      <c r="B7" s="17" t="inlineStr">
        <is>
          <t>CR No.</t>
        </is>
      </c>
      <c r="C7" s="12" t="inlineStr">
        <is>
          <t>Change request number (also in the CR register and FRS Annex Y.2)</t>
        </is>
      </c>
      <c r="D7" s="12" t="inlineStr"/>
    </row>
    <row r="8">
      <c r="A8" s="14" t="inlineStr">
        <is>
          <t>Change requests</t>
        </is>
      </c>
      <c r="B8" s="18" t="inlineStr">
        <is>
          <t>Title</t>
        </is>
      </c>
      <c r="C8" s="14" t="inlineStr">
        <is>
          <t>The change</t>
        </is>
      </c>
      <c r="D8" s="14" t="inlineStr"/>
    </row>
    <row r="9">
      <c r="A9" s="12" t="inlineStr">
        <is>
          <t>Change requests</t>
        </is>
      </c>
      <c r="B9" s="17" t="inlineStr">
        <is>
          <t>FRS reference</t>
        </is>
      </c>
      <c r="C9" s="12" t="inlineStr">
        <is>
          <t>FRPM item or annex row</t>
        </is>
      </c>
      <c r="D9" s="12" t="inlineStr"/>
    </row>
    <row r="10">
      <c r="A10" s="14" t="inlineStr">
        <is>
          <t>Change requests</t>
        </is>
      </c>
      <c r="B10" s="18" t="inlineStr">
        <is>
          <t>BRD reference</t>
        </is>
      </c>
      <c r="C10" s="14" t="inlineStr">
        <is>
          <t>BRD ID it extends, or 'Not in BRD'</t>
        </is>
      </c>
      <c r="D10" s="14" t="inlineStr"/>
    </row>
    <row r="11">
      <c r="A11" s="12" t="inlineStr">
        <is>
          <t>Change requests</t>
        </is>
      </c>
      <c r="B11" s="17" t="inlineStr">
        <is>
          <t>BRD relation</t>
        </is>
      </c>
      <c r="C11" s="12" t="inlineStr">
        <is>
          <t>Extends a BRD requirement / Not in any BRD</t>
        </is>
      </c>
      <c r="D11" s="12" t="inlineStr">
        <is>
          <t>Extends a BRD requirement, Not in any BRD</t>
        </is>
      </c>
    </row>
    <row r="12">
      <c r="A12" s="14" t="inlineStr">
        <is>
          <t>Change requests</t>
        </is>
      </c>
      <c r="B12" s="18" t="inlineStr">
        <is>
          <t>Source</t>
        </is>
      </c>
      <c r="C12" s="14" t="inlineStr">
        <is>
          <t>Where the point comes from</t>
        </is>
      </c>
      <c r="D12" s="14" t="inlineStr"/>
    </row>
    <row r="13">
      <c r="A13" s="12" t="inlineStr">
        <is>
          <t>Change requests</t>
        </is>
      </c>
      <c r="B13" s="17" t="inlineStr">
        <is>
          <t>Why needed</t>
        </is>
      </c>
      <c r="C13" s="12" t="inlineStr">
        <is>
          <t>Business reason</t>
        </is>
      </c>
      <c r="D13" s="12" t="inlineStr"/>
    </row>
    <row r="14">
      <c r="A14" s="14" t="inlineStr">
        <is>
          <t>Change requests</t>
        </is>
      </c>
      <c r="B14" s="18" t="inlineStr">
        <is>
          <t>OOTB status (BIBS today)</t>
        </is>
      </c>
      <c r="C14" s="14" t="inlineStr">
        <is>
          <t>What the platform offers today</t>
        </is>
      </c>
      <c r="D14" s="14" t="inlineStr"/>
    </row>
    <row r="15">
      <c r="A15" s="12" t="inlineStr">
        <is>
          <t>Change requests</t>
        </is>
      </c>
      <c r="B15" s="17" t="inlineStr">
        <is>
          <t>Estimate basis</t>
        </is>
      </c>
      <c r="C15" s="12" t="inlineStr">
        <is>
          <t>Size of the platform parts the change touches</t>
        </is>
      </c>
      <c r="D15" s="12" t="inlineStr"/>
    </row>
    <row r="16">
      <c r="A16" s="14" t="inlineStr">
        <is>
          <t>Change requests</t>
        </is>
      </c>
      <c r="B16" s="18" t="inlineStr">
        <is>
          <t>Analysis &amp; design (md)</t>
        </is>
      </c>
      <c r="C16" s="14" t="inlineStr">
        <is>
          <t>Man-days</t>
        </is>
      </c>
      <c r="D16" s="14" t="inlineStr"/>
    </row>
    <row r="17">
      <c r="A17" s="12" t="inlineStr">
        <is>
          <t>Change requests</t>
        </is>
      </c>
      <c r="B17" s="17" t="inlineStr">
        <is>
          <t>Backend (md)</t>
        </is>
      </c>
      <c r="C17" s="12" t="inlineStr">
        <is>
          <t>Man-days</t>
        </is>
      </c>
      <c r="D17" s="12" t="inlineStr"/>
    </row>
    <row r="18">
      <c r="A18" s="14" t="inlineStr">
        <is>
          <t>Change requests</t>
        </is>
      </c>
      <c r="B18" s="18" t="inlineStr">
        <is>
          <t>Frontend (md)</t>
        </is>
      </c>
      <c r="C18" s="14" t="inlineStr">
        <is>
          <t>Man-days</t>
        </is>
      </c>
      <c r="D18" s="14" t="inlineStr"/>
    </row>
    <row r="19">
      <c r="A19" s="12" t="inlineStr">
        <is>
          <t>Change requests</t>
        </is>
      </c>
      <c r="B19" s="17" t="inlineStr">
        <is>
          <t>Testing (md)</t>
        </is>
      </c>
      <c r="C19" s="12" t="inlineStr">
        <is>
          <t>Man-days</t>
        </is>
      </c>
      <c r="D19" s="12" t="inlineStr"/>
    </row>
    <row r="20">
      <c r="A20" s="14" t="inlineStr">
        <is>
          <t>Change requests</t>
        </is>
      </c>
      <c r="B20" s="18" t="inlineStr">
        <is>
          <t>Documentation / UAT support (md)</t>
        </is>
      </c>
      <c r="C20" s="14" t="inlineStr">
        <is>
          <t>Man-days</t>
        </is>
      </c>
      <c r="D20" s="14" t="inlineStr"/>
    </row>
    <row r="21">
      <c r="A21" s="12" t="inlineStr">
        <is>
          <t>Change requests</t>
        </is>
      </c>
      <c r="B21" s="17" t="inlineStr">
        <is>
          <t>Total (md)</t>
        </is>
      </c>
      <c r="C21" s="12" t="inlineStr">
        <is>
          <t>Sum of the activities</t>
        </is>
      </c>
      <c r="D21" s="12" t="inlineStr"/>
    </row>
    <row r="22">
      <c r="A22" s="14" t="inlineStr">
        <is>
          <t>Change requests</t>
        </is>
      </c>
      <c r="B22" s="18" t="inlineStr">
        <is>
          <t>Low (-20%)</t>
        </is>
      </c>
      <c r="C22" s="14" t="inlineStr">
        <is>
          <t>Total less the range</t>
        </is>
      </c>
      <c r="D22" s="14" t="inlineStr"/>
    </row>
    <row r="23">
      <c r="A23" s="12" t="inlineStr">
        <is>
          <t>Change requests</t>
        </is>
      </c>
      <c r="B23" s="17" t="inlineStr">
        <is>
          <t>High (+20%)</t>
        </is>
      </c>
      <c r="C23" s="12" t="inlineStr">
        <is>
          <t>Total plus the range</t>
        </is>
      </c>
      <c r="D23" s="12" t="inlineStr"/>
    </row>
    <row r="24">
      <c r="A24" s="14" t="inlineStr">
        <is>
          <t>Change requests</t>
        </is>
      </c>
      <c r="B24" s="18" t="inlineStr">
        <is>
          <t>Cost (PHP)</t>
        </is>
      </c>
      <c r="C24" s="14" t="inlineStr">
        <is>
          <t>Total x day rate (Assumptions)</t>
        </is>
      </c>
      <c r="D24" s="14" t="inlineStr"/>
    </row>
    <row r="25">
      <c r="A25" s="12" t="inlineStr">
        <is>
          <t>Change requests</t>
        </is>
      </c>
      <c r="B25" s="17" t="inlineStr">
        <is>
          <t>Complexity</t>
        </is>
      </c>
      <c r="C25" s="12" t="inlineStr">
        <is>
          <t>Low / Medium / High</t>
        </is>
      </c>
      <c r="D25" s="12" t="inlineStr">
        <is>
          <t>Low, Medium, High</t>
        </is>
      </c>
    </row>
    <row r="26">
      <c r="A26" s="14" t="inlineStr">
        <is>
          <t>Change requests</t>
        </is>
      </c>
      <c r="B26" s="18" t="inlineStr">
        <is>
          <t>Priority</t>
        </is>
      </c>
      <c r="C26" s="14" t="inlineStr">
        <is>
          <t>High / Medium / Low</t>
        </is>
      </c>
      <c r="D26" s="14" t="inlineStr">
        <is>
          <t>High, Medium, Low</t>
        </is>
      </c>
    </row>
    <row r="27">
      <c r="A27" s="12" t="inlineStr">
        <is>
          <t>Change requests</t>
        </is>
      </c>
      <c r="B27" s="17" t="inlineStr">
        <is>
          <t>Dependencies</t>
        </is>
      </c>
      <c r="C27" s="12" t="inlineStr">
        <is>
          <t>What the change needs first</t>
        </is>
      </c>
      <c r="D27" s="12" t="inlineStr"/>
    </row>
    <row r="28">
      <c r="A28" s="14" t="inlineStr">
        <is>
          <t>Change requests</t>
        </is>
      </c>
      <c r="B28" s="18" t="inlineStr">
        <is>
          <t>Assumptions</t>
        </is>
      </c>
      <c r="C28" s="14" t="inlineStr">
        <is>
          <t>Scope assumed by the estimate</t>
        </is>
      </c>
      <c r="D28" s="14" t="inlineStr"/>
    </row>
    <row r="29">
      <c r="A29" s="12" t="inlineStr">
        <is>
          <t>Green items (OOTB)</t>
        </is>
      </c>
      <c r="B29" s="17" t="inlineStr">
        <is>
          <t>No.</t>
        </is>
      </c>
      <c r="C29" s="12" t="inlineStr">
        <is>
          <t>Point number (FRS Annex Y.3)</t>
        </is>
      </c>
      <c r="D29" s="12" t="inlineStr"/>
    </row>
    <row r="30">
      <c r="A30" s="14" t="inlineStr">
        <is>
          <t>Green items (OOTB)</t>
        </is>
      </c>
      <c r="B30" s="18" t="inlineStr">
        <is>
          <t>Point</t>
        </is>
      </c>
      <c r="C30" s="14" t="inlineStr">
        <is>
          <t>The point of the FRS</t>
        </is>
      </c>
      <c r="D30" s="14" t="inlineStr"/>
    </row>
    <row r="31">
      <c r="A31" s="12" t="inlineStr">
        <is>
          <t>Green items (OOTB)</t>
        </is>
      </c>
      <c r="B31" s="17" t="inlineStr">
        <is>
          <t>FRS reference</t>
        </is>
      </c>
      <c r="C31" s="12" t="inlineStr">
        <is>
          <t>FRPM item</t>
        </is>
      </c>
      <c r="D31" s="12" t="inlineStr"/>
    </row>
    <row r="32">
      <c r="A32" s="14" t="inlineStr">
        <is>
          <t>Green items (OOTB)</t>
        </is>
      </c>
      <c r="B32" s="18" t="inlineStr">
        <is>
          <t>Where in BIBS</t>
        </is>
      </c>
      <c r="C32" s="14" t="inlineStr">
        <is>
          <t>Screen or function</t>
        </is>
      </c>
      <c r="D32" s="14" t="inlineStr"/>
    </row>
    <row r="33">
      <c r="A33" s="12" t="inlineStr">
        <is>
          <t>Green items (OOTB)</t>
        </is>
      </c>
      <c r="B33" s="17" t="inlineStr">
        <is>
          <t>BRD reference</t>
        </is>
      </c>
      <c r="C33" s="12" t="inlineStr">
        <is>
          <t>Not in the BRD</t>
        </is>
      </c>
      <c r="D33" s="12" t="inlineStr"/>
    </row>
    <row r="34">
      <c r="A34" s="14" t="inlineStr">
        <is>
          <t>Green items (OOTB)</t>
        </is>
      </c>
      <c r="B34" s="18" t="inlineStr">
        <is>
          <t>OOTB status</t>
        </is>
      </c>
      <c r="C34" s="14" t="inlineStr">
        <is>
          <t>Available</t>
        </is>
      </c>
      <c r="D34" s="14" t="inlineStr"/>
    </row>
    <row r="35">
      <c r="A35" s="12" t="inlineStr">
        <is>
          <t>Green items (OOTB)</t>
        </is>
      </c>
      <c r="B35" s="17" t="inlineStr">
        <is>
          <t>Cost (md)</t>
        </is>
      </c>
      <c r="C35" s="12" t="inlineStr">
        <is>
          <t>Zero: no development</t>
        </is>
      </c>
      <c r="D35" s="12" t="inlineStr"/>
    </row>
  </sheetData>
  <autoFilter ref="A4:D35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6" customWidth="1" min="2" max="2"/>
  </cols>
  <sheetData>
    <row r="1" ht="24" customHeight="1">
      <c r="A1" s="16" t="inlineStr">
        <is>
          <t>Summary</t>
        </is>
      </c>
    </row>
    <row r="2">
      <c r="A2" s="19" t="inlineStr">
        <is>
          <t>Totals of the change requests of the FRS BRD-03 v1.3 (Annex Y)</t>
        </is>
      </c>
    </row>
    <row r="3" ht="6" customHeight="1">
      <c r="A3" s="20" t="n"/>
      <c r="B3" s="20" t="n"/>
    </row>
    <row r="4" ht="30" customHeight="1">
      <c r="A4" s="21" t="inlineStr">
        <is>
          <t>Item</t>
        </is>
      </c>
      <c r="B4" s="21" t="inlineStr">
        <is>
          <t>Value</t>
        </is>
      </c>
    </row>
    <row r="5">
      <c r="A5" s="12" t="inlineStr">
        <is>
          <t>Change requests (orange points of the FRS)</t>
        </is>
      </c>
      <c r="B5" s="12" t="n">
        <v>5</v>
      </c>
    </row>
    <row r="6">
      <c r="A6" s="12" t="inlineStr">
        <is>
          <t xml:space="preserve">  of which extend a BRD requirement</t>
        </is>
      </c>
      <c r="B6" s="12" t="n">
        <v>4</v>
      </c>
    </row>
    <row r="7">
      <c r="A7" s="12" t="inlineStr">
        <is>
          <t xml:space="preserve">  of which are not in any BRD</t>
        </is>
      </c>
      <c r="B7" s="12" t="n">
        <v>1</v>
      </c>
    </row>
    <row r="8">
      <c r="A8" s="12" t="inlineStr">
        <is>
          <t>Man-days: Analysis &amp; design</t>
        </is>
      </c>
      <c r="B8" s="12">
        <f>SUM('Change requests'!J5:J9)</f>
        <v/>
      </c>
    </row>
    <row r="9">
      <c r="A9" s="12" t="inlineStr">
        <is>
          <t>Man-days: Backend</t>
        </is>
      </c>
      <c r="B9" s="12">
        <f>SUM('Change requests'!K5:K9)</f>
        <v/>
      </c>
    </row>
    <row r="10">
      <c r="A10" s="12" t="inlineStr">
        <is>
          <t>Man-days: Frontend</t>
        </is>
      </c>
      <c r="B10" s="12">
        <f>SUM('Change requests'!L5:L9)</f>
        <v/>
      </c>
    </row>
    <row r="11">
      <c r="A11" s="12" t="inlineStr">
        <is>
          <t>Man-days: Testing</t>
        </is>
      </c>
      <c r="B11" s="12">
        <f>SUM('Change requests'!M5:M9)</f>
        <v/>
      </c>
    </row>
    <row r="12">
      <c r="A12" s="12" t="inlineStr">
        <is>
          <t>Man-days: Documentation / UAT support</t>
        </is>
      </c>
      <c r="B12" s="12">
        <f>SUM('Change requests'!N5:N9)</f>
        <v/>
      </c>
    </row>
    <row r="13">
      <c r="A13" s="12" t="inlineStr">
        <is>
          <t>Total man-days</t>
        </is>
      </c>
      <c r="B13" s="12">
        <f>SUM('Change requests'!O5:O9)</f>
        <v/>
      </c>
    </row>
    <row r="14">
      <c r="A14" s="12" t="inlineStr">
        <is>
          <t>Range low (-20%)</t>
        </is>
      </c>
      <c r="B14" s="12">
        <f>SUM('Change requests'!P5:P9)</f>
        <v/>
      </c>
    </row>
    <row r="15">
      <c r="A15" s="12" t="inlineStr">
        <is>
          <t>Range high (+20%)</t>
        </is>
      </c>
      <c r="B15" s="12">
        <f>SUM('Change requests'!Q5:Q9)</f>
        <v/>
      </c>
    </row>
    <row r="16">
      <c r="A16" s="12" t="inlineStr">
        <is>
          <t>Cost in PHP at the day rate of the Assumptions sheet</t>
        </is>
      </c>
      <c r="B16" s="12">
        <f>SUM('Change requests'!R5:R9)</f>
        <v/>
      </c>
    </row>
    <row r="17">
      <c r="A17" s="12" t="inlineStr">
        <is>
          <t>Points beyond the BRD available in BIBS (green, no cost)</t>
        </is>
      </c>
      <c r="B17" s="12" t="n">
        <v>8</v>
      </c>
    </row>
  </sheetData>
  <autoFilter ref="A4:B17"/>
  <mergeCells count="1">
    <mergeCell ref="A2:B2"/>
  </mergeCells>
  <conditionalFormatting sqref="A5:B51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0" customWidth="1" min="3" max="3"/>
    <col width="15" customWidth="1" min="4" max="4"/>
    <col width="16" customWidth="1" min="5" max="5"/>
    <col width="26" customWidth="1" min="6" max="6"/>
    <col width="40" customWidth="1" min="7" max="7"/>
    <col width="40" customWidth="1" min="8" max="8"/>
    <col width="3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9" customWidth="1" min="16" max="16"/>
    <col width="9" customWidth="1" min="17" max="17"/>
    <col width="13" customWidth="1" min="18" max="18"/>
    <col width="11" customWidth="1" min="19" max="19"/>
    <col width="10" customWidth="1" min="20" max="20"/>
    <col width="26" customWidth="1" min="21" max="21"/>
    <col width="34" customWidth="1" min="22" max="22"/>
  </cols>
  <sheetData>
    <row r="1" ht="24" customHeight="1">
      <c r="A1" s="16" t="inlineStr">
        <is>
          <t>Change requests</t>
        </is>
      </c>
    </row>
    <row r="2">
      <c r="A2" s="19" t="inlineStr">
        <is>
          <t>One row per orange point of the FRS v1.3 (Annex Y.2), effort in man-days by activity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</row>
    <row r="4" ht="30" customHeight="1">
      <c r="A4" s="21" t="inlineStr">
        <is>
          <t>CR No.</t>
        </is>
      </c>
      <c r="B4" s="21" t="inlineStr">
        <is>
          <t>Title</t>
        </is>
      </c>
      <c r="C4" s="21" t="inlineStr">
        <is>
          <t>FRS reference</t>
        </is>
      </c>
      <c r="D4" s="21" t="inlineStr">
        <is>
          <t>BRD reference</t>
        </is>
      </c>
      <c r="E4" s="21" t="inlineStr">
        <is>
          <t>BRD relation</t>
        </is>
      </c>
      <c r="F4" s="21" t="inlineStr">
        <is>
          <t>Source</t>
        </is>
      </c>
      <c r="G4" s="21" t="inlineStr">
        <is>
          <t>Why needed</t>
        </is>
      </c>
      <c r="H4" s="21" t="inlineStr">
        <is>
          <t>OOTB status (BIBS today)</t>
        </is>
      </c>
      <c r="I4" s="21" t="inlineStr">
        <is>
          <t>Estimate basis</t>
        </is>
      </c>
      <c r="J4" s="21" t="inlineStr">
        <is>
          <t>Analysis &amp; design (md)</t>
        </is>
      </c>
      <c r="K4" s="21" t="inlineStr">
        <is>
          <t>Backend (md)</t>
        </is>
      </c>
      <c r="L4" s="21" t="inlineStr">
        <is>
          <t>Frontend (md)</t>
        </is>
      </c>
      <c r="M4" s="21" t="inlineStr">
        <is>
          <t>Testing (md)</t>
        </is>
      </c>
      <c r="N4" s="21" t="inlineStr">
        <is>
          <t>Documentation / UAT support (md)</t>
        </is>
      </c>
      <c r="O4" s="21" t="inlineStr">
        <is>
          <t>Total (md)</t>
        </is>
      </c>
      <c r="P4" s="21" t="inlineStr">
        <is>
          <t>Low (-20%)</t>
        </is>
      </c>
      <c r="Q4" s="21" t="inlineStr">
        <is>
          <t>High (+20%)</t>
        </is>
      </c>
      <c r="R4" s="21" t="inlineStr">
        <is>
          <t>Cost (PHP)</t>
        </is>
      </c>
      <c r="S4" s="21" t="inlineStr">
        <is>
          <t>Complexity</t>
        </is>
      </c>
      <c r="T4" s="21" t="inlineStr">
        <is>
          <t>Priority</t>
        </is>
      </c>
      <c r="U4" s="21" t="inlineStr">
        <is>
          <t>Dependencies</t>
        </is>
      </c>
      <c r="V4" s="21" t="inlineStr">
        <is>
          <t>Assumptions</t>
        </is>
      </c>
    </row>
    <row r="5">
      <c r="A5" s="12" t="inlineStr">
        <is>
          <t>CR-PM-101</t>
        </is>
      </c>
      <c r="B5" s="12" t="inlineStr">
        <is>
          <t>Quotation Slip decision notice to the preparer</t>
        </is>
      </c>
      <c r="C5" s="12" t="inlineStr">
        <is>
          <t>FRPM.006.01, FRPM.012.01; Annex P NT-16</t>
        </is>
      </c>
      <c r="D5" s="12" t="inlineStr">
        <is>
          <t>BRPM.012 (extends)</t>
        </is>
      </c>
      <c r="E5" s="12" t="inlineStr">
        <is>
          <t>Extends a BRD requirement</t>
        </is>
      </c>
      <c r="F5" s="12" t="inlineStr">
        <is>
          <t>BDOI FRS v1.0 FRPM.006.01 and FRPM.012.01; FRS v1.2 Annex P (proposed text NT-16)</t>
        </is>
      </c>
      <c r="G5" s="12" t="inlineStr">
        <is>
          <t>The TSU Officer who prepares a Quotation Slip learns of its approval or return only by opening the request; the notice lets the slip go to the insurers the same day.</t>
        </is>
      </c>
      <c r="H5" s="12" t="inlineStr">
        <is>
          <t>Not available: the slip approval (negotiation service) sends the slip to the insurers but no notice to the preparer; the notice service of the platform is available and is reused.</t>
        </is>
      </c>
      <c r="I5" s="12" t="inlineStr">
        <is>
          <t>Negotiation service about 410 lines; stage notices about 70 lines used as the pattern.</t>
        </is>
      </c>
      <c r="J5" s="22" t="n">
        <v>0.5</v>
      </c>
      <c r="K5" s="22" t="n">
        <v>1.5</v>
      </c>
      <c r="L5" s="22" t="n">
        <v>0</v>
      </c>
      <c r="M5" s="22" t="n">
        <v>1</v>
      </c>
      <c r="N5" s="22" t="n">
        <v>0.5</v>
      </c>
      <c r="O5" s="22">
        <f>SUM(J5:N5)</f>
        <v/>
      </c>
      <c r="P5" s="22">
        <f>ROUND(O5*(1-Assumptions!$B$6),1)</f>
        <v/>
      </c>
      <c r="Q5" s="22">
        <f>ROUND(O5*(1+Assumptions!$B$6),1)</f>
        <v/>
      </c>
      <c r="R5" s="23">
        <f>O5*Assumptions!$B$7</f>
        <v/>
      </c>
      <c r="S5" s="12" t="inlineStr">
        <is>
          <t>Low</t>
        </is>
      </c>
      <c r="T5" s="24" t="inlineStr">
        <is>
          <t>Medium</t>
        </is>
      </c>
      <c r="U5" s="12" t="inlineStr">
        <is>
          <t>Notice service and e-mail channel (Annex S, IN-08)</t>
        </is>
      </c>
      <c r="V5" s="12" t="inlineStr">
        <is>
          <t>Text NT-16 of Annex P approved as written; in-system notice with e-mail copy by preference.</t>
        </is>
      </c>
    </row>
    <row r="6">
      <c r="A6" s="12" t="inlineStr">
        <is>
          <t>CR-PM-102</t>
        </is>
      </c>
      <c r="B6" s="12" t="inlineStr">
        <is>
          <t>ManCom e-mails in BDOI's wording, with the President's text</t>
        </is>
      </c>
      <c r="C6" s="12" t="inlineStr">
        <is>
          <t>FRPM.014.01; Annex P NT-13, NT-14</t>
        </is>
      </c>
      <c r="D6" s="12" t="inlineStr">
        <is>
          <t>BRPM.015 (extends)</t>
        </is>
      </c>
      <c r="E6" s="12" t="inlineStr">
        <is>
          <t>Extends a BRD requirement</t>
        </is>
      </c>
      <c r="F6" s="12" t="inlineStr">
        <is>
          <t>BDOI FRS v1.0 FRPM.014.01; FRS v1.2 Annex P (proposed texts NT-13, NT-14)</t>
        </is>
      </c>
      <c r="G6" s="12" t="inlineStr">
        <is>
          <t>BDOI's FRS asks for the ManCom approval e-mail in its own wording and a separate text when the request reaches the President.</t>
        </is>
      </c>
      <c r="H6" s="12" t="inlineStr">
        <is>
          <t>Partly available: each ManCom approver is told in the system with an e-mail copy, in one standard text; the two BDOI texts are to be added.</t>
        </is>
      </c>
      <c r="I6" s="12" t="inlineStr">
        <is>
          <t>ManCom routing about 270 lines; one notice method to extend.</t>
        </is>
      </c>
      <c r="J6" s="22" t="n">
        <v>0.5</v>
      </c>
      <c r="K6" s="22" t="n">
        <v>1</v>
      </c>
      <c r="L6" s="22" t="n">
        <v>0</v>
      </c>
      <c r="M6" s="22" t="n">
        <v>0.5</v>
      </c>
      <c r="N6" s="22" t="n">
        <v>0.5</v>
      </c>
      <c r="O6" s="22">
        <f>SUM(J6:N6)</f>
        <v/>
      </c>
      <c r="P6" s="22">
        <f>ROUND(O6*(1-Assumptions!$B$6),1)</f>
        <v/>
      </c>
      <c r="Q6" s="22">
        <f>ROUND(O6*(1+Assumptions!$B$6),1)</f>
        <v/>
      </c>
      <c r="R6" s="23">
        <f>O6*Assumptions!$B$7</f>
        <v/>
      </c>
      <c r="S6" s="12" t="inlineStr">
        <is>
          <t>Low</t>
        </is>
      </c>
      <c r="T6" s="24" t="inlineStr">
        <is>
          <t>Medium</t>
        </is>
      </c>
      <c r="U6" s="12" t="inlineStr">
        <is>
          <t>E-mail channel of BDOI (Annex S, IN-08)</t>
        </is>
      </c>
      <c r="V6" s="12" t="inlineStr">
        <is>
          <t>Two texts; no attachment beyond the link to the request.</t>
        </is>
      </c>
    </row>
    <row r="7">
      <c r="A7" s="12" t="inlineStr">
        <is>
          <t>CR-PM-103</t>
        </is>
      </c>
      <c r="B7" s="12" t="inlineStr">
        <is>
          <t>Old and new field values of product master changes in the audit log</t>
        </is>
      </c>
      <c r="C7" s="12" t="inlineStr">
        <is>
          <t>FRPM.021.01, FRPM.021.02; Annex M.5</t>
        </is>
      </c>
      <c r="D7" s="12" t="inlineStr">
        <is>
          <t>BRPM.024 (extends)</t>
        </is>
      </c>
      <c r="E7" s="12" t="inlineStr">
        <is>
          <t>Extends a BRD requirement</t>
        </is>
      </c>
      <c r="F7" s="12" t="inlineStr">
        <is>
          <t>FRS v1.2 Annex M.5 (observation: planned with the programme master data change log)</t>
        </is>
      </c>
      <c r="G7" s="12" t="inlineStr">
        <is>
          <t>BRPM.024 asks for the audit trail of every action; the auditors also expect to see, for a changed master record, which field changed from which value to which value.</t>
        </is>
      </c>
      <c r="H7" s="12" t="inlineStr">
        <is>
          <t>Partly available: every create, change and authorize of a product master is in the audit log with user and time; the field-by-field old and new values are kept today for package terms only.</t>
        </is>
      </c>
      <c r="I7" s="12" t="inlineStr">
        <is>
          <t>15 catalogue services write the audit log; catalogue services about 35 files; record audit tab of the screens to show the two values.</t>
        </is>
      </c>
      <c r="J7" s="22" t="n">
        <v>1</v>
      </c>
      <c r="K7" s="22" t="n">
        <v>4</v>
      </c>
      <c r="L7" s="22" t="n">
        <v>1.5</v>
      </c>
      <c r="M7" s="22" t="n">
        <v>2</v>
      </c>
      <c r="N7" s="22" t="n">
        <v>0.5</v>
      </c>
      <c r="O7" s="22">
        <f>SUM(J7:N7)</f>
        <v/>
      </c>
      <c r="P7" s="22">
        <f>ROUND(O7*(1-Assumptions!$B$6),1)</f>
        <v/>
      </c>
      <c r="Q7" s="22">
        <f>ROUND(O7*(1+Assumptions!$B$6),1)</f>
        <v/>
      </c>
      <c r="R7" s="23">
        <f>O7*Assumptions!$B$7</f>
        <v/>
      </c>
      <c r="S7" s="12" t="inlineStr">
        <is>
          <t>Medium</t>
        </is>
      </c>
      <c r="T7" s="24" t="inlineStr">
        <is>
          <t>High</t>
        </is>
      </c>
      <c r="U7" s="12" t="inlineStr">
        <is>
          <t>Audit log of the platform (old and new value columns exist)</t>
        </is>
      </c>
      <c r="V7" s="12" t="inlineStr">
        <is>
          <t>Product masters of the catalogue (products, coverages, clauses, field rules, incentive criteria, insurers, rates and taxes, sales organisation); values shown on the record audit tab.</t>
        </is>
      </c>
    </row>
    <row r="8">
      <c r="A8" s="12" t="inlineStr">
        <is>
          <t>CR-PM-104</t>
        </is>
      </c>
      <c r="B8" s="12" t="inlineStr">
        <is>
          <t>Accessibility of the Product Maintenance screens (WCAG 2.2 level AA)</t>
        </is>
      </c>
      <c r="C8" s="12" t="inlineStr">
        <is>
          <t>Annex T, T-15</t>
        </is>
      </c>
      <c r="D8" s="12" t="inlineStr">
        <is>
          <t>Not in BRD</t>
        </is>
      </c>
      <c r="E8" s="12" t="inlineStr">
        <is>
          <t>Not in any BRD</t>
        </is>
      </c>
      <c r="F8" s="12" t="inlineStr">
        <is>
          <t>Programme register of non-functional requirements (NFR-ACC-01, NFR-ACC-02), proposed in FRS v1.2 Annex T</t>
        </is>
      </c>
      <c r="G8" s="12" t="inlineStr">
        <is>
          <t>No BDOI BRD asks for an accessibility level; the programme register proposes WCAG 2.2 AA so that keyboard and screen-reader users can work in the module.</t>
        </is>
      </c>
      <c r="H8" s="12" t="inlineStr">
        <is>
          <t>Partly available: the screens use the platform components and are usable with the keyboard; no WCAG 2.2 AA conformance check has been made on the module (about 8 of 35 screen files carry accessibility labels).</t>
        </is>
      </c>
      <c r="I8" s="12" t="inlineStr">
        <is>
          <t>Product Maintenance screens: 35 files, about 3,800 lines.</t>
        </is>
      </c>
      <c r="J8" s="22" t="n">
        <v>1.5</v>
      </c>
      <c r="K8" s="22" t="n">
        <v>0</v>
      </c>
      <c r="L8" s="22" t="n">
        <v>6</v>
      </c>
      <c r="M8" s="22" t="n">
        <v>3</v>
      </c>
      <c r="N8" s="22" t="n">
        <v>1</v>
      </c>
      <c r="O8" s="22">
        <f>SUM(J8:N8)</f>
        <v/>
      </c>
      <c r="P8" s="22">
        <f>ROUND(O8*(1-Assumptions!$B$6),1)</f>
        <v/>
      </c>
      <c r="Q8" s="22">
        <f>ROUND(O8*(1+Assumptions!$B$6),1)</f>
        <v/>
      </c>
      <c r="R8" s="23">
        <f>O8*Assumptions!$B$7</f>
        <v/>
      </c>
      <c r="S8" s="12" t="inlineStr">
        <is>
          <t>Medium</t>
        </is>
      </c>
      <c r="T8" s="24" t="inlineStr">
        <is>
          <t>Low</t>
        </is>
      </c>
      <c r="U8" s="12" t="inlineStr">
        <is>
          <t>BDOI's decision on the accessibility level (Annex V, PQ18)</t>
        </is>
      </c>
      <c r="V8" s="12" t="inlineStr">
        <is>
          <t>Check and fixes on the 35 Product Maintenance screen files (about 3,800 lines) and the product master screens; no redesign.</t>
        </is>
      </c>
    </row>
    <row r="9">
      <c r="A9" s="12" t="inlineStr">
        <is>
          <t>CR-PM-105</t>
        </is>
      </c>
      <c r="B9" s="12" t="inlineStr">
        <is>
          <t>'Due soon' marker at 80% of the stage service level</t>
        </is>
      </c>
      <c r="C9" s="12" t="inlineStr">
        <is>
          <t>FRPM.001.01</t>
        </is>
      </c>
      <c r="D9" s="12" t="inlineStr">
        <is>
          <t>BRPM.021 (extends)</t>
        </is>
      </c>
      <c r="E9" s="12" t="inlineStr">
        <is>
          <t>Extends a BRD requirement</t>
        </is>
      </c>
      <c r="F9" s="12" t="inlineStr">
        <is>
          <t>FRS v1.1 FRPM.001.01 (amber from 80% of the stage service level)</t>
        </is>
      </c>
      <c r="G9" s="12" t="inlineStr">
        <is>
          <t>BRPM.021 asks that each approval step is completed within the defined service level; an amber marker relative to each stage's own service level warns before the breach on short and long stages alike.</t>
        </is>
      </c>
      <c r="H9" s="12" t="inlineStr">
        <is>
          <t>Partly available: a request is marked 'due soon' when it is due within 8 hours, whatever the service level of the stage; overdue (red) is available.</t>
        </is>
      </c>
      <c r="I9" s="12" t="inlineStr">
        <is>
          <t>Package query service about 275 lines (fixed 8-hour window); stage age marker of the screens.</t>
        </is>
      </c>
      <c r="J9" s="22" t="n">
        <v>0.5</v>
      </c>
      <c r="K9" s="22" t="n">
        <v>1</v>
      </c>
      <c r="L9" s="22" t="n">
        <v>0.5</v>
      </c>
      <c r="M9" s="22" t="n">
        <v>1</v>
      </c>
      <c r="N9" s="22" t="n">
        <v>0.5</v>
      </c>
      <c r="O9" s="22">
        <f>SUM(J9:N9)</f>
        <v/>
      </c>
      <c r="P9" s="22">
        <f>ROUND(O9*(1-Assumptions!$B$6),1)</f>
        <v/>
      </c>
      <c r="Q9" s="22">
        <f>ROUND(O9*(1+Assumptions!$B$6),1)</f>
        <v/>
      </c>
      <c r="R9" s="23">
        <f>O9*Assumptions!$B$7</f>
        <v/>
      </c>
      <c r="S9" s="12" t="inlineStr">
        <is>
          <t>Low</t>
        </is>
      </c>
      <c r="T9" s="24" t="inlineStr">
        <is>
          <t>Medium</t>
        </is>
      </c>
      <c r="U9" s="12" t="inlineStr">
        <is>
          <t>-</t>
        </is>
      </c>
      <c r="V9" s="12" t="inlineStr">
        <is>
          <t>The percentage is a parameter (default 80%) maintained by the System Administrator.</t>
        </is>
      </c>
    </row>
    <row r="10">
      <c r="A10" s="12" t="inlineStr">
        <is>
          <t>Total</t>
        </is>
      </c>
      <c r="B10" s="12" t="inlineStr">
        <is>
          <t>5 change requests</t>
        </is>
      </c>
      <c r="C10" s="12" t="n"/>
      <c r="D10" s="12" t="n"/>
      <c r="E10" s="12" t="n"/>
      <c r="F10" s="12" t="n"/>
      <c r="G10" s="12" t="n"/>
      <c r="H10" s="12" t="n"/>
      <c r="I10" s="12" t="n"/>
      <c r="J10" s="22">
        <f>SUM(J5:J9)</f>
        <v/>
      </c>
      <c r="K10" s="22">
        <f>SUM(K5:K9)</f>
        <v/>
      </c>
      <c r="L10" s="22">
        <f>SUM(L5:L9)</f>
        <v/>
      </c>
      <c r="M10" s="22">
        <f>SUM(M5:M9)</f>
        <v/>
      </c>
      <c r="N10" s="22">
        <f>SUM(N5:N9)</f>
        <v/>
      </c>
      <c r="O10" s="22">
        <f>SUM(O5:O9)</f>
        <v/>
      </c>
      <c r="P10" s="22">
        <f>SUM(P5:P9)</f>
        <v/>
      </c>
      <c r="Q10" s="22">
        <f>SUM(Q5:Q9)</f>
        <v/>
      </c>
      <c r="R10" s="23">
        <f>SUM(R5:R9)</f>
        <v/>
      </c>
      <c r="S10" s="12" t="n"/>
      <c r="T10" s="25" t="n"/>
      <c r="U10" s="12" t="n"/>
      <c r="V10" s="12" t="n"/>
    </row>
  </sheetData>
  <autoFilter ref="A4:V10"/>
  <mergeCells count="1">
    <mergeCell ref="A2:V2"/>
  </mergeCells>
  <conditionalFormatting sqref="A5:V510">
    <cfRule type="expression" priority="1" dxfId="0">
      <formula>AND(MOD(ROW(),2)=0,$A5&lt;&gt;"")</formula>
    </cfRule>
  </conditionalFormatting>
  <dataValidations count="3">
    <dataValidation sqref="E5:E510" showDropDown="0" showInputMessage="0" showErrorMessage="1" allowBlank="1" errorTitle="BRD relation" error="Choose a value from the list (BRD relation)." type="list">
      <formula1>'Lists'!$A$2:$A$3</formula1>
    </dataValidation>
    <dataValidation sqref="S5:S510" showDropDown="0" showInputMessage="0" showErrorMessage="1" allowBlank="1" errorTitle="Complexity" error="Choose a value from the list (Complexity)." type="list">
      <formula1>'Lists'!$B$2:$B$4</formula1>
    </dataValidation>
    <dataValidation sqref="T5:T510" showDropDown="0" showInputMessage="0" showErrorMessage="1" allowBlank="1" errorTitle="Priority" error="Choose a value from the list (Priority)." type="list">
      <formula1>'Lists'!$C$2:$C$4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34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16" t="inlineStr">
        <is>
          <t>Green items (OOTB)</t>
        </is>
      </c>
    </row>
    <row r="2">
      <c r="A2" s="19" t="inlineStr">
        <is>
          <t>Points of the FRS beyond the BRD that BIBS already provides (green in the FRS): no cost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No.</t>
        </is>
      </c>
      <c r="B4" s="21" t="inlineStr">
        <is>
          <t>Point</t>
        </is>
      </c>
      <c r="C4" s="21" t="inlineStr">
        <is>
          <t>FRS reference</t>
        </is>
      </c>
      <c r="D4" s="21" t="inlineStr">
        <is>
          <t>Where in BIBS</t>
        </is>
      </c>
      <c r="E4" s="21" t="inlineStr">
        <is>
          <t>BRD reference</t>
        </is>
      </c>
      <c r="F4" s="21" t="inlineStr">
        <is>
          <t>OOTB status</t>
        </is>
      </c>
      <c r="G4" s="21" t="inlineStr">
        <is>
          <t>Cost (md)</t>
        </is>
      </c>
    </row>
    <row r="5">
      <c r="A5" s="12" t="inlineStr">
        <is>
          <t>G-01</t>
        </is>
      </c>
      <c r="B5" s="12" t="inlineStr">
        <is>
          <t>Excel export of the list behind each dashboard tile</t>
        </is>
      </c>
      <c r="C5" s="12" t="inlineStr">
        <is>
          <t>FRPM.001.01</t>
        </is>
      </c>
      <c r="D5" s="12" t="inlineStr">
        <is>
          <t>Product Maintenance dashboard, export buttons</t>
        </is>
      </c>
      <c r="E5" s="12" t="inlineStr">
        <is>
          <t>Not in BRD</t>
        </is>
      </c>
      <c r="F5" s="12" t="inlineStr">
        <is>
          <t>Available in BIBS</t>
        </is>
      </c>
      <c r="G5" s="12" t="n">
        <v>0</v>
      </c>
    </row>
    <row r="6">
      <c r="A6" s="12" t="inlineStr">
        <is>
          <t>G-02</t>
        </is>
      </c>
      <c r="B6" s="12" t="inlineStr">
        <is>
          <t>Dashboard tiles of packages ending within 30, 60 and 90 days</t>
        </is>
      </c>
      <c r="C6" s="12" t="inlineStr">
        <is>
          <t>FRPM.001.01</t>
        </is>
      </c>
      <c r="D6" s="12" t="inlineStr">
        <is>
          <t>Dashboard stage tiles</t>
        </is>
      </c>
      <c r="E6" s="12" t="inlineStr">
        <is>
          <t>Not in BRD</t>
        </is>
      </c>
      <c r="F6" s="12" t="inlineStr">
        <is>
          <t>Available in BIBS</t>
        </is>
      </c>
      <c r="G6" s="12" t="n">
        <v>0</v>
      </c>
    </row>
    <row r="7">
      <c r="A7" s="12" t="inlineStr">
        <is>
          <t>G-03</t>
        </is>
      </c>
      <c r="B7" s="12" t="inlineStr">
        <is>
          <t>Dashboard tile of advisories drafted and not sent</t>
        </is>
      </c>
      <c r="C7" s="12" t="inlineStr">
        <is>
          <t>FRPM.001.01</t>
        </is>
      </c>
      <c r="D7" s="12" t="inlineStr">
        <is>
          <t>Dashboard stage tiles</t>
        </is>
      </c>
      <c r="E7" s="12" t="inlineStr">
        <is>
          <t>Not in BRD</t>
        </is>
      </c>
      <c r="F7" s="12" t="inlineStr">
        <is>
          <t>Available in BIBS</t>
        </is>
      </c>
      <c r="G7" s="12" t="n">
        <v>0</v>
      </c>
    </row>
    <row r="8">
      <c r="A8" s="12" t="inlineStr">
        <is>
          <t>G-04</t>
        </is>
      </c>
      <c r="B8" s="12" t="inlineStr">
        <is>
          <t>Dashboard tile of the comparative outputs of the week</t>
        </is>
      </c>
      <c r="C8" s="12" t="inlineStr">
        <is>
          <t>FRPM.001.01</t>
        </is>
      </c>
      <c r="D8" s="12" t="inlineStr">
        <is>
          <t>Dashboard stage tiles</t>
        </is>
      </c>
      <c r="E8" s="12" t="inlineStr">
        <is>
          <t>Not in BRD</t>
        </is>
      </c>
      <c r="F8" s="12" t="inlineStr">
        <is>
          <t>Available in BIBS</t>
        </is>
      </c>
      <c r="G8" s="12" t="n">
        <v>0</v>
      </c>
    </row>
    <row r="9">
      <c r="A9" s="12" t="inlineStr">
        <is>
          <t>G-05</t>
        </is>
      </c>
      <c r="B9" s="12" t="inlineStr">
        <is>
          <t>TSU Workbench with the TSU queues by stage</t>
        </is>
      </c>
      <c r="C9" s="12" t="inlineStr">
        <is>
          <t>FRPM.002.01</t>
        </is>
      </c>
      <c r="D9" s="12" t="inlineStr">
        <is>
          <t>TSU Workbench screen</t>
        </is>
      </c>
      <c r="E9" s="12" t="inlineStr">
        <is>
          <t>Not in BRD</t>
        </is>
      </c>
      <c r="F9" s="12" t="inlineStr">
        <is>
          <t>Available in BIBS</t>
        </is>
      </c>
      <c r="G9" s="12" t="n">
        <v>0</v>
      </c>
    </row>
    <row r="10">
      <c r="A10" s="12" t="inlineStr">
        <is>
          <t>G-06</t>
        </is>
      </c>
      <c r="B10" s="12" t="inlineStr">
        <is>
          <t>Premium Calculator on the package rate scheme</t>
        </is>
      </c>
      <c r="C10" s="12" t="inlineStr">
        <is>
          <t>FRPM.002.01</t>
        </is>
      </c>
      <c r="D10" s="12" t="inlineStr">
        <is>
          <t>Premium Calculator screen</t>
        </is>
      </c>
      <c r="E10" s="12" t="inlineStr">
        <is>
          <t>Not in BRD</t>
        </is>
      </c>
      <c r="F10" s="12" t="inlineStr">
        <is>
          <t>Available in BIBS</t>
        </is>
      </c>
      <c r="G10" s="12" t="n">
        <v>0</v>
      </c>
    </row>
    <row r="11">
      <c r="A11" s="12" t="inlineStr">
        <is>
          <t>G-07</t>
        </is>
      </c>
      <c r="B11" s="12" t="inlineStr">
        <is>
          <t>Renewal Request Report exported to PDF, Excel and CSV, every run logged</t>
        </is>
      </c>
      <c r="C11" s="12" t="inlineStr">
        <is>
          <t>FRPM.019.01</t>
        </is>
      </c>
      <c r="D11" s="12" t="inlineStr">
        <is>
          <t>Report engine of the platform</t>
        </is>
      </c>
      <c r="E11" s="12" t="inlineStr">
        <is>
          <t>Not in BRD</t>
        </is>
      </c>
      <c r="F11" s="12" t="inlineStr">
        <is>
          <t>Available in BIBS</t>
        </is>
      </c>
      <c r="G11" s="12" t="n">
        <v>0</v>
      </c>
    </row>
    <row r="12">
      <c r="A12" s="12" t="inlineStr">
        <is>
          <t>G-08</t>
        </is>
      </c>
      <c r="B12" s="12" t="inlineStr">
        <is>
          <t>E-mail log with recipient, time, subject and attachment fingerprint</t>
        </is>
      </c>
      <c r="C12" s="12" t="inlineStr">
        <is>
          <t>FRPM.021.01</t>
        </is>
      </c>
      <c r="D12" s="12" t="inlineStr">
        <is>
          <t>Message log of the platform</t>
        </is>
      </c>
      <c r="E12" s="12" t="inlineStr">
        <is>
          <t>Not in BRD</t>
        </is>
      </c>
      <c r="F12" s="12" t="inlineStr">
        <is>
          <t>Available in BIBS</t>
        </is>
      </c>
      <c r="G12" s="12" t="n">
        <v>0</v>
      </c>
    </row>
  </sheetData>
  <autoFilter ref="A4:G12"/>
  <mergeCells count="1">
    <mergeCell ref="A2:G2"/>
  </mergeCells>
  <conditionalFormatting sqref="A5:G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80" customWidth="1" min="3" max="3"/>
  </cols>
  <sheetData>
    <row r="1">
      <c r="A1" s="16" t="inlineStr">
        <is>
          <t>Assumptions</t>
        </is>
      </c>
    </row>
    <row r="3">
      <c r="A3" s="26" t="inlineStr">
        <is>
          <t>Item</t>
        </is>
      </c>
      <c r="B3" s="26" t="inlineStr">
        <is>
          <t>Value</t>
        </is>
      </c>
      <c r="C3" s="26" t="inlineStr">
        <is>
          <t>Note</t>
        </is>
      </c>
    </row>
    <row r="4">
      <c r="A4" s="27" t="inlineStr">
        <is>
          <t>Hours in a man-day</t>
        </is>
      </c>
      <c r="B4" s="27" t="n">
        <v>8</v>
      </c>
      <c r="C4" s="27" t="inlineStr">
        <is>
          <t>One man-day (md) = 8 working hours</t>
        </is>
      </c>
    </row>
    <row r="5">
      <c r="A5" s="27" t="inlineStr">
        <is>
          <t>Currency</t>
        </is>
      </c>
      <c r="B5" s="27" t="inlineStr">
        <is>
          <t>PHP</t>
        </is>
      </c>
      <c r="C5" s="27" t="inlineStr">
        <is>
          <t>Philippine peso</t>
        </is>
      </c>
    </row>
    <row r="6">
      <c r="A6" s="27" t="inlineStr">
        <is>
          <t>Estimate range (plus or minus)</t>
        </is>
      </c>
      <c r="B6" s="28" t="n">
        <v>0.2</v>
      </c>
      <c r="C6" s="27" t="inlineStr">
        <is>
          <t>Each total is an estimate within plus or minus 20%</t>
        </is>
      </c>
    </row>
    <row r="7">
      <c r="A7" s="27" t="inlineStr">
        <is>
          <t>Day rate (PHP per man-day)</t>
        </is>
      </c>
      <c r="B7" s="29" t="n"/>
      <c r="C7" s="27" t="inlineStr">
        <is>
          <t>Enter the agreed day rate; the cost columns follow by formula</t>
        </is>
      </c>
    </row>
    <row r="8">
      <c r="A8" s="27" t="inlineStr">
        <is>
          <t>Basis</t>
        </is>
      </c>
      <c r="B8" s="27" t="inlineStr">
        <is>
          <t>Platform size</t>
        </is>
      </c>
      <c r="C8" s="27" t="inlineStr">
        <is>
          <t>Effort estimated from the size of the platform parts each change touches (services, screens, notices) and a similar existing function</t>
        </is>
      </c>
    </row>
    <row r="9">
      <c r="A9" s="27" t="inlineStr">
        <is>
          <t>Activities</t>
        </is>
      </c>
      <c r="B9" s="27" t="n">
        <v>5</v>
      </c>
      <c r="C9" s="27" t="inlineStr">
        <is>
          <t>Analysis &amp; design, backend, frontend, testing, documentation / UAT support</t>
        </is>
      </c>
    </row>
    <row r="10">
      <c r="A10" s="27" t="inlineStr">
        <is>
          <t>Excluded</t>
        </is>
      </c>
      <c r="B10" s="27" t="inlineStr">
        <is>
          <t>-</t>
        </is>
      </c>
      <c r="C10" s="27" t="inlineStr">
        <is>
          <t>BDOI decisions and inputs, BDOI testing time, data migration, infrastructure</t>
        </is>
      </c>
    </row>
    <row r="11">
      <c r="A11" s="27" t="inlineStr">
        <is>
          <t>Validity</t>
        </is>
      </c>
      <c r="B11" s="27" t="inlineStr">
        <is>
          <t>30 days</t>
        </is>
      </c>
      <c r="C11" s="27" t="inlineStr">
        <is>
          <t>Estimated again if the scope of a change request changes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 ht="45" customHeight="1">
      <c r="A1" s="30" t="inlineStr">
        <is>
          <t>Change requests: BRD relation</t>
        </is>
      </c>
      <c r="B1" s="30" t="inlineStr">
        <is>
          <t>Change requests: Complexity</t>
        </is>
      </c>
      <c r="C1" s="30" t="inlineStr">
        <is>
          <t>Change requests: Priority</t>
        </is>
      </c>
    </row>
    <row r="2">
      <c r="A2" t="inlineStr">
        <is>
          <t>Extends a BRD requirement</t>
        </is>
      </c>
      <c r="B2" t="inlineStr">
        <is>
          <t>Low</t>
        </is>
      </c>
      <c r="C2" t="inlineStr">
        <is>
          <t>High</t>
        </is>
      </c>
    </row>
    <row r="3">
      <c r="A3" t="inlineStr">
        <is>
          <t>Not in any BRD</t>
        </is>
      </c>
      <c r="B3" t="inlineStr">
        <is>
          <t>Medium</t>
        </is>
      </c>
      <c r="C3" t="inlineStr">
        <is>
          <t>Medium</t>
        </is>
      </c>
    </row>
    <row r="4">
      <c r="B4" t="inlineStr">
        <is>
          <t>High</t>
        </is>
      </c>
      <c r="C4" t="inlineStr">
        <is>
          <t>Low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Effort Estimate</dc:title>
  <dc:subject xmlns:dc="http://purl.org/dc/elements/1.1/">BIBS – BDOI Broker System</dc:subject>
  <dcterms:created xmlns:dcterms="http://purl.org/dc/terms/" xmlns:xsi="http://www.w3.org/2001/XMLSchema-instance" xsi:type="dcterms:W3CDTF">2026-10-11T14:03:55Z</dcterms:created>
  <dcterms:modified xmlns:dcterms="http://purl.org/dc/terms/" xmlns:xsi="http://www.w3.org/2001/XMLSchema-instance" xsi:type="dcterms:W3CDTF">2026-10-11T14:03:55Z</dcterms:modified>
  <cp:keywords>Estimate, BRD-03, BIBS, BDOI</cp:keywords>
</cp:coreProperties>
</file>