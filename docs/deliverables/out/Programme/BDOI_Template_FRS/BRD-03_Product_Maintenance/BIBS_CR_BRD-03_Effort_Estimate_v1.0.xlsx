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covered - OOTB" sheetId="6" state="visible" r:id="rId6"/>
    <sheet xmlns:r="http://schemas.openxmlformats.org/officeDocument/2006/relationships" name="Integration &amp; DM scope" sheetId="7" state="visible" r:id="rId7"/>
    <sheet xmlns:r="http://schemas.openxmlformats.org/officeDocument/2006/relationships" name="Best practice (blue)" sheetId="8" state="visible" r:id="rId8"/>
    <sheet xmlns:r="http://schemas.openxmlformats.org/officeDocument/2006/relationships" name="BRD items to deliver" sheetId="9" state="visible" r:id="rId9"/>
    <sheet xmlns:r="http://schemas.openxmlformats.org/officeDocument/2006/relationships" name="Assumptions" sheetId="10" state="visible" r:id="rId10"/>
    <sheet xmlns:r="http://schemas.openxmlformats.org/officeDocument/2006/relationships" name="Lists" sheetId="11" state="visible" r:id="rId11"/>
  </sheets>
  <definedNames>
    <definedName name="_xlnm._FilterDatabase" localSheetId="1" hidden="1">'README'!$A$4:$D$59</definedName>
    <definedName name="_xlnm.Print_Titles" localSheetId="1">'README'!$4:$4</definedName>
    <definedName name="_xlnm._FilterDatabase" localSheetId="2" hidden="1">'Summary'!$A$4:$B$19</definedName>
    <definedName name="_xlnm.Print_Titles" localSheetId="2">'Summary'!$4:$4</definedName>
    <definedName name="_xlnm._FilterDatabase" localSheetId="3" hidden="1">'CR Effort'!$A$4:$Y$6</definedName>
    <definedName name="_xlnm.Print_Titles" localSheetId="3">'CR Effort'!$4:$4</definedName>
    <definedName name="_xlnm._FilterDatabase" localSheetId="4" hidden="1">'Beyond the BRD - OOTB'!$A$4:$G$5</definedName>
    <definedName name="_xlnm.Print_Titles" localSheetId="4">'Beyond the BRD - OOTB'!$4:$4</definedName>
    <definedName name="_xlnm._FilterDatabase" localSheetId="5" hidden="1">'BRD covered - OOTB'!$A$4:$G$8</definedName>
    <definedName name="_xlnm.Print_Titles" localSheetId="5">'BRD covered - OOTB'!$4:$4</definedName>
    <definedName name="_xlnm._FilterDatabase" localSheetId="6" hidden="1">'Integration &amp; DM scope'!$A$4:$D$27</definedName>
    <definedName name="_xlnm.Print_Titles" localSheetId="6">'Integration &amp; DM scope'!$4:$4</definedName>
    <definedName name="_xlnm._FilterDatabase" localSheetId="7" hidden="1">'Best practice (blue)'!$A$4:$E$7</definedName>
    <definedName name="_xlnm.Print_Titles" localSheetId="7">'Best practice (blue)'!$4:$4</definedName>
    <definedName name="_xlnm._FilterDatabase" localSheetId="8" hidden="1">'BRD items to deliver'!$A$4:$E$24</definedName>
    <definedName name="_xlnm.Print_Titles" localSheetId="8">'BRD items to deliver'!$4:$4</definedName>
    <definedName name="_xlnm.Print_Titles" localSheetId="10">'Lists'!$1:$1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5">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4" borderId="2" applyAlignment="1" pivotButton="0" quotePrefix="0" xfId="0">
      <alignment vertical="top" wrapText="1"/>
    </xf>
    <xf numFmtId="0" fontId="4" fillId="4" borderId="2" applyAlignment="1" pivotButton="0" quotePrefix="0" xfId="0">
      <alignment vertical="top" wrapText="1"/>
    </xf>
    <xf numFmtId="0" fontId="2" fillId="0" borderId="0" pivotButton="0" quotePrefix="0" xfId="0"/>
    <xf numFmtId="0" fontId="1" fillId="0" borderId="0" pivotButton="0" quotePrefix="0" xfId="0"/>
    <xf numFmtId="0" fontId="15" fillId="0" borderId="2" applyAlignment="1" pivotButton="0" quotePrefix="0" xfId="0">
      <alignment vertical="top" wrapText="1"/>
    </xf>
    <xf numFmtId="0" fontId="15"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4" fillId="0" borderId="2" applyAlignment="1" pivotButton="0" quotePrefix="0" xfId="0">
      <alignment vertical="top"/>
    </xf>
    <xf numFmtId="4" fontId="4" fillId="0" borderId="2" applyAlignment="1" pivotButton="0" quotePrefix="0" xfId="0">
      <alignment vertical="top"/>
    </xf>
    <xf numFmtId="0" fontId="3" fillId="2" borderId="0" pivotButton="0" quotePrefix="0" xfId="0"/>
    <xf numFmtId="0" fontId="6" fillId="0" borderId="2" applyAlignment="1" pivotButton="0" quotePrefix="0" xfId="0">
      <alignment vertical="top" wrapText="1"/>
    </xf>
    <xf numFmtId="9" fontId="6" fillId="0" borderId="2" applyAlignment="1" pivotButton="0" quotePrefix="0" xfId="0">
      <alignment vertical="top" wrapText="1"/>
    </xf>
    <xf numFmtId="4" fontId="6" fillId="3" borderId="2" applyAlignment="1" pivotButton="0" quotePrefix="0" xfId="0">
      <alignment vertical="top" wrapText="1"/>
    </xf>
    <xf numFmtId="0" fontId="5" fillId="2" borderId="0"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covered - OOTB'!A1" TargetMode="External" Id="rId5"/><Relationship Type="http://schemas.openxmlformats.org/officeDocument/2006/relationships/hyperlink" Target="#'Integration &amp; DM scope'!A1" TargetMode="External" Id="rId6"/><Relationship Type="http://schemas.openxmlformats.org/officeDocument/2006/relationships/hyperlink" Target="#'Best practice (blue)'!A1" TargetMode="External" Id="rId7"/><Relationship Type="http://schemas.openxmlformats.org/officeDocument/2006/relationships/hyperlink" Target="#'BRD items to deliver'!A1" TargetMode="External" Id="rId8"/><Relationship Type="http://schemas.openxmlformats.org/officeDocument/2006/relationships/hyperlink" Target="#'Assump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ESTIMATE</t>
        </is>
      </c>
    </row>
    <row r="7" ht="32" customHeight="1">
      <c r="B7" s="3" t="inlineStr">
        <is>
          <t>Change Request Effort Estimate</t>
        </is>
      </c>
    </row>
    <row r="8">
      <c r="B8" s="4" t="inlineStr">
        <is>
          <t>BRD-03 Product Maintenance – points beyond the BRD of the FRS v1.3: change requests with their effort</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points beyond the BRD of the FRS v1.3 (Annex Y)</t>
        </is>
      </c>
      <c r="D21" s="14" t="n">
        <v>15</v>
      </c>
    </row>
    <row r="22">
      <c r="B22" s="11" t="inlineStr">
        <is>
          <t>CR Effort</t>
        </is>
      </c>
      <c r="C22" s="12" t="inlineStr">
        <is>
          <t>One row per orange point of the FRS v1.3 (Annex Y.2), effort in man-days</t>
        </is>
      </c>
      <c r="D22" s="12" t="n">
        <v>2</v>
      </c>
    </row>
    <row r="23">
      <c r="B23" s="13" t="inlineStr">
        <is>
          <t>Beyond the BRD - OOTB</t>
        </is>
      </c>
      <c r="C23" s="14" t="inlineStr">
        <is>
          <t>Points beyond the BRD that the iNXT BrokerVerse OOTB platform provides (green): no cost</t>
        </is>
      </c>
      <c r="D23" s="14" t="n">
        <v>1</v>
      </c>
    </row>
    <row r="24">
      <c r="B24" s="11" t="inlineStr">
        <is>
          <t>BRD covered - OOTB</t>
        </is>
      </c>
      <c r="C24" s="12" t="inlineStr">
        <is>
          <t>BRD requirements (black in the FRS, in scope) that the iNXT BrokerVerse OOTB platform provides: no change request, no effort</t>
        </is>
      </c>
      <c r="D24" s="12" t="n">
        <v>4</v>
      </c>
    </row>
    <row r="25">
      <c r="B25" s="13" t="inlineStr">
        <is>
          <t>Integration &amp; DM scope</t>
        </is>
      </c>
      <c r="C25" s="14" t="inlineStr">
        <is>
          <t>Covered by the Integration scope or the Data Migration scope (BRD-13): no CR cost here</t>
        </is>
      </c>
      <c r="D25" s="14" t="n">
        <v>23</v>
      </c>
    </row>
    <row r="26">
      <c r="B26" s="11" t="inlineStr">
        <is>
          <t>Best practice (blue)</t>
        </is>
      </c>
      <c r="C26" s="12" t="inlineStr">
        <is>
          <t>Not in the BRD, the FRS or the OOTB platform: recommendations (Annex Y.6), not commitments</t>
        </is>
      </c>
      <c r="D26" s="12" t="n">
        <v>3</v>
      </c>
    </row>
    <row r="27">
      <c r="B27" s="13" t="inlineStr">
        <is>
          <t>BRD items to deliver</t>
        </is>
      </c>
      <c r="C27" s="14" t="inlineStr">
        <is>
          <t>BRD requirements not fully met by the OOTB platform: in-scope delivery work for planning, not CRs</t>
        </is>
      </c>
      <c r="D27" s="14" t="n">
        <v>20</v>
      </c>
    </row>
    <row r="28">
      <c r="B28" s="11" t="inlineStr">
        <is>
          <t>Assumptions</t>
        </is>
      </c>
      <c r="C28" s="12" t="inlineStr">
        <is>
          <t>Man-day, range and day rate used by the formulas</t>
        </is>
      </c>
      <c r="D28" s="12" t="n">
        <v>0</v>
      </c>
    </row>
    <row r="31" ht="26" customHeight="1">
      <c r="B31"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5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Change Request Effort Estimate,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7" t="inlineStr">
        <is>
          <t>Item</t>
        </is>
      </c>
      <c r="C5" s="12" t="inlineStr">
        <is>
          <t>What is counted</t>
        </is>
      </c>
      <c r="D5" s="12" t="inlineStr"/>
    </row>
    <row r="6">
      <c r="A6" s="14" t="inlineStr">
        <is>
          <t>Summary</t>
        </is>
      </c>
      <c r="B6" s="18" t="inlineStr">
        <is>
          <t>Value</t>
        </is>
      </c>
      <c r="C6" s="14" t="inlineStr">
        <is>
          <t>Count, man-days or cost</t>
        </is>
      </c>
      <c r="D6" s="14" t="inlineStr"/>
    </row>
    <row r="7">
      <c r="A7" s="12" t="inlineStr">
        <is>
          <t>CR Effort</t>
        </is>
      </c>
      <c r="B7" s="17" t="inlineStr">
        <is>
          <t>CR No.</t>
        </is>
      </c>
      <c r="C7" s="12" t="inlineStr">
        <is>
          <t>Change request (FRS Annex Y.2 and the CR register)</t>
        </is>
      </c>
      <c r="D7" s="12" t="inlineStr"/>
    </row>
    <row r="8">
      <c r="A8" s="14" t="inlineStr">
        <is>
          <t>CR Effort</t>
        </is>
      </c>
      <c r="B8" s="18" t="inlineStr">
        <is>
          <t>Title</t>
        </is>
      </c>
      <c r="C8" s="14" t="inlineStr">
        <is>
          <t>The change</t>
        </is>
      </c>
      <c r="D8" s="14" t="inlineStr"/>
    </row>
    <row r="9">
      <c r="A9" s="12" t="inlineStr">
        <is>
          <t>CR Effort</t>
        </is>
      </c>
      <c r="B9" s="17" t="inlineStr">
        <is>
          <t>FRS reference</t>
        </is>
      </c>
      <c r="C9" s="12" t="inlineStr">
        <is>
          <t>FR item or annex row</t>
        </is>
      </c>
      <c r="D9" s="12" t="inlineStr"/>
    </row>
    <row r="10">
      <c r="A10" s="14" t="inlineStr">
        <is>
          <t>CR Effort</t>
        </is>
      </c>
      <c r="B10" s="18" t="inlineStr">
        <is>
          <t>BRD reference</t>
        </is>
      </c>
      <c r="C10" s="14" t="inlineStr">
        <is>
          <t>BRD ID it extends, or 'Not in BRD'</t>
        </is>
      </c>
      <c r="D10" s="14" t="inlineStr"/>
    </row>
    <row r="11">
      <c r="A11" s="12" t="inlineStr">
        <is>
          <t>CR Effort</t>
        </is>
      </c>
      <c r="B11" s="17" t="inlineStr">
        <is>
          <t>BRD relation</t>
        </is>
      </c>
      <c r="C11" s="12" t="inlineStr">
        <is>
          <t>Extends a BRD requirement / Not in any BRD</t>
        </is>
      </c>
      <c r="D11" s="12" t="inlineStr">
        <is>
          <t>Extends a BRD requirement, Not in any BRD</t>
        </is>
      </c>
    </row>
    <row r="12">
      <c r="A12" s="14" t="inlineStr">
        <is>
          <t>CR Effort</t>
        </is>
      </c>
      <c r="B12" s="18" t="inlineStr">
        <is>
          <t>Where the point comes from</t>
        </is>
      </c>
      <c r="C12" s="14" t="inlineStr">
        <is>
          <t>Document and section</t>
        </is>
      </c>
      <c r="D12" s="14" t="inlineStr"/>
    </row>
    <row r="13">
      <c r="A13" s="12" t="inlineStr">
        <is>
          <t>CR Effort</t>
        </is>
      </c>
      <c r="B13" s="17" t="inlineStr">
        <is>
          <t>Why needed</t>
        </is>
      </c>
      <c r="C13" s="12" t="inlineStr">
        <is>
          <t>Business reason</t>
        </is>
      </c>
      <c r="D13" s="12" t="inlineStr"/>
    </row>
    <row r="14">
      <c r="A14" s="14" t="inlineStr">
        <is>
          <t>CR Effort</t>
        </is>
      </c>
      <c r="B14" s="18" t="inlineStr">
        <is>
          <t>Feature List ID / OOTB status</t>
        </is>
      </c>
      <c r="C14" s="14" t="inlineStr">
        <is>
          <t>Programme Feature List, column OOTB platform</t>
        </is>
      </c>
      <c r="D14" s="14" t="inlineStr"/>
    </row>
    <row r="15">
      <c r="A15" s="12" t="inlineStr">
        <is>
          <t>CR Effort</t>
        </is>
      </c>
      <c r="B15" s="17" t="inlineStr">
        <is>
          <t>OOTB evidence</t>
        </is>
      </c>
      <c r="C15" s="12" t="inlineStr">
        <is>
          <t>Screen or function of brokerverse-platform, or 'not found'</t>
        </is>
      </c>
      <c r="D15" s="12" t="inlineStr"/>
    </row>
    <row r="16">
      <c r="A16" s="14" t="inlineStr">
        <is>
          <t>CR Effort</t>
        </is>
      </c>
      <c r="B16" s="18" t="inlineStr">
        <is>
          <t>Prepared for BIBS?</t>
        </is>
      </c>
      <c r="C16" s="14" t="inlineStr">
        <is>
          <t>Yes / No / Partly, with what was done for BIBS in this project (the effort is given anyway: the value of the change request)</t>
        </is>
      </c>
      <c r="D16" s="14" t="inlineStr"/>
    </row>
    <row r="17">
      <c r="A17" s="12" t="inlineStr">
        <is>
          <t>CR Effort</t>
        </is>
      </c>
      <c r="B17" s="17" t="inlineStr">
        <is>
          <t>Effort covers</t>
        </is>
      </c>
      <c r="C17" s="12" t="inlineStr">
        <is>
          <t>For a Partial feature: the missing part only</t>
        </is>
      </c>
      <c r="D17" s="12" t="inlineStr"/>
    </row>
    <row r="18">
      <c r="A18" s="14" t="inlineStr">
        <is>
          <t>CR Effort</t>
        </is>
      </c>
      <c r="B18" s="18" t="inlineStr">
        <is>
          <t>Estimate basis</t>
        </is>
      </c>
      <c r="C18" s="14" t="inlineStr">
        <is>
          <t>Size of the platform parts the change touches</t>
        </is>
      </c>
      <c r="D18" s="14" t="inlineStr"/>
    </row>
    <row r="19">
      <c r="A19" s="12" t="inlineStr">
        <is>
          <t>CR Effort</t>
        </is>
      </c>
      <c r="B19" s="17" t="inlineStr">
        <is>
          <t>Analysis &amp; design (md)</t>
        </is>
      </c>
      <c r="C19" s="12" t="inlineStr">
        <is>
          <t>Man-days</t>
        </is>
      </c>
      <c r="D19" s="12" t="inlineStr"/>
    </row>
    <row r="20">
      <c r="A20" s="14" t="inlineStr">
        <is>
          <t>CR Effort</t>
        </is>
      </c>
      <c r="B20" s="18" t="inlineStr">
        <is>
          <t>Backend (md)</t>
        </is>
      </c>
      <c r="C20" s="14" t="inlineStr">
        <is>
          <t>Man-days</t>
        </is>
      </c>
      <c r="D20" s="14" t="inlineStr"/>
    </row>
    <row r="21">
      <c r="A21" s="12" t="inlineStr">
        <is>
          <t>CR Effort</t>
        </is>
      </c>
      <c r="B21" s="17" t="inlineStr">
        <is>
          <t>Frontend (md)</t>
        </is>
      </c>
      <c r="C21" s="12" t="inlineStr">
        <is>
          <t>Man-days</t>
        </is>
      </c>
      <c r="D21" s="12" t="inlineStr"/>
    </row>
    <row r="22">
      <c r="A22" s="14" t="inlineStr">
        <is>
          <t>CR Effort</t>
        </is>
      </c>
      <c r="B22" s="18" t="inlineStr">
        <is>
          <t>Testing (md)</t>
        </is>
      </c>
      <c r="C22" s="14" t="inlineStr">
        <is>
          <t>Man-days</t>
        </is>
      </c>
      <c r="D22" s="14" t="inlineStr"/>
    </row>
    <row r="23">
      <c r="A23" s="12" t="inlineStr">
        <is>
          <t>CR Effort</t>
        </is>
      </c>
      <c r="B23" s="17" t="inlineStr">
        <is>
          <t>Documentation / UAT support (md)</t>
        </is>
      </c>
      <c r="C23" s="12" t="inlineStr">
        <is>
          <t>Man-days</t>
        </is>
      </c>
      <c r="D23" s="12" t="inlineStr"/>
    </row>
    <row r="24">
      <c r="A24" s="14" t="inlineStr">
        <is>
          <t>CR Effort</t>
        </is>
      </c>
      <c r="B24" s="18" t="inlineStr">
        <is>
          <t>Total (md)</t>
        </is>
      </c>
      <c r="C24" s="14" t="inlineStr">
        <is>
          <t>Sum of the activities</t>
        </is>
      </c>
      <c r="D24" s="14" t="inlineStr"/>
    </row>
    <row r="25">
      <c r="A25" s="12" t="inlineStr">
        <is>
          <t>CR Effort</t>
        </is>
      </c>
      <c r="B25" s="17" t="inlineStr">
        <is>
          <t>Low (-20%)</t>
        </is>
      </c>
      <c r="C25" s="12" t="inlineStr">
        <is>
          <t>Total less the range</t>
        </is>
      </c>
      <c r="D25" s="12" t="inlineStr"/>
    </row>
    <row r="26">
      <c r="A26" s="14" t="inlineStr">
        <is>
          <t>CR Effort</t>
        </is>
      </c>
      <c r="B26" s="18" t="inlineStr">
        <is>
          <t>High (+20%)</t>
        </is>
      </c>
      <c r="C26" s="14" t="inlineStr">
        <is>
          <t>Total plus the range</t>
        </is>
      </c>
      <c r="D26" s="14" t="inlineStr"/>
    </row>
    <row r="27">
      <c r="A27" s="12" t="inlineStr">
        <is>
          <t>CR Effort</t>
        </is>
      </c>
      <c r="B27" s="17" t="inlineStr">
        <is>
          <t>Cost (PHP)</t>
        </is>
      </c>
      <c r="C27" s="12" t="inlineStr">
        <is>
          <t>Total x day rate (Assumptions)</t>
        </is>
      </c>
      <c r="D27" s="12" t="inlineStr"/>
    </row>
    <row r="28">
      <c r="A28" s="14" t="inlineStr">
        <is>
          <t>CR Effort</t>
        </is>
      </c>
      <c r="B28" s="18" t="inlineStr">
        <is>
          <t>Complexity</t>
        </is>
      </c>
      <c r="C28" s="14" t="inlineStr">
        <is>
          <t>Low / Medium / High</t>
        </is>
      </c>
      <c r="D28" s="14" t="inlineStr">
        <is>
          <t>Low, Medium, High</t>
        </is>
      </c>
    </row>
    <row r="29">
      <c r="A29" s="12" t="inlineStr">
        <is>
          <t>CR Effort</t>
        </is>
      </c>
      <c r="B29" s="17" t="inlineStr">
        <is>
          <t>Priority</t>
        </is>
      </c>
      <c r="C29" s="12" t="inlineStr">
        <is>
          <t>High / Medium / Low</t>
        </is>
      </c>
      <c r="D29" s="12" t="inlineStr">
        <is>
          <t>High, Medium, Low</t>
        </is>
      </c>
    </row>
    <row r="30">
      <c r="A30" s="14" t="inlineStr">
        <is>
          <t>CR Effort</t>
        </is>
      </c>
      <c r="B30" s="18" t="inlineStr">
        <is>
          <t>Dependencies</t>
        </is>
      </c>
      <c r="C30" s="14" t="inlineStr">
        <is>
          <t>What the change needs first</t>
        </is>
      </c>
      <c r="D30" s="14" t="inlineStr"/>
    </row>
    <row r="31">
      <c r="A31" s="12" t="inlineStr">
        <is>
          <t>CR Effort</t>
        </is>
      </c>
      <c r="B31" s="17" t="inlineStr">
        <is>
          <t>Assumptions</t>
        </is>
      </c>
      <c r="C31" s="12" t="inlineStr">
        <is>
          <t>Scope assumed by the estimate</t>
        </is>
      </c>
      <c r="D31" s="12" t="inlineStr"/>
    </row>
    <row r="32">
      <c r="A32" s="14" t="inlineStr">
        <is>
          <t>Beyond the BRD - OOTB</t>
        </is>
      </c>
      <c r="B32" s="18" t="inlineStr">
        <is>
          <t>No.</t>
        </is>
      </c>
      <c r="C32" s="14" t="inlineStr">
        <is>
          <t>Point (Annex Y.3)</t>
        </is>
      </c>
      <c r="D32" s="14" t="inlineStr"/>
    </row>
    <row r="33">
      <c r="A33" s="12" t="inlineStr">
        <is>
          <t>Beyond the BRD - OOTB</t>
        </is>
      </c>
      <c r="B33" s="17" t="inlineStr">
        <is>
          <t>Point</t>
        </is>
      </c>
      <c r="C33" s="12" t="inlineStr">
        <is>
          <t>The point of the FRS</t>
        </is>
      </c>
      <c r="D33" s="12" t="inlineStr"/>
    </row>
    <row r="34">
      <c r="A34" s="14" t="inlineStr">
        <is>
          <t>Beyond the BRD - OOTB</t>
        </is>
      </c>
      <c r="B34" s="18" t="inlineStr">
        <is>
          <t>FRS reference</t>
        </is>
      </c>
      <c r="C34" s="14" t="inlineStr">
        <is>
          <t>FR item or annex</t>
        </is>
      </c>
      <c r="D34" s="14" t="inlineStr"/>
    </row>
    <row r="35">
      <c r="A35" s="12" t="inlineStr">
        <is>
          <t>Beyond the BRD - OOTB</t>
        </is>
      </c>
      <c r="B35" s="17" t="inlineStr">
        <is>
          <t>Feature List ID / OOTB status</t>
        </is>
      </c>
      <c r="C35" s="12" t="inlineStr">
        <is>
          <t>Programme Feature List, column OOTB platform</t>
        </is>
      </c>
      <c r="D35" s="12" t="inlineStr"/>
    </row>
    <row r="36">
      <c r="A36" s="14" t="inlineStr">
        <is>
          <t>Beyond the BRD - OOTB</t>
        </is>
      </c>
      <c r="B36" s="18" t="inlineStr">
        <is>
          <t>OOTB evidence</t>
        </is>
      </c>
      <c r="C36" s="14" t="inlineStr">
        <is>
          <t>Screen or function of brokerverse-platform</t>
        </is>
      </c>
      <c r="D36" s="14" t="inlineStr"/>
    </row>
    <row r="37">
      <c r="A37" s="12" t="inlineStr">
        <is>
          <t>Beyond the BRD - OOTB</t>
        </is>
      </c>
      <c r="B37" s="17" t="inlineStr">
        <is>
          <t>BRD reference</t>
        </is>
      </c>
      <c r="C37" s="12" t="inlineStr">
        <is>
          <t>Not in the BRD</t>
        </is>
      </c>
      <c r="D37" s="12" t="inlineStr"/>
    </row>
    <row r="38">
      <c r="A38" s="14" t="inlineStr">
        <is>
          <t>Beyond the BRD - OOTB</t>
        </is>
      </c>
      <c r="B38" s="18" t="inlineStr">
        <is>
          <t>Cost (md)</t>
        </is>
      </c>
      <c r="C38" s="14" t="inlineStr">
        <is>
          <t>Zero</t>
        </is>
      </c>
      <c r="D38" s="14" t="inlineStr"/>
    </row>
    <row r="39">
      <c r="A39" s="12" t="inlineStr">
        <is>
          <t>BRD covered - OOTB</t>
        </is>
      </c>
      <c r="B39" s="17" t="inlineStr">
        <is>
          <t>No.</t>
        </is>
      </c>
      <c r="C39" s="12" t="inlineStr">
        <is>
          <t>Former green point</t>
        </is>
      </c>
      <c r="D39" s="12" t="inlineStr"/>
    </row>
    <row r="40">
      <c r="A40" s="14" t="inlineStr">
        <is>
          <t>BRD covered - OOTB</t>
        </is>
      </c>
      <c r="B40" s="18" t="inlineStr">
        <is>
          <t>Point</t>
        </is>
      </c>
      <c r="C40" s="14" t="inlineStr">
        <is>
          <t>The point of the FRS</t>
        </is>
      </c>
      <c r="D40" s="14" t="inlineStr"/>
    </row>
    <row r="41">
      <c r="A41" s="12" t="inlineStr">
        <is>
          <t>BRD covered - OOTB</t>
        </is>
      </c>
      <c r="B41" s="17" t="inlineStr">
        <is>
          <t>FRS reference</t>
        </is>
      </c>
      <c r="C41" s="12" t="inlineStr">
        <is>
          <t>FR item or annex</t>
        </is>
      </c>
      <c r="D41" s="12" t="inlineStr"/>
    </row>
    <row r="42">
      <c r="A42" s="14" t="inlineStr">
        <is>
          <t>BRD covered - OOTB</t>
        </is>
      </c>
      <c r="B42" s="18" t="inlineStr">
        <is>
          <t>BRD line</t>
        </is>
      </c>
      <c r="C42" s="14" t="inlineStr">
        <is>
          <t>The BRD line that asks for it (BRD, BRD-00 or programme-wide NFR)</t>
        </is>
      </c>
      <c r="D42" s="14" t="inlineStr"/>
    </row>
    <row r="43">
      <c r="A43" s="12" t="inlineStr">
        <is>
          <t>BRD covered - OOTB</t>
        </is>
      </c>
      <c r="B43" s="17" t="inlineStr">
        <is>
          <t>Feature List ID / OOTB status</t>
        </is>
      </c>
      <c r="C43" s="12" t="inlineStr">
        <is>
          <t>Programme Feature List, column OOTB platform</t>
        </is>
      </c>
      <c r="D43" s="12" t="inlineStr"/>
    </row>
    <row r="44">
      <c r="A44" s="14" t="inlineStr">
        <is>
          <t>BRD covered - OOTB</t>
        </is>
      </c>
      <c r="B44" s="18" t="inlineStr">
        <is>
          <t>OOTB evidence</t>
        </is>
      </c>
      <c r="C44" s="14" t="inlineStr">
        <is>
          <t>Screen or function of brokerverse-platform</t>
        </is>
      </c>
      <c r="D44" s="14" t="inlineStr"/>
    </row>
    <row r="45">
      <c r="A45" s="12" t="inlineStr">
        <is>
          <t>BRD covered - OOTB</t>
        </is>
      </c>
      <c r="B45" s="17" t="inlineStr">
        <is>
          <t>Effort (md)</t>
        </is>
      </c>
      <c r="C45" s="12" t="inlineStr">
        <is>
          <t>Zero: offered OOTB</t>
        </is>
      </c>
      <c r="D45" s="12" t="inlineStr"/>
    </row>
    <row r="46">
      <c r="A46" s="14" t="inlineStr">
        <is>
          <t>Integration &amp; DM scope</t>
        </is>
      </c>
      <c r="B46" s="18" t="inlineStr">
        <is>
          <t>Item</t>
        </is>
      </c>
      <c r="C46" s="14" t="inlineStr">
        <is>
          <t>Interface or data load</t>
        </is>
      </c>
      <c r="D46" s="14" t="inlineStr"/>
    </row>
    <row r="47">
      <c r="A47" s="12" t="inlineStr">
        <is>
          <t>Integration &amp; DM scope</t>
        </is>
      </c>
      <c r="B47" s="17" t="inlineStr">
        <is>
          <t>Scope</t>
        </is>
      </c>
      <c r="C47" s="12" t="inlineStr">
        <is>
          <t>Integration or Data Migration</t>
        </is>
      </c>
      <c r="D47" s="12" t="inlineStr">
        <is>
          <t>Integration scope, Data Migration scope</t>
        </is>
      </c>
    </row>
    <row r="48">
      <c r="A48" s="14" t="inlineStr">
        <is>
          <t>Integration &amp; DM scope</t>
        </is>
      </c>
      <c r="B48" s="18" t="inlineStr">
        <is>
          <t>What</t>
        </is>
      </c>
      <c r="C48" s="14" t="inlineStr">
        <is>
          <t>What is exchanged or loaded</t>
        </is>
      </c>
      <c r="D48" s="14" t="inlineStr"/>
    </row>
    <row r="49">
      <c r="A49" s="12" t="inlineStr">
        <is>
          <t>Integration &amp; DM scope</t>
        </is>
      </c>
      <c r="B49" s="17" t="inlineStr">
        <is>
          <t>Where in the FRS</t>
        </is>
      </c>
      <c r="C49" s="12" t="inlineStr">
        <is>
          <t>Annex</t>
        </is>
      </c>
      <c r="D49" s="12" t="inlineStr"/>
    </row>
    <row r="50">
      <c r="A50" s="14" t="inlineStr">
        <is>
          <t>Best practice (blue)</t>
        </is>
      </c>
      <c r="B50" s="18" t="inlineStr">
        <is>
          <t>ID</t>
        </is>
      </c>
      <c r="C50" s="14" t="inlineStr">
        <is>
          <t>Best practice</t>
        </is>
      </c>
      <c r="D50" s="14" t="inlineStr"/>
    </row>
    <row r="51">
      <c r="A51" s="12" t="inlineStr">
        <is>
          <t>Best practice (blue)</t>
        </is>
      </c>
      <c r="B51" s="17" t="inlineStr">
        <is>
          <t>Practice</t>
        </is>
      </c>
      <c r="C51" s="12" t="inlineStr">
        <is>
          <t>Insurance-broking practice</t>
        </is>
      </c>
      <c r="D51" s="12" t="inlineStr"/>
    </row>
    <row r="52">
      <c r="A52" s="14" t="inlineStr">
        <is>
          <t>Best practice (blue)</t>
        </is>
      </c>
      <c r="B52" s="18" t="inlineStr">
        <is>
          <t>Why it matters for a broker</t>
        </is>
      </c>
      <c r="C52" s="14" t="inlineStr">
        <is>
          <t>Philippine market where relevant</t>
        </is>
      </c>
      <c r="D52" s="14" t="inlineStr"/>
    </row>
    <row r="53">
      <c r="A53" s="12" t="inlineStr">
        <is>
          <t>Best practice (blue)</t>
        </is>
      </c>
      <c r="B53" s="17" t="inlineStr">
        <is>
          <t>Suggested priority</t>
        </is>
      </c>
      <c r="C53" s="12" t="inlineStr">
        <is>
          <t>High / Medium / Low</t>
        </is>
      </c>
      <c r="D53" s="12" t="inlineStr">
        <is>
          <t>High, Medium, Low</t>
        </is>
      </c>
    </row>
    <row r="54">
      <c r="A54" s="14" t="inlineStr">
        <is>
          <t>Best practice (blue)</t>
        </is>
      </c>
      <c r="B54" s="18" t="inlineStr">
        <is>
          <t>Indicative man-days</t>
        </is>
      </c>
      <c r="C54" s="14" t="inlineStr">
        <is>
          <t>Indicative; not in the CR total</t>
        </is>
      </c>
      <c r="D54" s="14" t="inlineStr"/>
    </row>
    <row r="55">
      <c r="A55" s="12" t="inlineStr">
        <is>
          <t>BRD items to deliver</t>
        </is>
      </c>
      <c r="B55" s="17" t="inlineStr">
        <is>
          <t>BRD ID</t>
        </is>
      </c>
      <c r="C55" s="12" t="inlineStr">
        <is>
          <t>BRD requirement</t>
        </is>
      </c>
      <c r="D55" s="12" t="inlineStr"/>
    </row>
    <row r="56">
      <c r="A56" s="14" t="inlineStr">
        <is>
          <t>BRD items to deliver</t>
        </is>
      </c>
      <c r="B56" s="18" t="inlineStr">
        <is>
          <t>BRD requirement</t>
        </is>
      </c>
      <c r="C56" s="14" t="inlineStr">
        <is>
          <t>Text of the BRD</t>
        </is>
      </c>
      <c r="D56" s="14" t="inlineStr"/>
    </row>
    <row r="57">
      <c r="A57" s="12" t="inlineStr">
        <is>
          <t>BRD items to deliver</t>
        </is>
      </c>
      <c r="B57" s="17" t="inlineStr">
        <is>
          <t>Fit</t>
        </is>
      </c>
      <c r="C57" s="12" t="inlineStr">
        <is>
          <t>Fit class of the fit-gap workbook</t>
        </is>
      </c>
      <c r="D57" s="12" t="inlineStr"/>
    </row>
    <row r="58">
      <c r="A58" s="14" t="inlineStr">
        <is>
          <t>BRD items to deliver</t>
        </is>
      </c>
      <c r="B58" s="18" t="inlineStr">
        <is>
          <t>What iNXT BrokerVerse offers out of the box</t>
        </is>
      </c>
      <c r="C58" s="14" t="inlineStr">
        <is>
          <t>OOTB capability</t>
        </is>
      </c>
      <c r="D58" s="14" t="inlineStr"/>
    </row>
    <row r="59">
      <c r="A59" s="12" t="inlineStr">
        <is>
          <t>BRD items to deliver</t>
        </is>
      </c>
      <c r="B59" s="17" t="inlineStr">
        <is>
          <t>Planning man-days</t>
        </is>
      </c>
      <c r="C59" s="12" t="inlineStr">
        <is>
          <t>For the points of BDOI's FRS covered by a BRD line</t>
        </is>
      </c>
      <c r="D59" s="12" t="inlineStr"/>
    </row>
  </sheetData>
  <autoFilter ref="A4:D59"/>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0" customWidth="1" min="1" max="1"/>
    <col width="16" customWidth="1" min="2" max="2"/>
  </cols>
  <sheetData>
    <row r="1" ht="24" customHeight="1">
      <c r="A1" s="16" t="inlineStr">
        <is>
          <t>Summary</t>
        </is>
      </c>
    </row>
    <row r="2">
      <c r="A2" s="19" t="inlineStr">
        <is>
          <t>Totals of the points beyond the BRD of the FRS v1.3 (Annex Y)</t>
        </is>
      </c>
    </row>
    <row r="3" ht="6" customHeight="1">
      <c r="A3" s="20" t="n"/>
      <c r="B3" s="20" t="n"/>
    </row>
    <row r="4" ht="30" customHeight="1">
      <c r="A4" s="21" t="inlineStr">
        <is>
          <t>Item</t>
        </is>
      </c>
      <c r="B4" s="21" t="inlineStr">
        <is>
          <t>Value</t>
        </is>
      </c>
    </row>
    <row r="5">
      <c r="A5" s="12" t="inlineStr">
        <is>
          <t>Points beyond the BRD available OOTB (green, no cost)</t>
        </is>
      </c>
      <c r="B5" s="12" t="n">
        <v>1</v>
      </c>
    </row>
    <row r="6">
      <c r="A6" s="12" t="inlineStr">
        <is>
          <t>BRD requirements offered OOTB (black, in scope, no effort)</t>
        </is>
      </c>
      <c r="B6" s="12" t="n">
        <v>4</v>
      </c>
    </row>
    <row r="7">
      <c r="A7" s="12" t="inlineStr">
        <is>
          <t>Change requests (orange)</t>
        </is>
      </c>
      <c r="B7" s="12" t="n">
        <v>1</v>
      </c>
    </row>
    <row r="8">
      <c r="A8" s="12" t="inlineStr">
        <is>
          <t>Man-days: Analysis &amp; design</t>
        </is>
      </c>
      <c r="B8" s="12">
        <f>SUM('CR Effort'!M5:M5)</f>
        <v/>
      </c>
    </row>
    <row r="9">
      <c r="A9" s="12" t="inlineStr">
        <is>
          <t>Man-days: Backend</t>
        </is>
      </c>
      <c r="B9" s="12">
        <f>SUM('CR Effort'!N5:N5)</f>
        <v/>
      </c>
    </row>
    <row r="10">
      <c r="A10" s="12" t="inlineStr">
        <is>
          <t>Man-days: Frontend</t>
        </is>
      </c>
      <c r="B10" s="12">
        <f>SUM('CR Effort'!O5:O5)</f>
        <v/>
      </c>
    </row>
    <row r="11">
      <c r="A11" s="12" t="inlineStr">
        <is>
          <t>Man-days: Testing</t>
        </is>
      </c>
      <c r="B11" s="12">
        <f>SUM('CR Effort'!P5:P5)</f>
        <v/>
      </c>
    </row>
    <row r="12">
      <c r="A12" s="12" t="inlineStr">
        <is>
          <t>Man-days: Documentation / UAT support</t>
        </is>
      </c>
      <c r="B12" s="12">
        <f>SUM('CR Effort'!Q5:Q5)</f>
        <v/>
      </c>
    </row>
    <row r="13">
      <c r="A13" s="12" t="inlineStr">
        <is>
          <t>Total change request man-days</t>
        </is>
      </c>
      <c r="B13" s="12">
        <f>SUM('CR Effort'!R5:R5)</f>
        <v/>
      </c>
    </row>
    <row r="14">
      <c r="A14" s="12" t="inlineStr">
        <is>
          <t>Range low (-20%)</t>
        </is>
      </c>
      <c r="B14" s="12">
        <f>SUM('CR Effort'!S5:S5)</f>
        <v/>
      </c>
    </row>
    <row r="15">
      <c r="A15" s="12" t="inlineStr">
        <is>
          <t>Range high (+20%)</t>
        </is>
      </c>
      <c r="B15" s="12">
        <f>SUM('CR Effort'!T5:T5)</f>
        <v/>
      </c>
    </row>
    <row r="16">
      <c r="A16" s="12" t="inlineStr">
        <is>
          <t>Cost in PHP at the day rate of the Assumptions sheet</t>
        </is>
      </c>
      <c r="B16" s="12">
        <f>SUM('CR Effort'!U5:U5)</f>
        <v/>
      </c>
    </row>
    <row r="17">
      <c r="A17" s="12" t="inlineStr">
        <is>
          <t>Items covered by the Integration or Data Migration scope (no CR cost)</t>
        </is>
      </c>
      <c r="B17" s="12" t="n">
        <v>23</v>
      </c>
    </row>
    <row r="18">
      <c r="A18" s="12" t="inlineStr">
        <is>
          <t>Best-practice recommendations (blue; indicative, not in the CR total)</t>
        </is>
      </c>
      <c r="B18" s="12" t="n">
        <v>3</v>
      </c>
    </row>
    <row r="19">
      <c r="A19" s="12" t="inlineStr">
        <is>
          <t>Best-practice indicative man-days (not in the CR total)</t>
        </is>
      </c>
      <c r="B19" s="12" t="n">
        <v>14</v>
      </c>
    </row>
  </sheetData>
  <autoFilter ref="A4:B19"/>
  <mergeCells count="1">
    <mergeCell ref="A2:B2"/>
  </mergeCells>
  <conditionalFormatting sqref="A5:B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Y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22" customWidth="1" min="3" max="3"/>
    <col width="15" customWidth="1" min="4" max="4"/>
    <col width="16" customWidth="1" min="5" max="5"/>
    <col width="26" customWidth="1" min="6" max="6"/>
    <col width="38" customWidth="1" min="7" max="7"/>
    <col width="34" customWidth="1" min="8" max="8"/>
    <col width="34" customWidth="1" min="9" max="9"/>
    <col width="26" customWidth="1" min="10" max="10"/>
    <col width="34" customWidth="1" min="11" max="11"/>
    <col width="28" customWidth="1" min="12" max="12"/>
    <col width="10" customWidth="1" min="13" max="13"/>
    <col width="10" customWidth="1" min="14" max="14"/>
    <col width="10" customWidth="1" min="15" max="15"/>
    <col width="10" customWidth="1" min="16" max="16"/>
    <col width="10" customWidth="1" min="17" max="17"/>
    <col width="10" customWidth="1" min="18" max="18"/>
    <col width="9" customWidth="1" min="19" max="19"/>
    <col width="9" customWidth="1" min="20" max="20"/>
    <col width="13" customWidth="1" min="21" max="21"/>
    <col width="11" customWidth="1" min="22" max="22"/>
    <col width="10" customWidth="1" min="23" max="23"/>
    <col width="26" customWidth="1" min="24" max="24"/>
    <col width="34" customWidth="1" min="25" max="25"/>
  </cols>
  <sheetData>
    <row r="1" ht="24" customHeight="1">
      <c r="A1" s="16" t="inlineStr">
        <is>
          <t>CR Effort</t>
        </is>
      </c>
    </row>
    <row r="2">
      <c r="A2" s="19" t="inlineStr">
        <is>
          <t>One row per orange point of the FRS v1.3 (Annex Y.2), effort in man-days</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row>
    <row r="4" ht="30" customHeight="1">
      <c r="A4" s="21" t="inlineStr">
        <is>
          <t>CR No.</t>
        </is>
      </c>
      <c r="B4" s="21" t="inlineStr">
        <is>
          <t>Title</t>
        </is>
      </c>
      <c r="C4" s="21" t="inlineStr">
        <is>
          <t>FRS reference</t>
        </is>
      </c>
      <c r="D4" s="21" t="inlineStr">
        <is>
          <t>BRD reference</t>
        </is>
      </c>
      <c r="E4" s="21" t="inlineStr">
        <is>
          <t>BRD relation</t>
        </is>
      </c>
      <c r="F4" s="21" t="inlineStr">
        <is>
          <t>Where the point comes from</t>
        </is>
      </c>
      <c r="G4" s="21" t="inlineStr">
        <is>
          <t>Why needed</t>
        </is>
      </c>
      <c r="H4" s="21" t="inlineStr">
        <is>
          <t>Feature List ID / OOTB status</t>
        </is>
      </c>
      <c r="I4" s="21" t="inlineStr">
        <is>
          <t>OOTB evidence</t>
        </is>
      </c>
      <c r="J4" s="21" t="inlineStr">
        <is>
          <t>Prepared for BIBS?</t>
        </is>
      </c>
      <c r="K4" s="21" t="inlineStr">
        <is>
          <t>Effort covers</t>
        </is>
      </c>
      <c r="L4" s="21" t="inlineStr">
        <is>
          <t>Estimate basis</t>
        </is>
      </c>
      <c r="M4" s="21" t="inlineStr">
        <is>
          <t>Analysis &amp; design (md)</t>
        </is>
      </c>
      <c r="N4" s="21" t="inlineStr">
        <is>
          <t>Backend (md)</t>
        </is>
      </c>
      <c r="O4" s="21" t="inlineStr">
        <is>
          <t>Frontend (md)</t>
        </is>
      </c>
      <c r="P4" s="21" t="inlineStr">
        <is>
          <t>Testing (md)</t>
        </is>
      </c>
      <c r="Q4" s="21" t="inlineStr">
        <is>
          <t>Documentation / UAT support (md)</t>
        </is>
      </c>
      <c r="R4" s="21" t="inlineStr">
        <is>
          <t>Total (md)</t>
        </is>
      </c>
      <c r="S4" s="21" t="inlineStr">
        <is>
          <t>Low (-20%)</t>
        </is>
      </c>
      <c r="T4" s="21" t="inlineStr">
        <is>
          <t>High (+20%)</t>
        </is>
      </c>
      <c r="U4" s="21" t="inlineStr">
        <is>
          <t>Cost (PHP)</t>
        </is>
      </c>
      <c r="V4" s="21" t="inlineStr">
        <is>
          <t>Complexity</t>
        </is>
      </c>
      <c r="W4" s="21" t="inlineStr">
        <is>
          <t>Priority</t>
        </is>
      </c>
      <c r="X4" s="21" t="inlineStr">
        <is>
          <t>Dependencies</t>
        </is>
      </c>
      <c r="Y4" s="21" t="inlineStr">
        <is>
          <t>Assumptions</t>
        </is>
      </c>
    </row>
    <row r="5">
      <c r="A5" s="12" t="inlineStr">
        <is>
          <t>CR-PM-101</t>
        </is>
      </c>
      <c r="B5" s="12" t="inlineStr">
        <is>
          <t>Accessibility of the Product Maintenance screens (WCAG 2.2 level AA)</t>
        </is>
      </c>
      <c r="C5" s="12" t="inlineStr">
        <is>
          <t>Annex T, T-15</t>
        </is>
      </c>
      <c r="D5" s="12" t="inlineStr">
        <is>
          <t>Not in BRD</t>
        </is>
      </c>
      <c r="E5" s="12" t="inlineStr">
        <is>
          <t>Not in any BRD</t>
        </is>
      </c>
      <c r="F5" s="12" t="inlineStr">
        <is>
          <t>Programme register of non-functional requirements (NFR-ACC-01, NFR-ACC-02), proposed in FRS v1.2 Annex T</t>
        </is>
      </c>
      <c r="G5" s="12" t="inlineStr">
        <is>
          <t>No BDOI BRD asks for an accessibility level; the programme register proposes WCAG 2.2 AA so that keyboard and screen-reader users can work in the module.</t>
        </is>
      </c>
      <c r="H5" s="12" t="inlineStr">
        <is>
          <t>NFR-021 Partial (contrast checked to WCAG AA in the theme; no accessibility statement or full WCAG audit)</t>
        </is>
      </c>
      <c r="I5" s="12" t="inlineStr">
        <is>
          <t>Branding: contrast check only; no WCAG audit</t>
        </is>
      </c>
      <c r="J5" s="12" t="inlineStr">
        <is>
          <t>Partly: the screens prepared for BIBS use the platform components; about 8 of 35 screen files carry accessibility labels</t>
        </is>
      </c>
      <c r="K5" s="12" t="inlineStr">
        <is>
          <t>Partial in BrokerVerse OOTB; the effort covers the missing part only: the WCAG 2.2 AA check and fixes of the module screens.</t>
        </is>
      </c>
      <c r="L5" s="12" t="inlineStr">
        <is>
          <t>Product Maintenance screens of BIBS: 35 files, about 3,800 lines.</t>
        </is>
      </c>
      <c r="M5" s="22" t="n">
        <v>1.5</v>
      </c>
      <c r="N5" s="22" t="n">
        <v>0</v>
      </c>
      <c r="O5" s="22" t="n">
        <v>6</v>
      </c>
      <c r="P5" s="22" t="n">
        <v>3</v>
      </c>
      <c r="Q5" s="22" t="n">
        <v>1</v>
      </c>
      <c r="R5" s="22">
        <f>SUM(M5:Q5)</f>
        <v/>
      </c>
      <c r="S5" s="22">
        <f>ROUND(R5*(1-Assumptions!$B$6),1)</f>
        <v/>
      </c>
      <c r="T5" s="22">
        <f>ROUND(R5*(1+Assumptions!$B$6),1)</f>
        <v/>
      </c>
      <c r="U5" s="23">
        <f>R5*Assumptions!$B$7</f>
        <v/>
      </c>
      <c r="V5" s="12" t="inlineStr">
        <is>
          <t>Medium</t>
        </is>
      </c>
      <c r="W5" s="12" t="inlineStr">
        <is>
          <t>Low</t>
        </is>
      </c>
      <c r="X5" s="12" t="inlineStr">
        <is>
          <t>BDOI's decision on the accessibility level (Annex V, PQ18)</t>
        </is>
      </c>
      <c r="Y5" s="12" t="inlineStr">
        <is>
          <t>Check and fixes on the 35 Product Maintenance screen files (about 3,800 lines) and the product master screens; no redesign.</t>
        </is>
      </c>
    </row>
    <row r="6">
      <c r="A6" s="12" t="inlineStr">
        <is>
          <t>Total</t>
        </is>
      </c>
      <c r="B6" s="12" t="inlineStr">
        <is>
          <t>1 change requests</t>
        </is>
      </c>
      <c r="C6" s="12" t="n"/>
      <c r="D6" s="12" t="n"/>
      <c r="E6" s="12" t="n"/>
      <c r="F6" s="12" t="n"/>
      <c r="G6" s="12" t="n"/>
      <c r="H6" s="12" t="n"/>
      <c r="I6" s="12" t="n"/>
      <c r="J6" s="12" t="n"/>
      <c r="K6" s="12" t="n"/>
      <c r="L6" s="12" t="n"/>
      <c r="M6" s="22">
        <f>SUM(M5:M5)</f>
        <v/>
      </c>
      <c r="N6" s="22">
        <f>SUM(N5:N5)</f>
        <v/>
      </c>
      <c r="O6" s="22">
        <f>SUM(O5:O5)</f>
        <v/>
      </c>
      <c r="P6" s="22">
        <f>SUM(P5:P5)</f>
        <v/>
      </c>
      <c r="Q6" s="22">
        <f>SUM(Q5:Q5)</f>
        <v/>
      </c>
      <c r="R6" s="22">
        <f>SUM(R5:R5)</f>
        <v/>
      </c>
      <c r="S6" s="22">
        <f>SUM(S5:S5)</f>
        <v/>
      </c>
      <c r="T6" s="22">
        <f>SUM(T5:T5)</f>
        <v/>
      </c>
      <c r="U6" s="23">
        <f>SUM(U5:U5)</f>
        <v/>
      </c>
      <c r="V6" s="12" t="n"/>
      <c r="W6" s="12" t="n"/>
      <c r="X6" s="12" t="n"/>
      <c r="Y6" s="12" t="n"/>
    </row>
  </sheetData>
  <autoFilter ref="A4:Y6"/>
  <mergeCells count="1">
    <mergeCell ref="A2:Y2"/>
  </mergeCells>
  <conditionalFormatting sqref="A5:Y506">
    <cfRule type="expression" priority="1" dxfId="0">
      <formula>AND(MOD(ROW(),2)=0,$A5&lt;&gt;"")</formula>
    </cfRule>
  </conditionalFormatting>
  <dataValidations count="3">
    <dataValidation sqref="E5:E506" showDropDown="0" showInputMessage="0" showErrorMessage="1" allowBlank="1" errorTitle="BRD relation" error="Choose a value from the list (BRD relation)." type="list">
      <formula1>'Lists'!$A$2:$A$3</formula1>
    </dataValidation>
    <dataValidation sqref="V5:V506" showDropDown="0" showInputMessage="0" showErrorMessage="1" allowBlank="1" errorTitle="Complexity" error="Choose a value from the list (Complexity)." type="list">
      <formula1>'Lists'!$B$2:$B$4</formula1>
    </dataValidation>
    <dataValidation sqref="W5:W506" showDropDown="0" showInputMessage="0" showErrorMessage="1" allowBlank="1" errorTitle="Priority" error="Choose a value from the list (Priority)." type="list">
      <formula1>'Lists'!$C$2:$C$4</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34" customWidth="1" min="4" max="4"/>
    <col width="40" customWidth="1" min="5" max="5"/>
    <col width="12" customWidth="1" min="6" max="6"/>
    <col width="10" customWidth="1" min="7" max="7"/>
  </cols>
  <sheetData>
    <row r="1" ht="24" customHeight="1">
      <c r="A1" s="16" t="inlineStr">
        <is>
          <t>Beyond the BRD - OOTB</t>
        </is>
      </c>
    </row>
    <row r="2">
      <c r="A2" s="19" t="inlineStr">
        <is>
          <t>Points beyond the BRD that the iNXT BrokerVerse OOTB platform provides (green): no cost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Feature List ID / OOTB status</t>
        </is>
      </c>
      <c r="E4" s="21" t="inlineStr">
        <is>
          <t>OOTB evidence</t>
        </is>
      </c>
      <c r="F4" s="21" t="inlineStr">
        <is>
          <t>BRD reference</t>
        </is>
      </c>
      <c r="G4" s="21" t="inlineStr">
        <is>
          <t>Cost (md)</t>
        </is>
      </c>
    </row>
    <row r="5">
      <c r="A5" s="12" t="inlineStr">
        <is>
          <t>G-02</t>
        </is>
      </c>
      <c r="B5" s="12" t="inlineStr">
        <is>
          <t>Premium Calculator on the package rate scheme</t>
        </is>
      </c>
      <c r="C5" s="12" t="inlineStr">
        <is>
          <t>FRPM.002.01</t>
        </is>
      </c>
      <c r="D5" s="12" t="inlineStr">
        <is>
          <t>PRD-005 Available</t>
        </is>
      </c>
      <c r="E5" s="12" t="inlineStr">
        <is>
          <t>Product Configurator &gt; Rating Engine: premium calculation</t>
        </is>
      </c>
      <c r="F5" s="12" t="inlineStr">
        <is>
          <t>Not in BRD</t>
        </is>
      </c>
      <c r="G5" s="12" t="n">
        <v>0</v>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G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60" customWidth="1" min="4" max="4"/>
    <col width="34" customWidth="1" min="5" max="5"/>
    <col width="40" customWidth="1" min="6" max="6"/>
    <col width="10" customWidth="1" min="7" max="7"/>
  </cols>
  <sheetData>
    <row r="1" ht="24" customHeight="1">
      <c r="A1" s="16" t="inlineStr">
        <is>
          <t>BRD covered - OOTB</t>
        </is>
      </c>
    </row>
    <row r="2">
      <c r="A2" s="19" t="inlineStr">
        <is>
          <t>BRD requirements (black in the FRS, in scope) that the iNXT BrokerVerse OOTB platform provides: no change request, no effort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BRD line</t>
        </is>
      </c>
      <c r="E4" s="21" t="inlineStr">
        <is>
          <t>Feature List ID / OOTB status</t>
        </is>
      </c>
      <c r="F4" s="21" t="inlineStr">
        <is>
          <t>OOTB evidence</t>
        </is>
      </c>
      <c r="G4" s="21" t="inlineStr">
        <is>
          <t>Effort (md)</t>
        </is>
      </c>
    </row>
    <row r="5">
      <c r="A5" s="12" t="inlineStr">
        <is>
          <t>G-01</t>
        </is>
      </c>
      <c r="B5" s="12" t="inlineStr">
        <is>
          <t>TSU Workbench with the TSU queues by stage (team worklist)</t>
        </is>
      </c>
      <c r="C5" s="12" t="inlineStr">
        <is>
          <t>FRPM.002.01</t>
        </is>
      </c>
      <c r="D5" s="12" t="inlineStr">
        <is>
          <t>BRPM.011 "Facility to allow User to receive and view requests for product creation, amend, updating, or deletion" ("The system displays all incoming requests with relevant details"); BRPM.019 "Dashboard for real-time tracking and reporting" ("Dashboard displays request status")</t>
        </is>
      </c>
      <c r="E5" s="12" t="inlineStr">
        <is>
          <t>WFL-005 Available</t>
        </is>
      </c>
      <c r="F5" s="12" t="inlineStr">
        <is>
          <t>My Work: personal and team worklists</t>
        </is>
      </c>
      <c r="G5" s="12" t="n">
        <v>0</v>
      </c>
    </row>
    <row r="6">
      <c r="A6" s="12" t="inlineStr">
        <is>
          <t>G-03</t>
        </is>
      </c>
      <c r="B6" s="12" t="inlineStr">
        <is>
          <t>Report exported to PDF, Excel and CSV, every run logged</t>
        </is>
      </c>
      <c r="C6" s="12" t="inlineStr">
        <is>
          <t>FRPM.019.01</t>
        </is>
      </c>
      <c r="D6" s="12" t="inlineStr">
        <is>
          <t>BRPM.018 "Reports are exportable in standard formats (PDF, Excel) for sharing or archiving"; "All report generation actions are logged for audit and traceability"</t>
        </is>
      </c>
      <c r="E6" s="12" t="inlineStr">
        <is>
          <t>RPT-011 Available; RPT-003 Partial (PDF, Excel and CSV available; Word and text exports, not asked here, are the missing part)</t>
        </is>
      </c>
      <c r="F6" s="12" t="inlineStr">
        <is>
          <t>Reports: exports and history of produced files</t>
        </is>
      </c>
      <c r="G6" s="12" t="n">
        <v>0</v>
      </c>
    </row>
    <row r="7">
      <c r="A7" s="12" t="inlineStr">
        <is>
          <t>G-04</t>
        </is>
      </c>
      <c r="B7" s="12" t="inlineStr">
        <is>
          <t>E-mail log with recipient, time, subject and attachment</t>
        </is>
      </c>
      <c r="C7" s="12" t="inlineStr">
        <is>
          <t>FRPM.021.01</t>
        </is>
      </c>
      <c r="D7" s="12" t="inlineStr">
        <is>
          <t>BRPM.024 "Ensure audit trail for all actions and changes" ("System logs all actions (creation, edits, approvals, sharing) for traceability"); the advisory e-mails of the BRD are a sharing action</t>
        </is>
      </c>
      <c r="E7" s="12" t="inlineStr">
        <is>
          <t>WFL-011 Available</t>
        </is>
      </c>
      <c r="F7" s="12" t="inlineStr">
        <is>
          <t>E-mail outbox with the status of each e-mail</t>
        </is>
      </c>
      <c r="G7" s="12" t="n">
        <v>0</v>
      </c>
    </row>
    <row r="8">
      <c r="A8" s="12" t="inlineStr">
        <is>
          <t>G-05</t>
        </is>
      </c>
      <c r="B8" s="12" t="inlineStr">
        <is>
          <t>Old and new field values of changed master records</t>
        </is>
      </c>
      <c r="C8" s="12" t="inlineStr">
        <is>
          <t>FRPM.021.01; Annex M.5</t>
        </is>
      </c>
      <c r="D8" s="12" t="inlineStr">
        <is>
          <t>BRPM.024 "Ensure audit trail for all actions and changes" ("Users can review a complete audit trail for any request or document"); programme NFR 4.01 "account changes" and 4.03 "Access and updates of customer records" (Collections, Claims, ReInsurance addenda)</t>
        </is>
      </c>
      <c r="E8" s="12" t="inlineStr">
        <is>
          <t>ADM-012 Available</t>
        </is>
      </c>
      <c r="F8" s="12" t="inlineStr">
        <is>
          <t>Audit trail: before and after values of every change</t>
        </is>
      </c>
      <c r="G8" s="12" t="n">
        <v>0</v>
      </c>
    </row>
  </sheetData>
  <autoFilter ref="A4:G8"/>
  <mergeCells count="1">
    <mergeCell ref="A2:G2"/>
  </mergeCells>
  <conditionalFormatting sqref="A5:G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60" customWidth="1" min="3" max="3"/>
    <col width="22" customWidth="1" min="4" max="4"/>
  </cols>
  <sheetData>
    <row r="1" ht="24" customHeight="1">
      <c r="A1" s="16" t="inlineStr">
        <is>
          <t>Integration &amp; DM scope</t>
        </is>
      </c>
    </row>
    <row r="2">
      <c r="A2" s="19" t="inlineStr">
        <is>
          <t>Covered by the Integration scope or the Data Migration scope (BRD-13): no CR cost here</t>
        </is>
      </c>
    </row>
    <row r="3" ht="6" customHeight="1">
      <c r="A3" s="20" t="n"/>
      <c r="B3" s="20" t="n"/>
      <c r="C3" s="20" t="n"/>
      <c r="D3" s="20" t="n"/>
    </row>
    <row r="4" ht="30" customHeight="1">
      <c r="A4" s="21" t="inlineStr">
        <is>
          <t>Item</t>
        </is>
      </c>
      <c r="B4" s="21" t="inlineStr">
        <is>
          <t>Scope</t>
        </is>
      </c>
      <c r="C4" s="21" t="inlineStr">
        <is>
          <t>What</t>
        </is>
      </c>
      <c r="D4" s="21" t="inlineStr">
        <is>
          <t>Where in the FRS</t>
        </is>
      </c>
    </row>
    <row r="5">
      <c r="A5" s="12" t="inlineStr">
        <is>
          <t>IN-01 New Business (BRD-01)</t>
        </is>
      </c>
      <c r="B5" s="12" t="inlineStr">
        <is>
          <t>Integration scope</t>
        </is>
      </c>
      <c r="C5" s="12" t="inlineStr">
        <is>
          <t>Products and their flags, the latest approved rate scheme of each package, rate exceptions, incentive indicators</t>
        </is>
      </c>
      <c r="D5" s="12" t="inlineStr">
        <is>
          <t>FRS Annex S</t>
        </is>
      </c>
    </row>
    <row r="6">
      <c r="A6" s="12" t="inlineStr">
        <is>
          <t>IN-02 New Business (BRD-01): client master</t>
        </is>
      </c>
      <c r="B6" s="12" t="inlineStr">
        <is>
          <t>Integration scope</t>
        </is>
      </c>
      <c r="C6" s="12" t="inlineStr">
        <is>
          <t>Client look-up on client-specific package requests</t>
        </is>
      </c>
      <c r="D6" s="12" t="inlineStr">
        <is>
          <t>FRS Annex S</t>
        </is>
      </c>
    </row>
    <row r="7">
      <c r="A7" s="12" t="inlineStr">
        <is>
          <t>IN-03 New Business (BRD-01): non-package requests</t>
        </is>
      </c>
      <c r="B7" s="12" t="inlineStr">
        <is>
          <t>Integration scope</t>
        </is>
      </c>
      <c r="C7" s="12" t="inlineStr">
        <is>
          <t>Quotation requests, Quotation Slips, proposals and client responses (BDOI's FRPM.005 to FRPM.010)</t>
        </is>
      </c>
      <c r="D7" s="12" t="inlineStr">
        <is>
          <t>FRS Annex S</t>
        </is>
      </c>
    </row>
    <row r="8">
      <c r="A8" s="12" t="inlineStr">
        <is>
          <t>IN-04 Operations (BRD-02)</t>
        </is>
      </c>
      <c r="B8" s="12" t="inlineStr">
        <is>
          <t>Integration scope</t>
        </is>
      </c>
      <c r="C8" s="12" t="inlineStr">
        <is>
          <t>Package version for endorsement re-rating; incentive codes for commission</t>
        </is>
      </c>
      <c r="D8" s="12" t="inlineStr">
        <is>
          <t>FRS Annex S</t>
        </is>
      </c>
    </row>
    <row r="9">
      <c r="A9" s="12" t="inlineStr">
        <is>
          <t>IN-05 Renewal (BRD-06)</t>
        </is>
      </c>
      <c r="B9" s="12" t="inlineStr">
        <is>
          <t>Integration scope</t>
        </is>
      </c>
      <c r="C9" s="12" t="inlineStr">
        <is>
          <t>Package version of the expiring account</t>
        </is>
      </c>
      <c r="D9" s="12" t="inlineStr">
        <is>
          <t>FRS Annex S</t>
        </is>
      </c>
    </row>
    <row r="10">
      <c r="A10" s="12" t="inlineStr">
        <is>
          <t>IN-06 User Access Maintenance (BRD-11)</t>
        </is>
      </c>
      <c r="B10" s="12" t="inlineStr">
        <is>
          <t>Integration scope</t>
        </is>
      </c>
      <c r="C10" s="12" t="inlineStr">
        <is>
          <t>Users, roles, sign-in through BDO sign-in (Entra ID)</t>
        </is>
      </c>
      <c r="D10" s="12" t="inlineStr">
        <is>
          <t>FRS Annex S</t>
        </is>
      </c>
    </row>
    <row r="11">
      <c r="A11" s="12" t="inlineStr">
        <is>
          <t>IN-07 Data Migration (BRD-13)</t>
        </is>
      </c>
      <c r="B11" s="12" t="inlineStr">
        <is>
          <t>Integration scope</t>
        </is>
      </c>
      <c r="C11" s="12" t="inlineStr">
        <is>
          <t>Go-live product masters, insurers, commission rates; package map of legacy packages</t>
        </is>
      </c>
      <c r="D11" s="12" t="inlineStr">
        <is>
          <t>FRS Annex S</t>
        </is>
      </c>
    </row>
    <row r="12">
      <c r="A12" s="12" t="inlineStr">
        <is>
          <t>IN-08 E-mail channel of BDOI (Microsoft 365 or CCM)</t>
        </is>
      </c>
      <c r="B12" s="12" t="inlineStr">
        <is>
          <t>Integration scope</t>
        </is>
      </c>
      <c r="C12" s="12" t="inlineStr">
        <is>
          <t>Quotation Slips, advisories, ManCom notices, password e-mails</t>
        </is>
      </c>
      <c r="D12" s="12" t="inlineStr">
        <is>
          <t>FRS Annex S</t>
        </is>
      </c>
    </row>
    <row r="13">
      <c r="A13" s="12" t="inlineStr">
        <is>
          <t>IN-09 Insurers</t>
        </is>
      </c>
      <c r="B13" s="12" t="inlineStr">
        <is>
          <t>Integration scope</t>
        </is>
      </c>
      <c r="C13" s="12" t="inlineStr">
        <is>
          <t>Protected Quotation Slips; replies received by e-mail and keyed in</t>
        </is>
      </c>
      <c r="D13" s="12" t="inlineStr">
        <is>
          <t>FRS Annex S</t>
        </is>
      </c>
    </row>
    <row r="14">
      <c r="A14" s="12" t="inlineStr">
        <is>
          <t>IN-10 Document store (ECM)</t>
        </is>
      </c>
      <c r="B14" s="12" t="inlineStr">
        <is>
          <t>Integration scope</t>
        </is>
      </c>
      <c r="C14" s="12" t="inlineStr">
        <is>
          <t>Package documents and attachments</t>
        </is>
      </c>
      <c r="D14" s="12" t="inlineStr">
        <is>
          <t>FRS Annex S</t>
        </is>
      </c>
    </row>
    <row r="15">
      <c r="A15" s="12" t="inlineStr">
        <is>
          <t>IN-11 Other BDOI systems (to be named)</t>
        </is>
      </c>
      <c r="B15" s="12" t="inlineStr">
        <is>
          <t>Integration scope</t>
        </is>
      </c>
      <c r="C15" s="12" t="inlineStr">
        <is>
          <t>Product master changes (package added, updated, deactivated or expired: product, version, effective date, request, status) in the file ProductMaster_yyyyMMddHHmmss.csv</t>
        </is>
      </c>
      <c r="D15" s="12" t="inlineStr">
        <is>
          <t>FRS Annex S</t>
        </is>
      </c>
    </row>
    <row r="16">
      <c r="A16" s="12" t="inlineStr">
        <is>
          <t>U-01</t>
        </is>
      </c>
      <c r="B16" s="12" t="inlineStr">
        <is>
          <t>Data Migration scope</t>
        </is>
      </c>
      <c r="C16" s="12" t="inlineStr">
        <is>
          <t>Lists of values and parameters of Product Maintenance (request reasons, response outcomes, alert days, service levels, numbering prefixes)</t>
        </is>
      </c>
      <c r="D16" s="12" t="inlineStr">
        <is>
          <t>FRS Annex U</t>
        </is>
      </c>
    </row>
    <row r="17">
      <c r="A17" s="12" t="inlineStr">
        <is>
          <t>U-02</t>
        </is>
      </c>
      <c r="B17" s="12" t="inlineStr">
        <is>
          <t>Data Migration scope</t>
        </is>
      </c>
      <c r="C17" s="12" t="inlineStr">
        <is>
          <t>Product lines, cover types / sub-lines and products (risk codes)</t>
        </is>
      </c>
      <c r="D17" s="12" t="inlineStr">
        <is>
          <t>FRS Annex U</t>
        </is>
      </c>
    </row>
    <row r="18">
      <c r="A18" s="12" t="inlineStr">
        <is>
          <t>U-03</t>
        </is>
      </c>
      <c r="B18" s="12" t="inlineStr">
        <is>
          <t>Data Migration scope</t>
        </is>
      </c>
      <c r="C18" s="12" t="inlineStr">
        <is>
          <t>Coverages, perils and field rules per line</t>
        </is>
      </c>
      <c r="D18" s="12" t="inlineStr">
        <is>
          <t>FRS Annex U</t>
        </is>
      </c>
    </row>
    <row r="19">
      <c r="A19" s="12" t="inlineStr">
        <is>
          <t>U-04</t>
        </is>
      </c>
      <c r="B19" s="12" t="inlineStr">
        <is>
          <t>Data Migration scope</t>
        </is>
      </c>
      <c r="C19" s="12" t="inlineStr">
        <is>
          <t>Clause library (warranties, clauses, exclusions, deductible wordings)</t>
        </is>
      </c>
      <c r="D19" s="12" t="inlineStr">
        <is>
          <t>FRS Annex U</t>
        </is>
      </c>
    </row>
    <row r="20">
      <c r="A20" s="12" t="inlineStr">
        <is>
          <t>U-05</t>
        </is>
      </c>
      <c r="B20" s="12" t="inlineStr">
        <is>
          <t>Data Migration scope</t>
        </is>
      </c>
      <c r="C20" s="12" t="inlineStr">
        <is>
          <t>Rate tables and statutory charges</t>
        </is>
      </c>
      <c r="D20" s="12" t="inlineStr">
        <is>
          <t>FRS Annex U</t>
        </is>
      </c>
    </row>
    <row r="21">
      <c r="A21" s="12" t="inlineStr">
        <is>
          <t>U-06</t>
        </is>
      </c>
      <c r="B21" s="12" t="inlineStr">
        <is>
          <t>Data Migration scope</t>
        </is>
      </c>
      <c r="C21" s="12" t="inlineStr">
        <is>
          <t>Insurers, insurer branches and placement e-mails</t>
        </is>
      </c>
      <c r="D21" s="12" t="inlineStr">
        <is>
          <t>FRS Annex U</t>
        </is>
      </c>
    </row>
    <row r="22">
      <c r="A22" s="12" t="inlineStr">
        <is>
          <t>U-07</t>
        </is>
      </c>
      <c r="B22" s="12" t="inlineStr">
        <is>
          <t>Data Migration scope</t>
        </is>
      </c>
      <c r="C22" s="12" t="inlineStr">
        <is>
          <t>Commission rates by insurer and product</t>
        </is>
      </c>
      <c r="D22" s="12" t="inlineStr">
        <is>
          <t>FRS Annex U</t>
        </is>
      </c>
    </row>
    <row r="23">
      <c r="A23" s="12" t="inlineStr">
        <is>
          <t>U-08</t>
        </is>
      </c>
      <c r="B23" s="12" t="inlineStr">
        <is>
          <t>Data Migration scope</t>
        </is>
      </c>
      <c r="C23" s="12" t="inlineStr">
        <is>
          <t>Packages in force at go-live (set up through package requests, not loaded)</t>
        </is>
      </c>
      <c r="D23" s="12" t="inlineStr">
        <is>
          <t>FRS Annex U</t>
        </is>
      </c>
    </row>
    <row r="24">
      <c r="A24" s="12" t="inlineStr">
        <is>
          <t>U-09</t>
        </is>
      </c>
      <c r="B24" s="12" t="inlineStr">
        <is>
          <t>Data Migration scope</t>
        </is>
      </c>
      <c r="C24" s="12" t="inlineStr">
        <is>
          <t>Package map (legacy package to BIBS package version)</t>
        </is>
      </c>
      <c r="D24" s="12" t="inlineStr">
        <is>
          <t>FRS Annex U</t>
        </is>
      </c>
    </row>
    <row r="25">
      <c r="A25" s="12" t="inlineStr">
        <is>
          <t>U-10</t>
        </is>
      </c>
      <c r="B25" s="12" t="inlineStr">
        <is>
          <t>Data Migration scope</t>
        </is>
      </c>
      <c r="C25" s="12" t="inlineStr">
        <is>
          <t>Document templates of the package documents</t>
        </is>
      </c>
      <c r="D25" s="12" t="inlineStr">
        <is>
          <t>FRS Annex U</t>
        </is>
      </c>
    </row>
    <row r="26">
      <c r="A26" s="12" t="inlineStr">
        <is>
          <t>U-11</t>
        </is>
      </c>
      <c r="B26" s="12" t="inlineStr">
        <is>
          <t>Data Migration scope</t>
        </is>
      </c>
      <c r="C26" s="12" t="inlineStr">
        <is>
          <t>Incentive rules (CPC2 and others)</t>
        </is>
      </c>
      <c r="D26" s="12" t="inlineStr">
        <is>
          <t>FRS Annex U</t>
        </is>
      </c>
    </row>
    <row r="27">
      <c r="A27" s="12" t="inlineStr">
        <is>
          <t>U-12</t>
        </is>
      </c>
      <c r="B27" s="12" t="inlineStr">
        <is>
          <t>Data Migration scope</t>
        </is>
      </c>
      <c r="C27" s="12" t="inlineStr">
        <is>
          <t>Users and roles of the module; ManCom approver list</t>
        </is>
      </c>
      <c r="D27" s="12" t="inlineStr">
        <is>
          <t>FRS Annex U</t>
        </is>
      </c>
    </row>
  </sheetData>
  <autoFilter ref="A4:D27"/>
  <mergeCells count="1">
    <mergeCell ref="A2:D2"/>
  </mergeCells>
  <conditionalFormatting sqref="A5:D527">
    <cfRule type="expression" priority="1" dxfId="0">
      <formula>AND(MOD(ROW(),2)=0,$A5&lt;&gt;"")</formula>
    </cfRule>
  </conditionalFormatting>
  <dataValidations count="1">
    <dataValidation sqref="B5:B527" showDropDown="0" showInputMessage="0" showErrorMessage="1" allowBlank="1" errorTitle="Scope" error="Choose a value from the list (Scope)." type="list">
      <formula1>'Lists'!$D$2:$D$3</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2" customWidth="1" min="4" max="4"/>
    <col width="12" customWidth="1" min="5" max="5"/>
  </cols>
  <sheetData>
    <row r="1" ht="24" customHeight="1">
      <c r="A1" s="16" t="inlineStr">
        <is>
          <t>Best practice (blue)</t>
        </is>
      </c>
    </row>
    <row r="2">
      <c r="A2" s="19" t="inlineStr">
        <is>
          <t>Not in the BRD, the FRS or the OOTB platform: recommendations (Annex Y.6), not commitments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BP-PM-01</t>
        </is>
      </c>
      <c r="B5" s="12" t="inlineStr">
        <is>
          <t>Periodic package performance review: take-up, premium, claims experience and loss ratio per package, with a recorded decision to keep, redesign or retire it before renewal</t>
        </is>
      </c>
      <c r="C5" s="12" t="inlineStr">
        <is>
          <t>Packages sold through the bank stay fair value for clients and viable for insurers; Insurance Commission conduct expectations for products sold through banks</t>
        </is>
      </c>
      <c r="D5" s="12" t="inlineStr">
        <is>
          <t>Medium</t>
        </is>
      </c>
      <c r="E5" s="12" t="n">
        <v>6</v>
      </c>
    </row>
    <row r="6">
      <c r="A6" s="12" t="inlineStr">
        <is>
          <t>BP-PM-02</t>
        </is>
      </c>
      <c r="B6" s="12" t="inlineStr">
        <is>
          <t>Product disclosure sheet per package for the bank channel (key features, exclusions, insurer, BDOI's role as broker), produced from the released package version</t>
        </is>
      </c>
      <c r="C6" s="12" t="inlineStr">
        <is>
          <t>Bancassurance sales need clear pre-sale disclosure; one source avoids outdated brochures (Insurance Commission and BSP bancassurance rules)</t>
        </is>
      </c>
      <c r="D6" s="12" t="inlineStr">
        <is>
          <t>High</t>
        </is>
      </c>
      <c r="E6" s="12" t="n">
        <v>5</v>
      </c>
    </row>
    <row r="7">
      <c r="A7" s="12" t="inlineStr">
        <is>
          <t>BP-PM-03</t>
        </is>
      </c>
      <c r="B7" s="12" t="inlineStr">
        <is>
          <t>Data-sharing record on client-specific packages: the basis for sharing with each insurer of the package and the client data sent in Quotation Slips</t>
        </is>
      </c>
      <c r="C7" s="12" t="inlineStr">
        <is>
          <t>Data Privacy Act: personal data shared with insurers needs a documented basis and only the minimum data</t>
        </is>
      </c>
      <c r="D7" s="12" t="inlineStr">
        <is>
          <t>Medium</t>
        </is>
      </c>
      <c r="E7" s="12" t="n">
        <v>3</v>
      </c>
    </row>
  </sheetData>
  <autoFilter ref="A4:E7"/>
  <mergeCells count="1">
    <mergeCell ref="A2:E2"/>
  </mergeCells>
  <conditionalFormatting sqref="A5:E507">
    <cfRule type="expression" priority="1" dxfId="0">
      <formula>AND(MOD(ROW(),2)=0,$A5&lt;&gt;"")</formula>
    </cfRule>
  </conditionalFormatting>
  <dataValidations count="1">
    <dataValidation sqref="D5:D507" showDropDown="0" showInputMessage="0" showErrorMessage="1" allowBlank="1" errorTitle="Suggested priority" error="Choose a value from the list (Suggested priority)."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60" customWidth="1" min="4" max="4"/>
    <col width="12" customWidth="1" min="5" max="5"/>
  </cols>
  <sheetData>
    <row r="1" ht="24" customHeight="1">
      <c r="A1" s="16" t="inlineStr">
        <is>
          <t>BRD items to deliver</t>
        </is>
      </c>
    </row>
    <row r="2">
      <c r="A2" s="19" t="inlineStr">
        <is>
          <t>BRD requirements not fully met by the OOTB platform: in-scope delivery work for planning, not CRs</t>
        </is>
      </c>
    </row>
    <row r="3" ht="6" customHeight="1">
      <c r="A3" s="20" t="n"/>
      <c r="B3" s="20" t="n"/>
      <c r="C3" s="20" t="n"/>
      <c r="D3" s="20" t="n"/>
      <c r="E3" s="20" t="n"/>
    </row>
    <row r="4" ht="30" customHeight="1">
      <c r="A4" s="21" t="inlineStr">
        <is>
          <t>BRD ID</t>
        </is>
      </c>
      <c r="B4" s="21" t="inlineStr">
        <is>
          <t>BRD requirement</t>
        </is>
      </c>
      <c r="C4" s="21" t="inlineStr">
        <is>
          <t>Fit</t>
        </is>
      </c>
      <c r="D4" s="21" t="inlineStr">
        <is>
          <t>What iNXT BrokerVerse offers out of the box</t>
        </is>
      </c>
      <c r="E4" s="21" t="inlineStr">
        <is>
          <t>Planning man-days</t>
        </is>
      </c>
    </row>
    <row r="5">
      <c r="A5" s="12" t="inlineStr">
        <is>
          <t>PMADD01</t>
        </is>
      </c>
      <c r="B5" s="12" t="inlineStr">
        <is>
          <t>I want a standard reusable product structure hierarchy so that product data is consistent and scalable across packaged and non-packaged products.</t>
        </is>
      </c>
      <c r="C5" s="12" t="inlineStr">
        <is>
          <t>Configure</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n"/>
    </row>
    <row r="6">
      <c r="A6" s="12" t="inlineStr">
        <is>
          <t>PMADD02</t>
        </is>
      </c>
      <c r="B6" s="12" t="inlineStr">
        <is>
          <t>I want insurer-specific coverage, deductibles, and warranty mappings maintained without IT intervention so that insurer variability is supported in a controlled manner.</t>
        </is>
      </c>
      <c r="C6" s="12" t="inlineStr">
        <is>
          <t>Configure</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n"/>
    </row>
    <row r="7">
      <c r="A7" s="12" t="inlineStr">
        <is>
          <t>PMADD04</t>
        </is>
      </c>
      <c r="B7" s="12" t="inlineStr">
        <is>
          <t>I want to have explicit exception states and iterative negotiation loop support so that non-linear insurer negotiations, revisions, and declines are handled as formal workflow outcomes rather than informal handling.</t>
        </is>
      </c>
      <c r="C7" s="12" t="inlineStr">
        <is>
          <t>Configure</t>
        </is>
      </c>
      <c r="D7" s="12" t="inlineStr">
        <is>
          <t>PRD-019 Package negotiation rounds with insurers: Partial – Request for Quotation to several insurers with offers, declines and terms, set up for one client risk; no rounds or outcome states for a programme.</t>
        </is>
      </c>
      <c r="E7" s="12" t="n"/>
    </row>
    <row r="8">
      <c r="A8" s="12" t="inlineStr">
        <is>
          <t>PMADD07</t>
        </is>
      </c>
      <c r="B8" s="12" t="inlineStr">
        <is>
          <t>I want to define and maintain Incentive criteria based on the Maintained Products Matrix, so that incentives are accurately configured and applied only to eligible product combinations.</t>
        </is>
      </c>
      <c r="C8" s="12" t="inlineStr">
        <is>
          <t>Configure</t>
        </is>
      </c>
      <c r="D8" s="12" t="inlineStr">
        <is>
          <t>PRD-026 Incentive criteria on the products matrix: Partial – Incentive programmes by target metric for account executives; no product-level eligibility criteria.</t>
        </is>
      </c>
      <c r="E8" s="12" t="n"/>
    </row>
    <row r="9">
      <c r="A9" s="12" t="inlineStr">
        <is>
          <t>PMADD08</t>
        </is>
      </c>
      <c r="B9" s="12" t="inlineStr">
        <is>
          <t>I must have a maintenance facility to define and update Incentives (i.e. CPC2) criteria based on the maintained products.</t>
        </is>
      </c>
      <c r="C9" s="12" t="inlineStr">
        <is>
          <t>Configure</t>
        </is>
      </c>
      <c r="D9" s="12" t="inlineStr">
        <is>
          <t>PRD-026 Incentive criteria on the products matrix: Partial – Incentive programmes by target metric for account executives; no product-level eligibility criteria.</t>
        </is>
      </c>
      <c r="E9" s="12" t="n"/>
    </row>
    <row r="10">
      <c r="A10" s="12" t="inlineStr">
        <is>
          <t>BRPM.003</t>
        </is>
      </c>
      <c r="B10" s="12" t="inlineStr">
        <is>
          <t>There must be a capability to capture, store, and validate all mandatory, critical and product-specific fields.</t>
        </is>
      </c>
      <c r="C10" s="12" t="inlineStr">
        <is>
          <t>Configure</t>
        </is>
      </c>
      <c r="D10" s="12" t="inlineStr">
        <is>
          <t>PRD-003 Product-specific risk fields per line: Partial – Risk mappings with risk sections per product line; the quote wizard asks for the fields the rules test (require rule fields). No minimum-field matrix per product.</t>
        </is>
      </c>
      <c r="E10" s="12" t="n"/>
    </row>
    <row r="11">
      <c r="A11" s="12" t="inlineStr">
        <is>
          <t>BRPM.004</t>
        </is>
      </c>
      <c r="B11" s="12" t="inlineStr">
        <is>
          <t>There must be a capability to apply validation rules based on product type.</t>
        </is>
      </c>
      <c r="C11" s="12" t="inlineStr">
        <is>
          <t>Configure</t>
        </is>
      </c>
      <c r="D11" s="12" t="inlineStr">
        <is>
          <t>PRD-004 Configurable validation rules per product: Partial – Acceptance rules accept, refer, decline or load on risk fields; acceptance limits on sum insured and ages. No general data-validation rule set.</t>
        </is>
      </c>
      <c r="E11" s="12" t="n"/>
    </row>
    <row r="12">
      <c r="A12" s="12" t="inlineStr">
        <is>
          <t>BRPM.005</t>
        </is>
      </c>
      <c r="B12" s="12" t="inlineStr">
        <is>
          <t>There must be a capability to use shared templates with dynamic fields for product-specific data.</t>
        </is>
      </c>
      <c r="C12" s="12" t="inlineStr">
        <is>
          <t>Configure</t>
        </is>
      </c>
      <c r="D12" s="12" t="inlineStr">
        <is>
          <t>PRD-027 Document templates per product with merge fields: Available – Templates per product with merge fields and blocks, preview, printed on the letterhead; unknown merge fields refused.</t>
        </is>
      </c>
      <c r="E12" s="12" t="n"/>
    </row>
    <row r="13">
      <c r="A13" s="12" t="inlineStr">
        <is>
          <t>BRPM.008</t>
        </is>
      </c>
      <c r="B13" s="12" t="inlineStr">
        <is>
          <t>Submit approved Package Request Form.</t>
        </is>
      </c>
      <c r="C13" s="12" t="inlineStr">
        <is>
          <t>Extend</t>
        </is>
      </c>
      <c r="D13"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13" s="12" t="n"/>
    </row>
    <row r="14">
      <c r="A14" s="12" t="inlineStr">
        <is>
          <t>BRPM.011</t>
        </is>
      </c>
      <c r="B14" s="12" t="inlineStr">
        <is>
          <t>Facility to allow User to receive and view requests for product creation, amend, updating, or deletion based on client or business needs.</t>
        </is>
      </c>
      <c r="C14" s="12" t="inlineStr">
        <is>
          <t>Recommend change</t>
        </is>
      </c>
      <c r="D14" s="12" t="inlineStr">
        <is>
          <t>PRD-018 Package request with multi-level approval: Not available – Products are created directly in the configurator; no request or approval chain.</t>
        </is>
      </c>
      <c r="E14" s="12" t="n"/>
    </row>
    <row r="15">
      <c r="A15" s="12" t="inlineStr">
        <is>
          <t>BRPM.015</t>
        </is>
      </c>
      <c r="B1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5" s="12" t="inlineStr">
        <is>
          <t>Extend</t>
        </is>
      </c>
      <c r="D15"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15" s="12" t="n"/>
    </row>
    <row r="16">
      <c r="A16" s="12" t="inlineStr">
        <is>
          <t>BRPM.017</t>
        </is>
      </c>
      <c r="B16" s="12" t="inlineStr">
        <is>
          <t>The system must enable the TSU Officer to monitor the expiry or anniversary date of each insurance package</t>
        </is>
      </c>
      <c r="C16" s="12" t="inlineStr">
        <is>
          <t>Extend</t>
        </is>
      </c>
      <c r="D16" s="12" t="inlineStr">
        <is>
          <t>PRD-023 Package expiry monitoring and renewal request: Partial – Template expiry dates and an expiring-templates list (warning period of 60 days); no renewal request.</t>
        </is>
      </c>
      <c r="E16" s="12" t="n"/>
    </row>
    <row r="17">
      <c r="A17" s="12" t="inlineStr">
        <is>
          <t>BRPM.018</t>
        </is>
      </c>
      <c r="B17"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7" s="12" t="inlineStr">
        <is>
          <t>Extend</t>
        </is>
      </c>
      <c r="D17" s="12" t="inlineStr">
        <is>
          <t>PRD-024 Package status report and Product Maintenance dashboard: Partial – Template counts, categories, expiring templates and product analytics; no request status report.</t>
        </is>
      </c>
      <c r="E17" s="12" t="n"/>
    </row>
    <row r="18">
      <c r="A18" s="12" t="inlineStr">
        <is>
          <t>BRPM.019</t>
        </is>
      </c>
      <c r="B18" s="12" t="inlineStr">
        <is>
          <t>Dashboard for real-time tracking and reporting</t>
        </is>
      </c>
      <c r="C18" s="12" t="inlineStr">
        <is>
          <t>Extend</t>
        </is>
      </c>
      <c r="D18" s="12" t="inlineStr">
        <is>
          <t>PRD-024 Package status report and Product Maintenance dashboard: Partial – Template counts, categories, expiring templates and product analytics; no request status report.</t>
        </is>
      </c>
      <c r="E18" s="12" t="n"/>
    </row>
    <row r="19">
      <c r="A19" s="12" t="inlineStr">
        <is>
          <t>BRPM.020</t>
        </is>
      </c>
      <c r="B19" s="12" t="inlineStr">
        <is>
          <t>Capability to check for document security (password protection/ encryption).</t>
        </is>
      </c>
      <c r="C19" s="12" t="inlineStr">
        <is>
          <t>Recommend change</t>
        </is>
      </c>
      <c r="D19"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19" s="12" t="n"/>
    </row>
    <row r="20">
      <c r="A20" s="12" t="inlineStr">
        <is>
          <t>BRPM.022</t>
        </is>
      </c>
      <c r="B20" s="12" t="inlineStr">
        <is>
          <t>Notification and integration for seamless data flow.</t>
        </is>
      </c>
      <c r="C20" s="12" t="inlineStr">
        <is>
          <t>Extend</t>
        </is>
      </c>
      <c r="D20" s="12" t="inlineStr">
        <is>
          <t>PRD-029 Publish product master changes to other systems: Optional extra – an open interface available; no outbound product feed.</t>
        </is>
      </c>
      <c r="E20" s="12" t="n"/>
    </row>
    <row r="21">
      <c r="A21" s="12" t="inlineStr">
        <is>
          <t>BRPM.024</t>
        </is>
      </c>
      <c r="B21" s="12" t="inlineStr">
        <is>
          <t>Ensure audit trail for all actions and changes.</t>
        </is>
      </c>
      <c r="C21" s="12" t="inlineStr">
        <is>
          <t>Extend</t>
        </is>
      </c>
      <c r="D21" s="12" t="inlineStr">
        <is>
          <t>Audit history of changes per record.</t>
        </is>
      </c>
      <c r="E21" s="12" t="n"/>
    </row>
    <row r="22">
      <c r="A22" s="12" t="inlineStr">
        <is>
          <t>D-PM-01</t>
        </is>
      </c>
      <c r="B22" s="12" t="inlineStr">
        <is>
          <t>Quotation Slip decision notice to the preparer (FRPM.006.01, FRPM.012.01; Annex P NT-16). BRD line: BRPM.021 AC5: 'The system notifies users of pending validation or approval actions and tracks resolution within the SLA'; BRPM.012: 'Prepare and send quotation slip to Insurers'</t>
        </is>
      </c>
      <c r="C22" s="12" t="inlineStr">
        <is>
          <t>BRD point to deliver</t>
        </is>
      </c>
      <c r="D22" s="12" t="inlineStr">
        <is>
          <t>PRD-019 Partial (no negotiation rounds or slip approval for a programme); WFL-010 Available (in-app notices). Partial in BrokerVerse OOTB: notices are available, the package slip approval is not; effort for the notice of the slip decision only.</t>
        </is>
      </c>
      <c r="E22" s="12" t="n">
        <v>3.5</v>
      </c>
    </row>
    <row r="23">
      <c r="A23" s="12" t="inlineStr">
        <is>
          <t>D-PM-02</t>
        </is>
      </c>
      <c r="B23" s="12" t="inlineStr">
        <is>
          <t>ManCom e-mails in BDOI's wording, with the President's text (FRPM.014.01; Annex P NT-13, NT-14). BRD line: BRPM.015: 'a ManCom review and signoff workflow with audit logging'; BRPM.022: 'Notification and integration for seamless data flow'</t>
        </is>
      </c>
      <c r="C23" s="12" t="inlineStr">
        <is>
          <t>BRD point to deliver</t>
        </is>
      </c>
      <c r="D23" s="12" t="inlineStr">
        <is>
          <t>PRD-021 Not available (no committee step or hand-off). Not available in BrokerVerse OOTB. The effort is for the two BDOI texts on top of the routing already delivered for BIBS.</t>
        </is>
      </c>
      <c r="E23" s="12" t="n">
        <v>2.5</v>
      </c>
    </row>
    <row r="24">
      <c r="A24" s="12" t="inlineStr">
        <is>
          <t>D-PM-03</t>
        </is>
      </c>
      <c r="B24" s="12" t="inlineStr">
        <is>
          <t>'Due soon' marker at 80% of the stage service level (FRPM.001.01). BRD line: BRPM.021 ER3: 'Each approval step is completed by the designated authority ... within the defined SLA'; AC5 'tracks resolution within the SLA'</t>
        </is>
      </c>
      <c r="C24" s="12" t="inlineStr">
        <is>
          <t>BRD point to deliver</t>
        </is>
      </c>
      <c r="D24" s="12" t="inlineStr">
        <is>
          <t>WFL-007 Partial (deadlines and escalation for claims, complaints, leads and collections; no general turnaround engine). Partial in BrokerVerse OOTB; the planning effort covers the missing part only: the marker at a percentage of each stage's service level.</t>
        </is>
      </c>
      <c r="E24" s="12" t="n">
        <v>3.5</v>
      </c>
    </row>
  </sheetData>
  <autoFilter ref="A4:E24"/>
  <mergeCells count="1">
    <mergeCell ref="A2:E2"/>
  </mergeCells>
  <conditionalFormatting sqref="A5:E52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34" customWidth="1" min="1" max="1"/>
    <col width="20" customWidth="1" min="2" max="2"/>
    <col width="80" customWidth="1" min="3" max="3"/>
  </cols>
  <sheetData>
    <row r="1">
      <c r="A1" s="16" t="inlineStr">
        <is>
          <t>Assumptions</t>
        </is>
      </c>
    </row>
    <row r="3">
      <c r="A3" s="24" t="inlineStr">
        <is>
          <t>Item</t>
        </is>
      </c>
      <c r="B3" s="24" t="inlineStr">
        <is>
          <t>Value</t>
        </is>
      </c>
      <c r="C3" s="24" t="inlineStr">
        <is>
          <t>Note</t>
        </is>
      </c>
    </row>
    <row r="4">
      <c r="A4" s="25" t="inlineStr">
        <is>
          <t>Hours in a man-day</t>
        </is>
      </c>
      <c r="B4" s="25" t="n">
        <v>8</v>
      </c>
      <c r="C4" s="25" t="inlineStr">
        <is>
          <t>One man-day (md) = 8 working hours</t>
        </is>
      </c>
    </row>
    <row r="5">
      <c r="A5" s="25" t="inlineStr">
        <is>
          <t>Currency</t>
        </is>
      </c>
      <c r="B5" s="25" t="inlineStr">
        <is>
          <t>PHP</t>
        </is>
      </c>
      <c r="C5" s="25" t="inlineStr">
        <is>
          <t>Philippine peso</t>
        </is>
      </c>
    </row>
    <row r="6">
      <c r="A6" s="25" t="inlineStr">
        <is>
          <t>Estimate range (plus or minus)</t>
        </is>
      </c>
      <c r="B6" s="26" t="n">
        <v>0.2</v>
      </c>
      <c r="C6" s="25" t="inlineStr">
        <is>
          <t>Each total is an estimate within plus or minus 20%</t>
        </is>
      </c>
    </row>
    <row r="7">
      <c r="A7" s="25" t="inlineStr">
        <is>
          <t>DayRate (PHP per man-day)</t>
        </is>
      </c>
      <c r="B7" s="27" t="n"/>
      <c r="C7" s="25" t="inlineStr">
        <is>
          <t>Enter the agreed day rate; the cost columns follow by formula</t>
        </is>
      </c>
    </row>
    <row r="8">
      <c r="A8" s="25" t="inlineStr">
        <is>
          <t>OOTB baseline</t>
        </is>
      </c>
      <c r="B8" s="25" t="inlineStr">
        <is>
          <t>brokerverse-platform</t>
        </is>
      </c>
      <c r="C8" s="25" t="inlineStr">
        <is>
          <t>iNXT BrokerVerse OOTB platform (brokerverse-platform), with the programme Feature List (column OOTB platform) as a cross-check</t>
        </is>
      </c>
    </row>
    <row r="9">
      <c r="A9" s="25" t="inlineStr">
        <is>
          <t>Basis</t>
        </is>
      </c>
      <c r="B9" s="25" t="inlineStr">
        <is>
          <t>Platform size</t>
        </is>
      </c>
      <c r="C9" s="25" t="inlineStr">
        <is>
          <t>Effort from the size of the platform parts each change touches and a similar existing function; for a Partial feature, the missing part only</t>
        </is>
      </c>
    </row>
    <row r="10">
      <c r="A10" s="25" t="inlineStr">
        <is>
          <t>Not change requests</t>
        </is>
      </c>
      <c r="B10" s="25" t="inlineStr">
        <is>
          <t>-</t>
        </is>
      </c>
      <c r="C10" s="25" t="inlineStr">
        <is>
          <t>BRD requirements (in scope), Integration scope and Data Migration scope items, best-practice recommendations</t>
        </is>
      </c>
    </row>
    <row r="11">
      <c r="A11" s="25" t="inlineStr">
        <is>
          <t>Excluded</t>
        </is>
      </c>
      <c r="B11" s="25" t="inlineStr">
        <is>
          <t>-</t>
        </is>
      </c>
      <c r="C11" s="25" t="inlineStr">
        <is>
          <t>BDOI decisions and inputs, BDOI testing time, infrastructure</t>
        </is>
      </c>
    </row>
    <row r="12">
      <c r="A12" s="25" t="inlineStr">
        <is>
          <t>Validity</t>
        </is>
      </c>
      <c r="B12" s="25" t="inlineStr">
        <is>
          <t>30 days</t>
        </is>
      </c>
      <c r="C12" s="25" t="inlineStr">
        <is>
          <t>Estimated again if the scope of a change request changes</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E4"/>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8" t="inlineStr">
        <is>
          <t>CR Effort: BRD relation</t>
        </is>
      </c>
      <c r="B1" s="28" t="inlineStr">
        <is>
          <t>CR Effort: Complexity</t>
        </is>
      </c>
      <c r="C1" s="28" t="inlineStr">
        <is>
          <t>CR Effort: Priority</t>
        </is>
      </c>
      <c r="D1" s="28" t="inlineStr">
        <is>
          <t>Integration &amp; DM scope: Scope</t>
        </is>
      </c>
      <c r="E1" s="28" t="inlineStr">
        <is>
          <t>Best practice (blue): Suggested priority</t>
        </is>
      </c>
    </row>
    <row r="2">
      <c r="A2" t="inlineStr">
        <is>
          <t>Extends a BRD requirement</t>
        </is>
      </c>
      <c r="B2" t="inlineStr">
        <is>
          <t>Low</t>
        </is>
      </c>
      <c r="C2" t="inlineStr">
        <is>
          <t>High</t>
        </is>
      </c>
      <c r="D2" t="inlineStr">
        <is>
          <t>Integration scope</t>
        </is>
      </c>
      <c r="E2" t="inlineStr">
        <is>
          <t>High</t>
        </is>
      </c>
    </row>
    <row r="3">
      <c r="A3" t="inlineStr">
        <is>
          <t>Not in any BRD</t>
        </is>
      </c>
      <c r="B3" t="inlineStr">
        <is>
          <t>Medium</t>
        </is>
      </c>
      <c r="C3" t="inlineStr">
        <is>
          <t>Medium</t>
        </is>
      </c>
      <c r="D3" t="inlineStr">
        <is>
          <t>Data Migration scope</t>
        </is>
      </c>
      <c r="E3" t="inlineStr">
        <is>
          <t>Medium</t>
        </is>
      </c>
    </row>
    <row r="4">
      <c r="B4" t="inlineStr">
        <is>
          <t>High</t>
        </is>
      </c>
      <c r="C4" t="inlineStr">
        <is>
          <t>Low</t>
        </is>
      </c>
      <c r="E4" t="inlineStr">
        <is>
          <t>Low</t>
        </is>
      </c>
    </row>
  </sheetData>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Effort Estimate</dc:title>
  <dc:subject xmlns:dc="http://purl.org/dc/elements/1.1/">BIBS – BDOI Broker System</dc:subject>
  <dcterms:created xmlns:dcterms="http://purl.org/dc/terms/" xmlns:xsi="http://www.w3.org/2001/XMLSchema-instance" xsi:type="dcterms:W3CDTF">2026-10-11T16:19:04Z</dcterms:created>
  <dcterms:modified xmlns:dcterms="http://purl.org/dc/terms/" xmlns:xsi="http://www.w3.org/2001/XMLSchema-instance" xsi:type="dcterms:W3CDTF">2026-10-11T16:19:04Z</dcterms:modified>
  <cp:keywords>Estimate, BRD-03, BIBS, BDOI</cp:keywords>
</cp:coreProperties>
</file>