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CR Effort" sheetId="4" state="visible" r:id="rId4"/>
    <sheet xmlns:r="http://schemas.openxmlformats.org/officeDocument/2006/relationships" name="Beyond the BRD - OOTB" sheetId="5" state="visible" r:id="rId5"/>
    <sheet xmlns:r="http://schemas.openxmlformats.org/officeDocument/2006/relationships" name="BRD covered - OOTB" sheetId="6" state="visible" r:id="rId6"/>
    <sheet xmlns:r="http://schemas.openxmlformats.org/officeDocument/2006/relationships" name="Integration &amp; DM scope" sheetId="7" state="visible" r:id="rId7"/>
    <sheet xmlns:r="http://schemas.openxmlformats.org/officeDocument/2006/relationships" name="Best practice (blue)" sheetId="8" state="visible" r:id="rId8"/>
    <sheet xmlns:r="http://schemas.openxmlformats.org/officeDocument/2006/relationships" name="BRD items to deliver" sheetId="9" state="visible" r:id="rId9"/>
    <sheet xmlns:r="http://schemas.openxmlformats.org/officeDocument/2006/relationships" name="Assumptions" sheetId="10" state="visible" r:id="rId10"/>
    <sheet xmlns:r="http://schemas.openxmlformats.org/officeDocument/2006/relationships" name="Lists" sheetId="11" state="visible" r:id="rId11"/>
  </sheets>
  <definedNames>
    <definedName name="_xlnm._FilterDatabase" localSheetId="1" hidden="1">'README'!$A$4:$D$58</definedName>
    <definedName name="_xlnm.Print_Titles" localSheetId="1">'README'!$4:$4</definedName>
    <definedName name="_xlnm._FilterDatabase" localSheetId="2" hidden="1">'Summary'!$A$4:$B$19</definedName>
    <definedName name="_xlnm.Print_Titles" localSheetId="2">'Summary'!$4:$4</definedName>
    <definedName name="_xlnm._FilterDatabase" localSheetId="3" hidden="1">'CR Effort'!$A$4:$X$6</definedName>
    <definedName name="_xlnm.Print_Titles" localSheetId="3">'CR Effort'!$4:$4</definedName>
    <definedName name="_xlnm._FilterDatabase" localSheetId="4" hidden="1">'Beyond the BRD - OOTB'!$A$4:$G$5</definedName>
    <definedName name="_xlnm.Print_Titles" localSheetId="4">'Beyond the BRD - OOTB'!$4:$4</definedName>
    <definedName name="_xlnm._FilterDatabase" localSheetId="5" hidden="1">'BRD covered - OOTB'!$A$4:$G$8</definedName>
    <definedName name="_xlnm.Print_Titles" localSheetId="5">'BRD covered - OOTB'!$4:$4</definedName>
    <definedName name="_xlnm._FilterDatabase" localSheetId="6" hidden="1">'Integration &amp; DM scope'!$A$4:$D$27</definedName>
    <definedName name="_xlnm.Print_Titles" localSheetId="6">'Integration &amp; DM scope'!$4:$4</definedName>
    <definedName name="_xlnm._FilterDatabase" localSheetId="7" hidden="1">'Best practice (blue)'!$A$4:$E$7</definedName>
    <definedName name="_xlnm.Print_Titles" localSheetId="7">'Best practice (blue)'!$4:$4</definedName>
    <definedName name="_xlnm._FilterDatabase" localSheetId="8" hidden="1">'BRD items to deliver'!$A$4:$E$24</definedName>
    <definedName name="_xlnm.Print_Titles" localSheetId="8">'BRD items to deliver'!$4:$4</definedName>
    <definedName name="_xlnm.Print_Titles" localSheetId="10">'Lists'!$1:$1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FFFFFF"/>
    </font>
    <font>
      <name val="Arial"/>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5">
    <fill>
      <patternFill/>
    </fill>
    <fill>
      <patternFill patternType="gray125"/>
    </fill>
    <fill>
      <patternFill patternType="solid">
        <fgColor rgb="00004EA8"/>
      </patternFill>
    </fill>
    <fill>
      <patternFill patternType="solid">
        <fgColor rgb="00FFF59D"/>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4" pivotButton="0" quotePrefix="0" xfId="0"/>
    <xf numFmtId="0" fontId="12" fillId="0" borderId="4" pivotButton="0" quotePrefix="0" xfId="0"/>
    <xf numFmtId="0" fontId="13" fillId="0" borderId="4" pivotButton="0" quotePrefix="0" xfId="0"/>
    <xf numFmtId="0" fontId="14" fillId="0" borderId="0" pivotButton="0" quotePrefix="0" xfId="0"/>
    <xf numFmtId="0" fontId="3" fillId="2" borderId="2" pivotButton="0" quotePrefix="0" xfId="0"/>
    <xf numFmtId="0" fontId="7" fillId="0" borderId="2" applyAlignment="1" pivotButton="0" quotePrefix="0" xfId="0">
      <alignment vertical="top" wrapText="1"/>
    </xf>
    <xf numFmtId="0" fontId="4" fillId="0" borderId="2" applyAlignment="1" pivotButton="0" quotePrefix="0" xfId="0">
      <alignment vertical="top" wrapText="1"/>
    </xf>
    <xf numFmtId="0" fontId="7" fillId="4" borderId="2" applyAlignment="1" pivotButton="0" quotePrefix="0" xfId="0">
      <alignment vertical="top" wrapText="1"/>
    </xf>
    <xf numFmtId="0" fontId="4" fillId="4" borderId="2" applyAlignment="1" pivotButton="0" quotePrefix="0" xfId="0">
      <alignment vertical="top" wrapText="1"/>
    </xf>
    <xf numFmtId="0" fontId="2" fillId="0" borderId="0" pivotButton="0" quotePrefix="0" xfId="0"/>
    <xf numFmtId="0" fontId="1" fillId="0" borderId="0" pivotButton="0" quotePrefix="0" xfId="0"/>
    <xf numFmtId="0" fontId="15" fillId="0" borderId="2" applyAlignment="1" pivotButton="0" quotePrefix="0" xfId="0">
      <alignment vertical="top" wrapText="1"/>
    </xf>
    <xf numFmtId="0" fontId="15" fillId="4"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4" fillId="0" borderId="2" applyAlignment="1" pivotButton="0" quotePrefix="0" xfId="0">
      <alignment vertical="top"/>
    </xf>
    <xf numFmtId="4" fontId="4" fillId="0" borderId="2" applyAlignment="1" pivotButton="0" quotePrefix="0" xfId="0">
      <alignment vertical="top"/>
    </xf>
    <xf numFmtId="0" fontId="3" fillId="2" borderId="0" pivotButton="0" quotePrefix="0" xfId="0"/>
    <xf numFmtId="0" fontId="6" fillId="0" borderId="2" applyAlignment="1" pivotButton="0" quotePrefix="0" xfId="0">
      <alignment vertical="top" wrapText="1"/>
    </xf>
    <xf numFmtId="9" fontId="6" fillId="0" borderId="2" applyAlignment="1" pivotButton="0" quotePrefix="0" xfId="0">
      <alignment vertical="top" wrapText="1"/>
    </xf>
    <xf numFmtId="4" fontId="6" fillId="3" borderId="2" applyAlignment="1" pivotButton="0" quotePrefix="0" xfId="0">
      <alignment vertical="top" wrapText="1"/>
    </xf>
    <xf numFmtId="0" fontId="5" fillId="2" borderId="0"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CR Effort'!A1" TargetMode="External" Id="rId3"/><Relationship Type="http://schemas.openxmlformats.org/officeDocument/2006/relationships/hyperlink" Target="#'Beyond the BRD - OOTB'!A1" TargetMode="External" Id="rId4"/><Relationship Type="http://schemas.openxmlformats.org/officeDocument/2006/relationships/hyperlink" Target="#'BRD covered - OOTB'!A1" TargetMode="External" Id="rId5"/><Relationship Type="http://schemas.openxmlformats.org/officeDocument/2006/relationships/hyperlink" Target="#'Integration &amp; DM scope'!A1" TargetMode="External" Id="rId6"/><Relationship Type="http://schemas.openxmlformats.org/officeDocument/2006/relationships/hyperlink" Target="#'Best practice (blue)'!A1" TargetMode="External" Id="rId7"/><Relationship Type="http://schemas.openxmlformats.org/officeDocument/2006/relationships/hyperlink" Target="#'BRD items to deliver'!A1" TargetMode="External" Id="rId8"/><Relationship Type="http://schemas.openxmlformats.org/officeDocument/2006/relationships/hyperlink" Target="#'Assumption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A1: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1"/>
    <row r="2" ht="40" customHeight="1"/>
    <row r="3"/>
    <row r="4" ht="6" customHeight="1">
      <c r="B4" s="1" t="n"/>
      <c r="C4" s="1" t="n"/>
      <c r="D4" s="1" t="n"/>
      <c r="E4" s="1" t="n"/>
    </row>
    <row r="5"/>
    <row r="6">
      <c r="B6" s="2" t="inlineStr">
        <is>
          <t>ESTIMATE</t>
        </is>
      </c>
    </row>
    <row r="7" ht="32" customHeight="1">
      <c r="B7" s="3" t="inlineStr">
        <is>
          <t>Change Request Effort Estimate</t>
        </is>
      </c>
    </row>
    <row r="8">
      <c r="B8" s="4" t="inlineStr">
        <is>
          <t>BRD-03 Product Maintenance – points beyond the BRD of the FRS v1.3: change requests with their effort</t>
        </is>
      </c>
    </row>
    <row r="9">
      <c r="B9" s="5" t="inlineStr">
        <is>
          <t>BIBS – BDOI Broker System</t>
        </is>
      </c>
    </row>
    <row r="10"/>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7"/>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Totals of the points beyond the BRD of the FRS v1.3 (Annex Y)</t>
        </is>
      </c>
      <c r="D21" s="14" t="n">
        <v>15</v>
      </c>
    </row>
    <row r="22">
      <c r="B22" s="11" t="inlineStr">
        <is>
          <t>CR Effort</t>
        </is>
      </c>
      <c r="C22" s="12" t="inlineStr">
        <is>
          <t>One row per orange point of the FRS v1.3 (Annex Y.2), effort in man-days</t>
        </is>
      </c>
      <c r="D22" s="12" t="n">
        <v>2</v>
      </c>
    </row>
    <row r="23">
      <c r="B23" s="13" t="inlineStr">
        <is>
          <t>Beyond the BRD - OOTB</t>
        </is>
      </c>
      <c r="C23" s="14" t="inlineStr">
        <is>
          <t>Points beyond the BRD that the iNXT BrokerVerse OOTB platform provides (green): no cost</t>
        </is>
      </c>
      <c r="D23" s="14" t="n">
        <v>1</v>
      </c>
    </row>
    <row r="24">
      <c r="B24" s="11" t="inlineStr">
        <is>
          <t>BRD covered - OOTB</t>
        </is>
      </c>
      <c r="C24" s="12" t="inlineStr">
        <is>
          <t>BRD requirements (black in the FRS, in scope) that the iNXT BrokerVerse OOTB platform provides: no change request, no effort</t>
        </is>
      </c>
      <c r="D24" s="12" t="n">
        <v>4</v>
      </c>
    </row>
    <row r="25">
      <c r="B25" s="13" t="inlineStr">
        <is>
          <t>Integration &amp; DM scope</t>
        </is>
      </c>
      <c r="C25" s="14" t="inlineStr">
        <is>
          <t>Covered by the Integration scope or the Data Migration scope (BRD-13): no CR cost here</t>
        </is>
      </c>
      <c r="D25" s="14" t="n">
        <v>23</v>
      </c>
    </row>
    <row r="26">
      <c r="B26" s="11" t="inlineStr">
        <is>
          <t>Best practice (blue)</t>
        </is>
      </c>
      <c r="C26" s="12" t="inlineStr">
        <is>
          <t>Not in the BRD, the FRS or the OOTB platform: recommendations (Annex Y.6), not commitments</t>
        </is>
      </c>
      <c r="D26" s="12" t="n">
        <v>3</v>
      </c>
    </row>
    <row r="27">
      <c r="B27" s="13" t="inlineStr">
        <is>
          <t>BRD items to deliver</t>
        </is>
      </c>
      <c r="C27" s="14" t="inlineStr">
        <is>
          <t>BRD requirements not fully met by the OOTB platform: in-scope delivery work for planning, not CRs</t>
        </is>
      </c>
      <c r="D27" s="14" t="n">
        <v>20</v>
      </c>
    </row>
    <row r="28">
      <c r="B28" s="11" t="inlineStr">
        <is>
          <t>Assumptions</t>
        </is>
      </c>
      <c r="C28" s="12" t="inlineStr">
        <is>
          <t>Man-day, range and day rate used by the formulas</t>
        </is>
      </c>
      <c r="D28" s="12" t="n">
        <v>0</v>
      </c>
    </row>
    <row r="29"/>
    <row r="30"/>
    <row r="31" ht="26" customHeight="1">
      <c r="B31"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&amp;K004EA8Change Request Effort Estimate&amp;R&amp;8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58"/>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Change Request Effort Estimate, version 1.0. Drop-down columns accept only the listed values.</t>
        </is>
      </c>
    </row>
    <row r="3"/>
    <row r="4">
      <c r="A4" s="10" t="inlineStr">
        <is>
          <t>Sheet</t>
        </is>
      </c>
      <c r="B4" s="10" t="inlineStr">
        <is>
          <t>Column</t>
        </is>
      </c>
      <c r="C4" s="10" t="inlineStr">
        <is>
          <t>Meaning</t>
        </is>
      </c>
      <c r="D4" s="10" t="inlineStr">
        <is>
          <t>Allowed values</t>
        </is>
      </c>
    </row>
    <row r="5">
      <c r="A5" s="12" t="inlineStr">
        <is>
          <t>Summary</t>
        </is>
      </c>
      <c r="B5" s="17" t="inlineStr">
        <is>
          <t>Item</t>
        </is>
      </c>
      <c r="C5" s="12" t="inlineStr">
        <is>
          <t>What is counted</t>
        </is>
      </c>
      <c r="D5" s="12" t="inlineStr"/>
    </row>
    <row r="6">
      <c r="A6" s="14" t="inlineStr">
        <is>
          <t>Summary</t>
        </is>
      </c>
      <c r="B6" s="18" t="inlineStr">
        <is>
          <t>Value</t>
        </is>
      </c>
      <c r="C6" s="14" t="inlineStr">
        <is>
          <t>Count, man-days or cost</t>
        </is>
      </c>
      <c r="D6" s="14" t="inlineStr"/>
    </row>
    <row r="7">
      <c r="A7" s="12" t="inlineStr">
        <is>
          <t>CR Effort</t>
        </is>
      </c>
      <c r="B7" s="17" t="inlineStr">
        <is>
          <t>CR No.</t>
        </is>
      </c>
      <c r="C7" s="12" t="inlineStr">
        <is>
          <t>Change request (FRS Annex Y.2 and the CR register)</t>
        </is>
      </c>
      <c r="D7" s="12" t="inlineStr"/>
    </row>
    <row r="8">
      <c r="A8" s="14" t="inlineStr">
        <is>
          <t>CR Effort</t>
        </is>
      </c>
      <c r="B8" s="18" t="inlineStr">
        <is>
          <t>Title</t>
        </is>
      </c>
      <c r="C8" s="14" t="inlineStr">
        <is>
          <t>The change</t>
        </is>
      </c>
      <c r="D8" s="14" t="inlineStr"/>
    </row>
    <row r="9">
      <c r="A9" s="12" t="inlineStr">
        <is>
          <t>CR Effort</t>
        </is>
      </c>
      <c r="B9" s="17" t="inlineStr">
        <is>
          <t>FRS reference</t>
        </is>
      </c>
      <c r="C9" s="12" t="inlineStr">
        <is>
          <t>FR item or annex row</t>
        </is>
      </c>
      <c r="D9" s="12" t="inlineStr"/>
    </row>
    <row r="10">
      <c r="A10" s="14" t="inlineStr">
        <is>
          <t>CR Effort</t>
        </is>
      </c>
      <c r="B10" s="18" t="inlineStr">
        <is>
          <t>BRD reference</t>
        </is>
      </c>
      <c r="C10" s="14" t="inlineStr">
        <is>
          <t>BRD ID it extends, or 'Not in BRD'</t>
        </is>
      </c>
      <c r="D10" s="14" t="inlineStr"/>
    </row>
    <row r="11">
      <c r="A11" s="12" t="inlineStr">
        <is>
          <t>CR Effort</t>
        </is>
      </c>
      <c r="B11" s="17" t="inlineStr">
        <is>
          <t>BRD relation</t>
        </is>
      </c>
      <c r="C11" s="12" t="inlineStr">
        <is>
          <t>Extends a BRD requirement / Not in any BRD</t>
        </is>
      </c>
      <c r="D11" s="12" t="inlineStr">
        <is>
          <t>Extends a BRD requirement, Not in any BRD</t>
        </is>
      </c>
    </row>
    <row r="12">
      <c r="A12" s="14" t="inlineStr">
        <is>
          <t>CR Effort</t>
        </is>
      </c>
      <c r="B12" s="18" t="inlineStr">
        <is>
          <t>Where the point comes from</t>
        </is>
      </c>
      <c r="C12" s="14" t="inlineStr">
        <is>
          <t>Document and section</t>
        </is>
      </c>
      <c r="D12" s="14" t="inlineStr"/>
    </row>
    <row r="13">
      <c r="A13" s="12" t="inlineStr">
        <is>
          <t>CR Effort</t>
        </is>
      </c>
      <c r="B13" s="17" t="inlineStr">
        <is>
          <t>Why needed</t>
        </is>
      </c>
      <c r="C13" s="12" t="inlineStr">
        <is>
          <t>Business reason</t>
        </is>
      </c>
      <c r="D13" s="12" t="inlineStr"/>
    </row>
    <row r="14">
      <c r="A14" s="14" t="inlineStr">
        <is>
          <t>CR Effort</t>
        </is>
      </c>
      <c r="B14" s="18" t="inlineStr">
        <is>
          <t>Feature List ID / OOTB status</t>
        </is>
      </c>
      <c r="C14" s="14" t="inlineStr">
        <is>
          <t>Programme Feature List, column OOTB platform</t>
        </is>
      </c>
      <c r="D14" s="14" t="inlineStr"/>
    </row>
    <row r="15">
      <c r="A15" s="12" t="inlineStr">
        <is>
          <t>CR Effort</t>
        </is>
      </c>
      <c r="B15" s="17" t="inlineStr">
        <is>
          <t>OOTB evidence</t>
        </is>
      </c>
      <c r="C15" s="12" t="inlineStr">
        <is>
          <t>Screen or function of brokerverse-platform, or 'not found'</t>
        </is>
      </c>
      <c r="D15" s="12" t="inlineStr"/>
    </row>
    <row r="16">
      <c r="A16" s="14" t="inlineStr">
        <is>
          <t>CR Effort</t>
        </is>
      </c>
      <c r="B16" s="18" t="inlineStr">
        <is>
          <t>Effort covers</t>
        </is>
      </c>
      <c r="C16" s="14" t="inlineStr">
        <is>
          <t>For a Partial feature: the missing part only</t>
        </is>
      </c>
      <c r="D16" s="14" t="inlineStr"/>
    </row>
    <row r="17">
      <c r="A17" s="12" t="inlineStr">
        <is>
          <t>CR Effort</t>
        </is>
      </c>
      <c r="B17" s="17" t="inlineStr">
        <is>
          <t>Estimate basis</t>
        </is>
      </c>
      <c r="C17" s="12" t="inlineStr">
        <is>
          <t>Size of the platform parts the change touches</t>
        </is>
      </c>
      <c r="D17" s="12" t="inlineStr"/>
    </row>
    <row r="18">
      <c r="A18" s="14" t="inlineStr">
        <is>
          <t>CR Effort</t>
        </is>
      </c>
      <c r="B18" s="18" t="inlineStr">
        <is>
          <t>Analysis &amp; design (md)</t>
        </is>
      </c>
      <c r="C18" s="14" t="inlineStr">
        <is>
          <t>Man-days</t>
        </is>
      </c>
      <c r="D18" s="14" t="inlineStr"/>
    </row>
    <row r="19">
      <c r="A19" s="12" t="inlineStr">
        <is>
          <t>CR Effort</t>
        </is>
      </c>
      <c r="B19" s="17" t="inlineStr">
        <is>
          <t>Backend (md)</t>
        </is>
      </c>
      <c r="C19" s="12" t="inlineStr">
        <is>
          <t>Man-days</t>
        </is>
      </c>
      <c r="D19" s="12" t="inlineStr"/>
    </row>
    <row r="20">
      <c r="A20" s="14" t="inlineStr">
        <is>
          <t>CR Effort</t>
        </is>
      </c>
      <c r="B20" s="18" t="inlineStr">
        <is>
          <t>Frontend (md)</t>
        </is>
      </c>
      <c r="C20" s="14" t="inlineStr">
        <is>
          <t>Man-days</t>
        </is>
      </c>
      <c r="D20" s="14" t="inlineStr"/>
    </row>
    <row r="21">
      <c r="A21" s="12" t="inlineStr">
        <is>
          <t>CR Effort</t>
        </is>
      </c>
      <c r="B21" s="17" t="inlineStr">
        <is>
          <t>Testing (md)</t>
        </is>
      </c>
      <c r="C21" s="12" t="inlineStr">
        <is>
          <t>Man-days</t>
        </is>
      </c>
      <c r="D21" s="12" t="inlineStr"/>
    </row>
    <row r="22">
      <c r="A22" s="14" t="inlineStr">
        <is>
          <t>CR Effort</t>
        </is>
      </c>
      <c r="B22" s="18" t="inlineStr">
        <is>
          <t>Documentation / UAT support (md)</t>
        </is>
      </c>
      <c r="C22" s="14" t="inlineStr">
        <is>
          <t>Man-days</t>
        </is>
      </c>
      <c r="D22" s="14" t="inlineStr"/>
    </row>
    <row r="23">
      <c r="A23" s="12" t="inlineStr">
        <is>
          <t>CR Effort</t>
        </is>
      </c>
      <c r="B23" s="17" t="inlineStr">
        <is>
          <t>Total (md)</t>
        </is>
      </c>
      <c r="C23" s="12" t="inlineStr">
        <is>
          <t>Sum of the activities</t>
        </is>
      </c>
      <c r="D23" s="12" t="inlineStr"/>
    </row>
    <row r="24">
      <c r="A24" s="14" t="inlineStr">
        <is>
          <t>CR Effort</t>
        </is>
      </c>
      <c r="B24" s="18" t="inlineStr">
        <is>
          <t>Low (-20%)</t>
        </is>
      </c>
      <c r="C24" s="14" t="inlineStr">
        <is>
          <t>Total less the range</t>
        </is>
      </c>
      <c r="D24" s="14" t="inlineStr"/>
    </row>
    <row r="25">
      <c r="A25" s="12" t="inlineStr">
        <is>
          <t>CR Effort</t>
        </is>
      </c>
      <c r="B25" s="17" t="inlineStr">
        <is>
          <t>High (+20%)</t>
        </is>
      </c>
      <c r="C25" s="12" t="inlineStr">
        <is>
          <t>Total plus the range</t>
        </is>
      </c>
      <c r="D25" s="12" t="inlineStr"/>
    </row>
    <row r="26">
      <c r="A26" s="14" t="inlineStr">
        <is>
          <t>CR Effort</t>
        </is>
      </c>
      <c r="B26" s="18" t="inlineStr">
        <is>
          <t>Cost (PHP)</t>
        </is>
      </c>
      <c r="C26" s="14" t="inlineStr">
        <is>
          <t>Total x day rate (Assumptions)</t>
        </is>
      </c>
      <c r="D26" s="14" t="inlineStr"/>
    </row>
    <row r="27">
      <c r="A27" s="12" t="inlineStr">
        <is>
          <t>CR Effort</t>
        </is>
      </c>
      <c r="B27" s="17" t="inlineStr">
        <is>
          <t>Complexity</t>
        </is>
      </c>
      <c r="C27" s="12" t="inlineStr">
        <is>
          <t>Low / Medium / High</t>
        </is>
      </c>
      <c r="D27" s="12" t="inlineStr">
        <is>
          <t>Low, Medium, High</t>
        </is>
      </c>
    </row>
    <row r="28">
      <c r="A28" s="14" t="inlineStr">
        <is>
          <t>CR Effort</t>
        </is>
      </c>
      <c r="B28" s="18" t="inlineStr">
        <is>
          <t>Priority</t>
        </is>
      </c>
      <c r="C28" s="14" t="inlineStr">
        <is>
          <t>High / Medium / Low</t>
        </is>
      </c>
      <c r="D28" s="14" t="inlineStr">
        <is>
          <t>High, Medium, Low</t>
        </is>
      </c>
    </row>
    <row r="29">
      <c r="A29" s="12" t="inlineStr">
        <is>
          <t>CR Effort</t>
        </is>
      </c>
      <c r="B29" s="17" t="inlineStr">
        <is>
          <t>Dependencies</t>
        </is>
      </c>
      <c r="C29" s="12" t="inlineStr">
        <is>
          <t>What the change needs first</t>
        </is>
      </c>
      <c r="D29" s="12" t="inlineStr"/>
    </row>
    <row r="30">
      <c r="A30" s="14" t="inlineStr">
        <is>
          <t>CR Effort</t>
        </is>
      </c>
      <c r="B30" s="18" t="inlineStr">
        <is>
          <t>Assumptions</t>
        </is>
      </c>
      <c r="C30" s="14" t="inlineStr">
        <is>
          <t>Scope assumed by the estimate</t>
        </is>
      </c>
      <c r="D30" s="14" t="inlineStr"/>
    </row>
    <row r="31">
      <c r="A31" s="12" t="inlineStr">
        <is>
          <t>Beyond the BRD - OOTB</t>
        </is>
      </c>
      <c r="B31" s="17" t="inlineStr">
        <is>
          <t>No.</t>
        </is>
      </c>
      <c r="C31" s="12" t="inlineStr">
        <is>
          <t>Point (Annex Y.3)</t>
        </is>
      </c>
      <c r="D31" s="12" t="inlineStr"/>
    </row>
    <row r="32">
      <c r="A32" s="14" t="inlineStr">
        <is>
          <t>Beyond the BRD - OOTB</t>
        </is>
      </c>
      <c r="B32" s="18" t="inlineStr">
        <is>
          <t>Point</t>
        </is>
      </c>
      <c r="C32" s="14" t="inlineStr">
        <is>
          <t>The point of the FRS</t>
        </is>
      </c>
      <c r="D32" s="14" t="inlineStr"/>
    </row>
    <row r="33">
      <c r="A33" s="12" t="inlineStr">
        <is>
          <t>Beyond the BRD - OOTB</t>
        </is>
      </c>
      <c r="B33" s="17" t="inlineStr">
        <is>
          <t>FRS reference</t>
        </is>
      </c>
      <c r="C33" s="12" t="inlineStr">
        <is>
          <t>FR item or annex</t>
        </is>
      </c>
      <c r="D33" s="12" t="inlineStr"/>
    </row>
    <row r="34">
      <c r="A34" s="14" t="inlineStr">
        <is>
          <t>Beyond the BRD - OOTB</t>
        </is>
      </c>
      <c r="B34" s="18" t="inlineStr">
        <is>
          <t>Feature List ID / OOTB status</t>
        </is>
      </c>
      <c r="C34" s="14" t="inlineStr">
        <is>
          <t>Programme Feature List, column OOTB platform</t>
        </is>
      </c>
      <c r="D34" s="14" t="inlineStr"/>
    </row>
    <row r="35">
      <c r="A35" s="12" t="inlineStr">
        <is>
          <t>Beyond the BRD - OOTB</t>
        </is>
      </c>
      <c r="B35" s="17" t="inlineStr">
        <is>
          <t>OOTB evidence</t>
        </is>
      </c>
      <c r="C35" s="12" t="inlineStr">
        <is>
          <t>Screen or function of brokerverse-platform</t>
        </is>
      </c>
      <c r="D35" s="12" t="inlineStr"/>
    </row>
    <row r="36">
      <c r="A36" s="14" t="inlineStr">
        <is>
          <t>Beyond the BRD - OOTB</t>
        </is>
      </c>
      <c r="B36" s="18" t="inlineStr">
        <is>
          <t>BRD reference</t>
        </is>
      </c>
      <c r="C36" s="14" t="inlineStr">
        <is>
          <t>Not in the BRD</t>
        </is>
      </c>
      <c r="D36" s="14" t="inlineStr"/>
    </row>
    <row r="37">
      <c r="A37" s="12" t="inlineStr">
        <is>
          <t>Beyond the BRD - OOTB</t>
        </is>
      </c>
      <c r="B37" s="17" t="inlineStr">
        <is>
          <t>Cost (md)</t>
        </is>
      </c>
      <c r="C37" s="12" t="inlineStr">
        <is>
          <t>Zero</t>
        </is>
      </c>
      <c r="D37" s="12" t="inlineStr"/>
    </row>
    <row r="38">
      <c r="A38" s="14" t="inlineStr">
        <is>
          <t>BRD covered - OOTB</t>
        </is>
      </c>
      <c r="B38" s="18" t="inlineStr">
        <is>
          <t>No.</t>
        </is>
      </c>
      <c r="C38" s="14" t="inlineStr">
        <is>
          <t>Former green point</t>
        </is>
      </c>
      <c r="D38" s="14" t="inlineStr"/>
    </row>
    <row r="39">
      <c r="A39" s="12" t="inlineStr">
        <is>
          <t>BRD covered - OOTB</t>
        </is>
      </c>
      <c r="B39" s="17" t="inlineStr">
        <is>
          <t>Point</t>
        </is>
      </c>
      <c r="C39" s="12" t="inlineStr">
        <is>
          <t>The point of the FRS</t>
        </is>
      </c>
      <c r="D39" s="12" t="inlineStr"/>
    </row>
    <row r="40">
      <c r="A40" s="14" t="inlineStr">
        <is>
          <t>BRD covered - OOTB</t>
        </is>
      </c>
      <c r="B40" s="18" t="inlineStr">
        <is>
          <t>FRS reference</t>
        </is>
      </c>
      <c r="C40" s="14" t="inlineStr">
        <is>
          <t>FR item or annex</t>
        </is>
      </c>
      <c r="D40" s="14" t="inlineStr"/>
    </row>
    <row r="41">
      <c r="A41" s="12" t="inlineStr">
        <is>
          <t>BRD covered - OOTB</t>
        </is>
      </c>
      <c r="B41" s="17" t="inlineStr">
        <is>
          <t>BRD line</t>
        </is>
      </c>
      <c r="C41" s="12" t="inlineStr">
        <is>
          <t>The BRD line that asks for it (BRD, BRD-00 or programme-wide NFR)</t>
        </is>
      </c>
      <c r="D41" s="12" t="inlineStr"/>
    </row>
    <row r="42">
      <c r="A42" s="14" t="inlineStr">
        <is>
          <t>BRD covered - OOTB</t>
        </is>
      </c>
      <c r="B42" s="18" t="inlineStr">
        <is>
          <t>Feature List ID / OOTB status</t>
        </is>
      </c>
      <c r="C42" s="14" t="inlineStr">
        <is>
          <t>Programme Feature List, column OOTB platform</t>
        </is>
      </c>
      <c r="D42" s="14" t="inlineStr"/>
    </row>
    <row r="43">
      <c r="A43" s="12" t="inlineStr">
        <is>
          <t>BRD covered - OOTB</t>
        </is>
      </c>
      <c r="B43" s="17" t="inlineStr">
        <is>
          <t>OOTB evidence</t>
        </is>
      </c>
      <c r="C43" s="12" t="inlineStr">
        <is>
          <t>Screen or function of brokerverse-platform</t>
        </is>
      </c>
      <c r="D43" s="12" t="inlineStr"/>
    </row>
    <row r="44">
      <c r="A44" s="14" t="inlineStr">
        <is>
          <t>BRD covered - OOTB</t>
        </is>
      </c>
      <c r="B44" s="18" t="inlineStr">
        <is>
          <t>Effort (md)</t>
        </is>
      </c>
      <c r="C44" s="14" t="inlineStr">
        <is>
          <t>Zero: offered OOTB</t>
        </is>
      </c>
      <c r="D44" s="14" t="inlineStr"/>
    </row>
    <row r="45">
      <c r="A45" s="12" t="inlineStr">
        <is>
          <t>Integration &amp; DM scope</t>
        </is>
      </c>
      <c r="B45" s="17" t="inlineStr">
        <is>
          <t>Item</t>
        </is>
      </c>
      <c r="C45" s="12" t="inlineStr">
        <is>
          <t>Interface or data load</t>
        </is>
      </c>
      <c r="D45" s="12" t="inlineStr"/>
    </row>
    <row r="46">
      <c r="A46" s="14" t="inlineStr">
        <is>
          <t>Integration &amp; DM scope</t>
        </is>
      </c>
      <c r="B46" s="18" t="inlineStr">
        <is>
          <t>Scope</t>
        </is>
      </c>
      <c r="C46" s="14" t="inlineStr">
        <is>
          <t>Integration or Data Migration</t>
        </is>
      </c>
      <c r="D46" s="14" t="inlineStr">
        <is>
          <t>Integration scope, Data Migration scope</t>
        </is>
      </c>
    </row>
    <row r="47">
      <c r="A47" s="12" t="inlineStr">
        <is>
          <t>Integration &amp; DM scope</t>
        </is>
      </c>
      <c r="B47" s="17" t="inlineStr">
        <is>
          <t>What</t>
        </is>
      </c>
      <c r="C47" s="12" t="inlineStr">
        <is>
          <t>What is exchanged or loaded</t>
        </is>
      </c>
      <c r="D47" s="12" t="inlineStr"/>
    </row>
    <row r="48">
      <c r="A48" s="14" t="inlineStr">
        <is>
          <t>Integration &amp; DM scope</t>
        </is>
      </c>
      <c r="B48" s="18" t="inlineStr">
        <is>
          <t>Where in the FRS</t>
        </is>
      </c>
      <c r="C48" s="14" t="inlineStr">
        <is>
          <t>Annex</t>
        </is>
      </c>
      <c r="D48" s="14" t="inlineStr"/>
    </row>
    <row r="49">
      <c r="A49" s="12" t="inlineStr">
        <is>
          <t>Best practice (blue)</t>
        </is>
      </c>
      <c r="B49" s="17" t="inlineStr">
        <is>
          <t>ID</t>
        </is>
      </c>
      <c r="C49" s="12" t="inlineStr">
        <is>
          <t>Best practice</t>
        </is>
      </c>
      <c r="D49" s="12" t="inlineStr"/>
    </row>
    <row r="50">
      <c r="A50" s="14" t="inlineStr">
        <is>
          <t>Best practice (blue)</t>
        </is>
      </c>
      <c r="B50" s="18" t="inlineStr">
        <is>
          <t>Practice</t>
        </is>
      </c>
      <c r="C50" s="14" t="inlineStr">
        <is>
          <t>Insurance-broking practice</t>
        </is>
      </c>
      <c r="D50" s="14" t="inlineStr"/>
    </row>
    <row r="51">
      <c r="A51" s="12" t="inlineStr">
        <is>
          <t>Best practice (blue)</t>
        </is>
      </c>
      <c r="B51" s="17" t="inlineStr">
        <is>
          <t>Why it matters for a broker</t>
        </is>
      </c>
      <c r="C51" s="12" t="inlineStr">
        <is>
          <t>Philippine market where relevant</t>
        </is>
      </c>
      <c r="D51" s="12" t="inlineStr"/>
    </row>
    <row r="52">
      <c r="A52" s="14" t="inlineStr">
        <is>
          <t>Best practice (blue)</t>
        </is>
      </c>
      <c r="B52" s="18" t="inlineStr">
        <is>
          <t>Suggested priority</t>
        </is>
      </c>
      <c r="C52" s="14" t="inlineStr">
        <is>
          <t>High / Medium / Low</t>
        </is>
      </c>
      <c r="D52" s="14" t="inlineStr">
        <is>
          <t>High, Medium, Low</t>
        </is>
      </c>
    </row>
    <row r="53">
      <c r="A53" s="12" t="inlineStr">
        <is>
          <t>Best practice (blue)</t>
        </is>
      </c>
      <c r="B53" s="17" t="inlineStr">
        <is>
          <t>Indicative man-days</t>
        </is>
      </c>
      <c r="C53" s="12" t="inlineStr">
        <is>
          <t>Indicative; not in the CR total</t>
        </is>
      </c>
      <c r="D53" s="12" t="inlineStr"/>
    </row>
    <row r="54">
      <c r="A54" s="14" t="inlineStr">
        <is>
          <t>BRD items to deliver</t>
        </is>
      </c>
      <c r="B54" s="18" t="inlineStr">
        <is>
          <t>BRD ID</t>
        </is>
      </c>
      <c r="C54" s="14" t="inlineStr">
        <is>
          <t>BRD requirement</t>
        </is>
      </c>
      <c r="D54" s="14" t="inlineStr"/>
    </row>
    <row r="55">
      <c r="A55" s="12" t="inlineStr">
        <is>
          <t>BRD items to deliver</t>
        </is>
      </c>
      <c r="B55" s="17" t="inlineStr">
        <is>
          <t>BRD requirement</t>
        </is>
      </c>
      <c r="C55" s="12" t="inlineStr">
        <is>
          <t>Text of the BRD</t>
        </is>
      </c>
      <c r="D55" s="12" t="inlineStr"/>
    </row>
    <row r="56">
      <c r="A56" s="14" t="inlineStr">
        <is>
          <t>BRD items to deliver</t>
        </is>
      </c>
      <c r="B56" s="18" t="inlineStr">
        <is>
          <t>Fit</t>
        </is>
      </c>
      <c r="C56" s="14" t="inlineStr">
        <is>
          <t>Fit class of the fit-gap workbook</t>
        </is>
      </c>
      <c r="D56" s="14" t="inlineStr"/>
    </row>
    <row r="57">
      <c r="A57" s="12" t="inlineStr">
        <is>
          <t>BRD items to deliver</t>
        </is>
      </c>
      <c r="B57" s="17" t="inlineStr">
        <is>
          <t>What iNXT BrokerVerse offers out of the box</t>
        </is>
      </c>
      <c r="C57" s="12" t="inlineStr">
        <is>
          <t>OOTB capability</t>
        </is>
      </c>
      <c r="D57" s="12" t="inlineStr"/>
    </row>
    <row r="58">
      <c r="A58" s="14" t="inlineStr">
        <is>
          <t>BRD items to deliver</t>
        </is>
      </c>
      <c r="B58" s="18" t="inlineStr">
        <is>
          <t>Planning man-days</t>
        </is>
      </c>
      <c r="C58" s="14" t="inlineStr">
        <is>
          <t>For the points of BDOI's FRS covered by a BRD line</t>
        </is>
      </c>
      <c r="D58" s="14" t="inlineStr"/>
    </row>
  </sheetData>
  <autoFilter ref="A4:D58"/>
  <printOptions horizontalCentered="1"/>
  <pageMargins left="0.4" right="0.4" top="0.6" bottom="0.6" header="0.5" footer="0.5"/>
  <pageSetup orientation="landscape" paperSize="1" fitToHeight="0" fitToWidth="1"/>
  <headerFooter>
    <oddHeader>&amp;L&amp;8 &amp;K004EA8Change Request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0" customWidth="1" min="1" max="1"/>
    <col width="16" customWidth="1" min="2" max="2"/>
  </cols>
  <sheetData>
    <row r="1" ht="24" customHeight="1">
      <c r="A1" s="16" t="inlineStr">
        <is>
          <t>Summary</t>
        </is>
      </c>
    </row>
    <row r="2">
      <c r="A2" s="19" t="inlineStr">
        <is>
          <t>Totals of the points beyond the BRD of the FRS v1.3 (Annex Y)</t>
        </is>
      </c>
    </row>
    <row r="3" ht="6" customHeight="1">
      <c r="A3" s="20" t="n"/>
      <c r="B3" s="20" t="n"/>
    </row>
    <row r="4" ht="30" customHeight="1">
      <c r="A4" s="21" t="inlineStr">
        <is>
          <t>Item</t>
        </is>
      </c>
      <c r="B4" s="21" t="inlineStr">
        <is>
          <t>Value</t>
        </is>
      </c>
    </row>
    <row r="5">
      <c r="A5" s="12" t="inlineStr">
        <is>
          <t>Points beyond the BRD available OOTB (green, no cost)</t>
        </is>
      </c>
      <c r="B5" s="12" t="n">
        <v>1</v>
      </c>
    </row>
    <row r="6">
      <c r="A6" s="12" t="inlineStr">
        <is>
          <t>BRD requirements offered OOTB (black, in scope, no effort)</t>
        </is>
      </c>
      <c r="B6" s="12" t="n">
        <v>4</v>
      </c>
    </row>
    <row r="7">
      <c r="A7" s="12" t="inlineStr">
        <is>
          <t>Change requests (orange)</t>
        </is>
      </c>
      <c r="B7" s="12" t="n">
        <v>1</v>
      </c>
    </row>
    <row r="8">
      <c r="A8" s="12" t="inlineStr">
        <is>
          <t>Man-days: Analysis &amp; design</t>
        </is>
      </c>
      <c r="B8" s="12">
        <f>SUM('CR Effort'!L5:L5)</f>
        <v/>
      </c>
    </row>
    <row r="9">
      <c r="A9" s="12" t="inlineStr">
        <is>
          <t>Man-days: Backend</t>
        </is>
      </c>
      <c r="B9" s="12">
        <f>SUM('CR Effort'!M5:M5)</f>
        <v/>
      </c>
    </row>
    <row r="10">
      <c r="A10" s="12" t="inlineStr">
        <is>
          <t>Man-days: Frontend</t>
        </is>
      </c>
      <c r="B10" s="12">
        <f>SUM('CR Effort'!N5:N5)</f>
        <v/>
      </c>
    </row>
    <row r="11">
      <c r="A11" s="12" t="inlineStr">
        <is>
          <t>Man-days: Testing</t>
        </is>
      </c>
      <c r="B11" s="12">
        <f>SUM('CR Effort'!O5:O5)</f>
        <v/>
      </c>
    </row>
    <row r="12">
      <c r="A12" s="12" t="inlineStr">
        <is>
          <t>Man-days: Documentation / UAT support</t>
        </is>
      </c>
      <c r="B12" s="12">
        <f>SUM('CR Effort'!P5:P5)</f>
        <v/>
      </c>
    </row>
    <row r="13">
      <c r="A13" s="12" t="inlineStr">
        <is>
          <t>Total change request man-days</t>
        </is>
      </c>
      <c r="B13" s="12">
        <f>SUM('CR Effort'!Q5:Q5)</f>
        <v/>
      </c>
    </row>
    <row r="14">
      <c r="A14" s="12" t="inlineStr">
        <is>
          <t>Range low (-20%)</t>
        </is>
      </c>
      <c r="B14" s="12">
        <f>SUM('CR Effort'!R5:R5)</f>
        <v/>
      </c>
    </row>
    <row r="15">
      <c r="A15" s="12" t="inlineStr">
        <is>
          <t>Range high (+20%)</t>
        </is>
      </c>
      <c r="B15" s="12">
        <f>SUM('CR Effort'!S5:S5)</f>
        <v/>
      </c>
    </row>
    <row r="16">
      <c r="A16" s="12" t="inlineStr">
        <is>
          <t>Cost in PHP at the day rate of the Assumptions sheet</t>
        </is>
      </c>
      <c r="B16" s="12">
        <f>SUM('CR Effort'!T5:T5)</f>
        <v/>
      </c>
    </row>
    <row r="17">
      <c r="A17" s="12" t="inlineStr">
        <is>
          <t>Items covered by the Integration or Data Migration scope (no CR cost)</t>
        </is>
      </c>
      <c r="B17" s="12" t="n">
        <v>23</v>
      </c>
    </row>
    <row r="18">
      <c r="A18" s="12" t="inlineStr">
        <is>
          <t>Best-practice recommendations (blue; indicative, not in the CR total)</t>
        </is>
      </c>
      <c r="B18" s="12" t="n">
        <v>3</v>
      </c>
    </row>
    <row r="19">
      <c r="A19" s="12" t="inlineStr">
        <is>
          <t>Best-practice indicative man-days (not in the CR total)</t>
        </is>
      </c>
      <c r="B19" s="12" t="n">
        <v>14</v>
      </c>
    </row>
  </sheetData>
  <autoFilter ref="A4:B19"/>
  <mergeCells count="1">
    <mergeCell ref="A2:B2"/>
  </mergeCells>
  <conditionalFormatting sqref="A5:B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&amp;K004EA8Change Request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X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22" customWidth="1" min="3" max="3"/>
    <col width="15" customWidth="1" min="4" max="4"/>
    <col width="16" customWidth="1" min="5" max="5"/>
    <col width="26" customWidth="1" min="6" max="6"/>
    <col width="38" customWidth="1" min="7" max="7"/>
    <col width="34" customWidth="1" min="8" max="8"/>
    <col width="34" customWidth="1" min="9" max="9"/>
    <col width="34" customWidth="1" min="10" max="10"/>
    <col width="28" customWidth="1" min="11" max="11"/>
    <col width="10" customWidth="1" min="12" max="12"/>
    <col width="10" customWidth="1" min="13" max="13"/>
    <col width="10" customWidth="1" min="14" max="14"/>
    <col width="10" customWidth="1" min="15" max="15"/>
    <col width="10" customWidth="1" min="16" max="16"/>
    <col width="10" customWidth="1" min="17" max="17"/>
    <col width="9" customWidth="1" min="18" max="18"/>
    <col width="9" customWidth="1" min="19" max="19"/>
    <col width="13" customWidth="1" min="20" max="20"/>
    <col width="11" customWidth="1" min="21" max="21"/>
    <col width="10" customWidth="1" min="22" max="22"/>
    <col width="26" customWidth="1" min="23" max="23"/>
    <col width="34" customWidth="1" min="24" max="24"/>
  </cols>
  <sheetData>
    <row r="1" ht="24" customHeight="1">
      <c r="A1" s="16" t="inlineStr">
        <is>
          <t>CR Effort</t>
        </is>
      </c>
    </row>
    <row r="2">
      <c r="A2" s="19" t="inlineStr">
        <is>
          <t>One row per orange point of the FRS v1.3 (Annex Y.2), effort in man-days</t>
        </is>
      </c>
    </row>
    <row r="3" ht="6"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row>
    <row r="4" ht="30" customHeight="1">
      <c r="A4" s="21" t="inlineStr">
        <is>
          <t>CR No.</t>
        </is>
      </c>
      <c r="B4" s="21" t="inlineStr">
        <is>
          <t>Title</t>
        </is>
      </c>
      <c r="C4" s="21" t="inlineStr">
        <is>
          <t>FRS reference</t>
        </is>
      </c>
      <c r="D4" s="21" t="inlineStr">
        <is>
          <t>BRD reference</t>
        </is>
      </c>
      <c r="E4" s="21" t="inlineStr">
        <is>
          <t>BRD relation</t>
        </is>
      </c>
      <c r="F4" s="21" t="inlineStr">
        <is>
          <t>Where the point comes from</t>
        </is>
      </c>
      <c r="G4" s="21" t="inlineStr">
        <is>
          <t>Why needed</t>
        </is>
      </c>
      <c r="H4" s="21" t="inlineStr">
        <is>
          <t>Feature List ID / OOTB status</t>
        </is>
      </c>
      <c r="I4" s="21" t="inlineStr">
        <is>
          <t>OOTB evidence</t>
        </is>
      </c>
      <c r="J4" s="21" t="inlineStr">
        <is>
          <t>Effort covers</t>
        </is>
      </c>
      <c r="K4" s="21" t="inlineStr">
        <is>
          <t>Estimate basis</t>
        </is>
      </c>
      <c r="L4" s="21" t="inlineStr">
        <is>
          <t>Analysis &amp; design (md)</t>
        </is>
      </c>
      <c r="M4" s="21" t="inlineStr">
        <is>
          <t>Backend (md)</t>
        </is>
      </c>
      <c r="N4" s="21" t="inlineStr">
        <is>
          <t>Frontend (md)</t>
        </is>
      </c>
      <c r="O4" s="21" t="inlineStr">
        <is>
          <t>Testing (md)</t>
        </is>
      </c>
      <c r="P4" s="21" t="inlineStr">
        <is>
          <t>Documentation / UAT support (md)</t>
        </is>
      </c>
      <c r="Q4" s="21" t="inlineStr">
        <is>
          <t>Total (md)</t>
        </is>
      </c>
      <c r="R4" s="21" t="inlineStr">
        <is>
          <t>Low (-20%)</t>
        </is>
      </c>
      <c r="S4" s="21" t="inlineStr">
        <is>
          <t>High (+20%)</t>
        </is>
      </c>
      <c r="T4" s="21" t="inlineStr">
        <is>
          <t>Cost (PHP)</t>
        </is>
      </c>
      <c r="U4" s="21" t="inlineStr">
        <is>
          <t>Complexity</t>
        </is>
      </c>
      <c r="V4" s="21" t="inlineStr">
        <is>
          <t>Priority</t>
        </is>
      </c>
      <c r="W4" s="21" t="inlineStr">
        <is>
          <t>Dependencies</t>
        </is>
      </c>
      <c r="X4" s="21" t="inlineStr">
        <is>
          <t>Assumptions</t>
        </is>
      </c>
    </row>
    <row r="5">
      <c r="A5" s="12" t="inlineStr">
        <is>
          <t>CR-PM-101</t>
        </is>
      </c>
      <c r="B5" s="12" t="inlineStr">
        <is>
          <t>Accessibility of the Product Maintenance screens (WCAG 2.2 level AA)</t>
        </is>
      </c>
      <c r="C5" s="12" t="inlineStr">
        <is>
          <t>Annex T, T-15</t>
        </is>
      </c>
      <c r="D5" s="12" t="inlineStr">
        <is>
          <t>Not in BRD</t>
        </is>
      </c>
      <c r="E5" s="12" t="inlineStr">
        <is>
          <t>Not in any BRD</t>
        </is>
      </c>
      <c r="F5" s="12" t="inlineStr">
        <is>
          <t>Programme register of non-functional requirements (NFR-ACC-01, NFR-ACC-02), proposed in FRS v1.2 Annex T</t>
        </is>
      </c>
      <c r="G5" s="12" t="inlineStr">
        <is>
          <t>No BDOI BRD asks for an accessibility level; the programme register proposes WCAG 2.2 AA so that keyboard and screen-reader users can work in the module.</t>
        </is>
      </c>
      <c r="H5" s="12" t="inlineStr">
        <is>
          <t>NFR-021 Partial (contrast checked to WCAG AA in the theme; no accessibility statement or full WCAG audit)</t>
        </is>
      </c>
      <c r="I5" s="12" t="inlineStr">
        <is>
          <t>Branding: contrast check only; no WCAG audit</t>
        </is>
      </c>
      <c r="J5" s="12" t="inlineStr">
        <is>
          <t>Partial in BrokerVerse OOTB; the effort covers the missing part only: the WCAG 2.2 AA check and fixes of the module screens.</t>
        </is>
      </c>
      <c r="K5" s="12" t="inlineStr">
        <is>
          <t>Product Maintenance screens: 35 screen files, about 3,800 lines.</t>
        </is>
      </c>
      <c r="L5" s="22" t="n">
        <v>1.5</v>
      </c>
      <c r="M5" s="22" t="n">
        <v>0</v>
      </c>
      <c r="N5" s="22" t="n">
        <v>6</v>
      </c>
      <c r="O5" s="22" t="n">
        <v>3</v>
      </c>
      <c r="P5" s="22" t="n">
        <v>1</v>
      </c>
      <c r="Q5" s="22">
        <f>SUM(L5:P5)</f>
        <v/>
      </c>
      <c r="R5" s="22">
        <f>ROUND(Q5*(1-Assumptions!$B$6),1)</f>
        <v/>
      </c>
      <c r="S5" s="22">
        <f>ROUND(Q5*(1+Assumptions!$B$6),1)</f>
        <v/>
      </c>
      <c r="T5" s="23">
        <f>Q5*Assumptions!$B$7</f>
        <v/>
      </c>
      <c r="U5" s="12" t="inlineStr">
        <is>
          <t>Medium</t>
        </is>
      </c>
      <c r="V5" s="12" t="inlineStr">
        <is>
          <t>Low</t>
        </is>
      </c>
      <c r="W5" s="12" t="inlineStr">
        <is>
          <t>BDOI's decision on the accessibility level (Annex V, PQ18)</t>
        </is>
      </c>
      <c r="X5" s="12" t="inlineStr">
        <is>
          <t>Check and fixes on the 35 Product Maintenance screen files (about 3,800 lines) and the product master screens; no redesign.</t>
        </is>
      </c>
    </row>
    <row r="6">
      <c r="A6" s="12" t="inlineStr">
        <is>
          <t>Total</t>
        </is>
      </c>
      <c r="B6" s="12" t="inlineStr">
        <is>
          <t>1 change requests</t>
        </is>
      </c>
      <c r="C6" s="12" t="n"/>
      <c r="D6" s="12" t="n"/>
      <c r="E6" s="12" t="n"/>
      <c r="F6" s="12" t="n"/>
      <c r="G6" s="12" t="n"/>
      <c r="H6" s="12" t="n"/>
      <c r="I6" s="12" t="n"/>
      <c r="J6" s="12" t="n"/>
      <c r="K6" s="12" t="n"/>
      <c r="L6" s="22">
        <f>SUM(L5:L5)</f>
        <v/>
      </c>
      <c r="M6" s="22">
        <f>SUM(M5:M5)</f>
        <v/>
      </c>
      <c r="N6" s="22">
        <f>SUM(N5:N5)</f>
        <v/>
      </c>
      <c r="O6" s="22">
        <f>SUM(O5:O5)</f>
        <v/>
      </c>
      <c r="P6" s="22">
        <f>SUM(P5:P5)</f>
        <v/>
      </c>
      <c r="Q6" s="22">
        <f>SUM(Q5:Q5)</f>
        <v/>
      </c>
      <c r="R6" s="22">
        <f>SUM(R5:R5)</f>
        <v/>
      </c>
      <c r="S6" s="22">
        <f>SUM(S5:S5)</f>
        <v/>
      </c>
      <c r="T6" s="23">
        <f>SUM(T5:T5)</f>
        <v/>
      </c>
      <c r="U6" s="12" t="n"/>
      <c r="V6" s="12" t="n"/>
      <c r="W6" s="12" t="n"/>
      <c r="X6" s="12" t="n"/>
    </row>
  </sheetData>
  <autoFilter ref="A4:X6"/>
  <mergeCells count="1">
    <mergeCell ref="A2:X2"/>
  </mergeCells>
  <conditionalFormatting sqref="A5:X506">
    <cfRule type="expression" priority="1" dxfId="0">
      <formula>AND(MOD(ROW(),2)=0,$A5&lt;&gt;"")</formula>
    </cfRule>
  </conditionalFormatting>
  <dataValidations count="3">
    <dataValidation sqref="E5:E506" showDropDown="0" showInputMessage="0" showErrorMessage="1" allowBlank="1" errorTitle="BRD relation" error="Choose a value from the list (BRD relation)." type="list">
      <formula1>'Lists'!$A$2:$A$3</formula1>
    </dataValidation>
    <dataValidation sqref="U5:U506" showDropDown="0" showInputMessage="0" showErrorMessage="1" allowBlank="1" errorTitle="Complexity" error="Choose a value from the list (Complexity)." type="list">
      <formula1>'Lists'!$B$2:$B$4</formula1>
    </dataValidation>
    <dataValidation sqref="V5:V506" showDropDown="0" showInputMessage="0" showErrorMessage="1" allowBlank="1" errorTitle="Priority" error="Choose a value from the list (Priority)." type="list">
      <formula1>'Lists'!$C$2:$C$4</formula1>
    </dataValidation>
  </dataValidations>
  <printOptions horizontalCentered="1"/>
  <pageMargins left="0.4" right="0.4" top="0.6" bottom="0.6" header="0.5" footer="0.5"/>
  <pageSetup orientation="landscape" paperSize="1" fitToHeight="0" fitToWidth="1"/>
  <headerFooter>
    <oddHeader>&amp;L&amp;8 &amp;K004EA8Change Request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16" customWidth="1" min="3" max="3"/>
    <col width="34" customWidth="1" min="4" max="4"/>
    <col width="40" customWidth="1" min="5" max="5"/>
    <col width="12" customWidth="1" min="6" max="6"/>
    <col width="10" customWidth="1" min="7" max="7"/>
  </cols>
  <sheetData>
    <row r="1" ht="24" customHeight="1">
      <c r="A1" s="16" t="inlineStr">
        <is>
          <t>Beyond the BRD - OOTB</t>
        </is>
      </c>
    </row>
    <row r="2">
      <c r="A2" s="19" t="inlineStr">
        <is>
          <t>Points beyond the BRD that the iNXT BrokerVerse OOTB platform provides (green): no cost</t>
        </is>
      </c>
    </row>
    <row r="3" ht="6" customHeight="1">
      <c r="A3" s="20" t="n"/>
      <c r="B3" s="20" t="n"/>
      <c r="C3" s="20" t="n"/>
      <c r="D3" s="20" t="n"/>
      <c r="E3" s="20" t="n"/>
      <c r="F3" s="20" t="n"/>
      <c r="G3" s="20" t="n"/>
    </row>
    <row r="4" ht="30" customHeight="1">
      <c r="A4" s="21" t="inlineStr">
        <is>
          <t>No.</t>
        </is>
      </c>
      <c r="B4" s="21" t="inlineStr">
        <is>
          <t>Point</t>
        </is>
      </c>
      <c r="C4" s="21" t="inlineStr">
        <is>
          <t>FRS reference</t>
        </is>
      </c>
      <c r="D4" s="21" t="inlineStr">
        <is>
          <t>Feature List ID / OOTB status</t>
        </is>
      </c>
      <c r="E4" s="21" t="inlineStr">
        <is>
          <t>OOTB evidence</t>
        </is>
      </c>
      <c r="F4" s="21" t="inlineStr">
        <is>
          <t>BRD reference</t>
        </is>
      </c>
      <c r="G4" s="21" t="inlineStr">
        <is>
          <t>Cost (md)</t>
        </is>
      </c>
    </row>
    <row r="5">
      <c r="A5" s="12" t="inlineStr">
        <is>
          <t>G-02</t>
        </is>
      </c>
      <c r="B5" s="12" t="inlineStr">
        <is>
          <t>Premium Calculator on the package rate scheme</t>
        </is>
      </c>
      <c r="C5" s="12" t="inlineStr">
        <is>
          <t>FRPM.002.01</t>
        </is>
      </c>
      <c r="D5" s="12" t="inlineStr">
        <is>
          <t>PRD-005 Available</t>
        </is>
      </c>
      <c r="E5" s="12" t="inlineStr">
        <is>
          <t>Product Configurator &gt; Rating Engine: premium calculation</t>
        </is>
      </c>
      <c r="F5" s="12" t="inlineStr">
        <is>
          <t>Not in BRD</t>
        </is>
      </c>
      <c r="G5" s="12" t="n">
        <v>0</v>
      </c>
    </row>
  </sheetData>
  <autoFilter ref="A4:G5"/>
  <mergeCells count="1">
    <mergeCell ref="A2:G2"/>
  </mergeCells>
  <conditionalFormatting sqref="A5:G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&amp;K004EA8Change Request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G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16" customWidth="1" min="3" max="3"/>
    <col width="60" customWidth="1" min="4" max="4"/>
    <col width="34" customWidth="1" min="5" max="5"/>
    <col width="40" customWidth="1" min="6" max="6"/>
    <col width="10" customWidth="1" min="7" max="7"/>
  </cols>
  <sheetData>
    <row r="1" ht="24" customHeight="1">
      <c r="A1" s="16" t="inlineStr">
        <is>
          <t>BRD covered - OOTB</t>
        </is>
      </c>
    </row>
    <row r="2">
      <c r="A2" s="19" t="inlineStr">
        <is>
          <t>BRD requirements (black in the FRS, in scope) that the iNXT BrokerVerse OOTB platform provides: no change request, no effort</t>
        </is>
      </c>
    </row>
    <row r="3" ht="6" customHeight="1">
      <c r="A3" s="20" t="n"/>
      <c r="B3" s="20" t="n"/>
      <c r="C3" s="20" t="n"/>
      <c r="D3" s="20" t="n"/>
      <c r="E3" s="20" t="n"/>
      <c r="F3" s="20" t="n"/>
      <c r="G3" s="20" t="n"/>
    </row>
    <row r="4" ht="30" customHeight="1">
      <c r="A4" s="21" t="inlineStr">
        <is>
          <t>No.</t>
        </is>
      </c>
      <c r="B4" s="21" t="inlineStr">
        <is>
          <t>Point</t>
        </is>
      </c>
      <c r="C4" s="21" t="inlineStr">
        <is>
          <t>FRS reference</t>
        </is>
      </c>
      <c r="D4" s="21" t="inlineStr">
        <is>
          <t>BRD line</t>
        </is>
      </c>
      <c r="E4" s="21" t="inlineStr">
        <is>
          <t>Feature List ID / OOTB status</t>
        </is>
      </c>
      <c r="F4" s="21" t="inlineStr">
        <is>
          <t>OOTB evidence</t>
        </is>
      </c>
      <c r="G4" s="21" t="inlineStr">
        <is>
          <t>Effort (md)</t>
        </is>
      </c>
    </row>
    <row r="5">
      <c r="A5" s="12" t="inlineStr">
        <is>
          <t>G-01</t>
        </is>
      </c>
      <c r="B5" s="12" t="inlineStr">
        <is>
          <t>TSU Workbench with the TSU queues by stage (team worklist)</t>
        </is>
      </c>
      <c r="C5" s="12" t="inlineStr">
        <is>
          <t>FRPM.002.01</t>
        </is>
      </c>
      <c r="D5" s="12" t="inlineStr">
        <is>
          <t>BRPM.011 "Facility to allow User to receive and view requests for product creation, amend, updating, or deletion" ("The system displays all incoming requests with relevant details"); BRPM.019 "Dashboard for real-time tracking and reporting" ("Dashboard displays request status")</t>
        </is>
      </c>
      <c r="E5" s="12" t="inlineStr">
        <is>
          <t>WFL-005 Available</t>
        </is>
      </c>
      <c r="F5" s="12" t="inlineStr">
        <is>
          <t>My Work: personal and team worklists</t>
        </is>
      </c>
      <c r="G5" s="12" t="n">
        <v>0</v>
      </c>
    </row>
    <row r="6">
      <c r="A6" s="12" t="inlineStr">
        <is>
          <t>G-03</t>
        </is>
      </c>
      <c r="B6" s="12" t="inlineStr">
        <is>
          <t>Report exported to PDF, Excel and CSV, every run logged</t>
        </is>
      </c>
      <c r="C6" s="12" t="inlineStr">
        <is>
          <t>FRPM.019.01</t>
        </is>
      </c>
      <c r="D6" s="12" t="inlineStr">
        <is>
          <t>BRPM.018 "Reports are exportable in standard formats (PDF, Excel) for sharing or archiving"; "All report generation actions are logged for audit and traceability"</t>
        </is>
      </c>
      <c r="E6" s="12" t="inlineStr">
        <is>
          <t>RPT-011 Available; RPT-003 Partial (PDF, Excel and CSV available; Word and text exports, not asked here, are the missing part)</t>
        </is>
      </c>
      <c r="F6" s="12" t="inlineStr">
        <is>
          <t>Reports: exports and history of produced files</t>
        </is>
      </c>
      <c r="G6" s="12" t="n">
        <v>0</v>
      </c>
    </row>
    <row r="7">
      <c r="A7" s="12" t="inlineStr">
        <is>
          <t>G-04</t>
        </is>
      </c>
      <c r="B7" s="12" t="inlineStr">
        <is>
          <t>E-mail log with recipient, time, subject and attachment</t>
        </is>
      </c>
      <c r="C7" s="12" t="inlineStr">
        <is>
          <t>FRPM.021.01</t>
        </is>
      </c>
      <c r="D7" s="12" t="inlineStr">
        <is>
          <t>BRPM.024 "Ensure audit trail for all actions and changes" ("System logs all actions (creation, edits, approvals, sharing) for traceability"); the advisory e-mails of the BRD are a sharing action</t>
        </is>
      </c>
      <c r="E7" s="12" t="inlineStr">
        <is>
          <t>WFL-011 Available</t>
        </is>
      </c>
      <c r="F7" s="12" t="inlineStr">
        <is>
          <t>E-mail outbox with the status of each e-mail</t>
        </is>
      </c>
      <c r="G7" s="12" t="n">
        <v>0</v>
      </c>
    </row>
    <row r="8">
      <c r="A8" s="12" t="inlineStr">
        <is>
          <t>G-05</t>
        </is>
      </c>
      <c r="B8" s="12" t="inlineStr">
        <is>
          <t>Old and new field values of changed master records</t>
        </is>
      </c>
      <c r="C8" s="12" t="inlineStr">
        <is>
          <t>FRPM.021.01; Annex M.5</t>
        </is>
      </c>
      <c r="D8" s="12" t="inlineStr">
        <is>
          <t>BRPM.024 "Ensure audit trail for all actions and changes" ("Users can review a complete audit trail for any request or document"); programme NFR 4.01 "account changes" and 4.03 "Access and updates of customer records" (Collections, Claims, ReInsurance addenda)</t>
        </is>
      </c>
      <c r="E8" s="12" t="inlineStr">
        <is>
          <t>ADM-012 Available</t>
        </is>
      </c>
      <c r="F8" s="12" t="inlineStr">
        <is>
          <t>Audit trail: before and after values of every change</t>
        </is>
      </c>
      <c r="G8" s="12" t="n">
        <v>0</v>
      </c>
    </row>
  </sheetData>
  <autoFilter ref="A4:G8"/>
  <mergeCells count="1">
    <mergeCell ref="A2:G2"/>
  </mergeCells>
  <conditionalFormatting sqref="A5:G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&amp;K004EA8Change Request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0" customWidth="1" min="2" max="2"/>
    <col width="60" customWidth="1" min="3" max="3"/>
    <col width="22" customWidth="1" min="4" max="4"/>
  </cols>
  <sheetData>
    <row r="1" ht="24" customHeight="1">
      <c r="A1" s="16" t="inlineStr">
        <is>
          <t>Integration &amp; DM scope</t>
        </is>
      </c>
    </row>
    <row r="2">
      <c r="A2" s="19" t="inlineStr">
        <is>
          <t>Covered by the Integration scope or the Data Migration scope (BRD-13): no CR cost here</t>
        </is>
      </c>
    </row>
    <row r="3" ht="6" customHeight="1">
      <c r="A3" s="20" t="n"/>
      <c r="B3" s="20" t="n"/>
      <c r="C3" s="20" t="n"/>
      <c r="D3" s="20" t="n"/>
    </row>
    <row r="4" ht="30" customHeight="1">
      <c r="A4" s="21" t="inlineStr">
        <is>
          <t>Item</t>
        </is>
      </c>
      <c r="B4" s="21" t="inlineStr">
        <is>
          <t>Scope</t>
        </is>
      </c>
      <c r="C4" s="21" t="inlineStr">
        <is>
          <t>What</t>
        </is>
      </c>
      <c r="D4" s="21" t="inlineStr">
        <is>
          <t>Where in the FRS</t>
        </is>
      </c>
    </row>
    <row r="5">
      <c r="A5" s="12" t="inlineStr">
        <is>
          <t>IN-01 New Business (BRD-01)</t>
        </is>
      </c>
      <c r="B5" s="12" t="inlineStr">
        <is>
          <t>Integration scope</t>
        </is>
      </c>
      <c r="C5" s="12" t="inlineStr">
        <is>
          <t>Products and their flags, the latest approved rate scheme of each package, rate exceptions, incentive indicators</t>
        </is>
      </c>
      <c r="D5" s="12" t="inlineStr">
        <is>
          <t>FRS Annex S</t>
        </is>
      </c>
    </row>
    <row r="6">
      <c r="A6" s="12" t="inlineStr">
        <is>
          <t>IN-02 New Business (BRD-01): client master</t>
        </is>
      </c>
      <c r="B6" s="12" t="inlineStr">
        <is>
          <t>Integration scope</t>
        </is>
      </c>
      <c r="C6" s="12" t="inlineStr">
        <is>
          <t>Client look-up on client-specific package requests</t>
        </is>
      </c>
      <c r="D6" s="12" t="inlineStr">
        <is>
          <t>FRS Annex S</t>
        </is>
      </c>
    </row>
    <row r="7">
      <c r="A7" s="12" t="inlineStr">
        <is>
          <t>IN-03 New Business (BRD-01): non-package requests</t>
        </is>
      </c>
      <c r="B7" s="12" t="inlineStr">
        <is>
          <t>Integration scope</t>
        </is>
      </c>
      <c r="C7" s="12" t="inlineStr">
        <is>
          <t>Quotation requests, Quotation Slips, proposals and client responses (BDOI's FRPM.005 to FRPM.010)</t>
        </is>
      </c>
      <c r="D7" s="12" t="inlineStr">
        <is>
          <t>FRS Annex S</t>
        </is>
      </c>
    </row>
    <row r="8">
      <c r="A8" s="12" t="inlineStr">
        <is>
          <t>IN-04 Operations (BRD-02)</t>
        </is>
      </c>
      <c r="B8" s="12" t="inlineStr">
        <is>
          <t>Integration scope</t>
        </is>
      </c>
      <c r="C8" s="12" t="inlineStr">
        <is>
          <t>Package version for endorsement re-rating; incentive codes for commission</t>
        </is>
      </c>
      <c r="D8" s="12" t="inlineStr">
        <is>
          <t>FRS Annex S</t>
        </is>
      </c>
    </row>
    <row r="9">
      <c r="A9" s="12" t="inlineStr">
        <is>
          <t>IN-05 Renewal (BRD-06)</t>
        </is>
      </c>
      <c r="B9" s="12" t="inlineStr">
        <is>
          <t>Integration scope</t>
        </is>
      </c>
      <c r="C9" s="12" t="inlineStr">
        <is>
          <t>Package version of the expiring account</t>
        </is>
      </c>
      <c r="D9" s="12" t="inlineStr">
        <is>
          <t>FRS Annex S</t>
        </is>
      </c>
    </row>
    <row r="10">
      <c r="A10" s="12" t="inlineStr">
        <is>
          <t>IN-06 User Access Maintenance (BRD-11)</t>
        </is>
      </c>
      <c r="B10" s="12" t="inlineStr">
        <is>
          <t>Integration scope</t>
        </is>
      </c>
      <c r="C10" s="12" t="inlineStr">
        <is>
          <t>Users, roles, sign-in through BDO sign-in (Entra ID)</t>
        </is>
      </c>
      <c r="D10" s="12" t="inlineStr">
        <is>
          <t>FRS Annex S</t>
        </is>
      </c>
    </row>
    <row r="11">
      <c r="A11" s="12" t="inlineStr">
        <is>
          <t>IN-07 Data Migration (BRD-13)</t>
        </is>
      </c>
      <c r="B11" s="12" t="inlineStr">
        <is>
          <t>Integration scope</t>
        </is>
      </c>
      <c r="C11" s="12" t="inlineStr">
        <is>
          <t>Go-live product masters, insurers, commission rates; package map of legacy packages</t>
        </is>
      </c>
      <c r="D11" s="12" t="inlineStr">
        <is>
          <t>FRS Annex S</t>
        </is>
      </c>
    </row>
    <row r="12">
      <c r="A12" s="12" t="inlineStr">
        <is>
          <t>IN-08 E-mail channel of BDOI (Microsoft 365 or CCM)</t>
        </is>
      </c>
      <c r="B12" s="12" t="inlineStr">
        <is>
          <t>Integration scope</t>
        </is>
      </c>
      <c r="C12" s="12" t="inlineStr">
        <is>
          <t>Quotation Slips, advisories, ManCom notices, password e-mails</t>
        </is>
      </c>
      <c r="D12" s="12" t="inlineStr">
        <is>
          <t>FRS Annex S</t>
        </is>
      </c>
    </row>
    <row r="13">
      <c r="A13" s="12" t="inlineStr">
        <is>
          <t>IN-09 Insurers</t>
        </is>
      </c>
      <c r="B13" s="12" t="inlineStr">
        <is>
          <t>Integration scope</t>
        </is>
      </c>
      <c r="C13" s="12" t="inlineStr">
        <is>
          <t>Protected Quotation Slips; replies received by e-mail and keyed in</t>
        </is>
      </c>
      <c r="D13" s="12" t="inlineStr">
        <is>
          <t>FRS Annex S</t>
        </is>
      </c>
    </row>
    <row r="14">
      <c r="A14" s="12" t="inlineStr">
        <is>
          <t>IN-10 Document store (ECM)</t>
        </is>
      </c>
      <c r="B14" s="12" t="inlineStr">
        <is>
          <t>Integration scope</t>
        </is>
      </c>
      <c r="C14" s="12" t="inlineStr">
        <is>
          <t>Package documents and attachments</t>
        </is>
      </c>
      <c r="D14" s="12" t="inlineStr">
        <is>
          <t>FRS Annex S</t>
        </is>
      </c>
    </row>
    <row r="15">
      <c r="A15" s="12" t="inlineStr">
        <is>
          <t>IN-11 Other BDOI systems (to be named)</t>
        </is>
      </c>
      <c r="B15" s="12" t="inlineStr">
        <is>
          <t>Integration scope</t>
        </is>
      </c>
      <c r="C15" s="12" t="inlineStr">
        <is>
          <t>Product master changes (package added, updated, deactivated or expired: product, version, effective date, request, status) in the file ProductMaster_yyyyMMddHHmmss.csv</t>
        </is>
      </c>
      <c r="D15" s="12" t="inlineStr">
        <is>
          <t>FRS Annex S</t>
        </is>
      </c>
    </row>
    <row r="16">
      <c r="A16" s="12" t="inlineStr">
        <is>
          <t>U-01</t>
        </is>
      </c>
      <c r="B16" s="12" t="inlineStr">
        <is>
          <t>Data Migration scope</t>
        </is>
      </c>
      <c r="C16" s="12" t="inlineStr">
        <is>
          <t>Lists of values and parameters of Product Maintenance (request reasons, response outcomes, alert days, service levels, numbering prefixes)</t>
        </is>
      </c>
      <c r="D16" s="12" t="inlineStr">
        <is>
          <t>FRS Annex U</t>
        </is>
      </c>
    </row>
    <row r="17">
      <c r="A17" s="12" t="inlineStr">
        <is>
          <t>U-02</t>
        </is>
      </c>
      <c r="B17" s="12" t="inlineStr">
        <is>
          <t>Data Migration scope</t>
        </is>
      </c>
      <c r="C17" s="12" t="inlineStr">
        <is>
          <t>Product lines, cover types / sub-lines and products (risk codes)</t>
        </is>
      </c>
      <c r="D17" s="12" t="inlineStr">
        <is>
          <t>FRS Annex U</t>
        </is>
      </c>
    </row>
    <row r="18">
      <c r="A18" s="12" t="inlineStr">
        <is>
          <t>U-03</t>
        </is>
      </c>
      <c r="B18" s="12" t="inlineStr">
        <is>
          <t>Data Migration scope</t>
        </is>
      </c>
      <c r="C18" s="12" t="inlineStr">
        <is>
          <t>Coverages, perils and field rules per line</t>
        </is>
      </c>
      <c r="D18" s="12" t="inlineStr">
        <is>
          <t>FRS Annex U</t>
        </is>
      </c>
    </row>
    <row r="19">
      <c r="A19" s="12" t="inlineStr">
        <is>
          <t>U-04</t>
        </is>
      </c>
      <c r="B19" s="12" t="inlineStr">
        <is>
          <t>Data Migration scope</t>
        </is>
      </c>
      <c r="C19" s="12" t="inlineStr">
        <is>
          <t>Clause library (warranties, clauses, exclusions, deductible wordings)</t>
        </is>
      </c>
      <c r="D19" s="12" t="inlineStr">
        <is>
          <t>FRS Annex U</t>
        </is>
      </c>
    </row>
    <row r="20">
      <c r="A20" s="12" t="inlineStr">
        <is>
          <t>U-05</t>
        </is>
      </c>
      <c r="B20" s="12" t="inlineStr">
        <is>
          <t>Data Migration scope</t>
        </is>
      </c>
      <c r="C20" s="12" t="inlineStr">
        <is>
          <t>Rate tables and statutory charges</t>
        </is>
      </c>
      <c r="D20" s="12" t="inlineStr">
        <is>
          <t>FRS Annex U</t>
        </is>
      </c>
    </row>
    <row r="21">
      <c r="A21" s="12" t="inlineStr">
        <is>
          <t>U-06</t>
        </is>
      </c>
      <c r="B21" s="12" t="inlineStr">
        <is>
          <t>Data Migration scope</t>
        </is>
      </c>
      <c r="C21" s="12" t="inlineStr">
        <is>
          <t>Insurers, insurer branches and placement e-mails</t>
        </is>
      </c>
      <c r="D21" s="12" t="inlineStr">
        <is>
          <t>FRS Annex U</t>
        </is>
      </c>
    </row>
    <row r="22">
      <c r="A22" s="12" t="inlineStr">
        <is>
          <t>U-07</t>
        </is>
      </c>
      <c r="B22" s="12" t="inlineStr">
        <is>
          <t>Data Migration scope</t>
        </is>
      </c>
      <c r="C22" s="12" t="inlineStr">
        <is>
          <t>Commission rates by insurer and product</t>
        </is>
      </c>
      <c r="D22" s="12" t="inlineStr">
        <is>
          <t>FRS Annex U</t>
        </is>
      </c>
    </row>
    <row r="23">
      <c r="A23" s="12" t="inlineStr">
        <is>
          <t>U-08</t>
        </is>
      </c>
      <c r="B23" s="12" t="inlineStr">
        <is>
          <t>Data Migration scope</t>
        </is>
      </c>
      <c r="C23" s="12" t="inlineStr">
        <is>
          <t>Packages in force at go-live (set up through package requests, not loaded)</t>
        </is>
      </c>
      <c r="D23" s="12" t="inlineStr">
        <is>
          <t>FRS Annex U</t>
        </is>
      </c>
    </row>
    <row r="24">
      <c r="A24" s="12" t="inlineStr">
        <is>
          <t>U-09</t>
        </is>
      </c>
      <c r="B24" s="12" t="inlineStr">
        <is>
          <t>Data Migration scope</t>
        </is>
      </c>
      <c r="C24" s="12" t="inlineStr">
        <is>
          <t>Package map (legacy package to BIBS package version)</t>
        </is>
      </c>
      <c r="D24" s="12" t="inlineStr">
        <is>
          <t>FRS Annex U</t>
        </is>
      </c>
    </row>
    <row r="25">
      <c r="A25" s="12" t="inlineStr">
        <is>
          <t>U-10</t>
        </is>
      </c>
      <c r="B25" s="12" t="inlineStr">
        <is>
          <t>Data Migration scope</t>
        </is>
      </c>
      <c r="C25" s="12" t="inlineStr">
        <is>
          <t>Document templates of the package documents</t>
        </is>
      </c>
      <c r="D25" s="12" t="inlineStr">
        <is>
          <t>FRS Annex U</t>
        </is>
      </c>
    </row>
    <row r="26">
      <c r="A26" s="12" t="inlineStr">
        <is>
          <t>U-11</t>
        </is>
      </c>
      <c r="B26" s="12" t="inlineStr">
        <is>
          <t>Data Migration scope</t>
        </is>
      </c>
      <c r="C26" s="12" t="inlineStr">
        <is>
          <t>Incentive rules (CPC2 and others)</t>
        </is>
      </c>
      <c r="D26" s="12" t="inlineStr">
        <is>
          <t>FRS Annex U</t>
        </is>
      </c>
    </row>
    <row r="27">
      <c r="A27" s="12" t="inlineStr">
        <is>
          <t>U-12</t>
        </is>
      </c>
      <c r="B27" s="12" t="inlineStr">
        <is>
          <t>Data Migration scope</t>
        </is>
      </c>
      <c r="C27" s="12" t="inlineStr">
        <is>
          <t>Users and roles of the module; ManCom approver list</t>
        </is>
      </c>
      <c r="D27" s="12" t="inlineStr">
        <is>
          <t>FRS Annex U</t>
        </is>
      </c>
    </row>
  </sheetData>
  <autoFilter ref="A4:D27"/>
  <mergeCells count="1">
    <mergeCell ref="A2:D2"/>
  </mergeCells>
  <conditionalFormatting sqref="A5:D527">
    <cfRule type="expression" priority="1" dxfId="0">
      <formula>AND(MOD(ROW(),2)=0,$A5&lt;&gt;"")</formula>
    </cfRule>
  </conditionalFormatting>
  <dataValidations count="1">
    <dataValidation sqref="B5:B527" showDropDown="0" showInputMessage="0" showErrorMessage="1" allowBlank="1" errorTitle="Scope" error="Choose a value from the list (Scope)." type="list">
      <formula1>'Lists'!$D$2:$D$3</formula1>
    </dataValidation>
  </dataValidations>
  <printOptions horizontalCentered="1"/>
  <pageMargins left="0.4" right="0.4" top="0.6" bottom="0.6" header="0.5" footer="0.5"/>
  <pageSetup orientation="landscape" paperSize="1" fitToHeight="0" fitToWidth="1"/>
  <headerFooter>
    <oddHeader>&amp;L&amp;8 &amp;K004EA8Change Request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60" customWidth="1" min="2" max="2"/>
    <col width="60" customWidth="1" min="3" max="3"/>
    <col width="12" customWidth="1" min="4" max="4"/>
    <col width="12" customWidth="1" min="5" max="5"/>
  </cols>
  <sheetData>
    <row r="1" ht="24" customHeight="1">
      <c r="A1" s="16" t="inlineStr">
        <is>
          <t>Best practice (blue)</t>
        </is>
      </c>
    </row>
    <row r="2">
      <c r="A2" s="19" t="inlineStr">
        <is>
          <t>Not in the BRD, the FRS or the OOTB platform: recommendations (Annex Y.6), not commitments</t>
        </is>
      </c>
    </row>
    <row r="3" ht="6" customHeight="1">
      <c r="A3" s="20" t="n"/>
      <c r="B3" s="20" t="n"/>
      <c r="C3" s="20" t="n"/>
      <c r="D3" s="20" t="n"/>
      <c r="E3" s="20" t="n"/>
    </row>
    <row r="4" ht="30" customHeight="1">
      <c r="A4" s="21" t="inlineStr">
        <is>
          <t>ID</t>
        </is>
      </c>
      <c r="B4" s="21" t="inlineStr">
        <is>
          <t>Practice</t>
        </is>
      </c>
      <c r="C4" s="21" t="inlineStr">
        <is>
          <t>Why it matters for a broker</t>
        </is>
      </c>
      <c r="D4" s="21" t="inlineStr">
        <is>
          <t>Suggested priority</t>
        </is>
      </c>
      <c r="E4" s="21" t="inlineStr">
        <is>
          <t>Indicative man-days</t>
        </is>
      </c>
    </row>
    <row r="5">
      <c r="A5" s="12" t="inlineStr">
        <is>
          <t>BP-PM-01</t>
        </is>
      </c>
      <c r="B5" s="12" t="inlineStr">
        <is>
          <t>Periodic package performance review: take-up, premium, claims experience and loss ratio per package, with a recorded decision to keep, redesign or retire it before renewal</t>
        </is>
      </c>
      <c r="C5" s="12" t="inlineStr">
        <is>
          <t>Packages sold through the bank stay fair value for clients and viable for insurers; Insurance Commission conduct expectations for products sold through banks</t>
        </is>
      </c>
      <c r="D5" s="12" t="inlineStr">
        <is>
          <t>Medium</t>
        </is>
      </c>
      <c r="E5" s="12" t="n">
        <v>6</v>
      </c>
    </row>
    <row r="6">
      <c r="A6" s="12" t="inlineStr">
        <is>
          <t>BP-PM-02</t>
        </is>
      </c>
      <c r="B6" s="12" t="inlineStr">
        <is>
          <t>Product disclosure sheet per package for the bank channel (key features, exclusions, insurer, BDOI's role as broker), produced from the released package version</t>
        </is>
      </c>
      <c r="C6" s="12" t="inlineStr">
        <is>
          <t>Bancassurance sales need clear pre-sale disclosure; one source avoids outdated brochures (Insurance Commission and BSP bancassurance rules)</t>
        </is>
      </c>
      <c r="D6" s="12" t="inlineStr">
        <is>
          <t>High</t>
        </is>
      </c>
      <c r="E6" s="12" t="n">
        <v>5</v>
      </c>
    </row>
    <row r="7">
      <c r="A7" s="12" t="inlineStr">
        <is>
          <t>BP-PM-03</t>
        </is>
      </c>
      <c r="B7" s="12" t="inlineStr">
        <is>
          <t>Data-sharing record on client-specific packages: the basis for sharing with each insurer of the package and the client data sent in Quotation Slips</t>
        </is>
      </c>
      <c r="C7" s="12" t="inlineStr">
        <is>
          <t>Data Privacy Act: personal data shared with insurers needs a documented basis and only the minimum data</t>
        </is>
      </c>
      <c r="D7" s="12" t="inlineStr">
        <is>
          <t>Medium</t>
        </is>
      </c>
      <c r="E7" s="12" t="n">
        <v>3</v>
      </c>
    </row>
  </sheetData>
  <autoFilter ref="A4:E7"/>
  <mergeCells count="1">
    <mergeCell ref="A2:E2"/>
  </mergeCells>
  <conditionalFormatting sqref="A5:E507">
    <cfRule type="expression" priority="1" dxfId="0">
      <formula>AND(MOD(ROW(),2)=0,$A5&lt;&gt;"")</formula>
    </cfRule>
  </conditionalFormatting>
  <dataValidations count="1">
    <dataValidation sqref="D5:D507" showDropDown="0" showInputMessage="0" showErrorMessage="1" allowBlank="1" errorTitle="Suggested priority" error="Choose a value from the list (Suggested priority)." type="list">
      <formula1>'Lists'!$E$2:$E$4</formula1>
    </dataValidation>
  </dataValidations>
  <printOptions horizontalCentered="1"/>
  <pageMargins left="0.4" right="0.4" top="0.6" bottom="0.6" header="0.5" footer="0.5"/>
  <pageSetup orientation="landscape" paperSize="1" fitToHeight="0" fitToWidth="1"/>
  <headerFooter>
    <oddHeader>&amp;L&amp;8 &amp;K004EA8Change Request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16" customWidth="1" min="3" max="3"/>
    <col width="60" customWidth="1" min="4" max="4"/>
    <col width="12" customWidth="1" min="5" max="5"/>
  </cols>
  <sheetData>
    <row r="1" ht="24" customHeight="1">
      <c r="A1" s="16" t="inlineStr">
        <is>
          <t>BRD items to deliver</t>
        </is>
      </c>
    </row>
    <row r="2">
      <c r="A2" s="19" t="inlineStr">
        <is>
          <t>BRD requirements not fully met by the OOTB platform: in-scope delivery work for planning, not CRs</t>
        </is>
      </c>
    </row>
    <row r="3" ht="6" customHeight="1">
      <c r="A3" s="20" t="n"/>
      <c r="B3" s="20" t="n"/>
      <c r="C3" s="20" t="n"/>
      <c r="D3" s="20" t="n"/>
      <c r="E3" s="20" t="n"/>
    </row>
    <row r="4" ht="30" customHeight="1">
      <c r="A4" s="21" t="inlineStr">
        <is>
          <t>BRD ID</t>
        </is>
      </c>
      <c r="B4" s="21" t="inlineStr">
        <is>
          <t>BRD requirement</t>
        </is>
      </c>
      <c r="C4" s="21" t="inlineStr">
        <is>
          <t>Fit</t>
        </is>
      </c>
      <c r="D4" s="21" t="inlineStr">
        <is>
          <t>What iNXT BrokerVerse offers out of the box</t>
        </is>
      </c>
      <c r="E4" s="21" t="inlineStr">
        <is>
          <t>Planning man-days</t>
        </is>
      </c>
    </row>
    <row r="5">
      <c r="A5" s="12" t="inlineStr">
        <is>
          <t>PMADD01</t>
        </is>
      </c>
      <c r="B5" s="12" t="inlineStr">
        <is>
          <t>I want a standard reusable product structure hierarchy so that product data is consistent and scalable across packaged and non-packaged products.</t>
        </is>
      </c>
      <c r="C5" s="12" t="inlineStr">
        <is>
          <t>Configure</t>
        </is>
      </c>
      <c r="D5" s="12" t="inlineStr">
        <is>
          <t>PRD-001 Single product catalogue keyed by BDOI risk code: Available – Line of business, product and cover masters with product templates per line; BDOI codes loaded as master data.
PRD-002 Standard product hierarchy enforced complete: Partial – Line, product, template and Coverage Builder exist; no subtype level and no completeness rule on the hierarchy.</t>
        </is>
      </c>
      <c r="E5" s="12" t="n"/>
    </row>
    <row r="6">
      <c r="A6" s="12" t="inlineStr">
        <is>
          <t>PMADD02</t>
        </is>
      </c>
      <c r="B6" s="12" t="inlineStr">
        <is>
          <t>I want insurer-specific coverage, deductibles, and warranty mappings maintained without IT intervention so that insurer variability is supported in a controlled manner.</t>
        </is>
      </c>
      <c r="C6" s="12" t="inlineStr">
        <is>
          <t>Configure</t>
        </is>
      </c>
      <c r="D6" s="12" t="inlineStr">
        <is>
          <t>PRD-014 Clause, warranty and exclusion library: Not available – Clauses and warranties are free text on offers and documents; no maintained library.
PRD-015 Insurer-specific coverage, deductible and warranty mapping: Partial – Insurer rate tables per product (rate basis, minimum premium, deductible, commission) and market mapping terms; no coverage-level terms per insurer.
PRD-016 Insurer panel per product: Available – Insurer panel per template; market restricted when the setting is on.
QPL-016 Co-insurance with lead and shares: Available – Shares must total exactly 100% with one lead; taxes, payables and commission split per participant.</t>
        </is>
      </c>
      <c r="E6" s="12" t="n"/>
    </row>
    <row r="7">
      <c r="A7" s="12" t="inlineStr">
        <is>
          <t>PMADD04</t>
        </is>
      </c>
      <c r="B7" s="12" t="inlineStr">
        <is>
          <t>I want to have explicit exception states and iterative negotiation loop support so that non-linear insurer negotiations, revisions, and declines are handled as formal workflow outcomes rather than informal handling.</t>
        </is>
      </c>
      <c r="C7" s="12" t="inlineStr">
        <is>
          <t>Configure</t>
        </is>
      </c>
      <c r="D7" s="12" t="inlineStr">
        <is>
          <t>PRD-019 Package negotiation rounds with insurers: Partial – Request for Quotation to several insurers with offers, declines and terms, set up for one client risk; no rounds or outcome states for a programme.</t>
        </is>
      </c>
      <c r="E7" s="12" t="n"/>
    </row>
    <row r="8">
      <c r="A8" s="12" t="inlineStr">
        <is>
          <t>PMADD07</t>
        </is>
      </c>
      <c r="B8" s="12" t="inlineStr">
        <is>
          <t>I want to define and maintain Incentive criteria based on the Maintained Products Matrix, so that incentives are accurately configured and applied only to eligible product combinations.</t>
        </is>
      </c>
      <c r="C8" s="12" t="inlineStr">
        <is>
          <t>Configure</t>
        </is>
      </c>
      <c r="D8" s="12" t="inlineStr">
        <is>
          <t>PRD-026 Incentive criteria on the products matrix: Partial – Incentive programmes by target metric for account executives; no product-level eligibility criteria.</t>
        </is>
      </c>
      <c r="E8" s="12" t="n"/>
    </row>
    <row r="9">
      <c r="A9" s="12" t="inlineStr">
        <is>
          <t>PMADD08</t>
        </is>
      </c>
      <c r="B9" s="12" t="inlineStr">
        <is>
          <t>I must have a maintenance facility to define and update Incentives (i.e. CPC2) criteria based on the maintained products.</t>
        </is>
      </c>
      <c r="C9" s="12" t="inlineStr">
        <is>
          <t>Configure</t>
        </is>
      </c>
      <c r="D9" s="12" t="inlineStr">
        <is>
          <t>PRD-026 Incentive criteria on the products matrix: Partial – Incentive programmes by target metric for account executives; no product-level eligibility criteria.</t>
        </is>
      </c>
      <c r="E9" s="12" t="n"/>
    </row>
    <row r="10">
      <c r="A10" s="12" t="inlineStr">
        <is>
          <t>BRPM.003</t>
        </is>
      </c>
      <c r="B10" s="12" t="inlineStr">
        <is>
          <t>There must be a capability to capture, store, and validate all mandatory, critical and product-specific fields.</t>
        </is>
      </c>
      <c r="C10" s="12" t="inlineStr">
        <is>
          <t>Configure</t>
        </is>
      </c>
      <c r="D10" s="12" t="inlineStr">
        <is>
          <t>PRD-003 Product-specific risk fields per line: Partial – Risk mappings with risk sections per product line; the quote wizard asks for the fields the rules test (require rule fields). No minimum-field matrix per product.</t>
        </is>
      </c>
      <c r="E10" s="12" t="n"/>
    </row>
    <row r="11">
      <c r="A11" s="12" t="inlineStr">
        <is>
          <t>BRPM.004</t>
        </is>
      </c>
      <c r="B11" s="12" t="inlineStr">
        <is>
          <t>There must be a capability to apply validation rules based on product type.</t>
        </is>
      </c>
      <c r="C11" s="12" t="inlineStr">
        <is>
          <t>Configure</t>
        </is>
      </c>
      <c r="D11" s="12" t="inlineStr">
        <is>
          <t>PRD-004 Configurable validation rules per product: Partial – Acceptance rules accept, refer, decline or load on risk fields; acceptance limits on sum insured and ages. No general data-validation rule set.</t>
        </is>
      </c>
      <c r="E11" s="12" t="n"/>
    </row>
    <row r="12">
      <c r="A12" s="12" t="inlineStr">
        <is>
          <t>BRPM.005</t>
        </is>
      </c>
      <c r="B12" s="12" t="inlineStr">
        <is>
          <t>There must be a capability to use shared templates with dynamic fields for product-specific data.</t>
        </is>
      </c>
      <c r="C12" s="12" t="inlineStr">
        <is>
          <t>Configure</t>
        </is>
      </c>
      <c r="D12" s="12" t="inlineStr">
        <is>
          <t>PRD-027 Document templates per product with merge fields: Available – Templates per product with merge fields and blocks, preview, printed on the letterhead; unknown merge fields refused.</t>
        </is>
      </c>
      <c r="E12" s="12" t="n"/>
    </row>
    <row r="13">
      <c r="A13" s="12" t="inlineStr">
        <is>
          <t>BRPM.008</t>
        </is>
      </c>
      <c r="B13" s="12" t="inlineStr">
        <is>
          <t>Submit approved Package Request Form.</t>
        </is>
      </c>
      <c r="C13" s="12" t="inlineStr">
        <is>
          <t>Extend</t>
        </is>
      </c>
      <c r="D13" s="12" t="inlineStr">
        <is>
          <t>PRD-018 Package request with multi-level approval: Not available – Products are created directly in the configurator; no request or approval chain.
ADM-013 Document numbering formats: Available – 85 series with prefix, pattern, width, reset rule and start number; counters only move forward.</t>
        </is>
      </c>
      <c r="E13" s="12" t="n"/>
    </row>
    <row r="14">
      <c r="A14" s="12" t="inlineStr">
        <is>
          <t>BRPM.011</t>
        </is>
      </c>
      <c r="B14" s="12" t="inlineStr">
        <is>
          <t>Facility to allow User to receive and view requests for product creation, amend, updating, or deletion based on client or business needs.</t>
        </is>
      </c>
      <c r="C14" s="12" t="inlineStr">
        <is>
          <t>Recommend change</t>
        </is>
      </c>
      <c r="D14" s="12" t="inlineStr">
        <is>
          <t>PRD-018 Package request with multi-level approval: Not available – Products are created directly in the configurator; no request or approval chain.</t>
        </is>
      </c>
      <c r="E14" s="12" t="n"/>
    </row>
    <row r="15">
      <c r="A15" s="12" t="inlineStr">
        <is>
          <t>BRPM.015</t>
        </is>
      </c>
      <c r="B15" s="12" t="inlineStr">
        <is>
          <t>Received product requirements from TSU. (i.e. computation and details that Marketing needed for their transactions). Product requirements and details from TSU are submitted via the system, triggering a ManCom review and signoff workflow. Only after ManCom’s in-system approval are requirements automatically forwarded to MBS for processing. MBS receives only validated, signed-off requirements and returns incomplete submissions. Marketing is notified by the system when the package is ready. While some manual steps (like physical signatures) may still occur, most information should flow through the system.</t>
        </is>
      </c>
      <c r="C15" s="12" t="inlineStr">
        <is>
          <t>Extend</t>
        </is>
      </c>
      <c r="D15" s="12" t="inlineStr">
        <is>
          <t>PRD-005 Rating engine with factors, minimum premium and test calculator: Available – Multiplicative, discount and additive factors, minimum premium, illustration per template; the server re-prices every quotation.
PRD-017 Package products with negotiated rates per insurer: Available – Bundles and insurer rate tables with minimum premium, deductible and commission per insurer and product.
PRD-021 ManCom sign-off and hand-off to set-up: Not available – No requirements pack, committee step or hand-off.</t>
        </is>
      </c>
      <c r="E15" s="12" t="n"/>
    </row>
    <row r="16">
      <c r="A16" s="12" t="inlineStr">
        <is>
          <t>BRPM.017</t>
        </is>
      </c>
      <c r="B16" s="12" t="inlineStr">
        <is>
          <t>The system must enable the TSU Officer to monitor the expiry or anniversary date of each insurance package</t>
        </is>
      </c>
      <c r="C16" s="12" t="inlineStr">
        <is>
          <t>Extend</t>
        </is>
      </c>
      <c r="D16" s="12" t="inlineStr">
        <is>
          <t>PRD-023 Package expiry monitoring and renewal request: Partial – Template expiry dates and an expiring-templates list (warning period of 60 days); no renewal request.</t>
        </is>
      </c>
      <c r="E16" s="12" t="n"/>
    </row>
    <row r="17">
      <c r="A17" s="12" t="inlineStr">
        <is>
          <t>BRPM.018</t>
        </is>
      </c>
      <c r="B17" s="12" t="inlineStr">
        <is>
          <t>Facility to allow User to generate Placement Update Reports (both for individual accounts and collectively for all accounts). This is to track and report the status of package creation, including key details such as but not limited to the following: account information, package status, expiry dates, terms, rates, and recent actions. Reports should support business monitoring, audit, and operational needs.</t>
        </is>
      </c>
      <c r="C17" s="12" t="inlineStr">
        <is>
          <t>Extend</t>
        </is>
      </c>
      <c r="D17" s="12" t="inlineStr">
        <is>
          <t>PRD-024 Package status report and Product Maintenance dashboard: Partial – Template counts, categories, expiring templates and product analytics; no request status report.</t>
        </is>
      </c>
      <c r="E17" s="12" t="n"/>
    </row>
    <row r="18">
      <c r="A18" s="12" t="inlineStr">
        <is>
          <t>BRPM.019</t>
        </is>
      </c>
      <c r="B18" s="12" t="inlineStr">
        <is>
          <t>Dashboard for real-time tracking and reporting</t>
        </is>
      </c>
      <c r="C18" s="12" t="inlineStr">
        <is>
          <t>Extend</t>
        </is>
      </c>
      <c r="D18" s="12" t="inlineStr">
        <is>
          <t>PRD-024 Package status report and Product Maintenance dashboard: Partial – Template counts, categories, expiring templates and product analytics; no request status report.</t>
        </is>
      </c>
      <c r="E18" s="12" t="n"/>
    </row>
    <row r="19">
      <c r="A19" s="12" t="inlineStr">
        <is>
          <t>BRPM.020</t>
        </is>
      </c>
      <c r="B19" s="12" t="inlineStr">
        <is>
          <t>Capability to check for document security (password protection/ encryption).</t>
        </is>
      </c>
      <c r="C19" s="12" t="inlineStr">
        <is>
          <t>Recommend change</t>
        </is>
      </c>
      <c r="D19" s="12" t="inlineStr">
        <is>
          <t>QPL-031 Password-protected outbound documents: Not available – Documents are e-mailed as plain PDF attachments; signed download links expire after 30 minutes.
WFL-020 Password-protected documents sent outside BDOI: Not available – Attachments are sent as plain PDF files.</t>
        </is>
      </c>
      <c r="E19" s="12" t="n"/>
    </row>
    <row r="20">
      <c r="A20" s="12" t="inlineStr">
        <is>
          <t>BRPM.022</t>
        </is>
      </c>
      <c r="B20" s="12" t="inlineStr">
        <is>
          <t>Notification and integration for seamless data flow.</t>
        </is>
      </c>
      <c r="C20" s="12" t="inlineStr">
        <is>
          <t>Extend</t>
        </is>
      </c>
      <c r="D20" s="12" t="inlineStr">
        <is>
          <t>PRD-029 Publish product master changes to other systems: Optional extra – an open interface available; no outbound product feed.</t>
        </is>
      </c>
      <c r="E20" s="12" t="n"/>
    </row>
    <row r="21">
      <c r="A21" s="12" t="inlineStr">
        <is>
          <t>BRPM.024</t>
        </is>
      </c>
      <c r="B21" s="12" t="inlineStr">
        <is>
          <t>Ensure audit trail for all actions and changes.</t>
        </is>
      </c>
      <c r="C21" s="12" t="inlineStr">
        <is>
          <t>Extend</t>
        </is>
      </c>
      <c r="D21" s="12" t="inlineStr">
        <is>
          <t>Audit history of changes per record.</t>
        </is>
      </c>
      <c r="E21" s="12" t="n"/>
    </row>
    <row r="22">
      <c r="A22" s="12" t="inlineStr">
        <is>
          <t>D-PM-01</t>
        </is>
      </c>
      <c r="B22" s="12" t="inlineStr">
        <is>
          <t>Quotation Slip decision notice to the preparer (FRPM.006.01, FRPM.012.01; Annex P NT-16). BRD line: BRPM.021 AC5: 'The system notifies users of pending validation or approval actions and tracks resolution within the SLA'; BRPM.012: 'Prepare and send quotation slip to Insurers'</t>
        </is>
      </c>
      <c r="C22" s="12" t="inlineStr">
        <is>
          <t>BRD point to deliver</t>
        </is>
      </c>
      <c r="D22" s="12" t="inlineStr">
        <is>
          <t>PRD-019 Partial (no negotiation rounds or slip approval for a programme); WFL-010 Available (in-app notices). Partial in BrokerVerse OOTB: notices are available, the package slip approval is not; effort for the notice of the slip decision only.</t>
        </is>
      </c>
      <c r="E22" s="12" t="n">
        <v>3.5</v>
      </c>
    </row>
    <row r="23">
      <c r="A23" s="12" t="inlineStr">
        <is>
          <t>D-PM-02</t>
        </is>
      </c>
      <c r="B23" s="12" t="inlineStr">
        <is>
          <t>ManCom e-mails in BDOI's wording, with the President's text (FRPM.014.01; Annex P NT-13, NT-14). BRD line: BRPM.015: 'a ManCom review and signoff workflow with audit logging'; BRPM.022: 'Notification and integration for seamless data flow'</t>
        </is>
      </c>
      <c r="C23" s="12" t="inlineStr">
        <is>
          <t>BRD point to deliver</t>
        </is>
      </c>
      <c r="D23" s="12" t="inlineStr">
        <is>
          <t>PRD-021 Not available (no committee step or hand-off). Not available in BrokerVerse OOTB. The effort is for the routing and the two BDOI texts.</t>
        </is>
      </c>
      <c r="E23" s="12" t="n">
        <v>2.5</v>
      </c>
    </row>
    <row r="24">
      <c r="A24" s="12" t="inlineStr">
        <is>
          <t>D-PM-03</t>
        </is>
      </c>
      <c r="B24" s="12" t="inlineStr">
        <is>
          <t>'Due soon' marker at 80% of the stage service level (FRPM.001.01). BRD line: BRPM.021 ER3: 'Each approval step is completed by the designated authority ... within the defined SLA'; AC5 'tracks resolution within the SLA'</t>
        </is>
      </c>
      <c r="C24" s="12" t="inlineStr">
        <is>
          <t>BRD point to deliver</t>
        </is>
      </c>
      <c r="D24" s="12" t="inlineStr">
        <is>
          <t>WFL-007 Partial (deadlines and escalation for claims, complaints, leads and collections; no general turnaround engine). Partial in BrokerVerse OOTB; the planning effort covers the missing part only: the marker at a percentage of each stage's service level.</t>
        </is>
      </c>
      <c r="E24" s="12" t="n">
        <v>3.5</v>
      </c>
    </row>
  </sheetData>
  <autoFilter ref="A4:E24"/>
  <mergeCells count="1">
    <mergeCell ref="A2:E2"/>
  </mergeCells>
  <conditionalFormatting sqref="A5:E52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&amp;K004EA8Change Request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34" customWidth="1" min="1" max="1"/>
    <col width="20" customWidth="1" min="2" max="2"/>
    <col width="80" customWidth="1" min="3" max="3"/>
  </cols>
  <sheetData>
    <row r="1">
      <c r="A1" s="16" t="inlineStr">
        <is>
          <t>Assumptions</t>
        </is>
      </c>
    </row>
    <row r="2"/>
    <row r="3">
      <c r="A3" s="24" t="inlineStr">
        <is>
          <t>Item</t>
        </is>
      </c>
      <c r="B3" s="24" t="inlineStr">
        <is>
          <t>Value</t>
        </is>
      </c>
      <c r="C3" s="24" t="inlineStr">
        <is>
          <t>Note</t>
        </is>
      </c>
    </row>
    <row r="4">
      <c r="A4" s="25" t="inlineStr">
        <is>
          <t>Hours in a man-day</t>
        </is>
      </c>
      <c r="B4" s="25" t="n">
        <v>8</v>
      </c>
      <c r="C4" s="25" t="inlineStr">
        <is>
          <t>One man-day (md) = 8 working hours</t>
        </is>
      </c>
    </row>
    <row r="5">
      <c r="A5" s="25" t="inlineStr">
        <is>
          <t>Currency</t>
        </is>
      </c>
      <c r="B5" s="25" t="inlineStr">
        <is>
          <t>PHP</t>
        </is>
      </c>
      <c r="C5" s="25" t="inlineStr">
        <is>
          <t>Philippine peso</t>
        </is>
      </c>
    </row>
    <row r="6">
      <c r="A6" s="25" t="inlineStr">
        <is>
          <t>Estimate range (plus or minus)</t>
        </is>
      </c>
      <c r="B6" s="26" t="n">
        <v>0.2</v>
      </c>
      <c r="C6" s="25" t="inlineStr">
        <is>
          <t>Each total is an estimate within plus or minus 20%</t>
        </is>
      </c>
    </row>
    <row r="7">
      <c r="A7" s="25" t="inlineStr">
        <is>
          <t>DayRate (PHP per man-day)</t>
        </is>
      </c>
      <c r="B7" s="27" t="n"/>
      <c r="C7" s="25" t="inlineStr">
        <is>
          <t>Enter the agreed day rate; the cost columns follow by formula</t>
        </is>
      </c>
    </row>
    <row r="8">
      <c r="A8" s="25" t="inlineStr">
        <is>
          <t>OOTB baseline</t>
        </is>
      </c>
      <c r="B8" s="25" t="inlineStr">
        <is>
          <t>brokerverse-platform</t>
        </is>
      </c>
      <c r="C8" s="25" t="inlineStr">
        <is>
          <t>iNXT BrokerVerse OOTB platform (brokerverse-platform), with the programme Feature List (column OOTB platform) as a cross-check</t>
        </is>
      </c>
    </row>
    <row r="9">
      <c r="A9" s="25" t="inlineStr">
        <is>
          <t>Basis</t>
        </is>
      </c>
      <c r="B9" s="25" t="inlineStr">
        <is>
          <t>Platform size</t>
        </is>
      </c>
      <c r="C9" s="25" t="inlineStr">
        <is>
          <t>Effort from the size of the platform parts each change touches and a similar existing function; for a Partial feature, the missing part only</t>
        </is>
      </c>
    </row>
    <row r="10">
      <c r="A10" s="25" t="inlineStr">
        <is>
          <t>Not change requests</t>
        </is>
      </c>
      <c r="B10" s="25" t="inlineStr">
        <is>
          <t>-</t>
        </is>
      </c>
      <c r="C10" s="25" t="inlineStr">
        <is>
          <t>BRD requirements (in scope), Integration scope and Data Migration scope items, best-practice recommendations</t>
        </is>
      </c>
    </row>
    <row r="11">
      <c r="A11" s="25" t="inlineStr">
        <is>
          <t>Excluded</t>
        </is>
      </c>
      <c r="B11" s="25" t="inlineStr">
        <is>
          <t>-</t>
        </is>
      </c>
      <c r="C11" s="25" t="inlineStr">
        <is>
          <t>BDOI decisions and inputs, BDOI testing time, infrastructure</t>
        </is>
      </c>
    </row>
    <row r="12">
      <c r="A12" s="25" t="inlineStr">
        <is>
          <t>Validity</t>
        </is>
      </c>
      <c r="B12" s="25" t="inlineStr">
        <is>
          <t>30 days</t>
        </is>
      </c>
      <c r="C12" s="25" t="inlineStr">
        <is>
          <t>Estimated again if the scope of a change request changes</t>
        </is>
      </c>
    </row>
  </sheetData>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s>
  <sheetData>
    <row r="1" ht="45" customHeight="1">
      <c r="A1" s="28" t="inlineStr">
        <is>
          <t>CR Effort: BRD relation</t>
        </is>
      </c>
      <c r="B1" s="28" t="inlineStr">
        <is>
          <t>CR Effort: Complexity</t>
        </is>
      </c>
      <c r="C1" s="28" t="inlineStr">
        <is>
          <t>CR Effort: Priority</t>
        </is>
      </c>
      <c r="D1" s="28" t="inlineStr">
        <is>
          <t>Integration &amp; DM scope: Scope</t>
        </is>
      </c>
      <c r="E1" s="28" t="inlineStr">
        <is>
          <t>Best practice (blue): Suggested priority</t>
        </is>
      </c>
    </row>
    <row r="2">
      <c r="A2" t="inlineStr">
        <is>
          <t>Extends a BRD requirement</t>
        </is>
      </c>
      <c r="B2" t="inlineStr">
        <is>
          <t>Low</t>
        </is>
      </c>
      <c r="C2" t="inlineStr">
        <is>
          <t>High</t>
        </is>
      </c>
      <c r="D2" t="inlineStr">
        <is>
          <t>Integration scope</t>
        </is>
      </c>
      <c r="E2" t="inlineStr">
        <is>
          <t>High</t>
        </is>
      </c>
    </row>
    <row r="3">
      <c r="A3" t="inlineStr">
        <is>
          <t>Not in any BRD</t>
        </is>
      </c>
      <c r="B3" t="inlineStr">
        <is>
          <t>Medium</t>
        </is>
      </c>
      <c r="C3" t="inlineStr">
        <is>
          <t>Medium</t>
        </is>
      </c>
      <c r="D3" t="inlineStr">
        <is>
          <t>Data Migration scope</t>
        </is>
      </c>
      <c r="E3" t="inlineStr">
        <is>
          <t>Medium</t>
        </is>
      </c>
    </row>
    <row r="4">
      <c r="B4" t="inlineStr">
        <is>
          <t>High</t>
        </is>
      </c>
      <c r="C4" t="inlineStr">
        <is>
          <t>Low</t>
        </is>
      </c>
      <c r="E4" t="inlineStr">
        <is>
          <t>Low</t>
        </is>
      </c>
    </row>
  </sheetData>
  <printOptions horizontalCentered="1"/>
  <pageMargins left="0.4" right="0.4" top="0.6" bottom="0.6" header="0.5" footer="0.5"/>
  <pageSetup orientation="landscape" paperSize="1" fitToHeight="0" fitToWidth="1"/>
  <headerFooter>
    <oddHeader>&amp;L&amp;8 &amp;K004EA8Change Request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Change Request Effort Estimate</dc:title>
  <dc:subject xmlns:dc="http://purl.org/dc/elements/1.1/">BIBS – BDOI Broker System</dc:subject>
  <dcterms:created xmlns:dcterms="http://purl.org/dc/terms/" xmlns:xsi="http://www.w3.org/2001/XMLSchema-instance" xsi:type="dcterms:W3CDTF">2026-10-11T19:46:19Z</dcterms:created>
  <dcterms:modified xmlns:dcterms="http://purl.org/dc/terms/" xmlns:xsi="http://www.w3.org/2001/XMLSchema-instance" xsi:type="dcterms:W3CDTF">2026-10-11T19:46:19Z</dcterms:modified>
  <cp:keywords>Estimate, BRD-03, BIBS, BDOI</cp:keywords>
</cp:coreProperties>
</file>