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Integration &amp; DM scope" sheetId="6" state="visible" r:id="rId6"/>
    <sheet xmlns:r="http://schemas.openxmlformats.org/officeDocument/2006/relationships" name="Best practice (blue)" sheetId="7" state="visible" r:id="rId7"/>
    <sheet xmlns:r="http://schemas.openxmlformats.org/officeDocument/2006/relationships" name="BRD items to deliver"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_xlnm._FilterDatabase" localSheetId="1" hidden="1">'README'!$A$4:$D$52</definedName>
    <definedName name="_xlnm.Print_Titles" localSheetId="1">'README'!$4:$4</definedName>
    <definedName name="_xlnm._FilterDatabase" localSheetId="2" hidden="1">'Summary'!$A$4:$B$18</definedName>
    <definedName name="_xlnm.Print_Titles" localSheetId="2">'Summary'!$4:$4</definedName>
    <definedName name="_xlnm._FilterDatabase" localSheetId="3" hidden="1">'CR Effort'!$A$4:$Y$6</definedName>
    <definedName name="_xlnm.Print_Titles" localSheetId="3">'CR Effort'!$4:$4</definedName>
    <definedName name="_xlnm._FilterDatabase" localSheetId="4" hidden="1">'Beyond the BRD - OOTB'!$A$4:$G$9</definedName>
    <definedName name="_xlnm.Print_Titles" localSheetId="4">'Beyond the BRD - OOTB'!$4:$4</definedName>
    <definedName name="_xlnm._FilterDatabase" localSheetId="5" hidden="1">'Integration &amp; DM scope'!$A$4:$D$27</definedName>
    <definedName name="_xlnm.Print_Titles" localSheetId="5">'Integration &amp; DM scope'!$4:$4</definedName>
    <definedName name="_xlnm._FilterDatabase" localSheetId="6" hidden="1">'Best practice (blue)'!$A$4:$E$7</definedName>
    <definedName name="_xlnm.Print_Titles" localSheetId="6">'Best practice (blue)'!$4:$4</definedName>
    <definedName name="_xlnm._FilterDatabase" localSheetId="7" hidden="1">'BRD items to deliver'!$A$4:$E$24</definedName>
    <definedName name="_xlnm.Print_Titles" localSheetId="7">'BRD items to deliver'!$4:$4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Integration &amp; DM scope'!A1" TargetMode="External" Id="rId5"/><Relationship Type="http://schemas.openxmlformats.org/officeDocument/2006/relationships/hyperlink" Target="#'Best practice (blue)'!A1" TargetMode="External" Id="rId6"/><Relationship Type="http://schemas.openxmlformats.org/officeDocument/2006/relationships/hyperlink" Target="#'BRD items to deliver'!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14</v>
      </c>
    </row>
    <row r="22">
      <c r="B22" s="11" t="inlineStr">
        <is>
          <t>CR Effort</t>
        </is>
      </c>
      <c r="C22" s="12" t="inlineStr">
        <is>
          <t>One row per orange point of the FRS v1.3 (Annex Y.2), effort in man-days</t>
        </is>
      </c>
      <c r="D22" s="12" t="n">
        <v>2</v>
      </c>
    </row>
    <row r="23">
      <c r="B23" s="13" t="inlineStr">
        <is>
          <t>Beyond the BRD - OOTB</t>
        </is>
      </c>
      <c r="C23" s="14" t="inlineStr">
        <is>
          <t>Points beyond the BRD that the iNXT BrokerVerse OOTB platform provides (green): no cost</t>
        </is>
      </c>
      <c r="D23" s="14" t="n">
        <v>5</v>
      </c>
    </row>
    <row r="24">
      <c r="B24" s="11" t="inlineStr">
        <is>
          <t>Integration &amp; DM scope</t>
        </is>
      </c>
      <c r="C24" s="12" t="inlineStr">
        <is>
          <t>Covered by the Integration scope or the Data Migration scope (BRD-13): no CR cost here</t>
        </is>
      </c>
      <c r="D24" s="12" t="n">
        <v>23</v>
      </c>
    </row>
    <row r="25">
      <c r="B25" s="13" t="inlineStr">
        <is>
          <t>Best practice (blue)</t>
        </is>
      </c>
      <c r="C25" s="14" t="inlineStr">
        <is>
          <t>Not in the BRD, the FRS or the OOTB platform: recommendations (Annex Y.6), not commitments</t>
        </is>
      </c>
      <c r="D25" s="14" t="n">
        <v>3</v>
      </c>
    </row>
    <row r="26">
      <c r="B26" s="11" t="inlineStr">
        <is>
          <t>BRD items to deliver</t>
        </is>
      </c>
      <c r="C26" s="12" t="inlineStr">
        <is>
          <t>BRD requirements not fully met by the OOTB platform: in-scope delivery work for planning, not CRs</t>
        </is>
      </c>
      <c r="D26" s="12" t="n">
        <v>20</v>
      </c>
    </row>
    <row r="27">
      <c r="B27" s="13" t="inlineStr">
        <is>
          <t>Assumptions</t>
        </is>
      </c>
      <c r="C27" s="14" t="inlineStr">
        <is>
          <t>Man-day, range and day rate used by the formulas</t>
        </is>
      </c>
      <c r="D27" s="14" t="n">
        <v>0</v>
      </c>
    </row>
    <row r="30" ht="26" customHeight="1">
      <c r="B30"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(Annex Y.3)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Integration &amp; DM scope</t>
        </is>
      </c>
      <c r="B39" s="17" t="inlineStr">
        <is>
          <t>Item</t>
        </is>
      </c>
      <c r="C39" s="12" t="inlineStr">
        <is>
          <t>Interface or data load</t>
        </is>
      </c>
      <c r="D39" s="12" t="inlineStr"/>
    </row>
    <row r="40">
      <c r="A40" s="14" t="inlineStr">
        <is>
          <t>Integration &amp; DM scope</t>
        </is>
      </c>
      <c r="B40" s="18" t="inlineStr">
        <is>
          <t>Scope</t>
        </is>
      </c>
      <c r="C40" s="14" t="inlineStr">
        <is>
          <t>Integration or Data Migration</t>
        </is>
      </c>
      <c r="D40" s="14" t="inlineStr">
        <is>
          <t>Integration scope, Data Migration scope</t>
        </is>
      </c>
    </row>
    <row r="41">
      <c r="A41" s="12" t="inlineStr">
        <is>
          <t>Integration &amp; DM scope</t>
        </is>
      </c>
      <c r="B41" s="17" t="inlineStr">
        <is>
          <t>What</t>
        </is>
      </c>
      <c r="C41" s="12" t="inlineStr">
        <is>
          <t>What is exchanged or loaded</t>
        </is>
      </c>
      <c r="D41" s="12" t="inlineStr"/>
    </row>
    <row r="42">
      <c r="A42" s="14" t="inlineStr">
        <is>
          <t>Integration &amp; DM scope</t>
        </is>
      </c>
      <c r="B42" s="18" t="inlineStr">
        <is>
          <t>Where in the FRS</t>
        </is>
      </c>
      <c r="C42" s="14" t="inlineStr">
        <is>
          <t>Annex</t>
        </is>
      </c>
      <c r="D42" s="14" t="inlineStr"/>
    </row>
    <row r="43">
      <c r="A43" s="12" t="inlineStr">
        <is>
          <t>Best practice (blue)</t>
        </is>
      </c>
      <c r="B43" s="17" t="inlineStr">
        <is>
          <t>ID</t>
        </is>
      </c>
      <c r="C43" s="12" t="inlineStr">
        <is>
          <t>Best practice</t>
        </is>
      </c>
      <c r="D43" s="12" t="inlineStr"/>
    </row>
    <row r="44">
      <c r="A44" s="14" t="inlineStr">
        <is>
          <t>Best practice (blue)</t>
        </is>
      </c>
      <c r="B44" s="18" t="inlineStr">
        <is>
          <t>Practice</t>
        </is>
      </c>
      <c r="C44" s="14" t="inlineStr">
        <is>
          <t>Insurance-broking practice</t>
        </is>
      </c>
      <c r="D44" s="14" t="inlineStr"/>
    </row>
    <row r="45">
      <c r="A45" s="12" t="inlineStr">
        <is>
          <t>Best practice (blue)</t>
        </is>
      </c>
      <c r="B45" s="17" t="inlineStr">
        <is>
          <t>Why it matters for a broker</t>
        </is>
      </c>
      <c r="C45" s="12" t="inlineStr">
        <is>
          <t>Philippine market where relevant</t>
        </is>
      </c>
      <c r="D45" s="12" t="inlineStr"/>
    </row>
    <row r="46">
      <c r="A46" s="14" t="inlineStr">
        <is>
          <t>Best practice (blue)</t>
        </is>
      </c>
      <c r="B46" s="18" t="inlineStr">
        <is>
          <t>Suggested priority</t>
        </is>
      </c>
      <c r="C46" s="14" t="inlineStr">
        <is>
          <t>High / Medium / Low</t>
        </is>
      </c>
      <c r="D46" s="14" t="inlineStr">
        <is>
          <t>High, Medium, Low</t>
        </is>
      </c>
    </row>
    <row r="47">
      <c r="A47" s="12" t="inlineStr">
        <is>
          <t>Best practice (blue)</t>
        </is>
      </c>
      <c r="B47" s="17" t="inlineStr">
        <is>
          <t>Indicative man-days</t>
        </is>
      </c>
      <c r="C47" s="12" t="inlineStr">
        <is>
          <t>Indicative; not in the CR total</t>
        </is>
      </c>
      <c r="D47" s="12" t="inlineStr"/>
    </row>
    <row r="48">
      <c r="A48" s="14" t="inlineStr">
        <is>
          <t>BRD items to deliver</t>
        </is>
      </c>
      <c r="B48" s="18" t="inlineStr">
        <is>
          <t>BRD ID</t>
        </is>
      </c>
      <c r="C48" s="14" t="inlineStr">
        <is>
          <t>BRD requirement</t>
        </is>
      </c>
      <c r="D48" s="14" t="inlineStr"/>
    </row>
    <row r="49">
      <c r="A49" s="12" t="inlineStr">
        <is>
          <t>BRD items to deliver</t>
        </is>
      </c>
      <c r="B49" s="17" t="inlineStr">
        <is>
          <t>BRD requirement</t>
        </is>
      </c>
      <c r="C49" s="12" t="inlineStr">
        <is>
          <t>Text of the BRD</t>
        </is>
      </c>
      <c r="D49" s="12" t="inlineStr"/>
    </row>
    <row r="50">
      <c r="A50" s="14" t="inlineStr">
        <is>
          <t>BRD items to deliver</t>
        </is>
      </c>
      <c r="B50" s="18" t="inlineStr">
        <is>
          <t>Fit</t>
        </is>
      </c>
      <c r="C50" s="14" t="inlineStr">
        <is>
          <t>Fit class of the fit-gap workbook</t>
        </is>
      </c>
      <c r="D50" s="14" t="inlineStr"/>
    </row>
    <row r="51">
      <c r="A51" s="12" t="inlineStr">
        <is>
          <t>BRD items to deliver</t>
        </is>
      </c>
      <c r="B51" s="17" t="inlineStr">
        <is>
          <t>What iNXT BrokerVerse offers out of the box</t>
        </is>
      </c>
      <c r="C51" s="12" t="inlineStr">
        <is>
          <t>OOTB capability</t>
        </is>
      </c>
      <c r="D51" s="12" t="inlineStr"/>
    </row>
    <row r="52">
      <c r="A52" s="14" t="inlineStr">
        <is>
          <t>BRD items to deliver</t>
        </is>
      </c>
      <c r="B52" s="18" t="inlineStr">
        <is>
          <t>Planning man-days</t>
        </is>
      </c>
      <c r="C52" s="14" t="inlineStr">
        <is>
          <t>For the points of BDOI's FRS covered by a BRD line</t>
        </is>
      </c>
      <c r="D52" s="14" t="inlineStr"/>
    </row>
  </sheetData>
  <autoFilter ref="A4:D52"/>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12" t="n">
        <v>5</v>
      </c>
    </row>
    <row r="6">
      <c r="A6" s="12" t="inlineStr">
        <is>
          <t>Change requests (orange)</t>
        </is>
      </c>
      <c r="B6" s="12" t="n">
        <v>1</v>
      </c>
    </row>
    <row r="7">
      <c r="A7" s="12" t="inlineStr">
        <is>
          <t>Man-days: Analysis &amp; design</t>
        </is>
      </c>
      <c r="B7" s="12">
        <f>SUM('CR Effort'!M5:M5)</f>
        <v/>
      </c>
    </row>
    <row r="8">
      <c r="A8" s="12" t="inlineStr">
        <is>
          <t>Man-days: Backend</t>
        </is>
      </c>
      <c r="B8" s="12">
        <f>SUM('CR Effort'!N5:N5)</f>
        <v/>
      </c>
    </row>
    <row r="9">
      <c r="A9" s="12" t="inlineStr">
        <is>
          <t>Man-days: Frontend</t>
        </is>
      </c>
      <c r="B9" s="12">
        <f>SUM('CR Effort'!O5:O5)</f>
        <v/>
      </c>
    </row>
    <row r="10">
      <c r="A10" s="12" t="inlineStr">
        <is>
          <t>Man-days: Testing</t>
        </is>
      </c>
      <c r="B10" s="12">
        <f>SUM('CR Effort'!P5:P5)</f>
        <v/>
      </c>
    </row>
    <row r="11">
      <c r="A11" s="12" t="inlineStr">
        <is>
          <t>Man-days: Documentation / UAT support</t>
        </is>
      </c>
      <c r="B11" s="12">
        <f>SUM('CR Effort'!Q5:Q5)</f>
        <v/>
      </c>
    </row>
    <row r="12">
      <c r="A12" s="12" t="inlineStr">
        <is>
          <t>Total change request man-days</t>
        </is>
      </c>
      <c r="B12" s="12">
        <f>SUM('CR Effort'!R5:R5)</f>
        <v/>
      </c>
    </row>
    <row r="13">
      <c r="A13" s="12" t="inlineStr">
        <is>
          <t>Range low (-20%)</t>
        </is>
      </c>
      <c r="B13" s="12">
        <f>SUM('CR Effort'!S5:S5)</f>
        <v/>
      </c>
    </row>
    <row r="14">
      <c r="A14" s="12" t="inlineStr">
        <is>
          <t>Range high (+20%)</t>
        </is>
      </c>
      <c r="B14" s="12">
        <f>SUM('CR Effort'!T5:T5)</f>
        <v/>
      </c>
    </row>
    <row r="15">
      <c r="A15" s="12" t="inlineStr">
        <is>
          <t>Cost in PHP at the day rate of the Assumptions sheet</t>
        </is>
      </c>
      <c r="B15" s="12">
        <f>SUM('CR Effort'!U5:U5)</f>
        <v/>
      </c>
    </row>
    <row r="16">
      <c r="A16" s="12" t="inlineStr">
        <is>
          <t>Items covered by the Integration or Data Migration scope (no CR cost)</t>
        </is>
      </c>
      <c r="B16" s="12" t="n">
        <v>23</v>
      </c>
    </row>
    <row r="17">
      <c r="A17" s="12" t="inlineStr">
        <is>
          <t>Best-practice recommendations (blue; indicative, not in the CR total)</t>
        </is>
      </c>
      <c r="B17" s="12" t="n">
        <v>3</v>
      </c>
    </row>
    <row r="18">
      <c r="A18" s="12" t="inlineStr">
        <is>
          <t>Best-practice indicative man-days (not in the CR total)</t>
        </is>
      </c>
      <c r="B18" s="12" t="n">
        <v>14</v>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CR-PM-101</t>
        </is>
      </c>
      <c r="B5" s="12" t="inlineStr">
        <is>
          <t>Accessibility of the Product Maintenance screens (WCAG 2.2 level AA)</t>
        </is>
      </c>
      <c r="C5" s="12" t="inlineStr">
        <is>
          <t>Annex T, T-15</t>
        </is>
      </c>
      <c r="D5" s="12" t="inlineStr">
        <is>
          <t>Not in BRD</t>
        </is>
      </c>
      <c r="E5" s="12" t="inlineStr">
        <is>
          <t>Not in any BRD</t>
        </is>
      </c>
      <c r="F5" s="12" t="inlineStr">
        <is>
          <t>Programme register of non-functional requirements (NFR-ACC-01, NFR-ACC-02), proposed in FRS v1.2 Annex T</t>
        </is>
      </c>
      <c r="G5" s="12" t="inlineStr">
        <is>
          <t>No BDOI BRD asks for an accessibility level; the programme register proposes WCAG 2.2 AA so that keyboard and screen-reader users can work in the module.</t>
        </is>
      </c>
      <c r="H5" s="12" t="inlineStr">
        <is>
          <t>NFR-021 Partial (contrast checked to WCAG AA in the theme; no accessibility statement or full WCAG audit)</t>
        </is>
      </c>
      <c r="I5" s="12" t="inlineStr">
        <is>
          <t>Branding: contrast check only; no WCAG audit</t>
        </is>
      </c>
      <c r="J5" s="12" t="inlineStr">
        <is>
          <t>Partly: the screens prepared for BIBS use the platform components; about 8 of 35 screen files carry accessibility labels</t>
        </is>
      </c>
      <c r="K5" s="12" t="inlineStr">
        <is>
          <t>Partial in BrokerVerse OOTB; the effort covers the missing part only: the WCAG 2.2 AA check and fixes of the module screens.</t>
        </is>
      </c>
      <c r="L5" s="12" t="inlineStr">
        <is>
          <t>Product Maintenance screens of BIBS: 35 files, about 3,800 lines.</t>
        </is>
      </c>
      <c r="M5" s="22" t="n">
        <v>1.5</v>
      </c>
      <c r="N5" s="22" t="n">
        <v>0</v>
      </c>
      <c r="O5" s="22" t="n">
        <v>6</v>
      </c>
      <c r="P5" s="22" t="n">
        <v>3</v>
      </c>
      <c r="Q5" s="22" t="n">
        <v>1</v>
      </c>
      <c r="R5" s="22">
        <f>SUM(M5:Q5)</f>
        <v/>
      </c>
      <c r="S5" s="22">
        <f>ROUND(R5*(1-Assumptions!$B$6),1)</f>
        <v/>
      </c>
      <c r="T5" s="22">
        <f>ROUND(R5*(1+Assumptions!$B$6),1)</f>
        <v/>
      </c>
      <c r="U5" s="23">
        <f>R5*Assumptions!$B$7</f>
        <v/>
      </c>
      <c r="V5" s="12" t="inlineStr">
        <is>
          <t>Medium</t>
        </is>
      </c>
      <c r="W5" s="12" t="inlineStr">
        <is>
          <t>Low</t>
        </is>
      </c>
      <c r="X5" s="12" t="inlineStr">
        <is>
          <t>BDOI's decision on the accessibility level (Annex V, PQ18)</t>
        </is>
      </c>
      <c r="Y5" s="12" t="inlineStr">
        <is>
          <t>Check and fixes on the 35 Product Maintenance screen files (about 3,800 lines) and the product master screens; no redesign.</t>
        </is>
      </c>
    </row>
    <row r="6">
      <c r="A6" s="12" t="inlineStr">
        <is>
          <t>Total</t>
        </is>
      </c>
      <c r="B6" s="12" t="inlineStr">
        <is>
          <t>1 change requests</t>
        </is>
      </c>
      <c r="C6" s="12" t="n"/>
      <c r="D6" s="12" t="n"/>
      <c r="E6" s="12" t="n"/>
      <c r="F6" s="12" t="n"/>
      <c r="G6" s="12" t="n"/>
      <c r="H6" s="12" t="n"/>
      <c r="I6" s="12" t="n"/>
      <c r="J6" s="12" t="n"/>
      <c r="K6" s="12" t="n"/>
      <c r="L6" s="12" t="n"/>
      <c r="M6" s="22">
        <f>SUM(M5:M5)</f>
        <v/>
      </c>
      <c r="N6" s="22">
        <f>SUM(N5:N5)</f>
        <v/>
      </c>
      <c r="O6" s="22">
        <f>SUM(O5:O5)</f>
        <v/>
      </c>
      <c r="P6" s="22">
        <f>SUM(P5:P5)</f>
        <v/>
      </c>
      <c r="Q6" s="22">
        <f>SUM(Q5:Q5)</f>
        <v/>
      </c>
      <c r="R6" s="22">
        <f>SUM(R5:R5)</f>
        <v/>
      </c>
      <c r="S6" s="22">
        <f>SUM(S5:S5)</f>
        <v/>
      </c>
      <c r="T6" s="22">
        <f>SUM(T5:T5)</f>
        <v/>
      </c>
      <c r="U6" s="23">
        <f>SUM(U5:U5)</f>
        <v/>
      </c>
      <c r="V6" s="12" t="n"/>
      <c r="W6" s="12" t="n"/>
      <c r="X6" s="12" t="n"/>
      <c r="Y6" s="12" t="n"/>
    </row>
  </sheetData>
  <autoFilter ref="A4:Y6"/>
  <mergeCells count="1">
    <mergeCell ref="A2:Y2"/>
  </mergeCells>
  <conditionalFormatting sqref="A5:Y506">
    <cfRule type="expression" priority="1" dxfId="0">
      <formula>AND(MOD(ROW(),2)=0,$A5&lt;&gt;"")</formula>
    </cfRule>
  </conditionalFormatting>
  <dataValidations count="3">
    <dataValidation sqref="E5:E506" showDropDown="0" showInputMessage="0" showErrorMessage="1" allowBlank="1" errorTitle="BRD relation" error="Choose a value from the list (BRD relation)." type="list">
      <formula1>'Lists'!$A$2:$A$3</formula1>
    </dataValidation>
    <dataValidation sqref="V5:V506" showDropDown="0" showInputMessage="0" showErrorMessage="1" allowBlank="1" errorTitle="Complexity" error="Choose a value from the list (Complexity)." type="list">
      <formula1>'Lists'!$B$2:$B$4</formula1>
    </dataValidation>
    <dataValidation sqref="W5:W506"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t>
        </is>
      </c>
      <c r="B5" s="12" t="inlineStr">
        <is>
          <t>TSU Workbench with the TSU queues by stage (team worklist)</t>
        </is>
      </c>
      <c r="C5" s="12" t="inlineStr">
        <is>
          <t>FRPM.002.01</t>
        </is>
      </c>
      <c r="D5" s="12" t="inlineStr">
        <is>
          <t>WFL-005 Available</t>
        </is>
      </c>
      <c r="E5" s="12" t="inlineStr">
        <is>
          <t>My Work: personal and team worklists</t>
        </is>
      </c>
      <c r="F5" s="12" t="inlineStr">
        <is>
          <t>Not in BRD</t>
        </is>
      </c>
      <c r="G5" s="12" t="n">
        <v>0</v>
      </c>
    </row>
    <row r="6">
      <c r="A6" s="12" t="inlineStr">
        <is>
          <t>G-02</t>
        </is>
      </c>
      <c r="B6" s="12" t="inlineStr">
        <is>
          <t>Premium Calculator on the package rate scheme</t>
        </is>
      </c>
      <c r="C6" s="12" t="inlineStr">
        <is>
          <t>FRPM.002.01</t>
        </is>
      </c>
      <c r="D6" s="12" t="inlineStr">
        <is>
          <t>PRD-005 Available</t>
        </is>
      </c>
      <c r="E6" s="12" t="inlineStr">
        <is>
          <t>Product Configurator &gt; Rating Engine: premium calculation</t>
        </is>
      </c>
      <c r="F6" s="12" t="inlineStr">
        <is>
          <t>Not in BRD</t>
        </is>
      </c>
      <c r="G6" s="12" t="n">
        <v>0</v>
      </c>
    </row>
    <row r="7">
      <c r="A7" s="12" t="inlineStr">
        <is>
          <t>G-03</t>
        </is>
      </c>
      <c r="B7" s="12" t="inlineStr">
        <is>
          <t>Report exported to PDF, Excel and CSV, every run logged</t>
        </is>
      </c>
      <c r="C7" s="12" t="inlineStr">
        <is>
          <t>FRPM.019.01</t>
        </is>
      </c>
      <c r="D7" s="12" t="inlineStr">
        <is>
          <t>RPT-011 Available; RPT-003 Partial (PDF, Excel and CSV available; Word and text exports, not asked here, are the missing part)</t>
        </is>
      </c>
      <c r="E7" s="12" t="inlineStr">
        <is>
          <t>Reports: exports and history of produced files</t>
        </is>
      </c>
      <c r="F7" s="12" t="inlineStr">
        <is>
          <t>Not in BRD</t>
        </is>
      </c>
      <c r="G7" s="12" t="n">
        <v>0</v>
      </c>
    </row>
    <row r="8">
      <c r="A8" s="12" t="inlineStr">
        <is>
          <t>G-04</t>
        </is>
      </c>
      <c r="B8" s="12" t="inlineStr">
        <is>
          <t>E-mail log with recipient, time, subject and attachment</t>
        </is>
      </c>
      <c r="C8" s="12" t="inlineStr">
        <is>
          <t>FRPM.021.01</t>
        </is>
      </c>
      <c r="D8" s="12" t="inlineStr">
        <is>
          <t>WFL-011 Available</t>
        </is>
      </c>
      <c r="E8" s="12" t="inlineStr">
        <is>
          <t>E-mail outbox with the status of each e-mail</t>
        </is>
      </c>
      <c r="F8" s="12" t="inlineStr">
        <is>
          <t>Not in BRD</t>
        </is>
      </c>
      <c r="G8" s="12" t="n">
        <v>0</v>
      </c>
    </row>
    <row r="9">
      <c r="A9" s="12" t="inlineStr">
        <is>
          <t>G-05</t>
        </is>
      </c>
      <c r="B9" s="12" t="inlineStr">
        <is>
          <t>Old and new field values of changed master records</t>
        </is>
      </c>
      <c r="C9" s="12" t="inlineStr">
        <is>
          <t>FRPM.021.01; Annex M.5</t>
        </is>
      </c>
      <c r="D9" s="12" t="inlineStr">
        <is>
          <t>ADM-012 Available</t>
        </is>
      </c>
      <c r="E9" s="12" t="inlineStr">
        <is>
          <t>Audit trail: before and after values of every change</t>
        </is>
      </c>
      <c r="F9" s="12" t="inlineStr">
        <is>
          <t>Not in BRD</t>
        </is>
      </c>
      <c r="G9" s="12" t="n">
        <v>0</v>
      </c>
    </row>
  </sheetData>
  <autoFilter ref="A4:G9"/>
  <mergeCells count="1">
    <mergeCell ref="A2:G2"/>
  </mergeCells>
  <conditionalFormatting sqref="A5:G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12"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12"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12"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n"/>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n"/>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c r="E7" s="12" t="n"/>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c r="E8" s="12" t="n"/>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c r="E9" s="12" t="n"/>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c r="E10" s="12" t="n"/>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c r="E11" s="12" t="n"/>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c r="E12" s="12" t="n"/>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13" s="12" t="n"/>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c r="E14" s="12" t="n"/>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15" s="12" t="n"/>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c r="E16" s="12" t="n"/>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c r="E17" s="12" t="n"/>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c r="E18" s="12" t="n"/>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19" s="12" t="n"/>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c r="E20" s="12" t="n"/>
    </row>
    <row r="21">
      <c r="A21" s="12" t="inlineStr">
        <is>
          <t>BRPM.024</t>
        </is>
      </c>
      <c r="B21" s="12" t="inlineStr">
        <is>
          <t>Ensure audit trail for all actions and changes.</t>
        </is>
      </c>
      <c r="C21" s="12" t="inlineStr">
        <is>
          <t>Extend</t>
        </is>
      </c>
      <c r="D21" s="12" t="inlineStr">
        <is>
          <t>Audit history of changes per record.</t>
        </is>
      </c>
      <c r="E21" s="12" t="n"/>
    </row>
    <row r="22">
      <c r="A22" s="12" t="inlineStr">
        <is>
          <t>D-PM-01</t>
        </is>
      </c>
      <c r="B22" s="12" t="inlineStr">
        <is>
          <t>Quotation Slip decision notice to the preparer (FRPM.006.01, FRPM.012.01; Annex P NT-16). BRD line: BRPM.021 AC5: 'The system notifies users of pending validation or approval actions and tracks resolution within the SLA'; BRPM.012: 'Prepare and send quotation slip to Insurers'</t>
        </is>
      </c>
      <c r="C22" s="12" t="inlineStr">
        <is>
          <t>BRD point to deliver</t>
        </is>
      </c>
      <c r="D22" s="12" t="inlineStr">
        <is>
          <t>PRD-019 Partial (no negotiation rounds or slip approval for a programme); WFL-010 Available (in-app notices). Partial in BrokerVerse OOTB: notices are available, the package slip approval is not; effort for the notice of the slip decision only.</t>
        </is>
      </c>
      <c r="E22" s="12" t="n">
        <v>3.5</v>
      </c>
    </row>
    <row r="23">
      <c r="A23" s="12" t="inlineStr">
        <is>
          <t>D-PM-02</t>
        </is>
      </c>
      <c r="B23" s="12" t="inlineStr">
        <is>
          <t>ManCom e-mails in BDOI's wording, with the President's text (FRPM.014.01; Annex P NT-13, NT-14). BRD line: BRPM.015: 'a ManCom review and signoff workflow with audit logging'; BRPM.022: 'Notification and integration for seamless data flow'</t>
        </is>
      </c>
      <c r="C23" s="12" t="inlineStr">
        <is>
          <t>BRD point to deliver</t>
        </is>
      </c>
      <c r="D23" s="12" t="inlineStr">
        <is>
          <t>PRD-021 Not available (no committee step or hand-off). Not available in BrokerVerse OOTB. The effort is for the two BDOI texts on top of the routing already delivered for BIBS.</t>
        </is>
      </c>
      <c r="E23" s="12" t="n">
        <v>2.5</v>
      </c>
    </row>
    <row r="24">
      <c r="A24" s="12" t="inlineStr">
        <is>
          <t>D-PM-03</t>
        </is>
      </c>
      <c r="B24" s="12" t="inlineStr">
        <is>
          <t>'Due soon' marker at 80% of the stage service level (FRPM.001.01). BRD line: BRPM.021 ER3: 'Each approval step is completed by the designated authority ... within the defined SLA'; AC5 'tracks resolution within the SLA'</t>
        </is>
      </c>
      <c r="C24" s="12" t="inlineStr">
        <is>
          <t>BRD point to deliver</t>
        </is>
      </c>
      <c r="D24" s="12" t="inlineStr">
        <is>
          <t>WFL-007 Partial (deadlines and escalation for claims, complaints, leads and collections; no general turnaround engine). Partial in BrokerVerse OOTB; the planning effort covers the missing part only: the marker at a percentage of each stage's service level.</t>
        </is>
      </c>
      <c r="E24" s="12" t="n">
        <v>3.5</v>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8" t="inlineStr">
        <is>
          <t>CR Effort: BRD relation</t>
        </is>
      </c>
      <c r="B1" s="28" t="inlineStr">
        <is>
          <t>CR Effort: Complexity</t>
        </is>
      </c>
      <c r="C1" s="28" t="inlineStr">
        <is>
          <t>CR Effort: Priority</t>
        </is>
      </c>
      <c r="D1" s="28" t="inlineStr">
        <is>
          <t>Integration &amp; DM scope: Scope</t>
        </is>
      </c>
      <c r="E1" s="28" t="inlineStr">
        <is>
          <t>Best practice (blue): Suggested priority</t>
        </is>
      </c>
    </row>
    <row r="2">
      <c r="A2" t="inlineStr">
        <is>
          <t>Extends a BRD requirement</t>
        </is>
      </c>
      <c r="B2" t="inlineStr">
        <is>
          <t>Low</t>
        </is>
      </c>
      <c r="C2" t="inlineStr">
        <is>
          <t>High</t>
        </is>
      </c>
      <c r="D2" t="inlineStr">
        <is>
          <t>Integration scope</t>
        </is>
      </c>
      <c r="E2" t="inlineStr">
        <is>
          <t>High</t>
        </is>
      </c>
    </row>
    <row r="3">
      <c r="A3" t="inlineStr">
        <is>
          <t>Not in any BRD</t>
        </is>
      </c>
      <c r="B3" t="inlineStr">
        <is>
          <t>Medium</t>
        </is>
      </c>
      <c r="C3" t="inlineStr">
        <is>
          <t>Medium</t>
        </is>
      </c>
      <c r="D3" t="inlineStr">
        <is>
          <t>Data Migration scope</t>
        </is>
      </c>
      <c r="E3" t="inlineStr">
        <is>
          <t>Medium</t>
        </is>
      </c>
    </row>
    <row r="4">
      <c r="B4" t="inlineStr">
        <is>
          <t>High</t>
        </is>
      </c>
      <c r="C4" t="inlineStr">
        <is>
          <t>Low</t>
        </is>
      </c>
      <c r="E4"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2026-10-11T15:14:12Z</dcterms:created>
  <dcterms:modified xmlns:dcterms="http://purl.org/dc/terms/" xmlns:xsi="http://www.w3.org/2001/XMLSchema-instance" xsi:type="dcterms:W3CDTF">2026-10-11T15:14:12Z</dcterms:modified>
  <cp:keywords>Estimate, BRD-03, BIBS, BDOI</cp:keywords>
</cp:coreProperties>
</file>