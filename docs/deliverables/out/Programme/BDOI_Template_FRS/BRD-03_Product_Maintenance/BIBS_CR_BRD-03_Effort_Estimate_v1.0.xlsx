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color theme="1"/>
      <sz val="11"/>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2">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xf numFmtId="0" fontId="16"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(Annex Y.3)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23">
        <f>SUM('CR Effort'!L5:L5)</f>
        <v/>
      </c>
    </row>
    <row r="9">
      <c r="A9" s="12" t="inlineStr">
        <is>
          <t>Man-days: Backend</t>
        </is>
      </c>
      <c r="B9" s="23">
        <f>SUM('CR Effort'!M5:M5)</f>
        <v/>
      </c>
    </row>
    <row r="10">
      <c r="A10" s="12" t="inlineStr">
        <is>
          <t>Man-days: Frontend</t>
        </is>
      </c>
      <c r="B10" s="23">
        <f>SUM('CR Effort'!N5:N5)</f>
        <v/>
      </c>
    </row>
    <row r="11">
      <c r="A11" s="12" t="inlineStr">
        <is>
          <t>Man-days: Testing</t>
        </is>
      </c>
      <c r="B11" s="23">
        <f>SUM('CR Effort'!O5:O5)</f>
        <v/>
      </c>
    </row>
    <row r="12">
      <c r="A12" s="12" t="inlineStr">
        <is>
          <t>Man-days: Documentation / UAT support</t>
        </is>
      </c>
      <c r="B12" s="23">
        <f>SUM('CR Effort'!P5:P5)</f>
        <v/>
      </c>
    </row>
    <row r="13">
      <c r="A13" s="12" t="inlineStr">
        <is>
          <t>Total change request man-days</t>
        </is>
      </c>
      <c r="B13" s="23">
        <f>SUM('CR Effort'!Q5:Q5)</f>
        <v/>
      </c>
    </row>
    <row r="14">
      <c r="A14" s="12" t="inlineStr">
        <is>
          <t>Range low (-20%)</t>
        </is>
      </c>
      <c r="B14" s="23">
        <f>SUM('CR Effort'!R5:R5)</f>
        <v/>
      </c>
    </row>
    <row r="15">
      <c r="A15" s="12" t="inlineStr">
        <is>
          <t>Range high (+20%)</t>
        </is>
      </c>
      <c r="B15" s="23">
        <f>SUM('CR Effort'!S5:S5)</f>
        <v/>
      </c>
    </row>
    <row r="16">
      <c r="A16" s="12" t="inlineStr">
        <is>
          <t>Cost in PHP at the day rate of the Assumptions sheet</t>
        </is>
      </c>
      <c r="B16" s="22">
        <f>SUM('CR Effort'!T5:T5)</f>
        <v/>
      </c>
    </row>
    <row r="17">
      <c r="A17" s="12" t="inlineStr">
        <is>
          <t>Items covered by the Integration or Data Migration scope (no CR cost)</t>
        </is>
      </c>
      <c r="B17" s="22" t="n">
        <v>23</v>
      </c>
    </row>
    <row r="18">
      <c r="A18" s="12" t="inlineStr">
        <is>
          <t>Best-practice recommendations (blue; indicative, not in the CR total)</t>
        </is>
      </c>
      <c r="B18" s="12" t="n">
        <v>3</v>
      </c>
    </row>
    <row r="19">
      <c r="A19" s="12" t="inlineStr">
        <is>
          <t>Best-practice indicative man-days (not in the CR total)</t>
        </is>
      </c>
      <c r="B19" s="23"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Partial in BrokerVerse OOTB; the effort covers the missing part only: the WCAG 2.2 AA check and fixes of the module screens.</t>
        </is>
      </c>
      <c r="K5" s="12" t="inlineStr">
        <is>
          <t>Product Maintenance screens: 35 screen files, about 3,800 lines.</t>
        </is>
      </c>
      <c r="L5" s="24" t="n">
        <v>1.5</v>
      </c>
      <c r="M5" s="24" t="n">
        <v>0</v>
      </c>
      <c r="N5" s="24" t="n">
        <v>6</v>
      </c>
      <c r="O5" s="24" t="n">
        <v>3</v>
      </c>
      <c r="P5" s="24" t="n">
        <v>1</v>
      </c>
      <c r="Q5" s="24">
        <f>SUM(L5:P5)</f>
        <v/>
      </c>
      <c r="R5" s="24">
        <f>ROUND(Q5*(1-Assumptions!$B$6),1)</f>
        <v/>
      </c>
      <c r="S5" s="24">
        <f>ROUND(Q5*(1+Assumptions!$B$6),1)</f>
        <v/>
      </c>
      <c r="T5" s="25">
        <f>Q5*Assumptions!$B$7</f>
        <v/>
      </c>
      <c r="U5" s="12" t="inlineStr">
        <is>
          <t>Medium</t>
        </is>
      </c>
      <c r="V5" s="12" t="inlineStr">
        <is>
          <t>Low</t>
        </is>
      </c>
      <c r="W5" s="12" t="inlineStr">
        <is>
          <t>BDOI's decision on the accessibility level (Annex V, PQ18)</t>
        </is>
      </c>
      <c r="X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24">
        <f>SUM(L5:L5)</f>
        <v/>
      </c>
      <c r="M6" s="24">
        <f>SUM(M5:M5)</f>
        <v/>
      </c>
      <c r="N6" s="24">
        <f>SUM(N5:N5)</f>
        <v/>
      </c>
      <c r="O6" s="24">
        <f>SUM(O5:O5)</f>
        <v/>
      </c>
      <c r="P6" s="24">
        <f>SUM(P5:P5)</f>
        <v/>
      </c>
      <c r="Q6" s="24">
        <f>SUM(Q5:Q5)</f>
        <v/>
      </c>
      <c r="R6" s="24">
        <f>SUM(R5:R5)</f>
        <v/>
      </c>
      <c r="S6" s="24">
        <f>SUM(S5:S5)</f>
        <v/>
      </c>
      <c r="T6" s="25">
        <f>SUM(T5:T5)</f>
        <v/>
      </c>
      <c r="U6" s="12" t="n"/>
      <c r="V6" s="12" t="n"/>
      <c r="W6" s="12" t="n"/>
      <c r="X6" s="12" t="n"/>
    </row>
  </sheetData>
  <autoFilter ref="A4:X6"/>
  <mergeCells count="1">
    <mergeCell ref="A2:X2"/>
  </mergeCells>
  <conditionalFormatting sqref="A5:X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U5:U506" showDropDown="0" showInputMessage="0" showErrorMessage="1" allowBlank="1" errorTitle="Complexity" error="Choose a value from the list (Complexity)." type="list">
      <formula1>'Lists'!$B$2:$B$4</formula1>
    </dataValidation>
    <dataValidation sqref="V5:V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23"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23"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23"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23"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23"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23"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23"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23"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routing and the two BDOI texts.</t>
        </is>
      </c>
      <c r="E23" s="23"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23"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30" t="inlineStr">
        <is>
          <t>CR Effort: BRD relation</t>
        </is>
      </c>
      <c r="B1" s="30" t="inlineStr">
        <is>
          <t>CR Effort: Complexity</t>
        </is>
      </c>
      <c r="C1" s="30" t="inlineStr">
        <is>
          <t>CR Effort: Priority</t>
        </is>
      </c>
      <c r="D1" s="30" t="inlineStr">
        <is>
          <t>Integration &amp; DM scope: Scope</t>
        </is>
      </c>
      <c r="E1" s="30" t="inlineStr">
        <is>
          <t>Best practice (blue): Suggested priority</t>
        </is>
      </c>
    </row>
    <row r="2">
      <c r="A2" s="31" t="inlineStr">
        <is>
          <t>Extends a BRD requirement</t>
        </is>
      </c>
      <c r="B2" s="31" t="inlineStr">
        <is>
          <t>Low</t>
        </is>
      </c>
      <c r="C2" s="31" t="inlineStr">
        <is>
          <t>High</t>
        </is>
      </c>
      <c r="D2" s="31" t="inlineStr">
        <is>
          <t>Integration scope</t>
        </is>
      </c>
      <c r="E2" s="31" t="inlineStr">
        <is>
          <t>High</t>
        </is>
      </c>
    </row>
    <row r="3">
      <c r="A3" s="31" t="inlineStr">
        <is>
          <t>Not in any BRD</t>
        </is>
      </c>
      <c r="B3" s="31" t="inlineStr">
        <is>
          <t>Medium</t>
        </is>
      </c>
      <c r="C3" s="31" t="inlineStr">
        <is>
          <t>Medium</t>
        </is>
      </c>
      <c r="D3" s="31" t="inlineStr">
        <is>
          <t>Data Migration scope</t>
        </is>
      </c>
      <c r="E3" s="31" t="inlineStr">
        <is>
          <t>Medium</t>
        </is>
      </c>
    </row>
    <row r="4">
      <c r="B4" s="31" t="inlineStr">
        <is>
          <t>High</t>
        </is>
      </c>
      <c r="C4" s="31" t="inlineStr">
        <is>
          <t>Low</t>
        </is>
      </c>
      <c r="E4" s="31"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2026-10-13T01:26:15Z</dcterms:created>
  <dcterms:modified xmlns:dcterms="http://purl.org/dc/terms/" xmlns:xsi="http://www.w3.org/2001/XMLSchema-instance" xsi:type="dcterms:W3CDTF">2026-10-13T01:26:15Z</dcterms:modified>
  <cp:keywords>Estimate, BRD-03, BIBS, BDOI</cp:keywords>
</cp:coreProperties>
</file>