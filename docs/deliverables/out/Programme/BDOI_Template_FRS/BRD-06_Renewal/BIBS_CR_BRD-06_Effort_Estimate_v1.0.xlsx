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CR estimates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Green items (no cost)" sheetId="6" state="visible" r:id="rId6"/>
    <sheet xmlns:r="http://schemas.openxmlformats.org/officeDocument/2006/relationships" name="Lists" sheetId="7" state="visible" r:id="rId7"/>
  </sheets>
  <definedNames>
    <definedName name="_xlnm._FilterDatabase" localSheetId="1" hidden="1">'README'!$A$4:$D$34</definedName>
    <definedName name="_xlnm.Print_Titles" localSheetId="1">'README'!$4:$4</definedName>
    <definedName name="_xlnm._FilterDatabase" localSheetId="2" hidden="1">'CR estimates'!$A$4:$R$5</definedName>
    <definedName name="_xlnm.Print_Titles" localSheetId="2">'CR estimates'!$4:$4</definedName>
    <definedName name="_xlnm._FilterDatabase" localSheetId="3" hidden="1">'Summary'!$A$4:$B$15</definedName>
    <definedName name="_xlnm.Print_Titles" localSheetId="3">'Summary'!$4:$4</definedName>
    <definedName name="_xlnm._FilterDatabase" localSheetId="4" hidden="1">'Assumptions'!$A$4:$B$10</definedName>
    <definedName name="_xlnm.Print_Titles" localSheetId="4">'Assumptions'!$4:$4</definedName>
    <definedName name="_xlnm._FilterDatabase" localSheetId="5" hidden="1">'Green items (no cost)'!$A$4:$H$27</definedName>
    <definedName name="_xlnm.Print_Titles" localSheetId="5">'Green items (no cost)'!$4:$4</definedName>
    <definedName name="_xlnm.Print_Titles" localSheetId="6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b val="1"/>
      <color rgb="00E6510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1" fillId="2" borderId="2" pivotButton="0" quotePrefix="0" xfId="0"/>
    <xf numFmtId="0" fontId="6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14" fillId="0" borderId="2" applyAlignment="1" pivotButton="0" quotePrefix="0" xfId="0">
      <alignment vertical="top" wrapText="1"/>
    </xf>
    <xf numFmtId="0" fontId="14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2" fontId="2" fillId="0" borderId="2" applyAlignment="1" pivotButton="0" quotePrefix="0" xfId="0">
      <alignment vertical="top" wrapText="1"/>
    </xf>
    <xf numFmtId="4" fontId="2" fillId="0" borderId="2" applyAlignment="1" pivotButton="0" quotePrefix="0" xfId="0">
      <alignment vertical="top" wrapText="1"/>
    </xf>
    <xf numFmtId="4" fontId="5" fillId="0" borderId="2" applyAlignment="1" pivotButton="0" quotePrefix="0" xfId="0">
      <alignment vertical="top" wrapText="1"/>
    </xf>
    <xf numFmtId="9" fontId="2" fillId="0" borderId="2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26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CR estimates'!A1" TargetMode="External" Id="rId2"/><Relationship Type="http://schemas.openxmlformats.org/officeDocument/2006/relationships/hyperlink" Target="#'Summary'!A1" TargetMode="External" Id="rId3"/><Relationship Type="http://schemas.openxmlformats.org/officeDocument/2006/relationships/hyperlink" Target="#'Assumptions'!A1" TargetMode="External" Id="rId4"/><Relationship Type="http://schemas.openxmlformats.org/officeDocument/2006/relationships/hyperlink" Target="#'Green items (no cost)'!A1" TargetMode="External" Id="rId5"/><Relationship Type="http://schemas.openxmlformats.org/officeDocument/2006/relationships/drawing" Target="/xl/drawings/drawing1.xml" Id="rId6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CHANGE CONTROL</t>
        </is>
      </c>
    </row>
    <row r="7" ht="32" customHeight="1">
      <c r="B7" s="3" t="inlineStr">
        <is>
          <t>CR Effort Estimate</t>
        </is>
      </c>
    </row>
    <row r="8">
      <c r="B8" s="4" t="inlineStr">
        <is>
          <t>BRD-06 Renewal - change requests of the FRS v1.2 (orange points)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BRD-06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CR estimates</t>
        </is>
      </c>
      <c r="C21" s="14" t="inlineStr">
        <is>
          <t>One row per orange point of the FRS v1.2 (neither in the BRD nor out of the box), with the effort by activity</t>
        </is>
      </c>
      <c r="D21" s="14" t="n">
        <v>1</v>
      </c>
    </row>
    <row r="22">
      <c r="B22" s="11" t="inlineStr">
        <is>
          <t>Summary</t>
        </is>
      </c>
      <c r="C22" s="12" t="inlineStr">
        <is>
          <t>Totals of the change requests of BRD-06 Renewal</t>
        </is>
      </c>
      <c r="D22" s="12" t="n">
        <v>11</v>
      </c>
    </row>
    <row r="23">
      <c r="B23" s="13" t="inlineStr">
        <is>
          <t>Assumptions</t>
        </is>
      </c>
      <c r="C23" s="14" t="inlineStr">
        <is>
          <t>Assumptions of the estimate; the daily rate in B6 drives the cost columns</t>
        </is>
      </c>
      <c r="D23" s="14" t="n">
        <v>6</v>
      </c>
    </row>
    <row r="24">
      <c r="B24" s="11" t="inlineStr">
        <is>
          <t>Green items (no cost)</t>
        </is>
      </c>
      <c r="C24" s="12" t="inlineStr">
        <is>
          <t>Points beyond the BRD that the system offers out of the box (green in the FRS v1.2)</t>
        </is>
      </c>
      <c r="D24" s="12" t="n">
        <v>23</v>
      </c>
    </row>
    <row r="27" ht="26" customHeight="1">
      <c r="B27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&amp;K004EA8CR Effort Estimate&amp;R&amp;8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6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CR Effort Estimate,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CR estimates</t>
        </is>
      </c>
      <c r="B5" s="17" t="inlineStr">
        <is>
          <t>CR No.</t>
        </is>
      </c>
      <c r="C5" s="12" t="inlineStr">
        <is>
          <t>Change request number of the register</t>
        </is>
      </c>
      <c r="D5" s="12" t="inlineStr"/>
    </row>
    <row r="6">
      <c r="A6" s="14" t="inlineStr">
        <is>
          <t>CR estimates</t>
        </is>
      </c>
      <c r="B6" s="18" t="inlineStr">
        <is>
          <t>Title</t>
        </is>
      </c>
      <c r="C6" s="14" t="inlineStr"/>
      <c r="D6" s="14" t="inlineStr"/>
    </row>
    <row r="7">
      <c r="A7" s="12" t="inlineStr">
        <is>
          <t>CR estimates</t>
        </is>
      </c>
      <c r="B7" s="17" t="inlineStr">
        <is>
          <t>FRS reference</t>
        </is>
      </c>
      <c r="C7" s="12" t="inlineStr">
        <is>
          <t>Where the orange point is stated</t>
        </is>
      </c>
      <c r="D7" s="12" t="inlineStr"/>
    </row>
    <row r="8">
      <c r="A8" s="14" t="inlineStr">
        <is>
          <t>CR estimates</t>
        </is>
      </c>
      <c r="B8" s="18" t="inlineStr">
        <is>
          <t>BRD reference</t>
        </is>
      </c>
      <c r="C8" s="14" t="inlineStr">
        <is>
          <t>BRD ID, or Not in BRD</t>
        </is>
      </c>
      <c r="D8" s="14" t="inlineStr"/>
    </row>
    <row r="9">
      <c r="A9" s="12" t="inlineStr">
        <is>
          <t>CR estimates</t>
        </is>
      </c>
      <c r="B9" s="17" t="inlineStr">
        <is>
          <t>Source</t>
        </is>
      </c>
      <c r="C9" s="12" t="inlineStr"/>
      <c r="D9" s="12" t="inlineStr"/>
    </row>
    <row r="10">
      <c r="A10" s="14" t="inlineStr">
        <is>
          <t>CR estimates</t>
        </is>
      </c>
      <c r="B10" s="18" t="inlineStr">
        <is>
          <t>Why needed</t>
        </is>
      </c>
      <c r="C10" s="14" t="inlineStr"/>
      <c r="D10" s="14" t="inlineStr"/>
    </row>
    <row r="11">
      <c r="A11" s="12" t="inlineStr">
        <is>
          <t>CR estimates</t>
        </is>
      </c>
      <c r="B11" s="17" t="inlineStr">
        <is>
          <t>Out-of-the-box status</t>
        </is>
      </c>
      <c r="C11" s="12" t="inlineStr"/>
      <c r="D11" s="12" t="inlineStr"/>
    </row>
    <row r="12">
      <c r="A12" s="14" t="inlineStr">
        <is>
          <t>CR estimates</t>
        </is>
      </c>
      <c r="B12" s="18" t="inlineStr">
        <is>
          <t>Analysis and design (man-days)</t>
        </is>
      </c>
      <c r="C12" s="14" t="inlineStr">
        <is>
          <t>Estimate in man-days</t>
        </is>
      </c>
      <c r="D12" s="14" t="inlineStr"/>
    </row>
    <row r="13">
      <c r="A13" s="12" t="inlineStr">
        <is>
          <t>CR estimates</t>
        </is>
      </c>
      <c r="B13" s="17" t="inlineStr">
        <is>
          <t>Back end (man-days)</t>
        </is>
      </c>
      <c r="C13" s="12" t="inlineStr">
        <is>
          <t>Estimate in man-days</t>
        </is>
      </c>
      <c r="D13" s="12" t="inlineStr"/>
    </row>
    <row r="14">
      <c r="A14" s="14" t="inlineStr">
        <is>
          <t>CR estimates</t>
        </is>
      </c>
      <c r="B14" s="18" t="inlineStr">
        <is>
          <t>Front end (man-days)</t>
        </is>
      </c>
      <c r="C14" s="14" t="inlineStr">
        <is>
          <t>Estimate in man-days</t>
        </is>
      </c>
      <c r="D14" s="14" t="inlineStr"/>
    </row>
    <row r="15">
      <c r="A15" s="12" t="inlineStr">
        <is>
          <t>CR estimates</t>
        </is>
      </c>
      <c r="B15" s="17" t="inlineStr">
        <is>
          <t>Testing (man-days)</t>
        </is>
      </c>
      <c r="C15" s="12" t="inlineStr">
        <is>
          <t>Estimate in man-days</t>
        </is>
      </c>
      <c r="D15" s="12" t="inlineStr"/>
    </row>
    <row r="16">
      <c r="A16" s="14" t="inlineStr">
        <is>
          <t>CR estimates</t>
        </is>
      </c>
      <c r="B16" s="18" t="inlineStr">
        <is>
          <t>Documentation and UAT support (man-days)</t>
        </is>
      </c>
      <c r="C16" s="14" t="inlineStr">
        <is>
          <t>Estimate in man-days</t>
        </is>
      </c>
      <c r="D16" s="14" t="inlineStr"/>
    </row>
    <row r="17">
      <c r="A17" s="12" t="inlineStr">
        <is>
          <t>CR estimates</t>
        </is>
      </c>
      <c r="B17" s="17" t="inlineStr">
        <is>
          <t>Total man-days</t>
        </is>
      </c>
      <c r="C17" s="12" t="inlineStr">
        <is>
          <t>Sum of the activities</t>
        </is>
      </c>
      <c r="D17" s="12" t="inlineStr"/>
    </row>
    <row r="18">
      <c r="A18" s="14" t="inlineStr">
        <is>
          <t>CR estimates</t>
        </is>
      </c>
      <c r="B18" s="18" t="inlineStr">
        <is>
          <t>Cost (at the rate of sheet Assumptions)</t>
        </is>
      </c>
      <c r="C18" s="14" t="inlineStr">
        <is>
          <t>Total x daily rate</t>
        </is>
      </c>
      <c r="D18" s="14" t="inlineStr"/>
    </row>
    <row r="19">
      <c r="A19" s="12" t="inlineStr">
        <is>
          <t>CR estimates</t>
        </is>
      </c>
      <c r="B19" s="17" t="inlineStr">
        <is>
          <t>Complexity</t>
        </is>
      </c>
      <c r="C19" s="12" t="inlineStr"/>
      <c r="D19" s="12" t="inlineStr">
        <is>
          <t>Low, Medium, High</t>
        </is>
      </c>
    </row>
    <row r="20">
      <c r="A20" s="14" t="inlineStr">
        <is>
          <t>CR estimates</t>
        </is>
      </c>
      <c r="B20" s="18" t="inlineStr">
        <is>
          <t>Priority</t>
        </is>
      </c>
      <c r="C20" s="14" t="inlineStr"/>
      <c r="D20" s="14" t="inlineStr">
        <is>
          <t>High, Medium, Low</t>
        </is>
      </c>
    </row>
    <row r="21">
      <c r="A21" s="12" t="inlineStr">
        <is>
          <t>CR estimates</t>
        </is>
      </c>
      <c r="B21" s="17" t="inlineStr">
        <is>
          <t>Dependencies</t>
        </is>
      </c>
      <c r="C21" s="12" t="inlineStr"/>
      <c r="D21" s="12" t="inlineStr"/>
    </row>
    <row r="22">
      <c r="A22" s="14" t="inlineStr">
        <is>
          <t>CR estimates</t>
        </is>
      </c>
      <c r="B22" s="18" t="inlineStr">
        <is>
          <t>Assumptions</t>
        </is>
      </c>
      <c r="C22" s="14" t="inlineStr"/>
      <c r="D22" s="14" t="inlineStr"/>
    </row>
    <row r="23">
      <c r="A23" s="12" t="inlineStr">
        <is>
          <t>Summary</t>
        </is>
      </c>
      <c r="B23" s="17" t="inlineStr">
        <is>
          <t>Item</t>
        </is>
      </c>
      <c r="C23" s="12" t="inlineStr"/>
      <c r="D23" s="12" t="inlineStr"/>
    </row>
    <row r="24">
      <c r="A24" s="14" t="inlineStr">
        <is>
          <t>Summary</t>
        </is>
      </c>
      <c r="B24" s="18" t="inlineStr">
        <is>
          <t>Value</t>
        </is>
      </c>
      <c r="C24" s="14" t="inlineStr"/>
      <c r="D24" s="14" t="inlineStr"/>
    </row>
    <row r="25">
      <c r="A25" s="12" t="inlineStr">
        <is>
          <t>Assumptions</t>
        </is>
      </c>
      <c r="B25" s="17" t="inlineStr">
        <is>
          <t>Assumption</t>
        </is>
      </c>
      <c r="C25" s="12" t="inlineStr"/>
      <c r="D25" s="12" t="inlineStr"/>
    </row>
    <row r="26">
      <c r="A26" s="14" t="inlineStr">
        <is>
          <t>Assumptions</t>
        </is>
      </c>
      <c r="B26" s="18" t="inlineStr">
        <is>
          <t>Value</t>
        </is>
      </c>
      <c r="C26" s="14" t="inlineStr"/>
      <c r="D26" s="14" t="inlineStr"/>
    </row>
    <row r="27">
      <c r="A27" s="12" t="inlineStr">
        <is>
          <t>Green items (no cost)</t>
        </is>
      </c>
      <c r="B27" s="17" t="inlineStr">
        <is>
          <t>No.</t>
        </is>
      </c>
      <c r="C27" s="12" t="inlineStr"/>
      <c r="D27" s="12" t="inlineStr"/>
    </row>
    <row r="28">
      <c r="A28" s="14" t="inlineStr">
        <is>
          <t>Green items (no cost)</t>
        </is>
      </c>
      <c r="B28" s="18" t="inlineStr">
        <is>
          <t>FR item</t>
        </is>
      </c>
      <c r="C28" s="14" t="inlineStr"/>
      <c r="D28" s="14" t="inlineStr"/>
    </row>
    <row r="29">
      <c r="A29" s="12" t="inlineStr">
        <is>
          <t>Green items (no cost)</t>
        </is>
      </c>
      <c r="B29" s="17" t="inlineStr">
        <is>
          <t>Point</t>
        </is>
      </c>
      <c r="C29" s="12" t="inlineStr"/>
      <c r="D29" s="12" t="inlineStr"/>
    </row>
    <row r="30">
      <c r="A30" s="14" t="inlineStr">
        <is>
          <t>Green items (no cost)</t>
        </is>
      </c>
      <c r="B30" s="18" t="inlineStr">
        <is>
          <t>BRD (what it asks)</t>
        </is>
      </c>
      <c r="C30" s="14" t="inlineStr"/>
      <c r="D30" s="14" t="inlineStr"/>
    </row>
    <row r="31">
      <c r="A31" s="12" t="inlineStr">
        <is>
          <t>Green items (no cost)</t>
        </is>
      </c>
      <c r="B31" s="17" t="inlineStr">
        <is>
          <t>Source</t>
        </is>
      </c>
      <c r="C31" s="12" t="inlineStr"/>
      <c r="D31" s="12" t="inlineStr"/>
    </row>
    <row r="32">
      <c r="A32" s="14" t="inlineStr">
        <is>
          <t>Green items (no cost)</t>
        </is>
      </c>
      <c r="B32" s="18" t="inlineStr">
        <is>
          <t>Offered by the system out of the box</t>
        </is>
      </c>
      <c r="C32" s="14" t="inlineStr"/>
      <c r="D32" s="14" t="inlineStr"/>
    </row>
    <row r="33">
      <c r="A33" s="12" t="inlineStr">
        <is>
          <t>Green items (no cost)</t>
        </is>
      </c>
      <c r="B33" s="17" t="inlineStr">
        <is>
          <t>Register</t>
        </is>
      </c>
      <c r="C33" s="12" t="inlineStr">
        <is>
          <t>Candidate of the Change Request Register</t>
        </is>
      </c>
      <c r="D33" s="12" t="inlineStr"/>
    </row>
    <row r="34">
      <c r="A34" s="14" t="inlineStr">
        <is>
          <t>Green items (no cost)</t>
        </is>
      </c>
      <c r="B34" s="18" t="inlineStr">
        <is>
          <t>Man-days</t>
        </is>
      </c>
      <c r="C34" s="14" t="inlineStr">
        <is>
          <t>Zero: out of the box</t>
        </is>
      </c>
      <c r="D34" s="14" t="inlineStr"/>
    </row>
  </sheetData>
  <autoFilter ref="A4:D34"/>
  <printOptions horizontalCentered="1"/>
  <pageMargins left="0.4" right="0.4" top="0.6" bottom="0.6" header="0.5" footer="0.5"/>
  <pageSetup orientation="landscape" paperSize="1" fitToHeight="0" fitToWidth="1"/>
  <headerFooter>
    <oddHeader>&amp;L&amp;8 &amp;K004EA8CR Effort Estimate&amp;R&amp;8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6" customWidth="1" min="2" max="2"/>
    <col width="18" customWidth="1" min="3" max="3"/>
    <col width="14" customWidth="1" min="4" max="4"/>
    <col width="30" customWidth="1" min="5" max="5"/>
    <col width="44" customWidth="1" min="6" max="6"/>
    <col width="4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6" customWidth="1" min="14" max="14"/>
    <col width="12" customWidth="1" min="15" max="15"/>
    <col width="10" customWidth="1" min="16" max="16"/>
    <col width="36" customWidth="1" min="17" max="17"/>
    <col width="44" customWidth="1" min="18" max="18"/>
  </cols>
  <sheetData>
    <row r="1" ht="24" customHeight="1">
      <c r="A1" s="16" t="inlineStr">
        <is>
          <t>CR estimates</t>
        </is>
      </c>
    </row>
    <row r="2">
      <c r="A2" s="19" t="inlineStr">
        <is>
          <t>One row per orange point of the FRS v1.2 (neither in the BRD nor out of the box), with the effort by activity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</row>
    <row r="4" ht="30" customHeight="1">
      <c r="A4" s="21" t="inlineStr">
        <is>
          <t>CR No.</t>
        </is>
      </c>
      <c r="B4" s="21" t="inlineStr">
        <is>
          <t>Title</t>
        </is>
      </c>
      <c r="C4" s="21" t="inlineStr">
        <is>
          <t>FRS reference</t>
        </is>
      </c>
      <c r="D4" s="21" t="inlineStr">
        <is>
          <t>BRD reference</t>
        </is>
      </c>
      <c r="E4" s="21" t="inlineStr">
        <is>
          <t>Source</t>
        </is>
      </c>
      <c r="F4" s="21" t="inlineStr">
        <is>
          <t>Why needed</t>
        </is>
      </c>
      <c r="G4" s="21" t="inlineStr">
        <is>
          <t>Out-of-the-box status</t>
        </is>
      </c>
      <c r="H4" s="21" t="inlineStr">
        <is>
          <t>Analysis and design (man-days)</t>
        </is>
      </c>
      <c r="I4" s="21" t="inlineStr">
        <is>
          <t>Back end (man-days)</t>
        </is>
      </c>
      <c r="J4" s="21" t="inlineStr">
        <is>
          <t>Front end (man-days)</t>
        </is>
      </c>
      <c r="K4" s="21" t="inlineStr">
        <is>
          <t>Testing (man-days)</t>
        </is>
      </c>
      <c r="L4" s="21" t="inlineStr">
        <is>
          <t>Documentation and UAT support (man-days)</t>
        </is>
      </c>
      <c r="M4" s="21" t="inlineStr">
        <is>
          <t>Total man-days</t>
        </is>
      </c>
      <c r="N4" s="21" t="inlineStr">
        <is>
          <t>Cost (at the rate of sheet Assumptions)</t>
        </is>
      </c>
      <c r="O4" s="21" t="inlineStr">
        <is>
          <t>Complexity</t>
        </is>
      </c>
      <c r="P4" s="21" t="inlineStr">
        <is>
          <t>Priority</t>
        </is>
      </c>
      <c r="Q4" s="21" t="inlineStr">
        <is>
          <t>Dependencies</t>
        </is>
      </c>
      <c r="R4" s="21" t="inlineStr">
        <is>
          <t>Assumptions</t>
        </is>
      </c>
    </row>
    <row r="5">
      <c r="A5" s="12" t="inlineStr">
        <is>
          <t>CR-RN-024</t>
        </is>
      </c>
      <c r="B5" s="12" t="inlineStr">
        <is>
          <t>Accessibility conformance (WCAG 2.2 level AA) of the Renewal screens</t>
        </is>
      </c>
      <c r="C5" s="12" t="inlineStr">
        <is>
          <t>Annex AJ RN-NFR-16</t>
        </is>
      </c>
      <c r="D5" s="12" t="inlineStr">
        <is>
          <t>Not in BRD</t>
        </is>
      </c>
      <c r="E5" s="12" t="inlineStr">
        <is>
          <t>Programme register of non-functional requirements (NFR-ACC-01); market practice for bank systems</t>
        </is>
      </c>
      <c r="F5" s="12" t="inlineStr">
        <is>
          <t>The BRD has no accessibility requirement; BDO's policies and the programme register expect screens usable with the keyboard and a screen reader, with sufficient contrast. A conformance claim needs a check of every Renewal screen and the corrections it finds.</t>
        </is>
      </c>
      <c r="G5" s="12" t="inlineStr">
        <is>
          <t>Partly: the screens have labelled fields, keyboard navigation and the programme colours; no conformance check of the Renewal screens against WCAG 2.2 AA and no conformance statement.</t>
        </is>
      </c>
      <c r="H5" s="22" t="n">
        <v>2</v>
      </c>
      <c r="I5" s="22" t="n">
        <v>0</v>
      </c>
      <c r="J5" s="22" t="n">
        <v>12</v>
      </c>
      <c r="K5" s="22" t="n">
        <v>4</v>
      </c>
      <c r="L5" s="22" t="n">
        <v>2</v>
      </c>
      <c r="M5" s="22">
        <f>SUM(H5:L5)</f>
        <v/>
      </c>
      <c r="N5" s="23">
        <f>M5*Assumptions!$B$6</f>
        <v/>
      </c>
      <c r="O5" s="12" t="inlineStr">
        <is>
          <t>Medium</t>
        </is>
      </c>
      <c r="P5" s="12" t="inlineStr">
        <is>
          <t>Medium</t>
        </is>
      </c>
      <c r="Q5" s="12" t="inlineStr">
        <is>
          <t>BDOI confirms the accessibility standard (WCAG 2.2 AA or BDO's own); shared screen components of the programme</t>
        </is>
      </c>
      <c r="R5" s="12" t="inlineStr">
        <is>
          <t>16 Renewal screens and their dialogs; corrections in the shared components benefit every module and are counted once here; no change to the business rules</t>
        </is>
      </c>
    </row>
  </sheetData>
  <autoFilter ref="A4:R5"/>
  <mergeCells count="1">
    <mergeCell ref="A2:R2"/>
  </mergeCells>
  <conditionalFormatting sqref="A5:R505">
    <cfRule type="expression" priority="1" dxfId="0">
      <formula>AND(MOD(ROW(),2)=0,$A5&lt;&gt;"")</formula>
    </cfRule>
  </conditionalFormatting>
  <dataValidations count="2">
    <dataValidation sqref="O5:O505" showDropDown="0" showInputMessage="0" showErrorMessage="1" allowBlank="1" errorTitle="Complexity" error="Choose a value from the list (Complexity)." type="list">
      <formula1>'Lists'!$A$2:$A$4</formula1>
    </dataValidation>
    <dataValidation sqref="P5:P505" showDropDown="0" showInputMessage="0" showErrorMessage="1" allowBlank="1" errorTitle="Priority" error="Choose a value from the list (Priority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&amp;K004EA8CR Effort Estimate&amp;R&amp;8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8" customWidth="1" min="2" max="2"/>
  </cols>
  <sheetData>
    <row r="1" ht="24" customHeight="1">
      <c r="A1" s="16" t="inlineStr">
        <is>
          <t>Summary</t>
        </is>
      </c>
    </row>
    <row r="2">
      <c r="A2" s="19" t="inlineStr">
        <is>
          <t>Totals of the change requests of BRD-06 Renewal</t>
        </is>
      </c>
    </row>
    <row r="3" ht="6" customHeight="1">
      <c r="A3" s="20" t="n"/>
      <c r="B3" s="20" t="n"/>
    </row>
    <row r="4" ht="30" customHeight="1">
      <c r="A4" s="21" t="inlineStr">
        <is>
          <t>Item</t>
        </is>
      </c>
      <c r="B4" s="21" t="inlineStr">
        <is>
          <t>Value</t>
        </is>
      </c>
    </row>
    <row r="5">
      <c r="A5" s="12" t="inlineStr">
        <is>
          <t>Change requests (orange points)</t>
        </is>
      </c>
      <c r="B5" s="22">
        <f>COUNTA('CR estimates'!A5:A5)</f>
        <v/>
      </c>
    </row>
    <row r="6">
      <c r="A6" s="12" t="inlineStr">
        <is>
          <t>Analysis and design (man-days)</t>
        </is>
      </c>
      <c r="B6" s="22">
        <f>SUM('CR estimates'!H5:H5)</f>
        <v/>
      </c>
    </row>
    <row r="7">
      <c r="A7" s="12" t="inlineStr">
        <is>
          <t>Back end (man-days)</t>
        </is>
      </c>
      <c r="B7" s="22">
        <f>SUM('CR estimates'!I5:I5)</f>
        <v/>
      </c>
    </row>
    <row r="8">
      <c r="A8" s="12" t="inlineStr">
        <is>
          <t>Front end (man-days)</t>
        </is>
      </c>
      <c r="B8" s="22">
        <f>SUM('CR estimates'!J5:J5)</f>
        <v/>
      </c>
    </row>
    <row r="9">
      <c r="A9" s="12" t="inlineStr">
        <is>
          <t>Testing (man-days)</t>
        </is>
      </c>
      <c r="B9" s="22">
        <f>SUM('CR estimates'!K5:K5)</f>
        <v/>
      </c>
    </row>
    <row r="10">
      <c r="A10" s="12" t="inlineStr">
        <is>
          <t>Documentation and UAT support (man-days)</t>
        </is>
      </c>
      <c r="B10" s="22">
        <f>SUM('CR estimates'!L5:L5)</f>
        <v/>
      </c>
    </row>
    <row r="11">
      <c r="A11" s="12" t="inlineStr">
        <is>
          <t>Total man-days</t>
        </is>
      </c>
      <c r="B11" s="22">
        <f>SUM('CR estimates'!M5:M5)</f>
        <v/>
      </c>
    </row>
    <row r="12">
      <c r="A12" s="12" t="inlineStr">
        <is>
          <t>Low estimate (-20%)</t>
        </is>
      </c>
      <c r="B12" s="22">
        <f>B11*(1-Assumptions!$B$7)</f>
        <v/>
      </c>
    </row>
    <row r="13">
      <c r="A13" s="12" t="inlineStr">
        <is>
          <t>High estimate (+20%)</t>
        </is>
      </c>
      <c r="B13" s="22">
        <f>B11*(1+Assumptions!$B$7)</f>
        <v/>
      </c>
    </row>
    <row r="14">
      <c r="A14" s="12" t="inlineStr">
        <is>
          <t>Cost at the daily rate</t>
        </is>
      </c>
      <c r="B14" s="23">
        <f>B11*Assumptions!$B$6</f>
        <v/>
      </c>
    </row>
    <row r="15">
      <c r="A15" s="12" t="inlineStr">
        <is>
          <t>Green points (beyond the BRD, out of the box, no cost)</t>
        </is>
      </c>
      <c r="B15" s="22" t="n">
        <v>23</v>
      </c>
    </row>
  </sheetData>
  <autoFilter ref="A4:B15"/>
  <mergeCells count="1">
    <mergeCell ref="A2:B2"/>
  </mergeCells>
  <conditionalFormatting sqref="A5:B51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&amp;K004EA8CR Effort Estimate&amp;R&amp;8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B1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70" customWidth="1" min="2" max="2"/>
  </cols>
  <sheetData>
    <row r="1" ht="24" customHeight="1">
      <c r="A1" s="16" t="inlineStr">
        <is>
          <t>Assumptions</t>
        </is>
      </c>
    </row>
    <row r="2">
      <c r="A2" s="19" t="inlineStr">
        <is>
          <t>Assumptions of the estimate; the daily rate in B6 drives the cost columns</t>
        </is>
      </c>
    </row>
    <row r="3" ht="6" customHeight="1">
      <c r="A3" s="20" t="n"/>
      <c r="B3" s="20" t="n"/>
    </row>
    <row r="4" ht="30" customHeight="1">
      <c r="A4" s="21" t="inlineStr">
        <is>
          <t>Assumption</t>
        </is>
      </c>
      <c r="B4" s="21" t="inlineStr">
        <is>
          <t>Value</t>
        </is>
      </c>
    </row>
    <row r="5">
      <c r="A5" s="12" t="inlineStr">
        <is>
          <t>Hours per man-day</t>
        </is>
      </c>
      <c r="B5" s="12" t="n">
        <v>8</v>
      </c>
    </row>
    <row r="6">
      <c r="A6" s="12" t="inlineStr">
        <is>
          <t>Daily rate (fill in, currency of the contract)</t>
        </is>
      </c>
      <c r="B6" s="24" t="n">
        <v>0</v>
      </c>
    </row>
    <row r="7">
      <c r="A7" s="12" t="inlineStr">
        <is>
          <t>Estimate accuracy (plus or minus)</t>
        </is>
      </c>
      <c r="B7" s="25" t="n">
        <v>0.2</v>
      </c>
    </row>
    <row r="8">
      <c r="A8" s="12" t="inlineStr">
        <is>
          <t>Basis</t>
        </is>
      </c>
      <c r="B8" s="12" t="inlineStr">
        <is>
          <t>The Renewal screens of the system (83 screen components, about 14,400 lines of screen code, 16 screens of Annex AA) and the rules of the change</t>
        </is>
      </c>
    </row>
    <row r="9">
      <c r="A9" s="12" t="inlineStr">
        <is>
          <t>Not included</t>
        </is>
      </c>
      <c r="B9" s="12" t="inlineStr">
        <is>
          <t>Infrastructure, licences, BDOI's own testing time and travel</t>
        </is>
      </c>
    </row>
    <row r="10">
      <c r="A10" s="12" t="inlineStr">
        <is>
          <t>Validity</t>
        </is>
      </c>
      <c r="B10" s="12" t="inlineStr">
        <is>
          <t>Until the FRS is signed; re-estimated in the impact assessment form of the Change Request Register</t>
        </is>
      </c>
    </row>
  </sheetData>
  <autoFilter ref="A4:B10"/>
  <mergeCells count="1">
    <mergeCell ref="A2:B2"/>
  </mergeCells>
  <conditionalFormatting sqref="A5:B510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&amp;K004EA8CR Effort Estimate&amp;R&amp;8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44" customWidth="1" min="3" max="3"/>
    <col width="30" customWidth="1" min="4" max="4"/>
    <col width="20" customWidth="1" min="5" max="5"/>
    <col width="60" customWidth="1" min="6" max="6"/>
    <col width="12" customWidth="1" min="7" max="7"/>
    <col width="10" customWidth="1" min="8" max="8"/>
  </cols>
  <sheetData>
    <row r="1" ht="24" customHeight="1">
      <c r="A1" s="16" t="inlineStr">
        <is>
          <t>Green items (no cost)</t>
        </is>
      </c>
    </row>
    <row r="2">
      <c r="A2" s="19" t="inlineStr">
        <is>
          <t>Points beyond the BRD that the system offers out of the box (green in the FRS v1.2)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  <c r="H3" s="20" t="n"/>
    </row>
    <row r="4" ht="30" customHeight="1">
      <c r="A4" s="21" t="inlineStr">
        <is>
          <t>No.</t>
        </is>
      </c>
      <c r="B4" s="21" t="inlineStr">
        <is>
          <t>FR item</t>
        </is>
      </c>
      <c r="C4" s="21" t="inlineStr">
        <is>
          <t>Point</t>
        </is>
      </c>
      <c r="D4" s="21" t="inlineStr">
        <is>
          <t>BRD (what it asks)</t>
        </is>
      </c>
      <c r="E4" s="21" t="inlineStr">
        <is>
          <t>Source</t>
        </is>
      </c>
      <c r="F4" s="21" t="inlineStr">
        <is>
          <t>Offered by the system out of the box</t>
        </is>
      </c>
      <c r="G4" s="21" t="inlineStr">
        <is>
          <t>Register</t>
        </is>
      </c>
      <c r="H4" s="21" t="inlineStr">
        <is>
          <t>Man-days</t>
        </is>
      </c>
    </row>
    <row r="5">
      <c r="A5" s="12" t="inlineStr">
        <is>
          <t>G-01</t>
        </is>
      </c>
      <c r="B5" s="12" t="inlineStr">
        <is>
          <t>FRRN.010.01</t>
        </is>
      </c>
      <c r="C5" s="12" t="inlineStr">
        <is>
          <t>Automatic assignment by team and sub-team (Annex F)</t>
        </is>
      </c>
      <c r="D5" s="12" t="inlineStr">
        <is>
          <t>BRD 1.005, 3.005 (the Team Lead assigns)</t>
        </is>
      </c>
      <c r="E5" s="12" t="inlineStr">
        <is>
          <t>BDOI's FRS</t>
        </is>
      </c>
      <c r="F5" s="12" t="inlineStr">
        <is>
          <t>Automatic assignment of the market segments chosen to the Account Officer of the team with the fewest open accounts; a setting of Renewal Setup</t>
        </is>
      </c>
      <c r="G5" s="12" t="inlineStr">
        <is>
          <t>CR-RN-001</t>
        </is>
      </c>
      <c r="H5" s="22" t="n">
        <v>0</v>
      </c>
    </row>
    <row r="6">
      <c r="A6" s="12" t="inlineStr">
        <is>
          <t>G-02</t>
        </is>
      </c>
      <c r="B6" s="12" t="inlineStr">
        <is>
          <t>FRRN.011.03</t>
        </is>
      </c>
      <c r="C6" s="12" t="inlineStr">
        <is>
          <t>New Business account from an accepted referral</t>
        </is>
      </c>
      <c r="D6" s="12" t="inlineStr">
        <is>
          <t>BRD 1.006 (transfer of the account)</t>
        </is>
      </c>
      <c r="E6" s="12" t="inlineStr">
        <is>
          <t>BDOI's FRS</t>
        </is>
      </c>
      <c r="F6" s="12" t="inlineStr">
        <is>
          <t>Referral to another unit, accepted by the receiving unit, which opens the New Business account; transfer or referral is a setting</t>
        </is>
      </c>
      <c r="G6" s="12" t="inlineStr">
        <is>
          <t>CR-RN-002</t>
        </is>
      </c>
      <c r="H6" s="22" t="n">
        <v>0</v>
      </c>
    </row>
    <row r="7">
      <c r="A7" s="12" t="inlineStr">
        <is>
          <t>G-03</t>
        </is>
      </c>
      <c r="B7" s="12" t="inlineStr">
        <is>
          <t>FRRN.002.02.01</t>
        </is>
      </c>
      <c r="C7" s="12" t="inlineStr">
        <is>
          <t>Marketing dashboard metrics (budget, pipeline, closing ratio, top deals, persistency, product mix)</t>
        </is>
      </c>
      <c r="D7" s="12" t="inlineStr">
        <is>
          <t>BRD 1.009.7 (accounts per officer)</t>
        </is>
      </c>
      <c r="E7" s="12" t="inlineStr">
        <is>
          <t>BDOI's FRS</t>
        </is>
      </c>
      <c r="F7" s="12" t="inlineStr">
        <is>
          <t>Renewal Dashboard with the budget, pipeline, closing ratio, top deals, persistency and product mix tiles and their drill-downs</t>
        </is>
      </c>
      <c r="G7" s="12" t="inlineStr">
        <is>
          <t>CR-RN-003</t>
        </is>
      </c>
      <c r="H7" s="22" t="n">
        <v>0</v>
      </c>
    </row>
    <row r="8">
      <c r="A8" s="12" t="inlineStr">
        <is>
          <t>G-04</t>
        </is>
      </c>
      <c r="B8" s="12" t="inlineStr">
        <is>
          <t>FRRN.003.02</t>
        </is>
      </c>
      <c r="C8" s="12" t="inlineStr">
        <is>
          <t>Processing dashboard cards and drill-downs</t>
        </is>
      </c>
      <c r="D8" s="12" t="inlineStr">
        <is>
          <t>BRD 3.010.7</t>
        </is>
      </c>
      <c r="E8" s="12" t="inlineStr">
        <is>
          <t>BDOI's FRS</t>
        </is>
      </c>
      <c r="F8" s="12" t="inlineStr">
        <is>
          <t>Processing Dashboard with the placement, booking, policy and releasing cards and drill-downs</t>
        </is>
      </c>
      <c r="G8" s="12" t="inlineStr">
        <is>
          <t>CR-RN-004</t>
        </is>
      </c>
      <c r="H8" s="22" t="n">
        <v>0</v>
      </c>
    </row>
    <row r="9">
      <c r="A9" s="12" t="inlineStr">
        <is>
          <t>G-05</t>
        </is>
      </c>
      <c r="B9" s="12" t="inlineStr">
        <is>
          <t>FRRN.042.01</t>
        </is>
      </c>
      <c r="C9" s="12" t="inlineStr">
        <is>
          <t>Annual renewal budget maintenance, upload, inquiry and history</t>
        </is>
      </c>
      <c r="D9" s="12" t="inlineStr">
        <is>
          <t>BRD 1.009.7 (dashboard)</t>
        </is>
      </c>
      <c r="E9" s="12" t="inlineStr">
        <is>
          <t>BDOI's FRS</t>
        </is>
      </c>
      <c r="F9" s="12" t="inlineStr">
        <is>
          <t>Renewal Budget screen: maintenance with four eyes, upload, inquiry and history</t>
        </is>
      </c>
      <c r="G9" s="12" t="inlineStr">
        <is>
          <t>CR-RN-005</t>
        </is>
      </c>
      <c r="H9" s="22" t="n">
        <v>0</v>
      </c>
    </row>
    <row r="10">
      <c r="A10" s="12" t="inlineStr">
        <is>
          <t>G-06</t>
        </is>
      </c>
      <c r="B10" s="12" t="inlineStr">
        <is>
          <t>FRRN.039.02</t>
        </is>
      </c>
      <c r="C10" s="12" t="inlineStr">
        <is>
          <t>KYC monitoring statuses, history and dashboard</t>
        </is>
      </c>
      <c r="D10" s="12" t="inlineStr">
        <is>
          <t>BRRN.028 (KYC flag)</t>
        </is>
      </c>
      <c r="E10" s="12" t="inlineStr">
        <is>
          <t>BDOI's FRS</t>
        </is>
      </c>
      <c r="F10" s="12" t="inlineStr">
        <is>
          <t>KYC Monitoring screen with statuses, history and counts, and the daily KYC run</t>
        </is>
      </c>
      <c r="G10" s="12" t="inlineStr">
        <is>
          <t>CR-RN-006</t>
        </is>
      </c>
      <c r="H10" s="22" t="n">
        <v>0</v>
      </c>
    </row>
    <row r="11">
      <c r="A11" s="12" t="inlineStr">
        <is>
          <t>G-07</t>
        </is>
      </c>
      <c r="B11" s="12" t="inlineStr">
        <is>
          <t>FRRN.012.06</t>
        </is>
      </c>
      <c r="C11" s="12" t="inlineStr">
        <is>
          <t>BDOFC and SOLD uploads and matching</t>
        </is>
      </c>
      <c r="D11" s="12" t="inlineStr">
        <is>
          <t>BRRN.029</t>
        </is>
      </c>
      <c r="E11" s="12" t="inlineStr">
        <is>
          <t>BDOI's FRS</t>
        </is>
      </c>
      <c r="F11" s="12" t="inlineStr">
        <is>
          <t>Upload of the BDOFC and SOLD reports in the Upload Centre with matching on the PN and the sanitation rule</t>
        </is>
      </c>
      <c r="G11" s="12" t="inlineStr">
        <is>
          <t>CR-RN-007</t>
        </is>
      </c>
      <c r="H11" s="22" t="n">
        <v>0</v>
      </c>
    </row>
    <row r="12">
      <c r="A12" s="12" t="inlineStr">
        <is>
          <t>G-08</t>
        </is>
      </c>
      <c r="B12" s="12" t="inlineStr">
        <is>
          <t>FRRN.009.01</t>
        </is>
      </c>
      <c r="C12" s="12" t="inlineStr">
        <is>
          <t>CBG Motor automatic update (depreciation, BI / PD tiers, Auto Promo to Regular)</t>
        </is>
      </c>
      <c r="D12" s="12" t="inlineStr">
        <is>
          <t>BRRN.039</t>
        </is>
      </c>
      <c r="E12" s="12" t="inlineStr">
        <is>
          <t>BDOI's FRS (Annexes D, E)</t>
        </is>
      </c>
      <c r="F12" s="12" t="inlineStr">
        <is>
          <t>Automatic update of CBG Motor renewals with the depreciation and tier tables maintained by the Business Administrator</t>
        </is>
      </c>
      <c r="G12" s="12" t="inlineStr">
        <is>
          <t>CR-RN-008</t>
        </is>
      </c>
      <c r="H12" s="22" t="n">
        <v>0</v>
      </c>
    </row>
    <row r="13">
      <c r="A13" s="12" t="inlineStr">
        <is>
          <t>G-09</t>
        </is>
      </c>
      <c r="B13" s="12" t="inlineStr">
        <is>
          <t>FRRN.014.03</t>
        </is>
      </c>
      <c r="C13" s="12" t="inlineStr">
        <is>
          <t>Allocation to several insurers by percentage or amount</t>
        </is>
      </c>
      <c r="D13" s="12" t="inlineStr">
        <is>
          <t>BRRN.040</t>
        </is>
      </c>
      <c r="E13" s="12" t="inlineStr">
        <is>
          <t>BDOI's FRS</t>
        </is>
      </c>
      <c r="F13" s="12" t="inlineStr">
        <is>
          <t>Insurer allocation on the renewal account by percentage or amount</t>
        </is>
      </c>
      <c r="G13" s="12" t="inlineStr">
        <is>
          <t>CR-RN-009</t>
        </is>
      </c>
      <c r="H13" s="22" t="n">
        <v>0</v>
      </c>
    </row>
    <row r="14">
      <c r="A14" s="12" t="inlineStr">
        <is>
          <t>G-10</t>
        </is>
      </c>
      <c r="B14" s="12" t="inlineStr">
        <is>
          <t>FRRN.014.05</t>
        </is>
      </c>
      <c r="C14" s="12" t="inlineStr">
        <is>
          <t>Direct-to-Insurer Payment approval (blanket or Unit Head)</t>
        </is>
      </c>
      <c r="D14" s="12" t="inlineStr">
        <is>
          <t>BRRN.040</t>
        </is>
      </c>
      <c r="E14" s="12" t="inlineStr">
        <is>
          <t>BDOI's FRS</t>
        </is>
      </c>
      <c r="F14" s="12" t="inlineStr">
        <is>
          <t>Direct-to-Insurer Payment tag with blanket or Unit Head approval in the Approvals screen</t>
        </is>
      </c>
      <c r="G14" s="12" t="inlineStr">
        <is>
          <t>CR-RN-010</t>
        </is>
      </c>
      <c r="H14" s="22" t="n">
        <v>0</v>
      </c>
    </row>
    <row r="15">
      <c r="A15" s="12" t="inlineStr">
        <is>
          <t>G-11</t>
        </is>
      </c>
      <c r="B15" s="12" t="inlineStr">
        <is>
          <t>FRRN.036.03</t>
        </is>
      </c>
      <c r="C15" s="12" t="inlineStr">
        <is>
          <t>Hold cover automation (CBG at 75 days, extensions, CBG Home on the 15th)</t>
        </is>
      </c>
      <c r="D15" s="12" t="inlineStr">
        <is>
          <t>BRRN.042</t>
        </is>
      </c>
      <c r="E15" s="12" t="inlineStr">
        <is>
          <t>BDOI's FRS</t>
        </is>
      </c>
      <c r="F15" s="12" t="inlineStr">
        <is>
          <t>Hold Cover Requests with the automatic CBG requests, extensions and insurer batches</t>
        </is>
      </c>
      <c r="G15" s="12" t="inlineStr">
        <is>
          <t>CR-RN-011</t>
        </is>
      </c>
      <c r="H15" s="22" t="n">
        <v>0</v>
      </c>
    </row>
    <row r="16">
      <c r="A16" s="12" t="inlineStr">
        <is>
          <t>G-12</t>
        </is>
      </c>
      <c r="B16" s="12" t="inlineStr">
        <is>
          <t>FRRN.022.02</t>
        </is>
      </c>
      <c r="C16" s="12" t="inlineStr">
        <is>
          <t>Delivery through CCM</t>
        </is>
      </c>
      <c r="D16" s="12" t="inlineStr">
        <is>
          <t>BRRN.010 (sending)</t>
        </is>
      </c>
      <c r="E16" s="12" t="inlineStr">
        <is>
          <t>BDOI's FRS</t>
        </is>
      </c>
      <c r="F16" s="12" t="inlineStr">
        <is>
          <t>CCM channel with delivery statuses in the Channel Monitor; the e-mail of the system as the fall-back. The connection details come from BDO ITG</t>
        </is>
      </c>
      <c r="G16" s="12" t="inlineStr">
        <is>
          <t>CR-RN-012</t>
        </is>
      </c>
      <c r="H16" s="22" t="n">
        <v>0</v>
      </c>
    </row>
    <row r="17">
      <c r="A17" s="12" t="inlineStr">
        <is>
          <t>G-13</t>
        </is>
      </c>
      <c r="B17" s="12" t="inlineStr">
        <is>
          <t>FRRN.29.03</t>
        </is>
      </c>
      <c r="C17" s="12" t="inlineStr">
        <is>
          <t>MFT exchange with insurers</t>
        </is>
      </c>
      <c r="D17" s="12" t="inlineStr">
        <is>
          <t>BRRN.040</t>
        </is>
      </c>
      <c r="E17" s="12" t="inlineStr">
        <is>
          <t>BDOI's FRS</t>
        </is>
      </c>
      <c r="F17" s="12" t="inlineStr">
        <is>
          <t>MFT inbox and per-insurer delivery of placement, hold cover and e-policy files</t>
        </is>
      </c>
      <c r="G17" s="12" t="inlineStr">
        <is>
          <t>CR-RN-013</t>
        </is>
      </c>
      <c r="H17" s="22" t="n">
        <v>0</v>
      </c>
    </row>
    <row r="18">
      <c r="A18" s="12" t="inlineStr">
        <is>
          <t>G-14</t>
        </is>
      </c>
      <c r="B18" s="12" t="inlineStr">
        <is>
          <t>FRRN.033.01</t>
        </is>
      </c>
      <c r="C18" s="12" t="inlineStr">
        <is>
          <t>E-policy batch processing (summary file and ZIP)</t>
        </is>
      </c>
      <c r="D18" s="12" t="inlineStr">
        <is>
          <t>BRRN.040</t>
        </is>
      </c>
      <c r="E18" s="12" t="inlineStr">
        <is>
          <t>BDOI's FRS</t>
        </is>
      </c>
      <c r="F18" s="12" t="inlineStr">
        <is>
          <t>E-policy screen: receipt of the summary file and ZIP, matching and batch sending</t>
        </is>
      </c>
      <c r="G18" s="12" t="inlineStr">
        <is>
          <t>CR-RN-014</t>
        </is>
      </c>
      <c r="H18" s="22" t="n">
        <v>0</v>
      </c>
    </row>
    <row r="19">
      <c r="A19" s="12" t="inlineStr">
        <is>
          <t>G-15</t>
        </is>
      </c>
      <c r="B19" s="12" t="inlineStr">
        <is>
          <t>FRRN.29.05</t>
        </is>
      </c>
      <c r="C19" s="12" t="inlineStr">
        <is>
          <t>Placement turnaround time (business days, With Issue, resolution date)</t>
        </is>
      </c>
      <c r="D19" s="12" t="inlineStr">
        <is>
          <t>BRRN.040</t>
        </is>
      </c>
      <c r="E19" s="12" t="inlineStr">
        <is>
          <t>BDOI's FRS</t>
        </is>
      </c>
      <c r="F19" s="12" t="inlineStr">
        <is>
          <t>Placement tracking with the TAT in business days, With Issue and resolution date</t>
        </is>
      </c>
      <c r="G19" s="12" t="inlineStr">
        <is>
          <t>CR-RN-015</t>
        </is>
      </c>
      <c r="H19" s="22" t="n">
        <v>0</v>
      </c>
    </row>
    <row r="20">
      <c r="A20" s="12" t="inlineStr">
        <is>
          <t>G-16</t>
        </is>
      </c>
      <c r="B20" s="12" t="inlineStr">
        <is>
          <t>FRRN.26.01</t>
        </is>
      </c>
      <c r="C20" s="12" t="inlineStr">
        <is>
          <t>Second approval after acceptance</t>
        </is>
      </c>
      <c r="D20" s="12" t="inlineStr">
        <is>
          <t>BRRN.040 (no delay)</t>
        </is>
      </c>
      <c r="E20" s="12" t="inlineStr">
        <is>
          <t>BDOI's FRS</t>
        </is>
      </c>
      <c r="F20" s="12" t="inlineStr">
        <is>
          <t>Submitted for Approval before placement, a setting (Annex AO C23)</t>
        </is>
      </c>
      <c r="G20" s="12" t="inlineStr">
        <is>
          <t>CR-RN-016</t>
        </is>
      </c>
      <c r="H20" s="22" t="n">
        <v>0</v>
      </c>
    </row>
    <row r="21">
      <c r="A21" s="12" t="inlineStr">
        <is>
          <t>G-17</t>
        </is>
      </c>
      <c r="B21" s="12" t="inlineStr">
        <is>
          <t>FRRN.013.02</t>
        </is>
      </c>
      <c r="C21" s="12" t="inlineStr">
        <is>
          <t>Nine insurer disposition values</t>
        </is>
      </c>
      <c r="D21" s="12" t="inlineStr">
        <is>
          <t>BRRN.035 (three outcomes)</t>
        </is>
      </c>
      <c r="E21" s="12" t="inlineStr">
        <is>
          <t>BDOI's FRS</t>
        </is>
      </c>
      <c r="F21" s="12" t="inlineStr">
        <is>
          <t>BDOI's nine values mapped to the three outcomes of the BRD in the insurer disposition list</t>
        </is>
      </c>
      <c r="G21" s="12" t="inlineStr">
        <is>
          <t>CR-RN-017</t>
        </is>
      </c>
      <c r="H21" s="22" t="n">
        <v>0</v>
      </c>
    </row>
    <row r="22">
      <c r="A22" s="12" t="inlineStr">
        <is>
          <t>G-18</t>
        </is>
      </c>
      <c r="B22" s="12" t="inlineStr">
        <is>
          <t>FRRN.006.01</t>
        </is>
      </c>
      <c r="C22" s="12" t="inlineStr">
        <is>
          <t>Duplicate criteria per line and segment (Annex B)</t>
        </is>
      </c>
      <c r="D22" s="12" t="inlineStr">
        <is>
          <t>BRRN.005</t>
        </is>
      </c>
      <c r="E22" s="12" t="inlineStr">
        <is>
          <t>BDOI's FRS</t>
        </is>
      </c>
      <c r="F22" s="12" t="inlineStr">
        <is>
          <t>Duplicate check of the sanitation with criteria per line and segment</t>
        </is>
      </c>
      <c r="G22" s="12" t="inlineStr">
        <is>
          <t>CR-RN-018</t>
        </is>
      </c>
      <c r="H22" s="22" t="n">
        <v>0</v>
      </c>
    </row>
    <row r="23">
      <c r="A23" s="12" t="inlineStr">
        <is>
          <t>G-19</t>
        </is>
      </c>
      <c r="B23" s="12" t="inlineStr">
        <is>
          <t>FRRN.022.01</t>
        </is>
      </c>
      <c r="C23" s="12" t="inlineStr">
        <is>
          <t>Renewal Advice per line; first and last notice set by the system</t>
        </is>
      </c>
      <c r="D23" s="12" t="inlineStr">
        <is>
          <t>BRRN.010</t>
        </is>
      </c>
      <c r="E23" s="12" t="inlineStr">
        <is>
          <t>BDOI's FRS (Annex L)</t>
        </is>
      </c>
      <c r="F23" s="12" t="inlineStr">
        <is>
          <t>BDOI's Renewal Advice templates per line; notice set from the days before expiry (setting, Annex AO C13)</t>
        </is>
      </c>
      <c r="G23" s="12" t="inlineStr">
        <is>
          <t>CR-RN-019</t>
        </is>
      </c>
      <c r="H23" s="22" t="n">
        <v>0</v>
      </c>
    </row>
    <row r="24">
      <c r="A24" s="12" t="inlineStr">
        <is>
          <t>G-20</t>
        </is>
      </c>
      <c r="B24" s="12" t="inlineStr">
        <is>
          <t>FRRN.024.01</t>
        </is>
      </c>
      <c r="C24" s="12" t="inlineStr">
        <is>
          <t>Password convention of protected files</t>
        </is>
      </c>
      <c r="D24" s="12" t="inlineStr">
        <is>
          <t>BRRN.010 (encrypt and add password)</t>
        </is>
      </c>
      <c r="E24" s="12" t="inlineStr">
        <is>
          <t>BDOI's FRS</t>
        </is>
      </c>
      <c r="F24" s="12" t="inlineStr">
        <is>
          <t>BDOI's password convention, a setting (Annex AO C16)</t>
        </is>
      </c>
      <c r="G24" s="12" t="inlineStr">
        <is>
          <t>CR-RN-020</t>
        </is>
      </c>
      <c r="H24" s="22" t="n">
        <v>0</v>
      </c>
    </row>
    <row r="25">
      <c r="A25" s="12" t="inlineStr">
        <is>
          <t>G-21</t>
        </is>
      </c>
      <c r="B25" s="12" t="inlineStr">
        <is>
          <t>FRRN.27.01</t>
        </is>
      </c>
      <c r="C25" s="12" t="inlineStr">
        <is>
          <t>Scheduled CLPC billing (CBG Home, FFY Motor) and the e-mail of Annex S</t>
        </is>
      </c>
      <c r="D25" s="12" t="inlineStr">
        <is>
          <t>BRRN.040</t>
        </is>
      </c>
      <c r="E25" s="12" t="inlineStr">
        <is>
          <t>BDOI's FRS</t>
        </is>
      </c>
      <c r="F25" s="12" t="inlineStr">
        <is>
          <t>Billing Files screen and the scheduled billing runs</t>
        </is>
      </c>
      <c r="G25" s="12" t="inlineStr">
        <is>
          <t>CR-RN-021</t>
        </is>
      </c>
      <c r="H25" s="22" t="n">
        <v>0</v>
      </c>
    </row>
    <row r="26">
      <c r="A26" s="12" t="inlineStr">
        <is>
          <t>G-22</t>
        </is>
      </c>
      <c r="B26" s="12" t="inlineStr">
        <is>
          <t>FRRN.041.01</t>
        </is>
      </c>
      <c r="C26" s="12" t="inlineStr">
        <is>
          <t>RMU Account Officer maintenance</t>
        </is>
      </c>
      <c r="D26" s="12" t="inlineStr">
        <is>
          <t>BRRN.029</t>
        </is>
      </c>
      <c r="E26" s="12" t="inlineStr">
        <is>
          <t>BDOI's FRS</t>
        </is>
      </c>
      <c r="F26" s="12" t="inlineStr">
        <is>
          <t>RMU Officers screen</t>
        </is>
      </c>
      <c r="G26" s="12" t="inlineStr">
        <is>
          <t>CR-RN-022</t>
        </is>
      </c>
      <c r="H26" s="22" t="n">
        <v>0</v>
      </c>
    </row>
    <row r="27">
      <c r="A27" s="12" t="inlineStr">
        <is>
          <t>G-23</t>
        </is>
      </c>
      <c r="B27" s="12" t="inlineStr">
        <is>
          <t>FRRN.043.01</t>
        </is>
      </c>
      <c r="C27" s="12" t="inlineStr">
        <is>
          <t>Audit Logs menu with filters and export</t>
        </is>
      </c>
      <c r="D27" s="12" t="inlineStr">
        <is>
          <t>BRRN.021</t>
        </is>
      </c>
      <c r="E27" s="12" t="inlineStr">
        <is>
          <t>BDOI's FRS</t>
        </is>
      </c>
      <c r="F27" s="12" t="inlineStr">
        <is>
          <t>Audit Logs screen with filters and export</t>
        </is>
      </c>
      <c r="G27" s="12" t="inlineStr">
        <is>
          <t>CR-RN-023</t>
        </is>
      </c>
      <c r="H27" s="22" t="n">
        <v>0</v>
      </c>
    </row>
  </sheetData>
  <autoFilter ref="A4:H27"/>
  <mergeCells count="1">
    <mergeCell ref="A2:H2"/>
  </mergeCells>
  <conditionalFormatting sqref="A5:H527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&amp;K004EA8CR Effort Estimate&amp;R&amp;8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26" t="inlineStr">
        <is>
          <t>Complexity</t>
        </is>
      </c>
      <c r="B1" s="26" t="inlineStr">
        <is>
          <t>Priority</t>
        </is>
      </c>
    </row>
    <row r="2">
      <c r="A2" s="27" t="inlineStr">
        <is>
          <t>Low</t>
        </is>
      </c>
      <c r="B2" s="27" t="inlineStr">
        <is>
          <t>High</t>
        </is>
      </c>
    </row>
    <row r="3">
      <c r="A3" s="27" t="inlineStr">
        <is>
          <t>Medium</t>
        </is>
      </c>
      <c r="B3" s="27" t="inlineStr">
        <is>
          <t>Medium</t>
        </is>
      </c>
    </row>
    <row r="4">
      <c r="A4" s="27" t="inlineStr">
        <is>
          <t>High</t>
        </is>
      </c>
      <c r="B4" s="27" t="inlineStr">
        <is>
          <t>Low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&amp;K004EA8CR Effort Estimate&amp;R&amp;8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CR Effort Estimate</dc:title>
  <dc:subject xmlns:dc="http://purl.org/dc/elements/1.1/">BIBS – BDOI Broker System</dc:subject>
  <dcterms:created xmlns:dcterms="http://purl.org/dc/terms/" xmlns:xsi="http://www.w3.org/2001/XMLSchema-instance" xsi:type="dcterms:W3CDTF">2026-10-11T14:26:10Z</dcterms:created>
  <dcterms:modified xmlns:dcterms="http://purl.org/dc/terms/" xmlns:xsi="http://www.w3.org/2001/XMLSchema-instance" xsi:type="dcterms:W3CDTF">2026-10-11T14:26:10Z</dcterms:modified>
  <cp:keywords>Change control, BRD-06, BIBS, BDOI</cp:keywords>
</cp:coreProperties>
</file>