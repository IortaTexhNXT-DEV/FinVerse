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CR Effort" sheetId="4" state="visible" r:id="rId4"/>
    <sheet xmlns:r="http://schemas.openxmlformats.org/officeDocument/2006/relationships" name="Beyond the BRD - OOTB" sheetId="5" state="visible" r:id="rId5"/>
    <sheet xmlns:r="http://schemas.openxmlformats.org/officeDocument/2006/relationships" name="Integration &amp; DM scope" sheetId="6" state="visible" r:id="rId6"/>
    <sheet xmlns:r="http://schemas.openxmlformats.org/officeDocument/2006/relationships" name="Best practice (blue)" sheetId="7" state="visible" r:id="rId7"/>
    <sheet xmlns:r="http://schemas.openxmlformats.org/officeDocument/2006/relationships" name="BRD items to deliver" sheetId="8" state="visible" r:id="rId8"/>
    <sheet xmlns:r="http://schemas.openxmlformats.org/officeDocument/2006/relationships" name="Assumptions" sheetId="9" state="visible" r:id="rId9"/>
    <sheet xmlns:r="http://schemas.openxmlformats.org/officeDocument/2006/relationships" name="Lists" sheetId="10" state="visible" r:id="rId10"/>
  </sheets>
  <definedNames>
    <definedName name="DayRate">Assumptions!$B$6</definedName>
    <definedName name="Accuracy">Assumptions!$B$7</definedName>
    <definedName name="_xlnm._FilterDatabase" localSheetId="1" hidden="1">'README'!$A$4:$D$54</definedName>
    <definedName name="_xlnm.Print_Titles" localSheetId="1">'README'!$4:$4</definedName>
    <definedName name="_xlnm._FilterDatabase" localSheetId="2" hidden="1">'Summary'!$A$4:$B$17</definedName>
    <definedName name="_xlnm.Print_Titles" localSheetId="2">'Summary'!$4:$4</definedName>
    <definedName name="_xlnm._FilterDatabase" localSheetId="3" hidden="1">'CR Effort'!$A$4:$T$21</definedName>
    <definedName name="_xlnm.Print_Titles" localSheetId="3">'CR Effort'!$4:$4</definedName>
    <definedName name="_xlnm._FilterDatabase" localSheetId="4" hidden="1">'Beyond the BRD - OOTB'!$A$4:$I$7</definedName>
    <definedName name="_xlnm.Print_Titles" localSheetId="4">'Beyond the BRD - OOTB'!$4:$4</definedName>
    <definedName name="_xlnm._FilterDatabase" localSheetId="5" hidden="1">'Integration &amp; DM scope'!$A$4:$F$8</definedName>
    <definedName name="_xlnm.Print_Titles" localSheetId="5">'Integration &amp; DM scope'!$4:$4</definedName>
    <definedName name="_xlnm._FilterDatabase" localSheetId="6" hidden="1">'Best practice (blue)'!$A$4:$E$9</definedName>
    <definedName name="_xlnm.Print_Titles" localSheetId="6">'Best practice (blue)'!$4:$4</definedName>
    <definedName name="_xlnm._FilterDatabase" localSheetId="7" hidden="1">'BRD items to deliver'!$A$4:$F$33</definedName>
    <definedName name="_xlnm.Print_Titles" localSheetId="7">'BRD items to deliver'!$4:$4</definedName>
    <definedName name="_xlnm._FilterDatabase" localSheetId="8" hidden="1">'Assumptions'!$A$4:$B$11</definedName>
    <definedName name="_xlnm.Print_Titles" localSheetId="8">'Assumptions'!$4:$4</definedName>
    <definedName name="_xlnm.Print_Titles" localSheetId="9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b val="1"/>
      <color rgb="00E6510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14" fillId="0" borderId="2" applyAlignment="1" pivotButton="0" quotePrefix="0" xfId="0">
      <alignment vertical="top" wrapText="1"/>
    </xf>
    <xf numFmtId="0" fontId="14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4" fontId="4" fillId="0" borderId="2" applyAlignment="1" pivotButton="0" quotePrefix="0" xfId="0">
      <alignment vertical="top" wrapText="1"/>
    </xf>
    <xf numFmtId="4" fontId="5" fillId="0" borderId="2" applyAlignment="1" pivotButton="0" quotePrefix="0" xfId="0">
      <alignment vertical="top" wrapText="1"/>
    </xf>
    <xf numFmtId="9" fontId="4" fillId="0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29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CR Effort'!A1" TargetMode="External" Id="rId3"/><Relationship Type="http://schemas.openxmlformats.org/officeDocument/2006/relationships/hyperlink" Target="#'Beyond the BRD - OOTB'!A1" TargetMode="External" Id="rId4"/><Relationship Type="http://schemas.openxmlformats.org/officeDocument/2006/relationships/hyperlink" Target="#'Integration &amp; DM scope'!A1" TargetMode="External" Id="rId5"/><Relationship Type="http://schemas.openxmlformats.org/officeDocument/2006/relationships/hyperlink" Target="#'Best practice (blue)'!A1" TargetMode="External" Id="rId6"/><Relationship Type="http://schemas.openxmlformats.org/officeDocument/2006/relationships/hyperlink" Target="#'BRD items to deliver'!A1" TargetMode="External" Id="rId7"/><Relationship Type="http://schemas.openxmlformats.org/officeDocument/2006/relationships/hyperlink" Target="#'Assumptions'!A1" TargetMode="External" Id="rId8"/><Relationship Type="http://schemas.openxmlformats.org/officeDocument/2006/relationships/drawing" Target="/xl/drawings/drawing1.xml" Id="rId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CHANGE CONTROL</t>
        </is>
      </c>
    </row>
    <row r="7" ht="32" customHeight="1">
      <c r="B7" s="3" t="inlineStr">
        <is>
          <t>CR Effort Estimate</t>
        </is>
      </c>
    </row>
    <row r="8">
      <c r="B8" s="4" t="inlineStr">
        <is>
          <t>BRD-06 Renewal - change requests of the FRS v1.2 (orange points)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Totals of BRD-06 Renewal: change requests (orange), green, integration and best practice</t>
        </is>
      </c>
      <c r="D21" s="14" t="n">
        <v>13</v>
      </c>
    </row>
    <row r="22">
      <c r="B22" s="11" t="inlineStr">
        <is>
          <t>CR Effort</t>
        </is>
      </c>
      <c r="C22" s="12" t="inlineStr">
        <is>
          <t>One row per orange point of the FRS v1.2 (not in the BRD, not in the iNXT BrokerVerse platform edition), effort by activity</t>
        </is>
      </c>
      <c r="D22" s="12" t="n">
        <v>17</v>
      </c>
    </row>
    <row r="23">
      <c r="B23" s="13" t="inlineStr">
        <is>
          <t>Beyond the BRD - OOTB</t>
        </is>
      </c>
      <c r="C23" s="14" t="inlineStr">
        <is>
          <t>Points beyond the BRD that the iNXT BrokerVerse platform offers out of the box (green; no cost)</t>
        </is>
      </c>
      <c r="D23" s="14" t="n">
        <v>3</v>
      </c>
    </row>
    <row r="24">
      <c r="B24" s="11" t="inlineStr">
        <is>
          <t>Integration &amp; DM scope</t>
        </is>
      </c>
      <c r="C24" s="12" t="inlineStr">
        <is>
          <t>Points delivered in the Integration or Data Migration scope (grey label in the FRS): no CR cost here</t>
        </is>
      </c>
      <c r="D24" s="12" t="n">
        <v>4</v>
      </c>
    </row>
    <row r="25">
      <c r="B25" s="13" t="inlineStr">
        <is>
          <t>Best practice (blue)</t>
        </is>
      </c>
      <c r="C25" s="14" t="inlineStr">
        <is>
          <t>Insurance-broking renewal practices not in the BRD, the FRS or the platform (Annex AP.2); recommendations</t>
        </is>
      </c>
      <c r="D25" s="14" t="n">
        <v>5</v>
      </c>
    </row>
    <row r="26">
      <c r="B26" s="11" t="inlineStr">
        <is>
          <t>BRD items to deliver</t>
        </is>
      </c>
      <c r="C26" s="12" t="inlineStr">
        <is>
          <t>BRD requirements not fully in the platform edition: in-scope delivery work for planning, not change requests</t>
        </is>
      </c>
      <c r="D26" s="12" t="n">
        <v>29</v>
      </c>
    </row>
    <row r="27">
      <c r="B27" s="13" t="inlineStr">
        <is>
          <t>Assumptions</t>
        </is>
      </c>
      <c r="C27" s="14" t="inlineStr">
        <is>
          <t>Assumptions of the estimate; the daily rate (DayRate, B6) drives the cost columns</t>
        </is>
      </c>
      <c r="D27" s="14" t="n">
        <v>7</v>
      </c>
    </row>
    <row r="30" ht="26" customHeight="1">
      <c r="B30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CR Effort Estimate,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7" t="inlineStr">
        <is>
          <t>Item</t>
        </is>
      </c>
      <c r="C5" s="12" t="inlineStr"/>
      <c r="D5" s="12" t="inlineStr"/>
    </row>
    <row r="6">
      <c r="A6" s="14" t="inlineStr">
        <is>
          <t>Summary</t>
        </is>
      </c>
      <c r="B6" s="18" t="inlineStr">
        <is>
          <t>Value</t>
        </is>
      </c>
      <c r="C6" s="14" t="inlineStr"/>
      <c r="D6" s="14" t="inlineStr"/>
    </row>
    <row r="7">
      <c r="A7" s="12" t="inlineStr">
        <is>
          <t>CR Effort</t>
        </is>
      </c>
      <c r="B7" s="17" t="inlineStr">
        <is>
          <t>CR No.</t>
        </is>
      </c>
      <c r="C7" s="12" t="inlineStr">
        <is>
          <t>Change request number of the register</t>
        </is>
      </c>
      <c r="D7" s="12" t="inlineStr"/>
    </row>
    <row r="8">
      <c r="A8" s="14" t="inlineStr">
        <is>
          <t>CR Effort</t>
        </is>
      </c>
      <c r="B8" s="18" t="inlineStr">
        <is>
          <t>Title</t>
        </is>
      </c>
      <c r="C8" s="14" t="inlineStr"/>
      <c r="D8" s="14" t="inlineStr"/>
    </row>
    <row r="9">
      <c r="A9" s="12" t="inlineStr">
        <is>
          <t>CR Effort</t>
        </is>
      </c>
      <c r="B9" s="17" t="inlineStr">
        <is>
          <t>FRS reference</t>
        </is>
      </c>
      <c r="C9" s="12" t="inlineStr">
        <is>
          <t>Where the orange point is stated</t>
        </is>
      </c>
      <c r="D9" s="12" t="inlineStr"/>
    </row>
    <row r="10">
      <c r="A10" s="14" t="inlineStr">
        <is>
          <t>CR Effort</t>
        </is>
      </c>
      <c r="B10" s="18" t="inlineStr">
        <is>
          <t>BRD reference</t>
        </is>
      </c>
      <c r="C10" s="14" t="inlineStr">
        <is>
          <t>Not in BRD (what the BRD asks)</t>
        </is>
      </c>
      <c r="D10" s="14" t="inlineStr"/>
    </row>
    <row r="11">
      <c r="A11" s="12" t="inlineStr">
        <is>
          <t>CR Effort</t>
        </is>
      </c>
      <c r="B11" s="17" t="inlineStr">
        <is>
          <t>Source</t>
        </is>
      </c>
      <c r="C11" s="12" t="inlineStr"/>
      <c r="D11" s="12" t="inlineStr"/>
    </row>
    <row r="12">
      <c r="A12" s="14" t="inlineStr">
        <is>
          <t>CR Effort</t>
        </is>
      </c>
      <c r="B12" s="18" t="inlineStr">
        <is>
          <t>Feature List ID / OOTB status</t>
        </is>
      </c>
      <c r="C12" s="14" t="inlineStr">
        <is>
          <t>Feature List vs OOTB, column OOTB platform</t>
        </is>
      </c>
      <c r="D12" s="14" t="inlineStr"/>
    </row>
    <row r="13">
      <c r="A13" s="12" t="inlineStr">
        <is>
          <t>CR Effort</t>
        </is>
      </c>
      <c r="B13" s="17" t="inlineStr">
        <is>
          <t>OOTB evidence (iNXT BrokerVerse)</t>
        </is>
      </c>
      <c r="C13" s="12" t="inlineStr">
        <is>
          <t>Screen or module of the platform edition, or not found</t>
        </is>
      </c>
      <c r="D13" s="12" t="inlineStr"/>
    </row>
    <row r="14">
      <c r="A14" s="14" t="inlineStr">
        <is>
          <t>CR Effort</t>
        </is>
      </c>
      <c r="B14" s="18" t="inlineStr">
        <is>
          <t>Prepared for BIBS?</t>
        </is>
      </c>
      <c r="C14" s="14" t="inlineStr">
        <is>
          <t>Prepared for BIBS in this project; the effort is still the value of the change</t>
        </is>
      </c>
      <c r="D14" s="14" t="inlineStr"/>
    </row>
    <row r="15">
      <c r="A15" s="12" t="inlineStr">
        <is>
          <t>CR Effort</t>
        </is>
      </c>
      <c r="B15" s="17" t="inlineStr">
        <is>
          <t>Why needed</t>
        </is>
      </c>
      <c r="C15" s="12" t="inlineStr"/>
      <c r="D15" s="12" t="inlineStr"/>
    </row>
    <row r="16">
      <c r="A16" s="14" t="inlineStr">
        <is>
          <t>CR Effort</t>
        </is>
      </c>
      <c r="B16" s="18" t="inlineStr">
        <is>
          <t>Analysis and design (man-days)</t>
        </is>
      </c>
      <c r="C16" s="14" t="inlineStr">
        <is>
          <t>Estimate in man-days</t>
        </is>
      </c>
      <c r="D16" s="14" t="inlineStr"/>
    </row>
    <row r="17">
      <c r="A17" s="12" t="inlineStr">
        <is>
          <t>CR Effort</t>
        </is>
      </c>
      <c r="B17" s="17" t="inlineStr">
        <is>
          <t>Back end (man-days)</t>
        </is>
      </c>
      <c r="C17" s="12" t="inlineStr">
        <is>
          <t>Estimate in man-days</t>
        </is>
      </c>
      <c r="D17" s="12" t="inlineStr"/>
    </row>
    <row r="18">
      <c r="A18" s="14" t="inlineStr">
        <is>
          <t>CR Effort</t>
        </is>
      </c>
      <c r="B18" s="18" t="inlineStr">
        <is>
          <t>Front end (man-days)</t>
        </is>
      </c>
      <c r="C18" s="14" t="inlineStr">
        <is>
          <t>Estimate in man-days</t>
        </is>
      </c>
      <c r="D18" s="14" t="inlineStr"/>
    </row>
    <row r="19">
      <c r="A19" s="12" t="inlineStr">
        <is>
          <t>CR Effort</t>
        </is>
      </c>
      <c r="B19" s="17" t="inlineStr">
        <is>
          <t>Testing (man-days)</t>
        </is>
      </c>
      <c r="C19" s="12" t="inlineStr">
        <is>
          <t>Estimate in man-days</t>
        </is>
      </c>
      <c r="D19" s="12" t="inlineStr"/>
    </row>
    <row r="20">
      <c r="A20" s="14" t="inlineStr">
        <is>
          <t>CR Effort</t>
        </is>
      </c>
      <c r="B20" s="18" t="inlineStr">
        <is>
          <t>Documentation and UAT support (man-days)</t>
        </is>
      </c>
      <c r="C20" s="14" t="inlineStr">
        <is>
          <t>Estimate in man-days</t>
        </is>
      </c>
      <c r="D20" s="14" t="inlineStr"/>
    </row>
    <row r="21">
      <c r="A21" s="12" t="inlineStr">
        <is>
          <t>CR Effort</t>
        </is>
      </c>
      <c r="B21" s="17" t="inlineStr">
        <is>
          <t>Total man-days</t>
        </is>
      </c>
      <c r="C21" s="12" t="inlineStr">
        <is>
          <t>Sum of the activities</t>
        </is>
      </c>
      <c r="D21" s="12" t="inlineStr"/>
    </row>
    <row r="22">
      <c r="A22" s="14" t="inlineStr">
        <is>
          <t>CR Effort</t>
        </is>
      </c>
      <c r="B22" s="18" t="inlineStr">
        <is>
          <t>Cost (man-days x DayRate)</t>
        </is>
      </c>
      <c r="C22" s="14" t="inlineStr">
        <is>
          <t>Total x the daily rate of sheet Assumptions</t>
        </is>
      </c>
      <c r="D22" s="14" t="inlineStr"/>
    </row>
    <row r="23">
      <c r="A23" s="12" t="inlineStr">
        <is>
          <t>CR Effort</t>
        </is>
      </c>
      <c r="B23" s="17" t="inlineStr">
        <is>
          <t>Complexity</t>
        </is>
      </c>
      <c r="C23" s="12" t="inlineStr"/>
      <c r="D23" s="12" t="inlineStr">
        <is>
          <t>Low, Medium, High</t>
        </is>
      </c>
    </row>
    <row r="24">
      <c r="A24" s="14" t="inlineStr">
        <is>
          <t>CR Effort</t>
        </is>
      </c>
      <c r="B24" s="18" t="inlineStr">
        <is>
          <t>Priority</t>
        </is>
      </c>
      <c r="C24" s="14" t="inlineStr"/>
      <c r="D24" s="14" t="inlineStr">
        <is>
          <t>High, Medium, Low</t>
        </is>
      </c>
    </row>
    <row r="25">
      <c r="A25" s="12" t="inlineStr">
        <is>
          <t>CR Effort</t>
        </is>
      </c>
      <c r="B25" s="17" t="inlineStr">
        <is>
          <t>Dependencies</t>
        </is>
      </c>
      <c r="C25" s="12" t="inlineStr"/>
      <c r="D25" s="12" t="inlineStr"/>
    </row>
    <row r="26">
      <c r="A26" s="14" t="inlineStr">
        <is>
          <t>CR Effort</t>
        </is>
      </c>
      <c r="B26" s="18" t="inlineStr">
        <is>
          <t>Assumptions</t>
        </is>
      </c>
      <c r="C26" s="14" t="inlineStr"/>
      <c r="D26" s="14" t="inlineStr"/>
    </row>
    <row r="27">
      <c r="A27" s="12" t="inlineStr">
        <is>
          <t>Beyond the BRD - OOTB</t>
        </is>
      </c>
      <c r="B27" s="17" t="inlineStr">
        <is>
          <t>No.</t>
        </is>
      </c>
      <c r="C27" s="12" t="inlineStr"/>
      <c r="D27" s="12" t="inlineStr"/>
    </row>
    <row r="28">
      <c r="A28" s="14" t="inlineStr">
        <is>
          <t>Beyond the BRD - OOTB</t>
        </is>
      </c>
      <c r="B28" s="18" t="inlineStr">
        <is>
          <t>FR item</t>
        </is>
      </c>
      <c r="C28" s="14" t="inlineStr"/>
      <c r="D28" s="14" t="inlineStr"/>
    </row>
    <row r="29">
      <c r="A29" s="12" t="inlineStr">
        <is>
          <t>Beyond the BRD - OOTB</t>
        </is>
      </c>
      <c r="B29" s="17" t="inlineStr">
        <is>
          <t>Point</t>
        </is>
      </c>
      <c r="C29" s="12" t="inlineStr"/>
      <c r="D29" s="12" t="inlineStr"/>
    </row>
    <row r="30">
      <c r="A30" s="14" t="inlineStr">
        <is>
          <t>Beyond the BRD - OOTB</t>
        </is>
      </c>
      <c r="B30" s="18" t="inlineStr">
        <is>
          <t>BRD (what it asks)</t>
        </is>
      </c>
      <c r="C30" s="14" t="inlineStr"/>
      <c r="D30" s="14" t="inlineStr"/>
    </row>
    <row r="31">
      <c r="A31" s="12" t="inlineStr">
        <is>
          <t>Beyond the BRD - OOTB</t>
        </is>
      </c>
      <c r="B31" s="17" t="inlineStr">
        <is>
          <t>Source</t>
        </is>
      </c>
      <c r="C31" s="12" t="inlineStr"/>
      <c r="D31" s="12" t="inlineStr"/>
    </row>
    <row r="32">
      <c r="A32" s="14" t="inlineStr">
        <is>
          <t>Beyond the BRD - OOTB</t>
        </is>
      </c>
      <c r="B32" s="18" t="inlineStr">
        <is>
          <t>Feature List ID / OOTB status</t>
        </is>
      </c>
      <c r="C32" s="14" t="inlineStr">
        <is>
          <t>Feature List vs OOTB, column OOTB platform</t>
        </is>
      </c>
      <c r="D32" s="14" t="inlineStr"/>
    </row>
    <row r="33">
      <c r="A33" s="12" t="inlineStr">
        <is>
          <t>Beyond the BRD - OOTB</t>
        </is>
      </c>
      <c r="B33" s="17" t="inlineStr">
        <is>
          <t>OOTB evidence (iNXT BrokerVerse)</t>
        </is>
      </c>
      <c r="C33" s="12" t="inlineStr">
        <is>
          <t>Screen or module of the platform edition</t>
        </is>
      </c>
      <c r="D33" s="12" t="inlineStr"/>
    </row>
    <row r="34">
      <c r="A34" s="14" t="inlineStr">
        <is>
          <t>Beyond the BRD - OOTB</t>
        </is>
      </c>
      <c r="B34" s="18" t="inlineStr">
        <is>
          <t>Register</t>
        </is>
      </c>
      <c r="C34" s="14" t="inlineStr">
        <is>
          <t>Candidate of the Change Request Register</t>
        </is>
      </c>
      <c r="D34" s="14" t="inlineStr"/>
    </row>
    <row r="35">
      <c r="A35" s="12" t="inlineStr">
        <is>
          <t>Beyond the BRD - OOTB</t>
        </is>
      </c>
      <c r="B35" s="17" t="inlineStr">
        <is>
          <t>Man-days</t>
        </is>
      </c>
      <c r="C35" s="12" t="inlineStr">
        <is>
          <t>Zero: out of the box</t>
        </is>
      </c>
      <c r="D35" s="12" t="inlineStr"/>
    </row>
    <row r="36">
      <c r="A36" s="14" t="inlineStr">
        <is>
          <t>Integration &amp; DM scope</t>
        </is>
      </c>
      <c r="B36" s="18" t="inlineStr">
        <is>
          <t>Register</t>
        </is>
      </c>
      <c r="C36" s="14" t="inlineStr"/>
      <c r="D36" s="14" t="inlineStr"/>
    </row>
    <row r="37">
      <c r="A37" s="12" t="inlineStr">
        <is>
          <t>Integration &amp; DM scope</t>
        </is>
      </c>
      <c r="B37" s="17" t="inlineStr">
        <is>
          <t>FR item</t>
        </is>
      </c>
      <c r="C37" s="12" t="inlineStr"/>
      <c r="D37" s="12" t="inlineStr"/>
    </row>
    <row r="38">
      <c r="A38" s="14" t="inlineStr">
        <is>
          <t>Integration &amp; DM scope</t>
        </is>
      </c>
      <c r="B38" s="18" t="inlineStr">
        <is>
          <t>Point</t>
        </is>
      </c>
      <c r="C38" s="14" t="inlineStr"/>
      <c r="D38" s="14" t="inlineStr"/>
    </row>
    <row r="39">
      <c r="A39" s="12" t="inlineStr">
        <is>
          <t>Integration &amp; DM scope</t>
        </is>
      </c>
      <c r="B39" s="17" t="inlineStr">
        <is>
          <t>Interface or data</t>
        </is>
      </c>
      <c r="C39" s="12" t="inlineStr"/>
      <c r="D39" s="12" t="inlineStr"/>
    </row>
    <row r="40">
      <c r="A40" s="14" t="inlineStr">
        <is>
          <t>Integration &amp; DM scope</t>
        </is>
      </c>
      <c r="B40" s="18" t="inlineStr">
        <is>
          <t>Covered by</t>
        </is>
      </c>
      <c r="C40" s="14" t="inlineStr"/>
      <c r="D40" s="14" t="inlineStr"/>
    </row>
    <row r="41">
      <c r="A41" s="12" t="inlineStr">
        <is>
          <t>Integration &amp; DM scope</t>
        </is>
      </c>
      <c r="B41" s="17" t="inlineStr">
        <is>
          <t>Note</t>
        </is>
      </c>
      <c r="C41" s="12" t="inlineStr"/>
      <c r="D41" s="12" t="inlineStr"/>
    </row>
    <row r="42">
      <c r="A42" s="14" t="inlineStr">
        <is>
          <t>Best practice (blue)</t>
        </is>
      </c>
      <c r="B42" s="18" t="inlineStr">
        <is>
          <t>ID</t>
        </is>
      </c>
      <c r="C42" s="14" t="inlineStr"/>
      <c r="D42" s="14" t="inlineStr"/>
    </row>
    <row r="43">
      <c r="A43" s="12" t="inlineStr">
        <is>
          <t>Best practice (blue)</t>
        </is>
      </c>
      <c r="B43" s="17" t="inlineStr">
        <is>
          <t>Practice</t>
        </is>
      </c>
      <c r="C43" s="12" t="inlineStr"/>
      <c r="D43" s="12" t="inlineStr"/>
    </row>
    <row r="44">
      <c r="A44" s="14" t="inlineStr">
        <is>
          <t>Best practice (blue)</t>
        </is>
      </c>
      <c r="B44" s="18" t="inlineStr">
        <is>
          <t>Why it matters for a broker</t>
        </is>
      </c>
      <c r="C44" s="14" t="inlineStr"/>
      <c r="D44" s="14" t="inlineStr"/>
    </row>
    <row r="45">
      <c r="A45" s="12" t="inlineStr">
        <is>
          <t>Best practice (blue)</t>
        </is>
      </c>
      <c r="B45" s="17" t="inlineStr">
        <is>
          <t>Suggested priority</t>
        </is>
      </c>
      <c r="C45" s="12" t="inlineStr"/>
      <c r="D45" s="12" t="inlineStr">
        <is>
          <t>High, Medium, Low</t>
        </is>
      </c>
    </row>
    <row r="46">
      <c r="A46" s="14" t="inlineStr">
        <is>
          <t>Best practice (blue)</t>
        </is>
      </c>
      <c r="B46" s="18" t="inlineStr">
        <is>
          <t>Indicative man-days</t>
        </is>
      </c>
      <c r="C46" s="14" t="inlineStr">
        <is>
          <t>Excluded from the CR totals</t>
        </is>
      </c>
      <c r="D46" s="14" t="inlineStr"/>
    </row>
    <row r="47">
      <c r="A47" s="12" t="inlineStr">
        <is>
          <t>BRD items to deliver</t>
        </is>
      </c>
      <c r="B47" s="17" t="inlineStr">
        <is>
          <t>Feature List ID</t>
        </is>
      </c>
      <c r="C47" s="12" t="inlineStr"/>
      <c r="D47" s="12" t="inlineStr"/>
    </row>
    <row r="48">
      <c r="A48" s="14" t="inlineStr">
        <is>
          <t>BRD items to deliver</t>
        </is>
      </c>
      <c r="B48" s="18" t="inlineStr">
        <is>
          <t>Feature (BRD requirement)</t>
        </is>
      </c>
      <c r="C48" s="14" t="inlineStr"/>
      <c r="D48" s="14" t="inlineStr"/>
    </row>
    <row r="49">
      <c r="A49" s="12" t="inlineStr">
        <is>
          <t>BRD items to deliver</t>
        </is>
      </c>
      <c r="B49" s="17" t="inlineStr">
        <is>
          <t>BRD and FRS references</t>
        </is>
      </c>
      <c r="C49" s="12" t="inlineStr"/>
      <c r="D49" s="12" t="inlineStr"/>
    </row>
    <row r="50">
      <c r="A50" s="14" t="inlineStr">
        <is>
          <t>BRD items to deliver</t>
        </is>
      </c>
      <c r="B50" s="18" t="inlineStr">
        <is>
          <t>OOTB platform</t>
        </is>
      </c>
      <c r="C50" s="14" t="inlineStr"/>
      <c r="D50" s="14" t="inlineStr"/>
    </row>
    <row r="51">
      <c r="A51" s="12" t="inlineStr">
        <is>
          <t>BRD items to deliver</t>
        </is>
      </c>
      <c r="B51" s="17" t="inlineStr">
        <is>
          <t>What the platform offers</t>
        </is>
      </c>
      <c r="C51" s="12" t="inlineStr"/>
      <c r="D51" s="12" t="inlineStr"/>
    </row>
    <row r="52">
      <c r="A52" s="14" t="inlineStr">
        <is>
          <t>BRD items to deliver</t>
        </is>
      </c>
      <c r="B52" s="18" t="inlineStr">
        <is>
          <t>Assessment</t>
        </is>
      </c>
      <c r="C52" s="14" t="inlineStr"/>
      <c r="D52" s="14" t="inlineStr"/>
    </row>
    <row r="53">
      <c r="A53" s="12" t="inlineStr">
        <is>
          <t>Assumptions</t>
        </is>
      </c>
      <c r="B53" s="17" t="inlineStr">
        <is>
          <t>Assumption</t>
        </is>
      </c>
      <c r="C53" s="12" t="inlineStr"/>
      <c r="D53" s="12" t="inlineStr"/>
    </row>
    <row r="54">
      <c r="A54" s="14" t="inlineStr">
        <is>
          <t>Assumptions</t>
        </is>
      </c>
      <c r="B54" s="18" t="inlineStr">
        <is>
          <t>Value</t>
        </is>
      </c>
      <c r="C54" s="14" t="inlineStr"/>
      <c r="D54" s="14" t="inlineStr"/>
    </row>
  </sheetData>
  <autoFilter ref="A4:D54"/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8" customWidth="1" min="2" max="2"/>
  </cols>
  <sheetData>
    <row r="1" ht="24" customHeight="1">
      <c r="A1" s="16" t="inlineStr">
        <is>
          <t>Summary</t>
        </is>
      </c>
    </row>
    <row r="2">
      <c r="A2" s="19" t="inlineStr">
        <is>
          <t>Totals of BRD-06 Renewal: change requests (orange), green, integration and best practice</t>
        </is>
      </c>
    </row>
    <row r="3" ht="6" customHeight="1">
      <c r="A3" s="20" t="n"/>
      <c r="B3" s="20" t="n"/>
    </row>
    <row r="4" ht="30" customHeight="1">
      <c r="A4" s="21" t="inlineStr">
        <is>
          <t>Item</t>
        </is>
      </c>
      <c r="B4" s="21" t="inlineStr">
        <is>
          <t>Value</t>
        </is>
      </c>
    </row>
    <row r="5">
      <c r="A5" s="12" t="inlineStr">
        <is>
          <t>Change requests (orange points)</t>
        </is>
      </c>
      <c r="B5" s="22">
        <f>COUNTA('CR Effort'!A5:A21)</f>
        <v/>
      </c>
    </row>
    <row r="6">
      <c r="A6" s="12" t="inlineStr">
        <is>
          <t>Analysis and design (man-days)</t>
        </is>
      </c>
      <c r="B6" s="22">
        <f>SUM('CR Effort'!J5:J21)</f>
        <v/>
      </c>
    </row>
    <row r="7">
      <c r="A7" s="12" t="inlineStr">
        <is>
          <t>Back end (man-days)</t>
        </is>
      </c>
      <c r="B7" s="22">
        <f>SUM('CR Effort'!K5:K21)</f>
        <v/>
      </c>
    </row>
    <row r="8">
      <c r="A8" s="12" t="inlineStr">
        <is>
          <t>Front end (man-days)</t>
        </is>
      </c>
      <c r="B8" s="22">
        <f>SUM('CR Effort'!L5:L21)</f>
        <v/>
      </c>
    </row>
    <row r="9">
      <c r="A9" s="12" t="inlineStr">
        <is>
          <t>Testing (man-days)</t>
        </is>
      </c>
      <c r="B9" s="22">
        <f>SUM('CR Effort'!M5:M21)</f>
        <v/>
      </c>
    </row>
    <row r="10">
      <c r="A10" s="12" t="inlineStr">
        <is>
          <t>Documentation and UAT support (man-days)</t>
        </is>
      </c>
      <c r="B10" s="22">
        <f>SUM('CR Effort'!N5:N21)</f>
        <v/>
      </c>
    </row>
    <row r="11">
      <c r="A11" s="12" t="inlineStr">
        <is>
          <t>Total man-days of the change requests</t>
        </is>
      </c>
      <c r="B11" s="22">
        <f>SUM('CR Effort'!O5:O21)</f>
        <v/>
      </c>
    </row>
    <row r="12">
      <c r="A12" s="12" t="inlineStr">
        <is>
          <t>Low estimate (-20%)</t>
        </is>
      </c>
      <c r="B12" s="22">
        <f>B11*(1-Accuracy)</f>
        <v/>
      </c>
    </row>
    <row r="13">
      <c r="A13" s="12" t="inlineStr">
        <is>
          <t>High estimate (+20%)</t>
        </is>
      </c>
      <c r="B13" s="22">
        <f>B11*(1+Accuracy)</f>
        <v/>
      </c>
    </row>
    <row r="14">
      <c r="A14" s="12" t="inlineStr">
        <is>
          <t>Cost at the daily rate</t>
        </is>
      </c>
      <c r="B14" s="23">
        <f>B11*DayRate</f>
        <v/>
      </c>
    </row>
    <row r="15">
      <c r="A15" s="12" t="inlineStr">
        <is>
          <t>Green points (beyond the BRD, out of the box, no cost)</t>
        </is>
      </c>
      <c r="B15" s="22" t="n">
        <v>3</v>
      </c>
    </row>
    <row r="16">
      <c r="A16" s="12" t="inlineStr">
        <is>
          <t>Integration and Data Migration scope (not change requests)</t>
        </is>
      </c>
      <c r="B16" s="22" t="n">
        <v>4</v>
      </c>
    </row>
    <row r="17">
      <c r="A17" s="12" t="inlineStr">
        <is>
          <t>Best practice (blue), indicative man-days - not in the totals</t>
        </is>
      </c>
      <c r="B17" s="22" t="n">
        <v>22</v>
      </c>
    </row>
  </sheetData>
  <autoFilter ref="A4:B17"/>
  <mergeCells count="1">
    <mergeCell ref="A2:B2"/>
  </mergeCells>
  <conditionalFormatting sqref="A5:B517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6" customWidth="1" min="2" max="2"/>
    <col width="16" customWidth="1" min="3" max="3"/>
    <col width="22" customWidth="1" min="4" max="4"/>
    <col width="20" customWidth="1" min="5" max="5"/>
    <col width="20" customWidth="1" min="6" max="6"/>
    <col width="40" customWidth="1" min="7" max="7"/>
    <col width="10" customWidth="1" min="8" max="8"/>
    <col width="4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6" customWidth="1" min="16" max="16"/>
    <col width="12" customWidth="1" min="17" max="17"/>
    <col width="10" customWidth="1" min="18" max="18"/>
    <col width="30" customWidth="1" min="19" max="19"/>
    <col width="40" customWidth="1" min="20" max="20"/>
  </cols>
  <sheetData>
    <row r="1" ht="24" customHeight="1">
      <c r="A1" s="16" t="inlineStr">
        <is>
          <t>CR Effort</t>
        </is>
      </c>
    </row>
    <row r="2">
      <c r="A2" s="19" t="inlineStr">
        <is>
          <t>One row per orange point of the FRS v1.2 (not in the BRD, not in the iNXT BrokerVerse platform edition), effort by activity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30" customHeight="1">
      <c r="A4" s="21" t="inlineStr">
        <is>
          <t>CR No.</t>
        </is>
      </c>
      <c r="B4" s="21" t="inlineStr">
        <is>
          <t>Title</t>
        </is>
      </c>
      <c r="C4" s="21" t="inlineStr">
        <is>
          <t>FRS reference</t>
        </is>
      </c>
      <c r="D4" s="21" t="inlineStr">
        <is>
          <t>BRD reference</t>
        </is>
      </c>
      <c r="E4" s="21" t="inlineStr">
        <is>
          <t>Source</t>
        </is>
      </c>
      <c r="F4" s="21" t="inlineStr">
        <is>
          <t>Feature List ID / OOTB status</t>
        </is>
      </c>
      <c r="G4" s="21" t="inlineStr">
        <is>
          <t>OOTB evidence (iNXT BrokerVerse)</t>
        </is>
      </c>
      <c r="H4" s="21" t="inlineStr">
        <is>
          <t>Prepared for BIBS?</t>
        </is>
      </c>
      <c r="I4" s="21" t="inlineStr">
        <is>
          <t>Why needed</t>
        </is>
      </c>
      <c r="J4" s="21" t="inlineStr">
        <is>
          <t>Analysis and design (man-days)</t>
        </is>
      </c>
      <c r="K4" s="21" t="inlineStr">
        <is>
          <t>Back end (man-days)</t>
        </is>
      </c>
      <c r="L4" s="21" t="inlineStr">
        <is>
          <t>Front end (man-days)</t>
        </is>
      </c>
      <c r="M4" s="21" t="inlineStr">
        <is>
          <t>Testing (man-days)</t>
        </is>
      </c>
      <c r="N4" s="21" t="inlineStr">
        <is>
          <t>Documentation and UAT support (man-days)</t>
        </is>
      </c>
      <c r="O4" s="21" t="inlineStr">
        <is>
          <t>Total man-days</t>
        </is>
      </c>
      <c r="P4" s="21" t="inlineStr">
        <is>
          <t>Cost (man-days x DayRate)</t>
        </is>
      </c>
      <c r="Q4" s="21" t="inlineStr">
        <is>
          <t>Complexity</t>
        </is>
      </c>
      <c r="R4" s="21" t="inlineStr">
        <is>
          <t>Priority</t>
        </is>
      </c>
      <c r="S4" s="21" t="inlineStr">
        <is>
          <t>Dependencies</t>
        </is>
      </c>
      <c r="T4" s="21" t="inlineStr">
        <is>
          <t>Assumptions</t>
        </is>
      </c>
    </row>
    <row r="5">
      <c r="A5" s="12" t="inlineStr">
        <is>
          <t>CR-RN-001</t>
        </is>
      </c>
      <c r="B5" s="12" t="inlineStr">
        <is>
          <t>Automatic assignment by team and sub-team (Annex F)</t>
        </is>
      </c>
      <c r="C5" s="12" t="inlineStr">
        <is>
          <t>FRRN.010.01</t>
        </is>
      </c>
      <c r="D5" s="12" t="inlineStr">
        <is>
          <t>Not in BRD (BRD 1.005, 3.005 (the Team Lead assigns))</t>
        </is>
      </c>
      <c r="E5" s="12" t="inlineStr">
        <is>
          <t>BDOI's FRS</t>
        </is>
      </c>
      <c r="F5" s="12" t="inlineStr">
        <is>
          <t>RNW-012: Partial</t>
        </is>
      </c>
      <c r="G5" s="12" t="inlineStr">
        <is>
          <t>Lead assignment rules only (Leads); renewal queue without automatic assignment (Operations &gt; Renewals &gt; Renewal Queue)</t>
        </is>
      </c>
      <c r="H5" s="12" t="inlineStr">
        <is>
          <t>Yes</t>
        </is>
      </c>
      <c r="I5" s="12" t="inlineStr">
        <is>
          <t>BDOI's FRS asks for it beyond the BRD; assignment and reassignment exist; automatic round-robin assignment of renewals by team and sub-team (Annex F) is the missing part in the iNXT BrokerVerse platform edition.</t>
        </is>
      </c>
      <c r="J5" s="22" t="n">
        <v>1</v>
      </c>
      <c r="K5" s="22" t="n">
        <v>2</v>
      </c>
      <c r="L5" s="22" t="n">
        <v>1</v>
      </c>
      <c r="M5" s="22" t="n">
        <v>1.5</v>
      </c>
      <c r="N5" s="22" t="n">
        <v>0.5</v>
      </c>
      <c r="O5" s="22">
        <f>SUM(J5:N5)</f>
        <v/>
      </c>
      <c r="P5" s="23">
        <f>O5*DayRate</f>
        <v/>
      </c>
      <c r="Q5" s="12" t="inlineStr">
        <is>
          <t>Low</t>
        </is>
      </c>
      <c r="R5" s="12" t="inlineStr">
        <is>
          <t>High</t>
        </is>
      </c>
      <c r="S5" s="12" t="inlineStr">
        <is>
          <t>BDOI confirms the point is in scope (Change Request Register)</t>
        </is>
      </c>
      <c r="T5" s="12" t="inlineStr">
        <is>
          <t>Prepared for BIBS in this project; the effort is the value of the change for the missing part</t>
        </is>
      </c>
    </row>
    <row r="6">
      <c r="A6" s="12" t="inlineStr">
        <is>
          <t>CR-RN-002</t>
        </is>
      </c>
      <c r="B6" s="12" t="inlineStr">
        <is>
          <t>New Business account from an accepted referral</t>
        </is>
      </c>
      <c r="C6" s="12" t="inlineStr">
        <is>
          <t>FRRN.011.03</t>
        </is>
      </c>
      <c r="D6" s="12" t="inlineStr">
        <is>
          <t>Not in BRD (BRD 1.006 (transfer of the account))</t>
        </is>
      </c>
      <c r="E6" s="12" t="inlineStr">
        <is>
          <t>BDOI's FRS</t>
        </is>
      </c>
      <c r="F6" s="12" t="inlineStr">
        <is>
          <t>RNW-013: Not available</t>
        </is>
      </c>
      <c r="G6" s="12" t="inlineStr">
        <is>
          <t>not found (no transfer or referral of renewals between units)</t>
        </is>
      </c>
      <c r="H6" s="12" t="inlineStr">
        <is>
          <t>Yes</t>
        </is>
      </c>
      <c r="I6" s="12" t="inlineStr">
        <is>
          <t>BDOI's FRS asks for it beyond the BRD; no transfer or referral of renewal accounts between units with acceptance in the iNXT BrokerVerse platform edition.</t>
        </is>
      </c>
      <c r="J6" s="22" t="n">
        <v>1.5</v>
      </c>
      <c r="K6" s="22" t="n">
        <v>4</v>
      </c>
      <c r="L6" s="22" t="n">
        <v>2</v>
      </c>
      <c r="M6" s="22" t="n">
        <v>2</v>
      </c>
      <c r="N6" s="22" t="n">
        <v>0.5</v>
      </c>
      <c r="O6" s="22">
        <f>SUM(J6:N6)</f>
        <v/>
      </c>
      <c r="P6" s="23">
        <f>O6*DayRate</f>
        <v/>
      </c>
      <c r="Q6" s="12" t="inlineStr">
        <is>
          <t>Medium</t>
        </is>
      </c>
      <c r="R6" s="12" t="inlineStr">
        <is>
          <t>Medium</t>
        </is>
      </c>
      <c r="S6" s="12" t="inlineStr">
        <is>
          <t>BDOI confirms the point is in scope (Change Request Register)</t>
        </is>
      </c>
      <c r="T6" s="12" t="inlineStr">
        <is>
          <t>Prepared for BIBS in this project; the effort is the value of the change for the missing part</t>
        </is>
      </c>
    </row>
    <row r="7">
      <c r="A7" s="12" t="inlineStr">
        <is>
          <t>CR-RN-003</t>
        </is>
      </c>
      <c r="B7" s="12" t="inlineStr">
        <is>
          <t>Marketing dashboard metrics (budget, pipeline, closing ratio, top deals, persistency, product mix)</t>
        </is>
      </c>
      <c r="C7" s="12" t="inlineStr">
        <is>
          <t>FRRN.002.02.01</t>
        </is>
      </c>
      <c r="D7" s="12" t="inlineStr">
        <is>
          <t>Not in BRD (BRD 1.009.7 (accounts per officer))</t>
        </is>
      </c>
      <c r="E7" s="12" t="inlineStr">
        <is>
          <t>BDOI's FRS</t>
        </is>
      </c>
      <c r="F7" s="12" t="inlineStr">
        <is>
          <t>RNW-032; ACC-023: Partial</t>
        </is>
      </c>
      <c r="G7" s="12" t="inlineStr">
        <is>
          <t>Renewal Queue dashboard counters (total, due soon, at risk, grace); no budget, closing ratio, persistency or product mix</t>
        </is>
      </c>
      <c r="H7" s="12" t="inlineStr">
        <is>
          <t>Yes</t>
        </is>
      </c>
      <c r="I7" s="12" t="inlineStr">
        <is>
          <t>BDOI's FRS asks for it beyond the BRD; renewal dashboards are standard; the budget, closing ratio, top deals, persistency and product mix metrics of BDOI are not in the iNXT BrokerVerse platform edition.</t>
        </is>
      </c>
      <c r="J7" s="22" t="n">
        <v>1</v>
      </c>
      <c r="K7" s="22" t="n">
        <v>3</v>
      </c>
      <c r="L7" s="22" t="n">
        <v>3</v>
      </c>
      <c r="M7" s="22" t="n">
        <v>2</v>
      </c>
      <c r="N7" s="22" t="n">
        <v>0.5</v>
      </c>
      <c r="O7" s="22">
        <f>SUM(J7:N7)</f>
        <v/>
      </c>
      <c r="P7" s="23">
        <f>O7*DayRate</f>
        <v/>
      </c>
      <c r="Q7" s="12" t="inlineStr">
        <is>
          <t>Medium</t>
        </is>
      </c>
      <c r="R7" s="12" t="inlineStr">
        <is>
          <t>Medium</t>
        </is>
      </c>
      <c r="S7" s="12" t="inlineStr">
        <is>
          <t>BDOI confirms the point is in scope (Change Request Register)</t>
        </is>
      </c>
      <c r="T7" s="12" t="inlineStr">
        <is>
          <t>Prepared for BIBS in this project; the effort is the value of the change for the missing part</t>
        </is>
      </c>
    </row>
    <row r="8">
      <c r="A8" s="12" t="inlineStr">
        <is>
          <t>CR-RN-004</t>
        </is>
      </c>
      <c r="B8" s="12" t="inlineStr">
        <is>
          <t>Processing dashboard cards and drill-downs</t>
        </is>
      </c>
      <c r="C8" s="12" t="inlineStr">
        <is>
          <t>FRRN.003.02</t>
        </is>
      </c>
      <c r="D8" s="12" t="inlineStr">
        <is>
          <t>Not in BRD (BRD 3.010.7)</t>
        </is>
      </c>
      <c r="E8" s="12" t="inlineStr">
        <is>
          <t>BDOI's FRS</t>
        </is>
      </c>
      <c r="F8" s="12" t="inlineStr">
        <is>
          <t>QPL-032: Partial</t>
        </is>
      </c>
      <c r="G8" s="12" t="inlineStr">
        <is>
          <t>Placement screens without processing cards or drill-downs</t>
        </is>
      </c>
      <c r="H8" s="12" t="inlineStr">
        <is>
          <t>Yes</t>
        </is>
      </c>
      <c r="I8" s="12" t="inlineStr">
        <is>
          <t>BDOI's FRS asks for it beyond the BRD; placement reports exist; the processing cards and drill-downs of BDOI are not in the iNXT BrokerVerse platform edition.</t>
        </is>
      </c>
      <c r="J8" s="22" t="n">
        <v>1</v>
      </c>
      <c r="K8" s="22" t="n">
        <v>3</v>
      </c>
      <c r="L8" s="22" t="n">
        <v>3</v>
      </c>
      <c r="M8" s="22" t="n">
        <v>2</v>
      </c>
      <c r="N8" s="22" t="n">
        <v>0.5</v>
      </c>
      <c r="O8" s="22">
        <f>SUM(J8:N8)</f>
        <v/>
      </c>
      <c r="P8" s="23">
        <f>O8*DayRate</f>
        <v/>
      </c>
      <c r="Q8" s="12" t="inlineStr">
        <is>
          <t>Medium</t>
        </is>
      </c>
      <c r="R8" s="12" t="inlineStr">
        <is>
          <t>Medium</t>
        </is>
      </c>
      <c r="S8" s="12" t="inlineStr">
        <is>
          <t>BDOI confirms the point is in scope (Change Request Register)</t>
        </is>
      </c>
      <c r="T8" s="12" t="inlineStr">
        <is>
          <t>Prepared for BIBS in this project; the effort is the value of the change for the missing part</t>
        </is>
      </c>
    </row>
    <row r="9">
      <c r="A9" s="12" t="inlineStr">
        <is>
          <t>CR-RN-005</t>
        </is>
      </c>
      <c r="B9" s="12" t="inlineStr">
        <is>
          <t>Annual renewal budget maintenance, upload, inquiry and history</t>
        </is>
      </c>
      <c r="C9" s="12" t="inlineStr">
        <is>
          <t>FRRN.042.01</t>
        </is>
      </c>
      <c r="D9" s="12" t="inlineStr">
        <is>
          <t>Not in BRD (BRD 1.009.7 (dashboard))</t>
        </is>
      </c>
      <c r="E9" s="12" t="inlineStr">
        <is>
          <t>BDOI's FRS</t>
        </is>
      </c>
      <c r="F9" s="12" t="inlineStr">
        <is>
          <t>ACC-023: Not available</t>
        </is>
      </c>
      <c r="G9" s="12" t="inlineStr">
        <is>
          <t>not found (budget exists only on win-back campaigns)</t>
        </is>
      </c>
      <c r="H9" s="12" t="inlineStr">
        <is>
          <t>Yes</t>
        </is>
      </c>
      <c r="I9" s="12" t="inlineStr">
        <is>
          <t>BDOI's FRS asks for it beyond the BRD; no budget maintenance, upload, inquiry or history in the iNXT BrokerVerse platform edition.</t>
        </is>
      </c>
      <c r="J9" s="22" t="n">
        <v>1.5</v>
      </c>
      <c r="K9" s="22" t="n">
        <v>4</v>
      </c>
      <c r="L9" s="22" t="n">
        <v>3</v>
      </c>
      <c r="M9" s="22" t="n">
        <v>2</v>
      </c>
      <c r="N9" s="22" t="n">
        <v>0.5</v>
      </c>
      <c r="O9" s="22">
        <f>SUM(J9:N9)</f>
        <v/>
      </c>
      <c r="P9" s="23">
        <f>O9*DayRate</f>
        <v/>
      </c>
      <c r="Q9" s="12" t="inlineStr">
        <is>
          <t>Medium</t>
        </is>
      </c>
      <c r="R9" s="12" t="inlineStr">
        <is>
          <t>Medium</t>
        </is>
      </c>
      <c r="S9" s="12" t="inlineStr">
        <is>
          <t>BDOI confirms the point is in scope (Change Request Register)</t>
        </is>
      </c>
      <c r="T9" s="12" t="inlineStr">
        <is>
          <t>Prepared for BIBS in this project; the effort is the value of the change for the missing part</t>
        </is>
      </c>
    </row>
    <row r="10">
      <c r="A10" s="12" t="inlineStr">
        <is>
          <t>CR-RN-006</t>
        </is>
      </c>
      <c r="B10" s="12" t="inlineStr">
        <is>
          <t>KYC monitoring statuses, history and dashboard</t>
        </is>
      </c>
      <c r="C10" s="12" t="inlineStr">
        <is>
          <t>FRRN.039.02</t>
        </is>
      </c>
      <c r="D10" s="12" t="inlineStr">
        <is>
          <t>Not in BRD (BRRN.028 (KYC flag))</t>
        </is>
      </c>
      <c r="E10" s="12" t="inlineStr">
        <is>
          <t>BDOI's FRS</t>
        </is>
      </c>
      <c r="F10" s="12" t="inlineStr">
        <is>
          <t>RNW-010; CRM-010: Partial</t>
        </is>
      </c>
      <c r="G10" s="12" t="inlineStr">
        <is>
          <t>AML: KYC refresh due list; no renewal KYC monitoring statuses or dashboard</t>
        </is>
      </c>
      <c r="H10" s="12" t="inlineStr">
        <is>
          <t>Yes</t>
        </is>
      </c>
      <c r="I10" s="12" t="inlineStr">
        <is>
          <t>BDOI's FRS asks for it beyond the BRD; a periodic KYC review list is standard; the KYC monitoring statuses, history and dashboard of Renewal are not in the iNXT BrokerVerse platform edition.</t>
        </is>
      </c>
      <c r="J10" s="22" t="n">
        <v>1</v>
      </c>
      <c r="K10" s="22" t="n">
        <v>3</v>
      </c>
      <c r="L10" s="22" t="n">
        <v>2</v>
      </c>
      <c r="M10" s="22" t="n">
        <v>2</v>
      </c>
      <c r="N10" s="22" t="n">
        <v>0.5</v>
      </c>
      <c r="O10" s="22">
        <f>SUM(J10:N10)</f>
        <v/>
      </c>
      <c r="P10" s="23">
        <f>O10*DayRate</f>
        <v/>
      </c>
      <c r="Q10" s="12" t="inlineStr">
        <is>
          <t>Medium</t>
        </is>
      </c>
      <c r="R10" s="12" t="inlineStr">
        <is>
          <t>Medium</t>
        </is>
      </c>
      <c r="S10" s="12" t="inlineStr">
        <is>
          <t>BDOI confirms the point is in scope (Change Request Register)</t>
        </is>
      </c>
      <c r="T10" s="12" t="inlineStr">
        <is>
          <t>Prepared for BIBS in this project; the effort is the value of the change for the missing part</t>
        </is>
      </c>
    </row>
    <row r="11">
      <c r="A11" s="12" t="inlineStr">
        <is>
          <t>CR-RN-008</t>
        </is>
      </c>
      <c r="B11" s="12" t="inlineStr">
        <is>
          <t>CBG Motor automatic update (depreciation, BI / PD tiers, Auto Promo to Regular)</t>
        </is>
      </c>
      <c r="C11" s="12" t="inlineStr">
        <is>
          <t>FRRN.009.01</t>
        </is>
      </c>
      <c r="D11" s="12" t="inlineStr">
        <is>
          <t>Not in BRD (BRRN.039)</t>
        </is>
      </c>
      <c r="E11" s="12" t="inlineStr">
        <is>
          <t>BDOI's FRS (Annexes D, E)</t>
        </is>
      </c>
      <c r="F11" s="12" t="inlineStr">
        <is>
          <t>Not in the feature list: BDOI-specific</t>
        </is>
      </c>
      <c r="G11" s="12" t="inlineStr">
        <is>
          <t>not found</t>
        </is>
      </c>
      <c r="H11" s="12" t="inlineStr">
        <is>
          <t>Yes</t>
        </is>
      </c>
      <c r="I11" s="12" t="inlineStr">
        <is>
          <t>BDOI's FRS (Annexes D, E) asks for it beyond the BRD; bDOI rules for CBG Motor renewals (Annexes D, E) in the iNXT BrokerVerse platform edition.</t>
        </is>
      </c>
      <c r="J11" s="22" t="n">
        <v>2</v>
      </c>
      <c r="K11" s="22" t="n">
        <v>5</v>
      </c>
      <c r="L11" s="22" t="n">
        <v>1</v>
      </c>
      <c r="M11" s="22" t="n">
        <v>3</v>
      </c>
      <c r="N11" s="22" t="n">
        <v>0.5</v>
      </c>
      <c r="O11" s="22">
        <f>SUM(J11:N11)</f>
        <v/>
      </c>
      <c r="P11" s="23">
        <f>O11*DayRate</f>
        <v/>
      </c>
      <c r="Q11" s="12" t="inlineStr">
        <is>
          <t>High</t>
        </is>
      </c>
      <c r="R11" s="12" t="inlineStr">
        <is>
          <t>High</t>
        </is>
      </c>
      <c r="S11" s="12" t="inlineStr">
        <is>
          <t>BDOI confirms the point is in scope (Change Request Register)</t>
        </is>
      </c>
      <c r="T11" s="12" t="inlineStr">
        <is>
          <t>Prepared for BIBS in this project; the effort is the value of the change for the missing part</t>
        </is>
      </c>
    </row>
    <row r="12">
      <c r="A12" s="12" t="inlineStr">
        <is>
          <t>CR-RN-010</t>
        </is>
      </c>
      <c r="B12" s="12" t="inlineStr">
        <is>
          <t>Direct-to-Insurer Payment approval (blanket or Unit Head)</t>
        </is>
      </c>
      <c r="C12" s="12" t="inlineStr">
        <is>
          <t>FRRN.014.05</t>
        </is>
      </c>
      <c r="D12" s="12" t="inlineStr">
        <is>
          <t>Not in BRD (BRRN.040)</t>
        </is>
      </c>
      <c r="E12" s="12" t="inlineStr">
        <is>
          <t>BDOI's FRS</t>
        </is>
      </c>
      <c r="F12" s="12" t="inlineStr">
        <is>
          <t>POL-016; REM-019: Partial</t>
        </is>
      </c>
      <c r="G12" s="12" t="inlineStr">
        <is>
          <t>not found (direct payment only in commission computation)</t>
        </is>
      </c>
      <c r="H12" s="12" t="inlineStr">
        <is>
          <t>Yes</t>
        </is>
      </c>
      <c r="I12" s="12" t="inlineStr">
        <is>
          <t>BDOI's FRS asks for it beyond the BRD; direct-payment accounts are standard; the blanket or Unit Head approval of the renewal is not in the iNXT BrokerVerse platform edition.</t>
        </is>
      </c>
      <c r="J12" s="22" t="n">
        <v>1</v>
      </c>
      <c r="K12" s="22" t="n">
        <v>2</v>
      </c>
      <c r="L12" s="22" t="n">
        <v>1</v>
      </c>
      <c r="M12" s="22" t="n">
        <v>1.5</v>
      </c>
      <c r="N12" s="22" t="n">
        <v>0.5</v>
      </c>
      <c r="O12" s="22">
        <f>SUM(J12:N12)</f>
        <v/>
      </c>
      <c r="P12" s="23">
        <f>O12*DayRate</f>
        <v/>
      </c>
      <c r="Q12" s="12" t="inlineStr">
        <is>
          <t>Low</t>
        </is>
      </c>
      <c r="R12" s="12" t="inlineStr">
        <is>
          <t>Medium</t>
        </is>
      </c>
      <c r="S12" s="12" t="inlineStr">
        <is>
          <t>BDOI confirms the point is in scope (Change Request Register)</t>
        </is>
      </c>
      <c r="T12" s="12" t="inlineStr">
        <is>
          <t>Prepared for BIBS in this project; the effort is the value of the change for the missing part</t>
        </is>
      </c>
    </row>
    <row r="13">
      <c r="A13" s="12" t="inlineStr">
        <is>
          <t>CR-RN-011</t>
        </is>
      </c>
      <c r="B13" s="12" t="inlineStr">
        <is>
          <t>Hold cover automation (CBG at 75 days, extensions, CBG Home on the 15th)</t>
        </is>
      </c>
      <c r="C13" s="12" t="inlineStr">
        <is>
          <t>FRRN.036.03</t>
        </is>
      </c>
      <c r="D13" s="12" t="inlineStr">
        <is>
          <t>Not in BRD (BRRN.042)</t>
        </is>
      </c>
      <c r="E13" s="12" t="inlineStr">
        <is>
          <t>BDOI's FRS</t>
        </is>
      </c>
      <c r="F13" s="12" t="inlineStr">
        <is>
          <t>RNW-028: Partial</t>
        </is>
      </c>
      <c r="G13" s="12" t="inlineStr">
        <is>
          <t>Cover notes of 30 days from an accepted quotation (Cover Notes); no automatic CBG requests, extensions or batches</t>
        </is>
      </c>
      <c r="H13" s="12" t="inlineStr">
        <is>
          <t>Yes</t>
        </is>
      </c>
      <c r="I13" s="12" t="inlineStr">
        <is>
          <t>BDOI's FRS asks for it beyond the BRD; cover notes of 30 days are standard; automatic CBG requests at 75 days, extensions and insurer batches are not in the iNXT BrokerVerse platform edition.</t>
        </is>
      </c>
      <c r="J13" s="22" t="n">
        <v>2</v>
      </c>
      <c r="K13" s="22" t="n">
        <v>6</v>
      </c>
      <c r="L13" s="22" t="n">
        <v>3</v>
      </c>
      <c r="M13" s="22" t="n">
        <v>3</v>
      </c>
      <c r="N13" s="22" t="n">
        <v>1</v>
      </c>
      <c r="O13" s="22">
        <f>SUM(J13:N13)</f>
        <v/>
      </c>
      <c r="P13" s="23">
        <f>O13*DayRate</f>
        <v/>
      </c>
      <c r="Q13" s="12" t="inlineStr">
        <is>
          <t>High</t>
        </is>
      </c>
      <c r="R13" s="12" t="inlineStr">
        <is>
          <t>High</t>
        </is>
      </c>
      <c r="S13" s="12" t="inlineStr">
        <is>
          <t>BDOI confirms the point is in scope (Change Request Register)</t>
        </is>
      </c>
      <c r="T13" s="12" t="inlineStr">
        <is>
          <t>Prepared for BIBS in this project; the effort is the value of the change for the missing part</t>
        </is>
      </c>
    </row>
    <row r="14">
      <c r="A14" s="12" t="inlineStr">
        <is>
          <t>CR-RN-014</t>
        </is>
      </c>
      <c r="B14" s="12" t="inlineStr">
        <is>
          <t>E-policy batch processing (summary file and ZIP)</t>
        </is>
      </c>
      <c r="C14" s="12" t="inlineStr">
        <is>
          <t>FRRN.033.01</t>
        </is>
      </c>
      <c r="D14" s="12" t="inlineStr">
        <is>
          <t>Not in BRD (BRRN.040)</t>
        </is>
      </c>
      <c r="E14" s="12" t="inlineStr">
        <is>
          <t>BDOI's FRS</t>
        </is>
      </c>
      <c r="F14" s="12" t="inlineStr">
        <is>
          <t>POL-009: Partial</t>
        </is>
      </c>
      <c r="G14" s="12" t="inlineStr">
        <is>
          <t>E-policy issue for packages; no summary file and ZIP receipt or batch sending</t>
        </is>
      </c>
      <c r="H14" s="12" t="inlineStr">
        <is>
          <t>Yes</t>
        </is>
      </c>
      <c r="I14" s="12" t="inlineStr">
        <is>
          <t>BDOI's FRS asks for it beyond the BRD; protected e-policy dispatch is partly standard; the summary file and ZIP receipt, matching and batch sending are not in the iNXT BrokerVerse platform edition.</t>
        </is>
      </c>
      <c r="J14" s="22" t="n">
        <v>1.5</v>
      </c>
      <c r="K14" s="22" t="n">
        <v>4</v>
      </c>
      <c r="L14" s="22" t="n">
        <v>2</v>
      </c>
      <c r="M14" s="22" t="n">
        <v>2.5</v>
      </c>
      <c r="N14" s="22" t="n">
        <v>0.5</v>
      </c>
      <c r="O14" s="22">
        <f>SUM(J14:N14)</f>
        <v/>
      </c>
      <c r="P14" s="23">
        <f>O14*DayRate</f>
        <v/>
      </c>
      <c r="Q14" s="12" t="inlineStr">
        <is>
          <t>Medium</t>
        </is>
      </c>
      <c r="R14" s="12" t="inlineStr">
        <is>
          <t>Medium</t>
        </is>
      </c>
      <c r="S14" s="12" t="inlineStr">
        <is>
          <t>BDOI confirms the point is in scope (Change Request Register)</t>
        </is>
      </c>
      <c r="T14" s="12" t="inlineStr">
        <is>
          <t>Prepared for BIBS in this project; the effort is the value of the change for the missing part</t>
        </is>
      </c>
    </row>
    <row r="15">
      <c r="A15" s="12" t="inlineStr">
        <is>
          <t>CR-RN-015</t>
        </is>
      </c>
      <c r="B15" s="12" t="inlineStr">
        <is>
          <t>Placement turnaround time (business days, With Issue, resolution date)</t>
        </is>
      </c>
      <c r="C15" s="12" t="inlineStr">
        <is>
          <t>FRRN.29.05</t>
        </is>
      </c>
      <c r="D15" s="12" t="inlineStr">
        <is>
          <t>Not in BRD (BRRN.040)</t>
        </is>
      </c>
      <c r="E15" s="12" t="inlineStr">
        <is>
          <t>BDOI's FRS</t>
        </is>
      </c>
      <c r="F15" s="12" t="inlineStr">
        <is>
          <t>QPL-032 (no TAT feature): Not available</t>
        </is>
      </c>
      <c r="G15" s="12" t="inlineStr">
        <is>
          <t>not found</t>
        </is>
      </c>
      <c r="H15" s="12" t="inlineStr">
        <is>
          <t>Yes</t>
        </is>
      </c>
      <c r="I15" s="12" t="inlineStr">
        <is>
          <t>BDOI's FRS asks for it beyond the BRD; no placement turnaround time in business days with With Issue and resolution date in the iNXT BrokerVerse platform edition.</t>
        </is>
      </c>
      <c r="J15" s="22" t="n">
        <v>1</v>
      </c>
      <c r="K15" s="22" t="n">
        <v>3</v>
      </c>
      <c r="L15" s="22" t="n">
        <v>1.5</v>
      </c>
      <c r="M15" s="22" t="n">
        <v>2</v>
      </c>
      <c r="N15" s="22" t="n">
        <v>0.5</v>
      </c>
      <c r="O15" s="22">
        <f>SUM(J15:N15)</f>
        <v/>
      </c>
      <c r="P15" s="23">
        <f>O15*DayRate</f>
        <v/>
      </c>
      <c r="Q15" s="12" t="inlineStr">
        <is>
          <t>Medium</t>
        </is>
      </c>
      <c r="R15" s="12" t="inlineStr">
        <is>
          <t>Medium</t>
        </is>
      </c>
      <c r="S15" s="12" t="inlineStr">
        <is>
          <t>BDOI confirms the point is in scope (Change Request Register)</t>
        </is>
      </c>
      <c r="T15" s="12" t="inlineStr">
        <is>
          <t>Prepared for BIBS in this project; the effort is the value of the change for the missing part</t>
        </is>
      </c>
    </row>
    <row r="16">
      <c r="A16" s="12" t="inlineStr">
        <is>
          <t>CR-RN-016</t>
        </is>
      </c>
      <c r="B16" s="12" t="inlineStr">
        <is>
          <t>Second approval after acceptance</t>
        </is>
      </c>
      <c r="C16" s="12" t="inlineStr">
        <is>
          <t>FRRN.26.01</t>
        </is>
      </c>
      <c r="D16" s="12" t="inlineStr">
        <is>
          <t>Not in BRD (BRRN.040 (no delay))</t>
        </is>
      </c>
      <c r="E16" s="12" t="inlineStr">
        <is>
          <t>BDOI's FRS</t>
        </is>
      </c>
      <c r="F16" s="12" t="inlineStr">
        <is>
          <t>RNW-016: Partial</t>
        </is>
      </c>
      <c r="G16" s="12" t="inlineStr">
        <is>
          <t>Maker-checker on other masters; no Submitted for Approval of an accepted renewal</t>
        </is>
      </c>
      <c r="H16" s="12" t="inlineStr">
        <is>
          <t>Yes</t>
        </is>
      </c>
      <c r="I16" s="12" t="inlineStr">
        <is>
          <t>BDOI's FRS asks for it beyond the BRD; maker-checker on renewal terms is standard; Submitted for Approval after acceptance is not in the iNXT BrokerVerse platform edition.</t>
        </is>
      </c>
      <c r="J16" s="22" t="n">
        <v>1</v>
      </c>
      <c r="K16" s="22" t="n">
        <v>2</v>
      </c>
      <c r="L16" s="22" t="n">
        <v>1.5</v>
      </c>
      <c r="M16" s="22" t="n">
        <v>1.5</v>
      </c>
      <c r="N16" s="22" t="n">
        <v>0.5</v>
      </c>
      <c r="O16" s="22">
        <f>SUM(J16:N16)</f>
        <v/>
      </c>
      <c r="P16" s="23">
        <f>O16*DayRate</f>
        <v/>
      </c>
      <c r="Q16" s="12" t="inlineStr">
        <is>
          <t>Low</t>
        </is>
      </c>
      <c r="R16" s="12" t="inlineStr">
        <is>
          <t>Medium</t>
        </is>
      </c>
      <c r="S16" s="12" t="inlineStr">
        <is>
          <t>BDOI confirms the point is in scope (Change Request Register)</t>
        </is>
      </c>
      <c r="T16" s="12" t="inlineStr">
        <is>
          <t>Prepared for BIBS in this project; the effort is the value of the change for the missing part</t>
        </is>
      </c>
    </row>
    <row r="17">
      <c r="A17" s="12" t="inlineStr">
        <is>
          <t>CR-RN-017</t>
        </is>
      </c>
      <c r="B17" s="12" t="inlineStr">
        <is>
          <t>Nine insurer disposition values</t>
        </is>
      </c>
      <c r="C17" s="12" t="inlineStr">
        <is>
          <t>FRRN.013.02</t>
        </is>
      </c>
      <c r="D17" s="12" t="inlineStr">
        <is>
          <t>Not in BRD (BRRN.035 (three outcomes))</t>
        </is>
      </c>
      <c r="E17" s="12" t="inlineStr">
        <is>
          <t>BDOI's FRS</t>
        </is>
      </c>
      <c r="F17" s="12" t="inlineStr">
        <is>
          <t>RNW-021: BDOI-specific</t>
        </is>
      </c>
      <c r="G17" s="12" t="inlineStr">
        <is>
          <t>not found (insurer responses not recorded as dispositions)</t>
        </is>
      </c>
      <c r="H17" s="12" t="inlineStr">
        <is>
          <t>Yes</t>
        </is>
      </c>
      <c r="I17" s="12" t="inlineStr">
        <is>
          <t>BDOI's FRS asks for it beyond the BRD; bDOI's nine insurer values and their mapping to the BRD outcomes in the iNXT BrokerVerse platform edition.</t>
        </is>
      </c>
      <c r="J17" s="22" t="n">
        <v>1</v>
      </c>
      <c r="K17" s="22" t="n">
        <v>2</v>
      </c>
      <c r="L17" s="22" t="n">
        <v>1</v>
      </c>
      <c r="M17" s="22" t="n">
        <v>1.5</v>
      </c>
      <c r="N17" s="22" t="n">
        <v>0.5</v>
      </c>
      <c r="O17" s="22">
        <f>SUM(J17:N17)</f>
        <v/>
      </c>
      <c r="P17" s="23">
        <f>O17*DayRate</f>
        <v/>
      </c>
      <c r="Q17" s="12" t="inlineStr">
        <is>
          <t>Low</t>
        </is>
      </c>
      <c r="R17" s="12" t="inlineStr">
        <is>
          <t>Medium</t>
        </is>
      </c>
      <c r="S17" s="12" t="inlineStr">
        <is>
          <t>BDOI confirms the point is in scope (Change Request Register)</t>
        </is>
      </c>
      <c r="T17" s="12" t="inlineStr">
        <is>
          <t>Prepared for BIBS in this project; the effort is the value of the change for the missing part</t>
        </is>
      </c>
    </row>
    <row r="18">
      <c r="A18" s="12" t="inlineStr">
        <is>
          <t>CR-RN-018</t>
        </is>
      </c>
      <c r="B18" s="12" t="inlineStr">
        <is>
          <t>Duplicate criteria per line and segment (Annex B)</t>
        </is>
      </c>
      <c r="C18" s="12" t="inlineStr">
        <is>
          <t>FRRN.006.01</t>
        </is>
      </c>
      <c r="D18" s="12" t="inlineStr">
        <is>
          <t>Not in BRD (BRRN.005)</t>
        </is>
      </c>
      <c r="E18" s="12" t="inlineStr">
        <is>
          <t>BDOI's FRS</t>
        </is>
      </c>
      <c r="F18" s="12" t="inlineStr">
        <is>
          <t>POL-003: Partial</t>
        </is>
      </c>
      <c r="G18" s="12" t="inlineStr">
        <is>
          <t>Duplicate checks on journals and data load; none per line and segment on renewals</t>
        </is>
      </c>
      <c r="H18" s="12" t="inlineStr">
        <is>
          <t>Yes</t>
        </is>
      </c>
      <c r="I18" s="12" t="inlineStr">
        <is>
          <t>BDOI's FRS asks for it beyond the BRD; duplicate account prevention is partly standard; criteria per line and segment (Annex B) are not in the iNXT BrokerVerse platform edition.</t>
        </is>
      </c>
      <c r="J18" s="22" t="n">
        <v>1</v>
      </c>
      <c r="K18" s="22" t="n">
        <v>2</v>
      </c>
      <c r="L18" s="22" t="n">
        <v>0.5</v>
      </c>
      <c r="M18" s="22" t="n">
        <v>1.5</v>
      </c>
      <c r="N18" s="22" t="n">
        <v>0.5</v>
      </c>
      <c r="O18" s="22">
        <f>SUM(J18:N18)</f>
        <v/>
      </c>
      <c r="P18" s="23">
        <f>O18*DayRate</f>
        <v/>
      </c>
      <c r="Q18" s="12" t="inlineStr">
        <is>
          <t>Low</t>
        </is>
      </c>
      <c r="R18" s="12" t="inlineStr">
        <is>
          <t>Medium</t>
        </is>
      </c>
      <c r="S18" s="12" t="inlineStr">
        <is>
          <t>BDOI confirms the point is in scope (Change Request Register)</t>
        </is>
      </c>
      <c r="T18" s="12" t="inlineStr">
        <is>
          <t>Prepared for BIBS in this project; the effort is the value of the change for the missing part</t>
        </is>
      </c>
    </row>
    <row r="19">
      <c r="A19" s="12" t="inlineStr">
        <is>
          <t>CR-RN-020</t>
        </is>
      </c>
      <c r="B19" s="12" t="inlineStr">
        <is>
          <t>Password convention of protected files</t>
        </is>
      </c>
      <c r="C19" s="12" t="inlineStr">
        <is>
          <t>FRRN.024.01</t>
        </is>
      </c>
      <c r="D19" s="12" t="inlineStr">
        <is>
          <t>Not in BRD (BRRN.010 (encrypt and add password))</t>
        </is>
      </c>
      <c r="E19" s="12" t="inlineStr">
        <is>
          <t>BDOI's FRS</t>
        </is>
      </c>
      <c r="F19" s="12" t="inlineStr">
        <is>
          <t>RNW-023; QPL-031: Not available</t>
        </is>
      </c>
      <c r="G19" s="12" t="inlineStr">
        <is>
          <t>not found (documents sent as plain PDF)</t>
        </is>
      </c>
      <c r="H19" s="12" t="inlineStr">
        <is>
          <t>Yes</t>
        </is>
      </c>
      <c r="I19" s="12" t="inlineStr">
        <is>
          <t>BDOI's FRS asks for it beyond the BRD; documents are sent as plain PDF; no password convention in the iNXT BrokerVerse platform edition.</t>
        </is>
      </c>
      <c r="J19" s="22" t="n">
        <v>0.5</v>
      </c>
      <c r="K19" s="22" t="n">
        <v>2</v>
      </c>
      <c r="L19" s="22" t="n">
        <v>0.5</v>
      </c>
      <c r="M19" s="22" t="n">
        <v>1</v>
      </c>
      <c r="N19" s="22" t="n">
        <v>0.5</v>
      </c>
      <c r="O19" s="22">
        <f>SUM(J19:N19)</f>
        <v/>
      </c>
      <c r="P19" s="23">
        <f>O19*DayRate</f>
        <v/>
      </c>
      <c r="Q19" s="12" t="inlineStr">
        <is>
          <t>Low</t>
        </is>
      </c>
      <c r="R19" s="12" t="inlineStr">
        <is>
          <t>High</t>
        </is>
      </c>
      <c r="S19" s="12" t="inlineStr">
        <is>
          <t>BDOI confirms the point is in scope (Change Request Register)</t>
        </is>
      </c>
      <c r="T19" s="12" t="inlineStr">
        <is>
          <t>Prepared for BIBS in this project; the effort is the value of the change for the missing part</t>
        </is>
      </c>
    </row>
    <row r="20">
      <c r="A20" s="12" t="inlineStr">
        <is>
          <t>CR-RN-022</t>
        </is>
      </c>
      <c r="B20" s="12" t="inlineStr">
        <is>
          <t>RMU Account Officer maintenance</t>
        </is>
      </c>
      <c r="C20" s="12" t="inlineStr">
        <is>
          <t>FRRN.041.01</t>
        </is>
      </c>
      <c r="D20" s="12" t="inlineStr">
        <is>
          <t>Not in BRD (BRRN.029)</t>
        </is>
      </c>
      <c r="E20" s="12" t="inlineStr">
        <is>
          <t>BDOI's FRS</t>
        </is>
      </c>
      <c r="F20" s="12" t="inlineStr">
        <is>
          <t>RNW-009; INT-009: BDOI-specific</t>
        </is>
      </c>
      <c r="G20" s="12" t="inlineStr">
        <is>
          <t>not found</t>
        </is>
      </c>
      <c r="H20" s="12" t="inlineStr">
        <is>
          <t>Yes</t>
        </is>
      </c>
      <c r="I20" s="12" t="inlineStr">
        <is>
          <t>BDOI's FRS asks for it beyond the BRD; bank-specific RMU Account Officer codes in the iNXT BrokerVerse platform edition.</t>
        </is>
      </c>
      <c r="J20" s="22" t="n">
        <v>0.5</v>
      </c>
      <c r="K20" s="22" t="n">
        <v>1.5</v>
      </c>
      <c r="L20" s="22" t="n">
        <v>1.5</v>
      </c>
      <c r="M20" s="22" t="n">
        <v>1</v>
      </c>
      <c r="N20" s="22" t="n">
        <v>0.5</v>
      </c>
      <c r="O20" s="22">
        <f>SUM(J20:N20)</f>
        <v/>
      </c>
      <c r="P20" s="23">
        <f>O20*DayRate</f>
        <v/>
      </c>
      <c r="Q20" s="12" t="inlineStr">
        <is>
          <t>Low</t>
        </is>
      </c>
      <c r="R20" s="12" t="inlineStr">
        <is>
          <t>Low</t>
        </is>
      </c>
      <c r="S20" s="12" t="inlineStr">
        <is>
          <t>BDOI confirms the point is in scope (Change Request Register)</t>
        </is>
      </c>
      <c r="T20" s="12" t="inlineStr">
        <is>
          <t>Prepared for BIBS in this project; the effort is the value of the change for the missing part</t>
        </is>
      </c>
    </row>
    <row r="21">
      <c r="A21" s="12" t="inlineStr">
        <is>
          <t>CR-RN-024</t>
        </is>
      </c>
      <c r="B21" s="12" t="inlineStr">
        <is>
          <t>Accessibility conformance (WCAG 2.2 level AA) of the Renewal screens</t>
        </is>
      </c>
      <c r="C21" s="12" t="inlineStr">
        <is>
          <t>Annex AJ RN-NFR-16</t>
        </is>
      </c>
      <c r="D21" s="12" t="inlineStr">
        <is>
          <t>Not in BRD</t>
        </is>
      </c>
      <c r="E21" s="12" t="inlineStr">
        <is>
          <t>Programme register of non-functional requirements (NFR-ACC-01); market practice for bank systems</t>
        </is>
      </c>
      <c r="F21" s="12" t="inlineStr">
        <is>
          <t>NFR-021: Partial</t>
        </is>
      </c>
      <c r="G21" s="12" t="inlineStr">
        <is>
          <t>Partial: ARIA labels on many screens; no WCAG 2.2 AA conformance check or statement</t>
        </is>
      </c>
      <c r="H21" s="12" t="inlineStr">
        <is>
          <t>No</t>
        </is>
      </c>
      <c r="I21" s="12" t="inlineStr">
        <is>
          <t>The BRD has no accessibility requirement; BDO's policies and the programme register expect screens usable with the keyboard and a screen reader, with sufficient contrast. A conformance claim needs a check of every Renewal screen and the corrections it finds.</t>
        </is>
      </c>
      <c r="J21" s="22" t="n">
        <v>2</v>
      </c>
      <c r="K21" s="22" t="n">
        <v>0</v>
      </c>
      <c r="L21" s="22" t="n">
        <v>12</v>
      </c>
      <c r="M21" s="22" t="n">
        <v>4</v>
      </c>
      <c r="N21" s="22" t="n">
        <v>2</v>
      </c>
      <c r="O21" s="22">
        <f>SUM(J21:N21)</f>
        <v/>
      </c>
      <c r="P21" s="23">
        <f>O21*DayRate</f>
        <v/>
      </c>
      <c r="Q21" s="12" t="inlineStr">
        <is>
          <t>Medium</t>
        </is>
      </c>
      <c r="R21" s="12" t="inlineStr">
        <is>
          <t>Medium</t>
        </is>
      </c>
      <c r="S21" s="12" t="inlineStr">
        <is>
          <t>BDOI confirms the accessibility standard (WCAG 2.2 AA or BDO's own); shared screen components of the programme</t>
        </is>
      </c>
      <c r="T21" s="12" t="inlineStr">
        <is>
          <t>16 Renewal screens and their dialogs; corrections in the shared components benefit every module and are counted once here; no change to the business rules</t>
        </is>
      </c>
    </row>
  </sheetData>
  <autoFilter ref="A4:T21"/>
  <mergeCells count="1">
    <mergeCell ref="A2:T2"/>
  </mergeCells>
  <conditionalFormatting sqref="A5:T521">
    <cfRule type="expression" priority="1" dxfId="0">
      <formula>AND(MOD(ROW(),2)=0,$A5&lt;&gt;"")</formula>
    </cfRule>
  </conditionalFormatting>
  <dataValidations count="2">
    <dataValidation sqref="Q5:Q521" showDropDown="0" showInputMessage="0" showErrorMessage="1" allowBlank="1" errorTitle="Complexity" error="Choose a value from the list (Complexity)." type="list">
      <formula1>'Lists'!$A$2:$A$4</formula1>
    </dataValidation>
    <dataValidation sqref="R5:R521" showDropDown="0" showInputMessage="0" showErrorMessage="1" allowBlank="1" errorTitle="Priority" error="Choose a value from the list (Priority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44" customWidth="1" min="3" max="3"/>
    <col width="30" customWidth="1" min="4" max="4"/>
    <col width="18" customWidth="1" min="5" max="5"/>
    <col width="20" customWidth="1" min="6" max="6"/>
    <col width="50" customWidth="1" min="7" max="7"/>
    <col width="12" customWidth="1" min="8" max="8"/>
    <col width="10" customWidth="1" min="9" max="9"/>
  </cols>
  <sheetData>
    <row r="1" ht="24" customHeight="1">
      <c r="A1" s="16" t="inlineStr">
        <is>
          <t>Beyond the BRD - OOTB</t>
        </is>
      </c>
    </row>
    <row r="2">
      <c r="A2" s="19" t="inlineStr">
        <is>
          <t>Points beyond the BRD that the iNXT BrokerVerse platform offers out of the box (green; no cost)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>
      <c r="A4" s="21" t="inlineStr">
        <is>
          <t>No.</t>
        </is>
      </c>
      <c r="B4" s="21" t="inlineStr">
        <is>
          <t>FR item</t>
        </is>
      </c>
      <c r="C4" s="21" t="inlineStr">
        <is>
          <t>Point</t>
        </is>
      </c>
      <c r="D4" s="21" t="inlineStr">
        <is>
          <t>BRD (what it asks)</t>
        </is>
      </c>
      <c r="E4" s="21" t="inlineStr">
        <is>
          <t>Source</t>
        </is>
      </c>
      <c r="F4" s="21" t="inlineStr">
        <is>
          <t>Feature List ID / OOTB status</t>
        </is>
      </c>
      <c r="G4" s="21" t="inlineStr">
        <is>
          <t>OOTB evidence (iNXT BrokerVerse)</t>
        </is>
      </c>
      <c r="H4" s="21" t="inlineStr">
        <is>
          <t>Register</t>
        </is>
      </c>
      <c r="I4" s="21" t="inlineStr">
        <is>
          <t>Man-days</t>
        </is>
      </c>
    </row>
    <row r="5">
      <c r="A5" s="12" t="inlineStr">
        <is>
          <t>G-09</t>
        </is>
      </c>
      <c r="B5" s="12" t="inlineStr">
        <is>
          <t>FRRN.014.03</t>
        </is>
      </c>
      <c r="C5" s="12" t="inlineStr">
        <is>
          <t>Allocation to several insurers by percentage or amount</t>
        </is>
      </c>
      <c r="D5" s="12" t="inlineStr">
        <is>
          <t>BRRN.040</t>
        </is>
      </c>
      <c r="E5" s="12" t="inlineStr">
        <is>
          <t>BDOI's FRS</t>
        </is>
      </c>
      <c r="F5" s="12" t="inlineStr">
        <is>
          <t>QPL-016: Available</t>
        </is>
      </c>
      <c r="G5" s="12" t="inlineStr">
        <is>
          <t>Placement participants with insurer shares (Placement)</t>
        </is>
      </c>
      <c r="H5" s="12" t="inlineStr">
        <is>
          <t>CR-RN-009</t>
        </is>
      </c>
      <c r="I5" s="22" t="n">
        <v>0</v>
      </c>
    </row>
    <row r="6">
      <c r="A6" s="12" t="inlineStr">
        <is>
          <t>G-19</t>
        </is>
      </c>
      <c r="B6" s="12" t="inlineStr">
        <is>
          <t>FRRN.022.01</t>
        </is>
      </c>
      <c r="C6" s="12" t="inlineStr">
        <is>
          <t>Renewal Advice per line; first and last notice set by the system</t>
        </is>
      </c>
      <c r="D6" s="12" t="inlineStr">
        <is>
          <t>BRRN.010</t>
        </is>
      </c>
      <c r="E6" s="12" t="inlineStr">
        <is>
          <t>BDOI's FRS (Annex L)</t>
        </is>
      </c>
      <c r="F6" s="12" t="inlineStr">
        <is>
          <t>RNW-022: Available</t>
        </is>
      </c>
      <c r="G6" s="12" t="inlineStr">
        <is>
          <t>Renewal Batch with first, second and final notices from templates (Operations &gt; Renewals)</t>
        </is>
      </c>
      <c r="H6" s="12" t="inlineStr">
        <is>
          <t>CR-RN-019</t>
        </is>
      </c>
      <c r="I6" s="22" t="n">
        <v>0</v>
      </c>
    </row>
    <row r="7">
      <c r="A7" s="12" t="inlineStr">
        <is>
          <t>G-23</t>
        </is>
      </c>
      <c r="B7" s="12" t="inlineStr">
        <is>
          <t>FRRN.043.01</t>
        </is>
      </c>
      <c r="C7" s="12" t="inlineStr">
        <is>
          <t>Audit Logs menu with filters and export</t>
        </is>
      </c>
      <c r="D7" s="12" t="inlineStr">
        <is>
          <t>BRRN.021</t>
        </is>
      </c>
      <c r="E7" s="12" t="inlineStr">
        <is>
          <t>BDOI's FRS</t>
        </is>
      </c>
      <c r="F7" s="12" t="inlineStr">
        <is>
          <t>RNW-037: Available</t>
        </is>
      </c>
      <c r="G7" s="12" t="inlineStr">
        <is>
          <t>Audit trail module with filters (Administration &gt; Audit)</t>
        </is>
      </c>
      <c r="H7" s="12" t="inlineStr">
        <is>
          <t>CR-RN-023</t>
        </is>
      </c>
      <c r="I7" s="22" t="n">
        <v>0</v>
      </c>
    </row>
  </sheetData>
  <autoFilter ref="A4:I7"/>
  <mergeCells count="1">
    <mergeCell ref="A2:I2"/>
  </mergeCells>
  <conditionalFormatting sqref="A5:I507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40" customWidth="1" min="4" max="4"/>
    <col width="20" customWidth="1" min="5" max="5"/>
    <col width="60" customWidth="1" min="6" max="6"/>
  </cols>
  <sheetData>
    <row r="1" ht="24" customHeight="1">
      <c r="A1" s="16" t="inlineStr">
        <is>
          <t>Integration &amp; DM scope</t>
        </is>
      </c>
    </row>
    <row r="2">
      <c r="A2" s="19" t="inlineStr">
        <is>
          <t>Points delivered in the Integration or Data Migration scope (grey label in the FRS): no CR cost here</t>
        </is>
      </c>
    </row>
    <row r="3" ht="6" customHeight="1">
      <c r="A3" s="20" t="n"/>
      <c r="B3" s="20" t="n"/>
      <c r="C3" s="20" t="n"/>
      <c r="D3" s="20" t="n"/>
      <c r="E3" s="20" t="n"/>
      <c r="F3" s="20" t="n"/>
    </row>
    <row r="4" ht="30" customHeight="1">
      <c r="A4" s="21" t="inlineStr">
        <is>
          <t>Register</t>
        </is>
      </c>
      <c r="B4" s="21" t="inlineStr">
        <is>
          <t>FR item</t>
        </is>
      </c>
      <c r="C4" s="21" t="inlineStr">
        <is>
          <t>Point</t>
        </is>
      </c>
      <c r="D4" s="21" t="inlineStr">
        <is>
          <t>Interface or data</t>
        </is>
      </c>
      <c r="E4" s="21" t="inlineStr">
        <is>
          <t>Covered by</t>
        </is>
      </c>
      <c r="F4" s="21" t="inlineStr">
        <is>
          <t>Note</t>
        </is>
      </c>
    </row>
    <row r="5">
      <c r="A5" s="12" t="inlineStr">
        <is>
          <t>CR-RN-007</t>
        </is>
      </c>
      <c r="B5" s="12" t="inlineStr">
        <is>
          <t>FRRN.012.06</t>
        </is>
      </c>
      <c r="C5" s="12" t="inlineStr">
        <is>
          <t>BDOFC and SOLD uploads and matching</t>
        </is>
      </c>
      <c r="D5" s="12" t="inlineStr">
        <is>
          <t>BDOFC and BDOSOLD reports of BDO systems</t>
        </is>
      </c>
      <c r="E5" s="12" t="inlineStr">
        <is>
          <t>Integration scope</t>
        </is>
      </c>
      <c r="F5" s="12" t="inlineStr">
        <is>
          <t>Interface to an external system: delivered and costed in the Integration scope (Annex AH), not a change request</t>
        </is>
      </c>
    </row>
    <row r="6">
      <c r="A6" s="12" t="inlineStr">
        <is>
          <t>CR-RN-012</t>
        </is>
      </c>
      <c r="B6" s="12" t="inlineStr">
        <is>
          <t>FRRN.022.02</t>
        </is>
      </c>
      <c r="C6" s="12" t="inlineStr">
        <is>
          <t>Delivery through CCM</t>
        </is>
      </c>
      <c r="D6" s="12" t="inlineStr">
        <is>
          <t>CCM of BDO (client communications)</t>
        </is>
      </c>
      <c r="E6" s="12" t="inlineStr">
        <is>
          <t>Integration scope</t>
        </is>
      </c>
      <c r="F6" s="12" t="inlineStr">
        <is>
          <t>Interface to an external system: delivered and costed in the Integration scope (Annex AH), not a change request</t>
        </is>
      </c>
    </row>
    <row r="7">
      <c r="A7" s="12" t="inlineStr">
        <is>
          <t>CR-RN-013</t>
        </is>
      </c>
      <c r="B7" s="12" t="inlineStr">
        <is>
          <t>FRRN.29.03</t>
        </is>
      </c>
      <c r="C7" s="12" t="inlineStr">
        <is>
          <t>MFT exchange with insurers</t>
        </is>
      </c>
      <c r="D7" s="12" t="inlineStr">
        <is>
          <t>MFT with the insurers</t>
        </is>
      </c>
      <c r="E7" s="12" t="inlineStr">
        <is>
          <t>Integration scope</t>
        </is>
      </c>
      <c r="F7" s="12" t="inlineStr">
        <is>
          <t>Interface to an external system: delivered and costed in the Integration scope (Annex AH), not a change request</t>
        </is>
      </c>
    </row>
    <row r="8">
      <c r="A8" s="12" t="inlineStr">
        <is>
          <t>CR-RN-021</t>
        </is>
      </c>
      <c r="B8" s="12" t="inlineStr">
        <is>
          <t>FRRN.27.01</t>
        </is>
      </c>
      <c r="C8" s="12" t="inlineStr">
        <is>
          <t>Scheduled CLPC billing (CBG Home, FFY Motor) and the e-mail of Annex S</t>
        </is>
      </c>
      <c r="D8" s="12" t="inlineStr">
        <is>
          <t>CLPC billing files to BDO CBG Loan Services (LMS)</t>
        </is>
      </c>
      <c r="E8" s="12" t="inlineStr">
        <is>
          <t>Integration scope</t>
        </is>
      </c>
      <c r="F8" s="12" t="inlineStr">
        <is>
          <t>Interface to an external system: delivered and costed in the Integration scope (Annex AH), not a change request</t>
        </is>
      </c>
    </row>
  </sheetData>
  <autoFilter ref="A4:F8"/>
  <mergeCells count="1">
    <mergeCell ref="A2:F2"/>
  </mergeCells>
  <conditionalFormatting sqref="A5:F50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6" customWidth="1" min="2" max="2"/>
    <col width="56" customWidth="1" min="3" max="3"/>
    <col width="12" customWidth="1" min="4" max="4"/>
    <col width="12" customWidth="1" min="5" max="5"/>
  </cols>
  <sheetData>
    <row r="1" ht="24" customHeight="1">
      <c r="A1" s="16" t="inlineStr">
        <is>
          <t>Best practice (blue)</t>
        </is>
      </c>
    </row>
    <row r="2">
      <c r="A2" s="19" t="inlineStr">
        <is>
          <t>Insurance-broking renewal practices not in the BRD, the FRS or the platform (Annex AP.2); recommendations</t>
        </is>
      </c>
    </row>
    <row r="3" ht="6" customHeight="1">
      <c r="A3" s="20" t="n"/>
      <c r="B3" s="20" t="n"/>
      <c r="C3" s="20" t="n"/>
      <c r="D3" s="20" t="n"/>
      <c r="E3" s="20" t="n"/>
    </row>
    <row r="4" ht="30" customHeight="1">
      <c r="A4" s="21" t="inlineStr">
        <is>
          <t>ID</t>
        </is>
      </c>
      <c r="B4" s="21" t="inlineStr">
        <is>
          <t>Practice</t>
        </is>
      </c>
      <c r="C4" s="21" t="inlineStr">
        <is>
          <t>Why it matters for a broker</t>
        </is>
      </c>
      <c r="D4" s="21" t="inlineStr">
        <is>
          <t>Suggested priority</t>
        </is>
      </c>
      <c r="E4" s="21" t="inlineStr">
        <is>
          <t>Indicative man-days</t>
        </is>
      </c>
    </row>
    <row r="5">
      <c r="A5" s="12" t="inlineStr">
        <is>
          <t>BP-RN-01</t>
        </is>
      </c>
      <c r="B5" s="12" t="inlineStr">
        <is>
          <t>Suitability review at renewal: the officer confirms the client's needs and covers are still adequate and records the advice given</t>
        </is>
      </c>
      <c r="C5" s="12" t="inlineStr">
        <is>
          <t>Fair treatment of clients and market-conduct expectations of the Insurance Commission for intermediaries; protects the broker against claims of poor advice</t>
        </is>
      </c>
      <c r="D5" s="12" t="inlineStr">
        <is>
          <t>High</t>
        </is>
      </c>
      <c r="E5" s="22" t="n">
        <v>6</v>
      </c>
    </row>
    <row r="6">
      <c r="A6" s="12" t="inlineStr">
        <is>
          <t>BP-RN-02</t>
        </is>
      </c>
      <c r="B6" s="12" t="inlineStr">
        <is>
          <t>Remarketing check: renewals above a premium threshold or with a large premium increase are quoted with at least one other insurer before the renewal is accepted</t>
        </is>
      </c>
      <c r="C6" s="12" t="inlineStr">
        <is>
          <t>The broker acts for the client (Insurance Code); shows best terms were sought, especially on hardening rates</t>
        </is>
      </c>
      <c r="D6" s="12" t="inlineStr">
        <is>
          <t>Medium</t>
        </is>
      </c>
      <c r="E6" s="22" t="n">
        <v>5</v>
      </c>
    </row>
    <row r="7">
      <c r="A7" s="12" t="inlineStr">
        <is>
          <t>BP-RN-03</t>
        </is>
      </c>
      <c r="B7" s="12" t="inlineStr">
        <is>
          <t>Sum-insured adequacy prompt: property and motor renewals flag values not reviewed for two years or below an indexed value</t>
        </is>
      </c>
      <c r="C7" s="12" t="inlineStr">
        <is>
          <t>Avoids underinsurance and average at claim time, a common cause of client disputes</t>
        </is>
      </c>
      <c r="D7" s="12" t="inlineStr">
        <is>
          <t>Medium</t>
        </is>
      </c>
      <c r="E7" s="22" t="n">
        <v>4</v>
      </c>
    </row>
    <row r="8">
      <c r="A8" s="12" t="inlineStr">
        <is>
          <t>BP-RN-04</t>
        </is>
      </c>
      <c r="B8" s="12" t="inlineStr">
        <is>
          <t>Key-account renewal plan: accounts above a premium threshold get a stewardship review 120 days before expiry with claims, service and market summary</t>
        </is>
      </c>
      <c r="C8" s="12" t="inlineStr">
        <is>
          <t>Retention of the largest corporate accounts; market practice of corporate brokers</t>
        </is>
      </c>
      <c r="D8" s="12" t="inlineStr">
        <is>
          <t>Low</t>
        </is>
      </c>
      <c r="E8" s="22" t="n">
        <v>5</v>
      </c>
    </row>
    <row r="9">
      <c r="A9" s="12" t="inlineStr">
        <is>
          <t>BP-RN-05</t>
        </is>
      </c>
      <c r="B9" s="12" t="inlineStr">
        <is>
          <t>Remuneration disclosure on request: the Renewal Advice states that the commission or fee earned on the policy is disclosed on request</t>
        </is>
      </c>
      <c r="C9" s="12" t="inlineStr">
        <is>
          <t>Transparency expected of intermediaries by the Insurance Commission and good conduct practice</t>
        </is>
      </c>
      <c r="D9" s="12" t="inlineStr">
        <is>
          <t>Low</t>
        </is>
      </c>
      <c r="E9" s="22" t="n">
        <v>2</v>
      </c>
    </row>
  </sheetData>
  <autoFilter ref="A4:E9"/>
  <mergeCells count="1">
    <mergeCell ref="A2:E2"/>
  </mergeCells>
  <conditionalFormatting sqref="A5:E509">
    <cfRule type="expression" priority="1" dxfId="0">
      <formula>AND(MOD(ROW(),2)=0,$A5&lt;&gt;"")</formula>
    </cfRule>
  </conditionalFormatting>
  <dataValidations count="1">
    <dataValidation sqref="D5:D509" showDropDown="0" showInputMessage="0" showErrorMessage="1" allowBlank="1" errorTitle="Suggested priority" error="Choose a value from the list (Suggested priority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0" customWidth="1" min="2" max="2"/>
    <col width="40" customWidth="1" min="3" max="3"/>
    <col width="14" customWidth="1" min="4" max="4"/>
    <col width="50" customWidth="1" min="5" max="5"/>
    <col width="14" customWidth="1" min="6" max="6"/>
  </cols>
  <sheetData>
    <row r="1" ht="24" customHeight="1">
      <c r="A1" s="16" t="inlineStr">
        <is>
          <t>BRD items to deliver</t>
        </is>
      </c>
    </row>
    <row r="2">
      <c r="A2" s="19" t="inlineStr">
        <is>
          <t>BRD requirements not fully in the platform edition: in-scope delivery work for planning, not change requests</t>
        </is>
      </c>
    </row>
    <row r="3" ht="6" customHeight="1">
      <c r="A3" s="20" t="n"/>
      <c r="B3" s="20" t="n"/>
      <c r="C3" s="20" t="n"/>
      <c r="D3" s="20" t="n"/>
      <c r="E3" s="20" t="n"/>
      <c r="F3" s="20" t="n"/>
    </row>
    <row r="4" ht="30" customHeight="1">
      <c r="A4" s="21" t="inlineStr">
        <is>
          <t>Feature List ID</t>
        </is>
      </c>
      <c r="B4" s="21" t="inlineStr">
        <is>
          <t>Feature (BRD requirement)</t>
        </is>
      </c>
      <c r="C4" s="21" t="inlineStr">
        <is>
          <t>BRD and FRS references</t>
        </is>
      </c>
      <c r="D4" s="21" t="inlineStr">
        <is>
          <t>OOTB platform</t>
        </is>
      </c>
      <c r="E4" s="21" t="inlineStr">
        <is>
          <t>What the platform offers</t>
        </is>
      </c>
      <c r="F4" s="21" t="inlineStr">
        <is>
          <t>Assessment</t>
        </is>
      </c>
    </row>
    <row r="5">
      <c r="A5" s="12" t="inlineStr">
        <is>
          <t>RNW-001</t>
        </is>
      </c>
      <c r="B5" s="12" t="inlineStr">
        <is>
          <t>Automatic extraction of renewal candidates at configurable lead days</t>
        </is>
      </c>
      <c r="C5" s="12" t="inlineStr">
        <is>
          <t>BRD-06 BRRN.030, BRRN.005 (Walkthrough Addendum p.8)</t>
        </is>
      </c>
      <c r="D5" s="12" t="inlineStr">
        <is>
          <t>Partial</t>
        </is>
      </c>
      <c r="E5" s="12" t="inlineStr">
        <is>
          <t>A daily job puts policies expiring within 90 days (one configurable value) into the renewal pipeline; there is no per-segment lead time and no extraction run log with its trigger.</t>
        </is>
      </c>
      <c r="F5" s="12" t="inlineStr">
        <is>
          <t>Partial fit</t>
        </is>
      </c>
    </row>
    <row r="6">
      <c r="A6" s="12" t="inlineStr">
        <is>
          <t>RNW-002</t>
        </is>
      </c>
      <c r="B6" s="12" t="inlineStr">
        <is>
          <t>Expiring accounts list with multi-select filters, export and print</t>
        </is>
      </c>
      <c r="C6" s="12" t="inlineStr">
        <is>
          <t>BRD-06 BRRN.002-008, restating BRD 1.003 and 3.003</t>
        </is>
      </c>
      <c r="D6" s="12" t="inlineStr">
        <is>
          <t>Partial</t>
        </is>
      </c>
      <c r="E6" s="12" t="inlineStr">
        <is>
          <t>Renewable policies can be listed by expiry window, insurer and product and a batch report exported to Excel or CSV; lists are paged (20, 50 or 100 rows) and BDOI's organisation filters (unit head, market segment, risk code) are not offered.</t>
        </is>
      </c>
      <c r="F6" s="12" t="inlineStr">
        <is>
          <t>Partial fit</t>
        </is>
      </c>
    </row>
    <row r="7">
      <c r="A7" s="12" t="inlineStr">
        <is>
          <t>RNW-003</t>
        </is>
      </c>
      <c r="B7" s="12" t="inlineStr">
        <is>
          <t>Explicit initiation of renewal processing, single or in bulk by segment</t>
        </is>
      </c>
      <c r="C7" s="12" t="inlineStr">
        <is>
          <t>BRD-06 BRRN.021</t>
        </is>
      </c>
      <c r="D7" s="12" t="inlineStr">
        <is>
          <t>Partial</t>
        </is>
      </c>
      <c r="E7" s="12" t="inlineStr">
        <is>
          <t>A policy can be put into the pipeline on demand and batches can be created from criteria, but the pipeline job adds policies without a separate initiation step and there is no segment rule for bulk initiation.</t>
        </is>
      </c>
      <c r="F7" s="12" t="inlineStr">
        <is>
          <t>Partial fit</t>
        </is>
      </c>
    </row>
    <row r="8">
      <c r="A8" s="12" t="inlineStr">
        <is>
          <t>RNW-004</t>
        </is>
      </c>
      <c r="B8" s="12" t="inlineStr">
        <is>
          <t>Go-live takeover of renewals and remapping of legacy packages</t>
        </is>
      </c>
      <c r="C8" s="12" t="inlineStr">
        <is>
          <t>BRD-06 BRRN.005, BRRN.020; BDOI decisions of 26-Sep-2026 (DMQ36-DMQ39)</t>
        </is>
      </c>
      <c r="D8" s="12" t="inlineStr">
        <is>
          <t>Partial</t>
        </is>
      </c>
      <c r="E8" s="12" t="inlineStr">
        <is>
          <t>In-force policies loaded through the migration workbook enter the renewal pipeline like any other policy; there is no urgent flag for the go-live window and no remapping of legacy package codes.</t>
        </is>
      </c>
      <c r="F8" s="12" t="inlineStr">
        <is>
          <t>BDOI-specific</t>
        </is>
      </c>
    </row>
    <row r="9">
      <c r="A9" s="12" t="inlineStr">
        <is>
          <t>RNW-005</t>
        </is>
      </c>
      <c r="B9" s="12" t="inlineStr">
        <is>
          <t>Sanitation, matching and eligibility checks on every candidate</t>
        </is>
      </c>
      <c r="C9" s="12" t="inlineStr">
        <is>
          <t>BRD-06 BRRN.020, BRRN.022 and Annex SC-01 to SC-13 (Walkthrough Addendum p.5, p.20-21)</t>
        </is>
      </c>
      <c r="D9" s="12" t="inlineStr">
        <is>
          <t>Not available</t>
        </is>
      </c>
      <c r="E9" s="12" t="inlineStr">
        <is>
          <t>No configurable pre-renewal checks; the at-risk score uses claims and unpaid premium for retention, not for eligibility.</t>
        </is>
      </c>
      <c r="F9" s="12" t="inlineStr">
        <is>
          <t>Gap</t>
        </is>
      </c>
    </row>
    <row r="10">
      <c r="A10" s="12" t="inlineStr">
        <is>
          <t>RNW-006</t>
        </is>
      </c>
      <c r="B10" s="12" t="inlineStr">
        <is>
          <t>Clean, Review and Exception classification with rule reference and controlled override</t>
        </is>
      </c>
      <c r="C10" s="12" t="inlineStr">
        <is>
          <t>BRD-06 BRRN.023 and Annex R23-01 to R23-05 (Walkthrough Addendum p.5-6, p.21)</t>
        </is>
      </c>
      <c r="D10" s="12" t="inlineStr">
        <is>
          <t>Not available</t>
        </is>
      </c>
      <c r="E10" s="12" t="inlineStr">
        <is>
          <t>At-risk bands rank renewals by retention risk; there is no eligibility classification with rule reference or override.</t>
        </is>
      </c>
      <c r="F10" s="12" t="inlineStr">
        <is>
          <t>Gap</t>
        </is>
      </c>
    </row>
    <row r="11">
      <c r="A11" s="12" t="inlineStr">
        <is>
          <t>RNW-007</t>
        </is>
      </c>
      <c r="B11" s="12" t="inlineStr">
        <is>
          <t>Versioned decision matrix with straight-through disposition</t>
        </is>
      </c>
      <c r="C11" s="12" t="inlineStr">
        <is>
          <t>BRD-06 BRRN.031, BRRN.034 and Annex (Walkthrough Addendum p.9, p.23)</t>
        </is>
      </c>
      <c r="D11" s="12" t="inlineStr">
        <is>
          <t>Not available</t>
        </is>
      </c>
      <c r="E11" s="12" t="inlineStr">
        <is>
          <t>Renewal terms are prepared per policy by users; no decision matrix or automatic disposition.</t>
        </is>
      </c>
      <c r="F11" s="12" t="inlineStr">
        <is>
          <t>Gap</t>
        </is>
      </c>
    </row>
    <row r="12">
      <c r="A12" s="12" t="inlineStr">
        <is>
          <t>RNW-008</t>
        </is>
      </c>
      <c r="B12" s="12" t="inlineStr">
        <is>
          <t>Non-renewable risk codes and Not-for-Renewal notice</t>
        </is>
      </c>
      <c r="C12" s="12" t="inlineStr">
        <is>
          <t>BRD-06 BRRN.009</t>
        </is>
      </c>
      <c r="D12" s="12" t="inlineStr">
        <is>
          <t>Not available</t>
        </is>
      </c>
      <c r="E12" s="12" t="inlineStr">
        <is>
          <t>A renewal can be lapsed with a reason; there is no master of non-renewable risk codes and no NFR letter.</t>
        </is>
      </c>
      <c r="F12" s="12" t="inlineStr">
        <is>
          <t>Gap</t>
        </is>
      </c>
    </row>
    <row r="13">
      <c r="A13" s="12" t="inlineStr">
        <is>
          <t>RNW-009</t>
        </is>
      </c>
      <c r="B13" s="12" t="inlineStr">
        <is>
          <t>LAMD paid-off and RMU loan reports matched to renewals</t>
        </is>
      </c>
      <c r="C13" s="12" t="inlineStr">
        <is>
          <t>BRD-06 BRRN.029, BRRN.039, BRRN.024 and Annex (Walkthrough Addendum p.6-8, p.23)</t>
        </is>
      </c>
      <c r="D13" s="12" t="inlineStr">
        <is>
          <t>Not available</t>
        </is>
      </c>
      <c r="E13" s="12" t="inlineStr">
        <is>
          <t>No loan-system feed or PN matching for renewals.</t>
        </is>
      </c>
      <c r="F13" s="12" t="inlineStr">
        <is>
          <t>BDOI-specific</t>
        </is>
      </c>
    </row>
    <row r="14">
      <c r="A14" s="12" t="inlineStr">
        <is>
          <t>RNW-010</t>
        </is>
      </c>
      <c r="B14" s="12" t="inlineStr">
        <is>
          <t>KYC review due flag on renewal candidates</t>
        </is>
      </c>
      <c r="C14" s="12" t="inlineStr">
        <is>
          <t>BRD-06 BRRN.028 and Annex KYC-01 to KYC-06 (Walkthrough Addendum p.6-7, p.21-23)</t>
        </is>
      </c>
      <c r="D14" s="12" t="inlineStr">
        <is>
          <t>Partial</t>
        </is>
      </c>
      <c r="E14" s="12" t="inlineStr">
        <is>
          <t>KYC refresh dates and a due list exist per client in the AML area, and policy issue can be stopped pending EDD; the flag is not shown in the renewal queue.</t>
        </is>
      </c>
      <c r="F14" s="12" t="inlineStr">
        <is>
          <t>Partial fit</t>
        </is>
      </c>
    </row>
    <row r="15">
      <c r="A15" s="12" t="inlineStr">
        <is>
          <t>RNW-011</t>
        </is>
      </c>
      <c r="B15" s="12" t="inlineStr">
        <is>
          <t>Renewal prepared from the latest endorsed policy</t>
        </is>
      </c>
      <c r="C15" s="12" t="inlineStr">
        <is>
          <t>BRD-06 BRRN.032; BRD 1.008.1.4</t>
        </is>
      </c>
      <c r="D15" s="12" t="inlineStr">
        <is>
          <t>Partial</t>
        </is>
      </c>
      <c r="E15" s="12" t="inlineStr">
        <is>
          <t>The renewal is pre-filled from the expiring policy as endorsed; a pending endorsement does not block the renewal.</t>
        </is>
      </c>
      <c r="F15" s="12" t="inlineStr">
        <is>
          <t>Partial fit</t>
        </is>
      </c>
    </row>
    <row r="16">
      <c r="A16" s="12" t="inlineStr">
        <is>
          <t>RNW-012</t>
        </is>
      </c>
      <c r="B16" s="12" t="inlineStr">
        <is>
          <t>Assignment and re-assignment of renewal accounts to officers</t>
        </is>
      </c>
      <c r="C16" s="12" t="inlineStr">
        <is>
          <t>BRD-06 BRD 1.005, BRRN.024</t>
        </is>
      </c>
      <c r="D16" s="12" t="inlineStr">
        <is>
          <t>Partial</t>
        </is>
      </c>
      <c r="E16" s="12" t="inlineStr">
        <is>
          <t>Work can be reassigned from My Team by reporting line and renewals filtered by agent; no assignment tab for unassigned renewals.</t>
        </is>
      </c>
      <c r="F16" s="12" t="inlineStr">
        <is>
          <t>Partial fit</t>
        </is>
      </c>
    </row>
    <row r="17">
      <c r="A17" s="12" t="inlineStr">
        <is>
          <t>RNW-013</t>
        </is>
      </c>
      <c r="B17" s="12" t="inlineStr">
        <is>
          <t>Transfer of renewal accounts between marketing units</t>
        </is>
      </c>
      <c r="C17" s="12" t="inlineStr">
        <is>
          <t>BRD-06 BRD 1.006, 1.007, 2.005</t>
        </is>
      </c>
      <c r="D17" s="12" t="inlineStr">
        <is>
          <t>Not available</t>
        </is>
      </c>
      <c r="E17" s="12" t="inlineStr">
        <is>
          <t>No inter-unit transfer with acceptance.</t>
        </is>
      </c>
      <c r="F17" s="12" t="inlineStr">
        <is>
          <t>Gap</t>
        </is>
      </c>
    </row>
    <row r="18">
      <c r="A18" s="12" t="inlineStr">
        <is>
          <t>RNW-014</t>
        </is>
      </c>
      <c r="B18" s="12" t="inlineStr">
        <is>
          <t>Officer disposition with remarks and re-opening</t>
        </is>
      </c>
      <c r="C18" s="12" t="inlineStr">
        <is>
          <t>BRD-06 BRD 2.004, 2.006, 2.010, 3.004.5</t>
        </is>
      </c>
      <c r="D18" s="12" t="inlineStr">
        <is>
          <t>Partial</t>
        </is>
      </c>
      <c r="E18" s="12" t="inlineStr">
        <is>
          <t>Renewal statuses, negotiation notes, lapse with reason and reinstatement exist; the BDOI disposition values and flags (Endorsed, Claims, lock) are not delivered.</t>
        </is>
      </c>
      <c r="F18" s="12" t="inlineStr">
        <is>
          <t>Partial fit</t>
        </is>
      </c>
    </row>
    <row r="19">
      <c r="A19" s="12" t="inlineStr">
        <is>
          <t>RNW-016</t>
        </is>
      </c>
      <c r="B19" s="12" t="inlineStr">
        <is>
          <t>Team leader review, returns and controlled overrides</t>
        </is>
      </c>
      <c r="C19" s="12" t="inlineStr">
        <is>
          <t>BRD-06 BRD 1.008, 1.011, 2.007, 3.008.2</t>
        </is>
      </c>
      <c r="D19" s="12" t="inlineStr">
        <is>
          <t>Partial</t>
        </is>
      </c>
      <c r="E19" s="12" t="inlineStr">
        <is>
          <t>Renewal terms go to a checker who approves or rejects; there is no team-leader review queue, return flag or override of an outstanding-balance flag.</t>
        </is>
      </c>
      <c r="F19" s="12" t="inlineStr">
        <is>
          <t>Partial fit</t>
        </is>
      </c>
    </row>
    <row r="20">
      <c r="A20" s="12" t="inlineStr">
        <is>
          <t>RNW-017</t>
        </is>
      </c>
      <c r="B20" s="12" t="inlineStr">
        <is>
          <t>Upload of offline dispositions keyed on a unique renewal reference</t>
        </is>
      </c>
      <c r="C20" s="12" t="inlineStr">
        <is>
          <t>BRD-06 BRRN.018, BRRN.022; BRD 3.004</t>
        </is>
      </c>
      <c r="D20" s="12" t="inlineStr">
        <is>
          <t>Not available</t>
        </is>
      </c>
      <c r="E20" s="12" t="inlineStr">
        <is>
          <t>No renewal reference or disposition upload; uploads exist for masters and go-live data only.</t>
        </is>
      </c>
      <c r="F20" s="12" t="inlineStr">
        <is>
          <t>Gap</t>
        </is>
      </c>
    </row>
    <row r="21">
      <c r="A21" s="12" t="inlineStr">
        <is>
          <t>RNW-018</t>
        </is>
      </c>
      <c r="B21" s="12" t="inlineStr">
        <is>
          <t>Processing worklist and assignment to processing officers</t>
        </is>
      </c>
      <c r="C21" s="12" t="inlineStr">
        <is>
          <t>BRD-06 BRD 3.005, 3.006, 4.003</t>
        </is>
      </c>
      <c r="D21" s="12" t="inlineStr">
        <is>
          <t>Partial</t>
        </is>
      </c>
      <c r="E21" s="12" t="inlineStr">
        <is>
          <t>The Renewal Queue and My Work list renewals with counters and filters; no assignment step for processing officers.</t>
        </is>
      </c>
      <c r="F21" s="12" t="inlineStr">
        <is>
          <t>Partial fit</t>
        </is>
      </c>
    </row>
    <row r="22">
      <c r="A22" s="12" t="inlineStr">
        <is>
          <t>RNW-020</t>
        </is>
      </c>
      <c r="B22" s="12" t="inlineStr">
        <is>
          <t>Route renewals with material changes to the new business path</t>
        </is>
      </c>
      <c r="C22" s="12" t="inlineStr">
        <is>
          <t>BRD-06 BRRN.033, BRRN.038 (Walkthrough Addendum p.8-9)</t>
        </is>
      </c>
      <c r="D22" s="12" t="inlineStr">
        <is>
          <t>Partial</t>
        </is>
      </c>
      <c r="E22" s="12" t="inlineStr">
        <is>
          <t>A renewal can be made to follow the placement journey of its line; there is no tolerance-based routing or conversion tag.</t>
        </is>
      </c>
      <c r="F22" s="12" t="inlineStr">
        <is>
          <t>Partial fit</t>
        </is>
      </c>
    </row>
    <row r="23">
      <c r="A23" s="12" t="inlineStr">
        <is>
          <t>RNW-021</t>
        </is>
      </c>
      <c r="B23" s="12" t="inlineStr">
        <is>
          <t>Insurer renewal-terms round trip by batch file</t>
        </is>
      </c>
      <c r="C23" s="12" t="inlineStr">
        <is>
          <t>BRD-06 BRD 3.009, 4.007; BRRN.035 (Walkthrough Addendum p.9-11)</t>
        </is>
      </c>
      <c r="D23" s="12" t="inlineStr">
        <is>
          <t>Partial</t>
        </is>
      </c>
      <c r="E23" s="12" t="inlineStr">
        <is>
          <t>Batches can be created by criteria and exported; there is no insurer extract layout and no upload of insurer responses.</t>
        </is>
      </c>
      <c r="F23" s="12" t="inlineStr">
        <is>
          <t>Partial fit</t>
        </is>
      </c>
    </row>
    <row r="24">
      <c r="A24" s="12" t="inlineStr">
        <is>
          <t>RNW-023</t>
        </is>
      </c>
      <c r="B24" s="12" t="inlineStr">
        <is>
          <t>Encrypted, password-protected renewal letters</t>
        </is>
      </c>
      <c r="C24" s="12" t="inlineStr">
        <is>
          <t>BRD-06 BRD 1.010.6-7, 2.009.6-7, 3.011.6-7</t>
        </is>
      </c>
      <c r="D24" s="12" t="inlineStr">
        <is>
          <t>Not available</t>
        </is>
      </c>
      <c r="E24" s="12" t="inlineStr">
        <is>
          <t>Attachments are sent as plain PDF; no password protection.</t>
        </is>
      </c>
      <c r="F24" s="12" t="inlineStr">
        <is>
          <t>Gap</t>
        </is>
      </c>
    </row>
    <row r="25">
      <c r="A25" s="12" t="inlineStr">
        <is>
          <t>RNW-024</t>
        </is>
      </c>
      <c r="B25" s="12" t="inlineStr">
        <is>
          <t>No Advice, Non-Renewal and RA letter worklist with failure alerts</t>
        </is>
      </c>
      <c r="C25" s="12" t="inlineStr">
        <is>
          <t>BRD-06 BRRN.001 updated (Walkthrough Addendum p.15-16); BRRN.037</t>
        </is>
      </c>
      <c r="D25" s="12" t="inlineStr">
        <is>
          <t>Partial</t>
        </is>
      </c>
      <c r="E25" s="12" t="inlineStr">
        <is>
          <t>Notice stages and wording are configurable and the outbox shows failed messages for retry; there are no eligibility rules for NAL or NRL.</t>
        </is>
      </c>
      <c r="F25" s="12" t="inlineStr">
        <is>
          <t>Partial fit</t>
        </is>
      </c>
    </row>
    <row r="26">
      <c r="A26" s="12" t="inlineStr">
        <is>
          <t>RNW-025</t>
        </is>
      </c>
      <c r="B26" s="12" t="inlineStr">
        <is>
          <t>NRNS identification and reminders on the effective expiry date</t>
        </is>
      </c>
      <c r="C26" s="12" t="inlineStr">
        <is>
          <t>BRD-06 BRRN.025, BRRN.037 and Annex R37-HC-01 to 12 (Walkthrough Addendum p.12, p.24-26)</t>
        </is>
      </c>
      <c r="D26" s="12" t="inlineStr">
        <is>
          <t>Partial</t>
        </is>
      </c>
      <c r="E26" s="12" t="inlineStr">
        <is>
          <t>Unrenewed policies lapse after a 30-day grace period and reminders can be logged; there is no hold-cover-based effective expiry or NRNS routing.</t>
        </is>
      </c>
      <c r="F26" s="12" t="inlineStr">
        <is>
          <t>Partial fit</t>
        </is>
      </c>
    </row>
    <row r="27">
      <c r="A27" s="12" t="inlineStr">
        <is>
          <t>RNW-026</t>
        </is>
      </c>
      <c r="B27" s="12" t="inlineStr">
        <is>
          <t>Client acceptance recorded by Marketing before placement and booking</t>
        </is>
      </c>
      <c r="C27" s="12" t="inlineStr">
        <is>
          <t>BRD-06 BRRN.035, BRRN.040 (Walkthrough Addendum p.4, p.9-11)</t>
        </is>
      </c>
      <c r="D27" s="12" t="inlineStr">
        <is>
          <t>Partial</t>
        </is>
      </c>
      <c r="E27" s="12" t="inlineStr">
        <is>
          <t>The renewal quotation can be approved online by the client and the renewal completed by a user; acceptance method and evidence types are not recorded.</t>
        </is>
      </c>
      <c r="F27" s="12" t="inlineStr">
        <is>
          <t>Partial fit</t>
        </is>
      </c>
    </row>
    <row r="28">
      <c r="A28" s="12" t="inlineStr">
        <is>
          <t>RNW-028</t>
        </is>
      </c>
      <c r="B28" s="12" t="inlineStr">
        <is>
          <t>Hold cover request and insurer confirmation for renewals</t>
        </is>
      </c>
      <c r="C28" s="12" t="inlineStr">
        <is>
          <t>BRD-06 BRRN.042 (Walkthrough Addendum p.14-15)</t>
        </is>
      </c>
      <c r="D28" s="12" t="inlineStr">
        <is>
          <t>Partial</t>
        </is>
      </c>
      <c r="E28" s="12" t="inlineStr">
        <is>
          <t>Broker cover notes (30 days) can be issued from an accepted quotation or a placement slip; there is no hold-cover request to the insurer or confirmation record.</t>
        </is>
      </c>
      <c r="F28" s="12" t="inlineStr">
        <is>
          <t>Partial fit</t>
        </is>
      </c>
    </row>
    <row r="29">
      <c r="A29" s="12" t="inlineStr">
        <is>
          <t>RNW-029</t>
        </is>
      </c>
      <c r="B29" s="12" t="inlineStr">
        <is>
          <t>Incentive eligibility of renewals after booking and full payment</t>
        </is>
      </c>
      <c r="C29" s="12" t="inlineStr">
        <is>
          <t>BRD-06 BRRN.041 (Walkthrough Addendum p.12-14)</t>
        </is>
      </c>
      <c r="D29" s="12" t="inlineStr">
        <is>
          <t>Partial</t>
        </is>
      </c>
      <c r="E29" s="12" t="inlineStr">
        <is>
          <t>Incentive programmes for account executives exist; the timing rule (booking plus full payment) and re-evaluation on cancellation must be confirmed.</t>
        </is>
      </c>
      <c r="F29" s="12" t="inlineStr">
        <is>
          <t>Partial fit</t>
        </is>
      </c>
    </row>
    <row r="30">
      <c r="A30" s="12" t="inlineStr">
        <is>
          <t>RNW-031</t>
        </is>
      </c>
      <c r="B30" s="12" t="inlineStr">
        <is>
          <t>Renewal of client-submitted policies handed over by Submitted Policies</t>
        </is>
      </c>
      <c r="C30" s="12" t="inlineStr">
        <is>
          <t>BRD-06; BRD-12 BRIDSP-22 to 26; cross-BRD decision D2</t>
        </is>
      </c>
      <c r="D30" s="12" t="inlineStr">
        <is>
          <t>Partial</t>
        </is>
      </c>
      <c r="E30" s="12" t="inlineStr">
        <is>
          <t>A policy recorded as issued by an insurer enters the renewal pipeline; there is no hand-over from a submitted-policy register.</t>
        </is>
      </c>
      <c r="F30" s="12" t="inlineStr">
        <is>
          <t>Partial fit</t>
        </is>
      </c>
    </row>
    <row r="31">
      <c r="A31" s="12" t="inlineStr">
        <is>
          <t>RNW-033</t>
        </is>
      </c>
      <c r="B31" s="12" t="inlineStr">
        <is>
          <t>Renewal status report and centralised listings</t>
        </is>
      </c>
      <c r="C31" s="12" t="inlineStr">
        <is>
          <t>BRD-06 BRRN.019, BRRN.036 (Walkthrough Addendum p.11-12, p.24)</t>
        </is>
      </c>
      <c r="D31" s="12" t="inlineStr">
        <is>
          <t>Partial</t>
        </is>
      </c>
      <c r="E31" s="12" t="inlineStr">
        <is>
          <t>Renewal Retention, Performance and the report builder cover status and outcome by product, agent and month; BDOI's twenty criteria and unit or segment filters are not all available.</t>
        </is>
      </c>
      <c r="F31" s="12" t="inlineStr">
        <is>
          <t>Partial fit</t>
        </is>
      </c>
    </row>
    <row r="32">
      <c r="A32" s="12" t="inlineStr">
        <is>
          <t>RNW-035</t>
        </is>
      </c>
      <c r="B32" s="12" t="inlineStr">
        <is>
          <t>Renewal control reports (checks, decisions, LAMD, letters, insurer batches)</t>
        </is>
      </c>
      <c r="C32" s="12" t="inlineStr">
        <is>
          <t>BRD-06 BRRN.020, 023, 029, 031, 034; BRD 3.009, 4.007</t>
        </is>
      </c>
      <c r="D32" s="12" t="inlineStr">
        <is>
          <t>Not available</t>
        </is>
      </c>
      <c r="E32" s="12" t="inlineStr">
        <is>
          <t>No equivalent reports; they depend on the sanitation, decision and LAMD functions.</t>
        </is>
      </c>
      <c r="F32" s="12" t="inlineStr">
        <is>
          <t>Gap</t>
        </is>
      </c>
    </row>
    <row r="33">
      <c r="A33" s="12" t="inlineStr">
        <is>
          <t>RNW-036</t>
        </is>
      </c>
      <c r="B33" s="12" t="inlineStr">
        <is>
          <t>Renewal rules, lists of values and letter templates maintained by the business</t>
        </is>
      </c>
      <c r="C33" s="12" t="inlineStr">
        <is>
          <t>BRD-06 BRD 5.003, 5.005; BRRN.009, 023, 030, 034</t>
        </is>
      </c>
      <c r="D33" s="12" t="inlineStr">
        <is>
          <t>Partial</t>
        </is>
      </c>
      <c r="E33" s="12" t="inlineStr">
        <is>
          <t>Renewal parameters and notice templates are business settings applied at once and audited; no effective dating or maker-checker on setting changes.</t>
        </is>
      </c>
      <c r="F33" s="12" t="inlineStr">
        <is>
          <t>Partial fit</t>
        </is>
      </c>
    </row>
  </sheetData>
  <autoFilter ref="A4:F33"/>
  <mergeCells count="1">
    <mergeCell ref="A2:F2"/>
  </mergeCells>
  <conditionalFormatting sqref="A5:F533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70" customWidth="1" min="2" max="2"/>
  </cols>
  <sheetData>
    <row r="1" ht="24" customHeight="1">
      <c r="A1" s="16" t="inlineStr">
        <is>
          <t>Assumptions</t>
        </is>
      </c>
    </row>
    <row r="2">
      <c r="A2" s="19" t="inlineStr">
        <is>
          <t>Assumptions of the estimate; the daily rate (DayRate, B6) drives the cost columns</t>
        </is>
      </c>
    </row>
    <row r="3" ht="6" customHeight="1">
      <c r="A3" s="20" t="n"/>
      <c r="B3" s="20" t="n"/>
    </row>
    <row r="4" ht="30" customHeight="1">
      <c r="A4" s="21" t="inlineStr">
        <is>
          <t>Assumption</t>
        </is>
      </c>
      <c r="B4" s="21" t="inlineStr">
        <is>
          <t>Value</t>
        </is>
      </c>
    </row>
    <row r="5">
      <c r="A5" s="12" t="inlineStr">
        <is>
          <t>Hours per man-day</t>
        </is>
      </c>
      <c r="B5" s="12" t="n">
        <v>8</v>
      </c>
    </row>
    <row r="6">
      <c r="A6" s="12" t="inlineStr">
        <is>
          <t>Daily rate (fill in, currency of the contract) - name DayRate</t>
        </is>
      </c>
      <c r="B6" s="24" t="n">
        <v>0</v>
      </c>
    </row>
    <row r="7">
      <c r="A7" s="12" t="inlineStr">
        <is>
          <t>Estimate accuracy (plus or minus) - name Accuracy</t>
        </is>
      </c>
      <c r="B7" s="25" t="n">
        <v>0.2</v>
      </c>
    </row>
    <row r="8">
      <c r="A8" s="12" t="inlineStr">
        <is>
          <t>Out of the box</t>
        </is>
      </c>
      <c r="B8" s="12" t="inlineStr">
        <is>
          <t>The iNXT BrokerVerse platform edition (its code and manual), cross-checked with the Feature List vs OOTB workbook (column OOTB platform); the work prepared for BIBS in this project is not out of the box</t>
        </is>
      </c>
    </row>
    <row r="9">
      <c r="A9" s="12" t="inlineStr">
        <is>
          <t>Basis</t>
        </is>
      </c>
      <c r="B9" s="12" t="inlineStr">
        <is>
          <t>Effort for the missing part only, sized on the size of the Renewal work prepared for BIBS (about 55,700 lines of rules and services, 83 screen components)</t>
        </is>
      </c>
    </row>
    <row r="10">
      <c r="A10" s="12" t="inlineStr">
        <is>
          <t>Not included</t>
        </is>
      </c>
      <c r="B10" s="12" t="inlineStr">
        <is>
          <t>Integration and Data Migration scopes, infrastructure, licences, BDOI's own testing time and travel</t>
        </is>
      </c>
    </row>
    <row r="11">
      <c r="A11" s="12" t="inlineStr">
        <is>
          <t>Validity</t>
        </is>
      </c>
      <c r="B11" s="12" t="inlineStr">
        <is>
          <t>Until the FRS is signed; re-estimated in the impact assessment form of the Change Request Register</t>
        </is>
      </c>
    </row>
  </sheetData>
  <autoFilter ref="A4:B11"/>
  <mergeCells count="1">
    <mergeCell ref="A2:B2"/>
  </mergeCells>
  <conditionalFormatting sqref="A5:B511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26" t="inlineStr">
        <is>
          <t>Complexity</t>
        </is>
      </c>
      <c r="B1" s="26" t="inlineStr">
        <is>
          <t>Priority</t>
        </is>
      </c>
    </row>
    <row r="2">
      <c r="A2" s="27" t="inlineStr">
        <is>
          <t>Low</t>
        </is>
      </c>
      <c r="B2" s="27" t="inlineStr">
        <is>
          <t>High</t>
        </is>
      </c>
    </row>
    <row r="3">
      <c r="A3" s="27" t="inlineStr">
        <is>
          <t>Medium</t>
        </is>
      </c>
      <c r="B3" s="27" t="inlineStr">
        <is>
          <t>Medium</t>
        </is>
      </c>
    </row>
    <row r="4">
      <c r="A4" s="27" t="inlineStr">
        <is>
          <t>High</t>
        </is>
      </c>
      <c r="B4" s="27" t="inlineStr">
        <is>
          <t>Low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CR Effort Estimate</dc:title>
  <dc:subject xmlns:dc="http://purl.org/dc/elements/1.1/">BIBS – BDOI Broker System</dc:subject>
  <dcterms:created xmlns:dcterms="http://purl.org/dc/terms/" xmlns:xsi="http://www.w3.org/2001/XMLSchema-instance" xsi:type="dcterms:W3CDTF">2026-10-11T14:53:28Z</dcterms:created>
  <dcterms:modified xmlns:dcterms="http://purl.org/dc/terms/" xmlns:xsi="http://www.w3.org/2001/XMLSchema-instance" xsi:type="dcterms:W3CDTF">2026-10-11T14:53:28Z</dcterms:modified>
  <cp:keywords>Change control, BRD-06, BIBS, BDOI</cp:keywords>
</cp:coreProperties>
</file>