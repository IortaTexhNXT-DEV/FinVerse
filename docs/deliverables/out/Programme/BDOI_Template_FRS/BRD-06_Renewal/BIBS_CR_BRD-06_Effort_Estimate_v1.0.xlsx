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CR Effort" sheetId="4" state="visible" r:id="rId4"/>
    <sheet xmlns:r="http://schemas.openxmlformats.org/officeDocument/2006/relationships" name="Beyond the BRD - OOTB" sheetId="5" state="visible" r:id="rId5"/>
    <sheet xmlns:r="http://schemas.openxmlformats.org/officeDocument/2006/relationships" name="BRD covered - OOTB" sheetId="6" state="visible" r:id="rId6"/>
    <sheet xmlns:r="http://schemas.openxmlformats.org/officeDocument/2006/relationships" name="Integration &amp; DM scope" sheetId="7" state="visible" r:id="rId7"/>
    <sheet xmlns:r="http://schemas.openxmlformats.org/officeDocument/2006/relationships" name="Best practice (blue)" sheetId="8" state="visible" r:id="rId8"/>
    <sheet xmlns:r="http://schemas.openxmlformats.org/officeDocument/2006/relationships" name="BRD items to deliver" sheetId="9" state="visible" r:id="rId9"/>
    <sheet xmlns:r="http://schemas.openxmlformats.org/officeDocument/2006/relationships" name="Assumptions" sheetId="10" state="visible" r:id="rId10"/>
    <sheet xmlns:r="http://schemas.openxmlformats.org/officeDocument/2006/relationships" name="Lists" sheetId="11" state="visible" r:id="rId11"/>
  </sheets>
  <definedNames>
    <definedName name="DayRate">Assumptions!$B$6</definedName>
    <definedName name="Accuracy">Assumptions!$B$7</definedName>
    <definedName name="_xlnm._FilterDatabase" localSheetId="1" hidden="1">'README'!$A$4:$D$63</definedName>
    <definedName name="_xlnm.Print_Titles" localSheetId="1">'README'!$4:$4</definedName>
    <definedName name="_xlnm._FilterDatabase" localSheetId="2" hidden="1">'Summary'!$A$4:$B$19</definedName>
    <definedName name="_xlnm.Print_Titles" localSheetId="2">'Summary'!$4:$4</definedName>
    <definedName name="_xlnm._FilterDatabase" localSheetId="3" hidden="1">'CR Effort'!$A$4:$S$8</definedName>
    <definedName name="_xlnm.Print_Titles" localSheetId="3">'CR Effort'!$4:$4</definedName>
    <definedName name="_xlnm._FilterDatabase" localSheetId="4" hidden="1">'Beyond the BRD - OOTB'!$A$4:$I$5</definedName>
    <definedName name="_xlnm.Print_Titles" localSheetId="4">'Beyond the BRD - OOTB'!$4:$4</definedName>
    <definedName name="_xlnm._FilterDatabase" localSheetId="5" hidden="1">'BRD covered - OOTB'!$A$4:$H$6</definedName>
    <definedName name="_xlnm.Print_Titles" localSheetId="5">'BRD covered - OOTB'!$4:$4</definedName>
    <definedName name="_xlnm._FilterDatabase" localSheetId="6" hidden="1">'Integration &amp; DM scope'!$A$4:$F$8</definedName>
    <definedName name="_xlnm.Print_Titles" localSheetId="6">'Integration &amp; DM scope'!$4:$4</definedName>
    <definedName name="_xlnm._FilterDatabase" localSheetId="7" hidden="1">'Best practice (blue)'!$A$4:$E$9</definedName>
    <definedName name="_xlnm.Print_Titles" localSheetId="7">'Best practice (blue)'!$4:$4</definedName>
    <definedName name="_xlnm._FilterDatabase" localSheetId="8" hidden="1">'BRD items to deliver'!$A$4:$H$47</definedName>
    <definedName name="_xlnm.Print_Titles" localSheetId="8">'BRD items to deliver'!$4:$4</definedName>
    <definedName name="_xlnm._FilterDatabase" localSheetId="9" hidden="1">'Assumptions'!$A$4:$B$11</definedName>
    <definedName name="_xlnm.Print_Titles" localSheetId="9">'Assumptions'!$4:$4</definedName>
    <definedName name="_xlnm.Print_Titles" localSheetId="10">'Lists'!$1:$1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b val="1"/>
      <color rgb="00E6510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b val="1"/>
      <color rgb="00E6510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8">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2" fillId="0" borderId="0" pivotButton="0" quotePrefix="0" xfId="0"/>
    <xf numFmtId="0" fontId="1" fillId="0" borderId="0" pivotButton="0" quotePrefix="0" xfId="0"/>
    <xf numFmtId="0" fontId="14" fillId="0" borderId="2" applyAlignment="1" pivotButton="0" quotePrefix="0" xfId="0">
      <alignment vertical="top" wrapText="1"/>
    </xf>
    <xf numFmtId="0" fontId="14"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2" fontId="4" fillId="0" borderId="2" applyAlignment="1" pivotButton="0" quotePrefix="0" xfId="0">
      <alignment vertical="top" wrapText="1"/>
    </xf>
    <xf numFmtId="4" fontId="4" fillId="0" borderId="2" applyAlignment="1" pivotButton="0" quotePrefix="0" xfId="0">
      <alignment vertical="top" wrapText="1"/>
    </xf>
    <xf numFmtId="4" fontId="15" fillId="0" borderId="2" applyAlignment="1" pivotButton="0" quotePrefix="0" xfId="0">
      <alignment vertical="top" wrapText="1"/>
    </xf>
    <xf numFmtId="9" fontId="4" fillId="0" borderId="2"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CR Effort'!A1" TargetMode="External" Id="rId3"/><Relationship Type="http://schemas.openxmlformats.org/officeDocument/2006/relationships/hyperlink" Target="#'Beyond the BRD - OOTB'!A1" TargetMode="External" Id="rId4"/><Relationship Type="http://schemas.openxmlformats.org/officeDocument/2006/relationships/hyperlink" Target="#'BRD covered - OOTB'!A1" TargetMode="External" Id="rId5"/><Relationship Type="http://schemas.openxmlformats.org/officeDocument/2006/relationships/hyperlink" Target="#'Integration &amp; DM scope'!A1" TargetMode="External" Id="rId6"/><Relationship Type="http://schemas.openxmlformats.org/officeDocument/2006/relationships/hyperlink" Target="#'Best practice (blue)'!A1" TargetMode="External" Id="rId7"/><Relationship Type="http://schemas.openxmlformats.org/officeDocument/2006/relationships/hyperlink" Target="#'BRD items to deliver'!A1" TargetMode="External" Id="rId8"/><Relationship Type="http://schemas.openxmlformats.org/officeDocument/2006/relationships/hyperlink" Target="#'Assumption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A1: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1"/>
    <row r="2" ht="40" customHeight="1"/>
    <row r="3"/>
    <row r="4" ht="6" customHeight="1">
      <c r="B4" s="1" t="n"/>
      <c r="C4" s="1" t="n"/>
      <c r="D4" s="1" t="n"/>
      <c r="E4" s="1" t="n"/>
    </row>
    <row r="5"/>
    <row r="6">
      <c r="B6" s="2" t="inlineStr">
        <is>
          <t>CHANGE CONTROL</t>
        </is>
      </c>
    </row>
    <row r="7" ht="32" customHeight="1">
      <c r="B7" s="3" t="inlineStr">
        <is>
          <t>CR Effort Estimate</t>
        </is>
      </c>
    </row>
    <row r="8">
      <c r="B8" s="4" t="inlineStr">
        <is>
          <t>BRD-06 Renewal - change requests of the FRS v1.2 (orange points)</t>
        </is>
      </c>
    </row>
    <row r="9">
      <c r="B9" s="5" t="inlineStr">
        <is>
          <t>BIBS – BDOI Broker System</t>
        </is>
      </c>
    </row>
    <row r="10"/>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7"/>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Totals of BRD-06 Renewal: change requests (orange), green, integration and best practice</t>
        </is>
      </c>
      <c r="D21" s="14" t="n">
        <v>15</v>
      </c>
    </row>
    <row r="22">
      <c r="B22" s="11" t="inlineStr">
        <is>
          <t>CR Effort</t>
        </is>
      </c>
      <c r="C22" s="12" t="inlineStr">
        <is>
          <t>One row per orange point of the FRS v1.2 (not in the BRD, not in the iNXT BrokerVerse platform edition), effort by activity</t>
        </is>
      </c>
      <c r="D22" s="12" t="n">
        <v>4</v>
      </c>
    </row>
    <row r="23">
      <c r="B23" s="13" t="inlineStr">
        <is>
          <t>Beyond the BRD - OOTB</t>
        </is>
      </c>
      <c r="C23" s="14" t="inlineStr">
        <is>
          <t>Points beyond the BRD that the iNXT BrokerVerse platform offers out of the box (green; no cost)</t>
        </is>
      </c>
      <c r="D23" s="14" t="n">
        <v>1</v>
      </c>
    </row>
    <row r="24">
      <c r="B24" s="11" t="inlineStr">
        <is>
          <t>BRD covered - OOTB</t>
        </is>
      </c>
      <c r="C24" s="12" t="inlineStr">
        <is>
          <t>BRD requirements (black in the FRS, in scope) that the iNXT BrokerVerse platform offers out of the box: no effort</t>
        </is>
      </c>
      <c r="D24" s="12" t="n">
        <v>2</v>
      </c>
    </row>
    <row r="25">
      <c r="B25" s="13" t="inlineStr">
        <is>
          <t>Integration &amp; DM scope</t>
        </is>
      </c>
      <c r="C25" s="14" t="inlineStr">
        <is>
          <t>Points delivered in the Integration or Data Migration scope (grey label in the FRS): no CR cost here</t>
        </is>
      </c>
      <c r="D25" s="14" t="n">
        <v>4</v>
      </c>
    </row>
    <row r="26">
      <c r="B26" s="11" t="inlineStr">
        <is>
          <t>Best practice (blue)</t>
        </is>
      </c>
      <c r="C26" s="12" t="inlineStr">
        <is>
          <t>Insurance-broking renewal practices not in the BRD, the FRS or the platform (Annex AP.2); recommendations</t>
        </is>
      </c>
      <c r="D26" s="12" t="n">
        <v>5</v>
      </c>
    </row>
    <row r="27">
      <c r="B27" s="13" t="inlineStr">
        <is>
          <t>BRD items to deliver</t>
        </is>
      </c>
      <c r="C27" s="14" t="inlineStr">
        <is>
          <t>BRD requirements not fully in the platform edition: in-scope delivery work for planning, not change requests; the first rows were CR candidates and are in the BRD</t>
        </is>
      </c>
      <c r="D27" s="14" t="n">
        <v>43</v>
      </c>
    </row>
    <row r="28">
      <c r="B28" s="11" t="inlineStr">
        <is>
          <t>Assumptions</t>
        </is>
      </c>
      <c r="C28" s="12" t="inlineStr">
        <is>
          <t>Assumptions of the estimate; the daily rate (DayRate, B6) drives the cost columns</t>
        </is>
      </c>
      <c r="D28" s="12" t="n">
        <v>7</v>
      </c>
    </row>
    <row r="29"/>
    <row r="30"/>
    <row r="31" ht="26" customHeight="1">
      <c r="B31"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63"/>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CR Effort Estimate, version 1.0. Drop-down columns accept only the listed values.</t>
        </is>
      </c>
    </row>
    <row r="3"/>
    <row r="4">
      <c r="A4" s="10" t="inlineStr">
        <is>
          <t>Sheet</t>
        </is>
      </c>
      <c r="B4" s="10" t="inlineStr">
        <is>
          <t>Column</t>
        </is>
      </c>
      <c r="C4" s="10" t="inlineStr">
        <is>
          <t>Meaning</t>
        </is>
      </c>
      <c r="D4" s="10" t="inlineStr">
        <is>
          <t>Allowed values</t>
        </is>
      </c>
    </row>
    <row r="5">
      <c r="A5" s="12" t="inlineStr">
        <is>
          <t>Summary</t>
        </is>
      </c>
      <c r="B5" s="17" t="inlineStr">
        <is>
          <t>Item</t>
        </is>
      </c>
      <c r="C5" s="12" t="inlineStr"/>
      <c r="D5" s="12" t="inlineStr"/>
    </row>
    <row r="6">
      <c r="A6" s="14" t="inlineStr">
        <is>
          <t>Summary</t>
        </is>
      </c>
      <c r="B6" s="18" t="inlineStr">
        <is>
          <t>Value</t>
        </is>
      </c>
      <c r="C6" s="14" t="inlineStr"/>
      <c r="D6" s="14" t="inlineStr"/>
    </row>
    <row r="7">
      <c r="A7" s="12" t="inlineStr">
        <is>
          <t>CR Effort</t>
        </is>
      </c>
      <c r="B7" s="17" t="inlineStr">
        <is>
          <t>CR No.</t>
        </is>
      </c>
      <c r="C7" s="12" t="inlineStr">
        <is>
          <t>Change request number of the register</t>
        </is>
      </c>
      <c r="D7" s="12" t="inlineStr"/>
    </row>
    <row r="8">
      <c r="A8" s="14" t="inlineStr">
        <is>
          <t>CR Effort</t>
        </is>
      </c>
      <c r="B8" s="18" t="inlineStr">
        <is>
          <t>Title</t>
        </is>
      </c>
      <c r="C8" s="14" t="inlineStr"/>
      <c r="D8" s="14" t="inlineStr"/>
    </row>
    <row r="9">
      <c r="A9" s="12" t="inlineStr">
        <is>
          <t>CR Effort</t>
        </is>
      </c>
      <c r="B9" s="17" t="inlineStr">
        <is>
          <t>FRS reference</t>
        </is>
      </c>
      <c r="C9" s="12" t="inlineStr">
        <is>
          <t>Where the orange point is stated</t>
        </is>
      </c>
      <c r="D9" s="12" t="inlineStr"/>
    </row>
    <row r="10">
      <c r="A10" s="14" t="inlineStr">
        <is>
          <t>CR Effort</t>
        </is>
      </c>
      <c r="B10" s="18" t="inlineStr">
        <is>
          <t>BRD reference</t>
        </is>
      </c>
      <c r="C10" s="14" t="inlineStr">
        <is>
          <t>Not in BRD (what the BRD asks)</t>
        </is>
      </c>
      <c r="D10" s="14" t="inlineStr"/>
    </row>
    <row r="11">
      <c r="A11" s="12" t="inlineStr">
        <is>
          <t>CR Effort</t>
        </is>
      </c>
      <c r="B11" s="17" t="inlineStr">
        <is>
          <t>Source</t>
        </is>
      </c>
      <c r="C11" s="12" t="inlineStr"/>
      <c r="D11" s="12" t="inlineStr"/>
    </row>
    <row r="12">
      <c r="A12" s="14" t="inlineStr">
        <is>
          <t>CR Effort</t>
        </is>
      </c>
      <c r="B12" s="18" t="inlineStr">
        <is>
          <t>Feature List ID / OOTB status</t>
        </is>
      </c>
      <c r="C12" s="14" t="inlineStr">
        <is>
          <t>Feature List vs OOTB, column OOTB platform</t>
        </is>
      </c>
      <c r="D12" s="14" t="inlineStr"/>
    </row>
    <row r="13">
      <c r="A13" s="12" t="inlineStr">
        <is>
          <t>CR Effort</t>
        </is>
      </c>
      <c r="B13" s="17" t="inlineStr">
        <is>
          <t>OOTB evidence (iNXT BrokerVerse)</t>
        </is>
      </c>
      <c r="C13" s="12" t="inlineStr">
        <is>
          <t>Screen or module of the platform edition, or not found</t>
        </is>
      </c>
      <c r="D13" s="12" t="inlineStr"/>
    </row>
    <row r="14">
      <c r="A14" s="14" t="inlineStr">
        <is>
          <t>CR Effort</t>
        </is>
      </c>
      <c r="B14" s="18" t="inlineStr">
        <is>
          <t>Why needed</t>
        </is>
      </c>
      <c r="C14" s="14" t="inlineStr"/>
      <c r="D14" s="14" t="inlineStr"/>
    </row>
    <row r="15">
      <c r="A15" s="12" t="inlineStr">
        <is>
          <t>CR Effort</t>
        </is>
      </c>
      <c r="B15" s="17" t="inlineStr">
        <is>
          <t>Analysis and design (man-days)</t>
        </is>
      </c>
      <c r="C15" s="12" t="inlineStr">
        <is>
          <t>Estimate in man-days</t>
        </is>
      </c>
      <c r="D15" s="12" t="inlineStr"/>
    </row>
    <row r="16">
      <c r="A16" s="14" t="inlineStr">
        <is>
          <t>CR Effort</t>
        </is>
      </c>
      <c r="B16" s="18" t="inlineStr">
        <is>
          <t>Back end (man-days)</t>
        </is>
      </c>
      <c r="C16" s="14" t="inlineStr">
        <is>
          <t>Estimate in man-days</t>
        </is>
      </c>
      <c r="D16" s="14" t="inlineStr"/>
    </row>
    <row r="17">
      <c r="A17" s="12" t="inlineStr">
        <is>
          <t>CR Effort</t>
        </is>
      </c>
      <c r="B17" s="17" t="inlineStr">
        <is>
          <t>Front end (man-days)</t>
        </is>
      </c>
      <c r="C17" s="12" t="inlineStr">
        <is>
          <t>Estimate in man-days</t>
        </is>
      </c>
      <c r="D17" s="12" t="inlineStr"/>
    </row>
    <row r="18">
      <c r="A18" s="14" t="inlineStr">
        <is>
          <t>CR Effort</t>
        </is>
      </c>
      <c r="B18" s="18" t="inlineStr">
        <is>
          <t>Testing (man-days)</t>
        </is>
      </c>
      <c r="C18" s="14" t="inlineStr">
        <is>
          <t>Estimate in man-days</t>
        </is>
      </c>
      <c r="D18" s="14" t="inlineStr"/>
    </row>
    <row r="19">
      <c r="A19" s="12" t="inlineStr">
        <is>
          <t>CR Effort</t>
        </is>
      </c>
      <c r="B19" s="17" t="inlineStr">
        <is>
          <t>Documentation and UAT support (man-days)</t>
        </is>
      </c>
      <c r="C19" s="12" t="inlineStr">
        <is>
          <t>Estimate in man-days</t>
        </is>
      </c>
      <c r="D19" s="12" t="inlineStr"/>
    </row>
    <row r="20">
      <c r="A20" s="14" t="inlineStr">
        <is>
          <t>CR Effort</t>
        </is>
      </c>
      <c r="B20" s="18" t="inlineStr">
        <is>
          <t>Total man-days</t>
        </is>
      </c>
      <c r="C20" s="14" t="inlineStr">
        <is>
          <t>Sum of the activities</t>
        </is>
      </c>
      <c r="D20" s="14" t="inlineStr"/>
    </row>
    <row r="21">
      <c r="A21" s="12" t="inlineStr">
        <is>
          <t>CR Effort</t>
        </is>
      </c>
      <c r="B21" s="17" t="inlineStr">
        <is>
          <t>Cost (man-days x DayRate)</t>
        </is>
      </c>
      <c r="C21" s="12" t="inlineStr">
        <is>
          <t>Total x the daily rate of sheet Assumptions</t>
        </is>
      </c>
      <c r="D21" s="12" t="inlineStr"/>
    </row>
    <row r="22">
      <c r="A22" s="14" t="inlineStr">
        <is>
          <t>CR Effort</t>
        </is>
      </c>
      <c r="B22" s="18" t="inlineStr">
        <is>
          <t>Complexity</t>
        </is>
      </c>
      <c r="C22" s="14" t="inlineStr"/>
      <c r="D22" s="14" t="inlineStr">
        <is>
          <t>Low, Medium, High</t>
        </is>
      </c>
    </row>
    <row r="23">
      <c r="A23" s="12" t="inlineStr">
        <is>
          <t>CR Effort</t>
        </is>
      </c>
      <c r="B23" s="17" t="inlineStr">
        <is>
          <t>Priority</t>
        </is>
      </c>
      <c r="C23" s="12" t="inlineStr"/>
      <c r="D23" s="12" t="inlineStr">
        <is>
          <t>High, Medium, Low</t>
        </is>
      </c>
    </row>
    <row r="24">
      <c r="A24" s="14" t="inlineStr">
        <is>
          <t>CR Effort</t>
        </is>
      </c>
      <c r="B24" s="18" t="inlineStr">
        <is>
          <t>Dependencies</t>
        </is>
      </c>
      <c r="C24" s="14" t="inlineStr"/>
      <c r="D24" s="14" t="inlineStr"/>
    </row>
    <row r="25">
      <c r="A25" s="12" t="inlineStr">
        <is>
          <t>CR Effort</t>
        </is>
      </c>
      <c r="B25" s="17" t="inlineStr">
        <is>
          <t>Assumptions</t>
        </is>
      </c>
      <c r="C25" s="12" t="inlineStr"/>
      <c r="D25" s="12" t="inlineStr"/>
    </row>
    <row r="26">
      <c r="A26" s="14" t="inlineStr">
        <is>
          <t>Beyond the BRD - OOTB</t>
        </is>
      </c>
      <c r="B26" s="18" t="inlineStr">
        <is>
          <t>No.</t>
        </is>
      </c>
      <c r="C26" s="14" t="inlineStr"/>
      <c r="D26" s="14" t="inlineStr"/>
    </row>
    <row r="27">
      <c r="A27" s="12" t="inlineStr">
        <is>
          <t>Beyond the BRD - OOTB</t>
        </is>
      </c>
      <c r="B27" s="17" t="inlineStr">
        <is>
          <t>FR item</t>
        </is>
      </c>
      <c r="C27" s="12" t="inlineStr"/>
      <c r="D27" s="12" t="inlineStr"/>
    </row>
    <row r="28">
      <c r="A28" s="14" t="inlineStr">
        <is>
          <t>Beyond the BRD - OOTB</t>
        </is>
      </c>
      <c r="B28" s="18" t="inlineStr">
        <is>
          <t>Point</t>
        </is>
      </c>
      <c r="C28" s="14" t="inlineStr"/>
      <c r="D28" s="14" t="inlineStr"/>
    </row>
    <row r="29">
      <c r="A29" s="12" t="inlineStr">
        <is>
          <t>Beyond the BRD - OOTB</t>
        </is>
      </c>
      <c r="B29" s="17" t="inlineStr">
        <is>
          <t>BRD (what it asks)</t>
        </is>
      </c>
      <c r="C29" s="12" t="inlineStr"/>
      <c r="D29" s="12" t="inlineStr"/>
    </row>
    <row r="30">
      <c r="A30" s="14" t="inlineStr">
        <is>
          <t>Beyond the BRD - OOTB</t>
        </is>
      </c>
      <c r="B30" s="18" t="inlineStr">
        <is>
          <t>Source</t>
        </is>
      </c>
      <c r="C30" s="14" t="inlineStr"/>
      <c r="D30" s="14" t="inlineStr"/>
    </row>
    <row r="31">
      <c r="A31" s="12" t="inlineStr">
        <is>
          <t>Beyond the BRD - OOTB</t>
        </is>
      </c>
      <c r="B31" s="17" t="inlineStr">
        <is>
          <t>Feature List ID / OOTB status</t>
        </is>
      </c>
      <c r="C31" s="12" t="inlineStr">
        <is>
          <t>Feature List vs OOTB, column OOTB platform</t>
        </is>
      </c>
      <c r="D31" s="12" t="inlineStr"/>
    </row>
    <row r="32">
      <c r="A32" s="14" t="inlineStr">
        <is>
          <t>Beyond the BRD - OOTB</t>
        </is>
      </c>
      <c r="B32" s="18" t="inlineStr">
        <is>
          <t>OOTB evidence (iNXT BrokerVerse)</t>
        </is>
      </c>
      <c r="C32" s="14" t="inlineStr">
        <is>
          <t>Screen or module of the platform edition</t>
        </is>
      </c>
      <c r="D32" s="14" t="inlineStr"/>
    </row>
    <row r="33">
      <c r="A33" s="12" t="inlineStr">
        <is>
          <t>Beyond the BRD - OOTB</t>
        </is>
      </c>
      <c r="B33" s="17" t="inlineStr">
        <is>
          <t>Register</t>
        </is>
      </c>
      <c r="C33" s="12" t="inlineStr">
        <is>
          <t>Candidate of the Change Request Register</t>
        </is>
      </c>
      <c r="D33" s="12" t="inlineStr"/>
    </row>
    <row r="34">
      <c r="A34" s="14" t="inlineStr">
        <is>
          <t>Beyond the BRD - OOTB</t>
        </is>
      </c>
      <c r="B34" s="18" t="inlineStr">
        <is>
          <t>Man-days</t>
        </is>
      </c>
      <c r="C34" s="14" t="inlineStr">
        <is>
          <t>Zero: out of the box</t>
        </is>
      </c>
      <c r="D34" s="14" t="inlineStr"/>
    </row>
    <row r="35">
      <c r="A35" s="12" t="inlineStr">
        <is>
          <t>BRD covered - OOTB</t>
        </is>
      </c>
      <c r="B35" s="17" t="inlineStr">
        <is>
          <t>No.</t>
        </is>
      </c>
      <c r="C35" s="12" t="inlineStr">
        <is>
          <t>Former green number</t>
        </is>
      </c>
      <c r="D35" s="12" t="inlineStr"/>
    </row>
    <row r="36">
      <c r="A36" s="14" t="inlineStr">
        <is>
          <t>BRD covered - OOTB</t>
        </is>
      </c>
      <c r="B36" s="18" t="inlineStr">
        <is>
          <t>FR item</t>
        </is>
      </c>
      <c r="C36" s="14" t="inlineStr"/>
      <c r="D36" s="14" t="inlineStr"/>
    </row>
    <row r="37">
      <c r="A37" s="12" t="inlineStr">
        <is>
          <t>BRD covered - OOTB</t>
        </is>
      </c>
      <c r="B37" s="17" t="inlineStr">
        <is>
          <t>Point</t>
        </is>
      </c>
      <c r="C37" s="12" t="inlineStr"/>
      <c r="D37" s="12" t="inlineStr"/>
    </row>
    <row r="38">
      <c r="A38" s="14" t="inlineStr">
        <is>
          <t>BRD covered - OOTB</t>
        </is>
      </c>
      <c r="B38" s="18" t="inlineStr">
        <is>
          <t>BRD line (quoted)</t>
        </is>
      </c>
      <c r="C38" s="14" t="inlineStr">
        <is>
          <t>BRD, BRD-00 or programme-wide NFR</t>
        </is>
      </c>
      <c r="D38" s="14" t="inlineStr"/>
    </row>
    <row r="39">
      <c r="A39" s="12" t="inlineStr">
        <is>
          <t>BRD covered - OOTB</t>
        </is>
      </c>
      <c r="B39" s="17" t="inlineStr">
        <is>
          <t>Feature List ID / OOTB status</t>
        </is>
      </c>
      <c r="C39" s="12" t="inlineStr">
        <is>
          <t>Feature List vs OOTB, column OOTB platform</t>
        </is>
      </c>
      <c r="D39" s="12" t="inlineStr"/>
    </row>
    <row r="40">
      <c r="A40" s="14" t="inlineStr">
        <is>
          <t>BRD covered - OOTB</t>
        </is>
      </c>
      <c r="B40" s="18" t="inlineStr">
        <is>
          <t>OOTB evidence (iNXT BrokerVerse)</t>
        </is>
      </c>
      <c r="C40" s="14" t="inlineStr">
        <is>
          <t>Screen or module of the platform edition</t>
        </is>
      </c>
      <c r="D40" s="14" t="inlineStr"/>
    </row>
    <row r="41">
      <c r="A41" s="12" t="inlineStr">
        <is>
          <t>BRD covered - OOTB</t>
        </is>
      </c>
      <c r="B41" s="17" t="inlineStr">
        <is>
          <t>Register</t>
        </is>
      </c>
      <c r="C41" s="12" t="inlineStr">
        <is>
          <t>Closed candidate of the Change Request Register</t>
        </is>
      </c>
      <c r="D41" s="12" t="inlineStr"/>
    </row>
    <row r="42">
      <c r="A42" s="14" t="inlineStr">
        <is>
          <t>BRD covered - OOTB</t>
        </is>
      </c>
      <c r="B42" s="18" t="inlineStr">
        <is>
          <t>Man-days</t>
        </is>
      </c>
      <c r="C42" s="14" t="inlineStr">
        <is>
          <t>Zero: BRD requirement offered out of the box</t>
        </is>
      </c>
      <c r="D42" s="14" t="inlineStr"/>
    </row>
    <row r="43">
      <c r="A43" s="12" t="inlineStr">
        <is>
          <t>Integration &amp; DM scope</t>
        </is>
      </c>
      <c r="B43" s="17" t="inlineStr">
        <is>
          <t>Register</t>
        </is>
      </c>
      <c r="C43" s="12" t="inlineStr"/>
      <c r="D43" s="12" t="inlineStr"/>
    </row>
    <row r="44">
      <c r="A44" s="14" t="inlineStr">
        <is>
          <t>Integration &amp; DM scope</t>
        </is>
      </c>
      <c r="B44" s="18" t="inlineStr">
        <is>
          <t>FR item</t>
        </is>
      </c>
      <c r="C44" s="14" t="inlineStr"/>
      <c r="D44" s="14" t="inlineStr"/>
    </row>
    <row r="45">
      <c r="A45" s="12" t="inlineStr">
        <is>
          <t>Integration &amp; DM scope</t>
        </is>
      </c>
      <c r="B45" s="17" t="inlineStr">
        <is>
          <t>Point</t>
        </is>
      </c>
      <c r="C45" s="12" t="inlineStr"/>
      <c r="D45" s="12" t="inlineStr"/>
    </row>
    <row r="46">
      <c r="A46" s="14" t="inlineStr">
        <is>
          <t>Integration &amp; DM scope</t>
        </is>
      </c>
      <c r="B46" s="18" t="inlineStr">
        <is>
          <t>Interface or data</t>
        </is>
      </c>
      <c r="C46" s="14" t="inlineStr"/>
      <c r="D46" s="14" t="inlineStr"/>
    </row>
    <row r="47">
      <c r="A47" s="12" t="inlineStr">
        <is>
          <t>Integration &amp; DM scope</t>
        </is>
      </c>
      <c r="B47" s="17" t="inlineStr">
        <is>
          <t>Covered by</t>
        </is>
      </c>
      <c r="C47" s="12" t="inlineStr"/>
      <c r="D47" s="12" t="inlineStr"/>
    </row>
    <row r="48">
      <c r="A48" s="14" t="inlineStr">
        <is>
          <t>Integration &amp; DM scope</t>
        </is>
      </c>
      <c r="B48" s="18" t="inlineStr">
        <is>
          <t>Note</t>
        </is>
      </c>
      <c r="C48" s="14" t="inlineStr"/>
      <c r="D48" s="14" t="inlineStr"/>
    </row>
    <row r="49">
      <c r="A49" s="12" t="inlineStr">
        <is>
          <t>Best practice (blue)</t>
        </is>
      </c>
      <c r="B49" s="17" t="inlineStr">
        <is>
          <t>ID</t>
        </is>
      </c>
      <c r="C49" s="12" t="inlineStr"/>
      <c r="D49" s="12" t="inlineStr"/>
    </row>
    <row r="50">
      <c r="A50" s="14" t="inlineStr">
        <is>
          <t>Best practice (blue)</t>
        </is>
      </c>
      <c r="B50" s="18" t="inlineStr">
        <is>
          <t>Practice</t>
        </is>
      </c>
      <c r="C50" s="14" t="inlineStr"/>
      <c r="D50" s="14" t="inlineStr"/>
    </row>
    <row r="51">
      <c r="A51" s="12" t="inlineStr">
        <is>
          <t>Best practice (blue)</t>
        </is>
      </c>
      <c r="B51" s="17" t="inlineStr">
        <is>
          <t>Why it matters for a broker</t>
        </is>
      </c>
      <c r="C51" s="12" t="inlineStr"/>
      <c r="D51" s="12" t="inlineStr"/>
    </row>
    <row r="52">
      <c r="A52" s="14" t="inlineStr">
        <is>
          <t>Best practice (blue)</t>
        </is>
      </c>
      <c r="B52" s="18" t="inlineStr">
        <is>
          <t>Suggested priority</t>
        </is>
      </c>
      <c r="C52" s="14" t="inlineStr"/>
      <c r="D52" s="14" t="inlineStr">
        <is>
          <t>High, Medium, Low</t>
        </is>
      </c>
    </row>
    <row r="53">
      <c r="A53" s="12" t="inlineStr">
        <is>
          <t>Best practice (blue)</t>
        </is>
      </c>
      <c r="B53" s="17" t="inlineStr">
        <is>
          <t>Indicative man-days</t>
        </is>
      </c>
      <c r="C53" s="12" t="inlineStr">
        <is>
          <t>Excluded from the CR totals</t>
        </is>
      </c>
      <c r="D53" s="12" t="inlineStr"/>
    </row>
    <row r="54">
      <c r="A54" s="14" t="inlineStr">
        <is>
          <t>BRD items to deliver</t>
        </is>
      </c>
      <c r="B54" s="18" t="inlineStr">
        <is>
          <t>ID (former CR / Feature List)</t>
        </is>
      </c>
      <c r="C54" s="14" t="inlineStr"/>
      <c r="D54" s="14" t="inlineStr"/>
    </row>
    <row r="55">
      <c r="A55" s="12" t="inlineStr">
        <is>
          <t>BRD items to deliver</t>
        </is>
      </c>
      <c r="B55" s="17" t="inlineStr">
        <is>
          <t>Feature (BRD requirement)</t>
        </is>
      </c>
      <c r="C55" s="12" t="inlineStr"/>
      <c r="D55" s="12" t="inlineStr"/>
    </row>
    <row r="56">
      <c r="A56" s="14" t="inlineStr">
        <is>
          <t>BRD items to deliver</t>
        </is>
      </c>
      <c r="B56" s="18" t="inlineStr">
        <is>
          <t>BRD and FRS references</t>
        </is>
      </c>
      <c r="C56" s="14" t="inlineStr"/>
      <c r="D56" s="14" t="inlineStr"/>
    </row>
    <row r="57">
      <c r="A57" s="12" t="inlineStr">
        <is>
          <t>BRD items to deliver</t>
        </is>
      </c>
      <c r="B57" s="17" t="inlineStr">
        <is>
          <t>BRD line (quoted)</t>
        </is>
      </c>
      <c r="C57" s="12" t="inlineStr"/>
      <c r="D57" s="12" t="inlineStr"/>
    </row>
    <row r="58">
      <c r="A58" s="14" t="inlineStr">
        <is>
          <t>BRD items to deliver</t>
        </is>
      </c>
      <c r="B58" s="18" t="inlineStr">
        <is>
          <t>OOTB platform</t>
        </is>
      </c>
      <c r="C58" s="14" t="inlineStr"/>
      <c r="D58" s="14" t="inlineStr"/>
    </row>
    <row r="59">
      <c r="A59" s="12" t="inlineStr">
        <is>
          <t>BRD items to deliver</t>
        </is>
      </c>
      <c r="B59" s="17" t="inlineStr">
        <is>
          <t>What the platform offers / gap</t>
        </is>
      </c>
      <c r="C59" s="12" t="inlineStr"/>
      <c r="D59" s="12" t="inlineStr"/>
    </row>
    <row r="60">
      <c r="A60" s="14" t="inlineStr">
        <is>
          <t>BRD items to deliver</t>
        </is>
      </c>
      <c r="B60" s="18" t="inlineStr">
        <is>
          <t>Assessment</t>
        </is>
      </c>
      <c r="C60" s="14" t="inlineStr"/>
      <c r="D60" s="14" t="inlineStr"/>
    </row>
    <row r="61">
      <c r="A61" s="12" t="inlineStr">
        <is>
          <t>BRD items to deliver</t>
        </is>
      </c>
      <c r="B61" s="17" t="inlineStr">
        <is>
          <t>Planning man-days</t>
        </is>
      </c>
      <c r="C61" s="12" t="inlineStr">
        <is>
          <t>Delivery effort of the gap (not a change request)</t>
        </is>
      </c>
      <c r="D61" s="12" t="inlineStr"/>
    </row>
    <row r="62">
      <c r="A62" s="14" t="inlineStr">
        <is>
          <t>Assumptions</t>
        </is>
      </c>
      <c r="B62" s="18" t="inlineStr">
        <is>
          <t>Assumption</t>
        </is>
      </c>
      <c r="C62" s="14" t="inlineStr"/>
      <c r="D62" s="14" t="inlineStr"/>
    </row>
    <row r="63">
      <c r="A63" s="12" t="inlineStr">
        <is>
          <t>Assumptions</t>
        </is>
      </c>
      <c r="B63" s="17" t="inlineStr">
        <is>
          <t>Value</t>
        </is>
      </c>
      <c r="C63" s="12" t="inlineStr"/>
      <c r="D63" s="12" t="inlineStr"/>
    </row>
  </sheetData>
  <autoFilter ref="A4:D63"/>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6" customWidth="1" min="1" max="1"/>
    <col width="18" customWidth="1" min="2" max="2"/>
  </cols>
  <sheetData>
    <row r="1" ht="24" customHeight="1">
      <c r="A1" s="16" t="inlineStr">
        <is>
          <t>Summary</t>
        </is>
      </c>
    </row>
    <row r="2">
      <c r="A2" s="19" t="inlineStr">
        <is>
          <t>Totals of BRD-06 Renewal: change requests (orange), green, integration and best practice</t>
        </is>
      </c>
    </row>
    <row r="3" ht="6" customHeight="1">
      <c r="A3" s="20" t="n"/>
      <c r="B3" s="20" t="n"/>
    </row>
    <row r="4" ht="30" customHeight="1">
      <c r="A4" s="21" t="inlineStr">
        <is>
          <t>Item</t>
        </is>
      </c>
      <c r="B4" s="21" t="inlineStr">
        <is>
          <t>Value</t>
        </is>
      </c>
    </row>
    <row r="5">
      <c r="A5" s="12" t="inlineStr">
        <is>
          <t>Change requests (orange points)</t>
        </is>
      </c>
      <c r="B5" s="22">
        <f>COUNTA('CR Effort'!A5:A8)</f>
        <v/>
      </c>
    </row>
    <row r="6">
      <c r="A6" s="12" t="inlineStr">
        <is>
          <t>Analysis and design (man-days)</t>
        </is>
      </c>
      <c r="B6" s="22">
        <f>SUM('CR Effort'!I5:I8)</f>
        <v/>
      </c>
    </row>
    <row r="7">
      <c r="A7" s="12" t="inlineStr">
        <is>
          <t>Back end (man-days)</t>
        </is>
      </c>
      <c r="B7" s="22">
        <f>SUM('CR Effort'!J5:J8)</f>
        <v/>
      </c>
    </row>
    <row r="8">
      <c r="A8" s="12" t="inlineStr">
        <is>
          <t>Front end (man-days)</t>
        </is>
      </c>
      <c r="B8" s="22">
        <f>SUM('CR Effort'!K5:K8)</f>
        <v/>
      </c>
    </row>
    <row r="9">
      <c r="A9" s="12" t="inlineStr">
        <is>
          <t>Testing (man-days)</t>
        </is>
      </c>
      <c r="B9" s="22">
        <f>SUM('CR Effort'!L5:L8)</f>
        <v/>
      </c>
    </row>
    <row r="10">
      <c r="A10" s="12" t="inlineStr">
        <is>
          <t>Documentation and UAT support (man-days)</t>
        </is>
      </c>
      <c r="B10" s="22">
        <f>SUM('CR Effort'!M5:M8)</f>
        <v/>
      </c>
    </row>
    <row r="11">
      <c r="A11" s="12" t="inlineStr">
        <is>
          <t>Total man-days of the change requests</t>
        </is>
      </c>
      <c r="B11" s="22">
        <f>SUM('CR Effort'!N5:N8)</f>
        <v/>
      </c>
    </row>
    <row r="12">
      <c r="A12" s="12" t="inlineStr">
        <is>
          <t>Low estimate (-20%)</t>
        </is>
      </c>
      <c r="B12" s="22">
        <f>B11*(1-Accuracy)</f>
        <v/>
      </c>
    </row>
    <row r="13">
      <c r="A13" s="12" t="inlineStr">
        <is>
          <t>High estimate (+20%)</t>
        </is>
      </c>
      <c r="B13" s="22">
        <f>B11*(1+Accuracy)</f>
        <v/>
      </c>
    </row>
    <row r="14">
      <c r="A14" s="12" t="inlineStr">
        <is>
          <t>Cost at the daily rate</t>
        </is>
      </c>
      <c r="B14" s="23">
        <f>B11*DayRate</f>
        <v/>
      </c>
    </row>
    <row r="15">
      <c r="A15" s="12" t="inlineStr">
        <is>
          <t>Green points (beyond the BRD, out of the box, no cost)</t>
        </is>
      </c>
      <c r="B15" s="23" t="n">
        <v>1</v>
      </c>
    </row>
    <row r="16">
      <c r="A16" s="12" t="inlineStr">
        <is>
          <t>BRD requirements offered out of the box (black; in scope; no effort)</t>
        </is>
      </c>
      <c r="B16" s="22" t="n">
        <v>2</v>
      </c>
    </row>
    <row r="17">
      <c r="A17" s="12" t="inlineStr">
        <is>
          <t>Integration and Data Migration scope (not change requests)</t>
        </is>
      </c>
      <c r="B17" s="22" t="n">
        <v>4</v>
      </c>
    </row>
    <row r="18">
      <c r="A18" s="12" t="inlineStr">
        <is>
          <t>BRD items to deliver that were CR candidates (in the BRD; planning man-days, not in the CR total)</t>
        </is>
      </c>
      <c r="B18" s="22" t="n">
        <v>107.5</v>
      </c>
    </row>
    <row r="19">
      <c r="A19" s="12" t="inlineStr">
        <is>
          <t>Best practice (blue), indicative man-days - not in the totals</t>
        </is>
      </c>
      <c r="B19" s="22" t="n">
        <v>22</v>
      </c>
    </row>
  </sheetData>
  <autoFilter ref="A4:B19"/>
  <mergeCells count="1">
    <mergeCell ref="A2:B2"/>
  </mergeCells>
  <conditionalFormatting sqref="A5:B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S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36" customWidth="1" min="2" max="2"/>
    <col width="16" customWidth="1" min="3" max="3"/>
    <col width="22" customWidth="1" min="4" max="4"/>
    <col width="20" customWidth="1" min="5" max="5"/>
    <col width="20" customWidth="1" min="6" max="6"/>
    <col width="40" customWidth="1" min="7" max="7"/>
    <col width="40" customWidth="1" min="8" max="8"/>
    <col width="12" customWidth="1" min="9" max="9"/>
    <col width="12" customWidth="1" min="10" max="10"/>
    <col width="12" customWidth="1" min="11" max="11"/>
    <col width="12" customWidth="1" min="12" max="12"/>
    <col width="12" customWidth="1" min="13" max="13"/>
    <col width="12" customWidth="1" min="14" max="14"/>
    <col width="16" customWidth="1" min="15" max="15"/>
    <col width="12" customWidth="1" min="16" max="16"/>
    <col width="10" customWidth="1" min="17" max="17"/>
    <col width="30" customWidth="1" min="18" max="18"/>
    <col width="40" customWidth="1" min="19" max="19"/>
  </cols>
  <sheetData>
    <row r="1" ht="24" customHeight="1">
      <c r="A1" s="16" t="inlineStr">
        <is>
          <t>CR Effort</t>
        </is>
      </c>
    </row>
    <row r="2">
      <c r="A2" s="19" t="inlineStr">
        <is>
          <t>One row per orange point of the FRS v1.2 (not in the BRD, not in the iNXT BrokerVerse platform edition), effort by activity</t>
        </is>
      </c>
    </row>
    <row r="3" ht="6" customHeight="1">
      <c r="A3" s="20" t="n"/>
      <c r="B3" s="20" t="n"/>
      <c r="C3" s="20" t="n"/>
      <c r="D3" s="20" t="n"/>
      <c r="E3" s="20" t="n"/>
      <c r="F3" s="20" t="n"/>
      <c r="G3" s="20" t="n"/>
      <c r="H3" s="20" t="n"/>
      <c r="I3" s="20" t="n"/>
      <c r="J3" s="20" t="n"/>
      <c r="K3" s="20" t="n"/>
      <c r="L3" s="20" t="n"/>
      <c r="M3" s="20" t="n"/>
      <c r="N3" s="20" t="n"/>
      <c r="O3" s="20" t="n"/>
      <c r="P3" s="20" t="n"/>
      <c r="Q3" s="20" t="n"/>
      <c r="R3" s="20" t="n"/>
      <c r="S3" s="20" t="n"/>
    </row>
    <row r="4" ht="30" customHeight="1">
      <c r="A4" s="21" t="inlineStr">
        <is>
          <t>CR No.</t>
        </is>
      </c>
      <c r="B4" s="21" t="inlineStr">
        <is>
          <t>Title</t>
        </is>
      </c>
      <c r="C4" s="21" t="inlineStr">
        <is>
          <t>FRS reference</t>
        </is>
      </c>
      <c r="D4" s="21" t="inlineStr">
        <is>
          <t>BRD reference</t>
        </is>
      </c>
      <c r="E4" s="21" t="inlineStr">
        <is>
          <t>Source</t>
        </is>
      </c>
      <c r="F4" s="21" t="inlineStr">
        <is>
          <t>Feature List ID / OOTB status</t>
        </is>
      </c>
      <c r="G4" s="21" t="inlineStr">
        <is>
          <t>OOTB evidence (iNXT BrokerVerse)</t>
        </is>
      </c>
      <c r="H4" s="21" t="inlineStr">
        <is>
          <t>Why needed</t>
        </is>
      </c>
      <c r="I4" s="21" t="inlineStr">
        <is>
          <t>Analysis and design (man-days)</t>
        </is>
      </c>
      <c r="J4" s="21" t="inlineStr">
        <is>
          <t>Back end (man-days)</t>
        </is>
      </c>
      <c r="K4" s="21" t="inlineStr">
        <is>
          <t>Front end (man-days)</t>
        </is>
      </c>
      <c r="L4" s="21" t="inlineStr">
        <is>
          <t>Testing (man-days)</t>
        </is>
      </c>
      <c r="M4" s="21" t="inlineStr">
        <is>
          <t>Documentation and UAT support (man-days)</t>
        </is>
      </c>
      <c r="N4" s="21" t="inlineStr">
        <is>
          <t>Total man-days</t>
        </is>
      </c>
      <c r="O4" s="21" t="inlineStr">
        <is>
          <t>Cost (man-days x DayRate)</t>
        </is>
      </c>
      <c r="P4" s="21" t="inlineStr">
        <is>
          <t>Complexity</t>
        </is>
      </c>
      <c r="Q4" s="21" t="inlineStr">
        <is>
          <t>Priority</t>
        </is>
      </c>
      <c r="R4" s="21" t="inlineStr">
        <is>
          <t>Dependencies</t>
        </is>
      </c>
      <c r="S4" s="21" t="inlineStr">
        <is>
          <t>Assumptions</t>
        </is>
      </c>
    </row>
    <row r="5">
      <c r="A5" s="12" t="inlineStr">
        <is>
          <t>CR-RN-005</t>
        </is>
      </c>
      <c r="B5" s="12" t="inlineStr">
        <is>
          <t>Annual renewal budget maintenance, upload, inquiry and history</t>
        </is>
      </c>
      <c r="C5" s="12" t="inlineStr">
        <is>
          <t>FRRN.042.01</t>
        </is>
      </c>
      <c r="D5" s="12" t="inlineStr">
        <is>
          <t>Not in BRD (BRD 1.009.7 (dashboard))</t>
        </is>
      </c>
      <c r="E5" s="12" t="inlineStr">
        <is>
          <t>BDOI's FRS</t>
        </is>
      </c>
      <c r="F5" s="12" t="inlineStr">
        <is>
          <t>ACC-023: Not available</t>
        </is>
      </c>
      <c r="G5" s="12" t="inlineStr">
        <is>
          <t>not found (budget exists only on win-back campaigns)</t>
        </is>
      </c>
      <c r="H5" s="12" t="inlineStr">
        <is>
          <t>BDOI's FRS asks for it beyond the BRD; no budget maintenance, upload, inquiry or history in the iNXT BrokerVerse platform edition.</t>
        </is>
      </c>
      <c r="I5" s="22" t="n">
        <v>1.5</v>
      </c>
      <c r="J5" s="22" t="n">
        <v>4</v>
      </c>
      <c r="K5" s="22" t="n">
        <v>3</v>
      </c>
      <c r="L5" s="22" t="n">
        <v>2</v>
      </c>
      <c r="M5" s="22" t="n">
        <v>0.5</v>
      </c>
      <c r="N5" s="22">
        <f>SUM(I5:M5)</f>
        <v/>
      </c>
      <c r="O5" s="23">
        <f>N5*DayRate</f>
        <v/>
      </c>
      <c r="P5" s="12" t="inlineStr">
        <is>
          <t>Medium</t>
        </is>
      </c>
      <c r="Q5" s="12" t="inlineStr">
        <is>
          <t>Medium</t>
        </is>
      </c>
      <c r="R5" s="12" t="inlineStr">
        <is>
          <t>BDOI confirms the point is in scope (Change Request Register)</t>
        </is>
      </c>
      <c r="S5" s="12" t="inlineStr">
        <is>
          <t>The effort is the value of the change for the missing part</t>
        </is>
      </c>
    </row>
    <row r="6">
      <c r="A6" s="12" t="inlineStr">
        <is>
          <t>CR-RN-008</t>
        </is>
      </c>
      <c r="B6" s="12" t="inlineStr">
        <is>
          <t>CBG Motor rules of Annexes D and E only: depreciation schedule of the sum insured, BI / PD tier table and the Auto Promo to Regular conversion</t>
        </is>
      </c>
      <c r="C6" s="12" t="inlineStr">
        <is>
          <t>FRRN.009.01</t>
        </is>
      </c>
      <c r="D6" s="12" t="inlineStr">
        <is>
          <t>Not in BRD (BRRN.039 asks for straight-through CBG Motor renewals, not these rules)</t>
        </is>
      </c>
      <c r="E6" s="12" t="inlineStr">
        <is>
          <t>BDOI's FRS (Annexes D, E)</t>
        </is>
      </c>
      <c r="F6" s="12" t="inlineStr">
        <is>
          <t>Not in the feature list: BDOI-specific</t>
        </is>
      </c>
      <c r="G6" s="12" t="inlineStr">
        <is>
          <t>not found</t>
        </is>
      </c>
      <c r="H6" s="12" t="inlineStr">
        <is>
          <t>Only the BDOI product rules of Annexes D and E are beyond the BRD: the yearly depreciation of the CBG Motor sum insured, the BI / PD coverage tier table and the conversion of an Auto Promo policy to a Regular policy. The automatic update of the renewal account fields for straight-through CBG Motor renewals is the BRD (BRRN.039) and is a BRD item to deliver.</t>
        </is>
      </c>
      <c r="I6" s="22" t="n">
        <v>1</v>
      </c>
      <c r="J6" s="22" t="n">
        <v>3</v>
      </c>
      <c r="K6" s="22" t="n">
        <v>0.5</v>
      </c>
      <c r="L6" s="22" t="n">
        <v>1.5</v>
      </c>
      <c r="M6" s="22" t="n">
        <v>0.5</v>
      </c>
      <c r="N6" s="22">
        <f>SUM(I6:M6)</f>
        <v/>
      </c>
      <c r="O6" s="23">
        <f>N6*DayRate</f>
        <v/>
      </c>
      <c r="P6" s="12" t="inlineStr">
        <is>
          <t>High</t>
        </is>
      </c>
      <c r="Q6" s="12" t="inlineStr">
        <is>
          <t>High</t>
        </is>
      </c>
      <c r="R6" s="12" t="inlineStr">
        <is>
          <t>BDOI confirms the point is in scope (Change Request Register)</t>
        </is>
      </c>
      <c r="S6" s="12" t="inlineStr">
        <is>
          <t>The effort is the value of the change for the missing part</t>
        </is>
      </c>
    </row>
    <row r="7">
      <c r="A7" s="12" t="inlineStr">
        <is>
          <t>CR-RN-015</t>
        </is>
      </c>
      <c r="B7" s="12" t="inlineStr">
        <is>
          <t>Placement turnaround time (business days, With Issue, resolution date)</t>
        </is>
      </c>
      <c r="C7" s="12" t="inlineStr">
        <is>
          <t>FRRN.29.05</t>
        </is>
      </c>
      <c r="D7" s="12" t="inlineStr">
        <is>
          <t>Not in BRD (BRRN.040)</t>
        </is>
      </c>
      <c r="E7" s="12" t="inlineStr">
        <is>
          <t>BDOI's FRS</t>
        </is>
      </c>
      <c r="F7" s="12" t="inlineStr">
        <is>
          <t>QPL-032 (no TAT feature): Not available</t>
        </is>
      </c>
      <c r="G7" s="12" t="inlineStr">
        <is>
          <t>not found</t>
        </is>
      </c>
      <c r="H7" s="12" t="inlineStr">
        <is>
          <t>BDOI's FRS asks for it beyond the BRD; no placement turnaround time in business days with With Issue and resolution date in the iNXT BrokerVerse platform edition.</t>
        </is>
      </c>
      <c r="I7" s="22" t="n">
        <v>1</v>
      </c>
      <c r="J7" s="22" t="n">
        <v>3</v>
      </c>
      <c r="K7" s="22" t="n">
        <v>1.5</v>
      </c>
      <c r="L7" s="22" t="n">
        <v>2</v>
      </c>
      <c r="M7" s="22" t="n">
        <v>0.5</v>
      </c>
      <c r="N7" s="22">
        <f>SUM(I7:M7)</f>
        <v/>
      </c>
      <c r="O7" s="23">
        <f>N7*DayRate</f>
        <v/>
      </c>
      <c r="P7" s="12" t="inlineStr">
        <is>
          <t>Medium</t>
        </is>
      </c>
      <c r="Q7" s="12" t="inlineStr">
        <is>
          <t>Medium</t>
        </is>
      </c>
      <c r="R7" s="12" t="inlineStr">
        <is>
          <t>BDOI confirms the point is in scope (Change Request Register)</t>
        </is>
      </c>
      <c r="S7" s="12" t="inlineStr">
        <is>
          <t>The effort is the value of the change for the missing part</t>
        </is>
      </c>
    </row>
    <row r="8">
      <c r="A8" s="12" t="inlineStr">
        <is>
          <t>CR-RN-024</t>
        </is>
      </c>
      <c r="B8" s="12" t="inlineStr">
        <is>
          <t>Accessibility conformance (WCAG 2.2 level AA) of the Renewal screens</t>
        </is>
      </c>
      <c r="C8" s="12" t="inlineStr">
        <is>
          <t>Annex AJ RN-NFR-16</t>
        </is>
      </c>
      <c r="D8" s="12" t="inlineStr">
        <is>
          <t>Not in BRD</t>
        </is>
      </c>
      <c r="E8" s="12" t="inlineStr">
        <is>
          <t>Programme register of non-functional requirements (NFR-ACC-01); market practice for bank systems</t>
        </is>
      </c>
      <c r="F8" s="12" t="inlineStr">
        <is>
          <t>NFR-021: Partial</t>
        </is>
      </c>
      <c r="G8" s="12" t="inlineStr">
        <is>
          <t>Partial: ARIA labels on many screens; no WCAG 2.2 AA conformance check or statement</t>
        </is>
      </c>
      <c r="H8" s="12" t="inlineStr">
        <is>
          <t>The BRD has no accessibility requirement; BDO's policies and the programme register expect screens usable with the keyboard and a screen reader, with sufficient contrast. A conformance claim needs a check of every Renewal screen and the corrections it finds.</t>
        </is>
      </c>
      <c r="I8" s="22" t="n">
        <v>2</v>
      </c>
      <c r="J8" s="22" t="n">
        <v>0</v>
      </c>
      <c r="K8" s="22" t="n">
        <v>12</v>
      </c>
      <c r="L8" s="22" t="n">
        <v>4</v>
      </c>
      <c r="M8" s="22" t="n">
        <v>2</v>
      </c>
      <c r="N8" s="22">
        <f>SUM(I8:M8)</f>
        <v/>
      </c>
      <c r="O8" s="23">
        <f>N8*DayRate</f>
        <v/>
      </c>
      <c r="P8" s="12" t="inlineStr">
        <is>
          <t>Medium</t>
        </is>
      </c>
      <c r="Q8" s="12" t="inlineStr">
        <is>
          <t>Medium</t>
        </is>
      </c>
      <c r="R8" s="12" t="inlineStr">
        <is>
          <t>BDOI confirms the accessibility standard (WCAG 2.2 AA or BDO's own); shared screen components of the programme</t>
        </is>
      </c>
      <c r="S8" s="12" t="inlineStr">
        <is>
          <t>16 Renewal screens and their dialogs; corrections in the shared components benefit every module and are counted once here; no change to the business rules</t>
        </is>
      </c>
    </row>
  </sheetData>
  <autoFilter ref="A4:S8"/>
  <mergeCells count="1">
    <mergeCell ref="A2:S2"/>
  </mergeCells>
  <conditionalFormatting sqref="A5:S508">
    <cfRule type="expression" priority="1" dxfId="0">
      <formula>AND(MOD(ROW(),2)=0,$A5&lt;&gt;"")</formula>
    </cfRule>
  </conditionalFormatting>
  <dataValidations count="2">
    <dataValidation sqref="P5:P508" showDropDown="0" showInputMessage="0" showErrorMessage="1" allowBlank="1" errorTitle="Complexity" error="Choose a value from the list (Complexity)." type="list">
      <formula1>'Lists'!$A$2:$A$4</formula1>
    </dataValidation>
    <dataValidation sqref="Q5:Q508" showDropDown="0" showInputMessage="0" showErrorMessage="1" allowBlank="1" errorTitle="Priority" error="Choose a value from the list (Priority)." type="list">
      <formula1>'Lists'!$B$2:$B$4</formula1>
    </dataValidation>
  </dataValidations>
  <printOptions horizontalCentered="1"/>
  <pageMargins left="0.4" right="0.4" top="0.6" bottom="0.6" header="0.5" footer="0.5"/>
  <pageSetup orientation="landscape" paperSize="8"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44" customWidth="1" min="3" max="3"/>
    <col width="30" customWidth="1" min="4" max="4"/>
    <col width="18" customWidth="1" min="5" max="5"/>
    <col width="20" customWidth="1" min="6" max="6"/>
    <col width="50" customWidth="1" min="7" max="7"/>
    <col width="12" customWidth="1" min="8" max="8"/>
    <col width="10" customWidth="1" min="9" max="9"/>
  </cols>
  <sheetData>
    <row r="1" ht="24" customHeight="1">
      <c r="A1" s="16" t="inlineStr">
        <is>
          <t>Beyond the BRD - OOTB</t>
        </is>
      </c>
    </row>
    <row r="2">
      <c r="A2" s="19" t="inlineStr">
        <is>
          <t>Points beyond the BRD that the iNXT BrokerVerse platform offers out of the box (green; no cost)</t>
        </is>
      </c>
    </row>
    <row r="3" ht="6" customHeight="1">
      <c r="A3" s="20" t="n"/>
      <c r="B3" s="20" t="n"/>
      <c r="C3" s="20" t="n"/>
      <c r="D3" s="20" t="n"/>
      <c r="E3" s="20" t="n"/>
      <c r="F3" s="20" t="n"/>
      <c r="G3" s="20" t="n"/>
      <c r="H3" s="20" t="n"/>
      <c r="I3" s="20" t="n"/>
    </row>
    <row r="4" ht="30" customHeight="1">
      <c r="A4" s="21" t="inlineStr">
        <is>
          <t>No.</t>
        </is>
      </c>
      <c r="B4" s="21" t="inlineStr">
        <is>
          <t>FR item</t>
        </is>
      </c>
      <c r="C4" s="21" t="inlineStr">
        <is>
          <t>Point</t>
        </is>
      </c>
      <c r="D4" s="21" t="inlineStr">
        <is>
          <t>BRD (what it asks)</t>
        </is>
      </c>
      <c r="E4" s="21" t="inlineStr">
        <is>
          <t>Source</t>
        </is>
      </c>
      <c r="F4" s="21" t="inlineStr">
        <is>
          <t>Feature List ID / OOTB status</t>
        </is>
      </c>
      <c r="G4" s="21" t="inlineStr">
        <is>
          <t>OOTB evidence (iNXT BrokerVerse)</t>
        </is>
      </c>
      <c r="H4" s="21" t="inlineStr">
        <is>
          <t>Register</t>
        </is>
      </c>
      <c r="I4" s="21" t="inlineStr">
        <is>
          <t>Man-days</t>
        </is>
      </c>
    </row>
    <row r="5">
      <c r="A5" s="12" t="inlineStr">
        <is>
          <t>G-09</t>
        </is>
      </c>
      <c r="B5" s="12" t="inlineStr">
        <is>
          <t>FRRN.014.03</t>
        </is>
      </c>
      <c r="C5" s="12" t="inlineStr">
        <is>
          <t>Allocation to several insurers by percentage or amount</t>
        </is>
      </c>
      <c r="D5" s="12" t="inlineStr">
        <is>
          <t>BRRN.040</t>
        </is>
      </c>
      <c r="E5" s="12" t="inlineStr">
        <is>
          <t>BDOI's FRS</t>
        </is>
      </c>
      <c r="F5" s="12" t="inlineStr">
        <is>
          <t>QPL-016: Available</t>
        </is>
      </c>
      <c r="G5" s="12" t="inlineStr">
        <is>
          <t>Placement participants with insurer shares (Placement)</t>
        </is>
      </c>
      <c r="H5" s="12" t="inlineStr">
        <is>
          <t>CR-RN-009</t>
        </is>
      </c>
      <c r="I5" s="22" t="n">
        <v>0</v>
      </c>
    </row>
  </sheetData>
  <autoFilter ref="A4:I5"/>
  <mergeCells count="1">
    <mergeCell ref="A2:I2"/>
  </mergeCells>
  <conditionalFormatting sqref="A5:I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44" customWidth="1" min="3" max="3"/>
    <col width="60" customWidth="1" min="4" max="4"/>
    <col width="20" customWidth="1" min="5" max="5"/>
    <col width="50" customWidth="1" min="6" max="6"/>
    <col width="12" customWidth="1" min="7" max="7"/>
    <col width="10" customWidth="1" min="8" max="8"/>
  </cols>
  <sheetData>
    <row r="1" ht="24" customHeight="1">
      <c r="A1" s="16" t="inlineStr">
        <is>
          <t>BRD covered - OOTB</t>
        </is>
      </c>
    </row>
    <row r="2">
      <c r="A2" s="19" t="inlineStr">
        <is>
          <t>BRD requirements (black in the FRS, in scope) that the iNXT BrokerVerse platform offers out of the box: no effort</t>
        </is>
      </c>
    </row>
    <row r="3" ht="6" customHeight="1">
      <c r="A3" s="20" t="n"/>
      <c r="B3" s="20" t="n"/>
      <c r="C3" s="20" t="n"/>
      <c r="D3" s="20" t="n"/>
      <c r="E3" s="20" t="n"/>
      <c r="F3" s="20" t="n"/>
      <c r="G3" s="20" t="n"/>
      <c r="H3" s="20" t="n"/>
    </row>
    <row r="4" ht="30" customHeight="1">
      <c r="A4" s="21" t="inlineStr">
        <is>
          <t>No.</t>
        </is>
      </c>
      <c r="B4" s="21" t="inlineStr">
        <is>
          <t>FR item</t>
        </is>
      </c>
      <c r="C4" s="21" t="inlineStr">
        <is>
          <t>Point</t>
        </is>
      </c>
      <c r="D4" s="21" t="inlineStr">
        <is>
          <t>BRD line (quoted)</t>
        </is>
      </c>
      <c r="E4" s="21" t="inlineStr">
        <is>
          <t>Feature List ID / OOTB status</t>
        </is>
      </c>
      <c r="F4" s="21" t="inlineStr">
        <is>
          <t>OOTB evidence (iNXT BrokerVerse)</t>
        </is>
      </c>
      <c r="G4" s="21" t="inlineStr">
        <is>
          <t>Register</t>
        </is>
      </c>
      <c r="H4" s="21" t="inlineStr">
        <is>
          <t>Man-days</t>
        </is>
      </c>
    </row>
    <row r="5">
      <c r="A5" s="12" t="inlineStr">
        <is>
          <t>G-19</t>
        </is>
      </c>
      <c r="B5" s="12" t="inlineStr">
        <is>
          <t>FRRN.022.01</t>
        </is>
      </c>
      <c r="C5" s="12" t="inlineStr">
        <is>
          <t>Renewal Advice per line; first and last notice set by the system</t>
        </is>
      </c>
      <c r="D5" s="12" t="inlineStr">
        <is>
          <t>BRRN.010 "Generate Renewal Advice (RA) ... Identify if RA is for first or second notice"; acceptance: "The system generates Renewal Advice (RA) for each selected account, using the latest BDOI-approved RA template" and "Each RA clearly displays whether it is a First Notice or Second Notice"</t>
        </is>
      </c>
      <c r="E5" s="12" t="inlineStr">
        <is>
          <t>RNW-022: Available</t>
        </is>
      </c>
      <c r="F5" s="12" t="inlineStr">
        <is>
          <t>Renewal Batch with first, second and final notices from templates (Operations &gt; Renewals)</t>
        </is>
      </c>
      <c r="G5" s="12" t="inlineStr">
        <is>
          <t>CR-RN-019</t>
        </is>
      </c>
      <c r="H5" s="22" t="n">
        <v>0</v>
      </c>
    </row>
    <row r="6">
      <c r="A6" s="12" t="inlineStr">
        <is>
          <t>G-23</t>
        </is>
      </c>
      <c r="B6" s="12" t="inlineStr">
        <is>
          <t>FRRN.043.01</t>
        </is>
      </c>
      <c r="C6" s="12" t="inlineStr">
        <is>
          <t>Audit Logs menu with filters and export</t>
        </is>
      </c>
      <c r="D6" s="12" t="inlineStr">
        <is>
          <t>BRD-00 User &amp; Data Management, User access and record: "audit logs are viewable/exportable"; programme NFR 4.05 (Collections, Claims, ReInsurance addenda) "Audit logs should be exportable"; Renewal BRD BRRN.010 "All actions ... are logged with user ID, timestamp, and affected account(s)"</t>
        </is>
      </c>
      <c r="E6" s="12" t="inlineStr">
        <is>
          <t>RNW-037: Available</t>
        </is>
      </c>
      <c r="F6" s="12" t="inlineStr">
        <is>
          <t>Audit trail module with filters (Administration &gt; Audit)</t>
        </is>
      </c>
      <c r="G6" s="12" t="inlineStr">
        <is>
          <t>CR-RN-023</t>
        </is>
      </c>
      <c r="H6" s="22" t="n">
        <v>0</v>
      </c>
    </row>
  </sheetData>
  <autoFilter ref="A4:H6"/>
  <mergeCells count="1">
    <mergeCell ref="A2:H2"/>
  </mergeCells>
  <conditionalFormatting sqref="A5:H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40" customWidth="1" min="3" max="3"/>
    <col width="40" customWidth="1" min="4" max="4"/>
    <col width="20" customWidth="1" min="5" max="5"/>
    <col width="60" customWidth="1" min="6" max="6"/>
  </cols>
  <sheetData>
    <row r="1" ht="24" customHeight="1">
      <c r="A1" s="16" t="inlineStr">
        <is>
          <t>Integration &amp; DM scope</t>
        </is>
      </c>
    </row>
    <row r="2">
      <c r="A2" s="19" t="inlineStr">
        <is>
          <t>Points delivered in the Integration or Data Migration scope (grey label in the FRS): no CR cost here</t>
        </is>
      </c>
    </row>
    <row r="3" ht="6" customHeight="1">
      <c r="A3" s="20" t="n"/>
      <c r="B3" s="20" t="n"/>
      <c r="C3" s="20" t="n"/>
      <c r="D3" s="20" t="n"/>
      <c r="E3" s="20" t="n"/>
      <c r="F3" s="20" t="n"/>
    </row>
    <row r="4" ht="30" customHeight="1">
      <c r="A4" s="21" t="inlineStr">
        <is>
          <t>Register</t>
        </is>
      </c>
      <c r="B4" s="21" t="inlineStr">
        <is>
          <t>FR item</t>
        </is>
      </c>
      <c r="C4" s="21" t="inlineStr">
        <is>
          <t>Point</t>
        </is>
      </c>
      <c r="D4" s="21" t="inlineStr">
        <is>
          <t>Interface or data</t>
        </is>
      </c>
      <c r="E4" s="21" t="inlineStr">
        <is>
          <t>Covered by</t>
        </is>
      </c>
      <c r="F4" s="21" t="inlineStr">
        <is>
          <t>Note</t>
        </is>
      </c>
    </row>
    <row r="5">
      <c r="A5" s="12" t="inlineStr">
        <is>
          <t>CR-RN-007</t>
        </is>
      </c>
      <c r="B5" s="12" t="inlineStr">
        <is>
          <t>FRRN.012.06</t>
        </is>
      </c>
      <c r="C5" s="12" t="inlineStr">
        <is>
          <t>BDOFC and SOLD uploads and matching</t>
        </is>
      </c>
      <c r="D5" s="12" t="inlineStr">
        <is>
          <t>BDOFC and BDOSOLD reports of BDO systems</t>
        </is>
      </c>
      <c r="E5" s="12" t="inlineStr">
        <is>
          <t>Integration scope</t>
        </is>
      </c>
      <c r="F5" s="12" t="inlineStr">
        <is>
          <t>Interface to an external system: delivered and costed in the Integration scope (Annex AH), not a change request</t>
        </is>
      </c>
    </row>
    <row r="6">
      <c r="A6" s="12" t="inlineStr">
        <is>
          <t>CR-RN-012</t>
        </is>
      </c>
      <c r="B6" s="12" t="inlineStr">
        <is>
          <t>FRRN.022.02</t>
        </is>
      </c>
      <c r="C6" s="12" t="inlineStr">
        <is>
          <t>Delivery through CCM</t>
        </is>
      </c>
      <c r="D6" s="12" t="inlineStr">
        <is>
          <t>CCM of BDO (client communications)</t>
        </is>
      </c>
      <c r="E6" s="12" t="inlineStr">
        <is>
          <t>Integration scope</t>
        </is>
      </c>
      <c r="F6" s="12" t="inlineStr">
        <is>
          <t>Interface to an external system: delivered and costed in the Integration scope (Annex AH), not a change request</t>
        </is>
      </c>
    </row>
    <row r="7">
      <c r="A7" s="12" t="inlineStr">
        <is>
          <t>CR-RN-013</t>
        </is>
      </c>
      <c r="B7" s="12" t="inlineStr">
        <is>
          <t>FRRN.29.03</t>
        </is>
      </c>
      <c r="C7" s="12" t="inlineStr">
        <is>
          <t>MFT exchange with insurers</t>
        </is>
      </c>
      <c r="D7" s="12" t="inlineStr">
        <is>
          <t>MFT with the insurers</t>
        </is>
      </c>
      <c r="E7" s="12" t="inlineStr">
        <is>
          <t>Integration scope</t>
        </is>
      </c>
      <c r="F7" s="12" t="inlineStr">
        <is>
          <t>Interface to an external system: delivered and costed in the Integration scope (Annex AH), not a change request</t>
        </is>
      </c>
    </row>
    <row r="8">
      <c r="A8" s="12" t="inlineStr">
        <is>
          <t>CR-RN-021</t>
        </is>
      </c>
      <c r="B8" s="12" t="inlineStr">
        <is>
          <t>FRRN.27.01</t>
        </is>
      </c>
      <c r="C8" s="12" t="inlineStr">
        <is>
          <t>Scheduled CLPC billing (CBG Home, FFY Motor) and the e-mail of Annex S</t>
        </is>
      </c>
      <c r="D8" s="12" t="inlineStr">
        <is>
          <t>CLPC billing files to BDO CBG Loan Services (LMS)</t>
        </is>
      </c>
      <c r="E8" s="12" t="inlineStr">
        <is>
          <t>Integration scope</t>
        </is>
      </c>
      <c r="F8" s="12" t="inlineStr">
        <is>
          <t>Interface to an external system: delivered and costed in the Integration scope (Annex AH), not a change request</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56" customWidth="1" min="3" max="3"/>
    <col width="12" customWidth="1" min="4" max="4"/>
    <col width="12" customWidth="1" min="5" max="5"/>
  </cols>
  <sheetData>
    <row r="1" ht="24" customHeight="1">
      <c r="A1" s="16" t="inlineStr">
        <is>
          <t>Best practice (blue)</t>
        </is>
      </c>
    </row>
    <row r="2">
      <c r="A2" s="19" t="inlineStr">
        <is>
          <t>Insurance-broking renewal practices not in the BRD, the FRS or the platform (Annex AP.2); recommendations</t>
        </is>
      </c>
    </row>
    <row r="3" ht="6" customHeight="1">
      <c r="A3" s="20" t="n"/>
      <c r="B3" s="20" t="n"/>
      <c r="C3" s="20" t="n"/>
      <c r="D3" s="20" t="n"/>
      <c r="E3" s="20" t="n"/>
    </row>
    <row r="4" ht="30" customHeight="1">
      <c r="A4" s="21" t="inlineStr">
        <is>
          <t>ID</t>
        </is>
      </c>
      <c r="B4" s="21" t="inlineStr">
        <is>
          <t>Practice</t>
        </is>
      </c>
      <c r="C4" s="21" t="inlineStr">
        <is>
          <t>Why it matters for a broker</t>
        </is>
      </c>
      <c r="D4" s="21" t="inlineStr">
        <is>
          <t>Suggested priority</t>
        </is>
      </c>
      <c r="E4" s="21" t="inlineStr">
        <is>
          <t>Indicative man-days</t>
        </is>
      </c>
    </row>
    <row r="5">
      <c r="A5" s="12" t="inlineStr">
        <is>
          <t>BP-RN-01</t>
        </is>
      </c>
      <c r="B5" s="12" t="inlineStr">
        <is>
          <t>Suitability review at renewal: the officer confirms the client's needs and covers are still adequate and records the advice given</t>
        </is>
      </c>
      <c r="C5" s="12" t="inlineStr">
        <is>
          <t>Fair treatment of clients and market-conduct expectations of the Insurance Commission for intermediaries; protects the broker against claims of poor advice</t>
        </is>
      </c>
      <c r="D5" s="12" t="inlineStr">
        <is>
          <t>High</t>
        </is>
      </c>
      <c r="E5" s="22" t="n">
        <v>6</v>
      </c>
    </row>
    <row r="6">
      <c r="A6" s="12" t="inlineStr">
        <is>
          <t>BP-RN-02</t>
        </is>
      </c>
      <c r="B6" s="12" t="inlineStr">
        <is>
          <t>Remarketing check: renewals above a premium threshold or with a large premium increase are quoted with at least one other insurer before the renewal is accepted</t>
        </is>
      </c>
      <c r="C6" s="12" t="inlineStr">
        <is>
          <t>The broker acts for the client (Insurance Code); shows best terms were sought, especially on hardening rates</t>
        </is>
      </c>
      <c r="D6" s="12" t="inlineStr">
        <is>
          <t>Medium</t>
        </is>
      </c>
      <c r="E6" s="22" t="n">
        <v>5</v>
      </c>
    </row>
    <row r="7">
      <c r="A7" s="12" t="inlineStr">
        <is>
          <t>BP-RN-03</t>
        </is>
      </c>
      <c r="B7" s="12" t="inlineStr">
        <is>
          <t>Sum-insured adequacy prompt: property and motor renewals flag values not reviewed for two years or below an indexed value</t>
        </is>
      </c>
      <c r="C7" s="12" t="inlineStr">
        <is>
          <t>Avoids underinsurance and average at claim time, a common cause of client disputes</t>
        </is>
      </c>
      <c r="D7" s="12" t="inlineStr">
        <is>
          <t>Medium</t>
        </is>
      </c>
      <c r="E7" s="22" t="n">
        <v>4</v>
      </c>
    </row>
    <row r="8">
      <c r="A8" s="12" t="inlineStr">
        <is>
          <t>BP-RN-04</t>
        </is>
      </c>
      <c r="B8" s="12" t="inlineStr">
        <is>
          <t>Key-account renewal plan: accounts above a premium threshold get a stewardship review 120 days before expiry with claims, service and market summary</t>
        </is>
      </c>
      <c r="C8" s="12" t="inlineStr">
        <is>
          <t>Retention of the largest corporate accounts; market practice of corporate brokers</t>
        </is>
      </c>
      <c r="D8" s="12" t="inlineStr">
        <is>
          <t>Low</t>
        </is>
      </c>
      <c r="E8" s="22" t="n">
        <v>5</v>
      </c>
    </row>
    <row r="9">
      <c r="A9" s="12" t="inlineStr">
        <is>
          <t>BP-RN-05</t>
        </is>
      </c>
      <c r="B9" s="12" t="inlineStr">
        <is>
          <t>Remuneration disclosure on request: the Renewal Advice states that the commission or fee earned on the policy is disclosed on request</t>
        </is>
      </c>
      <c r="C9" s="12" t="inlineStr">
        <is>
          <t>Transparency expected of intermediaries by the Insurance Commission and good conduct practice</t>
        </is>
      </c>
      <c r="D9" s="12" t="inlineStr">
        <is>
          <t>Low</t>
        </is>
      </c>
      <c r="E9" s="22" t="n">
        <v>2</v>
      </c>
    </row>
  </sheetData>
  <autoFilter ref="A4:E9"/>
  <mergeCells count="1">
    <mergeCell ref="A2:E2"/>
  </mergeCells>
  <conditionalFormatting sqref="A5:E509">
    <cfRule type="expression" priority="1" dxfId="0">
      <formula>AND(MOD(ROW(),2)=0,$A5&lt;&gt;"")</formula>
    </cfRule>
  </conditionalFormatting>
  <dataValidations count="1">
    <dataValidation sqref="D5:D509" showDropDown="0" showInputMessage="0" showErrorMessage="1" allowBlank="1" errorTitle="Suggested priority" error="Choose a value from the list (Suggested priority)." type="list">
      <formula1>'Lists'!$B$2:$B$4</formula1>
    </dataValidation>
  </dataValidations>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50" customWidth="1" min="2" max="2"/>
    <col width="40" customWidth="1" min="3" max="3"/>
    <col width="60" customWidth="1" min="4" max="4"/>
    <col width="14" customWidth="1" min="5" max="5"/>
    <col width="50" customWidth="1" min="6" max="6"/>
    <col width="18" customWidth="1" min="7" max="7"/>
    <col width="12" customWidth="1" min="8" max="8"/>
  </cols>
  <sheetData>
    <row r="1" ht="24" customHeight="1">
      <c r="A1" s="16" t="inlineStr">
        <is>
          <t>BRD items to deliver</t>
        </is>
      </c>
    </row>
    <row r="2">
      <c r="A2" s="19" t="inlineStr">
        <is>
          <t>BRD requirements not fully in the platform edition: in-scope delivery work for planning, not change requests; the first rows were CR candidates and are in the BRD</t>
        </is>
      </c>
    </row>
    <row r="3" ht="6" customHeight="1">
      <c r="A3" s="20" t="n"/>
      <c r="B3" s="20" t="n"/>
      <c r="C3" s="20" t="n"/>
      <c r="D3" s="20" t="n"/>
      <c r="E3" s="20" t="n"/>
      <c r="F3" s="20" t="n"/>
      <c r="G3" s="20" t="n"/>
      <c r="H3" s="20" t="n"/>
    </row>
    <row r="4" ht="30" customHeight="1">
      <c r="A4" s="21" t="inlineStr">
        <is>
          <t>ID (former CR / Feature List)</t>
        </is>
      </c>
      <c r="B4" s="21" t="inlineStr">
        <is>
          <t>Feature (BRD requirement)</t>
        </is>
      </c>
      <c r="C4" s="21" t="inlineStr">
        <is>
          <t>BRD and FRS references</t>
        </is>
      </c>
      <c r="D4" s="21" t="inlineStr">
        <is>
          <t>BRD line (quoted)</t>
        </is>
      </c>
      <c r="E4" s="21" t="inlineStr">
        <is>
          <t>OOTB platform</t>
        </is>
      </c>
      <c r="F4" s="21" t="inlineStr">
        <is>
          <t>What the platform offers / gap</t>
        </is>
      </c>
      <c r="G4" s="21" t="inlineStr">
        <is>
          <t>Assessment</t>
        </is>
      </c>
      <c r="H4" s="21" t="inlineStr">
        <is>
          <t>Planning man-days</t>
        </is>
      </c>
    </row>
    <row r="5">
      <c r="A5" s="12" t="inlineStr">
        <is>
          <t>CR-RN-008 (BRD part)</t>
        </is>
      </c>
      <c r="B5" s="12" t="inlineStr">
        <is>
          <t>Automatic update of the CBG Motor renewal account fields (straight-through renewal)</t>
        </is>
      </c>
      <c r="C5" s="12" t="inlineStr">
        <is>
          <t>BRRN.039; BRD 3.009.1.4.24 | FRRN.009.01</t>
        </is>
      </c>
      <c r="D5" s="12" t="inlineStr">
        <is>
          <t>BRRN.039 "support LAMD-driven matching and categorization for CBG Motor and Fire renewals, including straight-through processing"; BRD 3.009.1.4.24 "Bodily Injury and Property Damage for Motor Accounts value"</t>
        </is>
      </c>
      <c r="E5" s="12" t="inlineStr">
        <is>
          <t>Not in the feature list: BDOI-specific</t>
        </is>
      </c>
      <c r="F5" s="12" t="inlineStr">
        <is>
          <t>Not available: the renewal account fields of FRRN.009.01 (risk code and rate, insurer, dates, OD / theft, BI and PD coverages and premiums, taxes, total premium) are not set by the system for a straight-through CBG Motor renewal.</t>
        </is>
      </c>
      <c r="G5" s="12" t="inlineStr">
        <is>
          <t>PARTLY - was a CR candidate</t>
        </is>
      </c>
      <c r="H5" s="22" t="n">
        <v>5</v>
      </c>
    </row>
    <row r="6">
      <c r="A6" s="12" t="inlineStr">
        <is>
          <t>CR-RN-001</t>
        </is>
      </c>
      <c r="B6" s="12" t="inlineStr">
        <is>
          <t>Automatic assignment by team and sub-team (Annex F)</t>
        </is>
      </c>
      <c r="C6" s="12" t="inlineStr">
        <is>
          <t>BRD 1.005.1, 3.005; BRRN.031 | FRRN.010.01</t>
        </is>
      </c>
      <c r="D6" s="12" t="inlineStr">
        <is>
          <t>BRD 1.005.1 "a. Assign account to Marketing Account Officers (AO)"; BRD 3.005 (assignment to the Processing Officer); BRRN.031 "apply rule-based disposition automatically ... so that straight-through renewals proceed without manual effort"</t>
        </is>
      </c>
      <c r="E6" s="12" t="inlineStr">
        <is>
          <t>RNW-012: Partial</t>
        </is>
      </c>
      <c r="F6" s="12" t="inlineStr">
        <is>
          <t>Partial: Assignment and reassignment exist; automatic round-robin assignment of renewals by team and sub-team (Annex F) is the missing part.</t>
        </is>
      </c>
      <c r="G6" s="12" t="inlineStr">
        <is>
          <t>IN BRD - was a CR candidate</t>
        </is>
      </c>
      <c r="H6" s="22" t="n">
        <v>6</v>
      </c>
    </row>
    <row r="7">
      <c r="A7" s="12" t="inlineStr">
        <is>
          <t>CR-RN-002</t>
        </is>
      </c>
      <c r="B7" s="12" t="inlineStr">
        <is>
          <t>New Business account from an accepted referral</t>
        </is>
      </c>
      <c r="C7" s="12" t="inlineStr">
        <is>
          <t>BRD 1.006, 1.007.3; BRRN.033 | FRRN.011.03</t>
        </is>
      </c>
      <c r="D7" s="12" t="inlineStr">
        <is>
          <t>BRD 1.006 "Transfer account to other units" (1.006.3 "Select from the drop-down the Marketing unit where the account will be transferred to", 1.006.4 "Submit transfer request"); BRD 1.007.3 "Accept transferred account/s"; BRRN.033 "allow renewal-identified accounts to follow the New Business flow"</t>
        </is>
      </c>
      <c r="E7" s="12" t="inlineStr">
        <is>
          <t>RNW-013: Not available</t>
        </is>
      </c>
      <c r="F7" s="12" t="inlineStr">
        <is>
          <t>Not available: No transfer or referral of renewal accounts between units with acceptance.</t>
        </is>
      </c>
      <c r="G7" s="12" t="inlineStr">
        <is>
          <t>IN BRD - was a CR candidate</t>
        </is>
      </c>
      <c r="H7" s="22" t="n">
        <v>10</v>
      </c>
    </row>
    <row r="8">
      <c r="A8" s="12" t="inlineStr">
        <is>
          <t>CR-RN-003</t>
        </is>
      </c>
      <c r="B8" s="12" t="inlineStr">
        <is>
          <t>Marketing dashboard metrics (budget, pipeline, closing ratio, top deals, persistency, product mix)</t>
        </is>
      </c>
      <c r="C8" s="12" t="inlineStr">
        <is>
          <t>BRD 1.009.7; BRRN.021; BRD-00 BR-203 | FRRN.002.02.01</t>
        </is>
      </c>
      <c r="D8" s="12" t="inlineStr">
        <is>
          <t>BRD 1.009.7 "g. View the assigned accounts per Marketing AO in a dashboard"; BRRN.021 "displayed on the screen/dashboard"; BRD-00 BR-203 "Dashboards and reports for real-time tracking and reporting"</t>
        </is>
      </c>
      <c r="E8" s="12" t="inlineStr">
        <is>
          <t>RNW-032; ACC-023: Partial</t>
        </is>
      </c>
      <c r="F8" s="12" t="inlineStr">
        <is>
          <t>Partial: Renewal dashboards are standard; the budget, closing ratio, top deals, persistency and product mix metrics of BDOI are not.</t>
        </is>
      </c>
      <c r="G8" s="12" t="inlineStr">
        <is>
          <t>IN BRD - was a CR candidate</t>
        </is>
      </c>
      <c r="H8" s="22" t="n">
        <v>9.5</v>
      </c>
    </row>
    <row r="9">
      <c r="A9" s="12" t="inlineStr">
        <is>
          <t>CR-RN-004</t>
        </is>
      </c>
      <c r="B9" s="12" t="inlineStr">
        <is>
          <t>Processing dashboard cards and drill-downs</t>
        </is>
      </c>
      <c r="C9" s="12" t="inlineStr">
        <is>
          <t>BRD 3.010.7; BRD-00 BR-203 | FRRN.003.02</t>
        </is>
      </c>
      <c r="D9" s="12" t="inlineStr">
        <is>
          <t>BRD 3.010.7 "g. View the assigned accounts per Processing Officer in a dashboard"; BRD-00 BR-203 "Dashboards and reports for real-time tracking and reporting"</t>
        </is>
      </c>
      <c r="E9" s="12" t="inlineStr">
        <is>
          <t>QPL-032: Partial</t>
        </is>
      </c>
      <c r="F9" s="12" t="inlineStr">
        <is>
          <t>Partial: Placement reports exist; the processing cards and drill-downs of BDOI are not.</t>
        </is>
      </c>
      <c r="G9" s="12" t="inlineStr">
        <is>
          <t>IN BRD - was a CR candidate</t>
        </is>
      </c>
      <c r="H9" s="22" t="n">
        <v>9.5</v>
      </c>
    </row>
    <row r="10">
      <c r="A10" s="12" t="inlineStr">
        <is>
          <t>CR-RN-006</t>
        </is>
      </c>
      <c r="B10" s="12" t="inlineStr">
        <is>
          <t>KYC monitoring statuses, history and dashboard</t>
        </is>
      </c>
      <c r="C10" s="12" t="inlineStr">
        <is>
          <t>BRRN.028 | FRRN.039.02</t>
        </is>
      </c>
      <c r="D10" s="12" t="inlineStr">
        <is>
          <t>BRRN.028 "I want the system to identify and view accounts that are due or upcoming for KYC review, so that compliance monitoring and follow up can be performed without blocking or interrupting the renewal process"</t>
        </is>
      </c>
      <c r="E10" s="12" t="inlineStr">
        <is>
          <t>RNW-010; CRM-010: Partial</t>
        </is>
      </c>
      <c r="F10" s="12" t="inlineStr">
        <is>
          <t>Partial: A periodic KYC review list is standard; the KYC monitoring statuses, history and dashboard of Renewal are not.</t>
        </is>
      </c>
      <c r="G10" s="12" t="inlineStr">
        <is>
          <t>IN BRD - was a CR candidate</t>
        </is>
      </c>
      <c r="H10" s="22" t="n">
        <v>8.5</v>
      </c>
    </row>
    <row r="11">
      <c r="A11" s="12" t="inlineStr">
        <is>
          <t>CR-RN-010</t>
        </is>
      </c>
      <c r="B11" s="12" t="inlineStr">
        <is>
          <t>Direct-to-Insurer Payment approval (blanket or Unit Head)</t>
        </is>
      </c>
      <c r="C11" s="12" t="inlineStr">
        <is>
          <t>BRD 2.004.4.4; BRD-00 BR-035 | FRRN.014.05</t>
        </is>
      </c>
      <c r="D11" s="12" t="inlineStr">
        <is>
          <t>BRD 2.004.4.4 "4. Direct to Insurer" (reason for non-renewal); BRD-00 BR-035 "allow user to tag of Direct Payment (DP)"</t>
        </is>
      </c>
      <c r="E11" s="12" t="inlineStr">
        <is>
          <t>POL-016; REM-019: Partial</t>
        </is>
      </c>
      <c r="F11" s="12" t="inlineStr">
        <is>
          <t>Partial: Direct-payment accounts are standard; the blanket or Unit Head approval of the renewal is not.</t>
        </is>
      </c>
      <c r="G11" s="12" t="inlineStr">
        <is>
          <t>IN BRD - was a CR candidate</t>
        </is>
      </c>
      <c r="H11" s="22" t="n">
        <v>6</v>
      </c>
    </row>
    <row r="12">
      <c r="A12" s="12" t="inlineStr">
        <is>
          <t>CR-RN-011</t>
        </is>
      </c>
      <c r="B12" s="12" t="inlineStr">
        <is>
          <t>Hold cover automation (CBG at 75 days, extensions, CBG Home on the 15th)</t>
        </is>
      </c>
      <c r="C12" s="12" t="inlineStr">
        <is>
          <t>BRRN.042; BRD-00 BR-034 | FRRN.036.03</t>
        </is>
      </c>
      <c r="D12" s="12" t="inlineStr">
        <is>
          <t>BRRN.042 "I want to be able to send request for Hold Cover to insurer/s and to record the Hold Cover confirmation details received from the insurer"; BRD-00 BR-034 "the system sends a 30 days Hold Cover (HC) request to Insurer/s"</t>
        </is>
      </c>
      <c r="E12" s="12" t="inlineStr">
        <is>
          <t>RNW-028: Partial</t>
        </is>
      </c>
      <c r="F12" s="12" t="inlineStr">
        <is>
          <t>Partial: Cover notes of 30 days are standard; automatic CBG requests at 75 days, extensions and insurer batches are not.</t>
        </is>
      </c>
      <c r="G12" s="12" t="inlineStr">
        <is>
          <t>IN BRD - was a CR candidate</t>
        </is>
      </c>
      <c r="H12" s="22" t="n">
        <v>15</v>
      </c>
    </row>
    <row r="13">
      <c r="A13" s="12" t="inlineStr">
        <is>
          <t>CR-RN-014</t>
        </is>
      </c>
      <c r="B13" s="12" t="inlineStr">
        <is>
          <t>E-policy batch processing (summary file and ZIP)</t>
        </is>
      </c>
      <c r="C13" s="12" t="inlineStr">
        <is>
          <t>BRD-00 BR-040 to BR-042; BRRN.040 | FRRN.033.01</t>
        </is>
      </c>
      <c r="D13" s="12" t="inlineStr">
        <is>
          <t>BRD-00 BR-040 "allow users to receive e-policy. (Individual or Batch)", BR-041 "send e-policy to client. (Individual or Batch)", BR-042 "updates client record to add e-policy and policy number. (Individual or Batch)"; BRRN.040 "the policy can be issued on time"</t>
        </is>
      </c>
      <c r="E13" s="12" t="inlineStr">
        <is>
          <t>POL-009: Partial</t>
        </is>
      </c>
      <c r="F13" s="12" t="inlineStr">
        <is>
          <t>Partial: Protected e-policy dispatch is partly standard; the summary file and ZIP receipt, matching and batch sending are not.</t>
        </is>
      </c>
      <c r="G13" s="12" t="inlineStr">
        <is>
          <t>IN BRD - was a CR candidate</t>
        </is>
      </c>
      <c r="H13" s="22" t="n">
        <v>10.5</v>
      </c>
    </row>
    <row r="14">
      <c r="A14" s="12" t="inlineStr">
        <is>
          <t>CR-RN-016</t>
        </is>
      </c>
      <c r="B14" s="12" t="inlineStr">
        <is>
          <t>Second approval after acceptance</t>
        </is>
      </c>
      <c r="C14" s="12" t="inlineStr">
        <is>
          <t>BRD 1.008.1, 1.009.3.2.10; BRRN.038 | FRRN.26.01</t>
        </is>
      </c>
      <c r="D14" s="12" t="inlineStr">
        <is>
          <t>BRD 1.008.1 "Review and Post Disposition Accounts - a. Review Accounts"; BRD 1.009.3.2.10 "Total No. of Awaiting Marketing TL Approval (For Renewal)"; BRRN.038 "routing of renewal changes based on financial impact, ensuring proper approval"</t>
        </is>
      </c>
      <c r="E14" s="12" t="inlineStr">
        <is>
          <t>RNW-016: Partial</t>
        </is>
      </c>
      <c r="F14" s="12" t="inlineStr">
        <is>
          <t>Partial: Maker-checker on renewal terms is standard; Submitted for Approval after acceptance is not.</t>
        </is>
      </c>
      <c r="G14" s="12" t="inlineStr">
        <is>
          <t>IN BRD - was a CR candidate</t>
        </is>
      </c>
      <c r="H14" s="22" t="n">
        <v>6.5</v>
      </c>
    </row>
    <row r="15">
      <c r="A15" s="12" t="inlineStr">
        <is>
          <t>CR-RN-017</t>
        </is>
      </c>
      <c r="B15" s="12" t="inlineStr">
        <is>
          <t>Nine insurer disposition values</t>
        </is>
      </c>
      <c r="C15" s="12" t="inlineStr">
        <is>
          <t>BRRN.035 | FRRN.013.02</t>
        </is>
      </c>
      <c r="D15" s="12" t="inlineStr">
        <is>
          <t>BRRN.035 "capture insurer responses (e.g., Approve/ Renew As-Is, Reject, Revise) and automatically apply them to the renewal workflow"</t>
        </is>
      </c>
      <c r="E15" s="12" t="inlineStr">
        <is>
          <t>RNW-021: BDOI-specific</t>
        </is>
      </c>
      <c r="F15" s="12" t="inlineStr">
        <is>
          <t>BDOI-specific: BDOI's nine insurer values and their mapping to the BRD outcomes.</t>
        </is>
      </c>
      <c r="G15" s="12" t="inlineStr">
        <is>
          <t>IN BRD - was a CR candidate</t>
        </is>
      </c>
      <c r="H15" s="22" t="n">
        <v>6</v>
      </c>
    </row>
    <row r="16">
      <c r="A16" s="12" t="inlineStr">
        <is>
          <t>CR-RN-018</t>
        </is>
      </c>
      <c r="B16" s="12" t="inlineStr">
        <is>
          <t>Duplicate criteria per line and segment (Annex B)</t>
        </is>
      </c>
      <c r="C16" s="12" t="inlineStr">
        <is>
          <t>BRRN.005; BRD-00 BR-026 | FRRN.006.01</t>
        </is>
      </c>
      <c r="D16" s="12" t="inlineStr">
        <is>
          <t>BRRN.005 negative scenario "List contains duplicate or irrelevant accounts"; BRD-00 BR-026 "sanitize ... based on configurable business rules ... such as duplicate detection"</t>
        </is>
      </c>
      <c r="E16" s="12" t="inlineStr">
        <is>
          <t>POL-003: Partial</t>
        </is>
      </c>
      <c r="F16" s="12" t="inlineStr">
        <is>
          <t>Partial: Duplicate account prevention is partly standard; criteria per line and segment (Annex B) are not.</t>
        </is>
      </c>
      <c r="G16" s="12" t="inlineStr">
        <is>
          <t>IN BRD - was a CR candidate</t>
        </is>
      </c>
      <c r="H16" s="22" t="n">
        <v>5.5</v>
      </c>
    </row>
    <row r="17">
      <c r="A17" s="12" t="inlineStr">
        <is>
          <t>CR-RN-020</t>
        </is>
      </c>
      <c r="B17" s="12" t="inlineStr">
        <is>
          <t>Password convention of protected files</t>
        </is>
      </c>
      <c r="C17" s="12" t="inlineStr">
        <is>
          <t>BRRN.010; BRD 1.010.7.1 | FRRN.024.01</t>
        </is>
      </c>
      <c r="D17" s="12" t="inlineStr">
        <is>
          <t>BRRN.010 "Send RA in batch, with encryption and password protection"; BRD 1.010.7.1 "1. Encrypt and add password prior to sending"</t>
        </is>
      </c>
      <c r="E17" s="12" t="inlineStr">
        <is>
          <t>RNW-023; QPL-031: Not available</t>
        </is>
      </c>
      <c r="F17" s="12" t="inlineStr">
        <is>
          <t>Not available: Documents are sent as plain PDF; no password convention.</t>
        </is>
      </c>
      <c r="G17" s="12" t="inlineStr">
        <is>
          <t>IN BRD - was a CR candidate</t>
        </is>
      </c>
      <c r="H17" s="22" t="n">
        <v>4.5</v>
      </c>
    </row>
    <row r="18">
      <c r="A18" s="12" t="inlineStr">
        <is>
          <t>CR-RN-022</t>
        </is>
      </c>
      <c r="B18" s="12" t="inlineStr">
        <is>
          <t>RMU Account Officer maintenance</t>
        </is>
      </c>
      <c r="C18" s="12" t="inlineStr">
        <is>
          <t>BRD 2.004.4.1; BRRN.029 | FRRN.041.01</t>
        </is>
      </c>
      <c r="D18" s="12" t="inlineStr">
        <is>
          <t>BRD 2.004.4.1 "1. Remedial Management Unit (RMU)"; BRRN.029 "ingest LAMD-provided reports and match paid-off loan records ... to determine renewal eligibility and proper routing"</t>
        </is>
      </c>
      <c r="E18" s="12" t="inlineStr">
        <is>
          <t>RNW-009; INT-009: BDOI-specific</t>
        </is>
      </c>
      <c r="F18" s="12" t="inlineStr">
        <is>
          <t>BDOI-specific: Bank-specific RMU Account Officer codes.</t>
        </is>
      </c>
      <c r="G18" s="12" t="inlineStr">
        <is>
          <t>IN BRD - was a CR candidate</t>
        </is>
      </c>
      <c r="H18" s="22" t="n">
        <v>5</v>
      </c>
    </row>
    <row r="19">
      <c r="A19" s="12" t="inlineStr">
        <is>
          <t>RNW-001</t>
        </is>
      </c>
      <c r="B19" s="12" t="inlineStr">
        <is>
          <t>Automatic extraction of renewal candidates at configurable lead days</t>
        </is>
      </c>
      <c r="C19" s="12" t="inlineStr">
        <is>
          <t>BRD-06 BRRN.030, BRRN.005 (Walkthrough Addendum p.8)</t>
        </is>
      </c>
      <c r="D19" s="12" t="inlineStr">
        <is>
          <t>-</t>
        </is>
      </c>
      <c r="E19" s="12" t="inlineStr">
        <is>
          <t>Partial</t>
        </is>
      </c>
      <c r="F19" s="12" t="inlineStr">
        <is>
          <t>A daily job puts policies expiring within 90 days (one configurable value) into the renewal pipeline; there is no per-segment lead time and no extraction run log with its trigger.</t>
        </is>
      </c>
      <c r="G19" s="12" t="inlineStr">
        <is>
          <t>Partial fit</t>
        </is>
      </c>
      <c r="H19" s="22" t="n"/>
    </row>
    <row r="20">
      <c r="A20" s="12" t="inlineStr">
        <is>
          <t>RNW-002</t>
        </is>
      </c>
      <c r="B20" s="12" t="inlineStr">
        <is>
          <t>Expiring accounts list with multi-select filters, export and print</t>
        </is>
      </c>
      <c r="C20" s="12" t="inlineStr">
        <is>
          <t>BRD-06 BRRN.002-008, restating BRD 1.003 and 3.003</t>
        </is>
      </c>
      <c r="D20" s="12" t="inlineStr">
        <is>
          <t>-</t>
        </is>
      </c>
      <c r="E20" s="12" t="inlineStr">
        <is>
          <t>Partial</t>
        </is>
      </c>
      <c r="F20" s="12" t="inlineStr">
        <is>
          <t>Renewable policies can be listed by expiry window, insurer and product and a batch report exported to Excel or CSV; lists are paged (20, 50 or 100 rows) and BDOI's organisation filters (unit head, market segment, risk code) are not offered.</t>
        </is>
      </c>
      <c r="G20" s="12" t="inlineStr">
        <is>
          <t>Partial fit</t>
        </is>
      </c>
      <c r="H20" s="22" t="n"/>
    </row>
    <row r="21">
      <c r="A21" s="12" t="inlineStr">
        <is>
          <t>RNW-003</t>
        </is>
      </c>
      <c r="B21" s="12" t="inlineStr">
        <is>
          <t>Explicit initiation of renewal processing, single or in bulk by segment</t>
        </is>
      </c>
      <c r="C21" s="12" t="inlineStr">
        <is>
          <t>BRD-06 BRRN.021</t>
        </is>
      </c>
      <c r="D21" s="12" t="inlineStr">
        <is>
          <t>-</t>
        </is>
      </c>
      <c r="E21" s="12" t="inlineStr">
        <is>
          <t>Partial</t>
        </is>
      </c>
      <c r="F21" s="12" t="inlineStr">
        <is>
          <t>A policy can be put into the pipeline on demand and batches can be created from criteria, but the pipeline job adds policies without a separate initiation step and there is no segment rule for bulk initiation.</t>
        </is>
      </c>
      <c r="G21" s="12" t="inlineStr">
        <is>
          <t>Partial fit</t>
        </is>
      </c>
      <c r="H21" s="22" t="n"/>
    </row>
    <row r="22">
      <c r="A22" s="12" t="inlineStr">
        <is>
          <t>RNW-004</t>
        </is>
      </c>
      <c r="B22" s="12" t="inlineStr">
        <is>
          <t>Go-live takeover of renewals and remapping of legacy packages</t>
        </is>
      </c>
      <c r="C22" s="12" t="inlineStr">
        <is>
          <t>BRD-06 BRRN.005, BRRN.020; BDOI decisions of 26-Sep-2026 (DMQ36-DMQ39)</t>
        </is>
      </c>
      <c r="D22" s="12" t="inlineStr">
        <is>
          <t>-</t>
        </is>
      </c>
      <c r="E22" s="12" t="inlineStr">
        <is>
          <t>Partial</t>
        </is>
      </c>
      <c r="F22" s="12" t="inlineStr">
        <is>
          <t>In-force policies loaded through the migration workbook enter the renewal pipeline like any other policy; there is no urgent flag for the go-live window and no remapping of legacy package codes.</t>
        </is>
      </c>
      <c r="G22" s="12" t="inlineStr">
        <is>
          <t>BDOI-specific</t>
        </is>
      </c>
      <c r="H22" s="22" t="n"/>
    </row>
    <row r="23">
      <c r="A23" s="12" t="inlineStr">
        <is>
          <t>RNW-005</t>
        </is>
      </c>
      <c r="B23" s="12" t="inlineStr">
        <is>
          <t>Sanitation, matching and eligibility checks on every candidate</t>
        </is>
      </c>
      <c r="C23" s="12" t="inlineStr">
        <is>
          <t>BRD-06 BRRN.020, BRRN.022 and Annex SC-01 to SC-13 (Walkthrough Addendum p.5, p.20-21)</t>
        </is>
      </c>
      <c r="D23" s="12" t="inlineStr">
        <is>
          <t>-</t>
        </is>
      </c>
      <c r="E23" s="12" t="inlineStr">
        <is>
          <t>Not available</t>
        </is>
      </c>
      <c r="F23" s="12" t="inlineStr">
        <is>
          <t>No configurable pre-renewal checks; the at-risk score uses claims and unpaid premium for retention, not for eligibility.</t>
        </is>
      </c>
      <c r="G23" s="12" t="inlineStr">
        <is>
          <t>Gap</t>
        </is>
      </c>
      <c r="H23" s="22" t="n"/>
    </row>
    <row r="24">
      <c r="A24" s="12" t="inlineStr">
        <is>
          <t>RNW-006</t>
        </is>
      </c>
      <c r="B24" s="12" t="inlineStr">
        <is>
          <t>Clean, Review and Exception classification with rule reference and controlled override</t>
        </is>
      </c>
      <c r="C24" s="12" t="inlineStr">
        <is>
          <t>BRD-06 BRRN.023 and Annex R23-01 to R23-05 (Walkthrough Addendum p.5-6, p.21)</t>
        </is>
      </c>
      <c r="D24" s="12" t="inlineStr">
        <is>
          <t>-</t>
        </is>
      </c>
      <c r="E24" s="12" t="inlineStr">
        <is>
          <t>Not available</t>
        </is>
      </c>
      <c r="F24" s="12" t="inlineStr">
        <is>
          <t>At-risk bands rank renewals by retention risk; there is no eligibility classification with rule reference or override.</t>
        </is>
      </c>
      <c r="G24" s="12" t="inlineStr">
        <is>
          <t>Gap</t>
        </is>
      </c>
      <c r="H24" s="22" t="n"/>
    </row>
    <row r="25">
      <c r="A25" s="12" t="inlineStr">
        <is>
          <t>RNW-007</t>
        </is>
      </c>
      <c r="B25" s="12" t="inlineStr">
        <is>
          <t>Versioned decision matrix with straight-through disposition</t>
        </is>
      </c>
      <c r="C25" s="12" t="inlineStr">
        <is>
          <t>BRD-06 BRRN.031, BRRN.034 and Annex (Walkthrough Addendum p.9, p.23)</t>
        </is>
      </c>
      <c r="D25" s="12" t="inlineStr">
        <is>
          <t>-</t>
        </is>
      </c>
      <c r="E25" s="12" t="inlineStr">
        <is>
          <t>Not available</t>
        </is>
      </c>
      <c r="F25" s="12" t="inlineStr">
        <is>
          <t>Renewal terms are prepared per policy by users; no decision matrix or automatic disposition.</t>
        </is>
      </c>
      <c r="G25" s="12" t="inlineStr">
        <is>
          <t>Gap</t>
        </is>
      </c>
      <c r="H25" s="22" t="n"/>
    </row>
    <row r="26">
      <c r="A26" s="12" t="inlineStr">
        <is>
          <t>RNW-008</t>
        </is>
      </c>
      <c r="B26" s="12" t="inlineStr">
        <is>
          <t>Non-renewable risk codes and Not-for-Renewal notice</t>
        </is>
      </c>
      <c r="C26" s="12" t="inlineStr">
        <is>
          <t>BRD-06 BRRN.009</t>
        </is>
      </c>
      <c r="D26" s="12" t="inlineStr">
        <is>
          <t>-</t>
        </is>
      </c>
      <c r="E26" s="12" t="inlineStr">
        <is>
          <t>Not available</t>
        </is>
      </c>
      <c r="F26" s="12" t="inlineStr">
        <is>
          <t>A renewal can be lapsed with a reason; there is no master of non-renewable risk codes and no NFR letter.</t>
        </is>
      </c>
      <c r="G26" s="12" t="inlineStr">
        <is>
          <t>Gap</t>
        </is>
      </c>
      <c r="H26" s="22" t="n"/>
    </row>
    <row r="27">
      <c r="A27" s="12" t="inlineStr">
        <is>
          <t>RNW-009</t>
        </is>
      </c>
      <c r="B27" s="12" t="inlineStr">
        <is>
          <t>LAMD paid-off and RMU loan reports matched to renewals</t>
        </is>
      </c>
      <c r="C27" s="12" t="inlineStr">
        <is>
          <t>BRD-06 BRRN.029, BRRN.039, BRRN.024 and Annex (Walkthrough Addendum p.6-8, p.23)</t>
        </is>
      </c>
      <c r="D27" s="12" t="inlineStr">
        <is>
          <t>-</t>
        </is>
      </c>
      <c r="E27" s="12" t="inlineStr">
        <is>
          <t>Not available</t>
        </is>
      </c>
      <c r="F27" s="12" t="inlineStr">
        <is>
          <t>No loan-system feed or PN matching for renewals.</t>
        </is>
      </c>
      <c r="G27" s="12" t="inlineStr">
        <is>
          <t>BDOI-specific</t>
        </is>
      </c>
      <c r="H27" s="22" t="n"/>
    </row>
    <row r="28">
      <c r="A28" s="12" t="inlineStr">
        <is>
          <t>RNW-010</t>
        </is>
      </c>
      <c r="B28" s="12" t="inlineStr">
        <is>
          <t>KYC review due flag on renewal candidates</t>
        </is>
      </c>
      <c r="C28" s="12" t="inlineStr">
        <is>
          <t>BRD-06 BRRN.028 and Annex KYC-01 to KYC-06 (Walkthrough Addendum p.6-7, p.21-23)</t>
        </is>
      </c>
      <c r="D28" s="12" t="inlineStr">
        <is>
          <t>-</t>
        </is>
      </c>
      <c r="E28" s="12" t="inlineStr">
        <is>
          <t>Partial</t>
        </is>
      </c>
      <c r="F28" s="12" t="inlineStr">
        <is>
          <t>KYC refresh dates and a due list exist per client in the AML area, and policy issue can be stopped pending EDD; the flag is not shown in the renewal queue.</t>
        </is>
      </c>
      <c r="G28" s="12" t="inlineStr">
        <is>
          <t>Partial fit</t>
        </is>
      </c>
      <c r="H28" s="22" t="n"/>
    </row>
    <row r="29">
      <c r="A29" s="12" t="inlineStr">
        <is>
          <t>RNW-011</t>
        </is>
      </c>
      <c r="B29" s="12" t="inlineStr">
        <is>
          <t>Renewal prepared from the latest endorsed policy</t>
        </is>
      </c>
      <c r="C29" s="12" t="inlineStr">
        <is>
          <t>BRD-06 BRRN.032; BRD 1.008.1.4</t>
        </is>
      </c>
      <c r="D29" s="12" t="inlineStr">
        <is>
          <t>-</t>
        </is>
      </c>
      <c r="E29" s="12" t="inlineStr">
        <is>
          <t>Partial</t>
        </is>
      </c>
      <c r="F29" s="12" t="inlineStr">
        <is>
          <t>The renewal is pre-filled from the expiring policy as endorsed; a pending endorsement does not block the renewal.</t>
        </is>
      </c>
      <c r="G29" s="12" t="inlineStr">
        <is>
          <t>Partial fit</t>
        </is>
      </c>
      <c r="H29" s="22" t="n"/>
    </row>
    <row r="30">
      <c r="A30" s="12" t="inlineStr">
        <is>
          <t>RNW-012</t>
        </is>
      </c>
      <c r="B30" s="12" t="inlineStr">
        <is>
          <t>Assignment and re-assignment of renewal accounts to officers</t>
        </is>
      </c>
      <c r="C30" s="12" t="inlineStr">
        <is>
          <t>BRD-06 BRD 1.005, BRRN.024</t>
        </is>
      </c>
      <c r="D30" s="12" t="inlineStr">
        <is>
          <t>-</t>
        </is>
      </c>
      <c r="E30" s="12" t="inlineStr">
        <is>
          <t>Partial</t>
        </is>
      </c>
      <c r="F30" s="12" t="inlineStr">
        <is>
          <t>Work can be reassigned from My Team by reporting line and renewals filtered by agent; no assignment tab for unassigned renewals.</t>
        </is>
      </c>
      <c r="G30" s="12" t="inlineStr">
        <is>
          <t>Partial fit</t>
        </is>
      </c>
      <c r="H30" s="22" t="n"/>
    </row>
    <row r="31">
      <c r="A31" s="12" t="inlineStr">
        <is>
          <t>RNW-013</t>
        </is>
      </c>
      <c r="B31" s="12" t="inlineStr">
        <is>
          <t>Transfer of renewal accounts between marketing units</t>
        </is>
      </c>
      <c r="C31" s="12" t="inlineStr">
        <is>
          <t>BRD-06 BRD 1.006, 1.007, 2.005</t>
        </is>
      </c>
      <c r="D31" s="12" t="inlineStr">
        <is>
          <t>-</t>
        </is>
      </c>
      <c r="E31" s="12" t="inlineStr">
        <is>
          <t>Not available</t>
        </is>
      </c>
      <c r="F31" s="12" t="inlineStr">
        <is>
          <t>No inter-unit transfer with acceptance.</t>
        </is>
      </c>
      <c r="G31" s="12" t="inlineStr">
        <is>
          <t>Gap</t>
        </is>
      </c>
      <c r="H31" s="22" t="n"/>
    </row>
    <row r="32">
      <c r="A32" s="12" t="inlineStr">
        <is>
          <t>RNW-014</t>
        </is>
      </c>
      <c r="B32" s="12" t="inlineStr">
        <is>
          <t>Officer disposition with remarks and re-opening</t>
        </is>
      </c>
      <c r="C32" s="12" t="inlineStr">
        <is>
          <t>BRD-06 BRD 2.004, 2.006, 2.010, 3.004.5</t>
        </is>
      </c>
      <c r="D32" s="12" t="inlineStr">
        <is>
          <t>-</t>
        </is>
      </c>
      <c r="E32" s="12" t="inlineStr">
        <is>
          <t>Partial</t>
        </is>
      </c>
      <c r="F32" s="12" t="inlineStr">
        <is>
          <t>Renewal statuses, negotiation notes, lapse with reason and reinstatement exist; the BDOI disposition values and flags (Endorsed, Claims, lock) are not delivered.</t>
        </is>
      </c>
      <c r="G32" s="12" t="inlineStr">
        <is>
          <t>Partial fit</t>
        </is>
      </c>
      <c r="H32" s="22" t="n"/>
    </row>
    <row r="33">
      <c r="A33" s="12" t="inlineStr">
        <is>
          <t>RNW-016</t>
        </is>
      </c>
      <c r="B33" s="12" t="inlineStr">
        <is>
          <t>Team leader review, returns and controlled overrides</t>
        </is>
      </c>
      <c r="C33" s="12" t="inlineStr">
        <is>
          <t>BRD-06 BRD 1.008, 1.011, 2.007, 3.008.2</t>
        </is>
      </c>
      <c r="D33" s="12" t="inlineStr">
        <is>
          <t>-</t>
        </is>
      </c>
      <c r="E33" s="12" t="inlineStr">
        <is>
          <t>Partial</t>
        </is>
      </c>
      <c r="F33" s="12" t="inlineStr">
        <is>
          <t>Renewal terms go to a checker who approves or rejects; there is no team-leader review queue, return flag or override of an outstanding-balance flag.</t>
        </is>
      </c>
      <c r="G33" s="12" t="inlineStr">
        <is>
          <t>Partial fit</t>
        </is>
      </c>
      <c r="H33" s="22" t="n"/>
    </row>
    <row r="34">
      <c r="A34" s="12" t="inlineStr">
        <is>
          <t>RNW-017</t>
        </is>
      </c>
      <c r="B34" s="12" t="inlineStr">
        <is>
          <t>Upload of offline dispositions keyed on a unique renewal reference</t>
        </is>
      </c>
      <c r="C34" s="12" t="inlineStr">
        <is>
          <t>BRD-06 BRRN.018, BRRN.022; BRD 3.004</t>
        </is>
      </c>
      <c r="D34" s="12" t="inlineStr">
        <is>
          <t>-</t>
        </is>
      </c>
      <c r="E34" s="12" t="inlineStr">
        <is>
          <t>Not available</t>
        </is>
      </c>
      <c r="F34" s="12" t="inlineStr">
        <is>
          <t>No renewal reference or disposition upload; uploads exist for masters and go-live data only.</t>
        </is>
      </c>
      <c r="G34" s="12" t="inlineStr">
        <is>
          <t>Gap</t>
        </is>
      </c>
      <c r="H34" s="22" t="n"/>
    </row>
    <row r="35">
      <c r="A35" s="12" t="inlineStr">
        <is>
          <t>RNW-018</t>
        </is>
      </c>
      <c r="B35" s="12" t="inlineStr">
        <is>
          <t>Processing worklist and assignment to processing officers</t>
        </is>
      </c>
      <c r="C35" s="12" t="inlineStr">
        <is>
          <t>BRD-06 BRD 3.005, 3.006, 4.003</t>
        </is>
      </c>
      <c r="D35" s="12" t="inlineStr">
        <is>
          <t>-</t>
        </is>
      </c>
      <c r="E35" s="12" t="inlineStr">
        <is>
          <t>Partial</t>
        </is>
      </c>
      <c r="F35" s="12" t="inlineStr">
        <is>
          <t>The Renewal Queue and My Work list renewals with counters and filters; no assignment step for processing officers.</t>
        </is>
      </c>
      <c r="G35" s="12" t="inlineStr">
        <is>
          <t>Partial fit</t>
        </is>
      </c>
      <c r="H35" s="22" t="n"/>
    </row>
    <row r="36">
      <c r="A36" s="12" t="inlineStr">
        <is>
          <t>RNW-020</t>
        </is>
      </c>
      <c r="B36" s="12" t="inlineStr">
        <is>
          <t>Route renewals with material changes to the new business path</t>
        </is>
      </c>
      <c r="C36" s="12" t="inlineStr">
        <is>
          <t>BRD-06 BRRN.033, BRRN.038 (Walkthrough Addendum p.8-9)</t>
        </is>
      </c>
      <c r="D36" s="12" t="inlineStr">
        <is>
          <t>-</t>
        </is>
      </c>
      <c r="E36" s="12" t="inlineStr">
        <is>
          <t>Partial</t>
        </is>
      </c>
      <c r="F36" s="12" t="inlineStr">
        <is>
          <t>A renewal can be made to follow the placement journey of its line; there is no tolerance-based routing or conversion tag.</t>
        </is>
      </c>
      <c r="G36" s="12" t="inlineStr">
        <is>
          <t>Partial fit</t>
        </is>
      </c>
      <c r="H36" s="22" t="n"/>
    </row>
    <row r="37">
      <c r="A37" s="12" t="inlineStr">
        <is>
          <t>RNW-021</t>
        </is>
      </c>
      <c r="B37" s="12" t="inlineStr">
        <is>
          <t>Insurer renewal-terms round trip by batch file</t>
        </is>
      </c>
      <c r="C37" s="12" t="inlineStr">
        <is>
          <t>BRD-06 BRD 3.009, 4.007; BRRN.035 (Walkthrough Addendum p.9-11)</t>
        </is>
      </c>
      <c r="D37" s="12" t="inlineStr">
        <is>
          <t>-</t>
        </is>
      </c>
      <c r="E37" s="12" t="inlineStr">
        <is>
          <t>Partial</t>
        </is>
      </c>
      <c r="F37" s="12" t="inlineStr">
        <is>
          <t>Batches can be created by criteria and exported; there is no insurer extract layout and no upload of insurer responses.</t>
        </is>
      </c>
      <c r="G37" s="12" t="inlineStr">
        <is>
          <t>Partial fit</t>
        </is>
      </c>
      <c r="H37" s="22" t="n"/>
    </row>
    <row r="38">
      <c r="A38" s="12" t="inlineStr">
        <is>
          <t>RNW-023</t>
        </is>
      </c>
      <c r="B38" s="12" t="inlineStr">
        <is>
          <t>Encrypted, password-protected renewal letters</t>
        </is>
      </c>
      <c r="C38" s="12" t="inlineStr">
        <is>
          <t>BRD-06 BRD 1.010.6-7, 2.009.6-7, 3.011.6-7</t>
        </is>
      </c>
      <c r="D38" s="12" t="inlineStr">
        <is>
          <t>-</t>
        </is>
      </c>
      <c r="E38" s="12" t="inlineStr">
        <is>
          <t>Not available</t>
        </is>
      </c>
      <c r="F38" s="12" t="inlineStr">
        <is>
          <t>Attachments are sent as plain PDF; no password protection.</t>
        </is>
      </c>
      <c r="G38" s="12" t="inlineStr">
        <is>
          <t>Gap</t>
        </is>
      </c>
      <c r="H38" s="22" t="n"/>
    </row>
    <row r="39">
      <c r="A39" s="12" t="inlineStr">
        <is>
          <t>RNW-024</t>
        </is>
      </c>
      <c r="B39" s="12" t="inlineStr">
        <is>
          <t>No Advice, Non-Renewal and RA letter worklist with failure alerts</t>
        </is>
      </c>
      <c r="C39" s="12" t="inlineStr">
        <is>
          <t>BRD-06 BRRN.001 updated (Walkthrough Addendum p.15-16); BRRN.037</t>
        </is>
      </c>
      <c r="D39" s="12" t="inlineStr">
        <is>
          <t>-</t>
        </is>
      </c>
      <c r="E39" s="12" t="inlineStr">
        <is>
          <t>Partial</t>
        </is>
      </c>
      <c r="F39" s="12" t="inlineStr">
        <is>
          <t>Notice stages and wording are configurable and the outbox shows failed messages for retry; there are no eligibility rules for NAL or NRL.</t>
        </is>
      </c>
      <c r="G39" s="12" t="inlineStr">
        <is>
          <t>Partial fit</t>
        </is>
      </c>
      <c r="H39" s="22" t="n"/>
    </row>
    <row r="40">
      <c r="A40" s="12" t="inlineStr">
        <is>
          <t>RNW-025</t>
        </is>
      </c>
      <c r="B40" s="12" t="inlineStr">
        <is>
          <t>NRNS identification and reminders on the effective expiry date</t>
        </is>
      </c>
      <c r="C40" s="12" t="inlineStr">
        <is>
          <t>BRD-06 BRRN.025, BRRN.037 and Annex R37-HC-01 to 12 (Walkthrough Addendum p.12, p.24-26)</t>
        </is>
      </c>
      <c r="D40" s="12" t="inlineStr">
        <is>
          <t>-</t>
        </is>
      </c>
      <c r="E40" s="12" t="inlineStr">
        <is>
          <t>Partial</t>
        </is>
      </c>
      <c r="F40" s="12" t="inlineStr">
        <is>
          <t>Unrenewed policies lapse after a 30-day grace period and reminders can be logged; there is no hold-cover-based effective expiry or NRNS routing.</t>
        </is>
      </c>
      <c r="G40" s="12" t="inlineStr">
        <is>
          <t>Partial fit</t>
        </is>
      </c>
      <c r="H40" s="22" t="n"/>
    </row>
    <row r="41">
      <c r="A41" s="12" t="inlineStr">
        <is>
          <t>RNW-026</t>
        </is>
      </c>
      <c r="B41" s="12" t="inlineStr">
        <is>
          <t>Client acceptance recorded by Marketing before placement and booking</t>
        </is>
      </c>
      <c r="C41" s="12" t="inlineStr">
        <is>
          <t>BRD-06 BRRN.035, BRRN.040 (Walkthrough Addendum p.4, p.9-11)</t>
        </is>
      </c>
      <c r="D41" s="12" t="inlineStr">
        <is>
          <t>-</t>
        </is>
      </c>
      <c r="E41" s="12" t="inlineStr">
        <is>
          <t>Partial</t>
        </is>
      </c>
      <c r="F41" s="12" t="inlineStr">
        <is>
          <t>The renewal quotation can be approved online by the client and the renewal completed by a user; acceptance method and evidence types are not recorded.</t>
        </is>
      </c>
      <c r="G41" s="12" t="inlineStr">
        <is>
          <t>Partial fit</t>
        </is>
      </c>
      <c r="H41" s="22" t="n"/>
    </row>
    <row r="42">
      <c r="A42" s="12" t="inlineStr">
        <is>
          <t>RNW-028</t>
        </is>
      </c>
      <c r="B42" s="12" t="inlineStr">
        <is>
          <t>Hold cover request and insurer confirmation for renewals</t>
        </is>
      </c>
      <c r="C42" s="12" t="inlineStr">
        <is>
          <t>BRD-06 BRRN.042 (Walkthrough Addendum p.14-15)</t>
        </is>
      </c>
      <c r="D42" s="12" t="inlineStr">
        <is>
          <t>-</t>
        </is>
      </c>
      <c r="E42" s="12" t="inlineStr">
        <is>
          <t>Partial</t>
        </is>
      </c>
      <c r="F42" s="12" t="inlineStr">
        <is>
          <t>Broker cover notes (30 days) can be issued from an accepted quotation or a placement slip; there is no hold-cover request to the insurer or confirmation record.</t>
        </is>
      </c>
      <c r="G42" s="12" t="inlineStr">
        <is>
          <t>Partial fit</t>
        </is>
      </c>
      <c r="H42" s="22" t="n"/>
    </row>
    <row r="43">
      <c r="A43" s="12" t="inlineStr">
        <is>
          <t>RNW-029</t>
        </is>
      </c>
      <c r="B43" s="12" t="inlineStr">
        <is>
          <t>Incentive eligibility of renewals after booking and full payment</t>
        </is>
      </c>
      <c r="C43" s="12" t="inlineStr">
        <is>
          <t>BRD-06 BRRN.041 (Walkthrough Addendum p.12-14)</t>
        </is>
      </c>
      <c r="D43" s="12" t="inlineStr">
        <is>
          <t>-</t>
        </is>
      </c>
      <c r="E43" s="12" t="inlineStr">
        <is>
          <t>Partial</t>
        </is>
      </c>
      <c r="F43" s="12" t="inlineStr">
        <is>
          <t>Incentive programmes for account executives exist; the timing rule (booking plus full payment) and re-evaluation on cancellation must be confirmed.</t>
        </is>
      </c>
      <c r="G43" s="12" t="inlineStr">
        <is>
          <t>Partial fit</t>
        </is>
      </c>
      <c r="H43" s="22" t="n"/>
    </row>
    <row r="44">
      <c r="A44" s="12" t="inlineStr">
        <is>
          <t>RNW-031</t>
        </is>
      </c>
      <c r="B44" s="12" t="inlineStr">
        <is>
          <t>Renewal of client-submitted policies handed over by Submitted Policies</t>
        </is>
      </c>
      <c r="C44" s="12" t="inlineStr">
        <is>
          <t>BRD-06; BRD-12 BRIDSP-22 to 26; cross-BRD decision D2</t>
        </is>
      </c>
      <c r="D44" s="12" t="inlineStr">
        <is>
          <t>-</t>
        </is>
      </c>
      <c r="E44" s="12" t="inlineStr">
        <is>
          <t>Partial</t>
        </is>
      </c>
      <c r="F44" s="12" t="inlineStr">
        <is>
          <t>A policy recorded as issued by an insurer enters the renewal pipeline; there is no hand-over from a submitted-policy register.</t>
        </is>
      </c>
      <c r="G44" s="12" t="inlineStr">
        <is>
          <t>Partial fit</t>
        </is>
      </c>
      <c r="H44" s="22" t="n"/>
    </row>
    <row r="45">
      <c r="A45" s="12" t="inlineStr">
        <is>
          <t>RNW-033</t>
        </is>
      </c>
      <c r="B45" s="12" t="inlineStr">
        <is>
          <t>Renewal status report and centralised listings</t>
        </is>
      </c>
      <c r="C45" s="12" t="inlineStr">
        <is>
          <t>BRD-06 BRRN.019, BRRN.036 (Walkthrough Addendum p.11-12, p.24)</t>
        </is>
      </c>
      <c r="D45" s="12" t="inlineStr">
        <is>
          <t>-</t>
        </is>
      </c>
      <c r="E45" s="12" t="inlineStr">
        <is>
          <t>Partial</t>
        </is>
      </c>
      <c r="F45" s="12" t="inlineStr">
        <is>
          <t>Renewal Retention, Performance and the report builder cover status and outcome by product, agent and month; BDOI's twenty criteria and unit or segment filters are not all available.</t>
        </is>
      </c>
      <c r="G45" s="12" t="inlineStr">
        <is>
          <t>Partial fit</t>
        </is>
      </c>
      <c r="H45" s="22" t="n"/>
    </row>
    <row r="46">
      <c r="A46" s="12" t="inlineStr">
        <is>
          <t>RNW-035</t>
        </is>
      </c>
      <c r="B46" s="12" t="inlineStr">
        <is>
          <t>Renewal control reports (checks, decisions, LAMD, letters, insurer batches)</t>
        </is>
      </c>
      <c r="C46" s="12" t="inlineStr">
        <is>
          <t>BRD-06 BRRN.020, 023, 029, 031, 034; BRD 3.009, 4.007</t>
        </is>
      </c>
      <c r="D46" s="12" t="inlineStr">
        <is>
          <t>-</t>
        </is>
      </c>
      <c r="E46" s="12" t="inlineStr">
        <is>
          <t>Not available</t>
        </is>
      </c>
      <c r="F46" s="12" t="inlineStr">
        <is>
          <t>No equivalent reports; they depend on the sanitation, decision and LAMD functions.</t>
        </is>
      </c>
      <c r="G46" s="12" t="inlineStr">
        <is>
          <t>Gap</t>
        </is>
      </c>
      <c r="H46" s="22" t="n"/>
    </row>
    <row r="47">
      <c r="A47" s="12" t="inlineStr">
        <is>
          <t>RNW-036</t>
        </is>
      </c>
      <c r="B47" s="12" t="inlineStr">
        <is>
          <t>Renewal rules, lists of values and letter templates maintained by the business</t>
        </is>
      </c>
      <c r="C47" s="12" t="inlineStr">
        <is>
          <t>BRD-06 BRD 5.003, 5.005; BRRN.009, 023, 030, 034</t>
        </is>
      </c>
      <c r="D47" s="12" t="inlineStr">
        <is>
          <t>-</t>
        </is>
      </c>
      <c r="E47" s="12" t="inlineStr">
        <is>
          <t>Partial</t>
        </is>
      </c>
      <c r="F47" s="12" t="inlineStr">
        <is>
          <t>Renewal parameters and notice templates are business settings applied at once and audited; no effective dating or maker-checker on setting changes.</t>
        </is>
      </c>
      <c r="G47" s="12" t="inlineStr">
        <is>
          <t>Partial fit</t>
        </is>
      </c>
      <c r="H47" s="22" t="n"/>
    </row>
  </sheetData>
  <autoFilter ref="A4:H47"/>
  <mergeCells count="1">
    <mergeCell ref="A2:H2"/>
  </mergeCells>
  <conditionalFormatting sqref="A5:H54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70" customWidth="1" min="2" max="2"/>
  </cols>
  <sheetData>
    <row r="1" ht="24" customHeight="1">
      <c r="A1" s="16" t="inlineStr">
        <is>
          <t>Assumptions</t>
        </is>
      </c>
    </row>
    <row r="2">
      <c r="A2" s="19" t="inlineStr">
        <is>
          <t>Assumptions of the estimate; the daily rate (DayRate, B6) drives the cost columns</t>
        </is>
      </c>
    </row>
    <row r="3" ht="6" customHeight="1">
      <c r="A3" s="20" t="n"/>
      <c r="B3" s="20" t="n"/>
    </row>
    <row r="4" ht="30" customHeight="1">
      <c r="A4" s="21" t="inlineStr">
        <is>
          <t>Assumption</t>
        </is>
      </c>
      <c r="B4" s="21" t="inlineStr">
        <is>
          <t>Value</t>
        </is>
      </c>
    </row>
    <row r="5">
      <c r="A5" s="12" t="inlineStr">
        <is>
          <t>Hours per man-day</t>
        </is>
      </c>
      <c r="B5" s="12" t="n">
        <v>8</v>
      </c>
    </row>
    <row r="6">
      <c r="A6" s="12" t="inlineStr">
        <is>
          <t>Daily rate (fill in, currency of the contract) - name DayRate</t>
        </is>
      </c>
      <c r="B6" s="24" t="n">
        <v>0</v>
      </c>
    </row>
    <row r="7">
      <c r="A7" s="12" t="inlineStr">
        <is>
          <t>Estimate accuracy (plus or minus) - name Accuracy</t>
        </is>
      </c>
      <c r="B7" s="25" t="n">
        <v>0.2</v>
      </c>
    </row>
    <row r="8">
      <c r="A8" s="12" t="inlineStr">
        <is>
          <t>Out of the box</t>
        </is>
      </c>
      <c r="B8" s="12" t="inlineStr">
        <is>
          <t>The iNXT BrokerVerse platform edition (its code and manual), cross-checked with the Feature List vs OOTB workbook (column OOTB platform)</t>
        </is>
      </c>
    </row>
    <row r="9">
      <c r="A9" s="12" t="inlineStr">
        <is>
          <t>Basis</t>
        </is>
      </c>
      <c r="B9" s="12" t="inlineStr">
        <is>
          <t>Effort for the missing part only, sized against the iNXT BrokerVerse platform edition and the requirements of the BRD and of BDOI's FRS</t>
        </is>
      </c>
    </row>
    <row r="10">
      <c r="A10" s="12" t="inlineStr">
        <is>
          <t>Not included</t>
        </is>
      </c>
      <c r="B10" s="12" t="inlineStr">
        <is>
          <t>Integration and Data Migration scopes, infrastructure, licences, BDOI's own testing time and travel</t>
        </is>
      </c>
    </row>
    <row r="11">
      <c r="A11" s="12" t="inlineStr">
        <is>
          <t>Validity</t>
        </is>
      </c>
      <c r="B11" s="12" t="inlineStr">
        <is>
          <t>Until the FRS is signed; re-estimated in the impact assessment form of the Change Request Register</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B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26" t="inlineStr">
        <is>
          <t>Complexity</t>
        </is>
      </c>
      <c r="B1" s="26" t="inlineStr">
        <is>
          <t>Priority</t>
        </is>
      </c>
    </row>
    <row r="2">
      <c r="A2" s="27" t="inlineStr">
        <is>
          <t>Low</t>
        </is>
      </c>
      <c r="B2" s="27" t="inlineStr">
        <is>
          <t>High</t>
        </is>
      </c>
    </row>
    <row r="3">
      <c r="A3" s="27" t="inlineStr">
        <is>
          <t>Medium</t>
        </is>
      </c>
      <c r="B3" s="27" t="inlineStr">
        <is>
          <t>Medium</t>
        </is>
      </c>
    </row>
    <row r="4">
      <c r="A4" s="27" t="inlineStr">
        <is>
          <t>High</t>
        </is>
      </c>
      <c r="B4" s="27" t="inlineStr">
        <is>
          <t>Low</t>
        </is>
      </c>
    </row>
  </sheetData>
  <printOptions horizontalCentered="1"/>
  <pageMargins left="0.4" right="0.4" top="0.6" bottom="0.6" header="0.5" footer="0.5"/>
  <pageSetup orientation="landscape" paperSize="1" fitToHeight="0" fitToWidth="1"/>
  <headerFooter>
    <oddHeader>&amp;L&amp;8 &amp;K004EA8CR Effort Estimate&amp;C&amp;8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CR Effort Estimate</dc:title>
  <dc:subject xmlns:dc="http://purl.org/dc/elements/1.1/">BIBS – BDOI Broker System</dc:subject>
  <dcterms:created xmlns:dcterms="http://purl.org/dc/terms/" xmlns:xsi="http://www.w3.org/2001/XMLSchema-instance" xsi:type="dcterms:W3CDTF">2026-10-11T20:44:28Z</dcterms:created>
  <dcterms:modified xmlns:dcterms="http://purl.org/dc/terms/" xmlns:xsi="http://www.w3.org/2001/XMLSchema-instance" xsi:type="dcterms:W3CDTF">2026-10-11T20:44:28Z</dcterms:modified>
  <cp:keywords>Change control, BRD-06, BIBS, BDOI</cp:keywords>
</cp:coreProperties>
</file>