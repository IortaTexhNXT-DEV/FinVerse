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BRD items to deliver" sheetId="7" state="visible" r:id="rId7"/>
    <sheet xmlns:r="http://schemas.openxmlformats.org/officeDocument/2006/relationships" name="Integration &amp; Data Migration" sheetId="8" state="visible" r:id="rId8"/>
    <sheet xmlns:r="http://schemas.openxmlformats.org/officeDocument/2006/relationships" name="Best practice (blue)"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Assumptions!$B$7</definedName>
    <definedName name="Accuracy">Assumptions!$B$6</definedName>
    <definedName name="_xlnm._FilterDatabase" localSheetId="1" hidden="1">'README'!$A$4:$D$82</definedName>
    <definedName name="_xlnm.Print_Titles" localSheetId="1">'README'!$4:$4</definedName>
    <definedName name="_xlnm._FilterDatabase" localSheetId="2" hidden="1">'Summary'!$A$4:$F$15</definedName>
    <definedName name="_xlnm.Print_Titles" localSheetId="2">'Summary'!$4:$4</definedName>
    <definedName name="_xlnm._FilterDatabase" localSheetId="3" hidden="1">'CR Effort'!$A$4:$X$10</definedName>
    <definedName name="_xlnm.Print_Titles" localSheetId="3">'CR Effort'!$4:$4</definedName>
    <definedName name="_xlnm._FilterDatabase" localSheetId="4" hidden="1">'Beyond the BRD - OOTB'!$A$4:$J$8</definedName>
    <definedName name="_xlnm.Print_Titles" localSheetId="4">'Beyond the BRD - OOTB'!$4:$4</definedName>
    <definedName name="_xlnm._FilterDatabase" localSheetId="5" hidden="1">'BRD covered - OOTB'!$A$4:$I$5</definedName>
    <definedName name="_xlnm.Print_Titles" localSheetId="5">'BRD covered - OOTB'!$4:$4</definedName>
    <definedName name="_xlnm._FilterDatabase" localSheetId="6" hidden="1">'BRD items to deliver'!$A$4:$M$24</definedName>
    <definedName name="_xlnm.Print_Titles" localSheetId="6">'BRD items to deliver'!$4:$4</definedName>
    <definedName name="_xlnm._FilterDatabase" localSheetId="7" hidden="1">'Integration &amp; Data Migration'!$A$4:$H$10</definedName>
    <definedName name="_xlnm.Print_Titles" localSheetId="7">'Integration &amp; Data Migration'!$4:$4</definedName>
    <definedName name="_xlnm._FilterDatabase" localSheetId="8" hidden="1">'Best practice (blue)'!$A$4:$E$11</definedName>
    <definedName name="_xlnm.Print_Titles" localSheetId="8">'Best practice (blue)'!$4:$4</definedName>
    <definedName name="_xlnm._FilterDatabase" localSheetId="9" hidden="1">'Assumptions'!$A$4:$C$12</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9">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164" fontId="5" fillId="0" borderId="2" applyAlignment="1" pivotButton="0" quotePrefix="0" xfId="0">
      <alignment vertical="top" wrapText="1"/>
    </xf>
    <xf numFmtId="4" fontId="5" fillId="0" borderId="2" applyAlignment="1" pivotButton="0" quotePrefix="0" xfId="0">
      <alignment vertical="top" wrapText="1"/>
    </xf>
    <xf numFmtId="0" fontId="6" fillId="0" borderId="2" applyAlignment="1" pivotButton="0" quotePrefix="0" xfId="0">
      <alignment vertical="top" wrapText="1"/>
    </xf>
    <xf numFmtId="164" fontId="4" fillId="0" borderId="2" applyAlignment="1" pivotButton="0" quotePrefix="0" xfId="0">
      <alignment vertical="top"/>
    </xf>
    <xf numFmtId="164"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BRD items to deliver'!A1" TargetMode="External" Id="rId6"/><Relationship Type="http://schemas.openxmlformats.org/officeDocument/2006/relationships/hyperlink" Target="#'Integration &amp; Data Migration'!A1" TargetMode="External" Id="rId7"/><Relationship Type="http://schemas.openxmlformats.org/officeDocument/2006/relationships/hyperlink" Target="#'Best practice (blue)'!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11</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4</v>
      </c>
    </row>
    <row r="24">
      <c r="B24" s="11" t="inlineStr">
        <is>
          <t>BRD covered - OOTB</t>
        </is>
      </c>
      <c r="C24" s="12" t="inlineStr">
        <is>
          <t>BRD requirements (black in the FRS, in scope) that the iNXT BrokerVerse OOTB platform offers: no change request, no effort (FRS Annex AA.4)</t>
        </is>
      </c>
      <c r="D24" s="12" t="n">
        <v>1</v>
      </c>
    </row>
    <row r="25">
      <c r="B25" s="13" t="inlineStr">
        <is>
          <t>BRD items to deliver</t>
        </is>
      </c>
      <c r="C25" s="14" t="inlineStr">
        <is>
          <t>BRD requirements not (fully) in the iNXT BrokerVerse OOTB platform (FRS Annex X.2, AA.4): in-scope delivery work, for planning</t>
        </is>
      </c>
      <c r="D25" s="14" t="n">
        <v>20</v>
      </c>
    </row>
    <row r="26">
      <c r="B26" s="11" t="inlineStr">
        <is>
          <t>Integration &amp; Data Migration</t>
        </is>
      </c>
      <c r="C26" s="12" t="inlineStr">
        <is>
          <t>Covered by the Integration and Data Migration scope (grey label in the FRS, Annex AA.5): no change request, no cost here</t>
        </is>
      </c>
      <c r="D26" s="12" t="n">
        <v>6</v>
      </c>
    </row>
    <row r="27">
      <c r="B27" s="13" t="inlineStr">
        <is>
          <t>Best practice (blue)</t>
        </is>
      </c>
      <c r="C27" s="14" t="inlineStr">
        <is>
          <t>Insurance-broking best practices in no BRD, not in the FRS and not in OOTB (blue, FRS Annex AA.6): recommendations, not commitments</t>
        </is>
      </c>
      <c r="D27" s="14" t="n">
        <v>7</v>
      </c>
    </row>
    <row r="28">
      <c r="B28" s="11" t="inlineStr">
        <is>
          <t>Assumptions</t>
        </is>
      </c>
      <c r="C28" s="12" t="inlineStr">
        <is>
          <t>Assumptions of the estimate; enter the day rate in the yellow cell</t>
        </is>
      </c>
      <c r="D28" s="12" t="n">
        <v>8</v>
      </c>
    </row>
    <row r="30">
      <c r="B30" s="9" t="inlineStr">
        <is>
          <t>Legend</t>
        </is>
      </c>
    </row>
    <row r="31">
      <c r="B31" s="15" t="inlineStr">
        <is>
          <t>Change request</t>
        </is>
      </c>
      <c r="C31" s="16" t="inlineStr">
        <is>
          <t>In no BRD and not (or only partly) in the iNXT BrokerVerse OOTB platform (orange in the FRS); also when already available in BIBS</t>
        </is>
      </c>
    </row>
    <row r="32">
      <c r="B32" s="15" t="inlineStr">
        <is>
          <t>Offered by OOTB</t>
        </is>
      </c>
      <c r="C32" s="16" t="inlineStr">
        <is>
          <t>Not in the BRD; offered by the iNXT BrokerVerse OOTB platform (brokerverse-platform), no cost (green in the FRS)</t>
        </is>
      </c>
    </row>
    <row r="33">
      <c r="B33" s="15" t="inlineStr">
        <is>
          <t>Integration / Data Migration scope</t>
        </is>
      </c>
      <c r="C33" s="16" t="inlineStr">
        <is>
          <t>Interfaces and data migration: covered by those workstreams, not a change request (grey label)</t>
        </is>
      </c>
    </row>
    <row r="34">
      <c r="B34" s="15" t="inlineStr">
        <is>
          <t>Best practice</t>
        </is>
      </c>
      <c r="C34" s="16" t="inlineStr">
        <is>
          <t>In no BRD, FRS or OOTB: recommendation with indicative effort, excluded from the CR total (blue)</t>
        </is>
      </c>
    </row>
    <row r="35">
      <c r="B35" s="15" t="inlineStr">
        <is>
          <t>BRD requirement</t>
        </is>
      </c>
      <c r="C35" s="16" t="inlineStr">
        <is>
          <t>In scope; delivered without a change request (black in the FRS)</t>
        </is>
      </c>
    </row>
    <row r="38" ht="26" customHeight="1">
      <c r="B38"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CR Effort</t>
        </is>
      </c>
      <c r="B34" s="20" t="inlineStr">
        <is>
          <t>Prepared for BIBS?</t>
        </is>
      </c>
      <c r="C34" s="14" t="inlineStr">
        <is>
          <t>Already available for BDOI in the BIBS system; the effort is still the CR value</t>
        </is>
      </c>
      <c r="D34" s="14" t="inlineStr"/>
    </row>
    <row r="35">
      <c r="A35" s="12" t="inlineStr">
        <is>
          <t>Beyond the BRD - OOTB</t>
        </is>
      </c>
      <c r="B35" s="19" t="inlineStr">
        <is>
          <t>No.</t>
        </is>
      </c>
      <c r="C35" s="12" t="inlineStr">
        <is>
          <t>OB-UA-nn</t>
        </is>
      </c>
      <c r="D35" s="12" t="inlineStr"/>
    </row>
    <row r="36">
      <c r="A36" s="14" t="inlineStr">
        <is>
          <t>Beyond the BRD - OOTB</t>
        </is>
      </c>
      <c r="B36" s="20" t="inlineStr">
        <is>
          <t>Point</t>
        </is>
      </c>
      <c r="C36" s="14" t="inlineStr"/>
      <c r="D36" s="14" t="inlineStr"/>
    </row>
    <row r="37">
      <c r="A37" s="12" t="inlineStr">
        <is>
          <t>Beyond the BRD - OOTB</t>
        </is>
      </c>
      <c r="B37" s="19" t="inlineStr">
        <is>
          <t>FRS reference</t>
        </is>
      </c>
      <c r="C37" s="12" t="inlineStr"/>
      <c r="D37" s="12" t="inlineStr"/>
    </row>
    <row r="38">
      <c r="A38" s="14" t="inlineStr">
        <is>
          <t>Beyond the BRD - OOTB</t>
        </is>
      </c>
      <c r="B38" s="20" t="inlineStr">
        <is>
          <t>BRD reference</t>
        </is>
      </c>
      <c r="C38" s="14" t="inlineStr"/>
      <c r="D38" s="14" t="inlineStr"/>
    </row>
    <row r="39">
      <c r="A39" s="12" t="inlineStr">
        <is>
          <t>Beyond the BRD - OOTB</t>
        </is>
      </c>
      <c r="B39" s="19" t="inlineStr">
        <is>
          <t>What BDOI gets</t>
        </is>
      </c>
      <c r="C39" s="12" t="inlineStr"/>
      <c r="D39" s="12" t="inlineStr"/>
    </row>
    <row r="40">
      <c r="A40" s="14" t="inlineStr">
        <is>
          <t>Beyond the BRD - OOTB</t>
        </is>
      </c>
      <c r="B40" s="20" t="inlineStr">
        <is>
          <t>OOTB status</t>
        </is>
      </c>
      <c r="C40" s="14" t="inlineStr"/>
      <c r="D40" s="14" t="inlineStr"/>
    </row>
    <row r="41">
      <c r="A41" s="12" t="inlineStr">
        <is>
          <t>Beyond the BRD - OOTB</t>
        </is>
      </c>
      <c r="B41" s="19" t="inlineStr">
        <is>
          <t>Cost (man-days)</t>
        </is>
      </c>
      <c r="C41" s="12" t="inlineStr">
        <is>
          <t>No change request</t>
        </is>
      </c>
      <c r="D41" s="12" t="inlineStr"/>
    </row>
    <row r="42">
      <c r="A42" s="14" t="inlineStr">
        <is>
          <t>Beyond the BRD - OOTB</t>
        </is>
      </c>
      <c r="B42" s="20" t="inlineStr">
        <is>
          <t>Note</t>
        </is>
      </c>
      <c r="C42" s="14" t="inlineStr">
        <is>
          <t>Former change request number, BRD it extends</t>
        </is>
      </c>
      <c r="D42" s="14" t="inlineStr"/>
    </row>
    <row r="43">
      <c r="A43" s="12" t="inlineStr">
        <is>
          <t>Beyond the BRD - OOTB</t>
        </is>
      </c>
      <c r="B43" s="19" t="inlineStr">
        <is>
          <t>Feature List ID / OOTB status</t>
        </is>
      </c>
      <c r="C43" s="12" t="inlineStr">
        <is>
          <t>Row of the Feature List vs OOTB workbook (column OOTB platform)</t>
        </is>
      </c>
      <c r="D43" s="12" t="inlineStr"/>
    </row>
    <row r="44">
      <c r="A44" s="14" t="inlineStr">
        <is>
          <t>Beyond the BRD - OOTB</t>
        </is>
      </c>
      <c r="B44" s="20" t="inlineStr">
        <is>
          <t>OOTB evidence</t>
        </is>
      </c>
      <c r="C44" s="14" t="inlineStr">
        <is>
          <t>Screen or function of the OOTB platform</t>
        </is>
      </c>
      <c r="D44" s="14" t="inlineStr"/>
    </row>
    <row r="45">
      <c r="A45" s="12" t="inlineStr">
        <is>
          <t>BRD covered - OOTB</t>
        </is>
      </c>
      <c r="B45" s="19" t="inlineStr">
        <is>
          <t>No.</t>
        </is>
      </c>
      <c r="C45" s="12" t="inlineStr">
        <is>
          <t>Former OB-UA-nn</t>
        </is>
      </c>
      <c r="D45" s="12" t="inlineStr"/>
    </row>
    <row r="46">
      <c r="A46" s="14" t="inlineStr">
        <is>
          <t>BRD covered - OOTB</t>
        </is>
      </c>
      <c r="B46" s="20" t="inlineStr">
        <is>
          <t>Point</t>
        </is>
      </c>
      <c r="C46" s="14" t="inlineStr"/>
      <c r="D46" s="14" t="inlineStr"/>
    </row>
    <row r="47">
      <c r="A47" s="12" t="inlineStr">
        <is>
          <t>BRD covered - OOTB</t>
        </is>
      </c>
      <c r="B47" s="19" t="inlineStr">
        <is>
          <t>FRS reference</t>
        </is>
      </c>
      <c r="C47" s="12" t="inlineStr"/>
      <c r="D47" s="12" t="inlineStr"/>
    </row>
    <row r="48">
      <c r="A48" s="14" t="inlineStr">
        <is>
          <t>BRD covered - OOTB</t>
        </is>
      </c>
      <c r="B48" s="20" t="inlineStr">
        <is>
          <t>BRD line</t>
        </is>
      </c>
      <c r="C48" s="14" t="inlineStr">
        <is>
          <t>The BRD line that asks for it (BRD, BRD-00 or programme-wide NFR)</t>
        </is>
      </c>
      <c r="D48" s="14" t="inlineStr"/>
    </row>
    <row r="49">
      <c r="A49" s="12" t="inlineStr">
        <is>
          <t>BRD covered - OOTB</t>
        </is>
      </c>
      <c r="B49" s="19" t="inlineStr">
        <is>
          <t>What BDOI gets</t>
        </is>
      </c>
      <c r="C49" s="12" t="inlineStr"/>
      <c r="D49" s="12" t="inlineStr"/>
    </row>
    <row r="50">
      <c r="A50" s="14" t="inlineStr">
        <is>
          <t>BRD covered - OOTB</t>
        </is>
      </c>
      <c r="B50" s="20" t="inlineStr">
        <is>
          <t>OOTB status</t>
        </is>
      </c>
      <c r="C50" s="14" t="inlineStr"/>
      <c r="D50" s="14" t="inlineStr"/>
    </row>
    <row r="51">
      <c r="A51" s="12" t="inlineStr">
        <is>
          <t>BRD covered - OOTB</t>
        </is>
      </c>
      <c r="B51" s="19" t="inlineStr">
        <is>
          <t>Effort (man-days)</t>
        </is>
      </c>
      <c r="C51" s="12" t="inlineStr">
        <is>
          <t>Offered by OOTB: no effort</t>
        </is>
      </c>
      <c r="D51" s="12" t="inlineStr"/>
    </row>
    <row r="52">
      <c r="A52" s="14" t="inlineStr">
        <is>
          <t>BRD covered - OOTB</t>
        </is>
      </c>
      <c r="B52" s="20" t="inlineStr">
        <is>
          <t>Feature List ID / OOTB status</t>
        </is>
      </c>
      <c r="C52" s="14" t="inlineStr">
        <is>
          <t>Row of the Feature List vs OOTB workbook (column OOTB platform)</t>
        </is>
      </c>
      <c r="D52" s="14" t="inlineStr"/>
    </row>
    <row r="53">
      <c r="A53" s="12" t="inlineStr">
        <is>
          <t>BRD covered - OOTB</t>
        </is>
      </c>
      <c r="B53" s="19" t="inlineStr">
        <is>
          <t>OOTB evidence</t>
        </is>
      </c>
      <c r="C53" s="12" t="inlineStr">
        <is>
          <t>Screen or function of the OOTB platform</t>
        </is>
      </c>
      <c r="D53" s="12" t="inlineStr"/>
    </row>
    <row r="54">
      <c r="A54" s="14" t="inlineStr">
        <is>
          <t>BRD items to deliver</t>
        </is>
      </c>
      <c r="B54" s="20" t="inlineStr">
        <is>
          <t>No.</t>
        </is>
      </c>
      <c r="C54" s="14" t="inlineStr"/>
      <c r="D54" s="14" t="inlineStr"/>
    </row>
    <row r="55">
      <c r="A55" s="12" t="inlineStr">
        <is>
          <t>BRD items to deliver</t>
        </is>
      </c>
      <c r="B55" s="19" t="inlineStr">
        <is>
          <t>Item</t>
        </is>
      </c>
      <c r="C55" s="12" t="inlineStr"/>
      <c r="D55" s="12" t="inlineStr"/>
    </row>
    <row r="56">
      <c r="A56" s="14" t="inlineStr">
        <is>
          <t>BRD items to deliver</t>
        </is>
      </c>
      <c r="B56" s="20" t="inlineStr">
        <is>
          <t>BRD reference</t>
        </is>
      </c>
      <c r="C56" s="14" t="inlineStr"/>
      <c r="D56" s="14" t="inlineStr"/>
    </row>
    <row r="57">
      <c r="A57" s="12" t="inlineStr">
        <is>
          <t>BRD items to deliver</t>
        </is>
      </c>
      <c r="B57" s="19" t="inlineStr">
        <is>
          <t>FRS reference</t>
        </is>
      </c>
      <c r="C57" s="12" t="inlineStr"/>
      <c r="D57" s="12" t="inlineStr"/>
    </row>
    <row r="58">
      <c r="A58" s="14" t="inlineStr">
        <is>
          <t>BRD items to deliver</t>
        </is>
      </c>
      <c r="B58" s="20" t="inlineStr">
        <is>
          <t>What is delivered</t>
        </is>
      </c>
      <c r="C58" s="14" t="inlineStr"/>
      <c r="D58" s="14" t="inlineStr"/>
    </row>
    <row r="59">
      <c r="A59" s="12" t="inlineStr">
        <is>
          <t>BRD items to deliver</t>
        </is>
      </c>
      <c r="B59" s="19" t="inlineStr">
        <is>
          <t>Analysis and design</t>
        </is>
      </c>
      <c r="C59" s="12" t="inlineStr">
        <is>
          <t>Man-days</t>
        </is>
      </c>
      <c r="D59" s="12" t="inlineStr"/>
    </row>
    <row r="60">
      <c r="A60" s="14" t="inlineStr">
        <is>
          <t>BRD items to deliver</t>
        </is>
      </c>
      <c r="B60" s="20" t="inlineStr">
        <is>
          <t>Backend and frontend</t>
        </is>
      </c>
      <c r="C60" s="14" t="inlineStr">
        <is>
          <t>Man-days</t>
        </is>
      </c>
      <c r="D60" s="14" t="inlineStr"/>
    </row>
    <row r="61">
      <c r="A61" s="12" t="inlineStr">
        <is>
          <t>BRD items to deliver</t>
        </is>
      </c>
      <c r="B61" s="19" t="inlineStr">
        <is>
          <t>Testing and UAT support</t>
        </is>
      </c>
      <c r="C61" s="12" t="inlineStr">
        <is>
          <t>Man-days</t>
        </is>
      </c>
      <c r="D61" s="12" t="inlineStr"/>
    </row>
    <row r="62">
      <c r="A62" s="14" t="inlineStr">
        <is>
          <t>BRD items to deliver</t>
        </is>
      </c>
      <c r="B62" s="20" t="inlineStr">
        <is>
          <t>Total man-days</t>
        </is>
      </c>
      <c r="C62" s="14" t="inlineStr">
        <is>
          <t>Formula</t>
        </is>
      </c>
      <c r="D62" s="14" t="inlineStr"/>
    </row>
    <row r="63">
      <c r="A63" s="12" t="inlineStr">
        <is>
          <t>BRD items to deliver</t>
        </is>
      </c>
      <c r="B63" s="19" t="inlineStr">
        <is>
          <t>Cost</t>
        </is>
      </c>
      <c r="C63" s="12" t="inlineStr">
        <is>
          <t>In scope</t>
        </is>
      </c>
      <c r="D63" s="12" t="inlineStr"/>
    </row>
    <row r="64">
      <c r="A64" s="14" t="inlineStr">
        <is>
          <t>BRD items to deliver</t>
        </is>
      </c>
      <c r="B64" s="20" t="inlineStr">
        <is>
          <t>Feature List ID / OOTB status</t>
        </is>
      </c>
      <c r="C64" s="14" t="inlineStr">
        <is>
          <t>Row of the Feature List vs OOTB workbook (column OOTB platform)</t>
        </is>
      </c>
      <c r="D64" s="14" t="inlineStr"/>
    </row>
    <row r="65">
      <c r="A65" s="12" t="inlineStr">
        <is>
          <t>BRD items to deliver</t>
        </is>
      </c>
      <c r="B65" s="19" t="inlineStr">
        <is>
          <t>OOTB evidence</t>
        </is>
      </c>
      <c r="C65" s="12" t="inlineStr">
        <is>
          <t>brokerverse-platform</t>
        </is>
      </c>
      <c r="D65" s="12" t="inlineStr"/>
    </row>
    <row r="66">
      <c r="A66" s="14" t="inlineStr">
        <is>
          <t>BRD items to deliver</t>
        </is>
      </c>
      <c r="B66" s="20" t="inlineStr">
        <is>
          <t>Prepared for BIBS?</t>
        </is>
      </c>
      <c r="C66" s="14" t="inlineStr">
        <is>
          <t>Already available for BDOI in the BIBS system</t>
        </is>
      </c>
      <c r="D66" s="14" t="inlineStr"/>
    </row>
    <row r="67">
      <c r="A67" s="12" t="inlineStr">
        <is>
          <t>Integration &amp; Data Migration</t>
        </is>
      </c>
      <c r="B67" s="19" t="inlineStr">
        <is>
          <t>No.</t>
        </is>
      </c>
      <c r="C67" s="12" t="inlineStr">
        <is>
          <t>IS-UA-nn / DM-UA-nn</t>
        </is>
      </c>
      <c r="D67" s="12" t="inlineStr"/>
    </row>
    <row r="68">
      <c r="A68" s="14" t="inlineStr">
        <is>
          <t>Integration &amp; Data Migration</t>
        </is>
      </c>
      <c r="B68" s="20" t="inlineStr">
        <is>
          <t>Point</t>
        </is>
      </c>
      <c r="C68" s="14" t="inlineStr"/>
      <c r="D68" s="14" t="inlineStr"/>
    </row>
    <row r="69">
      <c r="A69" s="12" t="inlineStr">
        <is>
          <t>Integration &amp; Data Migration</t>
        </is>
      </c>
      <c r="B69" s="19" t="inlineStr">
        <is>
          <t>FRS reference</t>
        </is>
      </c>
      <c r="C69" s="12" t="inlineStr"/>
      <c r="D69" s="12" t="inlineStr"/>
    </row>
    <row r="70">
      <c r="A70" s="14" t="inlineStr">
        <is>
          <t>Integration &amp; Data Migration</t>
        </is>
      </c>
      <c r="B70" s="20" t="inlineStr">
        <is>
          <t>Scope</t>
        </is>
      </c>
      <c r="C70" s="14" t="inlineStr"/>
      <c r="D70" s="14" t="inlineStr"/>
    </row>
    <row r="71">
      <c r="A71" s="12" t="inlineStr">
        <is>
          <t>Integration &amp; Data Migration</t>
        </is>
      </c>
      <c r="B71" s="19" t="inlineStr">
        <is>
          <t>Workstream</t>
        </is>
      </c>
      <c r="C71" s="12" t="inlineStr"/>
      <c r="D71" s="12" t="inlineStr"/>
    </row>
    <row r="72">
      <c r="A72" s="14" t="inlineStr">
        <is>
          <t>Integration &amp; Data Migration</t>
        </is>
      </c>
      <c r="B72" s="20" t="inlineStr">
        <is>
          <t>Feature List ID / OOTB status</t>
        </is>
      </c>
      <c r="C72" s="14" t="inlineStr"/>
      <c r="D72" s="14" t="inlineStr"/>
    </row>
    <row r="73">
      <c r="A73" s="12" t="inlineStr">
        <is>
          <t>Integration &amp; Data Migration</t>
        </is>
      </c>
      <c r="B73" s="19" t="inlineStr">
        <is>
          <t>Note</t>
        </is>
      </c>
      <c r="C73" s="12" t="inlineStr"/>
      <c r="D73" s="12" t="inlineStr"/>
    </row>
    <row r="74">
      <c r="A74" s="14" t="inlineStr">
        <is>
          <t>Integration &amp; Data Migration</t>
        </is>
      </c>
      <c r="B74" s="20" t="inlineStr">
        <is>
          <t>Cost</t>
        </is>
      </c>
      <c r="C74" s="14" t="inlineStr">
        <is>
          <t>No CR cost here</t>
        </is>
      </c>
      <c r="D74" s="14" t="inlineStr"/>
    </row>
    <row r="75">
      <c r="A75" s="12" t="inlineStr">
        <is>
          <t>Best practice (blue)</t>
        </is>
      </c>
      <c r="B75" s="19" t="inlineStr">
        <is>
          <t>ID</t>
        </is>
      </c>
      <c r="C75" s="12" t="inlineStr">
        <is>
          <t>BP-UA-nn</t>
        </is>
      </c>
      <c r="D75" s="12" t="inlineStr"/>
    </row>
    <row r="76">
      <c r="A76" s="14" t="inlineStr">
        <is>
          <t>Best practice (blue)</t>
        </is>
      </c>
      <c r="B76" s="20" t="inlineStr">
        <is>
          <t>Practice</t>
        </is>
      </c>
      <c r="C76" s="14" t="inlineStr"/>
      <c r="D76" s="14" t="inlineStr"/>
    </row>
    <row r="77">
      <c r="A77" s="12" t="inlineStr">
        <is>
          <t>Best practice (blue)</t>
        </is>
      </c>
      <c r="B77" s="19" t="inlineStr">
        <is>
          <t>Why it matters for a broker</t>
        </is>
      </c>
      <c r="C77" s="12" t="inlineStr">
        <is>
          <t>Philippine market (IC, Data Privacy Act, AMLA) where relevant</t>
        </is>
      </c>
      <c r="D77" s="12" t="inlineStr"/>
    </row>
    <row r="78">
      <c r="A78" s="14" t="inlineStr">
        <is>
          <t>Best practice (blue)</t>
        </is>
      </c>
      <c r="B78" s="20" t="inlineStr">
        <is>
          <t>Suggested priority</t>
        </is>
      </c>
      <c r="C78" s="14" t="inlineStr"/>
      <c r="D78" s="14" t="inlineStr">
        <is>
          <t>High, Medium, Low</t>
        </is>
      </c>
    </row>
    <row r="79">
      <c r="A79" s="12" t="inlineStr">
        <is>
          <t>Best practice (blue)</t>
        </is>
      </c>
      <c r="B79" s="19" t="inlineStr">
        <is>
          <t>Indicative man-days</t>
        </is>
      </c>
      <c r="C79" s="12" t="inlineStr">
        <is>
          <t>Not part of the CR total</t>
        </is>
      </c>
      <c r="D79" s="12" t="inlineStr"/>
    </row>
    <row r="80">
      <c r="A80" s="14" t="inlineStr">
        <is>
          <t>Assumptions</t>
        </is>
      </c>
      <c r="B80" s="20" t="inlineStr">
        <is>
          <t>Assumption</t>
        </is>
      </c>
      <c r="C80" s="14" t="inlineStr"/>
      <c r="D80" s="14" t="inlineStr"/>
    </row>
    <row r="81">
      <c r="A81" s="12" t="inlineStr">
        <is>
          <t>Assumptions</t>
        </is>
      </c>
      <c r="B81" s="19" t="inlineStr">
        <is>
          <t>Value</t>
        </is>
      </c>
      <c r="C81" s="12" t="inlineStr">
        <is>
          <t>Enter the day rate here</t>
        </is>
      </c>
      <c r="D81" s="12" t="inlineStr"/>
    </row>
    <row r="82">
      <c r="A82" s="14" t="inlineStr">
        <is>
          <t>Assumptions</t>
        </is>
      </c>
      <c r="B82" s="20" t="inlineStr">
        <is>
          <t>Note</t>
        </is>
      </c>
      <c r="C82" s="14" t="inlineStr"/>
      <c r="D82" s="14" t="inlineStr"/>
    </row>
  </sheetData>
  <autoFilter ref="A4:D82"/>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(4)</t>
        </is>
      </c>
      <c r="B11" s="24" t="n">
        <v>0</v>
      </c>
      <c r="C11" s="24" t="n">
        <v>0</v>
      </c>
      <c r="D11" s="24" t="n">
        <v>0</v>
      </c>
      <c r="E11" s="25" t="n">
        <v>0</v>
      </c>
      <c r="F11" s="12" t="inlineStr">
        <is>
          <t>No change request, no cost (sheet Beyond the BRD - OOTB)</t>
        </is>
      </c>
    </row>
    <row r="12">
      <c r="A12" s="12" t="inlineStr">
        <is>
          <t>BRD requirements offered by iNXT BrokerVerse OOTB (1, in scope)</t>
        </is>
      </c>
      <c r="B12" s="24" t="n">
        <v>0</v>
      </c>
      <c r="C12" s="24" t="n">
        <v>0</v>
      </c>
      <c r="D12" s="24" t="n">
        <v>0</v>
      </c>
      <c r="E12" s="25" t="n">
        <v>0</v>
      </c>
      <c r="F12" s="12" t="inlineStr">
        <is>
          <t>BRD-covered, no effort (sheet BRD covered - OOTB)</t>
        </is>
      </c>
    </row>
    <row r="13">
      <c r="A13" s="12" t="inlineStr">
        <is>
          <t>BRD requirements to deliver (20, in scope)</t>
        </is>
      </c>
      <c r="B13" s="24">
        <f>SUM('BRD items to deliver'!I5:I24)</f>
        <v/>
      </c>
      <c r="C13" s="24" t="inlineStr"/>
      <c r="D13" s="24" t="inlineStr"/>
      <c r="E13" s="25" t="inlineStr">
        <is>
          <t>Not charged</t>
        </is>
      </c>
      <c r="F13" s="12" t="inlineStr">
        <is>
          <t>For planning only (FRS Annex AA.4)</t>
        </is>
      </c>
    </row>
    <row r="14">
      <c r="A14" s="12" t="inlineStr">
        <is>
          <t>Integration and Data Migration scope (6)</t>
        </is>
      </c>
      <c r="B14" s="24" t="inlineStr"/>
      <c r="C14" s="24" t="inlineStr"/>
      <c r="D14" s="24" t="inlineStr"/>
      <c r="E14" s="25" t="inlineStr">
        <is>
          <t>Not here</t>
        </is>
      </c>
      <c r="F14" s="12" t="inlineStr">
        <is>
          <t>Covered by the Integration and Data Migration workstreams (FRS Annex AA.5)</t>
        </is>
      </c>
    </row>
    <row r="15">
      <c r="A15" s="12" t="inlineStr">
        <is>
          <t>Best-practice recommendations (6, blue)</t>
        </is>
      </c>
      <c r="B15" s="24">
        <f>SUM('Best practice (blue)'!E5:E10)</f>
        <v/>
      </c>
      <c r="C15" s="24" t="inlineStr"/>
      <c r="D15" s="24" t="inlineStr"/>
      <c r="E15" s="25" t="inlineStr">
        <is>
          <t>Indicative</t>
        </is>
      </c>
      <c r="F15" s="12" t="inlineStr">
        <is>
          <t>Excluded from the CR total (FRS Annex AA.6)</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 width="14" customWidth="1" min="24" max="24"/>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c r="X4" s="23" t="inlineStr">
        <is>
          <t>Prepared for BIBS?</t>
        </is>
      </c>
    </row>
    <row r="5">
      <c r="A5" s="29" t="inlineStr">
        <is>
          <t>CR-UA-003</t>
        </is>
      </c>
      <c r="B5" s="29"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0" t="n">
        <v>1</v>
      </c>
      <c r="J5" s="30" t="n">
        <v>2</v>
      </c>
      <c r="K5" s="30" t="n">
        <v>1</v>
      </c>
      <c r="L5" s="30" t="n">
        <v>1.5</v>
      </c>
      <c r="M5" s="30" t="n">
        <v>0.5</v>
      </c>
      <c r="N5" s="30">
        <f>SUM(I5:M5)</f>
        <v/>
      </c>
      <c r="O5" s="30">
        <f>ROUND(N5*(1-Accuracy),1)</f>
        <v/>
      </c>
      <c r="P5" s="30">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c r="X5" s="12" t="inlineStr">
        <is>
          <t>Yes</t>
        </is>
      </c>
    </row>
    <row r="6">
      <c r="A6" s="29" t="inlineStr">
        <is>
          <t>CR-UA-007</t>
        </is>
      </c>
      <c r="B6" s="29"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0" t="n">
        <v>3.5</v>
      </c>
      <c r="J6" s="30" t="n">
        <v>12</v>
      </c>
      <c r="K6" s="30" t="n">
        <v>4</v>
      </c>
      <c r="L6" s="30" t="n">
        <v>6</v>
      </c>
      <c r="M6" s="30" t="n">
        <v>2</v>
      </c>
      <c r="N6" s="30">
        <f>SUM(I6:M6)</f>
        <v/>
      </c>
      <c r="O6" s="30">
        <f>ROUND(N6*(1-Accuracy),1)</f>
        <v/>
      </c>
      <c r="P6" s="30">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c r="X6" s="12" t="inlineStr">
        <is>
          <t>Partly (data scope by company and branch; no supervisor link)</t>
        </is>
      </c>
    </row>
    <row r="7">
      <c r="A7" s="29" t="inlineStr">
        <is>
          <t>CR-UA-011</t>
        </is>
      </c>
      <c r="B7" s="29"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(BRD-UA-21);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0" t="n">
        <v>0.5</v>
      </c>
      <c r="J7" s="30" t="n">
        <v>2</v>
      </c>
      <c r="K7" s="30" t="n">
        <v>0.5</v>
      </c>
      <c r="L7" s="30" t="n">
        <v>1.5</v>
      </c>
      <c r="M7" s="30" t="n">
        <v>0.75</v>
      </c>
      <c r="N7" s="30">
        <f>SUM(I7:M7)</f>
        <v/>
      </c>
      <c r="O7" s="30">
        <f>ROUND(N7*(1-Accuracy),1)</f>
        <v/>
      </c>
      <c r="P7" s="30">
        <f>ROUND(N7*(1+Accuracy),1)</f>
        <v/>
      </c>
      <c r="Q7" s="12" t="inlineStr">
        <is>
          <t>Medium</t>
        </is>
      </c>
      <c r="R7" s="12" t="inlineStr">
        <is>
          <t>Medium</t>
        </is>
      </c>
      <c r="S7" s="12" t="inlineStr">
        <is>
          <t>BRD items BRD-UA-08 (access requests) and BRD-UA-21 (monitoring of pending requests);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c r="X7" s="12" t="inlineStr">
        <is>
          <t>No</t>
        </is>
      </c>
    </row>
    <row r="8">
      <c r="A8" s="29" t="inlineStr">
        <is>
          <t>CR-UA-014</t>
        </is>
      </c>
      <c r="B8" s="29"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0" t="n">
        <v>1</v>
      </c>
      <c r="J8" s="30" t="n">
        <v>2.5</v>
      </c>
      <c r="K8" s="30" t="n">
        <v>2</v>
      </c>
      <c r="L8" s="30" t="n">
        <v>1.5</v>
      </c>
      <c r="M8" s="30" t="n">
        <v>0.75</v>
      </c>
      <c r="N8" s="30">
        <f>SUM(I8:M8)</f>
        <v/>
      </c>
      <c r="O8" s="30">
        <f>ROUND(N8*(1-Accuracy),1)</f>
        <v/>
      </c>
      <c r="P8" s="30">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c r="X8" s="12" t="inlineStr">
        <is>
          <t>No</t>
        </is>
      </c>
    </row>
    <row r="9">
      <c r="A9" s="29" t="inlineStr">
        <is>
          <t>CR-UA-016</t>
        </is>
      </c>
      <c r="B9" s="29"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as delivered; every edit audited and alerted to Information Security; the marker on the screens.</t>
        </is>
      </c>
      <c r="I9" s="30" t="n">
        <v>1</v>
      </c>
      <c r="J9" s="30" t="n">
        <v>2.5</v>
      </c>
      <c r="K9" s="30" t="n">
        <v>1</v>
      </c>
      <c r="L9" s="30" t="n">
        <v>1.5</v>
      </c>
      <c r="M9" s="30" t="n">
        <v>0.5</v>
      </c>
      <c r="N9" s="30">
        <f>SUM(I9:M9)</f>
        <v/>
      </c>
      <c r="O9" s="30">
        <f>ROUND(N9*(1-Accuracy),1)</f>
        <v/>
      </c>
      <c r="P9" s="30">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c r="X9" s="12" t="inlineStr">
        <is>
          <t>Yes</t>
        </is>
      </c>
    </row>
    <row r="10">
      <c r="A10" s="26" t="inlineStr">
        <is>
          <t>Total</t>
        </is>
      </c>
      <c r="B10" s="26" t="inlineStr">
        <is>
          <t>5 change requests</t>
        </is>
      </c>
      <c r="C10" s="12" t="n"/>
      <c r="D10" s="12" t="n"/>
      <c r="E10" s="12" t="n"/>
      <c r="F10" s="12" t="n"/>
      <c r="G10" s="12" t="n"/>
      <c r="H10" s="12" t="n"/>
      <c r="I10" s="31">
        <f>SUM(I5:I9)</f>
        <v/>
      </c>
      <c r="J10" s="31">
        <f>SUM(J5:J9)</f>
        <v/>
      </c>
      <c r="K10" s="31">
        <f>SUM(K5:K9)</f>
        <v/>
      </c>
      <c r="L10" s="31">
        <f>SUM(L5:L9)</f>
        <v/>
      </c>
      <c r="M10" s="31">
        <f>SUM(M5:M9)</f>
        <v/>
      </c>
      <c r="N10" s="31">
        <f>SUM(N5:N9)</f>
        <v/>
      </c>
      <c r="O10" s="31">
        <f>SUM(O5:O9)</f>
        <v/>
      </c>
      <c r="P10" s="31">
        <f>SUM(P5:P9)</f>
        <v/>
      </c>
      <c r="Q10" s="12" t="n"/>
      <c r="R10" s="12" t="n"/>
      <c r="S10" s="12" t="n"/>
      <c r="T10" s="12" t="n"/>
      <c r="U10" s="28">
        <f>IF(DayRate="","",SUM(U5:U9))</f>
        <v/>
      </c>
      <c r="V10" s="12" t="n"/>
      <c r="W10" s="12" t="n"/>
      <c r="X10" s="12" t="n"/>
    </row>
  </sheetData>
  <autoFilter ref="A4:X10"/>
  <mergeCells count="1">
    <mergeCell ref="A2:X2"/>
  </mergeCells>
  <conditionalFormatting sqref="A5:X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2" t="inlineStr">
        <is>
          <t>OB-UA-02</t>
        </is>
      </c>
      <c r="B5" s="32" t="inlineStr">
        <is>
          <t>Dormant-user deactivation</t>
        </is>
      </c>
      <c r="C5" s="12" t="inlineStr">
        <is>
          <t>FRUM.003.04; Annex V</t>
        </is>
      </c>
      <c r="D5" s="12" t="inlineStr">
        <is>
          <t>Not in BRD</t>
        </is>
      </c>
      <c r="E5" s="12" t="inlineStr">
        <is>
          <t>Users without a sign-in for 90 days deactivated by the daily run (setting Dormant days).</t>
        </is>
      </c>
      <c r="F5" s="12" t="inlineStr">
        <is>
          <t>Offered by OOTB</t>
        </is>
      </c>
      <c r="G5" s="12" t="n">
        <v>0</v>
      </c>
      <c r="H5" s="12" t="inlineStr">
        <is>
          <t>Was CR-UA-002; the notice 7 days before is a detail BDOI confirms</t>
        </is>
      </c>
      <c r="I5" s="12" t="inlineStr">
        <is>
          <t>UAM-028 Dormant account deactivation: Available</t>
        </is>
      </c>
      <c r="J5" s="12" t="inlineStr">
        <is>
          <t>Daily run Dormant accounts (setting Dormant days, 90)</t>
        </is>
      </c>
    </row>
    <row r="6">
      <c r="A6" s="32" t="inlineStr">
        <is>
          <t>OB-UA-03</t>
        </is>
      </c>
      <c r="B6" s="32" t="inlineStr">
        <is>
          <t>Second factor of the local accounts</t>
        </is>
      </c>
      <c r="C6" s="12" t="inlineStr">
        <is>
          <t>FRUM-004; Annex M.4</t>
        </is>
      </c>
      <c r="D6" s="12" t="inlineStr">
        <is>
          <t>Not in BRD</t>
        </is>
      </c>
      <c r="E6" s="12" t="inlineStr">
        <is>
          <t>Authenticator code at sign-in, compulsory per role, and reset of a lost authenticator by an administrator.</t>
        </is>
      </c>
      <c r="F6" s="12" t="inlineStr">
        <is>
          <t>Offered by OOTB</t>
        </is>
      </c>
      <c r="G6" s="12" t="n">
        <v>0</v>
      </c>
      <c r="H6" s="12" t="inlineStr">
        <is>
          <t>-</t>
        </is>
      </c>
      <c r="I6" s="12" t="inlineStr">
        <is>
          <t>UAM-007 Two-factor authentication: Available</t>
        </is>
      </c>
      <c r="J6" s="12" t="inlineStr">
        <is>
          <t>Sign-in with authenticator code; two-factor per role on the user screen</t>
        </is>
      </c>
    </row>
    <row r="7">
      <c r="A7" s="32" t="inlineStr">
        <is>
          <t>OB-UA-04</t>
        </is>
      </c>
      <c r="B7" s="32" t="inlineStr">
        <is>
          <t>Business settings without a release</t>
        </is>
      </c>
      <c r="C7" s="12" t="inlineStr">
        <is>
          <t>Annex M.10</t>
        </is>
      </c>
      <c r="D7" s="12" t="inlineStr">
        <is>
          <t>Not in BRD</t>
        </is>
      </c>
      <c r="E7" s="12" t="inlineStr">
        <is>
          <t>Parameters applied at once and audited, so a point where BDOI's FRS and the BRD differ is chosen by a setting without a release.</t>
        </is>
      </c>
      <c r="F7" s="12" t="inlineStr">
        <is>
          <t>Offered by OOTB</t>
        </is>
      </c>
      <c r="G7" s="12" t="n">
        <v>0</v>
      </c>
      <c r="H7" s="12" t="inlineStr">
        <is>
          <t>The options themselves follow the colour of their own point</t>
        </is>
      </c>
      <c r="I7" s="12" t="inlineStr">
        <is>
          <t>ADM-011 Business parameters without a release: Available</t>
        </is>
      </c>
      <c r="J7" s="12" t="inlineStr">
        <is>
          <t>Settings screen: parameters applied at once and audited</t>
        </is>
      </c>
    </row>
    <row r="8">
      <c r="A8" s="32" t="inlineStr">
        <is>
          <t>OB-UA-05</t>
        </is>
      </c>
      <c r="B8" s="32" t="inlineStr">
        <is>
          <t>Periodic access review and scheduled reports</t>
        </is>
      </c>
      <c r="C8" s="12" t="inlineStr">
        <is>
          <t>Annex V, Annex Q.5 (UA-Q51)</t>
        </is>
      </c>
      <c r="D8" s="12" t="inlineStr">
        <is>
          <t>Not in BRD</t>
        </is>
      </c>
      <c r="E8" s="12" t="inlineStr">
        <is>
          <t>Recertification campaigns over every active user (revoke deactivates the account) and report schedules with recipients, so the monthly access review reaches Information Security.</t>
        </is>
      </c>
      <c r="F8" s="12" t="inlineStr">
        <is>
          <t>Offered by OOTB</t>
        </is>
      </c>
      <c r="G8" s="12" t="n">
        <v>0</v>
      </c>
      <c r="H8" s="12" t="inlineStr">
        <is>
          <t>Was CR-UA-012</t>
        </is>
      </c>
      <c r="I8" s="12" t="inlineStr">
        <is>
          <t>UAM-030 Periodic access entitlement review: Available; RPT-007 User-scheduled reports: Available</t>
        </is>
      </c>
      <c r="J8" s="12" t="inlineStr">
        <is>
          <t>Access Control &gt; Access Reviews; Reports &gt; Schedules (recipients, format, timing)</t>
        </is>
      </c>
    </row>
  </sheetData>
  <autoFilter ref="A4:J8"/>
  <mergeCells count="1">
    <mergeCell ref="A2:J2"/>
  </mergeCells>
  <conditionalFormatting sqref="A5:J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60" customWidth="1" min="4" max="4"/>
    <col width="50" customWidth="1" min="5" max="5"/>
    <col width="18" customWidth="1" min="6" max="6"/>
    <col width="12" customWidth="1" min="7" max="7"/>
    <col width="34" customWidth="1" min="8" max="8"/>
    <col width="44" customWidth="1" min="9" max="9"/>
  </cols>
  <sheetData>
    <row r="1" ht="24" customHeight="1">
      <c r="A1" s="18" t="inlineStr">
        <is>
          <t>BRD covered - OOTB</t>
        </is>
      </c>
    </row>
    <row r="2">
      <c r="A2" s="21" t="inlineStr">
        <is>
          <t>BRD requirements (black in the FRS, in scope) that the iNXT BrokerVerse OOTB platform offers: no change request, no effort (FRS Annex AA.4)</t>
        </is>
      </c>
    </row>
    <row r="3" ht="6" customHeight="1">
      <c r="A3" s="22" t="n"/>
      <c r="B3" s="22" t="n"/>
      <c r="C3" s="22" t="n"/>
      <c r="D3" s="22" t="n"/>
      <c r="E3" s="22" t="n"/>
      <c r="F3" s="22" t="n"/>
      <c r="G3" s="22" t="n"/>
      <c r="H3" s="22" t="n"/>
      <c r="I3" s="22" t="n"/>
    </row>
    <row r="4" ht="30" customHeight="1">
      <c r="A4" s="23" t="inlineStr">
        <is>
          <t>No.</t>
        </is>
      </c>
      <c r="B4" s="23" t="inlineStr">
        <is>
          <t>Point</t>
        </is>
      </c>
      <c r="C4" s="23" t="inlineStr">
        <is>
          <t>FRS reference</t>
        </is>
      </c>
      <c r="D4" s="23" t="inlineStr">
        <is>
          <t>BRD line</t>
        </is>
      </c>
      <c r="E4" s="23" t="inlineStr">
        <is>
          <t>What BDOI gets</t>
        </is>
      </c>
      <c r="F4" s="23" t="inlineStr">
        <is>
          <t>OOTB status</t>
        </is>
      </c>
      <c r="G4" s="23" t="inlineStr">
        <is>
          <t>Effort (man-days)</t>
        </is>
      </c>
      <c r="H4" s="23" t="inlineStr">
        <is>
          <t>Feature List ID / OOTB status</t>
        </is>
      </c>
      <c r="I4" s="23" t="inlineStr">
        <is>
          <t>OOTB evidence</t>
        </is>
      </c>
    </row>
    <row r="5">
      <c r="A5" s="12" t="inlineStr">
        <is>
          <t>OB-UA-01</t>
        </is>
      </c>
      <c r="B5" s="12" t="inlineStr">
        <is>
          <t>Separation-of-duties rules</t>
        </is>
      </c>
      <c r="C5" s="12" t="inlineStr">
        <is>
          <t>FRUM.012.01; Annex M.6</t>
        </is>
      </c>
      <c r="D5" s="12" t="inlineStr">
        <is>
          <t>UAM BRD Other BU NFR 2-3 "Role-Based Access Control - Define roles and assign permission"; "Permission Management"; NFR System Operation 2.b data validation rules (user and role data); Operations addendum "Clear segregation of duties across Marketing, Cashiering, and Disbursement"</t>
        </is>
      </c>
      <c r="E5" s="12" t="inlineStr">
        <is>
          <t>Pairs of group profiles one user may not hold (block or warn), kept by the Business Administrator; checked on every assignment. Was CR-UA-001.</t>
        </is>
      </c>
      <c r="F5" s="12" t="inlineStr">
        <is>
          <t>Offered by OOTB</t>
        </is>
      </c>
      <c r="G5" s="12" t="n">
        <v>0</v>
      </c>
      <c r="H5" s="12" t="inlineStr">
        <is>
          <t>UAM-018 Segregation of duties rules: Available</t>
        </is>
      </c>
      <c r="I5" s="12" t="inlineStr">
        <is>
          <t>Access Control &gt; Separation-of-duties rules (pairs of roles, block or warn, checked at assignment)</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 width="14" customWidth="1" min="13" max="13"/>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c r="M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c r="M4" s="23" t="inlineStr">
        <is>
          <t>Prepared for BIBS?</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0" t="n">
        <v>0.5</v>
      </c>
      <c r="G5" s="30" t="n">
        <v>3</v>
      </c>
      <c r="H5" s="30" t="n">
        <v>1.5</v>
      </c>
      <c r="I5" s="30">
        <f>SUM(F5:H5)</f>
        <v/>
      </c>
      <c r="J5" s="12" t="inlineStr">
        <is>
          <t>Not charged</t>
        </is>
      </c>
      <c r="K5" s="12" t="inlineStr">
        <is>
          <t>UAM-005: Not available</t>
        </is>
      </c>
      <c r="L5" s="12" t="inlineStr">
        <is>
          <t>Not found (several sessions per user)</t>
        </is>
      </c>
      <c r="M5" s="12" t="inlineStr">
        <is>
          <t>No</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0" t="n">
        <v>0.25</v>
      </c>
      <c r="G6" s="30" t="n">
        <v>0.75</v>
      </c>
      <c r="H6" s="30" t="n">
        <v>0.5</v>
      </c>
      <c r="I6" s="30">
        <f>SUM(F6:H6)</f>
        <v/>
      </c>
      <c r="J6" s="12" t="inlineStr">
        <is>
          <t>Not charged</t>
        </is>
      </c>
      <c r="K6" s="12" t="inlineStr">
        <is>
          <t>UAM-008: Available (one minimum length only)</t>
        </is>
      </c>
      <c r="L6" s="12" t="inlineStr">
        <is>
          <t>Password policy: one minimum length</t>
        </is>
      </c>
      <c r="M6" s="12" t="inlineStr">
        <is>
          <t>No</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0" t="n">
        <v>0.25</v>
      </c>
      <c r="G7" s="30" t="n">
        <v>1.5</v>
      </c>
      <c r="H7" s="30" t="n">
        <v>0.75</v>
      </c>
      <c r="I7" s="30">
        <f>SUM(F7:H7)</f>
        <v/>
      </c>
      <c r="J7" s="12" t="inlineStr">
        <is>
          <t>Not charged</t>
        </is>
      </c>
      <c r="K7" s="12" t="inlineStr">
        <is>
          <t>UAM-003: Partial</t>
        </is>
      </c>
      <c r="L7" s="12" t="inlineStr">
        <is>
          <t>Partial: idle sign-out with one-minute warning</t>
        </is>
      </c>
      <c r="M7" s="12" t="inlineStr">
        <is>
          <t>Yes</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0" t="n">
        <v>0.5</v>
      </c>
      <c r="G8" s="30" t="n">
        <v>3.5</v>
      </c>
      <c r="H8" s="30" t="n">
        <v>1.5</v>
      </c>
      <c r="I8" s="30">
        <f>SUM(F8:H8)</f>
        <v/>
      </c>
      <c r="J8" s="12" t="inlineStr">
        <is>
          <t>Not charged</t>
        </is>
      </c>
      <c r="K8" s="12" t="inlineStr">
        <is>
          <t>UAM-012: Partial</t>
        </is>
      </c>
      <c r="L8" s="12" t="inlineStr">
        <is>
          <t>Partial: users table without Windows ID, BU group, user level</t>
        </is>
      </c>
      <c r="M8" s="12" t="inlineStr">
        <is>
          <t>Yes</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0" t="n">
        <v>1</v>
      </c>
      <c r="G9" s="30" t="n">
        <v>6</v>
      </c>
      <c r="H9" s="30" t="n">
        <v>2.5</v>
      </c>
      <c r="I9" s="30">
        <f>SUM(F9:H9)</f>
        <v/>
      </c>
      <c r="J9" s="12" t="inlineStr">
        <is>
          <t>Not charged</t>
        </is>
      </c>
      <c r="K9" s="12" t="inlineStr">
        <is>
          <t>UAM-015: Partial</t>
        </is>
      </c>
      <c r="L9" s="12" t="inlineStr">
        <is>
          <t>Partial: read / write / approve per module</t>
        </is>
      </c>
      <c r="M9" s="12" t="inlineStr">
        <is>
          <t>Yes</t>
        </is>
      </c>
    </row>
    <row r="10">
      <c r="A10" s="12" t="inlineStr">
        <is>
          <t>BRD-UA-08</t>
        </is>
      </c>
      <c r="B10" s="12" t="inlineStr">
        <is>
          <t>Access request lifecycle with approval and automatic provisioning</t>
        </is>
      </c>
      <c r="C10" s="12" t="inlineStr">
        <is>
          <t>UAM BRD 1.002 to 1.008, 2.002 (approver chosen by the requester; approve, reject or return)</t>
        </is>
      </c>
      <c r="D10" s="12" t="inlineStr">
        <is>
          <t>FRUM.002, FRUM.003, FRUM.009, FRUM.010</t>
        </is>
      </c>
      <c r="E10" s="12" t="inlineStr">
        <is>
          <t>Requests to enrol, modify, deactivate and reactivate with draft, cancel and submit; the approver chosen by the requester; approve, reject or return with remarks; the access applied on approval; request history and lists.</t>
        </is>
      </c>
      <c r="F10" s="30" t="n">
        <v>4</v>
      </c>
      <c r="G10" s="30" t="n">
        <v>24</v>
      </c>
      <c r="H10" s="30" t="n">
        <v>11</v>
      </c>
      <c r="I10" s="30">
        <f>SUM(F10:H10)</f>
        <v/>
      </c>
      <c r="J10" s="12" t="inlineStr">
        <is>
          <t>Not charged</t>
        </is>
      </c>
      <c r="K10" s="12" t="inlineStr">
        <is>
          <t>UAM-019, UAM-020, UAM-021: Not available</t>
        </is>
      </c>
      <c r="L10" s="12" t="inlineStr">
        <is>
          <t>Not found (no access requests)</t>
        </is>
      </c>
      <c r="M10" s="12" t="inlineStr">
        <is>
          <t>Yes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0" t="n">
        <v>2</v>
      </c>
      <c r="G11" s="30" t="n">
        <v>10</v>
      </c>
      <c r="H11" s="30" t="n">
        <v>5</v>
      </c>
      <c r="I11" s="30">
        <f>SUM(F11:H11)</f>
        <v/>
      </c>
      <c r="J11" s="12" t="inlineStr">
        <is>
          <t>Not charged</t>
        </is>
      </c>
      <c r="K11" s="12" t="inlineStr">
        <is>
          <t>UAM-022: Not available</t>
        </is>
      </c>
      <c r="L11" s="12" t="inlineStr">
        <is>
          <t>Not found (roles edited directly)</t>
        </is>
      </c>
      <c r="M11" s="12" t="inlineStr">
        <is>
          <t>Yes</t>
        </is>
      </c>
    </row>
    <row r="12">
      <c r="A12" s="12" t="inlineStr">
        <is>
          <t>BRD-UA-10</t>
        </is>
      </c>
      <c r="B12" s="12" t="inlineStr">
        <is>
          <t>Bulk access requests with approval</t>
        </is>
      </c>
      <c r="C12" s="12" t="inlineStr">
        <is>
          <t>UAM BRD 1.009; NFR 38</t>
        </is>
      </c>
      <c r="D12" s="12" t="inlineStr">
        <is>
          <t>FRUM.002.04; Annex M</t>
        </is>
      </c>
      <c r="E12" s="12" t="inlineStr">
        <is>
          <t>The bulk template raised as a request, checked row by row with an error file and decided by the approver as a whole (the bulk load of the OOTB platform is reused).</t>
        </is>
      </c>
      <c r="F12" s="30" t="n">
        <v>0.5</v>
      </c>
      <c r="G12" s="30" t="n">
        <v>5</v>
      </c>
      <c r="H12" s="30" t="n">
        <v>2</v>
      </c>
      <c r="I12" s="30">
        <f>SUM(F12:H12)</f>
        <v/>
      </c>
      <c r="J12" s="12" t="inlineStr">
        <is>
          <t>Not charged</t>
        </is>
      </c>
      <c r="K12" s="12" t="inlineStr">
        <is>
          <t>UAM-023: Partial</t>
        </is>
      </c>
      <c r="L12" s="12" t="inlineStr">
        <is>
          <t>Partial: bulk user load by the System Administrator</t>
        </is>
      </c>
      <c r="M12" s="12" t="inlineStr">
        <is>
          <t>Yes</t>
        </is>
      </c>
    </row>
    <row r="13">
      <c r="A13" s="12" t="inlineStr">
        <is>
          <t>BRD-UA-11</t>
        </is>
      </c>
      <c r="B13" s="12" t="inlineStr">
        <is>
          <t>Effective-dated access changes</t>
        </is>
      </c>
      <c r="C13" s="12" t="inlineStr">
        <is>
          <t>UAM BRD NFR 14 (1.k)</t>
        </is>
      </c>
      <c r="D13" s="12" t="inlineStr">
        <is>
          <t>FRUM.009.10; Annex Z</t>
        </is>
      </c>
      <c r="E13" s="12" t="inlineStr">
        <is>
          <t>An effective date on the requests; a daily run applies the scheduled changes, checked again on the day.</t>
        </is>
      </c>
      <c r="F13" s="30" t="n">
        <v>1</v>
      </c>
      <c r="G13" s="30" t="n">
        <v>4.5</v>
      </c>
      <c r="H13" s="30" t="n">
        <v>2.5</v>
      </c>
      <c r="I13" s="30">
        <f>SUM(F13:H13)</f>
        <v/>
      </c>
      <c r="J13" s="12" t="inlineStr">
        <is>
          <t>Not charged</t>
        </is>
      </c>
      <c r="K13" s="12" t="inlineStr">
        <is>
          <t>UAM-024: Not available</t>
        </is>
      </c>
      <c r="L13" s="12" t="inlineStr">
        <is>
          <t>Not found</t>
        </is>
      </c>
      <c r="M13" s="12" t="inlineStr">
        <is>
          <t>Yes</t>
        </is>
      </c>
    </row>
    <row r="14">
      <c r="A14" s="12" t="inlineStr">
        <is>
          <t>BRD-UA-12</t>
        </is>
      </c>
      <c r="B14" s="12" t="inlineStr">
        <is>
          <t>Escalation of privileged or out-of-hours changes</t>
        </is>
      </c>
      <c r="C14" s="12" t="inlineStr">
        <is>
          <t>UAM BRD NFR 40 (Other BU NFR 11)</t>
        </is>
      </c>
      <c r="D14" s="12" t="inlineStr">
        <is>
          <t>FRUM.010.02; Annex S</t>
        </is>
      </c>
      <c r="E14" s="12" t="inlineStr">
        <is>
          <t>Privilege level on the group profiles and the working-hours rule; a second approval of the privileged or out-of-hours changes.</t>
        </is>
      </c>
      <c r="F14" s="30" t="n">
        <v>1</v>
      </c>
      <c r="G14" s="30" t="n">
        <v>4</v>
      </c>
      <c r="H14" s="30" t="n">
        <v>2.5</v>
      </c>
      <c r="I14" s="30">
        <f>SUM(F14:H14)</f>
        <v/>
      </c>
      <c r="J14" s="12" t="inlineStr">
        <is>
          <t>Not charged</t>
        </is>
      </c>
      <c r="K14" s="12" t="inlineStr">
        <is>
          <t>UAM-025: Not available</t>
        </is>
      </c>
      <c r="L14" s="12" t="inlineStr">
        <is>
          <t>Not found</t>
        </is>
      </c>
      <c r="M14" s="12" t="inlineStr">
        <is>
          <t>Yes</t>
        </is>
      </c>
    </row>
    <row r="15">
      <c r="A15" s="12" t="inlineStr">
        <is>
          <t>BRD-UA-13</t>
        </is>
      </c>
      <c r="B15" s="12" t="inlineStr">
        <is>
          <t>Second approval of security settings</t>
        </is>
      </c>
      <c r="C15" s="12" t="inlineStr">
        <is>
          <t>UAM BRD NFR 16, NFR 40</t>
        </is>
      </c>
      <c r="D15" s="12" t="inlineStr">
        <is>
          <t>FRUM.012.02; Annex M</t>
        </is>
      </c>
      <c r="E15" s="12" t="inlineStr">
        <is>
          <t>A change of a sign-in, password, session or access setting applies only after the approval of Information Security (in the OOTB platform these settings apply at once).</t>
        </is>
      </c>
      <c r="F15" s="30" t="n">
        <v>0.5</v>
      </c>
      <c r="G15" s="30" t="n">
        <v>4</v>
      </c>
      <c r="H15" s="30" t="n">
        <v>2</v>
      </c>
      <c r="I15" s="30">
        <f>SUM(F15:H15)</f>
        <v/>
      </c>
      <c r="J15" s="12" t="inlineStr">
        <is>
          <t>Not charged</t>
        </is>
      </c>
      <c r="K15" s="12" t="inlineStr">
        <is>
          <t>UAM-026: Partial</t>
        </is>
      </c>
      <c r="L15" s="12" t="inlineStr">
        <is>
          <t>Partial: settings apply at once (audited)</t>
        </is>
      </c>
      <c r="M15" s="12" t="inlineStr">
        <is>
          <t>Yes</t>
        </is>
      </c>
    </row>
    <row r="16">
      <c r="A16" s="12" t="inlineStr">
        <is>
          <t>BRD-UA-14</t>
        </is>
      </c>
      <c r="B16" s="12" t="inlineStr">
        <is>
          <t>Notices of the access requests to the requester and the user</t>
        </is>
      </c>
      <c r="C16" s="12" t="inlineStr">
        <is>
          <t>UAM BRD 1.006.1.1, 1.008.1.4, 2.002.1; NFR 39</t>
        </is>
      </c>
      <c r="D16" s="12" t="inlineStr">
        <is>
          <t>FRUM.013; Annex T</t>
        </is>
      </c>
      <c r="E16" s="12" t="inlineStr">
        <is>
          <t>In-system notices of each request step (to approve, returned, decided, implemented) to the requester, the approver and the affected user.</t>
        </is>
      </c>
      <c r="F16" s="30" t="n">
        <v>0.5</v>
      </c>
      <c r="G16" s="30" t="n">
        <v>2.5</v>
      </c>
      <c r="H16" s="30" t="n">
        <v>1.5</v>
      </c>
      <c r="I16" s="30">
        <f>SUM(F16:H16)</f>
        <v/>
      </c>
      <c r="J16" s="12" t="inlineStr">
        <is>
          <t>Not charged</t>
        </is>
      </c>
      <c r="K16" s="12" t="inlineStr">
        <is>
          <t>UAM-027: Partial</t>
        </is>
      </c>
      <c r="L16" s="12" t="inlineStr">
        <is>
          <t>Partial: in-app access-control notices</t>
        </is>
      </c>
      <c r="M16" s="12" t="inlineStr">
        <is>
          <t>Yes</t>
        </is>
      </c>
    </row>
    <row r="17">
      <c r="A17" s="12" t="inlineStr">
        <is>
          <t>BRD-UA-15</t>
        </is>
      </c>
      <c r="B17" s="12" t="inlineStr">
        <is>
          <t>Access reports in the BDOI layout</t>
        </is>
      </c>
      <c r="C17" s="12" t="inlineStr">
        <is>
          <t>UAM BRD 3.003, 4.003.1; samples A to D; NFR 10, NFR 41</t>
        </is>
      </c>
      <c r="D17" s="12" t="inlineStr">
        <is>
          <t>FRUM.007; Annex V</t>
        </is>
      </c>
      <c r="E17" s="12" t="inlineStr">
        <is>
          <t>User Access Report with an 'as of' date, group profile membership, Group Profile Access Report and the from / to User Access Audit Log in the BDOI layout with the header of the BRD.</t>
        </is>
      </c>
      <c r="F17" s="30" t="n">
        <v>1</v>
      </c>
      <c r="G17" s="30" t="n">
        <v>6</v>
      </c>
      <c r="H17" s="30" t="n">
        <v>2.5</v>
      </c>
      <c r="I17" s="30">
        <f>SUM(F17:H17)</f>
        <v/>
      </c>
      <c r="J17" s="12" t="inlineStr">
        <is>
          <t>Not charged</t>
        </is>
      </c>
      <c r="K17" s="12" t="inlineStr">
        <is>
          <t>UAM-029: Partial</t>
        </is>
      </c>
      <c r="L17" s="12" t="inlineStr">
        <is>
          <t>Partial: user access matrix and role permission matrix</t>
        </is>
      </c>
      <c r="M17" s="12" t="inlineStr">
        <is>
          <t>Yes</t>
        </is>
      </c>
    </row>
    <row r="18">
      <c r="A18" s="12" t="inlineStr">
        <is>
          <t>BRD-UA-16</t>
        </is>
      </c>
      <c r="B18" s="12" t="inlineStr">
        <is>
          <t>On-line status of the users</t>
        </is>
      </c>
      <c r="C18" s="12" t="inlineStr">
        <is>
          <t>UAM BRD NFR 15 (status online), NFR 35</t>
        </is>
      </c>
      <c r="D18" s="12" t="inlineStr">
        <is>
          <t>FRUM.001.05; Annex V</t>
        </is>
      </c>
      <c r="E18" s="12" t="inlineStr">
        <is>
          <t>The list of the users signed in (on-line status) with their sessions; end of a session by the System Administrator.</t>
        </is>
      </c>
      <c r="F18" s="30" t="n">
        <v>0.25</v>
      </c>
      <c r="G18" s="30" t="n">
        <v>2</v>
      </c>
      <c r="H18" s="30" t="n">
        <v>0.75</v>
      </c>
      <c r="I18" s="30">
        <f>SUM(F18:H18)</f>
        <v/>
      </c>
      <c r="J18" s="12" t="inlineStr">
        <is>
          <t>Not charged</t>
        </is>
      </c>
      <c r="K18" s="12" t="inlineStr">
        <is>
          <t>UAM-004: Partial</t>
        </is>
      </c>
      <c r="L18" s="12" t="inlineStr">
        <is>
          <t>Partial: end all sessions of a user; no on-line list</t>
        </is>
      </c>
      <c r="M18" s="12" t="inlineStr">
        <is>
          <t>Yes</t>
        </is>
      </c>
    </row>
    <row r="19">
      <c r="A19" s="12" t="inlineStr">
        <is>
          <t>BRD-UA-17</t>
        </is>
      </c>
      <c r="B19" s="12" t="inlineStr">
        <is>
          <t>Access from BDO devices only</t>
        </is>
      </c>
      <c r="C19" s="12" t="inlineStr">
        <is>
          <t>UAM BRD 1.001.1, 2.001.1, 3.001.1, 4.001.1</t>
        </is>
      </c>
      <c r="D19" s="12" t="inlineStr">
        <is>
          <t>FRUM.001.01; Technical Specification</t>
        </is>
      </c>
      <c r="E19" s="12" t="inlineStr">
        <is>
          <t>Access limited to BDO's network and devices: network zone and IP rules of the OOTB platform, plus the device check BDOI IT chooses.</t>
        </is>
      </c>
      <c r="F19" s="30" t="n">
        <v>0.5</v>
      </c>
      <c r="G19" s="30" t="n">
        <v>2.5</v>
      </c>
      <c r="H19" s="30" t="n">
        <v>1.5</v>
      </c>
      <c r="I19" s="30">
        <f>SUM(F19:H19)</f>
        <v/>
      </c>
      <c r="J19" s="12" t="inlineStr">
        <is>
          <t>Not charged</t>
        </is>
      </c>
      <c r="K19" s="12" t="inlineStr">
        <is>
          <t>UAM-033: Partial</t>
        </is>
      </c>
      <c r="L19" s="12" t="inlineStr">
        <is>
          <t>Partial: network / IP rules outside the application</t>
        </is>
      </c>
      <c r="M19" s="12" t="inlineStr">
        <is>
          <t>Partly (network and IP rules)</t>
        </is>
      </c>
    </row>
    <row r="20">
      <c r="A20" s="12" t="inlineStr">
        <is>
          <t>BRD-UA-18</t>
        </is>
      </c>
      <c r="B20" s="12" t="inlineStr">
        <is>
          <t>No conflicting permissions inside a group profile (was CR-UA-008)</t>
        </is>
      </c>
      <c r="C20" s="12" t="inlineStr">
        <is>
          <t>UAM BRD NFR 2.a-2.b (data validation of user and role data, b.1 prevents entry of incorrect data); Other BU NFR 2-3 (define roles and assign permission; permission management)</t>
        </is>
      </c>
      <c r="D20" s="12" t="inlineStr">
        <is>
          <t>FRUM.006.03</t>
        </is>
      </c>
      <c r="E20" s="12" t="inlineStr">
        <is>
          <t>Rules on pairs of permissions kept by the Business Administrator; check on every group profile change and access request; message naming the conflict; audit.</t>
        </is>
      </c>
      <c r="F20" s="30" t="n">
        <v>0.5</v>
      </c>
      <c r="G20" s="30" t="n">
        <v>3</v>
      </c>
      <c r="H20" s="30" t="n">
        <v>1.25</v>
      </c>
      <c r="I20" s="30">
        <f>SUM(F20:H20)</f>
        <v/>
      </c>
      <c r="J20" s="12" t="inlineStr">
        <is>
          <t>Not charged</t>
        </is>
      </c>
      <c r="K20" s="12" t="inlineStr">
        <is>
          <t>UAM-018: Available (pairs of roles only)</t>
        </is>
      </c>
      <c r="L20" s="12" t="inlineStr">
        <is>
          <t>Partial: Access Control &gt; Separation-of-duties rules on pairs of roles; no rule on pairs of permissions</t>
        </is>
      </c>
      <c r="M20" s="12" t="inlineStr">
        <is>
          <t>Yes</t>
        </is>
      </c>
    </row>
    <row r="21">
      <c r="A21" s="12" t="inlineStr">
        <is>
          <t>BRD-UA-19</t>
        </is>
      </c>
      <c r="B21" s="12" t="inlineStr">
        <is>
          <t>Export file names &lt;Report name&gt;_MMDDYYYY and Audit Logs_MMDDYYYY (was CR-UA-009)</t>
        </is>
      </c>
      <c r="C21" s="12" t="inlineStr">
        <is>
          <t>UAM BRD NFR 1.g (report can be exported); Other BU NFR 6 (audit log reports); report samples A to D</t>
        </is>
      </c>
      <c r="D21" s="12" t="inlineStr">
        <is>
          <t>FRUM.007.02; Annex V</t>
        </is>
      </c>
      <c r="E21" s="12" t="inlineStr">
        <is>
          <t>File names of the User Access reports and of the audit log export by BDOI's convention, as a setting; test of every export.</t>
        </is>
      </c>
      <c r="F21" s="30" t="n">
        <v>0.25</v>
      </c>
      <c r="G21" s="30" t="n">
        <v>1.25</v>
      </c>
      <c r="H21" s="30" t="n">
        <v>0.75</v>
      </c>
      <c r="I21" s="30">
        <f>SUM(F21:H21)</f>
        <v/>
      </c>
      <c r="J21" s="12" t="inlineStr">
        <is>
          <t>Not charged</t>
        </is>
      </c>
      <c r="K21" s="12" t="inlineStr">
        <is>
          <t>RPT-009: Not available</t>
        </is>
      </c>
      <c r="L21" s="12" t="inlineStr">
        <is>
          <t>Not found: export file names fixed per report (Reports)</t>
        </is>
      </c>
      <c r="M21" s="12" t="inlineStr">
        <is>
          <t>Yes</t>
        </is>
      </c>
    </row>
    <row r="22">
      <c r="A22" s="12" t="inlineStr">
        <is>
          <t>BRD-UA-20</t>
        </is>
      </c>
      <c r="B22" s="12" t="inlineStr">
        <is>
          <t>E-mail copy of the request notices (was CR-UA-013)</t>
        </is>
      </c>
      <c r="C22" s="12" t="inlineStr">
        <is>
          <t>UAM BRD Other BU NFR 10 (notification for access changes); BRD 1.006.1.1, 1.008.1.4, 2.002.1</t>
        </is>
      </c>
      <c r="D22" s="12" t="inlineStr">
        <is>
          <t>FRUM.013.01; Annex T</t>
        </is>
      </c>
      <c r="E22" s="12" t="inlineStr">
        <is>
          <t>E-mail copy of the request notices (to approve, returned, decided) from templates, by the user's preference (setting); the outbox status; tests.</t>
        </is>
      </c>
      <c r="F22" s="30" t="n">
        <v>0.5</v>
      </c>
      <c r="G22" s="30" t="n">
        <v>2</v>
      </c>
      <c r="H22" s="30" t="n">
        <v>1.25</v>
      </c>
      <c r="I22" s="30">
        <f>SUM(F22:H22)</f>
        <v/>
      </c>
      <c r="J22" s="12" t="inlineStr">
        <is>
          <t>Not charged</t>
        </is>
      </c>
      <c r="K22" s="12" t="inlineStr">
        <is>
          <t>UAM-027: Partial</t>
        </is>
      </c>
      <c r="L22" s="12" t="inlineStr">
        <is>
          <t>Partial: in-system access-control notices and the e-mail outbox; no e-mail copy of access notices</t>
        </is>
      </c>
      <c r="M22" s="12" t="inlineStr">
        <is>
          <t>Yes</t>
        </is>
      </c>
    </row>
    <row r="23">
      <c r="A23" s="12" t="inlineStr">
        <is>
          <t>BRD-UA-21</t>
        </is>
      </c>
      <c r="B23" s="12" t="inlineStr">
        <is>
          <t>Monitoring of the pending access requests (BRD part of CR-UA-011)</t>
        </is>
      </c>
      <c r="C23" s="12" t="inlineStr">
        <is>
          <t>UAM BRD Other BU NFR 11 (configurable workflow for access requests and approvals; changes systematically monitored)</t>
        </is>
      </c>
      <c r="D23" s="12" t="inlineStr">
        <is>
          <t>Annex S, Annex Z</t>
        </is>
      </c>
      <c r="E23" s="12" t="inlineStr">
        <is>
          <t>The age of each pending request and its stage on the request lists, with the overdue marker and the filter of pending requests by approver.</t>
        </is>
      </c>
      <c r="F23" s="30" t="n">
        <v>0.5</v>
      </c>
      <c r="G23" s="30" t="n">
        <v>1.5</v>
      </c>
      <c r="H23" s="30" t="n">
        <v>0.75</v>
      </c>
      <c r="I23" s="30">
        <f>SUM(F23:H23)</f>
        <v/>
      </c>
      <c r="J23" s="12" t="inlineStr">
        <is>
          <t>Not charged</t>
        </is>
      </c>
      <c r="K23" s="12" t="inlineStr">
        <is>
          <t>WFL-007: Partial</t>
        </is>
      </c>
      <c r="L23" s="12" t="inlineStr">
        <is>
          <t>Not found for access requests</t>
        </is>
      </c>
      <c r="M23" s="12" t="inlineStr">
        <is>
          <t>No</t>
        </is>
      </c>
    </row>
    <row r="24">
      <c r="A24" s="12" t="inlineStr">
        <is>
          <t>BRD-UA-22</t>
        </is>
      </c>
      <c r="B24" s="12" t="inlineStr">
        <is>
          <t>Scheduled removal of access on its effective date (BRD part of CR-UA-014)</t>
        </is>
      </c>
      <c r="C24" s="12" t="inlineStr">
        <is>
          <t>UAM BRD NFR 1.k (effective date for user and role changes)</t>
        </is>
      </c>
      <c r="D24" s="12" t="inlineStr">
        <is>
          <t>FRUM.009.10; Annex Z</t>
        </is>
      </c>
      <c r="E24" s="12" t="inlineStr">
        <is>
          <t>A request to remove a group profile with an effective date; the daily run of BRD-UA-11 removes the access on that date, with audit of each removal.</t>
        </is>
      </c>
      <c r="F24" s="30" t="n">
        <v>0.5</v>
      </c>
      <c r="G24" s="30" t="n">
        <v>2</v>
      </c>
      <c r="H24" s="30" t="n">
        <v>1.25</v>
      </c>
      <c r="I24" s="30">
        <f>SUM(F24:H24)</f>
        <v/>
      </c>
      <c r="J24" s="12" t="inlineStr">
        <is>
          <t>Not charged</t>
        </is>
      </c>
      <c r="K24" s="12" t="inlineStr">
        <is>
          <t>UAM-024: Not available</t>
        </is>
      </c>
      <c r="L24" s="12" t="inlineStr">
        <is>
          <t>Not found: no effective or end date on role assignment</t>
        </is>
      </c>
      <c r="M24" s="12" t="inlineStr">
        <is>
          <t>No</t>
        </is>
      </c>
    </row>
  </sheetData>
  <autoFilter ref="A4:M24"/>
  <mergeCells count="1">
    <mergeCell ref="A2:M2"/>
  </mergeCells>
  <conditionalFormatting sqref="A5:M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3"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3"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3"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3"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3" t="inlineStr">
        <is>
          <t>IS-UA-05</t>
        </is>
      </c>
      <c r="B9" s="12" t="inlineStr">
        <is>
          <t>EIAM and UIDM-ISC simulator for SIT and UAT</t>
        </is>
      </c>
      <c r="C9" s="12" t="inlineStr">
        <is>
          <t>Annex N</t>
        </is>
      </c>
      <c r="D9" s="12" t="inlineStr">
        <is>
          <t>Sign-in and identity events simulated in the test environments until BDOI IT connects the real services.</t>
        </is>
      </c>
      <c r="E9" s="12" t="inlineStr">
        <is>
          <t>Integration</t>
        </is>
      </c>
      <c r="F9" s="12" t="inlineStr">
        <is>
          <t>No feature row</t>
        </is>
      </c>
      <c r="G9" s="12" t="inlineStr">
        <is>
          <t>-</t>
        </is>
      </c>
      <c r="H9" s="12" t="inlineStr">
        <is>
          <t>Not a CR</t>
        </is>
      </c>
    </row>
    <row r="10">
      <c r="A10" s="33" t="inlineStr">
        <is>
          <t>DM-UA-01</t>
        </is>
      </c>
      <c r="B10" s="12" t="inlineStr">
        <is>
          <t>Users and group profiles at go-live</t>
        </is>
      </c>
      <c r="C10" s="12" t="inlineStr">
        <is>
          <t>Annex W (BRD-13 Data Migration)</t>
        </is>
      </c>
      <c r="D10" s="12" t="inlineStr">
        <is>
          <t>Users and their group profiles loaded before go-live and at the dress rehearsal (users are not migrated from the legacy systems; loaded by bulk request).</t>
        </is>
      </c>
      <c r="E10" s="12" t="inlineStr">
        <is>
          <t>Data Migration (BRD-13)</t>
        </is>
      </c>
      <c r="F10" s="12" t="inlineStr">
        <is>
          <t>MIG-014 Users migration: Available</t>
        </is>
      </c>
      <c r="G10" s="12" t="inlineStr">
        <is>
          <t>-</t>
        </is>
      </c>
      <c r="H10" s="12" t="inlineStr">
        <is>
          <t>Not a CR</t>
        </is>
      </c>
    </row>
  </sheetData>
  <autoFilter ref="A4:H10"/>
  <mergeCells count="1">
    <mergeCell ref="A2:H2"/>
  </mergeCells>
  <conditionalFormatting sqref="A5:H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4" t="inlineStr">
        <is>
          <t>BP-UA-01</t>
        </is>
      </c>
      <c r="B5" s="34"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12" t="n">
        <v>8</v>
      </c>
    </row>
    <row r="6">
      <c r="A6" s="34" t="inlineStr">
        <is>
          <t>BP-UA-02</t>
        </is>
      </c>
      <c r="B6" s="34"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12" t="n">
        <v>6</v>
      </c>
    </row>
    <row r="7">
      <c r="A7" s="34" t="inlineStr">
        <is>
          <t>BP-UA-03</t>
        </is>
      </c>
      <c r="B7" s="34" t="inlineStr">
        <is>
          <t>Log of views of sensitive records</t>
        </is>
      </c>
      <c r="C7" s="12" t="inlineStr">
        <is>
          <t>Who viewed (not only changed) the records of PEP, high-risk and claims clients; supports AMLA confidentiality and Data Privacy Act accountability.</t>
        </is>
      </c>
      <c r="D7" s="12" t="inlineStr">
        <is>
          <t>Medium</t>
        </is>
      </c>
      <c r="E7" s="12" t="n">
        <v>6</v>
      </c>
    </row>
    <row r="8">
      <c r="A8" s="34" t="inlineStr">
        <is>
          <t>BP-UA-04</t>
        </is>
      </c>
      <c r="B8" s="34"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12" t="n">
        <v>4</v>
      </c>
    </row>
    <row r="9">
      <c r="A9" s="34" t="inlineStr">
        <is>
          <t>BP-UA-05</t>
        </is>
      </c>
      <c r="B9" s="34" t="inlineStr">
        <is>
          <t>Separation-of-duties what-if check</t>
        </is>
      </c>
      <c r="C9" s="12" t="inlineStr">
        <is>
          <t>Before a request is submitted the requester sees which separation-of-duties rules the new access would break, so conflicts are fixed before approval.</t>
        </is>
      </c>
      <c r="D9" s="12" t="inlineStr">
        <is>
          <t>Low</t>
        </is>
      </c>
      <c r="E9" s="12" t="n">
        <v>4</v>
      </c>
    </row>
    <row r="10">
      <c r="A10" s="34" t="inlineStr">
        <is>
          <t>BP-UA-06</t>
        </is>
      </c>
      <c r="B10" s="34"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12" t="n">
        <v>3</v>
      </c>
    </row>
    <row r="11">
      <c r="A11" s="12" t="inlineStr">
        <is>
          <t>Total</t>
        </is>
      </c>
      <c r="B11" s="12" t="inlineStr">
        <is>
          <t>6 recommendations (indicative, excluded from the CR total)</t>
        </is>
      </c>
      <c r="C11" s="12" t="n"/>
      <c r="D11" s="12" t="n"/>
      <c r="E11" s="12">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5" t="n">
        <v>0.2</v>
      </c>
      <c r="C6" s="12" t="inlineStr">
        <is>
          <t>Plus or minus; the Low and High columns use it</t>
        </is>
      </c>
    </row>
    <row r="7">
      <c r="A7" s="12" t="inlineStr">
        <is>
          <t>Day rate</t>
        </is>
      </c>
      <c r="B7" s="36"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not against the BIBS system configured for BDOI: a point OOTB offers is not a change request; for a partial point only the missing part is estimated; a change request already available in BIBS (column Prepared for BIBS?) keeps its effort as the CR value;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7" t="inlineStr">
        <is>
          <t>Complexity</t>
        </is>
      </c>
      <c r="B1" s="37" t="inlineStr">
        <is>
          <t>Priority</t>
        </is>
      </c>
    </row>
    <row r="2">
      <c r="A2" s="38" t="inlineStr">
        <is>
          <t>Low</t>
        </is>
      </c>
      <c r="B2" s="38" t="inlineStr">
        <is>
          <t>High</t>
        </is>
      </c>
    </row>
    <row r="3">
      <c r="A3" s="38" t="inlineStr">
        <is>
          <t>Medium</t>
        </is>
      </c>
      <c r="B3" s="38" t="inlineStr">
        <is>
          <t>Medium</t>
        </is>
      </c>
    </row>
    <row r="4">
      <c r="A4" s="38" t="inlineStr">
        <is>
          <t>High</t>
        </is>
      </c>
      <c r="B4" s="38"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2026-10-11T16:12:48Z</dcterms:created>
  <dcterms:modified xmlns:dcterms="http://purl.org/dc/terms/" xmlns:xsi="http://www.w3.org/2001/XMLSchema-instance" xsi:type="dcterms:W3CDTF">2026-10-11T16:12:48Z</dcterms:modified>
  <cp:keywords>Change requests - effort, BRD-11, BIBS, BDOI</cp:keywords>
</cp:coreProperties>
</file>