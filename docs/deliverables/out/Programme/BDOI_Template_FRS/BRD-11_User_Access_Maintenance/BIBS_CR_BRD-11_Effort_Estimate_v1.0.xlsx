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items to deliver" sheetId="6" state="visible" r:id="rId6"/>
    <sheet xmlns:r="http://schemas.openxmlformats.org/officeDocument/2006/relationships" name="Integration &amp; Data Migration" sheetId="7" state="visible" r:id="rId7"/>
    <sheet xmlns:r="http://schemas.openxmlformats.org/officeDocument/2006/relationships" name="Best practice (blue)" sheetId="8" state="visible" r:id="rId8"/>
    <sheet xmlns:r="http://schemas.openxmlformats.org/officeDocument/2006/relationships" name="Assumptions" sheetId="9" state="visible" r:id="rId9"/>
    <sheet xmlns:r="http://schemas.openxmlformats.org/officeDocument/2006/relationships" name="Lists" sheetId="10" state="visible" r:id="rId10"/>
  </sheets>
  <definedNames>
    <definedName name="DayRate">Assumptions!$B$7</definedName>
    <definedName name="Accuracy">Assumptions!$B$6</definedName>
    <definedName name="_xlnm._FilterDatabase" localSheetId="1" hidden="1">'README'!$A$4:$D$73</definedName>
    <definedName name="_xlnm.Print_Titles" localSheetId="1">'README'!$4:$4</definedName>
    <definedName name="_xlnm._FilterDatabase" localSheetId="2" hidden="1">'Summary'!$A$4:$F$17</definedName>
    <definedName name="_xlnm.Print_Titles" localSheetId="2">'Summary'!$4:$4</definedName>
    <definedName name="_xlnm._FilterDatabase" localSheetId="3" hidden="1">'CR Effort'!$A$4:$X$13</definedName>
    <definedName name="_xlnm.Print_Titles" localSheetId="3">'CR Effort'!$4:$4</definedName>
    <definedName name="_xlnm._FilterDatabase" localSheetId="4" hidden="1">'Beyond the BRD - OOTB'!$A$4:$J$9</definedName>
    <definedName name="_xlnm.Print_Titles" localSheetId="4">'Beyond the BRD - OOTB'!$4:$4</definedName>
    <definedName name="_xlnm._FilterDatabase" localSheetId="5" hidden="1">'BRD items to deliver'!$A$4:$M$19</definedName>
    <definedName name="_xlnm.Print_Titles" localSheetId="5">'BRD items to deliver'!$4:$4</definedName>
    <definedName name="_xlnm._FilterDatabase" localSheetId="6" hidden="1">'Integration &amp; Data Migration'!$A$4:$H$10</definedName>
    <definedName name="_xlnm.Print_Titles" localSheetId="6">'Integration &amp; Data Migration'!$4:$4</definedName>
    <definedName name="_xlnm._FilterDatabase" localSheetId="7" hidden="1">'Best practice (blue)'!$A$4:$E$11</definedName>
    <definedName name="_xlnm.Print_Titles" localSheetId="7">'Best practice (blue)'!$4:$4</definedName>
    <definedName name="_xlnm._FilterDatabase" localSheetId="8" hidden="1">'Assumptions'!$A$4:$C$12</definedName>
    <definedName name="_xlnm.Print_Titles" localSheetId="8">'Assumptions'!$4:$4</definedName>
    <definedName name="_xlnm.Print_Titles" localSheetId="9">'Lists'!$1:$1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font>
    <font>
      <name val="Arial"/>
      <b val="1"/>
      <color rgb="00E65100"/>
    </font>
    <font>
      <name val="Arial"/>
      <b val="1"/>
      <color rgb="002E7D32"/>
    </font>
    <font>
      <name val="Arial"/>
      <b val="1"/>
      <color rgb="00616161"/>
    </font>
    <font>
      <name val="Arial"/>
      <b val="1"/>
      <color rgb="001565C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6">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9">
    <xf numFmtId="0" fontId="0" fillId="0" borderId="0" pivotButton="0" quotePrefix="0" xfId="0"/>
    <xf numFmtId="0" fontId="0" fillId="0" borderId="3"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4" pivotButton="0" quotePrefix="0" xfId="0"/>
    <xf numFmtId="0" fontId="15" fillId="0" borderId="4" pivotButton="0" quotePrefix="0" xfId="0"/>
    <xf numFmtId="0" fontId="16" fillId="0" borderId="4" pivotButton="0" quotePrefix="0" xfId="0"/>
    <xf numFmtId="0" fontId="17" fillId="0" borderId="0" pivotButton="0" quotePrefix="0" xfId="0"/>
    <xf numFmtId="0" fontId="3" fillId="2" borderId="2" pivotButton="0" quotePrefix="0" xfId="0"/>
    <xf numFmtId="0" fontId="10" fillId="0" borderId="2" applyAlignment="1" pivotButton="0" quotePrefix="0" xfId="0">
      <alignment vertical="top" wrapText="1"/>
    </xf>
    <xf numFmtId="0" fontId="4" fillId="0" borderId="2" applyAlignment="1" pivotButton="0" quotePrefix="0" xfId="0">
      <alignment vertical="top" wrapText="1"/>
    </xf>
    <xf numFmtId="0" fontId="10" fillId="4" borderId="2" applyAlignment="1" pivotButton="0" quotePrefix="0" xfId="0">
      <alignment vertical="top" wrapText="1"/>
    </xf>
    <xf numFmtId="0" fontId="4" fillId="4" borderId="2" applyAlignment="1" pivotButton="0" quotePrefix="0" xfId="0">
      <alignment vertical="top" wrapText="1"/>
    </xf>
    <xf numFmtId="0" fontId="18" fillId="5"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18" fillId="0" borderId="2" applyAlignment="1" pivotButton="0" quotePrefix="0" xfId="0">
      <alignment vertical="top" wrapText="1"/>
    </xf>
    <xf numFmtId="0" fontId="18"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4" fontId="4" fillId="0" borderId="2" applyAlignment="1" pivotButton="0" quotePrefix="0" xfId="0">
      <alignment vertical="top" wrapText="1"/>
    </xf>
    <xf numFmtId="0" fontId="5" fillId="0" borderId="2" applyAlignment="1" pivotButton="0" quotePrefix="0" xfId="0">
      <alignment vertical="top" wrapText="1"/>
    </xf>
    <xf numFmtId="164" fontId="5" fillId="0" borderId="2" applyAlignment="1" pivotButton="0" quotePrefix="0" xfId="0">
      <alignment vertical="top" wrapText="1"/>
    </xf>
    <xf numFmtId="4" fontId="5" fillId="0" borderId="2" applyAlignment="1" pivotButton="0" quotePrefix="0" xfId="0">
      <alignment vertical="top" wrapText="1"/>
    </xf>
    <xf numFmtId="0" fontId="6" fillId="0" borderId="2" applyAlignment="1" pivotButton="0" quotePrefix="0" xfId="0">
      <alignment vertical="top" wrapText="1"/>
    </xf>
    <xf numFmtId="164" fontId="4" fillId="0" borderId="2" applyAlignment="1" pivotButton="0" quotePrefix="0" xfId="0">
      <alignment vertical="top"/>
    </xf>
    <xf numFmtId="164" fontId="5" fillId="0" borderId="2" applyAlignment="1" pivotButton="0" quotePrefix="0" xfId="0">
      <alignment vertical="top"/>
    </xf>
    <xf numFmtId="0" fontId="7" fillId="0" borderId="2" applyAlignment="1" pivotButton="0" quotePrefix="0" xfId="0">
      <alignment vertical="top" wrapText="1"/>
    </xf>
    <xf numFmtId="0" fontId="8" fillId="0" borderId="2" applyAlignment="1" pivotButton="0" quotePrefix="0" xfId="0">
      <alignment vertical="top" wrapText="1"/>
    </xf>
    <xf numFmtId="0" fontId="9" fillId="0" borderId="2" applyAlignment="1" pivotButton="0" quotePrefix="0" xfId="0">
      <alignment vertical="top" wrapText="1"/>
    </xf>
    <xf numFmtId="9" fontId="4" fillId="0" borderId="2" applyAlignment="1" pivotButton="0" quotePrefix="0" xfId="0">
      <alignment vertical="top" wrapText="1"/>
    </xf>
    <xf numFmtId="4" fontId="4" fillId="3"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36</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items to deliver'!A1" TargetMode="External" Id="rId5"/><Relationship Type="http://schemas.openxmlformats.org/officeDocument/2006/relationships/hyperlink" Target="#'Integration &amp; Data Migration'!A1" TargetMode="External" Id="rId6"/><Relationship Type="http://schemas.openxmlformats.org/officeDocument/2006/relationships/hyperlink" Target="#'Best practice (blue)'!A1" TargetMode="External" Id="rId7"/><Relationship Type="http://schemas.openxmlformats.org/officeDocument/2006/relationships/hyperlink" Target="#'Assumption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7"/>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REQUESTS - EFFORT</t>
        </is>
      </c>
    </row>
    <row r="7" ht="32" customHeight="1">
      <c r="B7" s="3" t="inlineStr">
        <is>
          <t>CR Effort Estimate</t>
        </is>
      </c>
    </row>
    <row r="8">
      <c r="B8" s="4" t="inlineStr">
        <is>
          <t>BRD-11 User Access Maintenance - change requests of the FRS v1.4 with their effort</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change requests of BRD-11 (FRS v1.4, Annex AA.2); figures by formula</t>
        </is>
      </c>
      <c r="D21" s="14" t="n">
        <v>13</v>
      </c>
    </row>
    <row r="22">
      <c r="B22" s="11" t="inlineStr">
        <is>
          <t>CR Effort</t>
        </is>
      </c>
      <c r="C22" s="12" t="inlineStr">
        <is>
          <t>One row per change request (orange point of the FRS v1.4); man-days of 8 hours, +-20%</t>
        </is>
      </c>
      <c r="D22" s="12" t="n">
        <v>9</v>
      </c>
    </row>
    <row r="23">
      <c r="B23" s="13" t="inlineStr">
        <is>
          <t>Beyond the BRD - OOTB</t>
        </is>
      </c>
      <c r="C23" s="14" t="inlineStr">
        <is>
          <t>Points of the FRS v1.4 that no BRD asks for and the iNXT BrokerVerse OOTB platform offers (green): no cost</t>
        </is>
      </c>
      <c r="D23" s="14" t="n">
        <v>5</v>
      </c>
    </row>
    <row r="24">
      <c r="B24" s="11" t="inlineStr">
        <is>
          <t>BRD items to deliver</t>
        </is>
      </c>
      <c r="C24" s="12" t="inlineStr">
        <is>
          <t>BRD requirements not (fully) in the iNXT BrokerVerse OOTB platform (FRS Annex X.2, AA.4): in-scope delivery work, for planning</t>
        </is>
      </c>
      <c r="D24" s="12" t="n">
        <v>15</v>
      </c>
    </row>
    <row r="25">
      <c r="B25" s="13" t="inlineStr">
        <is>
          <t>Integration &amp; Data Migration</t>
        </is>
      </c>
      <c r="C25" s="14" t="inlineStr">
        <is>
          <t>Covered by the Integration and Data Migration scope (grey label in the FRS, Annex AA.5): no change request, no cost here</t>
        </is>
      </c>
      <c r="D25" s="14" t="n">
        <v>6</v>
      </c>
    </row>
    <row r="26">
      <c r="B26" s="11" t="inlineStr">
        <is>
          <t>Best practice (blue)</t>
        </is>
      </c>
      <c r="C26" s="12" t="inlineStr">
        <is>
          <t>Insurance-broking best practices in no BRD, not in the FRS and not in OOTB (blue, FRS Annex AA.6): recommendations, not commitments</t>
        </is>
      </c>
      <c r="D26" s="12" t="n">
        <v>7</v>
      </c>
    </row>
    <row r="27">
      <c r="B27" s="13" t="inlineStr">
        <is>
          <t>Assumptions</t>
        </is>
      </c>
      <c r="C27" s="14" t="inlineStr">
        <is>
          <t>Assumptions of the estimate; enter the day rate in the yellow cell</t>
        </is>
      </c>
      <c r="D27" s="14" t="n">
        <v>8</v>
      </c>
    </row>
    <row r="29">
      <c r="B29" s="9" t="inlineStr">
        <is>
          <t>Legend</t>
        </is>
      </c>
    </row>
    <row r="30">
      <c r="B30" s="15" t="inlineStr">
        <is>
          <t>Change request</t>
        </is>
      </c>
      <c r="C30" s="16" t="inlineStr">
        <is>
          <t>In no BRD and not (or only partly) in the iNXT BrokerVerse OOTB platform (orange in the FRS); also when already available in BIBS</t>
        </is>
      </c>
    </row>
    <row r="31">
      <c r="B31" s="15" t="inlineStr">
        <is>
          <t>Offered by OOTB</t>
        </is>
      </c>
      <c r="C31" s="16" t="inlineStr">
        <is>
          <t>Not in the BRD; offered by the iNXT BrokerVerse OOTB platform (brokerverse-platform), no cost (green in the FRS)</t>
        </is>
      </c>
    </row>
    <row r="32">
      <c r="B32" s="15" t="inlineStr">
        <is>
          <t>Integration / Data Migration scope</t>
        </is>
      </c>
      <c r="C32" s="16" t="inlineStr">
        <is>
          <t>Interfaces and data migration: covered by those workstreams, not a change request (grey label)</t>
        </is>
      </c>
    </row>
    <row r="33">
      <c r="B33" s="15" t="inlineStr">
        <is>
          <t>Best practice</t>
        </is>
      </c>
      <c r="C33" s="16" t="inlineStr">
        <is>
          <t>In no BRD, FRS or OOTB: recommendation with indicative effort, excluded from the CR total (blue)</t>
        </is>
      </c>
    </row>
    <row r="34">
      <c r="B34" s="15" t="inlineStr">
        <is>
          <t>BRD requirement</t>
        </is>
      </c>
      <c r="C34" s="16" t="inlineStr">
        <is>
          <t>In scope; delivered without a change request (black in the FRS)</t>
        </is>
      </c>
    </row>
    <row r="37" ht="26" customHeight="1">
      <c r="B37"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7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CR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Item</t>
        </is>
      </c>
      <c r="C5" s="12" t="inlineStr">
        <is>
          <t>Change request or group</t>
        </is>
      </c>
      <c r="D5" s="12" t="inlineStr"/>
    </row>
    <row r="6">
      <c r="A6" s="14" t="inlineStr">
        <is>
          <t>Summary</t>
        </is>
      </c>
      <c r="B6" s="20" t="inlineStr">
        <is>
          <t>Man-days</t>
        </is>
      </c>
      <c r="C6" s="14" t="inlineStr">
        <is>
          <t>Total effort (8-hour days)</t>
        </is>
      </c>
      <c r="D6" s="14" t="inlineStr"/>
    </row>
    <row r="7">
      <c r="A7" s="12" t="inlineStr">
        <is>
          <t>Summary</t>
        </is>
      </c>
      <c r="B7" s="19" t="inlineStr">
        <is>
          <t>Low (-20%)</t>
        </is>
      </c>
      <c r="C7" s="12" t="inlineStr">
        <is>
          <t>Lower end of the range</t>
        </is>
      </c>
      <c r="D7" s="12" t="inlineStr"/>
    </row>
    <row r="8">
      <c r="A8" s="14" t="inlineStr">
        <is>
          <t>Summary</t>
        </is>
      </c>
      <c r="B8" s="20" t="inlineStr">
        <is>
          <t>High (+20%)</t>
        </is>
      </c>
      <c r="C8" s="14" t="inlineStr">
        <is>
          <t>Upper end of the range</t>
        </is>
      </c>
      <c r="D8" s="14" t="inlineStr"/>
    </row>
    <row r="9">
      <c r="A9" s="12" t="inlineStr">
        <is>
          <t>Summary</t>
        </is>
      </c>
      <c r="B9" s="19" t="inlineStr">
        <is>
          <t>Cost</t>
        </is>
      </c>
      <c r="C9" s="12" t="inlineStr">
        <is>
          <t>Man-days x day rate (sheet Assumptions)</t>
        </is>
      </c>
      <c r="D9" s="12" t="inlineStr"/>
    </row>
    <row r="10">
      <c r="A10" s="14" t="inlineStr">
        <is>
          <t>Summary</t>
        </is>
      </c>
      <c r="B10" s="20" t="inlineStr">
        <is>
          <t>Note</t>
        </is>
      </c>
      <c r="C10" s="14" t="inlineStr"/>
      <c r="D10" s="14" t="inlineStr"/>
    </row>
    <row r="11">
      <c r="A11" s="12" t="inlineStr">
        <is>
          <t>CR Effort</t>
        </is>
      </c>
      <c r="B11" s="19" t="inlineStr">
        <is>
          <t>CR No.</t>
        </is>
      </c>
      <c r="C11" s="12" t="inlineStr">
        <is>
          <t>Change request number (Change Request Register)</t>
        </is>
      </c>
      <c r="D11" s="12" t="inlineStr"/>
    </row>
    <row r="12">
      <c r="A12" s="14" t="inlineStr">
        <is>
          <t>CR Effort</t>
        </is>
      </c>
      <c r="B12" s="20" t="inlineStr">
        <is>
          <t>Title</t>
        </is>
      </c>
      <c r="C12" s="14" t="inlineStr"/>
      <c r="D12" s="14" t="inlineStr"/>
    </row>
    <row r="13">
      <c r="A13" s="12" t="inlineStr">
        <is>
          <t>CR Effort</t>
        </is>
      </c>
      <c r="B13" s="19" t="inlineStr">
        <is>
          <t>FRS reference</t>
        </is>
      </c>
      <c r="C13" s="12" t="inlineStr">
        <is>
          <t>FR item or annex of the FRS v1.4</t>
        </is>
      </c>
      <c r="D13" s="12" t="inlineStr"/>
    </row>
    <row r="14">
      <c r="A14" s="14" t="inlineStr">
        <is>
          <t>CR Effort</t>
        </is>
      </c>
      <c r="B14" s="20" t="inlineStr">
        <is>
          <t>BRD reference</t>
        </is>
      </c>
      <c r="C14" s="14" t="inlineStr">
        <is>
          <t>'Not in BRD' for every change request</t>
        </is>
      </c>
      <c r="D14" s="14" t="inlineStr"/>
    </row>
    <row r="15">
      <c r="A15" s="12" t="inlineStr">
        <is>
          <t>CR Effort</t>
        </is>
      </c>
      <c r="B15" s="19" t="inlineStr">
        <is>
          <t>Source</t>
        </is>
      </c>
      <c r="C15" s="12" t="inlineStr">
        <is>
          <t>BDOI FRS / best practice / iorta TechNXT</t>
        </is>
      </c>
      <c r="D15" s="12" t="inlineStr"/>
    </row>
    <row r="16">
      <c r="A16" s="14" t="inlineStr">
        <is>
          <t>CR Effort</t>
        </is>
      </c>
      <c r="B16" s="20" t="inlineStr">
        <is>
          <t>Why needed</t>
        </is>
      </c>
      <c r="C16" s="14" t="inlineStr"/>
      <c r="D16" s="14" t="inlineStr"/>
    </row>
    <row r="17">
      <c r="A17" s="12" t="inlineStr">
        <is>
          <t>CR Effort</t>
        </is>
      </c>
      <c r="B17" s="19" t="inlineStr">
        <is>
          <t>OOTB status</t>
        </is>
      </c>
      <c r="C17" s="12" t="inlineStr">
        <is>
          <t>What the iNXT BrokerVerse OOTB platform offers (brokerverse-platform)</t>
        </is>
      </c>
      <c r="D17" s="12" t="inlineStr"/>
    </row>
    <row r="18">
      <c r="A18" s="14" t="inlineStr">
        <is>
          <t>CR Effort</t>
        </is>
      </c>
      <c r="B18" s="20" t="inlineStr">
        <is>
          <t>Scope of the change</t>
        </is>
      </c>
      <c r="C18" s="14" t="inlineStr"/>
      <c r="D18" s="14" t="inlineStr"/>
    </row>
    <row r="19">
      <c r="A19" s="12" t="inlineStr">
        <is>
          <t>CR Effort</t>
        </is>
      </c>
      <c r="B19" s="19" t="inlineStr">
        <is>
          <t>Analysis and design</t>
        </is>
      </c>
      <c r="C19" s="12" t="inlineStr">
        <is>
          <t>Man-days</t>
        </is>
      </c>
      <c r="D19" s="12" t="inlineStr"/>
    </row>
    <row r="20">
      <c r="A20" s="14" t="inlineStr">
        <is>
          <t>CR Effort</t>
        </is>
      </c>
      <c r="B20" s="20" t="inlineStr">
        <is>
          <t>Backend</t>
        </is>
      </c>
      <c r="C20" s="14" t="inlineStr">
        <is>
          <t>Man-days</t>
        </is>
      </c>
      <c r="D20" s="14" t="inlineStr"/>
    </row>
    <row r="21">
      <c r="A21" s="12" t="inlineStr">
        <is>
          <t>CR Effort</t>
        </is>
      </c>
      <c r="B21" s="19" t="inlineStr">
        <is>
          <t>Frontend</t>
        </is>
      </c>
      <c r="C21" s="12" t="inlineStr">
        <is>
          <t>Man-days</t>
        </is>
      </c>
      <c r="D21" s="12" t="inlineStr"/>
    </row>
    <row r="22">
      <c r="A22" s="14" t="inlineStr">
        <is>
          <t>CR Effort</t>
        </is>
      </c>
      <c r="B22" s="20" t="inlineStr">
        <is>
          <t>Testing</t>
        </is>
      </c>
      <c r="C22" s="14" t="inlineStr">
        <is>
          <t>Man-days</t>
        </is>
      </c>
      <c r="D22" s="14" t="inlineStr"/>
    </row>
    <row r="23">
      <c r="A23" s="12" t="inlineStr">
        <is>
          <t>CR Effort</t>
        </is>
      </c>
      <c r="B23" s="19" t="inlineStr">
        <is>
          <t>Documentation and UAT support</t>
        </is>
      </c>
      <c r="C23" s="12" t="inlineStr">
        <is>
          <t>Man-days</t>
        </is>
      </c>
      <c r="D23" s="12" t="inlineStr"/>
    </row>
    <row r="24">
      <c r="A24" s="14" t="inlineStr">
        <is>
          <t>CR Effort</t>
        </is>
      </c>
      <c r="B24" s="20" t="inlineStr">
        <is>
          <t>Total man-days</t>
        </is>
      </c>
      <c r="C24" s="14" t="inlineStr">
        <is>
          <t>Formula</t>
        </is>
      </c>
      <c r="D24" s="14" t="inlineStr"/>
    </row>
    <row r="25">
      <c r="A25" s="12" t="inlineStr">
        <is>
          <t>CR Effort</t>
        </is>
      </c>
      <c r="B25" s="19" t="inlineStr">
        <is>
          <t>Low (-20%)</t>
        </is>
      </c>
      <c r="C25" s="12" t="inlineStr">
        <is>
          <t>Formula</t>
        </is>
      </c>
      <c r="D25" s="12" t="inlineStr"/>
    </row>
    <row r="26">
      <c r="A26" s="14" t="inlineStr">
        <is>
          <t>CR Effort</t>
        </is>
      </c>
      <c r="B26" s="20" t="inlineStr">
        <is>
          <t>High (+20%)</t>
        </is>
      </c>
      <c r="C26" s="14" t="inlineStr">
        <is>
          <t>Formula</t>
        </is>
      </c>
      <c r="D26" s="14" t="inlineStr"/>
    </row>
    <row r="27">
      <c r="A27" s="12" t="inlineStr">
        <is>
          <t>CR Effort</t>
        </is>
      </c>
      <c r="B27" s="19" t="inlineStr">
        <is>
          <t>Complexity</t>
        </is>
      </c>
      <c r="C27" s="12" t="inlineStr"/>
      <c r="D27" s="12" t="inlineStr">
        <is>
          <t>Low, Medium, High</t>
        </is>
      </c>
    </row>
    <row r="28">
      <c r="A28" s="14" t="inlineStr">
        <is>
          <t>CR Effort</t>
        </is>
      </c>
      <c r="B28" s="20" t="inlineStr">
        <is>
          <t>Priority</t>
        </is>
      </c>
      <c r="C28" s="14" t="inlineStr"/>
      <c r="D28" s="14" t="inlineStr">
        <is>
          <t>High, Medium, Low</t>
        </is>
      </c>
    </row>
    <row r="29">
      <c r="A29" s="12" t="inlineStr">
        <is>
          <t>CR Effort</t>
        </is>
      </c>
      <c r="B29" s="19" t="inlineStr">
        <is>
          <t>Dependencies</t>
        </is>
      </c>
      <c r="C29" s="12" t="inlineStr"/>
      <c r="D29" s="12" t="inlineStr"/>
    </row>
    <row r="30">
      <c r="A30" s="14" t="inlineStr">
        <is>
          <t>CR Effort</t>
        </is>
      </c>
      <c r="B30" s="20" t="inlineStr">
        <is>
          <t>Assumptions</t>
        </is>
      </c>
      <c r="C30" s="14" t="inlineStr"/>
      <c r="D30" s="14" t="inlineStr"/>
    </row>
    <row r="31">
      <c r="A31" s="12" t="inlineStr">
        <is>
          <t>CR Effort</t>
        </is>
      </c>
      <c r="B31" s="19" t="inlineStr">
        <is>
          <t>Cost</t>
        </is>
      </c>
      <c r="C31" s="12" t="inlineStr">
        <is>
          <t>Total man-days x day rate</t>
        </is>
      </c>
      <c r="D31" s="12" t="inlineStr"/>
    </row>
    <row r="32">
      <c r="A32" s="14" t="inlineStr">
        <is>
          <t>CR Effort</t>
        </is>
      </c>
      <c r="B32" s="20" t="inlineStr">
        <is>
          <t>Feature List ID / OOTB status</t>
        </is>
      </c>
      <c r="C32" s="14" t="inlineStr">
        <is>
          <t>Row of the Feature List vs OOTB workbook (column OOTB platform)</t>
        </is>
      </c>
      <c r="D32" s="14" t="inlineStr"/>
    </row>
    <row r="33">
      <c r="A33" s="12" t="inlineStr">
        <is>
          <t>CR Effort</t>
        </is>
      </c>
      <c r="B33" s="19" t="inlineStr">
        <is>
          <t>OOTB evidence</t>
        </is>
      </c>
      <c r="C33" s="12" t="inlineStr">
        <is>
          <t>Screen or function of the OOTB platform, or not found</t>
        </is>
      </c>
      <c r="D33" s="12" t="inlineStr"/>
    </row>
    <row r="34">
      <c r="A34" s="14" t="inlineStr">
        <is>
          <t>CR Effort</t>
        </is>
      </c>
      <c r="B34" s="20" t="inlineStr">
        <is>
          <t>Prepared for BIBS?</t>
        </is>
      </c>
      <c r="C34" s="14" t="inlineStr">
        <is>
          <t>Already available for BDOI in the BIBS system; the effort is still the CR value</t>
        </is>
      </c>
      <c r="D34" s="14" t="inlineStr"/>
    </row>
    <row r="35">
      <c r="A35" s="12" t="inlineStr">
        <is>
          <t>Beyond the BRD - OOTB</t>
        </is>
      </c>
      <c r="B35" s="19" t="inlineStr">
        <is>
          <t>No.</t>
        </is>
      </c>
      <c r="C35" s="12" t="inlineStr">
        <is>
          <t>OB-UA-nn</t>
        </is>
      </c>
      <c r="D35" s="12" t="inlineStr"/>
    </row>
    <row r="36">
      <c r="A36" s="14" t="inlineStr">
        <is>
          <t>Beyond the BRD - OOTB</t>
        </is>
      </c>
      <c r="B36" s="20" t="inlineStr">
        <is>
          <t>Point</t>
        </is>
      </c>
      <c r="C36" s="14" t="inlineStr"/>
      <c r="D36" s="14" t="inlineStr"/>
    </row>
    <row r="37">
      <c r="A37" s="12" t="inlineStr">
        <is>
          <t>Beyond the BRD - OOTB</t>
        </is>
      </c>
      <c r="B37" s="19" t="inlineStr">
        <is>
          <t>FRS reference</t>
        </is>
      </c>
      <c r="C37" s="12" t="inlineStr"/>
      <c r="D37" s="12" t="inlineStr"/>
    </row>
    <row r="38">
      <c r="A38" s="14" t="inlineStr">
        <is>
          <t>Beyond the BRD - OOTB</t>
        </is>
      </c>
      <c r="B38" s="20" t="inlineStr">
        <is>
          <t>BRD reference</t>
        </is>
      </c>
      <c r="C38" s="14" t="inlineStr"/>
      <c r="D38" s="14" t="inlineStr"/>
    </row>
    <row r="39">
      <c r="A39" s="12" t="inlineStr">
        <is>
          <t>Beyond the BRD - OOTB</t>
        </is>
      </c>
      <c r="B39" s="19" t="inlineStr">
        <is>
          <t>What BDOI gets</t>
        </is>
      </c>
      <c r="C39" s="12" t="inlineStr"/>
      <c r="D39" s="12" t="inlineStr"/>
    </row>
    <row r="40">
      <c r="A40" s="14" t="inlineStr">
        <is>
          <t>Beyond the BRD - OOTB</t>
        </is>
      </c>
      <c r="B40" s="20" t="inlineStr">
        <is>
          <t>OOTB status</t>
        </is>
      </c>
      <c r="C40" s="14" t="inlineStr"/>
      <c r="D40" s="14" t="inlineStr"/>
    </row>
    <row r="41">
      <c r="A41" s="12" t="inlineStr">
        <is>
          <t>Beyond the BRD - OOTB</t>
        </is>
      </c>
      <c r="B41" s="19" t="inlineStr">
        <is>
          <t>Cost (man-days)</t>
        </is>
      </c>
      <c r="C41" s="12" t="inlineStr">
        <is>
          <t>No change request</t>
        </is>
      </c>
      <c r="D41" s="12" t="inlineStr"/>
    </row>
    <row r="42">
      <c r="A42" s="14" t="inlineStr">
        <is>
          <t>Beyond the BRD - OOTB</t>
        </is>
      </c>
      <c r="B42" s="20" t="inlineStr">
        <is>
          <t>Note</t>
        </is>
      </c>
      <c r="C42" s="14" t="inlineStr">
        <is>
          <t>Former change request number, BRD it extends</t>
        </is>
      </c>
      <c r="D42" s="14" t="inlineStr"/>
    </row>
    <row r="43">
      <c r="A43" s="12" t="inlineStr">
        <is>
          <t>Beyond the BRD - OOTB</t>
        </is>
      </c>
      <c r="B43" s="19" t="inlineStr">
        <is>
          <t>Feature List ID / OOTB status</t>
        </is>
      </c>
      <c r="C43" s="12" t="inlineStr">
        <is>
          <t>Row of the Feature List vs OOTB workbook (column OOTB platform)</t>
        </is>
      </c>
      <c r="D43" s="12" t="inlineStr"/>
    </row>
    <row r="44">
      <c r="A44" s="14" t="inlineStr">
        <is>
          <t>Beyond the BRD - OOTB</t>
        </is>
      </c>
      <c r="B44" s="20" t="inlineStr">
        <is>
          <t>OOTB evidence</t>
        </is>
      </c>
      <c r="C44" s="14" t="inlineStr">
        <is>
          <t>Screen or function of the OOTB platform</t>
        </is>
      </c>
      <c r="D44" s="14" t="inlineStr"/>
    </row>
    <row r="45">
      <c r="A45" s="12" t="inlineStr">
        <is>
          <t>BRD items to deliver</t>
        </is>
      </c>
      <c r="B45" s="19" t="inlineStr">
        <is>
          <t>No.</t>
        </is>
      </c>
      <c r="C45" s="12" t="inlineStr"/>
      <c r="D45" s="12" t="inlineStr"/>
    </row>
    <row r="46">
      <c r="A46" s="14" t="inlineStr">
        <is>
          <t>BRD items to deliver</t>
        </is>
      </c>
      <c r="B46" s="20" t="inlineStr">
        <is>
          <t>Item</t>
        </is>
      </c>
      <c r="C46" s="14" t="inlineStr"/>
      <c r="D46" s="14" t="inlineStr"/>
    </row>
    <row r="47">
      <c r="A47" s="12" t="inlineStr">
        <is>
          <t>BRD items to deliver</t>
        </is>
      </c>
      <c r="B47" s="19" t="inlineStr">
        <is>
          <t>BRD reference</t>
        </is>
      </c>
      <c r="C47" s="12" t="inlineStr"/>
      <c r="D47" s="12" t="inlineStr"/>
    </row>
    <row r="48">
      <c r="A48" s="14" t="inlineStr">
        <is>
          <t>BRD items to deliver</t>
        </is>
      </c>
      <c r="B48" s="20" t="inlineStr">
        <is>
          <t>FRS reference</t>
        </is>
      </c>
      <c r="C48" s="14" t="inlineStr"/>
      <c r="D48" s="14" t="inlineStr"/>
    </row>
    <row r="49">
      <c r="A49" s="12" t="inlineStr">
        <is>
          <t>BRD items to deliver</t>
        </is>
      </c>
      <c r="B49" s="19" t="inlineStr">
        <is>
          <t>What is delivered</t>
        </is>
      </c>
      <c r="C49" s="12" t="inlineStr"/>
      <c r="D49" s="12" t="inlineStr"/>
    </row>
    <row r="50">
      <c r="A50" s="14" t="inlineStr">
        <is>
          <t>BRD items to deliver</t>
        </is>
      </c>
      <c r="B50" s="20" t="inlineStr">
        <is>
          <t>Analysis and design</t>
        </is>
      </c>
      <c r="C50" s="14" t="inlineStr">
        <is>
          <t>Man-days</t>
        </is>
      </c>
      <c r="D50" s="14" t="inlineStr"/>
    </row>
    <row r="51">
      <c r="A51" s="12" t="inlineStr">
        <is>
          <t>BRD items to deliver</t>
        </is>
      </c>
      <c r="B51" s="19" t="inlineStr">
        <is>
          <t>Backend and frontend</t>
        </is>
      </c>
      <c r="C51" s="12" t="inlineStr">
        <is>
          <t>Man-days</t>
        </is>
      </c>
      <c r="D51" s="12" t="inlineStr"/>
    </row>
    <row r="52">
      <c r="A52" s="14" t="inlineStr">
        <is>
          <t>BRD items to deliver</t>
        </is>
      </c>
      <c r="B52" s="20" t="inlineStr">
        <is>
          <t>Testing and UAT support</t>
        </is>
      </c>
      <c r="C52" s="14" t="inlineStr">
        <is>
          <t>Man-days</t>
        </is>
      </c>
      <c r="D52" s="14" t="inlineStr"/>
    </row>
    <row r="53">
      <c r="A53" s="12" t="inlineStr">
        <is>
          <t>BRD items to deliver</t>
        </is>
      </c>
      <c r="B53" s="19" t="inlineStr">
        <is>
          <t>Total man-days</t>
        </is>
      </c>
      <c r="C53" s="12" t="inlineStr">
        <is>
          <t>Formula</t>
        </is>
      </c>
      <c r="D53" s="12" t="inlineStr"/>
    </row>
    <row r="54">
      <c r="A54" s="14" t="inlineStr">
        <is>
          <t>BRD items to deliver</t>
        </is>
      </c>
      <c r="B54" s="20" t="inlineStr">
        <is>
          <t>Cost</t>
        </is>
      </c>
      <c r="C54" s="14" t="inlineStr">
        <is>
          <t>In scope</t>
        </is>
      </c>
      <c r="D54" s="14" t="inlineStr"/>
    </row>
    <row r="55">
      <c r="A55" s="12" t="inlineStr">
        <is>
          <t>BRD items to deliver</t>
        </is>
      </c>
      <c r="B55" s="19" t="inlineStr">
        <is>
          <t>Feature List ID / OOTB status</t>
        </is>
      </c>
      <c r="C55" s="12" t="inlineStr">
        <is>
          <t>Row of the Feature List vs OOTB workbook (column OOTB platform)</t>
        </is>
      </c>
      <c r="D55" s="12" t="inlineStr"/>
    </row>
    <row r="56">
      <c r="A56" s="14" t="inlineStr">
        <is>
          <t>BRD items to deliver</t>
        </is>
      </c>
      <c r="B56" s="20" t="inlineStr">
        <is>
          <t>OOTB evidence</t>
        </is>
      </c>
      <c r="C56" s="14" t="inlineStr">
        <is>
          <t>brokerverse-platform</t>
        </is>
      </c>
      <c r="D56" s="14" t="inlineStr"/>
    </row>
    <row r="57">
      <c r="A57" s="12" t="inlineStr">
        <is>
          <t>BRD items to deliver</t>
        </is>
      </c>
      <c r="B57" s="19" t="inlineStr">
        <is>
          <t>Prepared for BIBS?</t>
        </is>
      </c>
      <c r="C57" s="12" t="inlineStr">
        <is>
          <t>Already available for BDOI in the BIBS system</t>
        </is>
      </c>
      <c r="D57" s="12" t="inlineStr"/>
    </row>
    <row r="58">
      <c r="A58" s="14" t="inlineStr">
        <is>
          <t>Integration &amp; Data Migration</t>
        </is>
      </c>
      <c r="B58" s="20" t="inlineStr">
        <is>
          <t>No.</t>
        </is>
      </c>
      <c r="C58" s="14" t="inlineStr">
        <is>
          <t>IS-UA-nn / DM-UA-nn</t>
        </is>
      </c>
      <c r="D58" s="14" t="inlineStr"/>
    </row>
    <row r="59">
      <c r="A59" s="12" t="inlineStr">
        <is>
          <t>Integration &amp; Data Migration</t>
        </is>
      </c>
      <c r="B59" s="19" t="inlineStr">
        <is>
          <t>Point</t>
        </is>
      </c>
      <c r="C59" s="12" t="inlineStr"/>
      <c r="D59" s="12" t="inlineStr"/>
    </row>
    <row r="60">
      <c r="A60" s="14" t="inlineStr">
        <is>
          <t>Integration &amp; Data Migration</t>
        </is>
      </c>
      <c r="B60" s="20" t="inlineStr">
        <is>
          <t>FRS reference</t>
        </is>
      </c>
      <c r="C60" s="14" t="inlineStr"/>
      <c r="D60" s="14" t="inlineStr"/>
    </row>
    <row r="61">
      <c r="A61" s="12" t="inlineStr">
        <is>
          <t>Integration &amp; Data Migration</t>
        </is>
      </c>
      <c r="B61" s="19" t="inlineStr">
        <is>
          <t>Scope</t>
        </is>
      </c>
      <c r="C61" s="12" t="inlineStr"/>
      <c r="D61" s="12" t="inlineStr"/>
    </row>
    <row r="62">
      <c r="A62" s="14" t="inlineStr">
        <is>
          <t>Integration &amp; Data Migration</t>
        </is>
      </c>
      <c r="B62" s="20" t="inlineStr">
        <is>
          <t>Workstream</t>
        </is>
      </c>
      <c r="C62" s="14" t="inlineStr"/>
      <c r="D62" s="14" t="inlineStr"/>
    </row>
    <row r="63">
      <c r="A63" s="12" t="inlineStr">
        <is>
          <t>Integration &amp; Data Migration</t>
        </is>
      </c>
      <c r="B63" s="19" t="inlineStr">
        <is>
          <t>Feature List ID / OOTB status</t>
        </is>
      </c>
      <c r="C63" s="12" t="inlineStr"/>
      <c r="D63" s="12" t="inlineStr"/>
    </row>
    <row r="64">
      <c r="A64" s="14" t="inlineStr">
        <is>
          <t>Integration &amp; Data Migration</t>
        </is>
      </c>
      <c r="B64" s="20" t="inlineStr">
        <is>
          <t>Note</t>
        </is>
      </c>
      <c r="C64" s="14" t="inlineStr"/>
      <c r="D64" s="14" t="inlineStr"/>
    </row>
    <row r="65">
      <c r="A65" s="12" t="inlineStr">
        <is>
          <t>Integration &amp; Data Migration</t>
        </is>
      </c>
      <c r="B65" s="19" t="inlineStr">
        <is>
          <t>Cost</t>
        </is>
      </c>
      <c r="C65" s="12" t="inlineStr">
        <is>
          <t>No CR cost here</t>
        </is>
      </c>
      <c r="D65" s="12" t="inlineStr"/>
    </row>
    <row r="66">
      <c r="A66" s="14" t="inlineStr">
        <is>
          <t>Best practice (blue)</t>
        </is>
      </c>
      <c r="B66" s="20" t="inlineStr">
        <is>
          <t>ID</t>
        </is>
      </c>
      <c r="C66" s="14" t="inlineStr">
        <is>
          <t>BP-UA-nn</t>
        </is>
      </c>
      <c r="D66" s="14" t="inlineStr"/>
    </row>
    <row r="67">
      <c r="A67" s="12" t="inlineStr">
        <is>
          <t>Best practice (blue)</t>
        </is>
      </c>
      <c r="B67" s="19" t="inlineStr">
        <is>
          <t>Practice</t>
        </is>
      </c>
      <c r="C67" s="12" t="inlineStr"/>
      <c r="D67" s="12" t="inlineStr"/>
    </row>
    <row r="68">
      <c r="A68" s="14" t="inlineStr">
        <is>
          <t>Best practice (blue)</t>
        </is>
      </c>
      <c r="B68" s="20" t="inlineStr">
        <is>
          <t>Why it matters for a broker</t>
        </is>
      </c>
      <c r="C68" s="14" t="inlineStr">
        <is>
          <t>Philippine market (IC, Data Privacy Act, AMLA) where relevant</t>
        </is>
      </c>
      <c r="D68" s="14" t="inlineStr"/>
    </row>
    <row r="69">
      <c r="A69" s="12" t="inlineStr">
        <is>
          <t>Best practice (blue)</t>
        </is>
      </c>
      <c r="B69" s="19" t="inlineStr">
        <is>
          <t>Suggested priority</t>
        </is>
      </c>
      <c r="C69" s="12" t="inlineStr"/>
      <c r="D69" s="12" t="inlineStr">
        <is>
          <t>High, Medium, Low</t>
        </is>
      </c>
    </row>
    <row r="70">
      <c r="A70" s="14" t="inlineStr">
        <is>
          <t>Best practice (blue)</t>
        </is>
      </c>
      <c r="B70" s="20" t="inlineStr">
        <is>
          <t>Indicative man-days</t>
        </is>
      </c>
      <c r="C70" s="14" t="inlineStr">
        <is>
          <t>Not part of the CR total</t>
        </is>
      </c>
      <c r="D70" s="14" t="inlineStr"/>
    </row>
    <row r="71">
      <c r="A71" s="12" t="inlineStr">
        <is>
          <t>Assumptions</t>
        </is>
      </c>
      <c r="B71" s="19" t="inlineStr">
        <is>
          <t>Assumption</t>
        </is>
      </c>
      <c r="C71" s="12" t="inlineStr"/>
      <c r="D71" s="12" t="inlineStr"/>
    </row>
    <row r="72">
      <c r="A72" s="14" t="inlineStr">
        <is>
          <t>Assumptions</t>
        </is>
      </c>
      <c r="B72" s="20" t="inlineStr">
        <is>
          <t>Value</t>
        </is>
      </c>
      <c r="C72" s="14" t="inlineStr">
        <is>
          <t>Enter the day rate here</t>
        </is>
      </c>
      <c r="D72" s="14" t="inlineStr"/>
    </row>
    <row r="73">
      <c r="A73" s="12" t="inlineStr">
        <is>
          <t>Assumptions</t>
        </is>
      </c>
      <c r="B73" s="19" t="inlineStr">
        <is>
          <t>Note</t>
        </is>
      </c>
      <c r="C73" s="12" t="inlineStr"/>
      <c r="D73" s="12" t="inlineStr"/>
    </row>
  </sheetData>
  <autoFilter ref="A4:D73"/>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6" customWidth="1" min="5" max="5"/>
    <col width="50" customWidth="1" min="6" max="6"/>
  </cols>
  <sheetData>
    <row r="1" ht="24" customHeight="1">
      <c r="A1" s="18" t="inlineStr">
        <is>
          <t>Summary</t>
        </is>
      </c>
    </row>
    <row r="2">
      <c r="A2" s="21" t="inlineStr">
        <is>
          <t>Totals of the change requests of BRD-11 (FRS v1.4, Annex AA.2); figures by formula</t>
        </is>
      </c>
    </row>
    <row r="3" ht="6" customHeight="1">
      <c r="A3" s="22" t="n"/>
      <c r="B3" s="22" t="n"/>
      <c r="C3" s="22" t="n"/>
      <c r="D3" s="22" t="n"/>
      <c r="E3" s="22" t="n"/>
      <c r="F3" s="22" t="n"/>
    </row>
    <row r="4" ht="30" customHeight="1">
      <c r="A4" s="23" t="inlineStr">
        <is>
          <t>Item</t>
        </is>
      </c>
      <c r="B4" s="23" t="inlineStr">
        <is>
          <t>Man-days</t>
        </is>
      </c>
      <c r="C4" s="23" t="inlineStr">
        <is>
          <t>Low (-20%)</t>
        </is>
      </c>
      <c r="D4" s="23" t="inlineStr">
        <is>
          <t>High (+20%)</t>
        </is>
      </c>
      <c r="E4" s="23" t="inlineStr">
        <is>
          <t>Cost</t>
        </is>
      </c>
      <c r="F4" s="23" t="inlineStr">
        <is>
          <t>Note</t>
        </is>
      </c>
    </row>
    <row r="5">
      <c r="A5" s="12" t="inlineStr">
        <is>
          <t>CR-UA-003 Break-glass administrators</t>
        </is>
      </c>
      <c r="B5" s="24">
        <f>'CR Effort'!N5</f>
        <v/>
      </c>
      <c r="C5" s="24">
        <f>'CR Effort'!O5</f>
        <v/>
      </c>
      <c r="D5" s="24">
        <f>'CR Effort'!P5</f>
        <v/>
      </c>
      <c r="E5" s="25">
        <f>'CR Effort'!U5</f>
        <v/>
      </c>
      <c r="F5" s="12" t="inlineStr">
        <is>
          <t>High priority; Medium complexity</t>
        </is>
      </c>
    </row>
    <row r="6">
      <c r="A6" s="12" t="inlineStr">
        <is>
          <t>CR-UA-007 Supervisory and record-ownership access</t>
        </is>
      </c>
      <c r="B6" s="24">
        <f>'CR Effort'!N6</f>
        <v/>
      </c>
      <c r="C6" s="24">
        <f>'CR Effort'!O6</f>
        <v/>
      </c>
      <c r="D6" s="24">
        <f>'CR Effort'!P6</f>
        <v/>
      </c>
      <c r="E6" s="25">
        <f>'CR Effort'!U6</f>
        <v/>
      </c>
      <c r="F6" s="12" t="inlineStr">
        <is>
          <t>Medium priority; High complexity</t>
        </is>
      </c>
    </row>
    <row r="7">
      <c r="A7" s="12" t="inlineStr">
        <is>
          <t>CR-UA-008 No conflicting permissions inside a group profile</t>
        </is>
      </c>
      <c r="B7" s="24">
        <f>'CR Effort'!N7</f>
        <v/>
      </c>
      <c r="C7" s="24">
        <f>'CR Effort'!O7</f>
        <v/>
      </c>
      <c r="D7" s="24">
        <f>'CR Effort'!P7</f>
        <v/>
      </c>
      <c r="E7" s="25">
        <f>'CR Effort'!U7</f>
        <v/>
      </c>
      <c r="F7" s="12" t="inlineStr">
        <is>
          <t>Medium priority; Low complexity</t>
        </is>
      </c>
    </row>
    <row r="8">
      <c r="A8" s="12" t="inlineStr">
        <is>
          <t>CR-UA-009 Export file names</t>
        </is>
      </c>
      <c r="B8" s="24">
        <f>'CR Effort'!N8</f>
        <v/>
      </c>
      <c r="C8" s="24">
        <f>'CR Effort'!O8</f>
        <v/>
      </c>
      <c r="D8" s="24">
        <f>'CR Effort'!P8</f>
        <v/>
      </c>
      <c r="E8" s="25">
        <f>'CR Effort'!U8</f>
        <v/>
      </c>
      <c r="F8" s="12" t="inlineStr">
        <is>
          <t>Low priority; Low complexity</t>
        </is>
      </c>
    </row>
    <row r="9">
      <c r="A9" s="12" t="inlineStr">
        <is>
          <t>CR-UA-011 Approval times, reminders and escalation</t>
        </is>
      </c>
      <c r="B9" s="24">
        <f>'CR Effort'!N9</f>
        <v/>
      </c>
      <c r="C9" s="24">
        <f>'CR Effort'!O9</f>
        <v/>
      </c>
      <c r="D9" s="24">
        <f>'CR Effort'!P9</f>
        <v/>
      </c>
      <c r="E9" s="25">
        <f>'CR Effort'!U9</f>
        <v/>
      </c>
      <c r="F9" s="12" t="inlineStr">
        <is>
          <t>Medium priority; Medium complexity</t>
        </is>
      </c>
    </row>
    <row r="10">
      <c r="A10" s="12" t="inlineStr">
        <is>
          <t>CR-UA-013 E-mail copy of the request notices</t>
        </is>
      </c>
      <c r="B10" s="24">
        <f>'CR Effort'!N10</f>
        <v/>
      </c>
      <c r="C10" s="24">
        <f>'CR Effort'!O10</f>
        <v/>
      </c>
      <c r="D10" s="24">
        <f>'CR Effort'!P10</f>
        <v/>
      </c>
      <c r="E10" s="25">
        <f>'CR Effort'!U10</f>
        <v/>
      </c>
      <c r="F10" s="12" t="inlineStr">
        <is>
          <t>Medium priority; Low complexity</t>
        </is>
      </c>
    </row>
    <row r="11">
      <c r="A11" s="12" t="inlineStr">
        <is>
          <t>CR-UA-014 Temporary access with an end date</t>
        </is>
      </c>
      <c r="B11" s="24">
        <f>'CR Effort'!N11</f>
        <v/>
      </c>
      <c r="C11" s="24">
        <f>'CR Effort'!O11</f>
        <v/>
      </c>
      <c r="D11" s="24">
        <f>'CR Effort'!P11</f>
        <v/>
      </c>
      <c r="E11" s="25">
        <f>'CR Effort'!U11</f>
        <v/>
      </c>
      <c r="F11" s="12" t="inlineStr">
        <is>
          <t>Low priority; Medium complexity</t>
        </is>
      </c>
    </row>
    <row r="12">
      <c r="A12" s="12" t="inlineStr">
        <is>
          <t>CR-UA-016 Emergency role edit</t>
        </is>
      </c>
      <c r="B12" s="24">
        <f>'CR Effort'!N12</f>
        <v/>
      </c>
      <c r="C12" s="24">
        <f>'CR Effort'!O12</f>
        <v/>
      </c>
      <c r="D12" s="24">
        <f>'CR Effort'!P12</f>
        <v/>
      </c>
      <c r="E12" s="25">
        <f>'CR Effort'!U12</f>
        <v/>
      </c>
      <c r="F12" s="12" t="inlineStr">
        <is>
          <t>Medium priority; Medium complexity</t>
        </is>
      </c>
    </row>
    <row r="13">
      <c r="A13" s="26" t="inlineStr">
        <is>
          <t>Total of the 8 change requests</t>
        </is>
      </c>
      <c r="B13" s="27">
        <f>SUM(B5:B12)</f>
        <v/>
      </c>
      <c r="C13" s="27">
        <f>SUM(C5:C12)</f>
        <v/>
      </c>
      <c r="D13" s="27">
        <f>SUM(D5:D12)</f>
        <v/>
      </c>
      <c r="E13" s="28">
        <f>IF(DayRate="","",SUM(E5:E12))</f>
        <v/>
      </c>
      <c r="F13" s="12" t="inlineStr">
        <is>
          <t>Cost appears when the day rate is entered on the sheet Assumptions</t>
        </is>
      </c>
    </row>
    <row r="14">
      <c r="A14" s="12" t="inlineStr">
        <is>
          <t>Points beyond the BRD offered by iNXT BrokerVerse OOTB (5)</t>
        </is>
      </c>
      <c r="B14" s="24" t="n">
        <v>0</v>
      </c>
      <c r="C14" s="24" t="n">
        <v>0</v>
      </c>
      <c r="D14" s="24" t="n">
        <v>0</v>
      </c>
      <c r="E14" s="25" t="n">
        <v>0</v>
      </c>
      <c r="F14" s="12" t="inlineStr">
        <is>
          <t>No change request, no cost (sheet Beyond the BRD - OOTB)</t>
        </is>
      </c>
    </row>
    <row r="15">
      <c r="A15" s="12" t="inlineStr">
        <is>
          <t>BRD requirements to deliver (15, in scope)</t>
        </is>
      </c>
      <c r="B15" s="24">
        <f>SUM('BRD items to deliver'!I5:I19)</f>
        <v/>
      </c>
      <c r="C15" s="24" t="inlineStr"/>
      <c r="D15" s="24" t="inlineStr"/>
      <c r="E15" s="25" t="inlineStr">
        <is>
          <t>Not charged</t>
        </is>
      </c>
      <c r="F15" s="12" t="inlineStr">
        <is>
          <t>For planning only (FRS Annex AA.4)</t>
        </is>
      </c>
    </row>
    <row r="16">
      <c r="A16" s="12" t="inlineStr">
        <is>
          <t>Integration and Data Migration scope (6)</t>
        </is>
      </c>
      <c r="B16" s="24" t="inlineStr"/>
      <c r="C16" s="24" t="inlineStr"/>
      <c r="D16" s="24" t="inlineStr"/>
      <c r="E16" s="25" t="inlineStr">
        <is>
          <t>Not here</t>
        </is>
      </c>
      <c r="F16" s="12" t="inlineStr">
        <is>
          <t>Covered by the Integration and Data Migration workstreams (FRS Annex AA.5)</t>
        </is>
      </c>
    </row>
    <row r="17">
      <c r="A17" s="12" t="inlineStr">
        <is>
          <t>Best-practice recommendations (6, blue)</t>
        </is>
      </c>
      <c r="B17" s="24">
        <f>SUM('Best practice (blue)'!E5:E10)</f>
        <v/>
      </c>
      <c r="C17" s="24" t="inlineStr"/>
      <c r="D17" s="24" t="inlineStr"/>
      <c r="E17" s="25" t="inlineStr">
        <is>
          <t>Indicative</t>
        </is>
      </c>
      <c r="F17" s="12" t="inlineStr">
        <is>
          <t>Excluded from the CR total (FRS Annex AA.6)</t>
        </is>
      </c>
    </row>
  </sheetData>
  <autoFilter ref="A4:F17"/>
  <mergeCells count="1">
    <mergeCell ref="A2:F2"/>
  </mergeCells>
  <conditionalFormatting sqref="A5:F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X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22" customWidth="1" min="3" max="3"/>
    <col width="20" customWidth="1" min="4" max="4"/>
    <col width="18" customWidth="1" min="5" max="5"/>
    <col width="46" customWidth="1" min="6" max="6"/>
    <col width="30" customWidth="1" min="7" max="7"/>
    <col width="46" customWidth="1" min="8" max="8"/>
    <col width="11" customWidth="1" min="9" max="9"/>
    <col width="10" customWidth="1" min="10" max="10"/>
    <col width="10" customWidth="1" min="11" max="11"/>
    <col width="10" customWidth="1" min="12" max="12"/>
    <col width="13" customWidth="1" min="13" max="13"/>
    <col width="11" customWidth="1" min="14" max="14"/>
    <col width="10" customWidth="1" min="15" max="15"/>
    <col width="10" customWidth="1" min="16" max="16"/>
    <col width="11" customWidth="1" min="17" max="17"/>
    <col width="10" customWidth="1" min="18" max="18"/>
    <col width="34" customWidth="1" min="19" max="19"/>
    <col width="34" customWidth="1" min="20" max="20"/>
    <col width="14" customWidth="1" min="21" max="21"/>
    <col width="30" customWidth="1" min="22" max="22"/>
    <col width="40" customWidth="1" min="23" max="23"/>
    <col width="14" customWidth="1" min="24" max="24"/>
  </cols>
  <sheetData>
    <row r="1" ht="24" customHeight="1">
      <c r="A1" s="18" t="inlineStr">
        <is>
          <t>CR Effort</t>
        </is>
      </c>
    </row>
    <row r="2">
      <c r="A2" s="21" t="inlineStr">
        <is>
          <t>One row per change request (orange point of the FRS v1.4); man-days of 8 hours, +-20%</t>
        </is>
      </c>
    </row>
    <row r="3" ht="6" customHeight="1">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row>
    <row r="4" ht="30" customHeight="1">
      <c r="A4" s="23" t="inlineStr">
        <is>
          <t>CR No.</t>
        </is>
      </c>
      <c r="B4" s="23" t="inlineStr">
        <is>
          <t>Title</t>
        </is>
      </c>
      <c r="C4" s="23" t="inlineStr">
        <is>
          <t>FRS reference</t>
        </is>
      </c>
      <c r="D4" s="23" t="inlineStr">
        <is>
          <t>BRD reference</t>
        </is>
      </c>
      <c r="E4" s="23" t="inlineStr">
        <is>
          <t>Source</t>
        </is>
      </c>
      <c r="F4" s="23" t="inlineStr">
        <is>
          <t>Why needed</t>
        </is>
      </c>
      <c r="G4" s="23" t="inlineStr">
        <is>
          <t>OOTB status</t>
        </is>
      </c>
      <c r="H4" s="23" t="inlineStr">
        <is>
          <t>Scope of the change</t>
        </is>
      </c>
      <c r="I4" s="23" t="inlineStr">
        <is>
          <t>Analysis and design</t>
        </is>
      </c>
      <c r="J4" s="23" t="inlineStr">
        <is>
          <t>Backend</t>
        </is>
      </c>
      <c r="K4" s="23" t="inlineStr">
        <is>
          <t>Frontend</t>
        </is>
      </c>
      <c r="L4" s="23" t="inlineStr">
        <is>
          <t>Testing</t>
        </is>
      </c>
      <c r="M4" s="23" t="inlineStr">
        <is>
          <t>Documentation and UAT support</t>
        </is>
      </c>
      <c r="N4" s="23" t="inlineStr">
        <is>
          <t>Total man-days</t>
        </is>
      </c>
      <c r="O4" s="23" t="inlineStr">
        <is>
          <t>Low (-20%)</t>
        </is>
      </c>
      <c r="P4" s="23" t="inlineStr">
        <is>
          <t>High (+20%)</t>
        </is>
      </c>
      <c r="Q4" s="23" t="inlineStr">
        <is>
          <t>Complexity</t>
        </is>
      </c>
      <c r="R4" s="23" t="inlineStr">
        <is>
          <t>Priority</t>
        </is>
      </c>
      <c r="S4" s="23" t="inlineStr">
        <is>
          <t>Dependencies</t>
        </is>
      </c>
      <c r="T4" s="23" t="inlineStr">
        <is>
          <t>Assumptions</t>
        </is>
      </c>
      <c r="U4" s="23" t="inlineStr">
        <is>
          <t>Cost</t>
        </is>
      </c>
      <c r="V4" s="23" t="inlineStr">
        <is>
          <t>Feature List ID / OOTB status</t>
        </is>
      </c>
      <c r="W4" s="23" t="inlineStr">
        <is>
          <t>OOTB evidence</t>
        </is>
      </c>
      <c r="X4" s="23" t="inlineStr">
        <is>
          <t>Prepared for BIBS?</t>
        </is>
      </c>
    </row>
    <row r="5">
      <c r="A5" s="29" t="inlineStr">
        <is>
          <t>CR-UA-003</t>
        </is>
      </c>
      <c r="B5" s="29" t="inlineStr">
        <is>
          <t>Break-glass administrators</t>
        </is>
      </c>
      <c r="C5" s="12" t="inlineStr">
        <is>
          <t>FRUM.001.06; Annex N.4, Annex Q.5</t>
        </is>
      </c>
      <c r="D5" s="12" t="inlineStr">
        <is>
          <t>Not in BRD</t>
        </is>
      </c>
      <c r="E5" s="12" t="inlineStr">
        <is>
          <t>Best practice (iorta TechNXT)</t>
        </is>
      </c>
      <c r="F5" s="12" t="inlineStr">
        <is>
          <t>BDOI's FRS signs every user in through EIAM; two named administrator accounts must still get in when EIAM is down, with each such sign-in alerted to Information Security. The OOTB platform has local accounts only and no break-glass accounts or alert.</t>
        </is>
      </c>
      <c r="G5" s="12" t="inlineStr">
        <is>
          <t>Not offered: no feature row; the OOTB platform has local accounts with a second factor (UAM-007) but no break-glass accounts kept beside the Enterprise SSO and no sign-in alert.</t>
        </is>
      </c>
      <c r="H5" s="12" t="inlineStr">
        <is>
          <t>Two named System Administrator accounts with a local password and second factor while every other user signs in through EIAM; the sign-in method recorded; a notice and e-mail to Information Security at each break-glass sign-in; the setting of the alert addresses.</t>
        </is>
      </c>
      <c r="I5" s="30" t="n">
        <v>1</v>
      </c>
      <c r="J5" s="30" t="n">
        <v>2</v>
      </c>
      <c r="K5" s="30" t="n">
        <v>1</v>
      </c>
      <c r="L5" s="30" t="n">
        <v>1.5</v>
      </c>
      <c r="M5" s="30" t="n">
        <v>0.5</v>
      </c>
      <c r="N5" s="30">
        <f>SUM(I5:M5)</f>
        <v/>
      </c>
      <c r="O5" s="30">
        <f>ROUND(N5*(1-Accuracy),1)</f>
        <v/>
      </c>
      <c r="P5" s="30">
        <f>ROUND(N5*(1+Accuracy),1)</f>
        <v/>
      </c>
      <c r="Q5" s="12" t="inlineStr">
        <is>
          <t>Medium</t>
        </is>
      </c>
      <c r="R5" s="12" t="inlineStr">
        <is>
          <t>High</t>
        </is>
      </c>
      <c r="S5" s="12" t="inlineStr">
        <is>
          <t>Sign-in through EIAM (IS-UA-03, Integration scope).</t>
        </is>
      </c>
      <c r="T5" s="12" t="inlineStr">
        <is>
          <t>Uses the second factor of the OOTB platform (UAM-007).</t>
        </is>
      </c>
      <c r="U5" s="25">
        <f>IF(DayRate="","",N5*DayRate)</f>
        <v/>
      </c>
      <c r="V5" s="12" t="inlineStr">
        <is>
          <t>No feature row (related UAM-007 two-factor authentication: Available)</t>
        </is>
      </c>
      <c r="W5" s="12" t="inlineStr">
        <is>
          <t>Not found: no break-glass account or break-glass sign-in alert in the OOTB sign-in</t>
        </is>
      </c>
      <c r="X5" s="12" t="inlineStr">
        <is>
          <t>Yes</t>
        </is>
      </c>
    </row>
    <row r="6">
      <c r="A6" s="29" t="inlineStr">
        <is>
          <t>CR-UA-007</t>
        </is>
      </c>
      <c r="B6" s="29" t="inlineStr">
        <is>
          <t>Supervisory and record-ownership access</t>
        </is>
      </c>
      <c r="C6" s="12" t="inlineStr">
        <is>
          <t>FRUM.001.02 (b), FRUM.005.01; Annex Q (C15)</t>
        </is>
      </c>
      <c r="D6" s="12" t="inlineStr">
        <is>
          <t>Not in BRD</t>
        </is>
      </c>
      <c r="E6" s="12" t="inlineStr">
        <is>
          <t>BDOI FRS v1.1</t>
        </is>
      </c>
      <c r="F6"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G6" s="12" t="inlineStr">
        <is>
          <t>Partial (UAM-017): scoped roles see only their own records and clients. Missing, and estimated here: scope by company, branch and unit, the supervisor link and the record-owner rule per role.</t>
        </is>
      </c>
      <c r="H6" s="12" t="inlineStr">
        <is>
          <t>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I6" s="30" t="n">
        <v>3.5</v>
      </c>
      <c r="J6" s="30" t="n">
        <v>12</v>
      </c>
      <c r="K6" s="30" t="n">
        <v>4</v>
      </c>
      <c r="L6" s="30" t="n">
        <v>6</v>
      </c>
      <c r="M6" s="30" t="n">
        <v>2</v>
      </c>
      <c r="N6" s="30">
        <f>SUM(I6:M6)</f>
        <v/>
      </c>
      <c r="O6" s="30">
        <f>ROUND(N6*(1-Accuracy),1)</f>
        <v/>
      </c>
      <c r="P6" s="30">
        <f>ROUND(N6*(1+Accuracy),1)</f>
        <v/>
      </c>
      <c r="Q6" s="12" t="inlineStr">
        <is>
          <t>High</t>
        </is>
      </c>
      <c r="R6" s="12" t="inlineStr">
        <is>
          <t>Medium</t>
        </is>
      </c>
      <c r="S6" s="12" t="inlineStr">
        <is>
          <t>BDOI to name the supervisory roles and the record owner of each module (User Access Matrix, Annex C); module FRS of each BRD for the records concerned.</t>
        </is>
      </c>
      <c r="T6" s="12" t="inlineStr">
        <is>
          <t>Effort for the missing part only (the own-records scope of the OOTB platform is reused); the personnel of a supervisor come from the user record (or UIDM-ISC), not from a separate organisation chart.</t>
        </is>
      </c>
      <c r="U6" s="25">
        <f>IF(DayRate="","",N6*DayRate)</f>
        <v/>
      </c>
      <c r="V6" s="12" t="inlineStr">
        <is>
          <t>UAM-017 Data-scope restriction: Partial</t>
        </is>
      </c>
      <c r="W6" s="12" t="inlineStr">
        <is>
          <t>Partial: own-records scope of scoped roles and the reporting line on the user; no branch or unit scope, no supervisor rule</t>
        </is>
      </c>
      <c r="X6" s="12" t="inlineStr">
        <is>
          <t>Partly (data scope by company and branch; no supervisor link)</t>
        </is>
      </c>
    </row>
    <row r="7">
      <c r="A7" s="29" t="inlineStr">
        <is>
          <t>CR-UA-008</t>
        </is>
      </c>
      <c r="B7" s="29" t="inlineStr">
        <is>
          <t>No conflicting permissions inside a group profile</t>
        </is>
      </c>
      <c r="C7" s="12" t="inlineStr">
        <is>
          <t>FRUM.006.03</t>
        </is>
      </c>
      <c r="D7" s="12" t="inlineStr">
        <is>
          <t>Not in BRD</t>
        </is>
      </c>
      <c r="E7" s="12" t="inlineStr">
        <is>
          <t>BDOI FRS v1.1</t>
        </is>
      </c>
      <c r="F7" s="12" t="inlineStr">
        <is>
          <t>BDOI's FRS asks that a group profile cannot hold two permissions that conflict. The OOTB platform checks pairs of roles held by one user (separation-of-duties rules); it has no rule on pairs of permissions inside a role.</t>
        </is>
      </c>
      <c r="G7" s="12" t="inlineStr">
        <is>
          <t>Partial: rules on pairs of roles (checked at role assignment). Missing, and estimated here: rules on pairs of permissions, checked when a group profile is changed and when a user is given access.</t>
        </is>
      </c>
      <c r="H7" s="12" t="inlineStr">
        <is>
          <t>Rules on pairs of permissions kept by the Business Administrator; check on every group profile change and access request; message naming the conflict; audit.</t>
        </is>
      </c>
      <c r="I7" s="30" t="n">
        <v>0.5</v>
      </c>
      <c r="J7" s="30" t="n">
        <v>2</v>
      </c>
      <c r="K7" s="30" t="n">
        <v>1</v>
      </c>
      <c r="L7" s="30" t="n">
        <v>1</v>
      </c>
      <c r="M7" s="30" t="n">
        <v>0.25</v>
      </c>
      <c r="N7" s="30">
        <f>SUM(I7:M7)</f>
        <v/>
      </c>
      <c r="O7" s="30">
        <f>ROUND(N7*(1-Accuracy),1)</f>
        <v/>
      </c>
      <c r="P7" s="30">
        <f>ROUND(N7*(1+Accuracy),1)</f>
        <v/>
      </c>
      <c r="Q7" s="12" t="inlineStr">
        <is>
          <t>Low</t>
        </is>
      </c>
      <c r="R7" s="12" t="inlineStr">
        <is>
          <t>Medium</t>
        </is>
      </c>
      <c r="S7" s="12" t="inlineStr">
        <is>
          <t>BRD items BRD-UA-07 and BRD-UA-09 (rights by function, group profile requests).</t>
        </is>
      </c>
      <c r="T7" s="12" t="inlineStr">
        <is>
          <t>Effort for the permission pairs only; the role-pair rules of the OOTB platform are reused.</t>
        </is>
      </c>
      <c r="U7" s="25">
        <f>IF(DayRate="","",N7*DayRate)</f>
        <v/>
      </c>
      <c r="V7" s="12" t="inlineStr">
        <is>
          <t>UAM-018 Segregation of duties rules: Available (pairs of roles only)</t>
        </is>
      </c>
      <c r="W7" s="12" t="inlineStr">
        <is>
          <t>Partial: Access Control &gt; Separation-of-duties rules on pairs of roles; no rule on pairs of permissions</t>
        </is>
      </c>
      <c r="X7" s="12" t="inlineStr">
        <is>
          <t>Yes</t>
        </is>
      </c>
    </row>
    <row r="8">
      <c r="A8" s="29" t="inlineStr">
        <is>
          <t>CR-UA-009</t>
        </is>
      </c>
      <c r="B8" s="29" t="inlineStr">
        <is>
          <t>Export file names</t>
        </is>
      </c>
      <c r="C8" s="12" t="inlineStr">
        <is>
          <t>FRUM.007.02; Annex V</t>
        </is>
      </c>
      <c r="D8" s="12" t="inlineStr">
        <is>
          <t>Not in BRD</t>
        </is>
      </c>
      <c r="E8" s="12" t="inlineStr">
        <is>
          <t>BDOI FRS v1.1</t>
        </is>
      </c>
      <c r="F8" s="12" t="inlineStr">
        <is>
          <t>BDOI's FRS names the exports &lt;Report name&gt;_MMDDYYYY and Audit Logs_MMDDYYYY. In the OOTB platform the file names are fixed per report (RPT-009 Not available).</t>
        </is>
      </c>
      <c r="G8" s="12" t="inlineStr">
        <is>
          <t>Not offered: RPT-009 Not available (file names fixed per report).</t>
        </is>
      </c>
      <c r="H8" s="12" t="inlineStr">
        <is>
          <t>File names of the User Access reports and of the audit log export by BDOI's convention, as a setting; test of every export.</t>
        </is>
      </c>
      <c r="I8" s="30" t="n">
        <v>0.25</v>
      </c>
      <c r="J8" s="30" t="n">
        <v>1</v>
      </c>
      <c r="K8" s="30" t="n">
        <v>0.25</v>
      </c>
      <c r="L8" s="30" t="n">
        <v>0.5</v>
      </c>
      <c r="M8" s="30" t="n">
        <v>0.25</v>
      </c>
      <c r="N8" s="30">
        <f>SUM(I8:M8)</f>
        <v/>
      </c>
      <c r="O8" s="30">
        <f>ROUND(N8*(1-Accuracy),1)</f>
        <v/>
      </c>
      <c r="P8" s="30">
        <f>ROUND(N8*(1+Accuracy),1)</f>
        <v/>
      </c>
      <c r="Q8" s="12" t="inlineStr">
        <is>
          <t>Low</t>
        </is>
      </c>
      <c r="R8" s="12" t="inlineStr">
        <is>
          <t>Low</t>
        </is>
      </c>
      <c r="S8" s="12" t="inlineStr">
        <is>
          <t>-</t>
        </is>
      </c>
      <c r="T8" s="12" t="inlineStr">
        <is>
          <t>The convention of the access reports only; the naming of the other modules' reports is in their own FRS.</t>
        </is>
      </c>
      <c r="U8" s="25">
        <f>IF(DayRate="","",N8*DayRate)</f>
        <v/>
      </c>
      <c r="V8" s="12" t="inlineStr">
        <is>
          <t>RPT-009 Report file naming conventions: Not available</t>
        </is>
      </c>
      <c r="W8" s="12" t="inlineStr">
        <is>
          <t>Not found: export file names fixed per report (Reports)</t>
        </is>
      </c>
      <c r="X8" s="12" t="inlineStr">
        <is>
          <t>Yes</t>
        </is>
      </c>
    </row>
    <row r="9">
      <c r="A9" s="29" t="inlineStr">
        <is>
          <t>CR-UA-011</t>
        </is>
      </c>
      <c r="B9" s="29" t="inlineStr">
        <is>
          <t>Approval times, reminders and escalation</t>
        </is>
      </c>
      <c r="C9" s="12" t="inlineStr">
        <is>
          <t>Annex S (time rules), Annex Q.5, Annex Z</t>
        </is>
      </c>
      <c r="D9" s="12" t="inlineStr">
        <is>
          <t>Not in BRD</t>
        </is>
      </c>
      <c r="E9" s="12" t="inlineStr">
        <is>
          <t>Best practice (iorta TechNXT)</t>
        </is>
      </c>
      <c r="F9" s="12" t="inlineStr">
        <is>
          <t>The BRD sets no service level for the approval of access requests. A reminder and an escalation after a number of working days keep requests from waiting unseen. The OOTB platform has deadlines and escalation for claims, complaints, leads and collections only, and no access requests (WFL-007 Partial).</t>
        </is>
      </c>
      <c r="G9" s="12" t="inlineStr">
        <is>
          <t>Partial (WFL-007): deadlines and escalation exist in other modules, not for access requests. Missing, and estimated here: the time rules, reminder and escalation of access requests.</t>
        </is>
      </c>
      <c r="H9" s="12" t="inlineStr">
        <is>
          <t>Settings for the working days per stage, the reminder day and the escalation role; a daily run that sends the reminder notice and escalates overdue requests to the Business Administrator; the overdue marker on the lists; audit of each reminder and escalation.</t>
        </is>
      </c>
      <c r="I9" s="30" t="n">
        <v>1</v>
      </c>
      <c r="J9" s="30" t="n">
        <v>3</v>
      </c>
      <c r="K9" s="30" t="n">
        <v>1</v>
      </c>
      <c r="L9" s="30" t="n">
        <v>2</v>
      </c>
      <c r="M9" s="30" t="n">
        <v>1</v>
      </c>
      <c r="N9" s="30">
        <f>SUM(I9:M9)</f>
        <v/>
      </c>
      <c r="O9" s="30">
        <f>ROUND(N9*(1-Accuracy),1)</f>
        <v/>
      </c>
      <c r="P9" s="30">
        <f>ROUND(N9*(1+Accuracy),1)</f>
        <v/>
      </c>
      <c r="Q9" s="12" t="inlineStr">
        <is>
          <t>Medium</t>
        </is>
      </c>
      <c r="R9" s="12" t="inlineStr">
        <is>
          <t>Medium</t>
        </is>
      </c>
      <c r="S9" s="12" t="inlineStr">
        <is>
          <t>BRD item BRD-UA-08 (access requests); working-day calendar of the OOTB platform (ADM-008).</t>
        </is>
      </c>
      <c r="T9" s="12" t="inlineStr">
        <is>
          <t>Reminders use the notices and e-mails of Annex T; one escalation level.</t>
        </is>
      </c>
      <c r="U9" s="25">
        <f>IF(DayRate="","",N9*DayRate)</f>
        <v/>
      </c>
      <c r="V9" s="12" t="inlineStr">
        <is>
          <t>WFL-007 Turnaround-time tracking and escalation: Partial (UAM-019 access requests: Not available)</t>
        </is>
      </c>
      <c r="W9" s="12" t="inlineStr">
        <is>
          <t>Not found for access requests: escalation only in the AML and user screens; no access request flow</t>
        </is>
      </c>
      <c r="X9" s="12" t="inlineStr">
        <is>
          <t>No</t>
        </is>
      </c>
    </row>
    <row r="10">
      <c r="A10" s="29" t="inlineStr">
        <is>
          <t>CR-UA-013</t>
        </is>
      </c>
      <c r="B10" s="29" t="inlineStr">
        <is>
          <t>E-mail copy of the request notices</t>
        </is>
      </c>
      <c r="C10" s="12" t="inlineStr">
        <is>
          <t>FRUM.013.01; Annex T</t>
        </is>
      </c>
      <c r="D10" s="12" t="inlineStr">
        <is>
          <t>Not in BRD</t>
        </is>
      </c>
      <c r="E10" s="12" t="inlineStr">
        <is>
          <t>Best practice (iorta TechNXT)</t>
        </is>
      </c>
      <c r="F10" s="12" t="inlineStr">
        <is>
          <t>BDOI's FRS asks that the notices to approve, returned and decided are also e-mailed, by the user's preference. The OOTB platform sends in-system notices for access-control events (UAM-027 Partial); it has e-mail templates (WFL-011) but no e-mail copy of the access notices.</t>
        </is>
      </c>
      <c r="G10" s="12" t="inlineStr">
        <is>
          <t>Partial (UAM-027): in-system notices only. Missing, and estimated here: the e-mail copy and the user's preference.</t>
        </is>
      </c>
      <c r="H10" s="12" t="inlineStr">
        <is>
          <t>E-mail copy of the request notices (to approve, returned, decided) from templates, by the user's preference (setting); the outbox status; tests.</t>
        </is>
      </c>
      <c r="I10" s="30" t="n">
        <v>0.5</v>
      </c>
      <c r="J10" s="30" t="n">
        <v>1.5</v>
      </c>
      <c r="K10" s="30" t="n">
        <v>0.5</v>
      </c>
      <c r="L10" s="30" t="n">
        <v>1</v>
      </c>
      <c r="M10" s="30" t="n">
        <v>0.25</v>
      </c>
      <c r="N10" s="30">
        <f>SUM(I10:M10)</f>
        <v/>
      </c>
      <c r="O10" s="30">
        <f>ROUND(N10*(1-Accuracy),1)</f>
        <v/>
      </c>
      <c r="P10" s="30">
        <f>ROUND(N10*(1+Accuracy),1)</f>
        <v/>
      </c>
      <c r="Q10" s="12" t="inlineStr">
        <is>
          <t>Low</t>
        </is>
      </c>
      <c r="R10" s="12" t="inlineStr">
        <is>
          <t>Medium</t>
        </is>
      </c>
      <c r="S10" s="12" t="inlineStr">
        <is>
          <t>BRD item BRD-UA-14 (notices of the access requests).</t>
        </is>
      </c>
      <c r="T10" s="12" t="inlineStr">
        <is>
          <t>Effort for the e-mail copy only; uses the e-mail templates and outbox of the OOTB platform (WFL-011).</t>
        </is>
      </c>
      <c r="U10" s="25">
        <f>IF(DayRate="","",N10*DayRate)</f>
        <v/>
      </c>
      <c r="V10" s="12" t="inlineStr">
        <is>
          <t>UAM-027 Notices of access changes: Partial</t>
        </is>
      </c>
      <c r="W10" s="12" t="inlineStr">
        <is>
          <t>Partial: in-system access-control notices and the e-mail outbox; no e-mail copy of access notices</t>
        </is>
      </c>
      <c r="X10" s="12" t="inlineStr">
        <is>
          <t>Yes</t>
        </is>
      </c>
    </row>
    <row r="11">
      <c r="A11" s="29" t="inlineStr">
        <is>
          <t>CR-UA-014</t>
        </is>
      </c>
      <c r="B11" s="29" t="inlineStr">
        <is>
          <t>Temporary access with an end date</t>
        </is>
      </c>
      <c r="C11" s="12" t="inlineStr">
        <is>
          <t>Annex Z (CLR-UA-06, CLR-UA-13); FRUM.009.10</t>
        </is>
      </c>
      <c r="D11" s="12" t="inlineStr">
        <is>
          <t>Not in BRD (BRD NFR 1.k asks for an effective date only)</t>
        </is>
      </c>
      <c r="E11" s="12" t="inlineStr">
        <is>
          <t>Best practice (iorta TechNXT)</t>
        </is>
      </c>
      <c r="F11" s="12" t="inlineStr">
        <is>
          <t>Access given for a project or a leave cover should end by itself. The OOTB platform applies changes at once, with no effective or end date (UAM-024 Not available); the effective date is a BRD requirement (Annex AA.4).</t>
        </is>
      </c>
      <c r="G11" s="12" t="inlineStr">
        <is>
          <t>Not offered: UAM-024 Not available (no effective or end date). The effective date is in scope as BRD item BRD-UA-11; this CR is the end date only.</t>
        </is>
      </c>
      <c r="H11" s="12" t="inlineStr">
        <is>
          <t>End date on the user requests and the bulk template; validation (after the effective date); the end date on the user's group profiles and in the reports; the daily run removes the access on the end date with a notice a number of days before; audit of each removal.</t>
        </is>
      </c>
      <c r="I11" s="30" t="n">
        <v>1.5</v>
      </c>
      <c r="J11" s="30" t="n">
        <v>4</v>
      </c>
      <c r="K11" s="30" t="n">
        <v>2.5</v>
      </c>
      <c r="L11" s="30" t="n">
        <v>2.5</v>
      </c>
      <c r="M11" s="30" t="n">
        <v>1</v>
      </c>
      <c r="N11" s="30">
        <f>SUM(I11:M11)</f>
        <v/>
      </c>
      <c r="O11" s="30">
        <f>ROUND(N11*(1-Accuracy),1)</f>
        <v/>
      </c>
      <c r="P11" s="30">
        <f>ROUND(N11*(1+Accuracy),1)</f>
        <v/>
      </c>
      <c r="Q11" s="12" t="inlineStr">
        <is>
          <t>Medium</t>
        </is>
      </c>
      <c r="R11" s="12" t="inlineStr">
        <is>
          <t>Low</t>
        </is>
      </c>
      <c r="S11" s="12" t="inlineStr">
        <is>
          <t>BRD item BRD-UA-11 (effective dates); answers to CLR-UA-06 and CLR-UA-13 (Annex Z).</t>
        </is>
      </c>
      <c r="T11" s="12" t="inlineStr">
        <is>
          <t>The removal is a scheduled change of the daily run of BRD-UA-11, checked again as the other scheduled changes.</t>
        </is>
      </c>
      <c r="U11" s="25">
        <f>IF(DayRate="","",N11*DayRate)</f>
        <v/>
      </c>
      <c r="V11" s="12" t="inlineStr">
        <is>
          <t>UAM-024 Effective-dated access changes: Not available</t>
        </is>
      </c>
      <c r="W11" s="12" t="inlineStr">
        <is>
          <t>Not found: no effective or end date on role assignment</t>
        </is>
      </c>
      <c r="X11" s="12" t="inlineStr">
        <is>
          <t>No</t>
        </is>
      </c>
    </row>
    <row r="12">
      <c r="A12" s="29" t="inlineStr">
        <is>
          <t>CR-UA-016</t>
        </is>
      </c>
      <c r="B12" s="29" t="inlineStr">
        <is>
          <t>Emergency role edit</t>
        </is>
      </c>
      <c r="C12" s="12" t="inlineStr">
        <is>
          <t>FRUM.005.01; Annex J</t>
        </is>
      </c>
      <c r="D12" s="12" t="inlineStr">
        <is>
          <t>Not in BRD</t>
        </is>
      </c>
      <c r="E12" s="12" t="inlineStr">
        <is>
          <t>Best practice (iorta TechNXT)</t>
        </is>
      </c>
      <c r="F12"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G12" s="12" t="inlineStr">
        <is>
          <t>Not offered: no feature row; in the OOTB platform roles are edited directly with no request, so no controlled emergency path exists.</t>
        </is>
      </c>
      <c r="H12" s="12" t="inlineStr">
        <is>
          <t>The emergency role edit setting, opened by Information Security; the direct edit of users and group profiles by the System Administrator while it is open, closed as delivered; every edit audited and alerted to Information Security; the marker on the screens.</t>
        </is>
      </c>
      <c r="I12" s="30" t="n">
        <v>1</v>
      </c>
      <c r="J12" s="30" t="n">
        <v>2.5</v>
      </c>
      <c r="K12" s="30" t="n">
        <v>1</v>
      </c>
      <c r="L12" s="30" t="n">
        <v>1.5</v>
      </c>
      <c r="M12" s="30" t="n">
        <v>0.5</v>
      </c>
      <c r="N12" s="30">
        <f>SUM(I12:M12)</f>
        <v/>
      </c>
      <c r="O12" s="30">
        <f>ROUND(N12*(1-Accuracy),1)</f>
        <v/>
      </c>
      <c r="P12" s="30">
        <f>ROUND(N12*(1+Accuracy),1)</f>
        <v/>
      </c>
      <c r="Q12" s="12" t="inlineStr">
        <is>
          <t>Medium</t>
        </is>
      </c>
      <c r="R12" s="12" t="inlineStr">
        <is>
          <t>Medium</t>
        </is>
      </c>
      <c r="S12" s="12" t="inlineStr">
        <is>
          <t>BRD items BRD-UA-09 and BRD-UA-13 (group profile requests, second approval of security settings).</t>
        </is>
      </c>
      <c r="T12" s="12" t="inlineStr">
        <is>
          <t>Alerts use the notices and e-mails of Annex T.</t>
        </is>
      </c>
      <c r="U12" s="25">
        <f>IF(DayRate="","",N12*DayRate)</f>
        <v/>
      </c>
      <c r="V12" s="12" t="inlineStr">
        <is>
          <t>No feature row (UAM-022 group profile requests: Not available)</t>
        </is>
      </c>
      <c r="W12" s="12" t="inlineStr">
        <is>
          <t>Not found: roles edited directly, no emergency path</t>
        </is>
      </c>
      <c r="X12" s="12" t="inlineStr">
        <is>
          <t>Yes</t>
        </is>
      </c>
    </row>
    <row r="13">
      <c r="A13" s="26" t="inlineStr">
        <is>
          <t>Total</t>
        </is>
      </c>
      <c r="B13" s="26" t="inlineStr">
        <is>
          <t>8 change requests</t>
        </is>
      </c>
      <c r="C13" s="12" t="n"/>
      <c r="D13" s="12" t="n"/>
      <c r="E13" s="12" t="n"/>
      <c r="F13" s="12" t="n"/>
      <c r="G13" s="12" t="n"/>
      <c r="H13" s="12" t="n"/>
      <c r="I13" s="31">
        <f>SUM(I5:I12)</f>
        <v/>
      </c>
      <c r="J13" s="31">
        <f>SUM(J5:J12)</f>
        <v/>
      </c>
      <c r="K13" s="31">
        <f>SUM(K5:K12)</f>
        <v/>
      </c>
      <c r="L13" s="31">
        <f>SUM(L5:L12)</f>
        <v/>
      </c>
      <c r="M13" s="31">
        <f>SUM(M5:M12)</f>
        <v/>
      </c>
      <c r="N13" s="31">
        <f>SUM(N5:N12)</f>
        <v/>
      </c>
      <c r="O13" s="31">
        <f>SUM(O5:O12)</f>
        <v/>
      </c>
      <c r="P13" s="31">
        <f>SUM(P5:P12)</f>
        <v/>
      </c>
      <c r="Q13" s="12" t="n"/>
      <c r="R13" s="12" t="n"/>
      <c r="S13" s="12" t="n"/>
      <c r="T13" s="12" t="n"/>
      <c r="U13" s="28">
        <f>IF(DayRate="","",SUM(U5:U12))</f>
        <v/>
      </c>
      <c r="V13" s="12" t="n"/>
      <c r="W13" s="12" t="n"/>
      <c r="X13" s="12" t="n"/>
    </row>
  </sheetData>
  <autoFilter ref="A4:X13"/>
  <mergeCells count="1">
    <mergeCell ref="A2:X2"/>
  </mergeCells>
  <conditionalFormatting sqref="A5:X513">
    <cfRule type="expression" priority="1" dxfId="0">
      <formula>AND(MOD(ROW(),2)=0,$A5&lt;&gt;"")</formula>
    </cfRule>
  </conditionalFormatting>
  <dataValidations count="2">
    <dataValidation sqref="Q5:Q513" showDropDown="0" showInputMessage="0" showErrorMessage="1" allowBlank="1" errorTitle="Complexity" error="Choose a value from the list (Complexity)." type="list">
      <formula1>'Lists'!$A$2:$A$4</formula1>
    </dataValidation>
    <dataValidation sqref="R5:R513"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14" customWidth="1" min="4" max="4"/>
    <col width="60" customWidth="1" min="5" max="5"/>
    <col width="18" customWidth="1" min="6" max="6"/>
    <col width="12" customWidth="1" min="7" max="7"/>
    <col width="40" customWidth="1" min="8" max="8"/>
    <col width="34" customWidth="1" min="9" max="9"/>
    <col width="44" customWidth="1" min="10" max="10"/>
  </cols>
  <sheetData>
    <row r="1" ht="24" customHeight="1">
      <c r="A1" s="18" t="inlineStr">
        <is>
          <t>Beyond the BRD - OOTB</t>
        </is>
      </c>
    </row>
    <row r="2">
      <c r="A2" s="21" t="inlineStr">
        <is>
          <t>Points of the FRS v1.4 that no BRD asks for and the iNXT BrokerVerse OOTB platform offers (green): no cost</t>
        </is>
      </c>
    </row>
    <row r="3" ht="6" customHeight="1">
      <c r="A3" s="22" t="n"/>
      <c r="B3" s="22" t="n"/>
      <c r="C3" s="22" t="n"/>
      <c r="D3" s="22" t="n"/>
      <c r="E3" s="22" t="n"/>
      <c r="F3" s="22" t="n"/>
      <c r="G3" s="22" t="n"/>
      <c r="H3" s="22" t="n"/>
      <c r="I3" s="22" t="n"/>
      <c r="J3" s="22" t="n"/>
    </row>
    <row r="4" ht="30" customHeight="1">
      <c r="A4" s="23" t="inlineStr">
        <is>
          <t>No.</t>
        </is>
      </c>
      <c r="B4" s="23" t="inlineStr">
        <is>
          <t>Point</t>
        </is>
      </c>
      <c r="C4" s="23" t="inlineStr">
        <is>
          <t>FRS reference</t>
        </is>
      </c>
      <c r="D4" s="23" t="inlineStr">
        <is>
          <t>BRD reference</t>
        </is>
      </c>
      <c r="E4" s="23" t="inlineStr">
        <is>
          <t>What BDOI gets</t>
        </is>
      </c>
      <c r="F4" s="23" t="inlineStr">
        <is>
          <t>OOTB status</t>
        </is>
      </c>
      <c r="G4" s="23" t="inlineStr">
        <is>
          <t>Cost (man-days)</t>
        </is>
      </c>
      <c r="H4" s="23" t="inlineStr">
        <is>
          <t>Note</t>
        </is>
      </c>
      <c r="I4" s="23" t="inlineStr">
        <is>
          <t>Feature List ID / OOTB status</t>
        </is>
      </c>
      <c r="J4" s="23" t="inlineStr">
        <is>
          <t>OOTB evidence</t>
        </is>
      </c>
    </row>
    <row r="5">
      <c r="A5" s="32" t="inlineStr">
        <is>
          <t>OB-UA-01</t>
        </is>
      </c>
      <c r="B5" s="32" t="inlineStr">
        <is>
          <t>Separation-of-duties rules</t>
        </is>
      </c>
      <c r="C5" s="12" t="inlineStr">
        <is>
          <t>FRUM.012.01; Annex M.6</t>
        </is>
      </c>
      <c r="D5" s="12" t="inlineStr">
        <is>
          <t>Not in BRD</t>
        </is>
      </c>
      <c r="E5" s="12" t="inlineStr">
        <is>
          <t>Pairs of group profiles one user may not hold (block or warn), kept by the Business Administrator; checked on every assignment.</t>
        </is>
      </c>
      <c r="F5" s="12" t="inlineStr">
        <is>
          <t>Offered by OOTB</t>
        </is>
      </c>
      <c r="G5" s="12" t="n">
        <v>0</v>
      </c>
      <c r="H5" s="12" t="inlineStr">
        <is>
          <t>Extends the segregation-of-duties principle of the Operations addendum; was CR-UA-001</t>
        </is>
      </c>
      <c r="I5" s="12" t="inlineStr">
        <is>
          <t>UAM-018 Segregation of duties rules: Available</t>
        </is>
      </c>
      <c r="J5" s="12" t="inlineStr">
        <is>
          <t>Access Control &gt; Separation-of-duties rules (pairs of roles, block or warn, checked at assignment)</t>
        </is>
      </c>
    </row>
    <row r="6">
      <c r="A6" s="32" t="inlineStr">
        <is>
          <t>OB-UA-02</t>
        </is>
      </c>
      <c r="B6" s="32" t="inlineStr">
        <is>
          <t>Dormant-user deactivation</t>
        </is>
      </c>
      <c r="C6" s="12" t="inlineStr">
        <is>
          <t>FRUM.003.04; Annex V</t>
        </is>
      </c>
      <c r="D6" s="12" t="inlineStr">
        <is>
          <t>Not in BRD</t>
        </is>
      </c>
      <c r="E6" s="12" t="inlineStr">
        <is>
          <t>Users without a sign-in for 90 days deactivated by the daily run (setting Dormant days).</t>
        </is>
      </c>
      <c r="F6" s="12" t="inlineStr">
        <is>
          <t>Offered by OOTB</t>
        </is>
      </c>
      <c r="G6" s="12" t="n">
        <v>0</v>
      </c>
      <c r="H6" s="12" t="inlineStr">
        <is>
          <t>Was CR-UA-002; the notice 7 days before is a detail BDOI confirms</t>
        </is>
      </c>
      <c r="I6" s="12" t="inlineStr">
        <is>
          <t>UAM-028 Dormant account deactivation: Available</t>
        </is>
      </c>
      <c r="J6" s="12" t="inlineStr">
        <is>
          <t>Daily run Dormant accounts (setting Dormant days, 90)</t>
        </is>
      </c>
    </row>
    <row r="7">
      <c r="A7" s="32" t="inlineStr">
        <is>
          <t>OB-UA-03</t>
        </is>
      </c>
      <c r="B7" s="32" t="inlineStr">
        <is>
          <t>Second factor of the local accounts</t>
        </is>
      </c>
      <c r="C7" s="12" t="inlineStr">
        <is>
          <t>FRUM-004; Annex M.4</t>
        </is>
      </c>
      <c r="D7" s="12" t="inlineStr">
        <is>
          <t>Not in BRD</t>
        </is>
      </c>
      <c r="E7" s="12" t="inlineStr">
        <is>
          <t>Authenticator code at sign-in, compulsory per role, and reset of a lost authenticator by an administrator.</t>
        </is>
      </c>
      <c r="F7" s="12" t="inlineStr">
        <is>
          <t>Offered by OOTB</t>
        </is>
      </c>
      <c r="G7" s="12" t="n">
        <v>0</v>
      </c>
      <c r="H7" s="12" t="inlineStr">
        <is>
          <t>-</t>
        </is>
      </c>
      <c r="I7" s="12" t="inlineStr">
        <is>
          <t>UAM-007 Two-factor authentication: Available</t>
        </is>
      </c>
      <c r="J7" s="12" t="inlineStr">
        <is>
          <t>Sign-in with authenticator code; two-factor per role on the user screen</t>
        </is>
      </c>
    </row>
    <row r="8">
      <c r="A8" s="32" t="inlineStr">
        <is>
          <t>OB-UA-04</t>
        </is>
      </c>
      <c r="B8" s="32" t="inlineStr">
        <is>
          <t>Business settings without a release</t>
        </is>
      </c>
      <c r="C8" s="12" t="inlineStr">
        <is>
          <t>Annex M.10</t>
        </is>
      </c>
      <c r="D8" s="12" t="inlineStr">
        <is>
          <t>Not in BRD</t>
        </is>
      </c>
      <c r="E8" s="12" t="inlineStr">
        <is>
          <t>Parameters applied at once and audited, so a point where BDOI's FRS and the BRD differ is chosen by a setting without a release.</t>
        </is>
      </c>
      <c r="F8" s="12" t="inlineStr">
        <is>
          <t>Offered by OOTB</t>
        </is>
      </c>
      <c r="G8" s="12" t="n">
        <v>0</v>
      </c>
      <c r="H8" s="12" t="inlineStr">
        <is>
          <t>The options themselves follow the colour of their own point</t>
        </is>
      </c>
      <c r="I8" s="12" t="inlineStr">
        <is>
          <t>ADM-011 Business parameters without a release: Available</t>
        </is>
      </c>
      <c r="J8" s="12" t="inlineStr">
        <is>
          <t>Settings screen: parameters applied at once and audited</t>
        </is>
      </c>
    </row>
    <row r="9">
      <c r="A9" s="32" t="inlineStr">
        <is>
          <t>OB-UA-05</t>
        </is>
      </c>
      <c r="B9" s="32" t="inlineStr">
        <is>
          <t>Periodic access review and scheduled reports</t>
        </is>
      </c>
      <c r="C9" s="12" t="inlineStr">
        <is>
          <t>Annex V, Annex Q.5 (UA-Q51)</t>
        </is>
      </c>
      <c r="D9" s="12" t="inlineStr">
        <is>
          <t>Not in BRD</t>
        </is>
      </c>
      <c r="E9" s="12" t="inlineStr">
        <is>
          <t>Recertification campaigns over every active user (revoke deactivates the account) and report schedules with recipients, so the monthly access review reaches Information Security.</t>
        </is>
      </c>
      <c r="F9" s="12" t="inlineStr">
        <is>
          <t>Offered by OOTB</t>
        </is>
      </c>
      <c r="G9" s="12" t="n">
        <v>0</v>
      </c>
      <c r="H9" s="12" t="inlineStr">
        <is>
          <t>Was CR-UA-012</t>
        </is>
      </c>
      <c r="I9" s="12" t="inlineStr">
        <is>
          <t>UAM-030 Periodic access entitlement review: Available; RPT-007 User-scheduled reports: Available</t>
        </is>
      </c>
      <c r="J9" s="12" t="inlineStr">
        <is>
          <t>Access Control &gt; Access Reviews; Reports &gt; Schedules (recipients, format, timing)</t>
        </is>
      </c>
    </row>
  </sheetData>
  <autoFilter ref="A4:J9"/>
  <mergeCells count="1">
    <mergeCell ref="A2:J2"/>
  </mergeCells>
  <conditionalFormatting sqref="A5:J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30" customWidth="1" min="3" max="3"/>
    <col width="22" customWidth="1" min="4" max="4"/>
    <col width="50" customWidth="1" min="5" max="5"/>
    <col width="11" customWidth="1" min="6" max="6"/>
    <col width="11" customWidth="1" min="7" max="7"/>
    <col width="11" customWidth="1" min="8" max="8"/>
    <col width="11" customWidth="1" min="9" max="9"/>
    <col width="14" customWidth="1" min="10" max="10"/>
    <col width="30" customWidth="1" min="11" max="11"/>
    <col width="36" customWidth="1" min="12" max="12"/>
    <col width="14" customWidth="1" min="13" max="13"/>
  </cols>
  <sheetData>
    <row r="1" ht="24" customHeight="1">
      <c r="A1" s="18" t="inlineStr">
        <is>
          <t>BRD items to deliver</t>
        </is>
      </c>
    </row>
    <row r="2">
      <c r="A2" s="21" t="inlineStr">
        <is>
          <t>BRD requirements not (fully) in the iNXT BrokerVerse OOTB platform (FRS Annex X.2, AA.4): in-scope delivery work, for planning</t>
        </is>
      </c>
    </row>
    <row r="3" ht="6" customHeight="1">
      <c r="A3" s="22" t="n"/>
      <c r="B3" s="22" t="n"/>
      <c r="C3" s="22" t="n"/>
      <c r="D3" s="22" t="n"/>
      <c r="E3" s="22" t="n"/>
      <c r="F3" s="22" t="n"/>
      <c r="G3" s="22" t="n"/>
      <c r="H3" s="22" t="n"/>
      <c r="I3" s="22" t="n"/>
      <c r="J3" s="22" t="n"/>
      <c r="K3" s="22" t="n"/>
      <c r="L3" s="22" t="n"/>
      <c r="M3" s="22" t="n"/>
    </row>
    <row r="4" ht="30" customHeight="1">
      <c r="A4" s="23" t="inlineStr">
        <is>
          <t>No.</t>
        </is>
      </c>
      <c r="B4" s="23" t="inlineStr">
        <is>
          <t>Item</t>
        </is>
      </c>
      <c r="C4" s="23" t="inlineStr">
        <is>
          <t>BRD reference</t>
        </is>
      </c>
      <c r="D4" s="23" t="inlineStr">
        <is>
          <t>FRS reference</t>
        </is>
      </c>
      <c r="E4" s="23" t="inlineStr">
        <is>
          <t>What is delivered</t>
        </is>
      </c>
      <c r="F4" s="23" t="inlineStr">
        <is>
          <t>Analysis and design</t>
        </is>
      </c>
      <c r="G4" s="23" t="inlineStr">
        <is>
          <t>Backend and frontend</t>
        </is>
      </c>
      <c r="H4" s="23" t="inlineStr">
        <is>
          <t>Testing and UAT support</t>
        </is>
      </c>
      <c r="I4" s="23" t="inlineStr">
        <is>
          <t>Total man-days</t>
        </is>
      </c>
      <c r="J4" s="23" t="inlineStr">
        <is>
          <t>Cost</t>
        </is>
      </c>
      <c r="K4" s="23" t="inlineStr">
        <is>
          <t>Feature List ID / OOTB status</t>
        </is>
      </c>
      <c r="L4" s="23" t="inlineStr">
        <is>
          <t>OOTB evidence</t>
        </is>
      </c>
      <c r="M4" s="23" t="inlineStr">
        <is>
          <t>Prepared for BIBS?</t>
        </is>
      </c>
    </row>
    <row r="5">
      <c r="A5" s="12" t="inlineStr">
        <is>
          <t>BRD-UA-01</t>
        </is>
      </c>
      <c r="B5" s="12" t="inlineStr">
        <is>
          <t>One session per device</t>
        </is>
      </c>
      <c r="C5" s="12" t="inlineStr">
        <is>
          <t>Collections addendum NFR 10.07</t>
        </is>
      </c>
      <c r="D5" s="12" t="inlineStr">
        <is>
          <t>FRUM.001.01; Annex M.5</t>
        </is>
      </c>
      <c r="E5" s="12" t="inlineStr">
        <is>
          <t>A sign-in on another device ends the user's earlier session, with the reason in the session log and a message on the earlier device.</t>
        </is>
      </c>
      <c r="F5" s="30" t="n">
        <v>0.5</v>
      </c>
      <c r="G5" s="30" t="n">
        <v>3</v>
      </c>
      <c r="H5" s="30" t="n">
        <v>1.5</v>
      </c>
      <c r="I5" s="30">
        <f>SUM(F5:H5)</f>
        <v/>
      </c>
      <c r="J5" s="12" t="inlineStr">
        <is>
          <t>Not charged</t>
        </is>
      </c>
      <c r="K5" s="12" t="inlineStr">
        <is>
          <t>UAM-005: Not available</t>
        </is>
      </c>
      <c r="L5" s="12" t="inlineStr">
        <is>
          <t>Not found (several sessions per user)</t>
        </is>
      </c>
      <c r="M5" s="12" t="inlineStr">
        <is>
          <t>No</t>
        </is>
      </c>
    </row>
    <row r="6">
      <c r="A6" s="12" t="inlineStr">
        <is>
          <t>BRD-UA-02</t>
        </is>
      </c>
      <c r="B6" s="12" t="inlineStr">
        <is>
          <t>Administrator passwords of 12 characters</t>
        </is>
      </c>
      <c r="C6" s="12" t="inlineStr">
        <is>
          <t>Collections addendum NFR 2.04</t>
        </is>
      </c>
      <c r="D6" s="12" t="inlineStr">
        <is>
          <t>FRUM-004; Annex M.4</t>
        </is>
      </c>
      <c r="E6" s="12" t="inlineStr">
        <is>
          <t>Minimum length 12 for the accounts with administrator privileges, 8 or more for any other local account; as a setting.</t>
        </is>
      </c>
      <c r="F6" s="30" t="n">
        <v>0.25</v>
      </c>
      <c r="G6" s="30" t="n">
        <v>0.75</v>
      </c>
      <c r="H6" s="30" t="n">
        <v>0.5</v>
      </c>
      <c r="I6" s="30">
        <f>SUM(F6:H6)</f>
        <v/>
      </c>
      <c r="J6" s="12" t="inlineStr">
        <is>
          <t>Not charged</t>
        </is>
      </c>
      <c r="K6" s="12" t="inlineStr">
        <is>
          <t>UAM-008: Available (one minimum length only)</t>
        </is>
      </c>
      <c r="L6" s="12" t="inlineStr">
        <is>
          <t>Password policy: one minimum length</t>
        </is>
      </c>
      <c r="M6" s="12" t="inlineStr">
        <is>
          <t>No</t>
        </is>
      </c>
    </row>
    <row r="7">
      <c r="A7" s="12" t="inlineStr">
        <is>
          <t>BRD-UA-03</t>
        </is>
      </c>
      <c r="B7" s="12" t="inlineStr">
        <is>
          <t>Inactivity warning at 15 minutes</t>
        </is>
      </c>
      <c r="C7" s="12" t="inlineStr">
        <is>
          <t>UAM BRD x.001.1.2, x.001.1.3; Collections addendum NFR 10.01</t>
        </is>
      </c>
      <c r="D7" s="12" t="inlineStr">
        <is>
          <t>FRUM.001.03, FRUM.001.04; Annex M.5</t>
        </is>
      </c>
      <c r="E7" s="12" t="inlineStr">
        <is>
          <t>A warning after 15 minutes of inactivity with Stay Logged In and Log Out, besides the sign-out after 30 minutes; both times settings (BDOI confirms 15 or 30 minutes).</t>
        </is>
      </c>
      <c r="F7" s="30" t="n">
        <v>0.25</v>
      </c>
      <c r="G7" s="30" t="n">
        <v>1.5</v>
      </c>
      <c r="H7" s="30" t="n">
        <v>0.75</v>
      </c>
      <c r="I7" s="30">
        <f>SUM(F7:H7)</f>
        <v/>
      </c>
      <c r="J7" s="12" t="inlineStr">
        <is>
          <t>Not charged</t>
        </is>
      </c>
      <c r="K7" s="12" t="inlineStr">
        <is>
          <t>UAM-003: Partial</t>
        </is>
      </c>
      <c r="L7" s="12" t="inlineStr">
        <is>
          <t>Partial: idle sign-out with one-minute warning</t>
        </is>
      </c>
      <c r="M7" s="12" t="inlineStr">
        <is>
          <t>Yes</t>
        </is>
      </c>
    </row>
    <row r="8">
      <c r="A8" s="12" t="inlineStr">
        <is>
          <t>BRD-UA-05</t>
        </is>
      </c>
      <c r="B8" s="12" t="inlineStr">
        <is>
          <t>Windows ID, business unit group, user level and user ID rule on the user record</t>
        </is>
      </c>
      <c r="C8" s="12" t="inlineStr">
        <is>
          <t>UAM BRD NFR 13, 15; Collections addendum NFR 2.09</t>
        </is>
      </c>
      <c r="D8" s="12" t="inlineStr">
        <is>
          <t>FRUM.002.03; Annex M</t>
        </is>
      </c>
      <c r="E8" s="12" t="inlineStr">
        <is>
          <t>The fields of the BRD on the user record, screens and reports; the user ID pattern as a setting.</t>
        </is>
      </c>
      <c r="F8" s="30" t="n">
        <v>0.5</v>
      </c>
      <c r="G8" s="30" t="n">
        <v>3.5</v>
      </c>
      <c r="H8" s="30" t="n">
        <v>1.5</v>
      </c>
      <c r="I8" s="30">
        <f>SUM(F8:H8)</f>
        <v/>
      </c>
      <c r="J8" s="12" t="inlineStr">
        <is>
          <t>Not charged</t>
        </is>
      </c>
      <c r="K8" s="12" t="inlineStr">
        <is>
          <t>UAM-012: Partial</t>
        </is>
      </c>
      <c r="L8" s="12" t="inlineStr">
        <is>
          <t>Partial: users table without Windows ID, BU group, user level</t>
        </is>
      </c>
      <c r="M8" s="12" t="inlineStr">
        <is>
          <t>Yes</t>
        </is>
      </c>
    </row>
    <row r="9">
      <c r="A9" s="12" t="inlineStr">
        <is>
          <t>BRD-UA-07</t>
        </is>
      </c>
      <c r="B9" s="12" t="inlineStr">
        <is>
          <t>Add, amend, delete and task-level rights per group profile</t>
        </is>
      </c>
      <c r="C9" s="12" t="inlineStr">
        <is>
          <t>UAM BRD 4.002.2 to 4.002.2.10; report sample B</t>
        </is>
      </c>
      <c r="D9" s="12" t="inlineStr">
        <is>
          <t>FRUM.006; Annex C</t>
        </is>
      </c>
      <c r="E9" s="12" t="inlineStr">
        <is>
          <t>Rights by function (view, add, amend, delete, approve and the tasks of the BRD) per module and group profile, in the screens, the checks and the Group Profile Access Report.</t>
        </is>
      </c>
      <c r="F9" s="30" t="n">
        <v>1</v>
      </c>
      <c r="G9" s="30" t="n">
        <v>6</v>
      </c>
      <c r="H9" s="30" t="n">
        <v>2.5</v>
      </c>
      <c r="I9" s="30">
        <f>SUM(F9:H9)</f>
        <v/>
      </c>
      <c r="J9" s="12" t="inlineStr">
        <is>
          <t>Not charged</t>
        </is>
      </c>
      <c r="K9" s="12" t="inlineStr">
        <is>
          <t>UAM-015: Partial</t>
        </is>
      </c>
      <c r="L9" s="12" t="inlineStr">
        <is>
          <t>Partial: read / write / approve per module</t>
        </is>
      </c>
      <c r="M9" s="12" t="inlineStr">
        <is>
          <t>Yes</t>
        </is>
      </c>
    </row>
    <row r="10">
      <c r="A10" s="12" t="inlineStr">
        <is>
          <t>BRD-UA-08</t>
        </is>
      </c>
      <c r="B10" s="12" t="inlineStr">
        <is>
          <t>Access request lifecycle with approval and automatic provisioning</t>
        </is>
      </c>
      <c r="C10" s="12" t="inlineStr">
        <is>
          <t>UAM BRD 1.002 to 1.008, 2.002 (approver chosen by the requester; approve, reject or return)</t>
        </is>
      </c>
      <c r="D10" s="12" t="inlineStr">
        <is>
          <t>FRUM.002, FRUM.003, FRUM.009, FRUM.010</t>
        </is>
      </c>
      <c r="E10" s="12" t="inlineStr">
        <is>
          <t>Requests to enrol, modify, deactivate and reactivate with draft, cancel and submit; the approver chosen by the requester; approve, reject or return with remarks; the access applied on approval; request history and lists.</t>
        </is>
      </c>
      <c r="F10" s="30" t="n">
        <v>4</v>
      </c>
      <c r="G10" s="30" t="n">
        <v>24</v>
      </c>
      <c r="H10" s="30" t="n">
        <v>11</v>
      </c>
      <c r="I10" s="30">
        <f>SUM(F10:H10)</f>
        <v/>
      </c>
      <c r="J10" s="12" t="inlineStr">
        <is>
          <t>Not charged</t>
        </is>
      </c>
      <c r="K10" s="12" t="inlineStr">
        <is>
          <t>UAM-019, UAM-020, UAM-021: Not available</t>
        </is>
      </c>
      <c r="L10" s="12" t="inlineStr">
        <is>
          <t>Not found (no access requests)</t>
        </is>
      </c>
      <c r="M10" s="12" t="inlineStr">
        <is>
          <t>Yes</t>
        </is>
      </c>
    </row>
    <row r="11">
      <c r="A11" s="12" t="inlineStr">
        <is>
          <t>BRD-UA-09</t>
        </is>
      </c>
      <c r="B11" s="12" t="inlineStr">
        <is>
          <t>Group profile requests approved in sequence and implemented</t>
        </is>
      </c>
      <c r="C11" s="12" t="inlineStr">
        <is>
          <t>UAM BRD 3.002.1 to 3.002.4</t>
        </is>
      </c>
      <c r="D11" s="12" t="inlineStr">
        <is>
          <t>FRUM.005, FRUM.011</t>
        </is>
      </c>
      <c r="E11" s="12" t="inlineStr">
        <is>
          <t>Requests to create or change a group profile approved by the approvers in order and implemented by the System Administrator.</t>
        </is>
      </c>
      <c r="F11" s="30" t="n">
        <v>2</v>
      </c>
      <c r="G11" s="30" t="n">
        <v>10</v>
      </c>
      <c r="H11" s="30" t="n">
        <v>5</v>
      </c>
      <c r="I11" s="30">
        <f>SUM(F11:H11)</f>
        <v/>
      </c>
      <c r="J11" s="12" t="inlineStr">
        <is>
          <t>Not charged</t>
        </is>
      </c>
      <c r="K11" s="12" t="inlineStr">
        <is>
          <t>UAM-022: Not available</t>
        </is>
      </c>
      <c r="L11" s="12" t="inlineStr">
        <is>
          <t>Not found (roles edited directly)</t>
        </is>
      </c>
      <c r="M11" s="12" t="inlineStr">
        <is>
          <t>Yes</t>
        </is>
      </c>
    </row>
    <row r="12">
      <c r="A12" s="12" t="inlineStr">
        <is>
          <t>BRD-UA-10</t>
        </is>
      </c>
      <c r="B12" s="12" t="inlineStr">
        <is>
          <t>Bulk access requests with approval</t>
        </is>
      </c>
      <c r="C12" s="12" t="inlineStr">
        <is>
          <t>UAM BRD 1.009; NFR 38</t>
        </is>
      </c>
      <c r="D12" s="12" t="inlineStr">
        <is>
          <t>FRUM.002.04; Annex M</t>
        </is>
      </c>
      <c r="E12" s="12" t="inlineStr">
        <is>
          <t>The bulk template raised as a request, checked row by row with an error file and decided by the approver as a whole (the bulk load of the OOTB platform is reused).</t>
        </is>
      </c>
      <c r="F12" s="30" t="n">
        <v>0.5</v>
      </c>
      <c r="G12" s="30" t="n">
        <v>5</v>
      </c>
      <c r="H12" s="30" t="n">
        <v>2</v>
      </c>
      <c r="I12" s="30">
        <f>SUM(F12:H12)</f>
        <v/>
      </c>
      <c r="J12" s="12" t="inlineStr">
        <is>
          <t>Not charged</t>
        </is>
      </c>
      <c r="K12" s="12" t="inlineStr">
        <is>
          <t>UAM-023: Partial</t>
        </is>
      </c>
      <c r="L12" s="12" t="inlineStr">
        <is>
          <t>Partial: bulk user load by the System Administrator</t>
        </is>
      </c>
      <c r="M12" s="12" t="inlineStr">
        <is>
          <t>Yes</t>
        </is>
      </c>
    </row>
    <row r="13">
      <c r="A13" s="12" t="inlineStr">
        <is>
          <t>BRD-UA-11</t>
        </is>
      </c>
      <c r="B13" s="12" t="inlineStr">
        <is>
          <t>Effective-dated access changes</t>
        </is>
      </c>
      <c r="C13" s="12" t="inlineStr">
        <is>
          <t>UAM BRD NFR 14 (1.k)</t>
        </is>
      </c>
      <c r="D13" s="12" t="inlineStr">
        <is>
          <t>FRUM.009.10; Annex Z</t>
        </is>
      </c>
      <c r="E13" s="12" t="inlineStr">
        <is>
          <t>An effective date on the requests; a daily run applies the scheduled changes, checked again on the day.</t>
        </is>
      </c>
      <c r="F13" s="30" t="n">
        <v>1</v>
      </c>
      <c r="G13" s="30" t="n">
        <v>4.5</v>
      </c>
      <c r="H13" s="30" t="n">
        <v>2.5</v>
      </c>
      <c r="I13" s="30">
        <f>SUM(F13:H13)</f>
        <v/>
      </c>
      <c r="J13" s="12" t="inlineStr">
        <is>
          <t>Not charged</t>
        </is>
      </c>
      <c r="K13" s="12" t="inlineStr">
        <is>
          <t>UAM-024: Not available</t>
        </is>
      </c>
      <c r="L13" s="12" t="inlineStr">
        <is>
          <t>Not found</t>
        </is>
      </c>
      <c r="M13" s="12" t="inlineStr">
        <is>
          <t>Yes</t>
        </is>
      </c>
    </row>
    <row r="14">
      <c r="A14" s="12" t="inlineStr">
        <is>
          <t>BRD-UA-12</t>
        </is>
      </c>
      <c r="B14" s="12" t="inlineStr">
        <is>
          <t>Escalation of privileged or out-of-hours changes</t>
        </is>
      </c>
      <c r="C14" s="12" t="inlineStr">
        <is>
          <t>UAM BRD NFR 40 (Other BU NFR 11)</t>
        </is>
      </c>
      <c r="D14" s="12" t="inlineStr">
        <is>
          <t>FRUM.010.02; Annex S</t>
        </is>
      </c>
      <c r="E14" s="12" t="inlineStr">
        <is>
          <t>Privilege level on the group profiles and the working-hours rule; a second approval of the privileged or out-of-hours changes.</t>
        </is>
      </c>
      <c r="F14" s="30" t="n">
        <v>1</v>
      </c>
      <c r="G14" s="30" t="n">
        <v>4</v>
      </c>
      <c r="H14" s="30" t="n">
        <v>2.5</v>
      </c>
      <c r="I14" s="30">
        <f>SUM(F14:H14)</f>
        <v/>
      </c>
      <c r="J14" s="12" t="inlineStr">
        <is>
          <t>Not charged</t>
        </is>
      </c>
      <c r="K14" s="12" t="inlineStr">
        <is>
          <t>UAM-025: Not available</t>
        </is>
      </c>
      <c r="L14" s="12" t="inlineStr">
        <is>
          <t>Not found</t>
        </is>
      </c>
      <c r="M14" s="12" t="inlineStr">
        <is>
          <t>Yes</t>
        </is>
      </c>
    </row>
    <row r="15">
      <c r="A15" s="12" t="inlineStr">
        <is>
          <t>BRD-UA-13</t>
        </is>
      </c>
      <c r="B15" s="12" t="inlineStr">
        <is>
          <t>Second approval of security settings</t>
        </is>
      </c>
      <c r="C15" s="12" t="inlineStr">
        <is>
          <t>UAM BRD NFR 16, NFR 40</t>
        </is>
      </c>
      <c r="D15" s="12" t="inlineStr">
        <is>
          <t>FRUM.012.02; Annex M</t>
        </is>
      </c>
      <c r="E15" s="12" t="inlineStr">
        <is>
          <t>A change of a sign-in, password, session or access setting applies only after the approval of Information Security (in the OOTB platform these settings apply at once).</t>
        </is>
      </c>
      <c r="F15" s="30" t="n">
        <v>0.5</v>
      </c>
      <c r="G15" s="30" t="n">
        <v>4</v>
      </c>
      <c r="H15" s="30" t="n">
        <v>2</v>
      </c>
      <c r="I15" s="30">
        <f>SUM(F15:H15)</f>
        <v/>
      </c>
      <c r="J15" s="12" t="inlineStr">
        <is>
          <t>Not charged</t>
        </is>
      </c>
      <c r="K15" s="12" t="inlineStr">
        <is>
          <t>UAM-026: Partial</t>
        </is>
      </c>
      <c r="L15" s="12" t="inlineStr">
        <is>
          <t>Partial: settings apply at once (audited)</t>
        </is>
      </c>
      <c r="M15" s="12" t="inlineStr">
        <is>
          <t>Yes</t>
        </is>
      </c>
    </row>
    <row r="16">
      <c r="A16" s="12" t="inlineStr">
        <is>
          <t>BRD-UA-14</t>
        </is>
      </c>
      <c r="B16" s="12" t="inlineStr">
        <is>
          <t>Notices of the access requests to the requester and the user</t>
        </is>
      </c>
      <c r="C16" s="12" t="inlineStr">
        <is>
          <t>UAM BRD 1.006.1.1, 1.008.1.4, 2.002.1; NFR 39</t>
        </is>
      </c>
      <c r="D16" s="12" t="inlineStr">
        <is>
          <t>FRUM.013; Annex T</t>
        </is>
      </c>
      <c r="E16" s="12" t="inlineStr">
        <is>
          <t>In-system notices of each request step (to approve, returned, decided, implemented) to the requester, the approver and the affected user.</t>
        </is>
      </c>
      <c r="F16" s="30" t="n">
        <v>0.5</v>
      </c>
      <c r="G16" s="30" t="n">
        <v>2.5</v>
      </c>
      <c r="H16" s="30" t="n">
        <v>1.5</v>
      </c>
      <c r="I16" s="30">
        <f>SUM(F16:H16)</f>
        <v/>
      </c>
      <c r="J16" s="12" t="inlineStr">
        <is>
          <t>Not charged</t>
        </is>
      </c>
      <c r="K16" s="12" t="inlineStr">
        <is>
          <t>UAM-027: Partial</t>
        </is>
      </c>
      <c r="L16" s="12" t="inlineStr">
        <is>
          <t>Partial: in-app access-control notices</t>
        </is>
      </c>
      <c r="M16" s="12" t="inlineStr">
        <is>
          <t>Yes</t>
        </is>
      </c>
    </row>
    <row r="17">
      <c r="A17" s="12" t="inlineStr">
        <is>
          <t>BRD-UA-15</t>
        </is>
      </c>
      <c r="B17" s="12" t="inlineStr">
        <is>
          <t>Access reports in the BDOI layout</t>
        </is>
      </c>
      <c r="C17" s="12" t="inlineStr">
        <is>
          <t>UAM BRD 3.003, 4.003.1; samples A to D; NFR 10, NFR 41</t>
        </is>
      </c>
      <c r="D17" s="12" t="inlineStr">
        <is>
          <t>FRUM.007; Annex V</t>
        </is>
      </c>
      <c r="E17" s="12" t="inlineStr">
        <is>
          <t>User Access Report with an 'as of' date, group profile membership, Group Profile Access Report and the from / to User Access Audit Log in the BDOI layout with the header of the BRD.</t>
        </is>
      </c>
      <c r="F17" s="30" t="n">
        <v>1</v>
      </c>
      <c r="G17" s="30" t="n">
        <v>6</v>
      </c>
      <c r="H17" s="30" t="n">
        <v>2.5</v>
      </c>
      <c r="I17" s="30">
        <f>SUM(F17:H17)</f>
        <v/>
      </c>
      <c r="J17" s="12" t="inlineStr">
        <is>
          <t>Not charged</t>
        </is>
      </c>
      <c r="K17" s="12" t="inlineStr">
        <is>
          <t>UAM-029: Partial</t>
        </is>
      </c>
      <c r="L17" s="12" t="inlineStr">
        <is>
          <t>Partial: user access matrix and role permission matrix</t>
        </is>
      </c>
      <c r="M17" s="12" t="inlineStr">
        <is>
          <t>Yes</t>
        </is>
      </c>
    </row>
    <row r="18">
      <c r="A18" s="12" t="inlineStr">
        <is>
          <t>BRD-UA-16</t>
        </is>
      </c>
      <c r="B18" s="12" t="inlineStr">
        <is>
          <t>On-line status of the users</t>
        </is>
      </c>
      <c r="C18" s="12" t="inlineStr">
        <is>
          <t>UAM BRD NFR 15 (status online), NFR 35</t>
        </is>
      </c>
      <c r="D18" s="12" t="inlineStr">
        <is>
          <t>FRUM.001.05; Annex V</t>
        </is>
      </c>
      <c r="E18" s="12" t="inlineStr">
        <is>
          <t>The list of the users signed in (on-line status) with their sessions; end of a session by the System Administrator.</t>
        </is>
      </c>
      <c r="F18" s="30" t="n">
        <v>0.25</v>
      </c>
      <c r="G18" s="30" t="n">
        <v>2</v>
      </c>
      <c r="H18" s="30" t="n">
        <v>0.75</v>
      </c>
      <c r="I18" s="30">
        <f>SUM(F18:H18)</f>
        <v/>
      </c>
      <c r="J18" s="12" t="inlineStr">
        <is>
          <t>Not charged</t>
        </is>
      </c>
      <c r="K18" s="12" t="inlineStr">
        <is>
          <t>UAM-004: Partial</t>
        </is>
      </c>
      <c r="L18" s="12" t="inlineStr">
        <is>
          <t>Partial: end all sessions of a user; no on-line list</t>
        </is>
      </c>
      <c r="M18" s="12" t="inlineStr">
        <is>
          <t>Yes</t>
        </is>
      </c>
    </row>
    <row r="19">
      <c r="A19" s="12" t="inlineStr">
        <is>
          <t>BRD-UA-17</t>
        </is>
      </c>
      <c r="B19" s="12" t="inlineStr">
        <is>
          <t>Access from BDO devices only</t>
        </is>
      </c>
      <c r="C19" s="12" t="inlineStr">
        <is>
          <t>UAM BRD 1.001.1, 2.001.1, 3.001.1, 4.001.1</t>
        </is>
      </c>
      <c r="D19" s="12" t="inlineStr">
        <is>
          <t>FRUM.001.01; Technical Specification</t>
        </is>
      </c>
      <c r="E19" s="12" t="inlineStr">
        <is>
          <t>Access limited to BDO's network and devices: network zone and IP rules of the OOTB platform, plus the device check BDOI IT chooses.</t>
        </is>
      </c>
      <c r="F19" s="30" t="n">
        <v>0.5</v>
      </c>
      <c r="G19" s="30" t="n">
        <v>2.5</v>
      </c>
      <c r="H19" s="30" t="n">
        <v>1.5</v>
      </c>
      <c r="I19" s="30">
        <f>SUM(F19:H19)</f>
        <v/>
      </c>
      <c r="J19" s="12" t="inlineStr">
        <is>
          <t>Not charged</t>
        </is>
      </c>
      <c r="K19" s="12" t="inlineStr">
        <is>
          <t>UAM-033: Partial</t>
        </is>
      </c>
      <c r="L19" s="12" t="inlineStr">
        <is>
          <t>Partial: network / IP rules outside the application</t>
        </is>
      </c>
      <c r="M19" s="12" t="inlineStr">
        <is>
          <t>Partly (network and IP rules)</t>
        </is>
      </c>
    </row>
  </sheetData>
  <autoFilter ref="A4:M19"/>
  <mergeCells count="1">
    <mergeCell ref="A2:M2"/>
  </mergeCells>
  <conditionalFormatting sqref="A5:M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4" customWidth="1" min="3" max="3"/>
    <col width="50" customWidth="1" min="4" max="4"/>
    <col width="18" customWidth="1" min="5" max="5"/>
    <col width="24" customWidth="1" min="6" max="6"/>
    <col width="22" customWidth="1" min="7" max="7"/>
    <col width="12" customWidth="1" min="8" max="8"/>
  </cols>
  <sheetData>
    <row r="1" ht="24" customHeight="1">
      <c r="A1" s="18" t="inlineStr">
        <is>
          <t>Integration &amp; Data Migration</t>
        </is>
      </c>
    </row>
    <row r="2">
      <c r="A2" s="21" t="inlineStr">
        <is>
          <t>Covered by the Integration and Data Migration scope (grey label in the FRS, Annex AA.5): no change request, no cost here</t>
        </is>
      </c>
    </row>
    <row r="3" ht="6" customHeight="1">
      <c r="A3" s="22" t="n"/>
      <c r="B3" s="22" t="n"/>
      <c r="C3" s="22" t="n"/>
      <c r="D3" s="22" t="n"/>
      <c r="E3" s="22" t="n"/>
      <c r="F3" s="22" t="n"/>
      <c r="G3" s="22" t="n"/>
      <c r="H3" s="22" t="n"/>
    </row>
    <row r="4" ht="30" customHeight="1">
      <c r="A4" s="23" t="inlineStr">
        <is>
          <t>No.</t>
        </is>
      </c>
      <c r="B4" s="23" t="inlineStr">
        <is>
          <t>Point</t>
        </is>
      </c>
      <c r="C4" s="23" t="inlineStr">
        <is>
          <t>FRS reference</t>
        </is>
      </c>
      <c r="D4" s="23" t="inlineStr">
        <is>
          <t>Scope</t>
        </is>
      </c>
      <c r="E4" s="23" t="inlineStr">
        <is>
          <t>Workstream</t>
        </is>
      </c>
      <c r="F4" s="23" t="inlineStr">
        <is>
          <t>Feature List ID / OOTB status</t>
        </is>
      </c>
      <c r="G4" s="23" t="inlineStr">
        <is>
          <t>Note</t>
        </is>
      </c>
      <c r="H4" s="23" t="inlineStr">
        <is>
          <t>Cost</t>
        </is>
      </c>
    </row>
    <row r="5">
      <c r="A5" s="33" t="inlineStr">
        <is>
          <t>IS-UA-01</t>
        </is>
      </c>
      <c r="B5" s="12" t="inlineStr">
        <is>
          <t>Synchronisation with UIDM-ISC and EIAM (joiner, mover, leaver, rehire; Synchronise Now)</t>
        </is>
      </c>
      <c r="C5" s="12" t="inlineStr">
        <is>
          <t>FRUM.002.02, FRUM.003.03; Annex N.3</t>
        </is>
      </c>
      <c r="D5" s="12" t="inlineStr">
        <is>
          <t>Events approved in UIDM-ISC applied with the UIDM request number; refused events queued and alerted.</t>
        </is>
      </c>
      <c r="E5" s="12" t="inlineStr">
        <is>
          <t>Integration</t>
        </is>
      </c>
      <c r="F5" s="12" t="inlineStr">
        <is>
          <t>UAM-011: Not available</t>
        </is>
      </c>
      <c r="G5" s="12" t="inlineStr">
        <is>
          <t>Was CR-UA-005</t>
        </is>
      </c>
      <c r="H5" s="12" t="inlineStr">
        <is>
          <t>Not a CR</t>
        </is>
      </c>
    </row>
    <row r="6">
      <c r="A6" s="33" t="inlineStr">
        <is>
          <t>IS-UA-02</t>
        </is>
      </c>
      <c r="B6" s="12" t="inlineStr">
        <is>
          <t>Revocation on an SSO status change</t>
        </is>
      </c>
      <c r="C6" s="12" t="inlineStr">
        <is>
          <t>FRUM.003.02.01; Annex N</t>
        </is>
      </c>
      <c r="D6" s="12" t="inlineStr">
        <is>
          <t>A leaver, or an SSO account inactive, locked or disabled, deactivates the user and ends the open sessions.</t>
        </is>
      </c>
      <c r="E6" s="12" t="inlineStr">
        <is>
          <t>Integration</t>
        </is>
      </c>
      <c r="F6" s="12" t="inlineStr">
        <is>
          <t>UAM-011: Not available</t>
        </is>
      </c>
      <c r="G6" s="12" t="inlineStr">
        <is>
          <t>Was CR-UA-006</t>
        </is>
      </c>
      <c r="H6" s="12" t="inlineStr">
        <is>
          <t>Not a CR</t>
        </is>
      </c>
    </row>
    <row r="7">
      <c r="A7" s="33" t="inlineStr">
        <is>
          <t>IS-UA-03</t>
        </is>
      </c>
      <c r="B7" s="12" t="inlineStr">
        <is>
          <t>Sign-in through Microsoft Entra ID / EIAM with the Windows ID</t>
        </is>
      </c>
      <c r="C7" s="12" t="inlineStr">
        <is>
          <t>FRUM.001.02; Annex N</t>
        </is>
      </c>
      <c r="D7" s="12" t="inlineStr">
        <is>
          <t>Single sign-on of every user (BRD UAM-NFR 11, 17, 33; CLXN NFR 1.01): a BRD requirement delivered by the Integration workstream.</t>
        </is>
      </c>
      <c r="E7" s="12" t="inlineStr">
        <is>
          <t>Integration</t>
        </is>
      </c>
      <c r="F7" s="12" t="inlineStr">
        <is>
          <t>UAM-011: Not available</t>
        </is>
      </c>
      <c r="G7" s="12" t="inlineStr">
        <is>
          <t>Was BRD item to deliver</t>
        </is>
      </c>
      <c r="H7" s="12" t="inlineStr">
        <is>
          <t>Not a CR</t>
        </is>
      </c>
    </row>
    <row r="8">
      <c r="A8" s="33" t="inlineStr">
        <is>
          <t>IS-UA-04</t>
        </is>
      </c>
      <c r="B8" s="12" t="inlineStr">
        <is>
          <t>External access-control list interface</t>
        </is>
      </c>
      <c r="C8" s="12" t="inlineStr">
        <is>
          <t>Annex W</t>
        </is>
      </c>
      <c r="D8" s="12" t="inlineStr">
        <is>
          <t>Interface with the access-control list of the system BDOI names (BRD UAM-NFR 12; UQ14).</t>
        </is>
      </c>
      <c r="E8" s="12" t="inlineStr">
        <is>
          <t>Integration</t>
        </is>
      </c>
      <c r="F8" s="12" t="inlineStr">
        <is>
          <t>UAM-013: Not available</t>
        </is>
      </c>
      <c r="G8" s="12" t="inlineStr">
        <is>
          <t>BRD requirement</t>
        </is>
      </c>
      <c r="H8" s="12" t="inlineStr">
        <is>
          <t>Not a CR</t>
        </is>
      </c>
    </row>
    <row r="9">
      <c r="A9" s="33" t="inlineStr">
        <is>
          <t>IS-UA-05</t>
        </is>
      </c>
      <c r="B9" s="12" t="inlineStr">
        <is>
          <t>EIAM and UIDM-ISC simulator for SIT and UAT</t>
        </is>
      </c>
      <c r="C9" s="12" t="inlineStr">
        <is>
          <t>Annex N</t>
        </is>
      </c>
      <c r="D9" s="12" t="inlineStr">
        <is>
          <t>Sign-in and identity events simulated in the test environments until BDOI IT connects the real services.</t>
        </is>
      </c>
      <c r="E9" s="12" t="inlineStr">
        <is>
          <t>Integration</t>
        </is>
      </c>
      <c r="F9" s="12" t="inlineStr">
        <is>
          <t>No feature row</t>
        </is>
      </c>
      <c r="G9" s="12" t="inlineStr">
        <is>
          <t>-</t>
        </is>
      </c>
      <c r="H9" s="12" t="inlineStr">
        <is>
          <t>Not a CR</t>
        </is>
      </c>
    </row>
    <row r="10">
      <c r="A10" s="33" t="inlineStr">
        <is>
          <t>DM-UA-01</t>
        </is>
      </c>
      <c r="B10" s="12" t="inlineStr">
        <is>
          <t>Users and group profiles at go-live</t>
        </is>
      </c>
      <c r="C10" s="12" t="inlineStr">
        <is>
          <t>Annex W (BRD-13 Data Migration)</t>
        </is>
      </c>
      <c r="D10" s="12" t="inlineStr">
        <is>
          <t>Users and their group profiles loaded before go-live and at the dress rehearsal (users are not migrated from the legacy systems; loaded by bulk request).</t>
        </is>
      </c>
      <c r="E10" s="12" t="inlineStr">
        <is>
          <t>Data Migration (BRD-13)</t>
        </is>
      </c>
      <c r="F10" s="12" t="inlineStr">
        <is>
          <t>MIG-014 Users migration: Available</t>
        </is>
      </c>
      <c r="G10" s="12" t="inlineStr">
        <is>
          <t>-</t>
        </is>
      </c>
      <c r="H10" s="12" t="inlineStr">
        <is>
          <t>Not a CR</t>
        </is>
      </c>
    </row>
  </sheetData>
  <autoFilter ref="A4:H10"/>
  <mergeCells count="1">
    <mergeCell ref="A2:H2"/>
  </mergeCells>
  <conditionalFormatting sqref="A5:H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70" customWidth="1" min="3" max="3"/>
    <col width="12" customWidth="1" min="4" max="4"/>
    <col width="12" customWidth="1" min="5" max="5"/>
  </cols>
  <sheetData>
    <row r="1" ht="24" customHeight="1">
      <c r="A1" s="18" t="inlineStr">
        <is>
          <t>Best practice (blue)</t>
        </is>
      </c>
    </row>
    <row r="2">
      <c r="A2" s="21" t="inlineStr">
        <is>
          <t>Insurance-broking best practices in no BRD, not in the FRS and not in OOTB (blue, FRS Annex AA.6): recommendations, not commitments</t>
        </is>
      </c>
    </row>
    <row r="3" ht="6" customHeight="1">
      <c r="A3" s="22" t="n"/>
      <c r="B3" s="22" t="n"/>
      <c r="C3" s="22" t="n"/>
      <c r="D3" s="22" t="n"/>
      <c r="E3" s="22" t="n"/>
    </row>
    <row r="4" ht="30" customHeight="1">
      <c r="A4" s="23" t="inlineStr">
        <is>
          <t>ID</t>
        </is>
      </c>
      <c r="B4" s="23" t="inlineStr">
        <is>
          <t>Practice</t>
        </is>
      </c>
      <c r="C4" s="23" t="inlineStr">
        <is>
          <t>Why it matters for a broker</t>
        </is>
      </c>
      <c r="D4" s="23" t="inlineStr">
        <is>
          <t>Suggested priority</t>
        </is>
      </c>
      <c r="E4" s="23" t="inlineStr">
        <is>
          <t>Indicative man-days</t>
        </is>
      </c>
    </row>
    <row r="5">
      <c r="A5" s="34" t="inlineStr">
        <is>
          <t>BP-UA-01</t>
        </is>
      </c>
      <c r="B5" s="34" t="inlineStr">
        <is>
          <t>Monitoring of privileged sessions</t>
        </is>
      </c>
      <c r="C5" s="12" t="inlineStr">
        <is>
          <t>System Administrator and break-glass sessions logged in detail (screens opened, data exported) and reviewed by Information Security; expected by the IC and by the BDO group's IT risk rules for privileged access to client and policy data.</t>
        </is>
      </c>
      <c r="D5" s="12" t="inlineStr">
        <is>
          <t>High</t>
        </is>
      </c>
      <c r="E5" s="12" t="n">
        <v>8</v>
      </c>
    </row>
    <row r="6">
      <c r="A6" s="34" t="inlineStr">
        <is>
          <t>BP-UA-02</t>
        </is>
      </c>
      <c r="B6" s="34" t="inlineStr">
        <is>
          <t>Alert on unusual sign-in</t>
        </is>
      </c>
      <c r="C6" s="12" t="inlineStr">
        <is>
          <t>Sign-in at an unusual hour, from a new device or network, or many failures across users raised to Information Security; early sign of account takeover of client personal data (Data Privacy Act, NPC breach rules).</t>
        </is>
      </c>
      <c r="D6" s="12" t="inlineStr">
        <is>
          <t>Medium</t>
        </is>
      </c>
      <c r="E6" s="12" t="n">
        <v>6</v>
      </c>
    </row>
    <row r="7">
      <c r="A7" s="34" t="inlineStr">
        <is>
          <t>BP-UA-03</t>
        </is>
      </c>
      <c r="B7" s="34" t="inlineStr">
        <is>
          <t>Log of views of sensitive records</t>
        </is>
      </c>
      <c r="C7" s="12" t="inlineStr">
        <is>
          <t>Who viewed (not only changed) the records of PEP, high-risk and claims clients; supports AMLA confidentiality and Data Privacy Act accountability.</t>
        </is>
      </c>
      <c r="D7" s="12" t="inlineStr">
        <is>
          <t>Medium</t>
        </is>
      </c>
      <c r="E7" s="12" t="n">
        <v>6</v>
      </c>
    </row>
    <row r="8">
      <c r="A8" s="34" t="inlineStr">
        <is>
          <t>BP-UA-04</t>
        </is>
      </c>
      <c r="B8" s="34" t="inlineStr">
        <is>
          <t>Joiner-mover-leaver timeliness report</t>
        </is>
      </c>
      <c r="C8" s="12" t="inlineStr">
        <is>
          <t>Time from the UIDM-ISC approval to access given or removed, and leavers still active; evidence for internal audit that leavers lose access the same day.</t>
        </is>
      </c>
      <c r="D8" s="12" t="inlineStr">
        <is>
          <t>Medium</t>
        </is>
      </c>
      <c r="E8" s="12" t="n">
        <v>4</v>
      </c>
    </row>
    <row r="9">
      <c r="A9" s="34" t="inlineStr">
        <is>
          <t>BP-UA-05</t>
        </is>
      </c>
      <c r="B9" s="34" t="inlineStr">
        <is>
          <t>Separation-of-duties what-if check</t>
        </is>
      </c>
      <c r="C9" s="12" t="inlineStr">
        <is>
          <t>Before a request is submitted the requester sees which separation-of-duties rules the new access would break, so conflicts are fixed before approval.</t>
        </is>
      </c>
      <c r="D9" s="12" t="inlineStr">
        <is>
          <t>Low</t>
        </is>
      </c>
      <c r="E9" s="12" t="n">
        <v>4</v>
      </c>
    </row>
    <row r="10">
      <c r="A10" s="34" t="inlineStr">
        <is>
          <t>BP-UA-06</t>
        </is>
      </c>
      <c r="B10" s="34" t="inlineStr">
        <is>
          <t>Generic and shared account register</t>
        </is>
      </c>
      <c r="C10" s="12" t="inlineStr">
        <is>
          <t>Every non-personal account (service, interface, training) with an owner, purpose and review date; a common audit finding in Philippine financial institutions.</t>
        </is>
      </c>
      <c r="D10" s="12" t="inlineStr">
        <is>
          <t>Low</t>
        </is>
      </c>
      <c r="E10" s="12" t="n">
        <v>3</v>
      </c>
    </row>
    <row r="11">
      <c r="A11" s="12" t="inlineStr">
        <is>
          <t>Total</t>
        </is>
      </c>
      <c r="B11" s="12" t="inlineStr">
        <is>
          <t>6 recommendations (indicative, excluded from the CR total)</t>
        </is>
      </c>
      <c r="C11" s="12" t="n"/>
      <c r="D11" s="12" t="n"/>
      <c r="E11" s="12">
        <f>SUM(E5:E10)</f>
        <v/>
      </c>
    </row>
  </sheetData>
  <autoFilter ref="A4:E11"/>
  <mergeCells count="1">
    <mergeCell ref="A2:E2"/>
  </mergeCells>
  <conditionalFormatting sqref="A5:E511">
    <cfRule type="expression" priority="1" dxfId="0">
      <formula>AND(MOD(ROW(),2)=0,$A5&lt;&gt;"")</formula>
    </cfRule>
  </conditionalFormatting>
  <dataValidations count="1">
    <dataValidation sqref="D5:D511" showDropDown="0" showInputMessage="0" showErrorMessage="1" allowBlank="1" errorTitle="Suggested priority" error="Choose a value from the list (Suggested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90" customWidth="1" min="3" max="3"/>
  </cols>
  <sheetData>
    <row r="1" ht="24" customHeight="1">
      <c r="A1" s="18" t="inlineStr">
        <is>
          <t>Assumptions</t>
        </is>
      </c>
    </row>
    <row r="2">
      <c r="A2" s="21" t="inlineStr">
        <is>
          <t>Assumptions of the estimate; enter the day rate in the yellow cell</t>
        </is>
      </c>
    </row>
    <row r="3" ht="6" customHeight="1">
      <c r="A3" s="22" t="n"/>
      <c r="B3" s="22" t="n"/>
      <c r="C3" s="22" t="n"/>
    </row>
    <row r="4" ht="30" customHeight="1">
      <c r="A4" s="23" t="inlineStr">
        <is>
          <t>Assumption</t>
        </is>
      </c>
      <c r="B4" s="23" t="inlineStr">
        <is>
          <t>Value</t>
        </is>
      </c>
      <c r="C4" s="23" t="inlineStr">
        <is>
          <t>Note</t>
        </is>
      </c>
    </row>
    <row r="5">
      <c r="A5" s="12" t="inlineStr">
        <is>
          <t>Man-day</t>
        </is>
      </c>
      <c r="B5" s="12" t="n">
        <v>8</v>
      </c>
      <c r="C5" s="12" t="inlineStr">
        <is>
          <t>Hours of work in one man-day</t>
        </is>
      </c>
    </row>
    <row r="6">
      <c r="A6" s="12" t="inlineStr">
        <is>
          <t>Accuracy of the estimates</t>
        </is>
      </c>
      <c r="B6" s="35" t="n">
        <v>0.2</v>
      </c>
      <c r="C6" s="12" t="inlineStr">
        <is>
          <t>Plus or minus; the Low and High columns use it</t>
        </is>
      </c>
    </row>
    <row r="7">
      <c r="A7" s="12" t="inlineStr">
        <is>
          <t>Day rate</t>
        </is>
      </c>
      <c r="B7" s="36" t="n"/>
      <c r="C7" s="12" t="inlineStr">
        <is>
          <t>Enter the rate of one man-day (currency below); the costs are computed from it</t>
        </is>
      </c>
    </row>
    <row r="8">
      <c r="A8" s="12" t="inlineStr">
        <is>
          <t>Currency</t>
        </is>
      </c>
      <c r="B8" s="12" t="inlineStr"/>
      <c r="C8" s="12" t="inlineStr">
        <is>
          <t>For example PHP</t>
        </is>
      </c>
    </row>
    <row r="9">
      <c r="A9" s="12" t="inlineStr">
        <is>
          <t>Basis</t>
        </is>
      </c>
      <c r="B9" s="12" t="inlineStr"/>
      <c r="C9" s="12" t="inlineStr">
        <is>
          <t>Sized against the iNXT BrokerVerse OOTB platform (repo BDOI-OOTB, branch brokerverse-platform, checked in its code with the Feature List vs OOTB as a cross-check), not against the BIBS system configured for BDOI: a point OOTB offers is not a change request; for a partial point only the missing part is estimated; a change request already available in BIBS (column Prepared for BIBS?) keeps its effort as the CR value; interfaces and data migration are not change requests (sheet Integration &amp; Data Migration); best practice is indicative and excluded (sheet Best practice (blue)) (sheet Beyond the BRD - OOTB).</t>
        </is>
      </c>
    </row>
    <row r="10">
      <c r="A10" s="12" t="inlineStr">
        <is>
          <t>Activities</t>
        </is>
      </c>
      <c r="B10" s="12" t="inlineStr"/>
      <c r="C10" s="12" t="inlineStr">
        <is>
          <t>Analysis and design (FRS update, rules), backend, frontend (screens), testing (test cases of the RTM, regression of the access functions), documentation and UAT support.</t>
        </is>
      </c>
    </row>
    <row r="11">
      <c r="A11" s="12" t="inlineStr">
        <is>
          <t>Not included</t>
        </is>
      </c>
      <c r="B11" s="12" t="inlineStr"/>
      <c r="C11" s="12" t="inlineStr">
        <is>
          <t>Work of BDOI and BDOI IT (decisions, identity systems, infrastructure), data migration, training beyond the UAT support.</t>
        </is>
      </c>
    </row>
    <row r="12">
      <c r="A12" s="12" t="inlineStr">
        <is>
          <t>Validity</t>
        </is>
      </c>
      <c r="B12" s="12" t="inlineStr"/>
      <c r="C12" s="12" t="inlineStr">
        <is>
          <t>Until the sign-off of the FRS v1.4; re-estimated when the decision of BDOI changes the scope of a change request.</t>
        </is>
      </c>
    </row>
  </sheetData>
  <autoFilter ref="A4:C12"/>
  <mergeCells count="1">
    <mergeCell ref="A2:C2"/>
  </mergeCells>
  <conditionalFormatting sqref="A5:C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7" t="inlineStr">
        <is>
          <t>Complexity</t>
        </is>
      </c>
      <c r="B1" s="37" t="inlineStr">
        <is>
          <t>Priority</t>
        </is>
      </c>
    </row>
    <row r="2">
      <c r="A2" s="38" t="inlineStr">
        <is>
          <t>Low</t>
        </is>
      </c>
      <c r="B2" s="38" t="inlineStr">
        <is>
          <t>High</t>
        </is>
      </c>
    </row>
    <row r="3">
      <c r="A3" s="38" t="inlineStr">
        <is>
          <t>Medium</t>
        </is>
      </c>
      <c r="B3" s="38" t="inlineStr">
        <is>
          <t>Medium</t>
        </is>
      </c>
    </row>
    <row r="4">
      <c r="A4" s="38" t="inlineStr">
        <is>
          <t>High</t>
        </is>
      </c>
      <c r="B4" s="38" t="inlineStr">
        <is>
          <t>Low</t>
        </is>
      </c>
    </row>
  </sheetData>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CR Effort Estimate</dc:title>
  <dc:subject xmlns:dc="http://purl.org/dc/elements/1.1/">BIBS – BDOI Broker System</dc:subject>
  <dcterms:created xmlns:dcterms="http://purl.org/dc/terms/" xmlns:xsi="http://www.w3.org/2001/XMLSchema-instance" xsi:type="dcterms:W3CDTF">2026-10-11T14:57:10Z</dcterms:created>
  <dcterms:modified xmlns:dcterms="http://purl.org/dc/terms/" xmlns:xsi="http://www.w3.org/2001/XMLSchema-instance" xsi:type="dcterms:W3CDTF">2026-10-11T14:57:10Z</dcterms:modified>
  <cp:keywords>Change requests - effort, BRD-11, BIBS, BDOI</cp:keywords>
</cp:coreProperties>
</file>