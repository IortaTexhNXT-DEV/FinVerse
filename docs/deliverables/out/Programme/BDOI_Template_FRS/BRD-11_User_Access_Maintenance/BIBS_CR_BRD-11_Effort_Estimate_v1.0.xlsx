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CR Effort" sheetId="4" state="visible" r:id="rId4"/>
    <sheet xmlns:r="http://schemas.openxmlformats.org/officeDocument/2006/relationships" name="Beyond the BRD - OOTB" sheetId="5" state="visible" r:id="rId5"/>
    <sheet xmlns:r="http://schemas.openxmlformats.org/officeDocument/2006/relationships" name="BRD items to deliver" sheetId="6" state="visible" r:id="rId6"/>
    <sheet xmlns:r="http://schemas.openxmlformats.org/officeDocument/2006/relationships" name="Integration &amp; Data Migration" sheetId="7" state="visible" r:id="rId7"/>
    <sheet xmlns:r="http://schemas.openxmlformats.org/officeDocument/2006/relationships" name="Best practice (blue)" sheetId="8" state="visible" r:id="rId8"/>
    <sheet xmlns:r="http://schemas.openxmlformats.org/officeDocument/2006/relationships" name="Assumptions" sheetId="9" state="visible" r:id="rId9"/>
    <sheet xmlns:r="http://schemas.openxmlformats.org/officeDocument/2006/relationships" name="Lists" sheetId="10" state="visible" r:id="rId10"/>
  </sheets>
  <definedNames>
    <definedName name="DayRate">Assumptions!$B$7</definedName>
    <definedName name="Accuracy">Assumptions!$B$6</definedName>
    <definedName name="_xlnm._FilterDatabase" localSheetId="1" hidden="1">'README'!$A$4:$D$73</definedName>
    <definedName name="_xlnm.Print_Titles" localSheetId="1">'README'!$4:$4</definedName>
    <definedName name="_xlnm._FilterDatabase" localSheetId="2" hidden="1">'Summary'!$A$4:$F$17</definedName>
    <definedName name="_xlnm.Print_Titles" localSheetId="2">'Summary'!$4:$4</definedName>
    <definedName name="_xlnm._FilterDatabase" localSheetId="3" hidden="1">'CR Effort'!$A$4:$X$13</definedName>
    <definedName name="_xlnm.Print_Titles" localSheetId="3">'CR Effort'!$4:$4</definedName>
    <definedName name="_xlnm._FilterDatabase" localSheetId="4" hidden="1">'Beyond the BRD - OOTB'!$A$4:$J$9</definedName>
    <definedName name="_xlnm.Print_Titles" localSheetId="4">'Beyond the BRD - OOTB'!$4:$4</definedName>
    <definedName name="_xlnm._FilterDatabase" localSheetId="5" hidden="1">'BRD items to deliver'!$A$4:$M$19</definedName>
    <definedName name="_xlnm.Print_Titles" localSheetId="5">'BRD items to deliver'!$4:$4</definedName>
    <definedName name="_xlnm._FilterDatabase" localSheetId="6" hidden="1">'Integration &amp; Data Migration'!$A$4:$H$10</definedName>
    <definedName name="_xlnm.Print_Titles" localSheetId="6">'Integration &amp; Data Migration'!$4:$4</definedName>
    <definedName name="_xlnm._FilterDatabase" localSheetId="7" hidden="1">'Best practice (blue)'!$A$4:$E$11</definedName>
    <definedName name="_xlnm.Print_Titles" localSheetId="7">'Best practice (blue)'!$4:$4</definedName>
    <definedName name="_xlnm._FilterDatabase" localSheetId="8" hidden="1">'Assumptions'!$A$4:$C$12</definedName>
    <definedName name="_xlnm.Print_Titles" localSheetId="8">'Assumptions'!$4:$4</definedName>
    <definedName name="_xlnm.Print_Titles" localSheetId="9">'Lists'!$1:$1</definedName>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font>
    <font>
      <name val="Arial"/>
      <b val="1"/>
      <color rgb="00E65100"/>
    </font>
    <font>
      <name val="Arial"/>
      <b val="1"/>
      <color rgb="002E7D32"/>
    </font>
    <font>
      <name val="Arial"/>
      <b val="1"/>
      <color rgb="00616161"/>
    </font>
    <font>
      <name val="Arial"/>
      <b val="1"/>
      <color rgb="001565C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6">
    <fill>
      <patternFill/>
    </fill>
    <fill>
      <patternFill patternType="gray125"/>
    </fill>
    <fill>
      <patternFill patternType="solid">
        <fgColor rgb="00004EA8"/>
      </patternFill>
    </fill>
    <fill>
      <patternFill patternType="solid">
        <fgColor rgb="00FFF59D"/>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39">
    <xf numFmtId="0" fontId="0" fillId="0" borderId="0" pivotButton="0" quotePrefix="0" xfId="0"/>
    <xf numFmtId="0" fontId="0" fillId="0" borderId="3"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4" pivotButton="0" quotePrefix="0" xfId="0"/>
    <xf numFmtId="0" fontId="15" fillId="0" borderId="4" pivotButton="0" quotePrefix="0" xfId="0"/>
    <xf numFmtId="0" fontId="16" fillId="0" borderId="4" pivotButton="0" quotePrefix="0" xfId="0"/>
    <xf numFmtId="0" fontId="17" fillId="0" borderId="0" pivotButton="0" quotePrefix="0" xfId="0"/>
    <xf numFmtId="0" fontId="3" fillId="2" borderId="2" pivotButton="0" quotePrefix="0" xfId="0"/>
    <xf numFmtId="0" fontId="10" fillId="0" borderId="2" applyAlignment="1" pivotButton="0" quotePrefix="0" xfId="0">
      <alignment vertical="top" wrapText="1"/>
    </xf>
    <xf numFmtId="0" fontId="4" fillId="0" borderId="2" applyAlignment="1" pivotButton="0" quotePrefix="0" xfId="0">
      <alignment vertical="top" wrapText="1"/>
    </xf>
    <xf numFmtId="0" fontId="10" fillId="4" borderId="2" applyAlignment="1" pivotButton="0" quotePrefix="0" xfId="0">
      <alignment vertical="top" wrapText="1"/>
    </xf>
    <xf numFmtId="0" fontId="4" fillId="4" borderId="2" applyAlignment="1" pivotButton="0" quotePrefix="0" xfId="0">
      <alignment vertical="top" wrapText="1"/>
    </xf>
    <xf numFmtId="0" fontId="18" fillId="5" borderId="2" applyAlignment="1" pivotButton="0" quotePrefix="0" xfId="0">
      <alignment horizontal="center"/>
    </xf>
    <xf numFmtId="0" fontId="4" fillId="0" borderId="2" applyAlignment="1" pivotButton="0" quotePrefix="0" xfId="0">
      <alignment wrapText="1"/>
    </xf>
    <xf numFmtId="0" fontId="2" fillId="0" borderId="0" pivotButton="0" quotePrefix="0" xfId="0"/>
    <xf numFmtId="0" fontId="1" fillId="0" borderId="0" pivotButton="0" quotePrefix="0" xfId="0"/>
    <xf numFmtId="0" fontId="18" fillId="0" borderId="2" applyAlignment="1" pivotButton="0" quotePrefix="0" xfId="0">
      <alignment vertical="top" wrapText="1"/>
    </xf>
    <xf numFmtId="0" fontId="18" fillId="4"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xf numFmtId="4" fontId="4" fillId="0" borderId="2" applyAlignment="1" pivotButton="0" quotePrefix="0" xfId="0">
      <alignment vertical="top" wrapText="1"/>
    </xf>
    <xf numFmtId="0" fontId="5" fillId="0" borderId="2" applyAlignment="1" pivotButton="0" quotePrefix="0" xfId="0">
      <alignment vertical="top" wrapText="1"/>
    </xf>
    <xf numFmtId="164" fontId="5" fillId="0" borderId="2" applyAlignment="1" pivotButton="0" quotePrefix="0" xfId="0">
      <alignment vertical="top" wrapText="1"/>
    </xf>
    <xf numFmtId="4" fontId="5" fillId="0" borderId="2" applyAlignment="1" pivotButton="0" quotePrefix="0" xfId="0">
      <alignment vertical="top" wrapText="1"/>
    </xf>
    <xf numFmtId="0" fontId="6" fillId="0" borderId="2" applyAlignment="1" pivotButton="0" quotePrefix="0" xfId="0">
      <alignment vertical="top" wrapText="1"/>
    </xf>
    <xf numFmtId="164" fontId="4" fillId="0" borderId="2" applyAlignment="1" pivotButton="0" quotePrefix="0" xfId="0">
      <alignment vertical="top"/>
    </xf>
    <xf numFmtId="164" fontId="5" fillId="0" borderId="2" applyAlignment="1" pivotButton="0" quotePrefix="0" xfId="0">
      <alignment vertical="top"/>
    </xf>
    <xf numFmtId="0" fontId="7" fillId="0" borderId="2" applyAlignment="1" pivotButton="0" quotePrefix="0" xfId="0">
      <alignment vertical="top" wrapText="1"/>
    </xf>
    <xf numFmtId="0" fontId="8" fillId="0" borderId="2" applyAlignment="1" pivotButton="0" quotePrefix="0" xfId="0">
      <alignment vertical="top" wrapText="1"/>
    </xf>
    <xf numFmtId="0" fontId="9" fillId="0" borderId="2" applyAlignment="1" pivotButton="0" quotePrefix="0" xfId="0">
      <alignment vertical="top" wrapText="1"/>
    </xf>
    <xf numFmtId="9" fontId="4" fillId="0" borderId="2" applyAlignment="1" pivotButton="0" quotePrefix="0" xfId="0">
      <alignment vertical="top" wrapText="1"/>
    </xf>
    <xf numFmtId="4" fontId="4" fillId="3" borderId="2" applyAlignment="1" pivotButton="0" quotePrefix="0" xfId="0">
      <alignment vertical="top" wrapText="1"/>
    </xf>
    <xf numFmtId="0" fontId="3" fillId="2" borderId="0" pivotButton="0" quotePrefix="0" xfId="0"/>
    <xf numFmtId="0" fontId="4"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36</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CR Effort'!A1" TargetMode="External" Id="rId3"/><Relationship Type="http://schemas.openxmlformats.org/officeDocument/2006/relationships/hyperlink" Target="#'Beyond the BRD - OOTB'!A1" TargetMode="External" Id="rId4"/><Relationship Type="http://schemas.openxmlformats.org/officeDocument/2006/relationships/hyperlink" Target="#'BRD items to deliver'!A1" TargetMode="External" Id="rId5"/><Relationship Type="http://schemas.openxmlformats.org/officeDocument/2006/relationships/hyperlink" Target="#'Integration &amp; Data Migration'!A1" TargetMode="External" Id="rId6"/><Relationship Type="http://schemas.openxmlformats.org/officeDocument/2006/relationships/hyperlink" Target="#'Best practice (blue)'!A1" TargetMode="External" Id="rId7"/><Relationship Type="http://schemas.openxmlformats.org/officeDocument/2006/relationships/hyperlink" Target="#'Assumptions'!A1" TargetMode="External" Id="rId8"/><Relationship Type="http://schemas.openxmlformats.org/officeDocument/2006/relationships/drawing" Target="/xl/drawings/drawing1.xml" Id="rId9"/></Relationships>
</file>

<file path=xl/worksheets/sheet1.xml><?xml version="1.0" encoding="utf-8"?>
<worksheet xmlns="http://schemas.openxmlformats.org/spreadsheetml/2006/main">
  <sheetPr>
    <outlinePr summaryBelow="1" summaryRight="1"/>
    <pageSetUpPr fitToPage="1"/>
  </sheetPr>
  <dimension ref="B4:E37"/>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CHANGE REQUESTS - EFFORT</t>
        </is>
      </c>
    </row>
    <row r="7" ht="32" customHeight="1">
      <c r="B7" s="3" t="inlineStr">
        <is>
          <t>CR Effort Estimate</t>
        </is>
      </c>
    </row>
    <row r="8">
      <c r="B8" s="4" t="inlineStr">
        <is>
          <t>BRD-11 User Access Maintenance - change requests of the FRS v1.4 with their effort</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1.0</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Totals of the change requests of BRD-11 (FRS v1.4, Annex AA.2); figures by formula</t>
        </is>
      </c>
      <c r="D21" s="14" t="n">
        <v>13</v>
      </c>
    </row>
    <row r="22">
      <c r="B22" s="11" t="inlineStr">
        <is>
          <t>CR Effort</t>
        </is>
      </c>
      <c r="C22" s="12" t="inlineStr">
        <is>
          <t>One row per change request (orange point of the FRS v1.4); man-days of 8 hours, +-20%</t>
        </is>
      </c>
      <c r="D22" s="12" t="n">
        <v>9</v>
      </c>
    </row>
    <row r="23">
      <c r="B23" s="13" t="inlineStr">
        <is>
          <t>Beyond the BRD - OOTB</t>
        </is>
      </c>
      <c r="C23" s="14" t="inlineStr">
        <is>
          <t>Points of the FRS v1.4 that no BRD asks for and the iNXT BrokerVerse OOTB platform offers (green): no cost</t>
        </is>
      </c>
      <c r="D23" s="14" t="n">
        <v>5</v>
      </c>
    </row>
    <row r="24">
      <c r="B24" s="11" t="inlineStr">
        <is>
          <t>BRD items to deliver</t>
        </is>
      </c>
      <c r="C24" s="12" t="inlineStr">
        <is>
          <t>BRD requirements not (fully) in the iNXT BrokerVerse OOTB platform (FRS Annex X.2, AA.4): in-scope delivery work, for planning</t>
        </is>
      </c>
      <c r="D24" s="12" t="n">
        <v>15</v>
      </c>
    </row>
    <row r="25">
      <c r="B25" s="13" t="inlineStr">
        <is>
          <t>Integration &amp; Data Migration</t>
        </is>
      </c>
      <c r="C25" s="14" t="inlineStr">
        <is>
          <t>Covered by the Integration and Data Migration scope (grey label in the FRS, Annex AA.5): no change request, no cost here</t>
        </is>
      </c>
      <c r="D25" s="14" t="n">
        <v>6</v>
      </c>
    </row>
    <row r="26">
      <c r="B26" s="11" t="inlineStr">
        <is>
          <t>Best practice (blue)</t>
        </is>
      </c>
      <c r="C26" s="12" t="inlineStr">
        <is>
          <t>Insurance-broking best practices in no BRD, not in the FRS and not in OOTB (blue, FRS Annex AA.6): recommendations, not commitments</t>
        </is>
      </c>
      <c r="D26" s="12" t="n">
        <v>7</v>
      </c>
    </row>
    <row r="27">
      <c r="B27" s="13" t="inlineStr">
        <is>
          <t>Assumptions</t>
        </is>
      </c>
      <c r="C27" s="14" t="inlineStr">
        <is>
          <t>Assumptions of the estimate; enter the day rate in the yellow cell</t>
        </is>
      </c>
      <c r="D27" s="14" t="n">
        <v>8</v>
      </c>
    </row>
    <row r="29">
      <c r="B29" s="9" t="inlineStr">
        <is>
          <t>Legend</t>
        </is>
      </c>
    </row>
    <row r="30">
      <c r="B30" s="15" t="inlineStr">
        <is>
          <t>Change request</t>
        </is>
      </c>
      <c r="C30" s="16" t="inlineStr">
        <is>
          <t>In no BRD and not (or only partly) in the iNXT BrokerVerse OOTB platform (orange in the FRS); also when already available in BIBS</t>
        </is>
      </c>
    </row>
    <row r="31">
      <c r="B31" s="15" t="inlineStr">
        <is>
          <t>Offered by OOTB</t>
        </is>
      </c>
      <c r="C31" s="16" t="inlineStr">
        <is>
          <t>Not in the BRD; offered by the iNXT BrokerVerse OOTB platform (brokerverse-platform), no cost (green in the FRS)</t>
        </is>
      </c>
    </row>
    <row r="32">
      <c r="B32" s="15" t="inlineStr">
        <is>
          <t>Integration / Data Migration scope</t>
        </is>
      </c>
      <c r="C32" s="16" t="inlineStr">
        <is>
          <t>Interfaces and data migration: covered by those workstreams, not a change request (grey label)</t>
        </is>
      </c>
    </row>
    <row r="33">
      <c r="B33" s="15" t="inlineStr">
        <is>
          <t>Best practice</t>
        </is>
      </c>
      <c r="C33" s="16" t="inlineStr">
        <is>
          <t>In no BRD, FRS or OOTB: recommendation with indicative effort, excluded from the CR total (blue)</t>
        </is>
      </c>
    </row>
    <row r="34">
      <c r="B34" s="15" t="inlineStr">
        <is>
          <t>BRD requirement</t>
        </is>
      </c>
      <c r="C34" s="16" t="inlineStr">
        <is>
          <t>In scope; delivered without a change request (black in the FRS)</t>
        </is>
      </c>
    </row>
    <row r="37" ht="26" customHeight="1">
      <c r="B37" s="17"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s>
  <printOptions horizontalCentered="1"/>
  <pageMargins left="0.4" right="0.4" top="0.6" bottom="0.6" header="0.5" footer="0.5"/>
  <pageSetup orientation="portrait" paperSize="1" fitToHeight="0" fitToWidth="1"/>
  <headerFooter>
    <oddHeader>&amp;L&amp;8 &amp;K004EA8CR Effort Estimate&amp;R&amp;8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9"/>
</worksheet>
</file>

<file path=xl/worksheets/sheet2.xml><?xml version="1.0" encoding="utf-8"?>
<worksheet xmlns="http://schemas.openxmlformats.org/spreadsheetml/2006/main">
  <sheetPr>
    <outlinePr summaryBelow="1" summaryRight="1"/>
    <pageSetUpPr fitToPage="1"/>
  </sheetPr>
  <dimension ref="A1:D73"/>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8" t="inlineStr">
        <is>
          <t>README – columns of each sheet</t>
        </is>
      </c>
    </row>
    <row r="2">
      <c r="A2" s="17" t="inlineStr">
        <is>
          <t>CR Effort Estimate,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19" t="inlineStr">
        <is>
          <t>Item</t>
        </is>
      </c>
      <c r="C5" s="12" t="inlineStr">
        <is>
          <t>Change request or group</t>
        </is>
      </c>
      <c r="D5" s="12" t="inlineStr"/>
    </row>
    <row r="6">
      <c r="A6" s="14" t="inlineStr">
        <is>
          <t>Summary</t>
        </is>
      </c>
      <c r="B6" s="20" t="inlineStr">
        <is>
          <t>Man-days</t>
        </is>
      </c>
      <c r="C6" s="14" t="inlineStr">
        <is>
          <t>Total effort (8-hour days)</t>
        </is>
      </c>
      <c r="D6" s="14" t="inlineStr"/>
    </row>
    <row r="7">
      <c r="A7" s="12" t="inlineStr">
        <is>
          <t>Summary</t>
        </is>
      </c>
      <c r="B7" s="19" t="inlineStr">
        <is>
          <t>Low (-20%)</t>
        </is>
      </c>
      <c r="C7" s="12" t="inlineStr">
        <is>
          <t>Lower end of the range</t>
        </is>
      </c>
      <c r="D7" s="12" t="inlineStr"/>
    </row>
    <row r="8">
      <c r="A8" s="14" t="inlineStr">
        <is>
          <t>Summary</t>
        </is>
      </c>
      <c r="B8" s="20" t="inlineStr">
        <is>
          <t>High (+20%)</t>
        </is>
      </c>
      <c r="C8" s="14" t="inlineStr">
        <is>
          <t>Upper end of the range</t>
        </is>
      </c>
      <c r="D8" s="14" t="inlineStr"/>
    </row>
    <row r="9">
      <c r="A9" s="12" t="inlineStr">
        <is>
          <t>Summary</t>
        </is>
      </c>
      <c r="B9" s="19" t="inlineStr">
        <is>
          <t>Cost</t>
        </is>
      </c>
      <c r="C9" s="12" t="inlineStr">
        <is>
          <t>Man-days x day rate (sheet Assumptions)</t>
        </is>
      </c>
      <c r="D9" s="12" t="inlineStr"/>
    </row>
    <row r="10">
      <c r="A10" s="14" t="inlineStr">
        <is>
          <t>Summary</t>
        </is>
      </c>
      <c r="B10" s="20" t="inlineStr">
        <is>
          <t>Note</t>
        </is>
      </c>
      <c r="C10" s="14" t="inlineStr"/>
      <c r="D10" s="14" t="inlineStr"/>
    </row>
    <row r="11">
      <c r="A11" s="12" t="inlineStr">
        <is>
          <t>CR Effort</t>
        </is>
      </c>
      <c r="B11" s="19" t="inlineStr">
        <is>
          <t>CR No.</t>
        </is>
      </c>
      <c r="C11" s="12" t="inlineStr">
        <is>
          <t>Change request number (Change Request Register)</t>
        </is>
      </c>
      <c r="D11" s="12" t="inlineStr"/>
    </row>
    <row r="12">
      <c r="A12" s="14" t="inlineStr">
        <is>
          <t>CR Effort</t>
        </is>
      </c>
      <c r="B12" s="20" t="inlineStr">
        <is>
          <t>Title</t>
        </is>
      </c>
      <c r="C12" s="14" t="inlineStr"/>
      <c r="D12" s="14" t="inlineStr"/>
    </row>
    <row r="13">
      <c r="A13" s="12" t="inlineStr">
        <is>
          <t>CR Effort</t>
        </is>
      </c>
      <c r="B13" s="19" t="inlineStr">
        <is>
          <t>FRS reference</t>
        </is>
      </c>
      <c r="C13" s="12" t="inlineStr">
        <is>
          <t>FR item or annex of the FRS v1.4</t>
        </is>
      </c>
      <c r="D13" s="12" t="inlineStr"/>
    </row>
    <row r="14">
      <c r="A14" s="14" t="inlineStr">
        <is>
          <t>CR Effort</t>
        </is>
      </c>
      <c r="B14" s="20" t="inlineStr">
        <is>
          <t>BRD reference</t>
        </is>
      </c>
      <c r="C14" s="14" t="inlineStr">
        <is>
          <t>'Not in BRD' for every change request</t>
        </is>
      </c>
      <c r="D14" s="14" t="inlineStr"/>
    </row>
    <row r="15">
      <c r="A15" s="12" t="inlineStr">
        <is>
          <t>CR Effort</t>
        </is>
      </c>
      <c r="B15" s="19" t="inlineStr">
        <is>
          <t>Source</t>
        </is>
      </c>
      <c r="C15" s="12" t="inlineStr">
        <is>
          <t>BDOI FRS / best practice / iorta TechNXT</t>
        </is>
      </c>
      <c r="D15" s="12" t="inlineStr"/>
    </row>
    <row r="16">
      <c r="A16" s="14" t="inlineStr">
        <is>
          <t>CR Effort</t>
        </is>
      </c>
      <c r="B16" s="20" t="inlineStr">
        <is>
          <t>Why needed</t>
        </is>
      </c>
      <c r="C16" s="14" t="inlineStr"/>
      <c r="D16" s="14" t="inlineStr"/>
    </row>
    <row r="17">
      <c r="A17" s="12" t="inlineStr">
        <is>
          <t>CR Effort</t>
        </is>
      </c>
      <c r="B17" s="19" t="inlineStr">
        <is>
          <t>OOTB status</t>
        </is>
      </c>
      <c r="C17" s="12" t="inlineStr">
        <is>
          <t>What the iNXT BrokerVerse OOTB platform offers (brokerverse-platform)</t>
        </is>
      </c>
      <c r="D17" s="12" t="inlineStr"/>
    </row>
    <row r="18">
      <c r="A18" s="14" t="inlineStr">
        <is>
          <t>CR Effort</t>
        </is>
      </c>
      <c r="B18" s="20" t="inlineStr">
        <is>
          <t>Scope of the change</t>
        </is>
      </c>
      <c r="C18" s="14" t="inlineStr"/>
      <c r="D18" s="14" t="inlineStr"/>
    </row>
    <row r="19">
      <c r="A19" s="12" t="inlineStr">
        <is>
          <t>CR Effort</t>
        </is>
      </c>
      <c r="B19" s="19" t="inlineStr">
        <is>
          <t>Analysis and design</t>
        </is>
      </c>
      <c r="C19" s="12" t="inlineStr">
        <is>
          <t>Man-days</t>
        </is>
      </c>
      <c r="D19" s="12" t="inlineStr"/>
    </row>
    <row r="20">
      <c r="A20" s="14" t="inlineStr">
        <is>
          <t>CR Effort</t>
        </is>
      </c>
      <c r="B20" s="20" t="inlineStr">
        <is>
          <t>Backend</t>
        </is>
      </c>
      <c r="C20" s="14" t="inlineStr">
        <is>
          <t>Man-days</t>
        </is>
      </c>
      <c r="D20" s="14" t="inlineStr"/>
    </row>
    <row r="21">
      <c r="A21" s="12" t="inlineStr">
        <is>
          <t>CR Effort</t>
        </is>
      </c>
      <c r="B21" s="19" t="inlineStr">
        <is>
          <t>Frontend</t>
        </is>
      </c>
      <c r="C21" s="12" t="inlineStr">
        <is>
          <t>Man-days</t>
        </is>
      </c>
      <c r="D21" s="12" t="inlineStr"/>
    </row>
    <row r="22">
      <c r="A22" s="14" t="inlineStr">
        <is>
          <t>CR Effort</t>
        </is>
      </c>
      <c r="B22" s="20" t="inlineStr">
        <is>
          <t>Testing</t>
        </is>
      </c>
      <c r="C22" s="14" t="inlineStr">
        <is>
          <t>Man-days</t>
        </is>
      </c>
      <c r="D22" s="14" t="inlineStr"/>
    </row>
    <row r="23">
      <c r="A23" s="12" t="inlineStr">
        <is>
          <t>CR Effort</t>
        </is>
      </c>
      <c r="B23" s="19" t="inlineStr">
        <is>
          <t>Documentation and UAT support</t>
        </is>
      </c>
      <c r="C23" s="12" t="inlineStr">
        <is>
          <t>Man-days</t>
        </is>
      </c>
      <c r="D23" s="12" t="inlineStr"/>
    </row>
    <row r="24">
      <c r="A24" s="14" t="inlineStr">
        <is>
          <t>CR Effort</t>
        </is>
      </c>
      <c r="B24" s="20" t="inlineStr">
        <is>
          <t>Total man-days</t>
        </is>
      </c>
      <c r="C24" s="14" t="inlineStr">
        <is>
          <t>Formula</t>
        </is>
      </c>
      <c r="D24" s="14" t="inlineStr"/>
    </row>
    <row r="25">
      <c r="A25" s="12" t="inlineStr">
        <is>
          <t>CR Effort</t>
        </is>
      </c>
      <c r="B25" s="19" t="inlineStr">
        <is>
          <t>Low (-20%)</t>
        </is>
      </c>
      <c r="C25" s="12" t="inlineStr">
        <is>
          <t>Formula</t>
        </is>
      </c>
      <c r="D25" s="12" t="inlineStr"/>
    </row>
    <row r="26">
      <c r="A26" s="14" t="inlineStr">
        <is>
          <t>CR Effort</t>
        </is>
      </c>
      <c r="B26" s="20" t="inlineStr">
        <is>
          <t>High (+20%)</t>
        </is>
      </c>
      <c r="C26" s="14" t="inlineStr">
        <is>
          <t>Formula</t>
        </is>
      </c>
      <c r="D26" s="14" t="inlineStr"/>
    </row>
    <row r="27">
      <c r="A27" s="12" t="inlineStr">
        <is>
          <t>CR Effort</t>
        </is>
      </c>
      <c r="B27" s="19" t="inlineStr">
        <is>
          <t>Complexity</t>
        </is>
      </c>
      <c r="C27" s="12" t="inlineStr"/>
      <c r="D27" s="12" t="inlineStr">
        <is>
          <t>Low, Medium, High</t>
        </is>
      </c>
    </row>
    <row r="28">
      <c r="A28" s="14" t="inlineStr">
        <is>
          <t>CR Effort</t>
        </is>
      </c>
      <c r="B28" s="20" t="inlineStr">
        <is>
          <t>Priority</t>
        </is>
      </c>
      <c r="C28" s="14" t="inlineStr"/>
      <c r="D28" s="14" t="inlineStr">
        <is>
          <t>High, Medium, Low</t>
        </is>
      </c>
    </row>
    <row r="29">
      <c r="A29" s="12" t="inlineStr">
        <is>
          <t>CR Effort</t>
        </is>
      </c>
      <c r="B29" s="19" t="inlineStr">
        <is>
          <t>Dependencies</t>
        </is>
      </c>
      <c r="C29" s="12" t="inlineStr"/>
      <c r="D29" s="12" t="inlineStr"/>
    </row>
    <row r="30">
      <c r="A30" s="14" t="inlineStr">
        <is>
          <t>CR Effort</t>
        </is>
      </c>
      <c r="B30" s="20" t="inlineStr">
        <is>
          <t>Assumptions</t>
        </is>
      </c>
      <c r="C30" s="14" t="inlineStr"/>
      <c r="D30" s="14" t="inlineStr"/>
    </row>
    <row r="31">
      <c r="A31" s="12" t="inlineStr">
        <is>
          <t>CR Effort</t>
        </is>
      </c>
      <c r="B31" s="19" t="inlineStr">
        <is>
          <t>Cost</t>
        </is>
      </c>
      <c r="C31" s="12" t="inlineStr">
        <is>
          <t>Total man-days x day rate</t>
        </is>
      </c>
      <c r="D31" s="12" t="inlineStr"/>
    </row>
    <row r="32">
      <c r="A32" s="14" t="inlineStr">
        <is>
          <t>CR Effort</t>
        </is>
      </c>
      <c r="B32" s="20" t="inlineStr">
        <is>
          <t>Feature List ID / OOTB status</t>
        </is>
      </c>
      <c r="C32" s="14" t="inlineStr">
        <is>
          <t>Row of the Feature List vs OOTB workbook (column OOTB platform)</t>
        </is>
      </c>
      <c r="D32" s="14" t="inlineStr"/>
    </row>
    <row r="33">
      <c r="A33" s="12" t="inlineStr">
        <is>
          <t>CR Effort</t>
        </is>
      </c>
      <c r="B33" s="19" t="inlineStr">
        <is>
          <t>OOTB evidence</t>
        </is>
      </c>
      <c r="C33" s="12" t="inlineStr">
        <is>
          <t>Screen or function of the OOTB platform, or not found</t>
        </is>
      </c>
      <c r="D33" s="12" t="inlineStr"/>
    </row>
    <row r="34">
      <c r="A34" s="14" t="inlineStr">
        <is>
          <t>CR Effort</t>
        </is>
      </c>
      <c r="B34" s="20" t="inlineStr">
        <is>
          <t>Already in BIBS?</t>
        </is>
      </c>
      <c r="C34" s="14" t="inlineStr">
        <is>
          <t>Already available for BDOI in the BIBS system; the effort is still the CR value</t>
        </is>
      </c>
      <c r="D34" s="14" t="inlineStr"/>
    </row>
    <row r="35">
      <c r="A35" s="12" t="inlineStr">
        <is>
          <t>Beyond the BRD - OOTB</t>
        </is>
      </c>
      <c r="B35" s="19" t="inlineStr">
        <is>
          <t>No.</t>
        </is>
      </c>
      <c r="C35" s="12" t="inlineStr">
        <is>
          <t>OB-UA-nn</t>
        </is>
      </c>
      <c r="D35" s="12" t="inlineStr"/>
    </row>
    <row r="36">
      <c r="A36" s="14" t="inlineStr">
        <is>
          <t>Beyond the BRD - OOTB</t>
        </is>
      </c>
      <c r="B36" s="20" t="inlineStr">
        <is>
          <t>Point</t>
        </is>
      </c>
      <c r="C36" s="14" t="inlineStr"/>
      <c r="D36" s="14" t="inlineStr"/>
    </row>
    <row r="37">
      <c r="A37" s="12" t="inlineStr">
        <is>
          <t>Beyond the BRD - OOTB</t>
        </is>
      </c>
      <c r="B37" s="19" t="inlineStr">
        <is>
          <t>FRS reference</t>
        </is>
      </c>
      <c r="C37" s="12" t="inlineStr"/>
      <c r="D37" s="12" t="inlineStr"/>
    </row>
    <row r="38">
      <c r="A38" s="14" t="inlineStr">
        <is>
          <t>Beyond the BRD - OOTB</t>
        </is>
      </c>
      <c r="B38" s="20" t="inlineStr">
        <is>
          <t>BRD reference</t>
        </is>
      </c>
      <c r="C38" s="14" t="inlineStr"/>
      <c r="D38" s="14" t="inlineStr"/>
    </row>
    <row r="39">
      <c r="A39" s="12" t="inlineStr">
        <is>
          <t>Beyond the BRD - OOTB</t>
        </is>
      </c>
      <c r="B39" s="19" t="inlineStr">
        <is>
          <t>What BDOI gets</t>
        </is>
      </c>
      <c r="C39" s="12" t="inlineStr"/>
      <c r="D39" s="12" t="inlineStr"/>
    </row>
    <row r="40">
      <c r="A40" s="14" t="inlineStr">
        <is>
          <t>Beyond the BRD - OOTB</t>
        </is>
      </c>
      <c r="B40" s="20" t="inlineStr">
        <is>
          <t>OOTB status</t>
        </is>
      </c>
      <c r="C40" s="14" t="inlineStr"/>
      <c r="D40" s="14" t="inlineStr"/>
    </row>
    <row r="41">
      <c r="A41" s="12" t="inlineStr">
        <is>
          <t>Beyond the BRD - OOTB</t>
        </is>
      </c>
      <c r="B41" s="19" t="inlineStr">
        <is>
          <t>Cost (man-days)</t>
        </is>
      </c>
      <c r="C41" s="12" t="inlineStr">
        <is>
          <t>No change request</t>
        </is>
      </c>
      <c r="D41" s="12" t="inlineStr"/>
    </row>
    <row r="42">
      <c r="A42" s="14" t="inlineStr">
        <is>
          <t>Beyond the BRD - OOTB</t>
        </is>
      </c>
      <c r="B42" s="20" t="inlineStr">
        <is>
          <t>Note</t>
        </is>
      </c>
      <c r="C42" s="14" t="inlineStr">
        <is>
          <t>Former change request number, BRD it extends</t>
        </is>
      </c>
      <c r="D42" s="14" t="inlineStr"/>
    </row>
    <row r="43">
      <c r="A43" s="12" t="inlineStr">
        <is>
          <t>Beyond the BRD - OOTB</t>
        </is>
      </c>
      <c r="B43" s="19" t="inlineStr">
        <is>
          <t>Feature List ID / OOTB status</t>
        </is>
      </c>
      <c r="C43" s="12" t="inlineStr">
        <is>
          <t>Row of the Feature List vs OOTB workbook (column OOTB platform)</t>
        </is>
      </c>
      <c r="D43" s="12" t="inlineStr"/>
    </row>
    <row r="44">
      <c r="A44" s="14" t="inlineStr">
        <is>
          <t>Beyond the BRD - OOTB</t>
        </is>
      </c>
      <c r="B44" s="20" t="inlineStr">
        <is>
          <t>OOTB evidence</t>
        </is>
      </c>
      <c r="C44" s="14" t="inlineStr">
        <is>
          <t>Screen or function of the OOTB platform</t>
        </is>
      </c>
      <c r="D44" s="14" t="inlineStr"/>
    </row>
    <row r="45">
      <c r="A45" s="12" t="inlineStr">
        <is>
          <t>BRD items to deliver</t>
        </is>
      </c>
      <c r="B45" s="19" t="inlineStr">
        <is>
          <t>No.</t>
        </is>
      </c>
      <c r="C45" s="12" t="inlineStr"/>
      <c r="D45" s="12" t="inlineStr"/>
    </row>
    <row r="46">
      <c r="A46" s="14" t="inlineStr">
        <is>
          <t>BRD items to deliver</t>
        </is>
      </c>
      <c r="B46" s="20" t="inlineStr">
        <is>
          <t>Item</t>
        </is>
      </c>
      <c r="C46" s="14" t="inlineStr"/>
      <c r="D46" s="14" t="inlineStr"/>
    </row>
    <row r="47">
      <c r="A47" s="12" t="inlineStr">
        <is>
          <t>BRD items to deliver</t>
        </is>
      </c>
      <c r="B47" s="19" t="inlineStr">
        <is>
          <t>BRD reference</t>
        </is>
      </c>
      <c r="C47" s="12" t="inlineStr"/>
      <c r="D47" s="12" t="inlineStr"/>
    </row>
    <row r="48">
      <c r="A48" s="14" t="inlineStr">
        <is>
          <t>BRD items to deliver</t>
        </is>
      </c>
      <c r="B48" s="20" t="inlineStr">
        <is>
          <t>FRS reference</t>
        </is>
      </c>
      <c r="C48" s="14" t="inlineStr"/>
      <c r="D48" s="14" t="inlineStr"/>
    </row>
    <row r="49">
      <c r="A49" s="12" t="inlineStr">
        <is>
          <t>BRD items to deliver</t>
        </is>
      </c>
      <c r="B49" s="19" t="inlineStr">
        <is>
          <t>What is delivered</t>
        </is>
      </c>
      <c r="C49" s="12" t="inlineStr"/>
      <c r="D49" s="12" t="inlineStr"/>
    </row>
    <row r="50">
      <c r="A50" s="14" t="inlineStr">
        <is>
          <t>BRD items to deliver</t>
        </is>
      </c>
      <c r="B50" s="20" t="inlineStr">
        <is>
          <t>Analysis and design</t>
        </is>
      </c>
      <c r="C50" s="14" t="inlineStr">
        <is>
          <t>Man-days</t>
        </is>
      </c>
      <c r="D50" s="14" t="inlineStr"/>
    </row>
    <row r="51">
      <c r="A51" s="12" t="inlineStr">
        <is>
          <t>BRD items to deliver</t>
        </is>
      </c>
      <c r="B51" s="19" t="inlineStr">
        <is>
          <t>Backend and frontend</t>
        </is>
      </c>
      <c r="C51" s="12" t="inlineStr">
        <is>
          <t>Man-days</t>
        </is>
      </c>
      <c r="D51" s="12" t="inlineStr"/>
    </row>
    <row r="52">
      <c r="A52" s="14" t="inlineStr">
        <is>
          <t>BRD items to deliver</t>
        </is>
      </c>
      <c r="B52" s="20" t="inlineStr">
        <is>
          <t>Testing and UAT support</t>
        </is>
      </c>
      <c r="C52" s="14" t="inlineStr">
        <is>
          <t>Man-days</t>
        </is>
      </c>
      <c r="D52" s="14" t="inlineStr"/>
    </row>
    <row r="53">
      <c r="A53" s="12" t="inlineStr">
        <is>
          <t>BRD items to deliver</t>
        </is>
      </c>
      <c r="B53" s="19" t="inlineStr">
        <is>
          <t>Total man-days</t>
        </is>
      </c>
      <c r="C53" s="12" t="inlineStr">
        <is>
          <t>Formula</t>
        </is>
      </c>
      <c r="D53" s="12" t="inlineStr"/>
    </row>
    <row r="54">
      <c r="A54" s="14" t="inlineStr">
        <is>
          <t>BRD items to deliver</t>
        </is>
      </c>
      <c r="B54" s="20" t="inlineStr">
        <is>
          <t>Cost</t>
        </is>
      </c>
      <c r="C54" s="14" t="inlineStr">
        <is>
          <t>In scope</t>
        </is>
      </c>
      <c r="D54" s="14" t="inlineStr"/>
    </row>
    <row r="55">
      <c r="A55" s="12" t="inlineStr">
        <is>
          <t>BRD items to deliver</t>
        </is>
      </c>
      <c r="B55" s="19" t="inlineStr">
        <is>
          <t>Feature List ID / OOTB status</t>
        </is>
      </c>
      <c r="C55" s="12" t="inlineStr">
        <is>
          <t>Row of the Feature List vs OOTB workbook (column OOTB platform)</t>
        </is>
      </c>
      <c r="D55" s="12" t="inlineStr"/>
    </row>
    <row r="56">
      <c r="A56" s="14" t="inlineStr">
        <is>
          <t>BRD items to deliver</t>
        </is>
      </c>
      <c r="B56" s="20" t="inlineStr">
        <is>
          <t>OOTB evidence</t>
        </is>
      </c>
      <c r="C56" s="14" t="inlineStr">
        <is>
          <t>brokerverse-platform</t>
        </is>
      </c>
      <c r="D56" s="14" t="inlineStr"/>
    </row>
    <row r="57">
      <c r="A57" s="12" t="inlineStr">
        <is>
          <t>BRD items to deliver</t>
        </is>
      </c>
      <c r="B57" s="19" t="inlineStr">
        <is>
          <t>Already in BIBS?</t>
        </is>
      </c>
      <c r="C57" s="12" t="inlineStr">
        <is>
          <t>Already available for BDOI in the BIBS system</t>
        </is>
      </c>
      <c r="D57" s="12" t="inlineStr"/>
    </row>
    <row r="58">
      <c r="A58" s="14" t="inlineStr">
        <is>
          <t>Integration &amp; Data Migration</t>
        </is>
      </c>
      <c r="B58" s="20" t="inlineStr">
        <is>
          <t>No.</t>
        </is>
      </c>
      <c r="C58" s="14" t="inlineStr">
        <is>
          <t>IS-UA-nn / DM-UA-nn</t>
        </is>
      </c>
      <c r="D58" s="14" t="inlineStr"/>
    </row>
    <row r="59">
      <c r="A59" s="12" t="inlineStr">
        <is>
          <t>Integration &amp; Data Migration</t>
        </is>
      </c>
      <c r="B59" s="19" t="inlineStr">
        <is>
          <t>Point</t>
        </is>
      </c>
      <c r="C59" s="12" t="inlineStr"/>
      <c r="D59" s="12" t="inlineStr"/>
    </row>
    <row r="60">
      <c r="A60" s="14" t="inlineStr">
        <is>
          <t>Integration &amp; Data Migration</t>
        </is>
      </c>
      <c r="B60" s="20" t="inlineStr">
        <is>
          <t>FRS reference</t>
        </is>
      </c>
      <c r="C60" s="14" t="inlineStr"/>
      <c r="D60" s="14" t="inlineStr"/>
    </row>
    <row r="61">
      <c r="A61" s="12" t="inlineStr">
        <is>
          <t>Integration &amp; Data Migration</t>
        </is>
      </c>
      <c r="B61" s="19" t="inlineStr">
        <is>
          <t>Scope</t>
        </is>
      </c>
      <c r="C61" s="12" t="inlineStr"/>
      <c r="D61" s="12" t="inlineStr"/>
    </row>
    <row r="62">
      <c r="A62" s="14" t="inlineStr">
        <is>
          <t>Integration &amp; Data Migration</t>
        </is>
      </c>
      <c r="B62" s="20" t="inlineStr">
        <is>
          <t>Workstream</t>
        </is>
      </c>
      <c r="C62" s="14" t="inlineStr"/>
      <c r="D62" s="14" t="inlineStr"/>
    </row>
    <row r="63">
      <c r="A63" s="12" t="inlineStr">
        <is>
          <t>Integration &amp; Data Migration</t>
        </is>
      </c>
      <c r="B63" s="19" t="inlineStr">
        <is>
          <t>Feature List ID / OOTB status</t>
        </is>
      </c>
      <c r="C63" s="12" t="inlineStr"/>
      <c r="D63" s="12" t="inlineStr"/>
    </row>
    <row r="64">
      <c r="A64" s="14" t="inlineStr">
        <is>
          <t>Integration &amp; Data Migration</t>
        </is>
      </c>
      <c r="B64" s="20" t="inlineStr">
        <is>
          <t>Note</t>
        </is>
      </c>
      <c r="C64" s="14" t="inlineStr"/>
      <c r="D64" s="14" t="inlineStr"/>
    </row>
    <row r="65">
      <c r="A65" s="12" t="inlineStr">
        <is>
          <t>Integration &amp; Data Migration</t>
        </is>
      </c>
      <c r="B65" s="19" t="inlineStr">
        <is>
          <t>Cost</t>
        </is>
      </c>
      <c r="C65" s="12" t="inlineStr">
        <is>
          <t>No CR cost here</t>
        </is>
      </c>
      <c r="D65" s="12" t="inlineStr"/>
    </row>
    <row r="66">
      <c r="A66" s="14" t="inlineStr">
        <is>
          <t>Best practice (blue)</t>
        </is>
      </c>
      <c r="B66" s="20" t="inlineStr">
        <is>
          <t>ID</t>
        </is>
      </c>
      <c r="C66" s="14" t="inlineStr">
        <is>
          <t>BP-UA-nn</t>
        </is>
      </c>
      <c r="D66" s="14" t="inlineStr"/>
    </row>
    <row r="67">
      <c r="A67" s="12" t="inlineStr">
        <is>
          <t>Best practice (blue)</t>
        </is>
      </c>
      <c r="B67" s="19" t="inlineStr">
        <is>
          <t>Practice</t>
        </is>
      </c>
      <c r="C67" s="12" t="inlineStr"/>
      <c r="D67" s="12" t="inlineStr"/>
    </row>
    <row r="68">
      <c r="A68" s="14" t="inlineStr">
        <is>
          <t>Best practice (blue)</t>
        </is>
      </c>
      <c r="B68" s="20" t="inlineStr">
        <is>
          <t>Why it matters for a broker</t>
        </is>
      </c>
      <c r="C68" s="14" t="inlineStr">
        <is>
          <t>Philippine market (IC, Data Privacy Act, AMLA) where relevant</t>
        </is>
      </c>
      <c r="D68" s="14" t="inlineStr"/>
    </row>
    <row r="69">
      <c r="A69" s="12" t="inlineStr">
        <is>
          <t>Best practice (blue)</t>
        </is>
      </c>
      <c r="B69" s="19" t="inlineStr">
        <is>
          <t>Suggested priority</t>
        </is>
      </c>
      <c r="C69" s="12" t="inlineStr"/>
      <c r="D69" s="12" t="inlineStr">
        <is>
          <t>High, Medium, Low</t>
        </is>
      </c>
    </row>
    <row r="70">
      <c r="A70" s="14" t="inlineStr">
        <is>
          <t>Best practice (blue)</t>
        </is>
      </c>
      <c r="B70" s="20" t="inlineStr">
        <is>
          <t>Indicative man-days</t>
        </is>
      </c>
      <c r="C70" s="14" t="inlineStr">
        <is>
          <t>Not part of the CR total</t>
        </is>
      </c>
      <c r="D70" s="14" t="inlineStr"/>
    </row>
    <row r="71">
      <c r="A71" s="12" t="inlineStr">
        <is>
          <t>Assumptions</t>
        </is>
      </c>
      <c r="B71" s="19" t="inlineStr">
        <is>
          <t>Assumption</t>
        </is>
      </c>
      <c r="C71" s="12" t="inlineStr"/>
      <c r="D71" s="12" t="inlineStr"/>
    </row>
    <row r="72">
      <c r="A72" s="14" t="inlineStr">
        <is>
          <t>Assumptions</t>
        </is>
      </c>
      <c r="B72" s="20" t="inlineStr">
        <is>
          <t>Value</t>
        </is>
      </c>
      <c r="C72" s="14" t="inlineStr">
        <is>
          <t>Enter the day rate here</t>
        </is>
      </c>
      <c r="D72" s="14" t="inlineStr"/>
    </row>
    <row r="73">
      <c r="A73" s="12" t="inlineStr">
        <is>
          <t>Assumptions</t>
        </is>
      </c>
      <c r="B73" s="19" t="inlineStr">
        <is>
          <t>Note</t>
        </is>
      </c>
      <c r="C73" s="12" t="inlineStr"/>
      <c r="D73" s="12" t="inlineStr"/>
    </row>
  </sheetData>
  <autoFilter ref="A4:D73"/>
  <printOptions horizontalCentered="1"/>
  <pageMargins left="0.4" right="0.4" top="0.6" bottom="0.6" header="0.5" footer="0.5"/>
  <pageSetup orientation="landscape" paperSize="1" fitToHeight="0" fitToWidth="1"/>
  <headerFooter>
    <oddHeader>&amp;L&amp;8 &amp;K004EA8CR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2" customWidth="1" min="2" max="2"/>
    <col width="12" customWidth="1" min="3" max="3"/>
    <col width="12" customWidth="1" min="4" max="4"/>
    <col width="16" customWidth="1" min="5" max="5"/>
    <col width="50" customWidth="1" min="6" max="6"/>
  </cols>
  <sheetData>
    <row r="1" ht="24" customHeight="1">
      <c r="A1" s="18" t="inlineStr">
        <is>
          <t>Summary</t>
        </is>
      </c>
    </row>
    <row r="2">
      <c r="A2" s="21" t="inlineStr">
        <is>
          <t>Totals of the change requests of BRD-11 (FRS v1.4, Annex AA.2); figures by formula</t>
        </is>
      </c>
    </row>
    <row r="3" ht="6" customHeight="1">
      <c r="A3" s="22" t="n"/>
      <c r="B3" s="22" t="n"/>
      <c r="C3" s="22" t="n"/>
      <c r="D3" s="22" t="n"/>
      <c r="E3" s="22" t="n"/>
      <c r="F3" s="22" t="n"/>
    </row>
    <row r="4" ht="30" customHeight="1">
      <c r="A4" s="23" t="inlineStr">
        <is>
          <t>Item</t>
        </is>
      </c>
      <c r="B4" s="23" t="inlineStr">
        <is>
          <t>Man-days</t>
        </is>
      </c>
      <c r="C4" s="23" t="inlineStr">
        <is>
          <t>Low (-20%)</t>
        </is>
      </c>
      <c r="D4" s="23" t="inlineStr">
        <is>
          <t>High (+20%)</t>
        </is>
      </c>
      <c r="E4" s="23" t="inlineStr">
        <is>
          <t>Cost</t>
        </is>
      </c>
      <c r="F4" s="23" t="inlineStr">
        <is>
          <t>Note</t>
        </is>
      </c>
    </row>
    <row r="5">
      <c r="A5" s="12" t="inlineStr">
        <is>
          <t>CR-UA-003 Break-glass administrators</t>
        </is>
      </c>
      <c r="B5" s="24">
        <f>'CR Effort'!N5</f>
        <v/>
      </c>
      <c r="C5" s="24">
        <f>'CR Effort'!O5</f>
        <v/>
      </c>
      <c r="D5" s="24">
        <f>'CR Effort'!P5</f>
        <v/>
      </c>
      <c r="E5" s="25">
        <f>'CR Effort'!U5</f>
        <v/>
      </c>
      <c r="F5" s="12" t="inlineStr">
        <is>
          <t>High priority; Medium complexity</t>
        </is>
      </c>
    </row>
    <row r="6">
      <c r="A6" s="12" t="inlineStr">
        <is>
          <t>CR-UA-007 Supervisory and record-ownership access</t>
        </is>
      </c>
      <c r="B6" s="24">
        <f>'CR Effort'!N6</f>
        <v/>
      </c>
      <c r="C6" s="24">
        <f>'CR Effort'!O6</f>
        <v/>
      </c>
      <c r="D6" s="24">
        <f>'CR Effort'!P6</f>
        <v/>
      </c>
      <c r="E6" s="25">
        <f>'CR Effort'!U6</f>
        <v/>
      </c>
      <c r="F6" s="12" t="inlineStr">
        <is>
          <t>Medium priority; High complexity</t>
        </is>
      </c>
    </row>
    <row r="7">
      <c r="A7" s="12" t="inlineStr">
        <is>
          <t>CR-UA-008 No conflicting permissions inside a group profile</t>
        </is>
      </c>
      <c r="B7" s="24">
        <f>'CR Effort'!N7</f>
        <v/>
      </c>
      <c r="C7" s="24">
        <f>'CR Effort'!O7</f>
        <v/>
      </c>
      <c r="D7" s="24">
        <f>'CR Effort'!P7</f>
        <v/>
      </c>
      <c r="E7" s="25">
        <f>'CR Effort'!U7</f>
        <v/>
      </c>
      <c r="F7" s="12" t="inlineStr">
        <is>
          <t>Medium priority; Low complexity</t>
        </is>
      </c>
    </row>
    <row r="8">
      <c r="A8" s="12" t="inlineStr">
        <is>
          <t>CR-UA-009 Export file names</t>
        </is>
      </c>
      <c r="B8" s="24">
        <f>'CR Effort'!N8</f>
        <v/>
      </c>
      <c r="C8" s="24">
        <f>'CR Effort'!O8</f>
        <v/>
      </c>
      <c r="D8" s="24">
        <f>'CR Effort'!P8</f>
        <v/>
      </c>
      <c r="E8" s="25">
        <f>'CR Effort'!U8</f>
        <v/>
      </c>
      <c r="F8" s="12" t="inlineStr">
        <is>
          <t>Low priority; Low complexity</t>
        </is>
      </c>
    </row>
    <row r="9">
      <c r="A9" s="12" t="inlineStr">
        <is>
          <t>CR-UA-011 Approval times, reminders and escalation</t>
        </is>
      </c>
      <c r="B9" s="24">
        <f>'CR Effort'!N9</f>
        <v/>
      </c>
      <c r="C9" s="24">
        <f>'CR Effort'!O9</f>
        <v/>
      </c>
      <c r="D9" s="24">
        <f>'CR Effort'!P9</f>
        <v/>
      </c>
      <c r="E9" s="25">
        <f>'CR Effort'!U9</f>
        <v/>
      </c>
      <c r="F9" s="12" t="inlineStr">
        <is>
          <t>Medium priority; Medium complexity</t>
        </is>
      </c>
    </row>
    <row r="10">
      <c r="A10" s="12" t="inlineStr">
        <is>
          <t>CR-UA-013 E-mail copy of the request notices</t>
        </is>
      </c>
      <c r="B10" s="24">
        <f>'CR Effort'!N10</f>
        <v/>
      </c>
      <c r="C10" s="24">
        <f>'CR Effort'!O10</f>
        <v/>
      </c>
      <c r="D10" s="24">
        <f>'CR Effort'!P10</f>
        <v/>
      </c>
      <c r="E10" s="25">
        <f>'CR Effort'!U10</f>
        <v/>
      </c>
      <c r="F10" s="12" t="inlineStr">
        <is>
          <t>Medium priority; Low complexity</t>
        </is>
      </c>
    </row>
    <row r="11">
      <c r="A11" s="12" t="inlineStr">
        <is>
          <t>CR-UA-014 Temporary access with an end date</t>
        </is>
      </c>
      <c r="B11" s="24">
        <f>'CR Effort'!N11</f>
        <v/>
      </c>
      <c r="C11" s="24">
        <f>'CR Effort'!O11</f>
        <v/>
      </c>
      <c r="D11" s="24">
        <f>'CR Effort'!P11</f>
        <v/>
      </c>
      <c r="E11" s="25">
        <f>'CR Effort'!U11</f>
        <v/>
      </c>
      <c r="F11" s="12" t="inlineStr">
        <is>
          <t>Low priority; Medium complexity</t>
        </is>
      </c>
    </row>
    <row r="12">
      <c r="A12" s="12" t="inlineStr">
        <is>
          <t>CR-UA-016 Emergency role edit</t>
        </is>
      </c>
      <c r="B12" s="24">
        <f>'CR Effort'!N12</f>
        <v/>
      </c>
      <c r="C12" s="24">
        <f>'CR Effort'!O12</f>
        <v/>
      </c>
      <c r="D12" s="24">
        <f>'CR Effort'!P12</f>
        <v/>
      </c>
      <c r="E12" s="25">
        <f>'CR Effort'!U12</f>
        <v/>
      </c>
      <c r="F12" s="12" t="inlineStr">
        <is>
          <t>Medium priority; Medium complexity</t>
        </is>
      </c>
    </row>
    <row r="13">
      <c r="A13" s="26" t="inlineStr">
        <is>
          <t>Total of the 8 change requests</t>
        </is>
      </c>
      <c r="B13" s="27">
        <f>SUM(B5:B12)</f>
        <v/>
      </c>
      <c r="C13" s="27">
        <f>SUM(C5:C12)</f>
        <v/>
      </c>
      <c r="D13" s="27">
        <f>SUM(D5:D12)</f>
        <v/>
      </c>
      <c r="E13" s="28">
        <f>IF(DayRate="","",SUM(E5:E12))</f>
        <v/>
      </c>
      <c r="F13" s="12" t="inlineStr">
        <is>
          <t>Cost appears when the day rate is entered on the sheet Assumptions</t>
        </is>
      </c>
    </row>
    <row r="14">
      <c r="A14" s="12" t="inlineStr">
        <is>
          <t>Points beyond the BRD offered by iNXT BrokerVerse OOTB (5)</t>
        </is>
      </c>
      <c r="B14" s="24" t="n">
        <v>0</v>
      </c>
      <c r="C14" s="24" t="n">
        <v>0</v>
      </c>
      <c r="D14" s="24" t="n">
        <v>0</v>
      </c>
      <c r="E14" s="25" t="n">
        <v>0</v>
      </c>
      <c r="F14" s="12" t="inlineStr">
        <is>
          <t>No change request, no cost (sheet Beyond the BRD - OOTB)</t>
        </is>
      </c>
    </row>
    <row r="15">
      <c r="A15" s="12" t="inlineStr">
        <is>
          <t>BRD requirements to deliver (15, in scope)</t>
        </is>
      </c>
      <c r="B15" s="24">
        <f>SUM('BRD items to deliver'!I5:I19)</f>
        <v/>
      </c>
      <c r="C15" s="24" t="inlineStr"/>
      <c r="D15" s="24" t="inlineStr"/>
      <c r="E15" s="25" t="inlineStr">
        <is>
          <t>Not charged</t>
        </is>
      </c>
      <c r="F15" s="12" t="inlineStr">
        <is>
          <t>For planning only (FRS Annex AA.4)</t>
        </is>
      </c>
    </row>
    <row r="16">
      <c r="A16" s="12" t="inlineStr">
        <is>
          <t>Integration and Data Migration scope (6)</t>
        </is>
      </c>
      <c r="B16" s="24" t="inlineStr"/>
      <c r="C16" s="24" t="inlineStr"/>
      <c r="D16" s="24" t="inlineStr"/>
      <c r="E16" s="25" t="inlineStr">
        <is>
          <t>Not here</t>
        </is>
      </c>
      <c r="F16" s="12" t="inlineStr">
        <is>
          <t>Covered by the Integration and Data Migration workstreams (FRS Annex AA.5)</t>
        </is>
      </c>
    </row>
    <row r="17">
      <c r="A17" s="12" t="inlineStr">
        <is>
          <t>Best-practice recommendations (6, blue)</t>
        </is>
      </c>
      <c r="B17" s="24">
        <f>SUM('Best practice (blue)'!E5:E10)</f>
        <v/>
      </c>
      <c r="C17" s="24" t="inlineStr"/>
      <c r="D17" s="24" t="inlineStr"/>
      <c r="E17" s="25" t="inlineStr">
        <is>
          <t>Indicative</t>
        </is>
      </c>
      <c r="F17" s="12" t="inlineStr">
        <is>
          <t>Excluded from the CR total (FRS Annex AA.6)</t>
        </is>
      </c>
    </row>
  </sheetData>
  <autoFilter ref="A4:F17"/>
  <mergeCells count="1">
    <mergeCell ref="A2:F2"/>
  </mergeCells>
  <conditionalFormatting sqref="A5:F51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&amp;K004EA8CR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X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6" customWidth="1" min="2" max="2"/>
    <col width="22" customWidth="1" min="3" max="3"/>
    <col width="20" customWidth="1" min="4" max="4"/>
    <col width="18" customWidth="1" min="5" max="5"/>
    <col width="46" customWidth="1" min="6" max="6"/>
    <col width="30" customWidth="1" min="7" max="7"/>
    <col width="46" customWidth="1" min="8" max="8"/>
    <col width="11" customWidth="1" min="9" max="9"/>
    <col width="10" customWidth="1" min="10" max="10"/>
    <col width="10" customWidth="1" min="11" max="11"/>
    <col width="10" customWidth="1" min="12" max="12"/>
    <col width="13" customWidth="1" min="13" max="13"/>
    <col width="11" customWidth="1" min="14" max="14"/>
    <col width="10" customWidth="1" min="15" max="15"/>
    <col width="10" customWidth="1" min="16" max="16"/>
    <col width="11" customWidth="1" min="17" max="17"/>
    <col width="10" customWidth="1" min="18" max="18"/>
    <col width="34" customWidth="1" min="19" max="19"/>
    <col width="34" customWidth="1" min="20" max="20"/>
    <col width="14" customWidth="1" min="21" max="21"/>
    <col width="30" customWidth="1" min="22" max="22"/>
    <col width="40" customWidth="1" min="23" max="23"/>
    <col width="14" customWidth="1" min="24" max="24"/>
  </cols>
  <sheetData>
    <row r="1" ht="24" customHeight="1">
      <c r="A1" s="18" t="inlineStr">
        <is>
          <t>CR Effort</t>
        </is>
      </c>
    </row>
    <row r="2">
      <c r="A2" s="21" t="inlineStr">
        <is>
          <t>One row per change request (orange point of the FRS v1.4); man-days of 8 hours, +-20%</t>
        </is>
      </c>
    </row>
    <row r="3" ht="6" customHeight="1">
      <c r="A3" s="22" t="n"/>
      <c r="B3" s="22" t="n"/>
      <c r="C3" s="22" t="n"/>
      <c r="D3" s="22" t="n"/>
      <c r="E3" s="22" t="n"/>
      <c r="F3" s="22" t="n"/>
      <c r="G3" s="22" t="n"/>
      <c r="H3" s="22" t="n"/>
      <c r="I3" s="22" t="n"/>
      <c r="J3" s="22" t="n"/>
      <c r="K3" s="22" t="n"/>
      <c r="L3" s="22" t="n"/>
      <c r="M3" s="22" t="n"/>
      <c r="N3" s="22" t="n"/>
      <c r="O3" s="22" t="n"/>
      <c r="P3" s="22" t="n"/>
      <c r="Q3" s="22" t="n"/>
      <c r="R3" s="22" t="n"/>
      <c r="S3" s="22" t="n"/>
      <c r="T3" s="22" t="n"/>
      <c r="U3" s="22" t="n"/>
      <c r="V3" s="22" t="n"/>
      <c r="W3" s="22" t="n"/>
      <c r="X3" s="22" t="n"/>
    </row>
    <row r="4" ht="30" customHeight="1">
      <c r="A4" s="23" t="inlineStr">
        <is>
          <t>CR No.</t>
        </is>
      </c>
      <c r="B4" s="23" t="inlineStr">
        <is>
          <t>Title</t>
        </is>
      </c>
      <c r="C4" s="23" t="inlineStr">
        <is>
          <t>FRS reference</t>
        </is>
      </c>
      <c r="D4" s="23" t="inlineStr">
        <is>
          <t>BRD reference</t>
        </is>
      </c>
      <c r="E4" s="23" t="inlineStr">
        <is>
          <t>Source</t>
        </is>
      </c>
      <c r="F4" s="23" t="inlineStr">
        <is>
          <t>Why needed</t>
        </is>
      </c>
      <c r="G4" s="23" t="inlineStr">
        <is>
          <t>OOTB status</t>
        </is>
      </c>
      <c r="H4" s="23" t="inlineStr">
        <is>
          <t>Scope of the change</t>
        </is>
      </c>
      <c r="I4" s="23" t="inlineStr">
        <is>
          <t>Analysis and design</t>
        </is>
      </c>
      <c r="J4" s="23" t="inlineStr">
        <is>
          <t>Backend</t>
        </is>
      </c>
      <c r="K4" s="23" t="inlineStr">
        <is>
          <t>Frontend</t>
        </is>
      </c>
      <c r="L4" s="23" t="inlineStr">
        <is>
          <t>Testing</t>
        </is>
      </c>
      <c r="M4" s="23" t="inlineStr">
        <is>
          <t>Documentation and UAT support</t>
        </is>
      </c>
      <c r="N4" s="23" t="inlineStr">
        <is>
          <t>Total man-days</t>
        </is>
      </c>
      <c r="O4" s="23" t="inlineStr">
        <is>
          <t>Low (-20%)</t>
        </is>
      </c>
      <c r="P4" s="23" t="inlineStr">
        <is>
          <t>High (+20%)</t>
        </is>
      </c>
      <c r="Q4" s="23" t="inlineStr">
        <is>
          <t>Complexity</t>
        </is>
      </c>
      <c r="R4" s="23" t="inlineStr">
        <is>
          <t>Priority</t>
        </is>
      </c>
      <c r="S4" s="23" t="inlineStr">
        <is>
          <t>Dependencies</t>
        </is>
      </c>
      <c r="T4" s="23" t="inlineStr">
        <is>
          <t>Assumptions</t>
        </is>
      </c>
      <c r="U4" s="23" t="inlineStr">
        <is>
          <t>Cost</t>
        </is>
      </c>
      <c r="V4" s="23" t="inlineStr">
        <is>
          <t>Feature List ID / OOTB status</t>
        </is>
      </c>
      <c r="W4" s="23" t="inlineStr">
        <is>
          <t>OOTB evidence</t>
        </is>
      </c>
      <c r="X4" s="23" t="inlineStr">
        <is>
          <t>Already in BIBS?</t>
        </is>
      </c>
    </row>
    <row r="5">
      <c r="A5" s="29" t="inlineStr">
        <is>
          <t>CR-UA-003</t>
        </is>
      </c>
      <c r="B5" s="29" t="inlineStr">
        <is>
          <t>Break-glass administrators</t>
        </is>
      </c>
      <c r="C5" s="12" t="inlineStr">
        <is>
          <t>FRUM.001.06; Annex N.4, Annex Q.5</t>
        </is>
      </c>
      <c r="D5" s="12" t="inlineStr">
        <is>
          <t>Not in BRD</t>
        </is>
      </c>
      <c r="E5" s="12" t="inlineStr">
        <is>
          <t>Best practice (iorta TechNXT)</t>
        </is>
      </c>
      <c r="F5" s="12" t="inlineStr">
        <is>
          <t>BDOI's FRS signs every user in through EIAM; two named administrator accounts must still get in when EIAM is down, with each such sign-in alerted to Information Security. The OOTB platform has local accounts only and no break-glass accounts or alert.</t>
        </is>
      </c>
      <c r="G5" s="12" t="inlineStr">
        <is>
          <t>Not offered: no feature row; the OOTB platform has local accounts with a second factor (UAM-007) but no break-glass accounts kept beside the Enterprise SSO and no sign-in alert.</t>
        </is>
      </c>
      <c r="H5" s="12" t="inlineStr">
        <is>
          <t>Two named System Administrator accounts with a local password and second factor while every other user signs in through EIAM; the sign-in method recorded; a notice and e-mail to Information Security at each break-glass sign-in; the setting of the alert addresses.</t>
        </is>
      </c>
      <c r="I5" s="30" t="n">
        <v>1</v>
      </c>
      <c r="J5" s="30" t="n">
        <v>2</v>
      </c>
      <c r="K5" s="30" t="n">
        <v>1</v>
      </c>
      <c r="L5" s="30" t="n">
        <v>1.5</v>
      </c>
      <c r="M5" s="30" t="n">
        <v>0.5</v>
      </c>
      <c r="N5" s="30">
        <f>SUM(I5:M5)</f>
        <v/>
      </c>
      <c r="O5" s="30">
        <f>ROUND(N5*(1-Accuracy),1)</f>
        <v/>
      </c>
      <c r="P5" s="30">
        <f>ROUND(N5*(1+Accuracy),1)</f>
        <v/>
      </c>
      <c r="Q5" s="12" t="inlineStr">
        <is>
          <t>Medium</t>
        </is>
      </c>
      <c r="R5" s="12" t="inlineStr">
        <is>
          <t>High</t>
        </is>
      </c>
      <c r="S5" s="12" t="inlineStr">
        <is>
          <t>Sign-in through EIAM (IS-UA-03, Integration scope).</t>
        </is>
      </c>
      <c r="T5" s="12" t="inlineStr">
        <is>
          <t>Uses the second factor of the OOTB platform (UAM-007).</t>
        </is>
      </c>
      <c r="U5" s="25">
        <f>IF(DayRate="","",N5*DayRate)</f>
        <v/>
      </c>
      <c r="V5" s="12" t="inlineStr">
        <is>
          <t>No feature row (related UAM-007 two-factor authentication: Available)</t>
        </is>
      </c>
      <c r="W5" s="12" t="inlineStr">
        <is>
          <t>Not found: no break-glass account or break-glass sign-in alert in the OOTB sign-in</t>
        </is>
      </c>
      <c r="X5" s="12" t="inlineStr">
        <is>
          <t>Yes</t>
        </is>
      </c>
    </row>
    <row r="6">
      <c r="A6" s="29" t="inlineStr">
        <is>
          <t>CR-UA-007</t>
        </is>
      </c>
      <c r="B6" s="29" t="inlineStr">
        <is>
          <t>Supervisory and record-ownership access</t>
        </is>
      </c>
      <c r="C6" s="12" t="inlineStr">
        <is>
          <t>FRUM.001.02 (b), FRUM.005.01; Annex Q (C15)</t>
        </is>
      </c>
      <c r="D6" s="12" t="inlineStr">
        <is>
          <t>Not in BRD</t>
        </is>
      </c>
      <c r="E6" s="12" t="inlineStr">
        <is>
          <t>BDOI FRS v1.1</t>
        </is>
      </c>
      <c r="F6" s="12" t="inlineStr">
        <is>
          <t>BDOI's FRS asks that a user with a supervisory role sees and manages the records of the personnel assigned to him or her, with record-ownership rules per role. The OOTB platform limits scoped roles to their own records and clients (UAM-017 Partial); it has no scope by branch or unit, no supervisor-to-personnel link and no record-owner rule per role.</t>
        </is>
      </c>
      <c r="G6" s="12" t="inlineStr">
        <is>
          <t>Partial (UAM-017): scoped roles see only their own records and clients. Missing, and estimated here: scope by company, branch and unit, the supervisor link and the record-owner rule per role.</t>
        </is>
      </c>
      <c r="H6" s="12" t="inlineStr">
        <is>
          <t>Data scope by company, branch and unit on the user and the group profile; supervisor (reports-to) on the user record and in the access requests; data scope "own records", "own and assigned personnel" and "unit" per group profile; the rule applied to the lists, records, documents and reports of every module; audit of the scope changes; screens of the user and the group profile.</t>
        </is>
      </c>
      <c r="I6" s="30" t="n">
        <v>3.5</v>
      </c>
      <c r="J6" s="30" t="n">
        <v>12</v>
      </c>
      <c r="K6" s="30" t="n">
        <v>4</v>
      </c>
      <c r="L6" s="30" t="n">
        <v>6</v>
      </c>
      <c r="M6" s="30" t="n">
        <v>2</v>
      </c>
      <c r="N6" s="30">
        <f>SUM(I6:M6)</f>
        <v/>
      </c>
      <c r="O6" s="30">
        <f>ROUND(N6*(1-Accuracy),1)</f>
        <v/>
      </c>
      <c r="P6" s="30">
        <f>ROUND(N6*(1+Accuracy),1)</f>
        <v/>
      </c>
      <c r="Q6" s="12" t="inlineStr">
        <is>
          <t>High</t>
        </is>
      </c>
      <c r="R6" s="12" t="inlineStr">
        <is>
          <t>Medium</t>
        </is>
      </c>
      <c r="S6" s="12" t="inlineStr">
        <is>
          <t>BDOI to name the supervisory roles and the record owner of each module (User Access Matrix, Annex C); module FRS of each BRD for the records concerned.</t>
        </is>
      </c>
      <c r="T6" s="12" t="inlineStr">
        <is>
          <t>Effort for the missing part only (the own-records scope of the OOTB platform is reused); the personnel of a supervisor come from the user record (or UIDM-ISC), not from a separate organisation chart.</t>
        </is>
      </c>
      <c r="U6" s="25">
        <f>IF(DayRate="","",N6*DayRate)</f>
        <v/>
      </c>
      <c r="V6" s="12" t="inlineStr">
        <is>
          <t>UAM-017 Data-scope restriction: Partial</t>
        </is>
      </c>
      <c r="W6" s="12" t="inlineStr">
        <is>
          <t>Partial: own-records scope of scoped roles and the reporting line on the user; no branch or unit scope, no supervisor rule</t>
        </is>
      </c>
      <c r="X6" s="12" t="inlineStr">
        <is>
          <t>Partly (data scope by company and branch; no supervisor link)</t>
        </is>
      </c>
    </row>
    <row r="7">
      <c r="A7" s="29" t="inlineStr">
        <is>
          <t>CR-UA-008</t>
        </is>
      </c>
      <c r="B7" s="29" t="inlineStr">
        <is>
          <t>No conflicting permissions inside a group profile</t>
        </is>
      </c>
      <c r="C7" s="12" t="inlineStr">
        <is>
          <t>FRUM.006.03</t>
        </is>
      </c>
      <c r="D7" s="12" t="inlineStr">
        <is>
          <t>Not in BRD</t>
        </is>
      </c>
      <c r="E7" s="12" t="inlineStr">
        <is>
          <t>BDOI FRS v1.1</t>
        </is>
      </c>
      <c r="F7" s="12" t="inlineStr">
        <is>
          <t>BDOI's FRS asks that a group profile cannot hold two permissions that conflict. The OOTB platform checks pairs of roles held by one user (separation-of-duties rules); it has no rule on pairs of permissions inside a role.</t>
        </is>
      </c>
      <c r="G7" s="12" t="inlineStr">
        <is>
          <t>Partial: rules on pairs of roles (checked at role assignment). Missing, and estimated here: rules on pairs of permissions, checked when a group profile is changed and when a user is given access.</t>
        </is>
      </c>
      <c r="H7" s="12" t="inlineStr">
        <is>
          <t>Rules on pairs of permissions kept by the Business Administrator; check on every group profile change and access request; message naming the conflict; audit.</t>
        </is>
      </c>
      <c r="I7" s="30" t="n">
        <v>0.5</v>
      </c>
      <c r="J7" s="30" t="n">
        <v>2</v>
      </c>
      <c r="K7" s="30" t="n">
        <v>1</v>
      </c>
      <c r="L7" s="30" t="n">
        <v>1</v>
      </c>
      <c r="M7" s="30" t="n">
        <v>0.25</v>
      </c>
      <c r="N7" s="30">
        <f>SUM(I7:M7)</f>
        <v/>
      </c>
      <c r="O7" s="30">
        <f>ROUND(N7*(1-Accuracy),1)</f>
        <v/>
      </c>
      <c r="P7" s="30">
        <f>ROUND(N7*(1+Accuracy),1)</f>
        <v/>
      </c>
      <c r="Q7" s="12" t="inlineStr">
        <is>
          <t>Low</t>
        </is>
      </c>
      <c r="R7" s="12" t="inlineStr">
        <is>
          <t>Medium</t>
        </is>
      </c>
      <c r="S7" s="12" t="inlineStr">
        <is>
          <t>BRD items BRD-UA-07 and BRD-UA-09 (rights by function, group profile requests).</t>
        </is>
      </c>
      <c r="T7" s="12" t="inlineStr">
        <is>
          <t>Effort for the permission pairs only; the role-pair rules of the OOTB platform are reused.</t>
        </is>
      </c>
      <c r="U7" s="25">
        <f>IF(DayRate="","",N7*DayRate)</f>
        <v/>
      </c>
      <c r="V7" s="12" t="inlineStr">
        <is>
          <t>UAM-018 Segregation of duties rules: Available (pairs of roles only)</t>
        </is>
      </c>
      <c r="W7" s="12" t="inlineStr">
        <is>
          <t>Partial: Access Control &gt; Separation-of-duties rules on pairs of roles; no rule on pairs of permissions</t>
        </is>
      </c>
      <c r="X7" s="12" t="inlineStr">
        <is>
          <t>Yes</t>
        </is>
      </c>
    </row>
    <row r="8">
      <c r="A8" s="29" t="inlineStr">
        <is>
          <t>CR-UA-009</t>
        </is>
      </c>
      <c r="B8" s="29" t="inlineStr">
        <is>
          <t>Export file names</t>
        </is>
      </c>
      <c r="C8" s="12" t="inlineStr">
        <is>
          <t>FRUM.007.02; Annex V</t>
        </is>
      </c>
      <c r="D8" s="12" t="inlineStr">
        <is>
          <t>Not in BRD</t>
        </is>
      </c>
      <c r="E8" s="12" t="inlineStr">
        <is>
          <t>BDOI FRS v1.1</t>
        </is>
      </c>
      <c r="F8" s="12" t="inlineStr">
        <is>
          <t>BDOI's FRS names the exports &lt;Report name&gt;_MMDDYYYY and Audit Logs_MMDDYYYY. In the OOTB platform the file names are fixed per report (RPT-009 Not available).</t>
        </is>
      </c>
      <c r="G8" s="12" t="inlineStr">
        <is>
          <t>Not offered: RPT-009 Not available (file names fixed per report).</t>
        </is>
      </c>
      <c r="H8" s="12" t="inlineStr">
        <is>
          <t>File names of the User Access reports and of the audit log export by BDOI's convention, as a setting; test of every export.</t>
        </is>
      </c>
      <c r="I8" s="30" t="n">
        <v>0.25</v>
      </c>
      <c r="J8" s="30" t="n">
        <v>1</v>
      </c>
      <c r="K8" s="30" t="n">
        <v>0.25</v>
      </c>
      <c r="L8" s="30" t="n">
        <v>0.5</v>
      </c>
      <c r="M8" s="30" t="n">
        <v>0.25</v>
      </c>
      <c r="N8" s="30">
        <f>SUM(I8:M8)</f>
        <v/>
      </c>
      <c r="O8" s="30">
        <f>ROUND(N8*(1-Accuracy),1)</f>
        <v/>
      </c>
      <c r="P8" s="30">
        <f>ROUND(N8*(1+Accuracy),1)</f>
        <v/>
      </c>
      <c r="Q8" s="12" t="inlineStr">
        <is>
          <t>Low</t>
        </is>
      </c>
      <c r="R8" s="12" t="inlineStr">
        <is>
          <t>Low</t>
        </is>
      </c>
      <c r="S8" s="12" t="inlineStr">
        <is>
          <t>-</t>
        </is>
      </c>
      <c r="T8" s="12" t="inlineStr">
        <is>
          <t>The convention of the access reports only; the naming of the other modules' reports is in their own FRS.</t>
        </is>
      </c>
      <c r="U8" s="25">
        <f>IF(DayRate="","",N8*DayRate)</f>
        <v/>
      </c>
      <c r="V8" s="12" t="inlineStr">
        <is>
          <t>RPT-009 Report file naming conventions: Not available</t>
        </is>
      </c>
      <c r="W8" s="12" t="inlineStr">
        <is>
          <t>Not found: export file names fixed per report (Reports)</t>
        </is>
      </c>
      <c r="X8" s="12" t="inlineStr">
        <is>
          <t>Yes</t>
        </is>
      </c>
    </row>
    <row r="9">
      <c r="A9" s="29" t="inlineStr">
        <is>
          <t>CR-UA-011</t>
        </is>
      </c>
      <c r="B9" s="29" t="inlineStr">
        <is>
          <t>Approval times, reminders and escalation</t>
        </is>
      </c>
      <c r="C9" s="12" t="inlineStr">
        <is>
          <t>Annex S (time rules), Annex Q.5, Annex Z</t>
        </is>
      </c>
      <c r="D9" s="12" t="inlineStr">
        <is>
          <t>Not in BRD</t>
        </is>
      </c>
      <c r="E9" s="12" t="inlineStr">
        <is>
          <t>Best practice (iorta TechNXT)</t>
        </is>
      </c>
      <c r="F9" s="12" t="inlineStr">
        <is>
          <t>The BRD sets no service level for the approval of access requests. A reminder and an escalation after a number of working days keep requests from waiting unseen. The OOTB platform has deadlines and escalation for claims, complaints, leads and collections only, and no access requests (WFL-007 Partial).</t>
        </is>
      </c>
      <c r="G9" s="12" t="inlineStr">
        <is>
          <t>Partial (WFL-007): deadlines and escalation exist in other modules, not for access requests. Missing, and estimated here: the time rules, reminder and escalation of access requests.</t>
        </is>
      </c>
      <c r="H9" s="12" t="inlineStr">
        <is>
          <t>Settings for the working days per stage, the reminder day and the escalation role; a daily run that sends the reminder notice and escalates overdue requests to the Business Administrator; the overdue marker on the lists; audit of each reminder and escalation.</t>
        </is>
      </c>
      <c r="I9" s="30" t="n">
        <v>1</v>
      </c>
      <c r="J9" s="30" t="n">
        <v>3</v>
      </c>
      <c r="K9" s="30" t="n">
        <v>1</v>
      </c>
      <c r="L9" s="30" t="n">
        <v>2</v>
      </c>
      <c r="M9" s="30" t="n">
        <v>1</v>
      </c>
      <c r="N9" s="30">
        <f>SUM(I9:M9)</f>
        <v/>
      </c>
      <c r="O9" s="30">
        <f>ROUND(N9*(1-Accuracy),1)</f>
        <v/>
      </c>
      <c r="P9" s="30">
        <f>ROUND(N9*(1+Accuracy),1)</f>
        <v/>
      </c>
      <c r="Q9" s="12" t="inlineStr">
        <is>
          <t>Medium</t>
        </is>
      </c>
      <c r="R9" s="12" t="inlineStr">
        <is>
          <t>Medium</t>
        </is>
      </c>
      <c r="S9" s="12" t="inlineStr">
        <is>
          <t>BRD item BRD-UA-08 (access requests); working-day calendar of the OOTB platform (ADM-008).</t>
        </is>
      </c>
      <c r="T9" s="12" t="inlineStr">
        <is>
          <t>Reminders use the notices and e-mails of Annex T; one escalation level.</t>
        </is>
      </c>
      <c r="U9" s="25">
        <f>IF(DayRate="","",N9*DayRate)</f>
        <v/>
      </c>
      <c r="V9" s="12" t="inlineStr">
        <is>
          <t>WFL-007 Turnaround-time tracking and escalation: Partial (UAM-019 access requests: Not available)</t>
        </is>
      </c>
      <c r="W9" s="12" t="inlineStr">
        <is>
          <t>Not found for access requests: escalation only in the AML and user screens; no access request flow</t>
        </is>
      </c>
      <c r="X9" s="12" t="inlineStr">
        <is>
          <t>No</t>
        </is>
      </c>
    </row>
    <row r="10">
      <c r="A10" s="29" t="inlineStr">
        <is>
          <t>CR-UA-013</t>
        </is>
      </c>
      <c r="B10" s="29" t="inlineStr">
        <is>
          <t>E-mail copy of the request notices</t>
        </is>
      </c>
      <c r="C10" s="12" t="inlineStr">
        <is>
          <t>FRUM.013.01; Annex T</t>
        </is>
      </c>
      <c r="D10" s="12" t="inlineStr">
        <is>
          <t>Not in BRD</t>
        </is>
      </c>
      <c r="E10" s="12" t="inlineStr">
        <is>
          <t>Best practice (iorta TechNXT)</t>
        </is>
      </c>
      <c r="F10" s="12" t="inlineStr">
        <is>
          <t>BDOI's FRS asks that the notices to approve, returned and decided are also e-mailed, by the user's preference. The OOTB platform sends in-system notices for access-control events (UAM-027 Partial); it has e-mail templates (WFL-011) but no e-mail copy of the access notices.</t>
        </is>
      </c>
      <c r="G10" s="12" t="inlineStr">
        <is>
          <t>Partial (UAM-027): in-system notices only. Missing, and estimated here: the e-mail copy and the user's preference.</t>
        </is>
      </c>
      <c r="H10" s="12" t="inlineStr">
        <is>
          <t>E-mail copy of the request notices (to approve, returned, decided) from templates, by the user's preference (setting); the outbox status; tests.</t>
        </is>
      </c>
      <c r="I10" s="30" t="n">
        <v>0.5</v>
      </c>
      <c r="J10" s="30" t="n">
        <v>1.5</v>
      </c>
      <c r="K10" s="30" t="n">
        <v>0.5</v>
      </c>
      <c r="L10" s="30" t="n">
        <v>1</v>
      </c>
      <c r="M10" s="30" t="n">
        <v>0.25</v>
      </c>
      <c r="N10" s="30">
        <f>SUM(I10:M10)</f>
        <v/>
      </c>
      <c r="O10" s="30">
        <f>ROUND(N10*(1-Accuracy),1)</f>
        <v/>
      </c>
      <c r="P10" s="30">
        <f>ROUND(N10*(1+Accuracy),1)</f>
        <v/>
      </c>
      <c r="Q10" s="12" t="inlineStr">
        <is>
          <t>Low</t>
        </is>
      </c>
      <c r="R10" s="12" t="inlineStr">
        <is>
          <t>Medium</t>
        </is>
      </c>
      <c r="S10" s="12" t="inlineStr">
        <is>
          <t>BRD item BRD-UA-14 (notices of the access requests).</t>
        </is>
      </c>
      <c r="T10" s="12" t="inlineStr">
        <is>
          <t>Effort for the e-mail copy only; uses the e-mail templates and outbox of the OOTB platform (WFL-011).</t>
        </is>
      </c>
      <c r="U10" s="25">
        <f>IF(DayRate="","",N10*DayRate)</f>
        <v/>
      </c>
      <c r="V10" s="12" t="inlineStr">
        <is>
          <t>UAM-027 Notices of access changes: Partial</t>
        </is>
      </c>
      <c r="W10" s="12" t="inlineStr">
        <is>
          <t>Partial: in-system access-control notices and the e-mail outbox; no e-mail copy of access notices</t>
        </is>
      </c>
      <c r="X10" s="12" t="inlineStr">
        <is>
          <t>Yes</t>
        </is>
      </c>
    </row>
    <row r="11">
      <c r="A11" s="29" t="inlineStr">
        <is>
          <t>CR-UA-014</t>
        </is>
      </c>
      <c r="B11" s="29" t="inlineStr">
        <is>
          <t>Temporary access with an end date</t>
        </is>
      </c>
      <c r="C11" s="12" t="inlineStr">
        <is>
          <t>Annex Z (CLR-UA-06, CLR-UA-13); FRUM.009.10</t>
        </is>
      </c>
      <c r="D11" s="12" t="inlineStr">
        <is>
          <t>Not in BRD (BRD NFR 1.k asks for an effective date only)</t>
        </is>
      </c>
      <c r="E11" s="12" t="inlineStr">
        <is>
          <t>Best practice (iorta TechNXT)</t>
        </is>
      </c>
      <c r="F11" s="12" t="inlineStr">
        <is>
          <t>Access given for a project or a leave cover should end by itself. The OOTB platform applies changes at once, with no effective or end date (UAM-024 Not available); the effective date is a BRD requirement (Annex AA.4).</t>
        </is>
      </c>
      <c r="G11" s="12" t="inlineStr">
        <is>
          <t>Not offered: UAM-024 Not available (no effective or end date). The effective date is in scope as BRD item BRD-UA-11; this CR is the end date only.</t>
        </is>
      </c>
      <c r="H11" s="12" t="inlineStr">
        <is>
          <t>End date on the user requests and the bulk template; validation (after the effective date); the end date on the user's group profiles and in the reports; the daily run removes the access on the end date with a notice a number of days before; audit of each removal.</t>
        </is>
      </c>
      <c r="I11" s="30" t="n">
        <v>1.5</v>
      </c>
      <c r="J11" s="30" t="n">
        <v>4</v>
      </c>
      <c r="K11" s="30" t="n">
        <v>2.5</v>
      </c>
      <c r="L11" s="30" t="n">
        <v>2.5</v>
      </c>
      <c r="M11" s="30" t="n">
        <v>1</v>
      </c>
      <c r="N11" s="30">
        <f>SUM(I11:M11)</f>
        <v/>
      </c>
      <c r="O11" s="30">
        <f>ROUND(N11*(1-Accuracy),1)</f>
        <v/>
      </c>
      <c r="P11" s="30">
        <f>ROUND(N11*(1+Accuracy),1)</f>
        <v/>
      </c>
      <c r="Q11" s="12" t="inlineStr">
        <is>
          <t>Medium</t>
        </is>
      </c>
      <c r="R11" s="12" t="inlineStr">
        <is>
          <t>Low</t>
        </is>
      </c>
      <c r="S11" s="12" t="inlineStr">
        <is>
          <t>BRD item BRD-UA-11 (effective dates); answers to CLR-UA-06 and CLR-UA-13 (Annex Z).</t>
        </is>
      </c>
      <c r="T11" s="12" t="inlineStr">
        <is>
          <t>The removal is a scheduled change of the daily run of BRD-UA-11, checked again as the other scheduled changes.</t>
        </is>
      </c>
      <c r="U11" s="25">
        <f>IF(DayRate="","",N11*DayRate)</f>
        <v/>
      </c>
      <c r="V11" s="12" t="inlineStr">
        <is>
          <t>UAM-024 Effective-dated access changes: Not available</t>
        </is>
      </c>
      <c r="W11" s="12" t="inlineStr">
        <is>
          <t>Not found: no effective or end date on role assignment</t>
        </is>
      </c>
      <c r="X11" s="12" t="inlineStr">
        <is>
          <t>No</t>
        </is>
      </c>
    </row>
    <row r="12">
      <c r="A12" s="29" t="inlineStr">
        <is>
          <t>CR-UA-016</t>
        </is>
      </c>
      <c r="B12" s="29" t="inlineStr">
        <is>
          <t>Emergency role edit</t>
        </is>
      </c>
      <c r="C12" s="12" t="inlineStr">
        <is>
          <t>FRUM.005.01; Annex J</t>
        </is>
      </c>
      <c r="D12" s="12" t="inlineStr">
        <is>
          <t>Not in BRD</t>
        </is>
      </c>
      <c r="E12" s="12" t="inlineStr">
        <is>
          <t>Best practice (iorta TechNXT)</t>
        </is>
      </c>
      <c r="F12" s="12" t="inlineStr">
        <is>
          <t>With group profiles changed only by approved requests, an emergency path lets the System Administrator edit users and group profiles directly, when Information Security opens it, with every edit audited and alerted. The OOTB platform has no request flow and no emergency edit; the feature list has no row for it.</t>
        </is>
      </c>
      <c r="G12" s="12" t="inlineStr">
        <is>
          <t>Not offered: no feature row; in the OOTB platform roles are edited directly with no request, so no controlled emergency path exists.</t>
        </is>
      </c>
      <c r="H12" s="12" t="inlineStr">
        <is>
          <t>The emergency role edit setting, opened by Information Security; the direct edit of users and group profiles by the System Administrator while it is open, closed as delivered; every edit audited and alerted to Information Security; the marker on the screens.</t>
        </is>
      </c>
      <c r="I12" s="30" t="n">
        <v>1</v>
      </c>
      <c r="J12" s="30" t="n">
        <v>2.5</v>
      </c>
      <c r="K12" s="30" t="n">
        <v>1</v>
      </c>
      <c r="L12" s="30" t="n">
        <v>1.5</v>
      </c>
      <c r="M12" s="30" t="n">
        <v>0.5</v>
      </c>
      <c r="N12" s="30">
        <f>SUM(I12:M12)</f>
        <v/>
      </c>
      <c r="O12" s="30">
        <f>ROUND(N12*(1-Accuracy),1)</f>
        <v/>
      </c>
      <c r="P12" s="30">
        <f>ROUND(N12*(1+Accuracy),1)</f>
        <v/>
      </c>
      <c r="Q12" s="12" t="inlineStr">
        <is>
          <t>Medium</t>
        </is>
      </c>
      <c r="R12" s="12" t="inlineStr">
        <is>
          <t>Medium</t>
        </is>
      </c>
      <c r="S12" s="12" t="inlineStr">
        <is>
          <t>BRD items BRD-UA-09 and BRD-UA-13 (group profile requests, second approval of security settings).</t>
        </is>
      </c>
      <c r="T12" s="12" t="inlineStr">
        <is>
          <t>Alerts use the notices and e-mails of Annex T.</t>
        </is>
      </c>
      <c r="U12" s="25">
        <f>IF(DayRate="","",N12*DayRate)</f>
        <v/>
      </c>
      <c r="V12" s="12" t="inlineStr">
        <is>
          <t>No feature row (UAM-022 group profile requests: Not available)</t>
        </is>
      </c>
      <c r="W12" s="12" t="inlineStr">
        <is>
          <t>Not found: roles edited directly, no emergency path</t>
        </is>
      </c>
      <c r="X12" s="12" t="inlineStr">
        <is>
          <t>Yes</t>
        </is>
      </c>
    </row>
    <row r="13">
      <c r="A13" s="26" t="inlineStr">
        <is>
          <t>Total</t>
        </is>
      </c>
      <c r="B13" s="26" t="inlineStr">
        <is>
          <t>8 change requests</t>
        </is>
      </c>
      <c r="C13" s="12" t="n"/>
      <c r="D13" s="12" t="n"/>
      <c r="E13" s="12" t="n"/>
      <c r="F13" s="12" t="n"/>
      <c r="G13" s="12" t="n"/>
      <c r="H13" s="12" t="n"/>
      <c r="I13" s="31">
        <f>SUM(I5:I12)</f>
        <v/>
      </c>
      <c r="J13" s="31">
        <f>SUM(J5:J12)</f>
        <v/>
      </c>
      <c r="K13" s="31">
        <f>SUM(K5:K12)</f>
        <v/>
      </c>
      <c r="L13" s="31">
        <f>SUM(L5:L12)</f>
        <v/>
      </c>
      <c r="M13" s="31">
        <f>SUM(M5:M12)</f>
        <v/>
      </c>
      <c r="N13" s="31">
        <f>SUM(N5:N12)</f>
        <v/>
      </c>
      <c r="O13" s="31">
        <f>SUM(O5:O12)</f>
        <v/>
      </c>
      <c r="P13" s="31">
        <f>SUM(P5:P12)</f>
        <v/>
      </c>
      <c r="Q13" s="12" t="n"/>
      <c r="R13" s="12" t="n"/>
      <c r="S13" s="12" t="n"/>
      <c r="T13" s="12" t="n"/>
      <c r="U13" s="28">
        <f>IF(DayRate="","",SUM(U5:U12))</f>
        <v/>
      </c>
      <c r="V13" s="12" t="n"/>
      <c r="W13" s="12" t="n"/>
      <c r="X13" s="12" t="n"/>
    </row>
  </sheetData>
  <autoFilter ref="A4:X13"/>
  <mergeCells count="1">
    <mergeCell ref="A2:X2"/>
  </mergeCells>
  <conditionalFormatting sqref="A5:X513">
    <cfRule type="expression" priority="1" dxfId="0">
      <formula>AND(MOD(ROW(),2)=0,$A5&lt;&gt;"")</formula>
    </cfRule>
  </conditionalFormatting>
  <dataValidations count="2">
    <dataValidation sqref="Q5:Q513" showDropDown="0" showInputMessage="0" showErrorMessage="1" allowBlank="1" errorTitle="Complexity" error="Choose a value from the list (Complexity)." type="list">
      <formula1>'Lists'!$A$2:$A$4</formula1>
    </dataValidation>
    <dataValidation sqref="R5:R513" showDropDown="0" showInputMessage="0" showErrorMessage="1" allowBlank="1" errorTitle="Priority" error="Choose a value from the list (Priority)." type="list">
      <formula1>'Lists'!$B$2:$B$4</formula1>
    </dataValidation>
  </dataValidations>
  <printOptions horizontalCentered="1"/>
  <pageMargins left="0.4" right="0.4" top="0.6" bottom="0.6" header="0.5" footer="0.5"/>
  <pageSetup orientation="landscape" paperSize="1" fitToHeight="0" fitToWidth="1"/>
  <headerFooter>
    <oddHeader>&amp;L&amp;8 &amp;K004EA8CR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24" customWidth="1" min="3" max="3"/>
    <col width="14" customWidth="1" min="4" max="4"/>
    <col width="60" customWidth="1" min="5" max="5"/>
    <col width="18" customWidth="1" min="6" max="6"/>
    <col width="12" customWidth="1" min="7" max="7"/>
    <col width="40" customWidth="1" min="8" max="8"/>
    <col width="34" customWidth="1" min="9" max="9"/>
    <col width="44" customWidth="1" min="10" max="10"/>
  </cols>
  <sheetData>
    <row r="1" ht="24" customHeight="1">
      <c r="A1" s="18" t="inlineStr">
        <is>
          <t>Beyond the BRD - OOTB</t>
        </is>
      </c>
    </row>
    <row r="2">
      <c r="A2" s="21" t="inlineStr">
        <is>
          <t>Points of the FRS v1.4 that no BRD asks for and the iNXT BrokerVerse OOTB platform offers (green): no cost</t>
        </is>
      </c>
    </row>
    <row r="3" ht="6" customHeight="1">
      <c r="A3" s="22" t="n"/>
      <c r="B3" s="22" t="n"/>
      <c r="C3" s="22" t="n"/>
      <c r="D3" s="22" t="n"/>
      <c r="E3" s="22" t="n"/>
      <c r="F3" s="22" t="n"/>
      <c r="G3" s="22" t="n"/>
      <c r="H3" s="22" t="n"/>
      <c r="I3" s="22" t="n"/>
      <c r="J3" s="22" t="n"/>
    </row>
    <row r="4" ht="30" customHeight="1">
      <c r="A4" s="23" t="inlineStr">
        <is>
          <t>No.</t>
        </is>
      </c>
      <c r="B4" s="23" t="inlineStr">
        <is>
          <t>Point</t>
        </is>
      </c>
      <c r="C4" s="23" t="inlineStr">
        <is>
          <t>FRS reference</t>
        </is>
      </c>
      <c r="D4" s="23" t="inlineStr">
        <is>
          <t>BRD reference</t>
        </is>
      </c>
      <c r="E4" s="23" t="inlineStr">
        <is>
          <t>What BDOI gets</t>
        </is>
      </c>
      <c r="F4" s="23" t="inlineStr">
        <is>
          <t>OOTB status</t>
        </is>
      </c>
      <c r="G4" s="23" t="inlineStr">
        <is>
          <t>Cost (man-days)</t>
        </is>
      </c>
      <c r="H4" s="23" t="inlineStr">
        <is>
          <t>Note</t>
        </is>
      </c>
      <c r="I4" s="23" t="inlineStr">
        <is>
          <t>Feature List ID / OOTB status</t>
        </is>
      </c>
      <c r="J4" s="23" t="inlineStr">
        <is>
          <t>OOTB evidence</t>
        </is>
      </c>
    </row>
    <row r="5">
      <c r="A5" s="32" t="inlineStr">
        <is>
          <t>OB-UA-01</t>
        </is>
      </c>
      <c r="B5" s="32" t="inlineStr">
        <is>
          <t>Separation-of-duties rules</t>
        </is>
      </c>
      <c r="C5" s="12" t="inlineStr">
        <is>
          <t>FRUM.012.01; Annex M.6</t>
        </is>
      </c>
      <c r="D5" s="12" t="inlineStr">
        <is>
          <t>Not in BRD</t>
        </is>
      </c>
      <c r="E5" s="12" t="inlineStr">
        <is>
          <t>Pairs of group profiles one user may not hold (block or warn), kept by the Business Administrator; checked on every assignment.</t>
        </is>
      </c>
      <c r="F5" s="12" t="inlineStr">
        <is>
          <t>Offered by OOTB</t>
        </is>
      </c>
      <c r="G5" s="12" t="n">
        <v>0</v>
      </c>
      <c r="H5" s="12" t="inlineStr">
        <is>
          <t>Extends the segregation-of-duties principle of the Operations addendum; was CR-UA-001</t>
        </is>
      </c>
      <c r="I5" s="12" t="inlineStr">
        <is>
          <t>UAM-018 Segregation of duties rules: Available</t>
        </is>
      </c>
      <c r="J5" s="12" t="inlineStr">
        <is>
          <t>Access Control &gt; Separation-of-duties rules (pairs of roles, block or warn, checked at assignment)</t>
        </is>
      </c>
    </row>
    <row r="6">
      <c r="A6" s="32" t="inlineStr">
        <is>
          <t>OB-UA-02</t>
        </is>
      </c>
      <c r="B6" s="32" t="inlineStr">
        <is>
          <t>Dormant-user deactivation</t>
        </is>
      </c>
      <c r="C6" s="12" t="inlineStr">
        <is>
          <t>FRUM.003.04; Annex V</t>
        </is>
      </c>
      <c r="D6" s="12" t="inlineStr">
        <is>
          <t>Not in BRD</t>
        </is>
      </c>
      <c r="E6" s="12" t="inlineStr">
        <is>
          <t>Users without a sign-in for 90 days deactivated by the daily run (setting Dormant days).</t>
        </is>
      </c>
      <c r="F6" s="12" t="inlineStr">
        <is>
          <t>Offered by OOTB</t>
        </is>
      </c>
      <c r="G6" s="12" t="n">
        <v>0</v>
      </c>
      <c r="H6" s="12" t="inlineStr">
        <is>
          <t>Was CR-UA-002; the notice 7 days before is a detail BDOI confirms</t>
        </is>
      </c>
      <c r="I6" s="12" t="inlineStr">
        <is>
          <t>UAM-028 Dormant account deactivation: Available</t>
        </is>
      </c>
      <c r="J6" s="12" t="inlineStr">
        <is>
          <t>Daily run Dormant accounts (setting Dormant days, 90)</t>
        </is>
      </c>
    </row>
    <row r="7">
      <c r="A7" s="32" t="inlineStr">
        <is>
          <t>OB-UA-03</t>
        </is>
      </c>
      <c r="B7" s="32" t="inlineStr">
        <is>
          <t>Second factor of the local accounts</t>
        </is>
      </c>
      <c r="C7" s="12" t="inlineStr">
        <is>
          <t>FRUM-004; Annex M.4</t>
        </is>
      </c>
      <c r="D7" s="12" t="inlineStr">
        <is>
          <t>Not in BRD</t>
        </is>
      </c>
      <c r="E7" s="12" t="inlineStr">
        <is>
          <t>Authenticator code at sign-in, compulsory per role, and reset of a lost authenticator by an administrator.</t>
        </is>
      </c>
      <c r="F7" s="12" t="inlineStr">
        <is>
          <t>Offered by OOTB</t>
        </is>
      </c>
      <c r="G7" s="12" t="n">
        <v>0</v>
      </c>
      <c r="H7" s="12" t="inlineStr">
        <is>
          <t>-</t>
        </is>
      </c>
      <c r="I7" s="12" t="inlineStr">
        <is>
          <t>UAM-007 Two-factor authentication: Available</t>
        </is>
      </c>
      <c r="J7" s="12" t="inlineStr">
        <is>
          <t>Sign-in with authenticator code; two-factor per role on the user screen</t>
        </is>
      </c>
    </row>
    <row r="8">
      <c r="A8" s="32" t="inlineStr">
        <is>
          <t>OB-UA-04</t>
        </is>
      </c>
      <c r="B8" s="32" t="inlineStr">
        <is>
          <t>Business settings without a release</t>
        </is>
      </c>
      <c r="C8" s="12" t="inlineStr">
        <is>
          <t>Annex M.10</t>
        </is>
      </c>
      <c r="D8" s="12" t="inlineStr">
        <is>
          <t>Not in BRD</t>
        </is>
      </c>
      <c r="E8" s="12" t="inlineStr">
        <is>
          <t>Parameters applied at once and audited, so a point where BDOI's FRS and the BRD differ is chosen by a setting without a release.</t>
        </is>
      </c>
      <c r="F8" s="12" t="inlineStr">
        <is>
          <t>Offered by OOTB</t>
        </is>
      </c>
      <c r="G8" s="12" t="n">
        <v>0</v>
      </c>
      <c r="H8" s="12" t="inlineStr">
        <is>
          <t>The options themselves follow the colour of their own point</t>
        </is>
      </c>
      <c r="I8" s="12" t="inlineStr">
        <is>
          <t>ADM-011 Business parameters without a release: Available</t>
        </is>
      </c>
      <c r="J8" s="12" t="inlineStr">
        <is>
          <t>Settings screen: parameters applied at once and audited</t>
        </is>
      </c>
    </row>
    <row r="9">
      <c r="A9" s="32" t="inlineStr">
        <is>
          <t>OB-UA-05</t>
        </is>
      </c>
      <c r="B9" s="32" t="inlineStr">
        <is>
          <t>Periodic access review and scheduled reports</t>
        </is>
      </c>
      <c r="C9" s="12" t="inlineStr">
        <is>
          <t>Annex V, Annex Q.5 (UA-Q51)</t>
        </is>
      </c>
      <c r="D9" s="12" t="inlineStr">
        <is>
          <t>Not in BRD</t>
        </is>
      </c>
      <c r="E9" s="12" t="inlineStr">
        <is>
          <t>Recertification campaigns over every active user (revoke deactivates the account) and report schedules with recipients, so the monthly access review reaches Information Security.</t>
        </is>
      </c>
      <c r="F9" s="12" t="inlineStr">
        <is>
          <t>Offered by OOTB</t>
        </is>
      </c>
      <c r="G9" s="12" t="n">
        <v>0</v>
      </c>
      <c r="H9" s="12" t="inlineStr">
        <is>
          <t>Was CR-UA-012</t>
        </is>
      </c>
      <c r="I9" s="12" t="inlineStr">
        <is>
          <t>UAM-030 Periodic access entitlement review: Available; RPT-007 User-scheduled reports: Available</t>
        </is>
      </c>
      <c r="J9" s="12" t="inlineStr">
        <is>
          <t>Access Control &gt; Access Reviews; Reports &gt; Schedules (recipients, format, timing)</t>
        </is>
      </c>
    </row>
  </sheetData>
  <autoFilter ref="A4:J9"/>
  <mergeCells count="1">
    <mergeCell ref="A2:J2"/>
  </mergeCells>
  <conditionalFormatting sqref="A5:J50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&amp;K004EA8CR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M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30" customWidth="1" min="3" max="3"/>
    <col width="22" customWidth="1" min="4" max="4"/>
    <col width="50" customWidth="1" min="5" max="5"/>
    <col width="11" customWidth="1" min="6" max="6"/>
    <col width="11" customWidth="1" min="7" max="7"/>
    <col width="11" customWidth="1" min="8" max="8"/>
    <col width="11" customWidth="1" min="9" max="9"/>
    <col width="14" customWidth="1" min="10" max="10"/>
    <col width="30" customWidth="1" min="11" max="11"/>
    <col width="36" customWidth="1" min="12" max="12"/>
    <col width="14" customWidth="1" min="13" max="13"/>
  </cols>
  <sheetData>
    <row r="1" ht="24" customHeight="1">
      <c r="A1" s="18" t="inlineStr">
        <is>
          <t>BRD items to deliver</t>
        </is>
      </c>
    </row>
    <row r="2">
      <c r="A2" s="21" t="inlineStr">
        <is>
          <t>BRD requirements not (fully) in the iNXT BrokerVerse OOTB platform (FRS Annex X.2, AA.4): in-scope delivery work, for planning</t>
        </is>
      </c>
    </row>
    <row r="3" ht="6" customHeight="1">
      <c r="A3" s="22" t="n"/>
      <c r="B3" s="22" t="n"/>
      <c r="C3" s="22" t="n"/>
      <c r="D3" s="22" t="n"/>
      <c r="E3" s="22" t="n"/>
      <c r="F3" s="22" t="n"/>
      <c r="G3" s="22" t="n"/>
      <c r="H3" s="22" t="n"/>
      <c r="I3" s="22" t="n"/>
      <c r="J3" s="22" t="n"/>
      <c r="K3" s="22" t="n"/>
      <c r="L3" s="22" t="n"/>
      <c r="M3" s="22" t="n"/>
    </row>
    <row r="4" ht="30" customHeight="1">
      <c r="A4" s="23" t="inlineStr">
        <is>
          <t>No.</t>
        </is>
      </c>
      <c r="B4" s="23" t="inlineStr">
        <is>
          <t>Item</t>
        </is>
      </c>
      <c r="C4" s="23" t="inlineStr">
        <is>
          <t>BRD reference</t>
        </is>
      </c>
      <c r="D4" s="23" t="inlineStr">
        <is>
          <t>FRS reference</t>
        </is>
      </c>
      <c r="E4" s="23" t="inlineStr">
        <is>
          <t>What is delivered</t>
        </is>
      </c>
      <c r="F4" s="23" t="inlineStr">
        <is>
          <t>Analysis and design</t>
        </is>
      </c>
      <c r="G4" s="23" t="inlineStr">
        <is>
          <t>Backend and frontend</t>
        </is>
      </c>
      <c r="H4" s="23" t="inlineStr">
        <is>
          <t>Testing and UAT support</t>
        </is>
      </c>
      <c r="I4" s="23" t="inlineStr">
        <is>
          <t>Total man-days</t>
        </is>
      </c>
      <c r="J4" s="23" t="inlineStr">
        <is>
          <t>Cost</t>
        </is>
      </c>
      <c r="K4" s="23" t="inlineStr">
        <is>
          <t>Feature List ID / OOTB status</t>
        </is>
      </c>
      <c r="L4" s="23" t="inlineStr">
        <is>
          <t>OOTB evidence</t>
        </is>
      </c>
      <c r="M4" s="23" t="inlineStr">
        <is>
          <t>Already in BIBS?</t>
        </is>
      </c>
    </row>
    <row r="5">
      <c r="A5" s="12" t="inlineStr">
        <is>
          <t>BRD-UA-01</t>
        </is>
      </c>
      <c r="B5" s="12" t="inlineStr">
        <is>
          <t>One session per device</t>
        </is>
      </c>
      <c r="C5" s="12" t="inlineStr">
        <is>
          <t>Collections addendum NFR 10.07</t>
        </is>
      </c>
      <c r="D5" s="12" t="inlineStr">
        <is>
          <t>FRUM.001.01; Annex M.5</t>
        </is>
      </c>
      <c r="E5" s="12" t="inlineStr">
        <is>
          <t>A sign-in on another device ends the user's earlier session, with the reason in the session log and a message on the earlier device.</t>
        </is>
      </c>
      <c r="F5" s="30" t="n">
        <v>0.5</v>
      </c>
      <c r="G5" s="30" t="n">
        <v>3</v>
      </c>
      <c r="H5" s="30" t="n">
        <v>1.5</v>
      </c>
      <c r="I5" s="30">
        <f>SUM(F5:H5)</f>
        <v/>
      </c>
      <c r="J5" s="12" t="inlineStr">
        <is>
          <t>Not charged</t>
        </is>
      </c>
      <c r="K5" s="12" t="inlineStr">
        <is>
          <t>UAM-005: Not available</t>
        </is>
      </c>
      <c r="L5" s="12" t="inlineStr">
        <is>
          <t>Not found (several sessions per user)</t>
        </is>
      </c>
      <c r="M5" s="12" t="inlineStr">
        <is>
          <t>No</t>
        </is>
      </c>
    </row>
    <row r="6">
      <c r="A6" s="12" t="inlineStr">
        <is>
          <t>BRD-UA-02</t>
        </is>
      </c>
      <c r="B6" s="12" t="inlineStr">
        <is>
          <t>Administrator passwords of 12 characters</t>
        </is>
      </c>
      <c r="C6" s="12" t="inlineStr">
        <is>
          <t>Collections addendum NFR 2.04</t>
        </is>
      </c>
      <c r="D6" s="12" t="inlineStr">
        <is>
          <t>FRUM-004; Annex M.4</t>
        </is>
      </c>
      <c r="E6" s="12" t="inlineStr">
        <is>
          <t>Minimum length 12 for the accounts with administrator privileges, 8 or more for any other local account; as a setting.</t>
        </is>
      </c>
      <c r="F6" s="30" t="n">
        <v>0.25</v>
      </c>
      <c r="G6" s="30" t="n">
        <v>0.75</v>
      </c>
      <c r="H6" s="30" t="n">
        <v>0.5</v>
      </c>
      <c r="I6" s="30">
        <f>SUM(F6:H6)</f>
        <v/>
      </c>
      <c r="J6" s="12" t="inlineStr">
        <is>
          <t>Not charged</t>
        </is>
      </c>
      <c r="K6" s="12" t="inlineStr">
        <is>
          <t>UAM-008: Available (one minimum length only)</t>
        </is>
      </c>
      <c r="L6" s="12" t="inlineStr">
        <is>
          <t>Password policy: one minimum length</t>
        </is>
      </c>
      <c r="M6" s="12" t="inlineStr">
        <is>
          <t>No</t>
        </is>
      </c>
    </row>
    <row r="7">
      <c r="A7" s="12" t="inlineStr">
        <is>
          <t>BRD-UA-03</t>
        </is>
      </c>
      <c r="B7" s="12" t="inlineStr">
        <is>
          <t>Inactivity warning at 15 minutes</t>
        </is>
      </c>
      <c r="C7" s="12" t="inlineStr">
        <is>
          <t>UAM BRD x.001.1.2, x.001.1.3; Collections addendum NFR 10.01</t>
        </is>
      </c>
      <c r="D7" s="12" t="inlineStr">
        <is>
          <t>FRUM.001.03, FRUM.001.04; Annex M.5</t>
        </is>
      </c>
      <c r="E7" s="12" t="inlineStr">
        <is>
          <t>A warning after 15 minutes of inactivity with Stay Logged In and Log Out, besides the sign-out after 30 minutes; both times settings (BDOI confirms 15 or 30 minutes).</t>
        </is>
      </c>
      <c r="F7" s="30" t="n">
        <v>0.25</v>
      </c>
      <c r="G7" s="30" t="n">
        <v>1.5</v>
      </c>
      <c r="H7" s="30" t="n">
        <v>0.75</v>
      </c>
      <c r="I7" s="30">
        <f>SUM(F7:H7)</f>
        <v/>
      </c>
      <c r="J7" s="12" t="inlineStr">
        <is>
          <t>Not charged</t>
        </is>
      </c>
      <c r="K7" s="12" t="inlineStr">
        <is>
          <t>UAM-003: Partial</t>
        </is>
      </c>
      <c r="L7" s="12" t="inlineStr">
        <is>
          <t>Partial: idle sign-out with one-minute warning</t>
        </is>
      </c>
      <c r="M7" s="12" t="inlineStr">
        <is>
          <t>Yes</t>
        </is>
      </c>
    </row>
    <row r="8">
      <c r="A8" s="12" t="inlineStr">
        <is>
          <t>BRD-UA-05</t>
        </is>
      </c>
      <c r="B8" s="12" t="inlineStr">
        <is>
          <t>Windows ID, business unit group, user level and user ID rule on the user record</t>
        </is>
      </c>
      <c r="C8" s="12" t="inlineStr">
        <is>
          <t>UAM BRD NFR 13, 15; Collections addendum NFR 2.09</t>
        </is>
      </c>
      <c r="D8" s="12" t="inlineStr">
        <is>
          <t>FRUM.002.03; Annex M</t>
        </is>
      </c>
      <c r="E8" s="12" t="inlineStr">
        <is>
          <t>The fields of the BRD on the user record, screens and reports; the user ID pattern as a setting.</t>
        </is>
      </c>
      <c r="F8" s="30" t="n">
        <v>0.5</v>
      </c>
      <c r="G8" s="30" t="n">
        <v>3.5</v>
      </c>
      <c r="H8" s="30" t="n">
        <v>1.5</v>
      </c>
      <c r="I8" s="30">
        <f>SUM(F8:H8)</f>
        <v/>
      </c>
      <c r="J8" s="12" t="inlineStr">
        <is>
          <t>Not charged</t>
        </is>
      </c>
      <c r="K8" s="12" t="inlineStr">
        <is>
          <t>UAM-012: Partial</t>
        </is>
      </c>
      <c r="L8" s="12" t="inlineStr">
        <is>
          <t>Partial: users table without Windows ID, BU group, user level</t>
        </is>
      </c>
      <c r="M8" s="12" t="inlineStr">
        <is>
          <t>Yes</t>
        </is>
      </c>
    </row>
    <row r="9">
      <c r="A9" s="12" t="inlineStr">
        <is>
          <t>BRD-UA-07</t>
        </is>
      </c>
      <c r="B9" s="12" t="inlineStr">
        <is>
          <t>Add, amend, delete and task-level rights per group profile</t>
        </is>
      </c>
      <c r="C9" s="12" t="inlineStr">
        <is>
          <t>UAM BRD 4.002.2 to 4.002.2.10; report sample B</t>
        </is>
      </c>
      <c r="D9" s="12" t="inlineStr">
        <is>
          <t>FRUM.006; Annex C</t>
        </is>
      </c>
      <c r="E9" s="12" t="inlineStr">
        <is>
          <t>Rights by function (view, add, amend, delete, approve and the tasks of the BRD) per module and group profile, in the screens, the checks and the Group Profile Access Report.</t>
        </is>
      </c>
      <c r="F9" s="30" t="n">
        <v>1</v>
      </c>
      <c r="G9" s="30" t="n">
        <v>6</v>
      </c>
      <c r="H9" s="30" t="n">
        <v>2.5</v>
      </c>
      <c r="I9" s="30">
        <f>SUM(F9:H9)</f>
        <v/>
      </c>
      <c r="J9" s="12" t="inlineStr">
        <is>
          <t>Not charged</t>
        </is>
      </c>
      <c r="K9" s="12" t="inlineStr">
        <is>
          <t>UAM-015: Partial</t>
        </is>
      </c>
      <c r="L9" s="12" t="inlineStr">
        <is>
          <t>Partial: read / write / approve per module</t>
        </is>
      </c>
      <c r="M9" s="12" t="inlineStr">
        <is>
          <t>Yes</t>
        </is>
      </c>
    </row>
    <row r="10">
      <c r="A10" s="12" t="inlineStr">
        <is>
          <t>BRD-UA-08</t>
        </is>
      </c>
      <c r="B10" s="12" t="inlineStr">
        <is>
          <t>Access request lifecycle with approval and automatic provisioning</t>
        </is>
      </c>
      <c r="C10" s="12" t="inlineStr">
        <is>
          <t>UAM BRD 1.002 to 1.008, 2.002 (approver chosen by the requester; approve, reject or return)</t>
        </is>
      </c>
      <c r="D10" s="12" t="inlineStr">
        <is>
          <t>FRUM.002, FRUM.003, FRUM.009, FRUM.010</t>
        </is>
      </c>
      <c r="E10" s="12" t="inlineStr">
        <is>
          <t>Requests to enrol, modify, deactivate and reactivate with draft, cancel and submit; the approver chosen by the requester; approve, reject or return with remarks; the access applied on approval; request history and lists.</t>
        </is>
      </c>
      <c r="F10" s="30" t="n">
        <v>4</v>
      </c>
      <c r="G10" s="30" t="n">
        <v>24</v>
      </c>
      <c r="H10" s="30" t="n">
        <v>11</v>
      </c>
      <c r="I10" s="30">
        <f>SUM(F10:H10)</f>
        <v/>
      </c>
      <c r="J10" s="12" t="inlineStr">
        <is>
          <t>Not charged</t>
        </is>
      </c>
      <c r="K10" s="12" t="inlineStr">
        <is>
          <t>UAM-019, UAM-020, UAM-021: Not available</t>
        </is>
      </c>
      <c r="L10" s="12" t="inlineStr">
        <is>
          <t>Not found (no access requests)</t>
        </is>
      </c>
      <c r="M10" s="12" t="inlineStr">
        <is>
          <t>Yes</t>
        </is>
      </c>
    </row>
    <row r="11">
      <c r="A11" s="12" t="inlineStr">
        <is>
          <t>BRD-UA-09</t>
        </is>
      </c>
      <c r="B11" s="12" t="inlineStr">
        <is>
          <t>Group profile requests approved in sequence and implemented</t>
        </is>
      </c>
      <c r="C11" s="12" t="inlineStr">
        <is>
          <t>UAM BRD 3.002.1 to 3.002.4</t>
        </is>
      </c>
      <c r="D11" s="12" t="inlineStr">
        <is>
          <t>FRUM.005, FRUM.011</t>
        </is>
      </c>
      <c r="E11" s="12" t="inlineStr">
        <is>
          <t>Requests to create or change a group profile approved by the approvers in order and implemented by the System Administrator.</t>
        </is>
      </c>
      <c r="F11" s="30" t="n">
        <v>2</v>
      </c>
      <c r="G11" s="30" t="n">
        <v>10</v>
      </c>
      <c r="H11" s="30" t="n">
        <v>5</v>
      </c>
      <c r="I11" s="30">
        <f>SUM(F11:H11)</f>
        <v/>
      </c>
      <c r="J11" s="12" t="inlineStr">
        <is>
          <t>Not charged</t>
        </is>
      </c>
      <c r="K11" s="12" t="inlineStr">
        <is>
          <t>UAM-022: Not available</t>
        </is>
      </c>
      <c r="L11" s="12" t="inlineStr">
        <is>
          <t>Not found (roles edited directly)</t>
        </is>
      </c>
      <c r="M11" s="12" t="inlineStr">
        <is>
          <t>Yes</t>
        </is>
      </c>
    </row>
    <row r="12">
      <c r="A12" s="12" t="inlineStr">
        <is>
          <t>BRD-UA-10</t>
        </is>
      </c>
      <c r="B12" s="12" t="inlineStr">
        <is>
          <t>Bulk access requests with approval</t>
        </is>
      </c>
      <c r="C12" s="12" t="inlineStr">
        <is>
          <t>UAM BRD 1.009; NFR 38</t>
        </is>
      </c>
      <c r="D12" s="12" t="inlineStr">
        <is>
          <t>FRUM.002.04; Annex M</t>
        </is>
      </c>
      <c r="E12" s="12" t="inlineStr">
        <is>
          <t>The bulk template raised as a request, checked row by row with an error file and decided by the approver as a whole (the bulk load of the OOTB platform is reused).</t>
        </is>
      </c>
      <c r="F12" s="30" t="n">
        <v>0.5</v>
      </c>
      <c r="G12" s="30" t="n">
        <v>5</v>
      </c>
      <c r="H12" s="30" t="n">
        <v>2</v>
      </c>
      <c r="I12" s="30">
        <f>SUM(F12:H12)</f>
        <v/>
      </c>
      <c r="J12" s="12" t="inlineStr">
        <is>
          <t>Not charged</t>
        </is>
      </c>
      <c r="K12" s="12" t="inlineStr">
        <is>
          <t>UAM-023: Partial</t>
        </is>
      </c>
      <c r="L12" s="12" t="inlineStr">
        <is>
          <t>Partial: bulk user load by the System Administrator</t>
        </is>
      </c>
      <c r="M12" s="12" t="inlineStr">
        <is>
          <t>Yes</t>
        </is>
      </c>
    </row>
    <row r="13">
      <c r="A13" s="12" t="inlineStr">
        <is>
          <t>BRD-UA-11</t>
        </is>
      </c>
      <c r="B13" s="12" t="inlineStr">
        <is>
          <t>Effective-dated access changes</t>
        </is>
      </c>
      <c r="C13" s="12" t="inlineStr">
        <is>
          <t>UAM BRD NFR 14 (1.k)</t>
        </is>
      </c>
      <c r="D13" s="12" t="inlineStr">
        <is>
          <t>FRUM.009.10; Annex Z</t>
        </is>
      </c>
      <c r="E13" s="12" t="inlineStr">
        <is>
          <t>An effective date on the requests; a daily run applies the scheduled changes, checked again on the day.</t>
        </is>
      </c>
      <c r="F13" s="30" t="n">
        <v>1</v>
      </c>
      <c r="G13" s="30" t="n">
        <v>4.5</v>
      </c>
      <c r="H13" s="30" t="n">
        <v>2.5</v>
      </c>
      <c r="I13" s="30">
        <f>SUM(F13:H13)</f>
        <v/>
      </c>
      <c r="J13" s="12" t="inlineStr">
        <is>
          <t>Not charged</t>
        </is>
      </c>
      <c r="K13" s="12" t="inlineStr">
        <is>
          <t>UAM-024: Not available</t>
        </is>
      </c>
      <c r="L13" s="12" t="inlineStr">
        <is>
          <t>Not found</t>
        </is>
      </c>
      <c r="M13" s="12" t="inlineStr">
        <is>
          <t>Yes</t>
        </is>
      </c>
    </row>
    <row r="14">
      <c r="A14" s="12" t="inlineStr">
        <is>
          <t>BRD-UA-12</t>
        </is>
      </c>
      <c r="B14" s="12" t="inlineStr">
        <is>
          <t>Escalation of privileged or out-of-hours changes</t>
        </is>
      </c>
      <c r="C14" s="12" t="inlineStr">
        <is>
          <t>UAM BRD NFR 40 (Other BU NFR 11)</t>
        </is>
      </c>
      <c r="D14" s="12" t="inlineStr">
        <is>
          <t>FRUM.010.02; Annex S</t>
        </is>
      </c>
      <c r="E14" s="12" t="inlineStr">
        <is>
          <t>Privilege level on the group profiles and the working-hours rule; a second approval of the privileged or out-of-hours changes.</t>
        </is>
      </c>
      <c r="F14" s="30" t="n">
        <v>1</v>
      </c>
      <c r="G14" s="30" t="n">
        <v>4</v>
      </c>
      <c r="H14" s="30" t="n">
        <v>2.5</v>
      </c>
      <c r="I14" s="30">
        <f>SUM(F14:H14)</f>
        <v/>
      </c>
      <c r="J14" s="12" t="inlineStr">
        <is>
          <t>Not charged</t>
        </is>
      </c>
      <c r="K14" s="12" t="inlineStr">
        <is>
          <t>UAM-025: Not available</t>
        </is>
      </c>
      <c r="L14" s="12" t="inlineStr">
        <is>
          <t>Not found</t>
        </is>
      </c>
      <c r="M14" s="12" t="inlineStr">
        <is>
          <t>Yes</t>
        </is>
      </c>
    </row>
    <row r="15">
      <c r="A15" s="12" t="inlineStr">
        <is>
          <t>BRD-UA-13</t>
        </is>
      </c>
      <c r="B15" s="12" t="inlineStr">
        <is>
          <t>Second approval of security settings</t>
        </is>
      </c>
      <c r="C15" s="12" t="inlineStr">
        <is>
          <t>UAM BRD NFR 16, NFR 40</t>
        </is>
      </c>
      <c r="D15" s="12" t="inlineStr">
        <is>
          <t>FRUM.012.02; Annex M</t>
        </is>
      </c>
      <c r="E15" s="12" t="inlineStr">
        <is>
          <t>A change of a sign-in, password, session or access setting applies only after the approval of Information Security (in the OOTB platform these settings apply at once).</t>
        </is>
      </c>
      <c r="F15" s="30" t="n">
        <v>0.5</v>
      </c>
      <c r="G15" s="30" t="n">
        <v>4</v>
      </c>
      <c r="H15" s="30" t="n">
        <v>2</v>
      </c>
      <c r="I15" s="30">
        <f>SUM(F15:H15)</f>
        <v/>
      </c>
      <c r="J15" s="12" t="inlineStr">
        <is>
          <t>Not charged</t>
        </is>
      </c>
      <c r="K15" s="12" t="inlineStr">
        <is>
          <t>UAM-026: Partial</t>
        </is>
      </c>
      <c r="L15" s="12" t="inlineStr">
        <is>
          <t>Partial: settings apply at once (audited)</t>
        </is>
      </c>
      <c r="M15" s="12" t="inlineStr">
        <is>
          <t>Yes</t>
        </is>
      </c>
    </row>
    <row r="16">
      <c r="A16" s="12" t="inlineStr">
        <is>
          <t>BRD-UA-14</t>
        </is>
      </c>
      <c r="B16" s="12" t="inlineStr">
        <is>
          <t>Notices of the access requests to the requester and the user</t>
        </is>
      </c>
      <c r="C16" s="12" t="inlineStr">
        <is>
          <t>UAM BRD 1.006.1.1, 1.008.1.4, 2.002.1; NFR 39</t>
        </is>
      </c>
      <c r="D16" s="12" t="inlineStr">
        <is>
          <t>FRUM.013; Annex T</t>
        </is>
      </c>
      <c r="E16" s="12" t="inlineStr">
        <is>
          <t>In-system notices of each request step (to approve, returned, decided, implemented) to the requester, the approver and the affected user.</t>
        </is>
      </c>
      <c r="F16" s="30" t="n">
        <v>0.5</v>
      </c>
      <c r="G16" s="30" t="n">
        <v>2.5</v>
      </c>
      <c r="H16" s="30" t="n">
        <v>1.5</v>
      </c>
      <c r="I16" s="30">
        <f>SUM(F16:H16)</f>
        <v/>
      </c>
      <c r="J16" s="12" t="inlineStr">
        <is>
          <t>Not charged</t>
        </is>
      </c>
      <c r="K16" s="12" t="inlineStr">
        <is>
          <t>UAM-027: Partial</t>
        </is>
      </c>
      <c r="L16" s="12" t="inlineStr">
        <is>
          <t>Partial: in-app access-control notices</t>
        </is>
      </c>
      <c r="M16" s="12" t="inlineStr">
        <is>
          <t>Yes</t>
        </is>
      </c>
    </row>
    <row r="17">
      <c r="A17" s="12" t="inlineStr">
        <is>
          <t>BRD-UA-15</t>
        </is>
      </c>
      <c r="B17" s="12" t="inlineStr">
        <is>
          <t>Access reports in the BDOI layout</t>
        </is>
      </c>
      <c r="C17" s="12" t="inlineStr">
        <is>
          <t>UAM BRD 3.003, 4.003.1; samples A to D; NFR 10, NFR 41</t>
        </is>
      </c>
      <c r="D17" s="12" t="inlineStr">
        <is>
          <t>FRUM.007; Annex V</t>
        </is>
      </c>
      <c r="E17" s="12" t="inlineStr">
        <is>
          <t>User Access Report with an 'as of' date, group profile membership, Group Profile Access Report and the from / to User Access Audit Log in the BDOI layout with the header of the BRD.</t>
        </is>
      </c>
      <c r="F17" s="30" t="n">
        <v>1</v>
      </c>
      <c r="G17" s="30" t="n">
        <v>6</v>
      </c>
      <c r="H17" s="30" t="n">
        <v>2.5</v>
      </c>
      <c r="I17" s="30">
        <f>SUM(F17:H17)</f>
        <v/>
      </c>
      <c r="J17" s="12" t="inlineStr">
        <is>
          <t>Not charged</t>
        </is>
      </c>
      <c r="K17" s="12" t="inlineStr">
        <is>
          <t>UAM-029: Partial</t>
        </is>
      </c>
      <c r="L17" s="12" t="inlineStr">
        <is>
          <t>Partial: user access matrix and role permission matrix</t>
        </is>
      </c>
      <c r="M17" s="12" t="inlineStr">
        <is>
          <t>Yes</t>
        </is>
      </c>
    </row>
    <row r="18">
      <c r="A18" s="12" t="inlineStr">
        <is>
          <t>BRD-UA-16</t>
        </is>
      </c>
      <c r="B18" s="12" t="inlineStr">
        <is>
          <t>On-line status of the users</t>
        </is>
      </c>
      <c r="C18" s="12" t="inlineStr">
        <is>
          <t>UAM BRD NFR 15 (status online), NFR 35</t>
        </is>
      </c>
      <c r="D18" s="12" t="inlineStr">
        <is>
          <t>FRUM.001.05; Annex V</t>
        </is>
      </c>
      <c r="E18" s="12" t="inlineStr">
        <is>
          <t>The list of the users signed in (on-line status) with their sessions; end of a session by the System Administrator.</t>
        </is>
      </c>
      <c r="F18" s="30" t="n">
        <v>0.25</v>
      </c>
      <c r="G18" s="30" t="n">
        <v>2</v>
      </c>
      <c r="H18" s="30" t="n">
        <v>0.75</v>
      </c>
      <c r="I18" s="30">
        <f>SUM(F18:H18)</f>
        <v/>
      </c>
      <c r="J18" s="12" t="inlineStr">
        <is>
          <t>Not charged</t>
        </is>
      </c>
      <c r="K18" s="12" t="inlineStr">
        <is>
          <t>UAM-004: Partial</t>
        </is>
      </c>
      <c r="L18" s="12" t="inlineStr">
        <is>
          <t>Partial: end all sessions of a user; no on-line list</t>
        </is>
      </c>
      <c r="M18" s="12" t="inlineStr">
        <is>
          <t>Yes</t>
        </is>
      </c>
    </row>
    <row r="19">
      <c r="A19" s="12" t="inlineStr">
        <is>
          <t>BRD-UA-17</t>
        </is>
      </c>
      <c r="B19" s="12" t="inlineStr">
        <is>
          <t>Access from BDO devices only</t>
        </is>
      </c>
      <c r="C19" s="12" t="inlineStr">
        <is>
          <t>UAM BRD 1.001.1, 2.001.1, 3.001.1, 4.001.1</t>
        </is>
      </c>
      <c r="D19" s="12" t="inlineStr">
        <is>
          <t>FRUM.001.01; Technical Specification</t>
        </is>
      </c>
      <c r="E19" s="12" t="inlineStr">
        <is>
          <t>Access limited to BDO's network and devices: network zone and IP rules of the OOTB platform, plus the device check BDOI IT chooses.</t>
        </is>
      </c>
      <c r="F19" s="30" t="n">
        <v>0.5</v>
      </c>
      <c r="G19" s="30" t="n">
        <v>2.5</v>
      </c>
      <c r="H19" s="30" t="n">
        <v>1.5</v>
      </c>
      <c r="I19" s="30">
        <f>SUM(F19:H19)</f>
        <v/>
      </c>
      <c r="J19" s="12" t="inlineStr">
        <is>
          <t>Not charged</t>
        </is>
      </c>
      <c r="K19" s="12" t="inlineStr">
        <is>
          <t>UAM-033: Partial</t>
        </is>
      </c>
      <c r="L19" s="12" t="inlineStr">
        <is>
          <t>Partial: network / IP rules outside the application</t>
        </is>
      </c>
      <c r="M19" s="12" t="inlineStr">
        <is>
          <t>Partly (network and IP rules)</t>
        </is>
      </c>
    </row>
  </sheetData>
  <autoFilter ref="A4:M19"/>
  <mergeCells count="1">
    <mergeCell ref="A2:M2"/>
  </mergeCells>
  <conditionalFormatting sqref="A5:M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&amp;K004EA8CR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4" customWidth="1" min="3" max="3"/>
    <col width="50" customWidth="1" min="4" max="4"/>
    <col width="18" customWidth="1" min="5" max="5"/>
    <col width="24" customWidth="1" min="6" max="6"/>
    <col width="22" customWidth="1" min="7" max="7"/>
    <col width="12" customWidth="1" min="8" max="8"/>
  </cols>
  <sheetData>
    <row r="1" ht="24" customHeight="1">
      <c r="A1" s="18" t="inlineStr">
        <is>
          <t>Integration &amp; Data Migration</t>
        </is>
      </c>
    </row>
    <row r="2">
      <c r="A2" s="21" t="inlineStr">
        <is>
          <t>Covered by the Integration and Data Migration scope (grey label in the FRS, Annex AA.5): no change request, no cost here</t>
        </is>
      </c>
    </row>
    <row r="3" ht="6" customHeight="1">
      <c r="A3" s="22" t="n"/>
      <c r="B3" s="22" t="n"/>
      <c r="C3" s="22" t="n"/>
      <c r="D3" s="22" t="n"/>
      <c r="E3" s="22" t="n"/>
      <c r="F3" s="22" t="n"/>
      <c r="G3" s="22" t="n"/>
      <c r="H3" s="22" t="n"/>
    </row>
    <row r="4" ht="30" customHeight="1">
      <c r="A4" s="23" t="inlineStr">
        <is>
          <t>No.</t>
        </is>
      </c>
      <c r="B4" s="23" t="inlineStr">
        <is>
          <t>Point</t>
        </is>
      </c>
      <c r="C4" s="23" t="inlineStr">
        <is>
          <t>FRS reference</t>
        </is>
      </c>
      <c r="D4" s="23" t="inlineStr">
        <is>
          <t>Scope</t>
        </is>
      </c>
      <c r="E4" s="23" t="inlineStr">
        <is>
          <t>Workstream</t>
        </is>
      </c>
      <c r="F4" s="23" t="inlineStr">
        <is>
          <t>Feature List ID / OOTB status</t>
        </is>
      </c>
      <c r="G4" s="23" t="inlineStr">
        <is>
          <t>Note</t>
        </is>
      </c>
      <c r="H4" s="23" t="inlineStr">
        <is>
          <t>Cost</t>
        </is>
      </c>
    </row>
    <row r="5">
      <c r="A5" s="33" t="inlineStr">
        <is>
          <t>IS-UA-01</t>
        </is>
      </c>
      <c r="B5" s="12" t="inlineStr">
        <is>
          <t>Synchronisation with UIDM-ISC and EIAM (joiner, mover, leaver, rehire; Synchronise Now)</t>
        </is>
      </c>
      <c r="C5" s="12" t="inlineStr">
        <is>
          <t>FRUM.002.02, FRUM.003.03; Annex N.3</t>
        </is>
      </c>
      <c r="D5" s="12" t="inlineStr">
        <is>
          <t>Events approved in UIDM-ISC applied with the UIDM request number; refused events queued and alerted.</t>
        </is>
      </c>
      <c r="E5" s="12" t="inlineStr">
        <is>
          <t>Integration</t>
        </is>
      </c>
      <c r="F5" s="12" t="inlineStr">
        <is>
          <t>UAM-011: Not available</t>
        </is>
      </c>
      <c r="G5" s="12" t="inlineStr">
        <is>
          <t>Was CR-UA-005</t>
        </is>
      </c>
      <c r="H5" s="12" t="inlineStr">
        <is>
          <t>Not a CR</t>
        </is>
      </c>
    </row>
    <row r="6">
      <c r="A6" s="33" t="inlineStr">
        <is>
          <t>IS-UA-02</t>
        </is>
      </c>
      <c r="B6" s="12" t="inlineStr">
        <is>
          <t>Revocation on an SSO status change</t>
        </is>
      </c>
      <c r="C6" s="12" t="inlineStr">
        <is>
          <t>FRUM.003.02.01; Annex N</t>
        </is>
      </c>
      <c r="D6" s="12" t="inlineStr">
        <is>
          <t>A leaver, or an SSO account inactive, locked or disabled, deactivates the user and ends the open sessions.</t>
        </is>
      </c>
      <c r="E6" s="12" t="inlineStr">
        <is>
          <t>Integration</t>
        </is>
      </c>
      <c r="F6" s="12" t="inlineStr">
        <is>
          <t>UAM-011: Not available</t>
        </is>
      </c>
      <c r="G6" s="12" t="inlineStr">
        <is>
          <t>Was CR-UA-006</t>
        </is>
      </c>
      <c r="H6" s="12" t="inlineStr">
        <is>
          <t>Not a CR</t>
        </is>
      </c>
    </row>
    <row r="7">
      <c r="A7" s="33" t="inlineStr">
        <is>
          <t>IS-UA-03</t>
        </is>
      </c>
      <c r="B7" s="12" t="inlineStr">
        <is>
          <t>Sign-in through Microsoft Entra ID / EIAM with the Windows ID</t>
        </is>
      </c>
      <c r="C7" s="12" t="inlineStr">
        <is>
          <t>FRUM.001.02; Annex N</t>
        </is>
      </c>
      <c r="D7" s="12" t="inlineStr">
        <is>
          <t>Single sign-on of every user (BRD UAM-NFR 11, 17, 33; CLXN NFR 1.01): a BRD requirement delivered by the Integration workstream.</t>
        </is>
      </c>
      <c r="E7" s="12" t="inlineStr">
        <is>
          <t>Integration</t>
        </is>
      </c>
      <c r="F7" s="12" t="inlineStr">
        <is>
          <t>UAM-011: Not available</t>
        </is>
      </c>
      <c r="G7" s="12" t="inlineStr">
        <is>
          <t>Was BRD item to deliver</t>
        </is>
      </c>
      <c r="H7" s="12" t="inlineStr">
        <is>
          <t>Not a CR</t>
        </is>
      </c>
    </row>
    <row r="8">
      <c r="A8" s="33" t="inlineStr">
        <is>
          <t>IS-UA-04</t>
        </is>
      </c>
      <c r="B8" s="12" t="inlineStr">
        <is>
          <t>External access-control list interface</t>
        </is>
      </c>
      <c r="C8" s="12" t="inlineStr">
        <is>
          <t>Annex W</t>
        </is>
      </c>
      <c r="D8" s="12" t="inlineStr">
        <is>
          <t>Interface with the access-control list of the system BDOI names (BRD UAM-NFR 12; UQ14).</t>
        </is>
      </c>
      <c r="E8" s="12" t="inlineStr">
        <is>
          <t>Integration</t>
        </is>
      </c>
      <c r="F8" s="12" t="inlineStr">
        <is>
          <t>UAM-013: Not available</t>
        </is>
      </c>
      <c r="G8" s="12" t="inlineStr">
        <is>
          <t>BRD requirement</t>
        </is>
      </c>
      <c r="H8" s="12" t="inlineStr">
        <is>
          <t>Not a CR</t>
        </is>
      </c>
    </row>
    <row r="9">
      <c r="A9" s="33" t="inlineStr">
        <is>
          <t>IS-UA-05</t>
        </is>
      </c>
      <c r="B9" s="12" t="inlineStr">
        <is>
          <t>EIAM and UIDM-ISC simulator for SIT and UAT</t>
        </is>
      </c>
      <c r="C9" s="12" t="inlineStr">
        <is>
          <t>Annex N</t>
        </is>
      </c>
      <c r="D9" s="12" t="inlineStr">
        <is>
          <t>Sign-in and identity events simulated in the test environments until BDOI IT connects the real services.</t>
        </is>
      </c>
      <c r="E9" s="12" t="inlineStr">
        <is>
          <t>Integration</t>
        </is>
      </c>
      <c r="F9" s="12" t="inlineStr">
        <is>
          <t>No feature row</t>
        </is>
      </c>
      <c r="G9" s="12" t="inlineStr">
        <is>
          <t>-</t>
        </is>
      </c>
      <c r="H9" s="12" t="inlineStr">
        <is>
          <t>Not a CR</t>
        </is>
      </c>
    </row>
    <row r="10">
      <c r="A10" s="33" t="inlineStr">
        <is>
          <t>DM-UA-01</t>
        </is>
      </c>
      <c r="B10" s="12" t="inlineStr">
        <is>
          <t>Users and group profiles at go-live</t>
        </is>
      </c>
      <c r="C10" s="12" t="inlineStr">
        <is>
          <t>Annex W (BRD-13 Data Migration)</t>
        </is>
      </c>
      <c r="D10" s="12" t="inlineStr">
        <is>
          <t>Users and their group profiles loaded before go-live and at the dress rehearsal (users are not migrated from the legacy systems; loaded by bulk request).</t>
        </is>
      </c>
      <c r="E10" s="12" t="inlineStr">
        <is>
          <t>Data Migration (BRD-13)</t>
        </is>
      </c>
      <c r="F10" s="12" t="inlineStr">
        <is>
          <t>MIG-014 Users migration: Available</t>
        </is>
      </c>
      <c r="G10" s="12" t="inlineStr">
        <is>
          <t>-</t>
        </is>
      </c>
      <c r="H10" s="12" t="inlineStr">
        <is>
          <t>Not a CR</t>
        </is>
      </c>
    </row>
  </sheetData>
  <autoFilter ref="A4:H10"/>
  <mergeCells count="1">
    <mergeCell ref="A2:H2"/>
  </mergeCells>
  <conditionalFormatting sqref="A5:H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&amp;K004EA8CR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70" customWidth="1" min="3" max="3"/>
    <col width="12" customWidth="1" min="4" max="4"/>
    <col width="12" customWidth="1" min="5" max="5"/>
  </cols>
  <sheetData>
    <row r="1" ht="24" customHeight="1">
      <c r="A1" s="18" t="inlineStr">
        <is>
          <t>Best practice (blue)</t>
        </is>
      </c>
    </row>
    <row r="2">
      <c r="A2" s="21" t="inlineStr">
        <is>
          <t>Insurance-broking best practices in no BRD, not in the FRS and not in OOTB (blue, FRS Annex AA.6): recommendations, not commitments</t>
        </is>
      </c>
    </row>
    <row r="3" ht="6" customHeight="1">
      <c r="A3" s="22" t="n"/>
      <c r="B3" s="22" t="n"/>
      <c r="C3" s="22" t="n"/>
      <c r="D3" s="22" t="n"/>
      <c r="E3" s="22" t="n"/>
    </row>
    <row r="4" ht="30" customHeight="1">
      <c r="A4" s="23" t="inlineStr">
        <is>
          <t>ID</t>
        </is>
      </c>
      <c r="B4" s="23" t="inlineStr">
        <is>
          <t>Practice</t>
        </is>
      </c>
      <c r="C4" s="23" t="inlineStr">
        <is>
          <t>Why it matters for a broker</t>
        </is>
      </c>
      <c r="D4" s="23" t="inlineStr">
        <is>
          <t>Suggested priority</t>
        </is>
      </c>
      <c r="E4" s="23" t="inlineStr">
        <is>
          <t>Indicative man-days</t>
        </is>
      </c>
    </row>
    <row r="5">
      <c r="A5" s="34" t="inlineStr">
        <is>
          <t>BP-UA-01</t>
        </is>
      </c>
      <c r="B5" s="34" t="inlineStr">
        <is>
          <t>Monitoring of privileged sessions</t>
        </is>
      </c>
      <c r="C5" s="12" t="inlineStr">
        <is>
          <t>System Administrator and break-glass sessions logged in detail (screens opened, data exported) and reviewed by Information Security; expected by the IC and by the BDO group's IT risk rules for privileged access to client and policy data.</t>
        </is>
      </c>
      <c r="D5" s="12" t="inlineStr">
        <is>
          <t>High</t>
        </is>
      </c>
      <c r="E5" s="12" t="n">
        <v>8</v>
      </c>
    </row>
    <row r="6">
      <c r="A6" s="34" t="inlineStr">
        <is>
          <t>BP-UA-02</t>
        </is>
      </c>
      <c r="B6" s="34" t="inlineStr">
        <is>
          <t>Alert on unusual sign-in</t>
        </is>
      </c>
      <c r="C6" s="12" t="inlineStr">
        <is>
          <t>Sign-in at an unusual hour, from a new device or network, or many failures across users raised to Information Security; early sign of account takeover of client personal data (Data Privacy Act, NPC breach rules).</t>
        </is>
      </c>
      <c r="D6" s="12" t="inlineStr">
        <is>
          <t>Medium</t>
        </is>
      </c>
      <c r="E6" s="12" t="n">
        <v>6</v>
      </c>
    </row>
    <row r="7">
      <c r="A7" s="34" t="inlineStr">
        <is>
          <t>BP-UA-03</t>
        </is>
      </c>
      <c r="B7" s="34" t="inlineStr">
        <is>
          <t>Log of views of sensitive records</t>
        </is>
      </c>
      <c r="C7" s="12" t="inlineStr">
        <is>
          <t>Who viewed (not only changed) the records of PEP, high-risk and claims clients; supports AMLA confidentiality and Data Privacy Act accountability.</t>
        </is>
      </c>
      <c r="D7" s="12" t="inlineStr">
        <is>
          <t>Medium</t>
        </is>
      </c>
      <c r="E7" s="12" t="n">
        <v>6</v>
      </c>
    </row>
    <row r="8">
      <c r="A8" s="34" t="inlineStr">
        <is>
          <t>BP-UA-04</t>
        </is>
      </c>
      <c r="B8" s="34" t="inlineStr">
        <is>
          <t>Joiner-mover-leaver timeliness report</t>
        </is>
      </c>
      <c r="C8" s="12" t="inlineStr">
        <is>
          <t>Time from the UIDM-ISC approval to access given or removed, and leavers still active; evidence for internal audit that leavers lose access the same day.</t>
        </is>
      </c>
      <c r="D8" s="12" t="inlineStr">
        <is>
          <t>Medium</t>
        </is>
      </c>
      <c r="E8" s="12" t="n">
        <v>4</v>
      </c>
    </row>
    <row r="9">
      <c r="A9" s="34" t="inlineStr">
        <is>
          <t>BP-UA-05</t>
        </is>
      </c>
      <c r="B9" s="34" t="inlineStr">
        <is>
          <t>Separation-of-duties what-if check</t>
        </is>
      </c>
      <c r="C9" s="12" t="inlineStr">
        <is>
          <t>Before a request is submitted the requester sees which separation-of-duties rules the new access would break, so conflicts are fixed before approval.</t>
        </is>
      </c>
      <c r="D9" s="12" t="inlineStr">
        <is>
          <t>Low</t>
        </is>
      </c>
      <c r="E9" s="12" t="n">
        <v>4</v>
      </c>
    </row>
    <row r="10">
      <c r="A10" s="34" t="inlineStr">
        <is>
          <t>BP-UA-06</t>
        </is>
      </c>
      <c r="B10" s="34" t="inlineStr">
        <is>
          <t>Generic and shared account register</t>
        </is>
      </c>
      <c r="C10" s="12" t="inlineStr">
        <is>
          <t>Every non-personal account (service, interface, training) with an owner, purpose and review date; a common audit finding in Philippine financial institutions.</t>
        </is>
      </c>
      <c r="D10" s="12" t="inlineStr">
        <is>
          <t>Low</t>
        </is>
      </c>
      <c r="E10" s="12" t="n">
        <v>3</v>
      </c>
    </row>
    <row r="11">
      <c r="A11" s="12" t="inlineStr">
        <is>
          <t>Total</t>
        </is>
      </c>
      <c r="B11" s="12" t="inlineStr">
        <is>
          <t>6 recommendations (indicative, excluded from the CR total)</t>
        </is>
      </c>
      <c r="C11" s="12" t="n"/>
      <c r="D11" s="12" t="n"/>
      <c r="E11" s="12">
        <f>SUM(E5:E10)</f>
        <v/>
      </c>
    </row>
  </sheetData>
  <autoFilter ref="A4:E11"/>
  <mergeCells count="1">
    <mergeCell ref="A2:E2"/>
  </mergeCells>
  <conditionalFormatting sqref="A5:E511">
    <cfRule type="expression" priority="1" dxfId="0">
      <formula>AND(MOD(ROW(),2)=0,$A5&lt;&gt;"")</formula>
    </cfRule>
  </conditionalFormatting>
  <dataValidations count="1">
    <dataValidation sqref="D5:D511" showDropDown="0" showInputMessage="0" showErrorMessage="1" allowBlank="1" errorTitle="Suggested priority" error="Choose a value from the list (Suggested priority)." type="list">
      <formula1>'Lists'!$B$2:$B$4</formula1>
    </dataValidation>
  </dataValidations>
  <printOptions horizontalCentered="1"/>
  <pageMargins left="0.4" right="0.4" top="0.6" bottom="0.6" header="0.5" footer="0.5"/>
  <pageSetup orientation="landscape" paperSize="1" fitToHeight="0" fitToWidth="1"/>
  <headerFooter>
    <oddHeader>&amp;L&amp;8 &amp;K004EA8CR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90" customWidth="1" min="3" max="3"/>
  </cols>
  <sheetData>
    <row r="1" ht="24" customHeight="1">
      <c r="A1" s="18" t="inlineStr">
        <is>
          <t>Assumptions</t>
        </is>
      </c>
    </row>
    <row r="2">
      <c r="A2" s="21" t="inlineStr">
        <is>
          <t>Assumptions of the estimate; enter the day rate in the yellow cell</t>
        </is>
      </c>
    </row>
    <row r="3" ht="6" customHeight="1">
      <c r="A3" s="22" t="n"/>
      <c r="B3" s="22" t="n"/>
      <c r="C3" s="22" t="n"/>
    </row>
    <row r="4" ht="30" customHeight="1">
      <c r="A4" s="23" t="inlineStr">
        <is>
          <t>Assumption</t>
        </is>
      </c>
      <c r="B4" s="23" t="inlineStr">
        <is>
          <t>Value</t>
        </is>
      </c>
      <c r="C4" s="23" t="inlineStr">
        <is>
          <t>Note</t>
        </is>
      </c>
    </row>
    <row r="5">
      <c r="A5" s="12" t="inlineStr">
        <is>
          <t>Man-day</t>
        </is>
      </c>
      <c r="B5" s="12" t="n">
        <v>8</v>
      </c>
      <c r="C5" s="12" t="inlineStr">
        <is>
          <t>Hours of work in one man-day</t>
        </is>
      </c>
    </row>
    <row r="6">
      <c r="A6" s="12" t="inlineStr">
        <is>
          <t>Accuracy of the estimates</t>
        </is>
      </c>
      <c r="B6" s="35" t="n">
        <v>0.2</v>
      </c>
      <c r="C6" s="12" t="inlineStr">
        <is>
          <t>Plus or minus; the Low and High columns use it</t>
        </is>
      </c>
    </row>
    <row r="7">
      <c r="A7" s="12" t="inlineStr">
        <is>
          <t>Day rate</t>
        </is>
      </c>
      <c r="B7" s="36" t="n"/>
      <c r="C7" s="12" t="inlineStr">
        <is>
          <t>Enter the rate of one man-day (currency below); the costs are computed from it</t>
        </is>
      </c>
    </row>
    <row r="8">
      <c r="A8" s="12" t="inlineStr">
        <is>
          <t>Currency</t>
        </is>
      </c>
      <c r="B8" s="12" t="inlineStr"/>
      <c r="C8" s="12" t="inlineStr">
        <is>
          <t>For example PHP</t>
        </is>
      </c>
    </row>
    <row r="9">
      <c r="A9" s="12" t="inlineStr">
        <is>
          <t>Basis</t>
        </is>
      </c>
      <c r="B9" s="12" t="inlineStr"/>
      <c r="C9" s="12" t="inlineStr">
        <is>
          <t>Sized against the iNXT BrokerVerse OOTB platform (repo BDOI-OOTB, branch brokerverse-platform, checked in its code with the Feature List vs OOTB as a cross-check), not against the BIBS system configured for BDOI: a point OOTB offers is not a change request; for a partial point only the missing part is estimated; a change request already available in BIBS (column Already in BIBS?) keeps its effort as the CR value; interfaces and data migration are not change requests (sheet Integration &amp; Data Migration); best practice is indicative and excluded (sheet Best practice (blue)) (sheet Beyond the BRD - OOTB).</t>
        </is>
      </c>
    </row>
    <row r="10">
      <c r="A10" s="12" t="inlineStr">
        <is>
          <t>Activities</t>
        </is>
      </c>
      <c r="B10" s="12" t="inlineStr"/>
      <c r="C10" s="12" t="inlineStr">
        <is>
          <t>Analysis and design (FRS update, rules), backend, frontend (screens), testing (test cases of the RTM, regression of the access functions), documentation and UAT support.</t>
        </is>
      </c>
    </row>
    <row r="11">
      <c r="A11" s="12" t="inlineStr">
        <is>
          <t>Not included</t>
        </is>
      </c>
      <c r="B11" s="12" t="inlineStr"/>
      <c r="C11" s="12" t="inlineStr">
        <is>
          <t>Work of BDOI and BDOI IT (decisions, identity systems, infrastructure), data migration, training beyond the UAT support.</t>
        </is>
      </c>
    </row>
    <row r="12">
      <c r="A12" s="12" t="inlineStr">
        <is>
          <t>Validity</t>
        </is>
      </c>
      <c r="B12" s="12" t="inlineStr"/>
      <c r="C12" s="12" t="inlineStr">
        <is>
          <t>Until the sign-off of the FRS v1.4; re-estimated when the decision of BDOI changes the scope of a change request.</t>
        </is>
      </c>
    </row>
  </sheetData>
  <autoFilter ref="A4:C12"/>
  <mergeCells count="1">
    <mergeCell ref="A2:C2"/>
  </mergeCells>
  <conditionalFormatting sqref="A5:C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&amp;K004EA8CR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B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37" t="inlineStr">
        <is>
          <t>Complexity</t>
        </is>
      </c>
      <c r="B1" s="37" t="inlineStr">
        <is>
          <t>Priority</t>
        </is>
      </c>
    </row>
    <row r="2">
      <c r="A2" s="38" t="inlineStr">
        <is>
          <t>Low</t>
        </is>
      </c>
      <c r="B2" s="38" t="inlineStr">
        <is>
          <t>High</t>
        </is>
      </c>
    </row>
    <row r="3">
      <c r="A3" s="38" t="inlineStr">
        <is>
          <t>Medium</t>
        </is>
      </c>
      <c r="B3" s="38" t="inlineStr">
        <is>
          <t>Medium</t>
        </is>
      </c>
    </row>
    <row r="4">
      <c r="A4" s="38" t="inlineStr">
        <is>
          <t>High</t>
        </is>
      </c>
      <c r="B4" s="38" t="inlineStr">
        <is>
          <t>Low</t>
        </is>
      </c>
    </row>
  </sheetData>
  <printOptions horizontalCentered="1"/>
  <pageMargins left="0.4" right="0.4" top="0.6" bottom="0.6" header="0.5" footer="0.5"/>
  <pageSetup orientation="landscape" paperSize="1" fitToHeight="0" fitToWidth="1"/>
  <headerFooter>
    <oddHeader>&amp;L&amp;8 &amp;K004EA8CR Effort Estimate&amp;R&amp;8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CR Effort Estimate</dc:title>
  <dc:subject xmlns:dc="http://purl.org/dc/elements/1.1/">BIBS – BDOI Broker System</dc:subject>
  <dcterms:created xmlns:dcterms="http://purl.org/dc/terms/" xmlns:xsi="http://www.w3.org/2001/XMLSchema-instance" xsi:type="dcterms:W3CDTF">2026-10-11T14:51:16Z</dcterms:created>
  <dcterms:modified xmlns:dcterms="http://purl.org/dc/terms/" xmlns:xsi="http://www.w3.org/2001/XMLSchema-instance" xsi:type="dcterms:W3CDTF">2026-10-11T14:51:16Z</dcterms:modified>
  <cp:keywords>Change requests - effort, BRD-11, BIBS, BDOI</cp:keywords>
</cp:coreProperties>
</file>