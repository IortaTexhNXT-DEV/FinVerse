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items to deliver" sheetId="6" state="visible" r:id="rId6"/>
    <sheet xmlns:r="http://schemas.openxmlformats.org/officeDocument/2006/relationships" name="Assumptions" sheetId="7" state="visible" r:id="rId7"/>
    <sheet xmlns:r="http://schemas.openxmlformats.org/officeDocument/2006/relationships" name="Lists" sheetId="8" state="visible" r:id="rId8"/>
  </sheets>
  <definedNames>
    <definedName name="DayRate">Assumptions!$B$7</definedName>
    <definedName name="Accuracy">Assumptions!$B$6</definedName>
    <definedName name="_xlnm._FilterDatabase" localSheetId="1" hidden="1">'README'!$A$4:$D$52</definedName>
    <definedName name="_xlnm.Print_Titles" localSheetId="1">'README'!$4:$4</definedName>
    <definedName name="_xlnm._FilterDatabase" localSheetId="2" hidden="1">'Summary'!$A$4:$F$11</definedName>
    <definedName name="_xlnm.Print_Titles" localSheetId="2">'Summary'!$4:$4</definedName>
    <definedName name="_xlnm._FilterDatabase" localSheetId="3" hidden="1">'CR Effort'!$A$4:$U$9</definedName>
    <definedName name="_xlnm.Print_Titles" localSheetId="3">'CR Effort'!$4:$4</definedName>
    <definedName name="_xlnm._FilterDatabase" localSheetId="4" hidden="1">'Beyond the BRD - OOTB'!$A$4:$H$17</definedName>
    <definedName name="_xlnm.Print_Titles" localSheetId="4">'Beyond the BRD - OOTB'!$4:$4</definedName>
    <definedName name="_xlnm._FilterDatabase" localSheetId="5" hidden="1">'BRD items to deliver'!$A$4:$J$7</definedName>
    <definedName name="_xlnm.Print_Titles" localSheetId="5">'BRD items to deliver'!$4:$4</definedName>
    <definedName name="_xlnm._FilterDatabase" localSheetId="6" hidden="1">'Assumptions'!$A$4:$C$12</definedName>
    <definedName name="_xlnm.Print_Titles" localSheetId="6">'Assumptions'!$4:$4</definedName>
    <definedName name="_xlnm.Print_Titles" localSheetId="7">'Lists'!$1:$1</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font>
    <font>
      <name val="Arial"/>
      <b val="1"/>
      <color rgb="00E65100"/>
    </font>
    <font>
      <name val="Arial"/>
      <b val="1"/>
      <color rgb="002E7D32"/>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6">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7">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2" pivotButton="0" quotePrefix="0" xfId="0"/>
    <xf numFmtId="0" fontId="8" fillId="0" borderId="2" applyAlignment="1" pivotButton="0" quotePrefix="0" xfId="0">
      <alignment vertical="top" wrapText="1"/>
    </xf>
    <xf numFmtId="0" fontId="4" fillId="0" borderId="2" applyAlignment="1" pivotButton="0" quotePrefix="0" xfId="0">
      <alignment vertical="top" wrapText="1"/>
    </xf>
    <xf numFmtId="0" fontId="8" fillId="4" borderId="2" applyAlignment="1" pivotButton="0" quotePrefix="0" xfId="0">
      <alignment vertical="top" wrapText="1"/>
    </xf>
    <xf numFmtId="0" fontId="4" fillId="4" borderId="2" applyAlignment="1" pivotButton="0" quotePrefix="0" xfId="0">
      <alignment vertical="top" wrapText="1"/>
    </xf>
    <xf numFmtId="0" fontId="16" fillId="5"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16" fillId="0" borderId="2" applyAlignment="1" pivotButton="0" quotePrefix="0" xfId="0">
      <alignment vertical="top" wrapText="1"/>
    </xf>
    <xf numFmtId="0" fontId="16"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4" fontId="4" fillId="0" borderId="2" applyAlignment="1" pivotButton="0" quotePrefix="0" xfId="0">
      <alignment vertical="top" wrapText="1"/>
    </xf>
    <xf numFmtId="0" fontId="5" fillId="0" borderId="2" applyAlignment="1" pivotButton="0" quotePrefix="0" xfId="0">
      <alignment vertical="top" wrapText="1"/>
    </xf>
    <xf numFmtId="164" fontId="5" fillId="0" borderId="2" applyAlignment="1" pivotButton="0" quotePrefix="0" xfId="0">
      <alignment vertical="top" wrapText="1"/>
    </xf>
    <xf numFmtId="4" fontId="5" fillId="0" borderId="2" applyAlignment="1" pivotButton="0" quotePrefix="0" xfId="0">
      <alignment vertical="top" wrapText="1"/>
    </xf>
    <xf numFmtId="0" fontId="6" fillId="0" borderId="2" applyAlignment="1" pivotButton="0" quotePrefix="0" xfId="0">
      <alignment vertical="top" wrapText="1"/>
    </xf>
    <xf numFmtId="164" fontId="4" fillId="0" borderId="2" applyAlignment="1" pivotButton="0" quotePrefix="0" xfId="0">
      <alignment vertical="top"/>
    </xf>
    <xf numFmtId="164" fontId="5" fillId="0" borderId="2" applyAlignment="1" pivotButton="0" quotePrefix="0" xfId="0">
      <alignment vertical="top"/>
    </xf>
    <xf numFmtId="0" fontId="7" fillId="0" borderId="2" applyAlignment="1" pivotButton="0" quotePrefix="0" xfId="0">
      <alignment vertical="top" wrapText="1"/>
    </xf>
    <xf numFmtId="9" fontId="4" fillId="0" borderId="2" applyAlignment="1" pivotButton="0" quotePrefix="0" xfId="0">
      <alignment vertical="top" wrapText="1"/>
    </xf>
    <xf numFmtId="4" fontId="4" fillId="3"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items to deliver'!A1" TargetMode="External" Id="rId5"/><Relationship Type="http://schemas.openxmlformats.org/officeDocument/2006/relationships/hyperlink" Target="#'Assumptions'!A1" TargetMode="External" Id="rId6"/><Relationship Type="http://schemas.openxmlformats.org/officeDocument/2006/relationships/drawing" Target="/xl/drawings/drawing1.xml" Id="rId7"/></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REQUESTS - EFFORT</t>
        </is>
      </c>
    </row>
    <row r="7" ht="32" customHeight="1">
      <c r="B7" s="3" t="inlineStr">
        <is>
          <t>CR Effort Estimate</t>
        </is>
      </c>
    </row>
    <row r="8">
      <c r="B8" s="4" t="inlineStr">
        <is>
          <t>BRD-11 User Access Maintenance - change requests of the FRS v1.4 with their effort</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change requests of BRD-11 (FRS v1.4, Annex AA.2); figures by formula</t>
        </is>
      </c>
      <c r="D21" s="14" t="n">
        <v>7</v>
      </c>
    </row>
    <row r="22">
      <c r="B22" s="11" t="inlineStr">
        <is>
          <t>CR Effort</t>
        </is>
      </c>
      <c r="C22" s="12" t="inlineStr">
        <is>
          <t>One row per change request (orange point of the FRS v1.4); man-days of 8 hours, +-20%</t>
        </is>
      </c>
      <c r="D22" s="12" t="n">
        <v>5</v>
      </c>
    </row>
    <row r="23">
      <c r="B23" s="13" t="inlineStr">
        <is>
          <t>Beyond the BRD - OOTB</t>
        </is>
      </c>
      <c r="C23" s="14" t="inlineStr">
        <is>
          <t>Points of the FRS v1.4 that no BRD asks for and the standard system offers (green): no cost</t>
        </is>
      </c>
      <c r="D23" s="14" t="n">
        <v>13</v>
      </c>
    </row>
    <row r="24">
      <c r="B24" s="11" t="inlineStr">
        <is>
          <t>BRD items to deliver</t>
        </is>
      </c>
      <c r="C24" s="12" t="inlineStr">
        <is>
          <t>BRD requirements found in the validation of the FRS v1.4 (Annex X.2, AA.4): in scope, for planning</t>
        </is>
      </c>
      <c r="D24" s="12" t="n">
        <v>3</v>
      </c>
    </row>
    <row r="25">
      <c r="B25" s="13" t="inlineStr">
        <is>
          <t>Assumptions</t>
        </is>
      </c>
      <c r="C25" s="14" t="inlineStr">
        <is>
          <t>Assumptions of the estimate; enter the day rate in the yellow cell</t>
        </is>
      </c>
      <c r="D25" s="14" t="n">
        <v>8</v>
      </c>
    </row>
    <row r="27">
      <c r="B27" s="9" t="inlineStr">
        <is>
          <t>Legend</t>
        </is>
      </c>
    </row>
    <row r="28">
      <c r="B28" s="15" t="inlineStr">
        <is>
          <t>Change request</t>
        </is>
      </c>
      <c r="C28" s="16" t="inlineStr">
        <is>
          <t>In no BRD and not offered by the standard system (orange in the FRS)</t>
        </is>
      </c>
    </row>
    <row r="29">
      <c r="B29" s="15" t="inlineStr">
        <is>
          <t>Offered as standard</t>
        </is>
      </c>
      <c r="C29" s="16" t="inlineStr">
        <is>
          <t>Not in the BRD, offered by the standard system at no cost (green in the FRS)</t>
        </is>
      </c>
    </row>
    <row r="30">
      <c r="B30" s="15" t="inlineStr">
        <is>
          <t>BRD requirement</t>
        </is>
      </c>
      <c r="C30" s="16" t="inlineStr">
        <is>
          <t>In scope; delivered without a change request (black in the FRS)</t>
        </is>
      </c>
    </row>
    <row r="33" ht="26" customHeight="1">
      <c r="B33"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s>
  <printOptions horizontalCentered="1"/>
  <pageMargins left="0.4" right="0.4" top="0.6" bottom="0.6" header="0.5" footer="0.5"/>
  <pageSetup orientation="portrait"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7"/>
</worksheet>
</file>

<file path=xl/worksheets/sheet2.xml><?xml version="1.0" encoding="utf-8"?>
<worksheet xmlns="http://schemas.openxmlformats.org/spreadsheetml/2006/main">
  <sheetPr>
    <outlinePr summaryBelow="1" summaryRight="1"/>
    <pageSetUpPr fitToPage="1"/>
  </sheetPr>
  <dimension ref="A1:D5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CR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Item</t>
        </is>
      </c>
      <c r="C5" s="12" t="inlineStr">
        <is>
          <t>Change request or group</t>
        </is>
      </c>
      <c r="D5" s="12" t="inlineStr"/>
    </row>
    <row r="6">
      <c r="A6" s="14" t="inlineStr">
        <is>
          <t>Summary</t>
        </is>
      </c>
      <c r="B6" s="20" t="inlineStr">
        <is>
          <t>Man-days</t>
        </is>
      </c>
      <c r="C6" s="14" t="inlineStr">
        <is>
          <t>Total effort (8-hour days)</t>
        </is>
      </c>
      <c r="D6" s="14" t="inlineStr"/>
    </row>
    <row r="7">
      <c r="A7" s="12" t="inlineStr">
        <is>
          <t>Summary</t>
        </is>
      </c>
      <c r="B7" s="19" t="inlineStr">
        <is>
          <t>Low (-20%)</t>
        </is>
      </c>
      <c r="C7" s="12" t="inlineStr">
        <is>
          <t>Lower end of the range</t>
        </is>
      </c>
      <c r="D7" s="12" t="inlineStr"/>
    </row>
    <row r="8">
      <c r="A8" s="14" t="inlineStr">
        <is>
          <t>Summary</t>
        </is>
      </c>
      <c r="B8" s="20" t="inlineStr">
        <is>
          <t>High (+20%)</t>
        </is>
      </c>
      <c r="C8" s="14" t="inlineStr">
        <is>
          <t>Upper end of the range</t>
        </is>
      </c>
      <c r="D8" s="14" t="inlineStr"/>
    </row>
    <row r="9">
      <c r="A9" s="12" t="inlineStr">
        <is>
          <t>Summary</t>
        </is>
      </c>
      <c r="B9" s="19" t="inlineStr">
        <is>
          <t>Cost</t>
        </is>
      </c>
      <c r="C9" s="12" t="inlineStr">
        <is>
          <t>Man-days x day rate (sheet Assumptions)</t>
        </is>
      </c>
      <c r="D9" s="12" t="inlineStr"/>
    </row>
    <row r="10">
      <c r="A10" s="14" t="inlineStr">
        <is>
          <t>Summary</t>
        </is>
      </c>
      <c r="B10" s="20" t="inlineStr">
        <is>
          <t>Note</t>
        </is>
      </c>
      <c r="C10" s="14" t="inlineStr"/>
      <c r="D10" s="14" t="inlineStr"/>
    </row>
    <row r="11">
      <c r="A11" s="12" t="inlineStr">
        <is>
          <t>CR Effort</t>
        </is>
      </c>
      <c r="B11" s="19" t="inlineStr">
        <is>
          <t>CR No.</t>
        </is>
      </c>
      <c r="C11" s="12" t="inlineStr">
        <is>
          <t>Change request number (Change Request Register)</t>
        </is>
      </c>
      <c r="D11" s="12" t="inlineStr"/>
    </row>
    <row r="12">
      <c r="A12" s="14" t="inlineStr">
        <is>
          <t>CR Effort</t>
        </is>
      </c>
      <c r="B12" s="20" t="inlineStr">
        <is>
          <t>Title</t>
        </is>
      </c>
      <c r="C12" s="14" t="inlineStr"/>
      <c r="D12" s="14" t="inlineStr"/>
    </row>
    <row r="13">
      <c r="A13" s="12" t="inlineStr">
        <is>
          <t>CR Effort</t>
        </is>
      </c>
      <c r="B13" s="19" t="inlineStr">
        <is>
          <t>FRS reference</t>
        </is>
      </c>
      <c r="C13" s="12" t="inlineStr">
        <is>
          <t>FR item or annex of the FRS v1.4</t>
        </is>
      </c>
      <c r="D13" s="12" t="inlineStr"/>
    </row>
    <row r="14">
      <c r="A14" s="14" t="inlineStr">
        <is>
          <t>CR Effort</t>
        </is>
      </c>
      <c r="B14" s="20" t="inlineStr">
        <is>
          <t>BRD reference</t>
        </is>
      </c>
      <c r="C14" s="14" t="inlineStr">
        <is>
          <t>'Not in BRD' for every change request</t>
        </is>
      </c>
      <c r="D14" s="14" t="inlineStr"/>
    </row>
    <row r="15">
      <c r="A15" s="12" t="inlineStr">
        <is>
          <t>CR Effort</t>
        </is>
      </c>
      <c r="B15" s="19" t="inlineStr">
        <is>
          <t>Source</t>
        </is>
      </c>
      <c r="C15" s="12" t="inlineStr">
        <is>
          <t>BDOI FRS v1.1 / best practice / iorta TechNXT</t>
        </is>
      </c>
      <c r="D15" s="12" t="inlineStr"/>
    </row>
    <row r="16">
      <c r="A16" s="14" t="inlineStr">
        <is>
          <t>CR Effort</t>
        </is>
      </c>
      <c r="B16" s="20" t="inlineStr">
        <is>
          <t>Why needed</t>
        </is>
      </c>
      <c r="C16" s="14" t="inlineStr"/>
      <c r="D16" s="14" t="inlineStr"/>
    </row>
    <row r="17">
      <c r="A17" s="12" t="inlineStr">
        <is>
          <t>CR Effort</t>
        </is>
      </c>
      <c r="B17" s="19" t="inlineStr">
        <is>
          <t>OOTB status</t>
        </is>
      </c>
      <c r="C17" s="12" t="inlineStr">
        <is>
          <t>What the standard system offers today</t>
        </is>
      </c>
      <c r="D17" s="12" t="inlineStr"/>
    </row>
    <row r="18">
      <c r="A18" s="14" t="inlineStr">
        <is>
          <t>CR Effort</t>
        </is>
      </c>
      <c r="B18" s="20" t="inlineStr">
        <is>
          <t>Scope of the change</t>
        </is>
      </c>
      <c r="C18" s="14" t="inlineStr"/>
      <c r="D18" s="14" t="inlineStr"/>
    </row>
    <row r="19">
      <c r="A19" s="12" t="inlineStr">
        <is>
          <t>CR Effort</t>
        </is>
      </c>
      <c r="B19" s="19" t="inlineStr">
        <is>
          <t>Analysis and design</t>
        </is>
      </c>
      <c r="C19" s="12" t="inlineStr">
        <is>
          <t>Man-days</t>
        </is>
      </c>
      <c r="D19" s="12" t="inlineStr"/>
    </row>
    <row r="20">
      <c r="A20" s="14" t="inlineStr">
        <is>
          <t>CR Effort</t>
        </is>
      </c>
      <c r="B20" s="20" t="inlineStr">
        <is>
          <t>Backend</t>
        </is>
      </c>
      <c r="C20" s="14" t="inlineStr">
        <is>
          <t>Man-days</t>
        </is>
      </c>
      <c r="D20" s="14" t="inlineStr"/>
    </row>
    <row r="21">
      <c r="A21" s="12" t="inlineStr">
        <is>
          <t>CR Effort</t>
        </is>
      </c>
      <c r="B21" s="19" t="inlineStr">
        <is>
          <t>Frontend</t>
        </is>
      </c>
      <c r="C21" s="12" t="inlineStr">
        <is>
          <t>Man-days</t>
        </is>
      </c>
      <c r="D21" s="12" t="inlineStr"/>
    </row>
    <row r="22">
      <c r="A22" s="14" t="inlineStr">
        <is>
          <t>CR Effort</t>
        </is>
      </c>
      <c r="B22" s="20" t="inlineStr">
        <is>
          <t>Testing</t>
        </is>
      </c>
      <c r="C22" s="14" t="inlineStr">
        <is>
          <t>Man-days</t>
        </is>
      </c>
      <c r="D22" s="14" t="inlineStr"/>
    </row>
    <row r="23">
      <c r="A23" s="12" t="inlineStr">
        <is>
          <t>CR Effort</t>
        </is>
      </c>
      <c r="B23" s="19" t="inlineStr">
        <is>
          <t>Documentation and UAT support</t>
        </is>
      </c>
      <c r="C23" s="12" t="inlineStr">
        <is>
          <t>Man-days</t>
        </is>
      </c>
      <c r="D23" s="12" t="inlineStr"/>
    </row>
    <row r="24">
      <c r="A24" s="14" t="inlineStr">
        <is>
          <t>CR Effort</t>
        </is>
      </c>
      <c r="B24" s="20" t="inlineStr">
        <is>
          <t>Total man-days</t>
        </is>
      </c>
      <c r="C24" s="14" t="inlineStr">
        <is>
          <t>Formula</t>
        </is>
      </c>
      <c r="D24" s="14" t="inlineStr"/>
    </row>
    <row r="25">
      <c r="A25" s="12" t="inlineStr">
        <is>
          <t>CR Effort</t>
        </is>
      </c>
      <c r="B25" s="19" t="inlineStr">
        <is>
          <t>Low (-20%)</t>
        </is>
      </c>
      <c r="C25" s="12" t="inlineStr">
        <is>
          <t>Formula</t>
        </is>
      </c>
      <c r="D25" s="12" t="inlineStr"/>
    </row>
    <row r="26">
      <c r="A26" s="14" t="inlineStr">
        <is>
          <t>CR Effort</t>
        </is>
      </c>
      <c r="B26" s="20" t="inlineStr">
        <is>
          <t>High (+20%)</t>
        </is>
      </c>
      <c r="C26" s="14" t="inlineStr">
        <is>
          <t>Formula</t>
        </is>
      </c>
      <c r="D26" s="14" t="inlineStr"/>
    </row>
    <row r="27">
      <c r="A27" s="12" t="inlineStr">
        <is>
          <t>CR Effort</t>
        </is>
      </c>
      <c r="B27" s="19" t="inlineStr">
        <is>
          <t>Complexity</t>
        </is>
      </c>
      <c r="C27" s="12" t="inlineStr"/>
      <c r="D27" s="12" t="inlineStr">
        <is>
          <t>Low, Medium, High</t>
        </is>
      </c>
    </row>
    <row r="28">
      <c r="A28" s="14" t="inlineStr">
        <is>
          <t>CR Effort</t>
        </is>
      </c>
      <c r="B28" s="20" t="inlineStr">
        <is>
          <t>Priority</t>
        </is>
      </c>
      <c r="C28" s="14" t="inlineStr"/>
      <c r="D28" s="14" t="inlineStr">
        <is>
          <t>High, Medium, Low</t>
        </is>
      </c>
    </row>
    <row r="29">
      <c r="A29" s="12" t="inlineStr">
        <is>
          <t>CR Effort</t>
        </is>
      </c>
      <c r="B29" s="19" t="inlineStr">
        <is>
          <t>Dependencies</t>
        </is>
      </c>
      <c r="C29" s="12" t="inlineStr"/>
      <c r="D29" s="12" t="inlineStr"/>
    </row>
    <row r="30">
      <c r="A30" s="14" t="inlineStr">
        <is>
          <t>CR Effort</t>
        </is>
      </c>
      <c r="B30" s="20" t="inlineStr">
        <is>
          <t>Assumptions</t>
        </is>
      </c>
      <c r="C30" s="14" t="inlineStr"/>
      <c r="D30" s="14" t="inlineStr"/>
    </row>
    <row r="31">
      <c r="A31" s="12" t="inlineStr">
        <is>
          <t>CR Effort</t>
        </is>
      </c>
      <c r="B31" s="19" t="inlineStr">
        <is>
          <t>Cost</t>
        </is>
      </c>
      <c r="C31" s="12" t="inlineStr">
        <is>
          <t>Total man-days x day rate</t>
        </is>
      </c>
      <c r="D31" s="12" t="inlineStr"/>
    </row>
    <row r="32">
      <c r="A32" s="14" t="inlineStr">
        <is>
          <t>Beyond the BRD - OOTB</t>
        </is>
      </c>
      <c r="B32" s="20" t="inlineStr">
        <is>
          <t>No.</t>
        </is>
      </c>
      <c r="C32" s="14" t="inlineStr">
        <is>
          <t>OB-UA-nn</t>
        </is>
      </c>
      <c r="D32" s="14" t="inlineStr"/>
    </row>
    <row r="33">
      <c r="A33" s="12" t="inlineStr">
        <is>
          <t>Beyond the BRD - OOTB</t>
        </is>
      </c>
      <c r="B33" s="19" t="inlineStr">
        <is>
          <t>Point</t>
        </is>
      </c>
      <c r="C33" s="12" t="inlineStr"/>
      <c r="D33" s="12" t="inlineStr"/>
    </row>
    <row r="34">
      <c r="A34" s="14" t="inlineStr">
        <is>
          <t>Beyond the BRD - OOTB</t>
        </is>
      </c>
      <c r="B34" s="20" t="inlineStr">
        <is>
          <t>FRS reference</t>
        </is>
      </c>
      <c r="C34" s="14" t="inlineStr"/>
      <c r="D34" s="14" t="inlineStr"/>
    </row>
    <row r="35">
      <c r="A35" s="12" t="inlineStr">
        <is>
          <t>Beyond the BRD - OOTB</t>
        </is>
      </c>
      <c r="B35" s="19" t="inlineStr">
        <is>
          <t>BRD reference</t>
        </is>
      </c>
      <c r="C35" s="12" t="inlineStr"/>
      <c r="D35" s="12" t="inlineStr"/>
    </row>
    <row r="36">
      <c r="A36" s="14" t="inlineStr">
        <is>
          <t>Beyond the BRD - OOTB</t>
        </is>
      </c>
      <c r="B36" s="20" t="inlineStr">
        <is>
          <t>What BDOI gets</t>
        </is>
      </c>
      <c r="C36" s="14" t="inlineStr"/>
      <c r="D36" s="14" t="inlineStr"/>
    </row>
    <row r="37">
      <c r="A37" s="12" t="inlineStr">
        <is>
          <t>Beyond the BRD - OOTB</t>
        </is>
      </c>
      <c r="B37" s="19" t="inlineStr">
        <is>
          <t>OOTB status</t>
        </is>
      </c>
      <c r="C37" s="12" t="inlineStr"/>
      <c r="D37" s="12" t="inlineStr"/>
    </row>
    <row r="38">
      <c r="A38" s="14" t="inlineStr">
        <is>
          <t>Beyond the BRD - OOTB</t>
        </is>
      </c>
      <c r="B38" s="20" t="inlineStr">
        <is>
          <t>Cost (man-days)</t>
        </is>
      </c>
      <c r="C38" s="14" t="inlineStr">
        <is>
          <t>No change request</t>
        </is>
      </c>
      <c r="D38" s="14" t="inlineStr"/>
    </row>
    <row r="39">
      <c r="A39" s="12" t="inlineStr">
        <is>
          <t>Beyond the BRD - OOTB</t>
        </is>
      </c>
      <c r="B39" s="19" t="inlineStr">
        <is>
          <t>Note</t>
        </is>
      </c>
      <c r="C39" s="12" t="inlineStr">
        <is>
          <t>Former change request number, BRD it extends</t>
        </is>
      </c>
      <c r="D39" s="12" t="inlineStr"/>
    </row>
    <row r="40">
      <c r="A40" s="14" t="inlineStr">
        <is>
          <t>BRD items to deliver</t>
        </is>
      </c>
      <c r="B40" s="20" t="inlineStr">
        <is>
          <t>No.</t>
        </is>
      </c>
      <c r="C40" s="14" t="inlineStr"/>
      <c r="D40" s="14" t="inlineStr"/>
    </row>
    <row r="41">
      <c r="A41" s="12" t="inlineStr">
        <is>
          <t>BRD items to deliver</t>
        </is>
      </c>
      <c r="B41" s="19" t="inlineStr">
        <is>
          <t>Item</t>
        </is>
      </c>
      <c r="C41" s="12" t="inlineStr"/>
      <c r="D41" s="12" t="inlineStr"/>
    </row>
    <row r="42">
      <c r="A42" s="14" t="inlineStr">
        <is>
          <t>BRD items to deliver</t>
        </is>
      </c>
      <c r="B42" s="20" t="inlineStr">
        <is>
          <t>BRD reference</t>
        </is>
      </c>
      <c r="C42" s="14" t="inlineStr"/>
      <c r="D42" s="14" t="inlineStr"/>
    </row>
    <row r="43">
      <c r="A43" s="12" t="inlineStr">
        <is>
          <t>BRD items to deliver</t>
        </is>
      </c>
      <c r="B43" s="19" t="inlineStr">
        <is>
          <t>FRS reference</t>
        </is>
      </c>
      <c r="C43" s="12" t="inlineStr"/>
      <c r="D43" s="12" t="inlineStr"/>
    </row>
    <row r="44">
      <c r="A44" s="14" t="inlineStr">
        <is>
          <t>BRD items to deliver</t>
        </is>
      </c>
      <c r="B44" s="20" t="inlineStr">
        <is>
          <t>What is delivered</t>
        </is>
      </c>
      <c r="C44" s="14" t="inlineStr"/>
      <c r="D44" s="14" t="inlineStr"/>
    </row>
    <row r="45">
      <c r="A45" s="12" t="inlineStr">
        <is>
          <t>BRD items to deliver</t>
        </is>
      </c>
      <c r="B45" s="19" t="inlineStr">
        <is>
          <t>Analysis and design</t>
        </is>
      </c>
      <c r="C45" s="12" t="inlineStr">
        <is>
          <t>Man-days</t>
        </is>
      </c>
      <c r="D45" s="12" t="inlineStr"/>
    </row>
    <row r="46">
      <c r="A46" s="14" t="inlineStr">
        <is>
          <t>BRD items to deliver</t>
        </is>
      </c>
      <c r="B46" s="20" t="inlineStr">
        <is>
          <t>Backend and frontend</t>
        </is>
      </c>
      <c r="C46" s="14" t="inlineStr">
        <is>
          <t>Man-days</t>
        </is>
      </c>
      <c r="D46" s="14" t="inlineStr"/>
    </row>
    <row r="47">
      <c r="A47" s="12" t="inlineStr">
        <is>
          <t>BRD items to deliver</t>
        </is>
      </c>
      <c r="B47" s="19" t="inlineStr">
        <is>
          <t>Testing and UAT support</t>
        </is>
      </c>
      <c r="C47" s="12" t="inlineStr">
        <is>
          <t>Man-days</t>
        </is>
      </c>
      <c r="D47" s="12" t="inlineStr"/>
    </row>
    <row r="48">
      <c r="A48" s="14" t="inlineStr">
        <is>
          <t>BRD items to deliver</t>
        </is>
      </c>
      <c r="B48" s="20" t="inlineStr">
        <is>
          <t>Total man-days</t>
        </is>
      </c>
      <c r="C48" s="14" t="inlineStr">
        <is>
          <t>Formula</t>
        </is>
      </c>
      <c r="D48" s="14" t="inlineStr"/>
    </row>
    <row r="49">
      <c r="A49" s="12" t="inlineStr">
        <is>
          <t>BRD items to deliver</t>
        </is>
      </c>
      <c r="B49" s="19" t="inlineStr">
        <is>
          <t>Cost</t>
        </is>
      </c>
      <c r="C49" s="12" t="inlineStr">
        <is>
          <t>In scope</t>
        </is>
      </c>
      <c r="D49" s="12" t="inlineStr"/>
    </row>
    <row r="50">
      <c r="A50" s="14" t="inlineStr">
        <is>
          <t>Assumptions</t>
        </is>
      </c>
      <c r="B50" s="20" t="inlineStr">
        <is>
          <t>Assumption</t>
        </is>
      </c>
      <c r="C50" s="14" t="inlineStr"/>
      <c r="D50" s="14" t="inlineStr"/>
    </row>
    <row r="51">
      <c r="A51" s="12" t="inlineStr">
        <is>
          <t>Assumptions</t>
        </is>
      </c>
      <c r="B51" s="19" t="inlineStr">
        <is>
          <t>Value</t>
        </is>
      </c>
      <c r="C51" s="12" t="inlineStr">
        <is>
          <t>Enter the day rate here</t>
        </is>
      </c>
      <c r="D51" s="12" t="inlineStr"/>
    </row>
    <row r="52">
      <c r="A52" s="14" t="inlineStr">
        <is>
          <t>Assumptions</t>
        </is>
      </c>
      <c r="B52" s="20" t="inlineStr">
        <is>
          <t>Note</t>
        </is>
      </c>
      <c r="C52" s="14" t="inlineStr"/>
      <c r="D52" s="14" t="inlineStr"/>
    </row>
  </sheetData>
  <autoFilter ref="A4:D52"/>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6" customWidth="1" min="5" max="5"/>
    <col width="50" customWidth="1" min="6" max="6"/>
  </cols>
  <sheetData>
    <row r="1" ht="24" customHeight="1">
      <c r="A1" s="18" t="inlineStr">
        <is>
          <t>Summary</t>
        </is>
      </c>
    </row>
    <row r="2">
      <c r="A2" s="21" t="inlineStr">
        <is>
          <t>Totals of the change requests of BRD-11 (FRS v1.4, Annex AA.2); figures by formula</t>
        </is>
      </c>
    </row>
    <row r="3" ht="6" customHeight="1">
      <c r="A3" s="22" t="n"/>
      <c r="B3" s="22" t="n"/>
      <c r="C3" s="22" t="n"/>
      <c r="D3" s="22" t="n"/>
      <c r="E3" s="22" t="n"/>
      <c r="F3" s="22" t="n"/>
    </row>
    <row r="4" ht="30" customHeight="1">
      <c r="A4" s="23" t="inlineStr">
        <is>
          <t>Item</t>
        </is>
      </c>
      <c r="B4" s="23" t="inlineStr">
        <is>
          <t>Man-days</t>
        </is>
      </c>
      <c r="C4" s="23" t="inlineStr">
        <is>
          <t>Low (-20%)</t>
        </is>
      </c>
      <c r="D4" s="23" t="inlineStr">
        <is>
          <t>High (+20%)</t>
        </is>
      </c>
      <c r="E4" s="23" t="inlineStr">
        <is>
          <t>Cost</t>
        </is>
      </c>
      <c r="F4" s="23" t="inlineStr">
        <is>
          <t>Note</t>
        </is>
      </c>
    </row>
    <row r="5">
      <c r="A5" s="12" t="inlineStr">
        <is>
          <t>CR-UA-007 Supervisory and record-ownership access</t>
        </is>
      </c>
      <c r="B5" s="24">
        <f>'CR Effort'!N5</f>
        <v/>
      </c>
      <c r="C5" s="24">
        <f>'CR Effort'!O5</f>
        <v/>
      </c>
      <c r="D5" s="24">
        <f>'CR Effort'!P5</f>
        <v/>
      </c>
      <c r="E5" s="25">
        <f>'CR Effort'!U5</f>
        <v/>
      </c>
      <c r="F5" s="12" t="inlineStr">
        <is>
          <t>Medium priority; High complexity</t>
        </is>
      </c>
    </row>
    <row r="6">
      <c r="A6" s="12" t="inlineStr">
        <is>
          <t>CR-UA-011 Approval times, reminders and escalation</t>
        </is>
      </c>
      <c r="B6" s="24">
        <f>'CR Effort'!N6</f>
        <v/>
      </c>
      <c r="C6" s="24">
        <f>'CR Effort'!O6</f>
        <v/>
      </c>
      <c r="D6" s="24">
        <f>'CR Effort'!P6</f>
        <v/>
      </c>
      <c r="E6" s="25">
        <f>'CR Effort'!U6</f>
        <v/>
      </c>
      <c r="F6" s="12" t="inlineStr">
        <is>
          <t>Medium priority; Medium complexity</t>
        </is>
      </c>
    </row>
    <row r="7">
      <c r="A7" s="12" t="inlineStr">
        <is>
          <t>CR-UA-012 Monthly access review report to Information Security</t>
        </is>
      </c>
      <c r="B7" s="24">
        <f>'CR Effort'!N7</f>
        <v/>
      </c>
      <c r="C7" s="24">
        <f>'CR Effort'!O7</f>
        <v/>
      </c>
      <c r="D7" s="24">
        <f>'CR Effort'!P7</f>
        <v/>
      </c>
      <c r="E7" s="25">
        <f>'CR Effort'!U7</f>
        <v/>
      </c>
      <c r="F7" s="12" t="inlineStr">
        <is>
          <t>Low priority; Low complexity</t>
        </is>
      </c>
    </row>
    <row r="8">
      <c r="A8" s="12" t="inlineStr">
        <is>
          <t>CR-UA-014 Temporary access with an end date</t>
        </is>
      </c>
      <c r="B8" s="24">
        <f>'CR Effort'!N8</f>
        <v/>
      </c>
      <c r="C8" s="24">
        <f>'CR Effort'!O8</f>
        <v/>
      </c>
      <c r="D8" s="24">
        <f>'CR Effort'!P8</f>
        <v/>
      </c>
      <c r="E8" s="25">
        <f>'CR Effort'!U8</f>
        <v/>
      </c>
      <c r="F8" s="12" t="inlineStr">
        <is>
          <t>Low priority; Medium complexity</t>
        </is>
      </c>
    </row>
    <row r="9">
      <c r="A9" s="26" t="inlineStr">
        <is>
          <t>Total of the 4 change requests</t>
        </is>
      </c>
      <c r="B9" s="27">
        <f>SUM(B5:B8)</f>
        <v/>
      </c>
      <c r="C9" s="27">
        <f>SUM(C5:C8)</f>
        <v/>
      </c>
      <c r="D9" s="27">
        <f>SUM(D5:D8)</f>
        <v/>
      </c>
      <c r="E9" s="28">
        <f>IF(DayRate="","",SUM(E5:E8))</f>
        <v/>
      </c>
      <c r="F9" s="12" t="inlineStr">
        <is>
          <t>Cost appears when the day rate is entered on the sheet Assumptions</t>
        </is>
      </c>
    </row>
    <row r="10">
      <c r="A10" s="12" t="inlineStr">
        <is>
          <t>Points beyond the BRD offered as standard (13)</t>
        </is>
      </c>
      <c r="B10" s="24" t="n">
        <v>0</v>
      </c>
      <c r="C10" s="24" t="n">
        <v>0</v>
      </c>
      <c r="D10" s="24" t="n">
        <v>0</v>
      </c>
      <c r="E10" s="25" t="n">
        <v>0</v>
      </c>
      <c r="F10" s="12" t="inlineStr">
        <is>
          <t>No change request, no cost (sheet Beyond the BRD - OOTB)</t>
        </is>
      </c>
    </row>
    <row r="11">
      <c r="A11" s="12" t="inlineStr">
        <is>
          <t>BRD requirements to deliver (3, in scope)</t>
        </is>
      </c>
      <c r="B11" s="24">
        <f>SUM('BRD items to deliver'!I5:I7)</f>
        <v/>
      </c>
      <c r="C11" s="24" t="inlineStr"/>
      <c r="D11" s="24" t="inlineStr"/>
      <c r="E11" s="25" t="inlineStr">
        <is>
          <t>Not charged</t>
        </is>
      </c>
      <c r="F11" s="12" t="inlineStr">
        <is>
          <t>For planning only (FRS Annex AA.4)</t>
        </is>
      </c>
    </row>
  </sheetData>
  <autoFilter ref="A4:F11"/>
  <mergeCells count="1">
    <mergeCell ref="A2:F2"/>
  </mergeCells>
  <conditionalFormatting sqref="A5:F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22" customWidth="1" min="3" max="3"/>
    <col width="20" customWidth="1" min="4" max="4"/>
    <col width="18" customWidth="1" min="5" max="5"/>
    <col width="46" customWidth="1" min="6" max="6"/>
    <col width="30" customWidth="1" min="7" max="7"/>
    <col width="46" customWidth="1" min="8" max="8"/>
    <col width="11" customWidth="1" min="9" max="9"/>
    <col width="10" customWidth="1" min="10" max="10"/>
    <col width="10" customWidth="1" min="11" max="11"/>
    <col width="10" customWidth="1" min="12" max="12"/>
    <col width="13" customWidth="1" min="13" max="13"/>
    <col width="11" customWidth="1" min="14" max="14"/>
    <col width="10" customWidth="1" min="15" max="15"/>
    <col width="10" customWidth="1" min="16" max="16"/>
    <col width="11" customWidth="1" min="17" max="17"/>
    <col width="10" customWidth="1" min="18" max="18"/>
    <col width="34" customWidth="1" min="19" max="19"/>
    <col width="34" customWidth="1" min="20" max="20"/>
    <col width="14" customWidth="1" min="21" max="21"/>
  </cols>
  <sheetData>
    <row r="1" ht="24" customHeight="1">
      <c r="A1" s="18" t="inlineStr">
        <is>
          <t>CR Effort</t>
        </is>
      </c>
    </row>
    <row r="2">
      <c r="A2" s="21" t="inlineStr">
        <is>
          <t>One row per change request (orange point of the FRS v1.4); man-days of 8 hours, +-20%</t>
        </is>
      </c>
    </row>
    <row r="3" ht="6" customHeight="1">
      <c r="A3" s="22" t="n"/>
      <c r="B3" s="22" t="n"/>
      <c r="C3" s="22" t="n"/>
      <c r="D3" s="22" t="n"/>
      <c r="E3" s="22" t="n"/>
      <c r="F3" s="22" t="n"/>
      <c r="G3" s="22" t="n"/>
      <c r="H3" s="22" t="n"/>
      <c r="I3" s="22" t="n"/>
      <c r="J3" s="22" t="n"/>
      <c r="K3" s="22" t="n"/>
      <c r="L3" s="22" t="n"/>
      <c r="M3" s="22" t="n"/>
      <c r="N3" s="22" t="n"/>
      <c r="O3" s="22" t="n"/>
      <c r="P3" s="22" t="n"/>
      <c r="Q3" s="22" t="n"/>
      <c r="R3" s="22" t="n"/>
      <c r="S3" s="22" t="n"/>
      <c r="T3" s="22" t="n"/>
      <c r="U3" s="22" t="n"/>
    </row>
    <row r="4" ht="30" customHeight="1">
      <c r="A4" s="23" t="inlineStr">
        <is>
          <t>CR No.</t>
        </is>
      </c>
      <c r="B4" s="23" t="inlineStr">
        <is>
          <t>Title</t>
        </is>
      </c>
      <c r="C4" s="23" t="inlineStr">
        <is>
          <t>FRS reference</t>
        </is>
      </c>
      <c r="D4" s="23" t="inlineStr">
        <is>
          <t>BRD reference</t>
        </is>
      </c>
      <c r="E4" s="23" t="inlineStr">
        <is>
          <t>Source</t>
        </is>
      </c>
      <c r="F4" s="23" t="inlineStr">
        <is>
          <t>Why needed</t>
        </is>
      </c>
      <c r="G4" s="23" t="inlineStr">
        <is>
          <t>OOTB status</t>
        </is>
      </c>
      <c r="H4" s="23" t="inlineStr">
        <is>
          <t>Scope of the change</t>
        </is>
      </c>
      <c r="I4" s="23" t="inlineStr">
        <is>
          <t>Analysis and design</t>
        </is>
      </c>
      <c r="J4" s="23" t="inlineStr">
        <is>
          <t>Backend</t>
        </is>
      </c>
      <c r="K4" s="23" t="inlineStr">
        <is>
          <t>Frontend</t>
        </is>
      </c>
      <c r="L4" s="23" t="inlineStr">
        <is>
          <t>Testing</t>
        </is>
      </c>
      <c r="M4" s="23" t="inlineStr">
        <is>
          <t>Documentation and UAT support</t>
        </is>
      </c>
      <c r="N4" s="23" t="inlineStr">
        <is>
          <t>Total man-days</t>
        </is>
      </c>
      <c r="O4" s="23" t="inlineStr">
        <is>
          <t>Low (-20%)</t>
        </is>
      </c>
      <c r="P4" s="23" t="inlineStr">
        <is>
          <t>High (+20%)</t>
        </is>
      </c>
      <c r="Q4" s="23" t="inlineStr">
        <is>
          <t>Complexity</t>
        </is>
      </c>
      <c r="R4" s="23" t="inlineStr">
        <is>
          <t>Priority</t>
        </is>
      </c>
      <c r="S4" s="23" t="inlineStr">
        <is>
          <t>Dependencies</t>
        </is>
      </c>
      <c r="T4" s="23" t="inlineStr">
        <is>
          <t>Assumptions</t>
        </is>
      </c>
      <c r="U4" s="23" t="inlineStr">
        <is>
          <t>Cost</t>
        </is>
      </c>
    </row>
    <row r="5">
      <c r="A5" s="29" t="inlineStr">
        <is>
          <t>CR-UA-007</t>
        </is>
      </c>
      <c r="B5" s="29" t="inlineStr">
        <is>
          <t>Supervisory and record-ownership access</t>
        </is>
      </c>
      <c r="C5" s="12" t="inlineStr">
        <is>
          <t>FRUM.001.02 (b), FRUM.005.01; Annex Q (C15)</t>
        </is>
      </c>
      <c r="D5" s="12" t="inlineStr">
        <is>
          <t>Not in BRD</t>
        </is>
      </c>
      <c r="E5" s="12" t="inlineStr">
        <is>
          <t>BDOI FRS v1.1</t>
        </is>
      </c>
      <c r="F5" s="12" t="inlineStr">
        <is>
          <t>BDOI's FRS asks that a user with a supervisory role sees and manages the records of the personnel assigned to him or her, with record-ownership rules per role. The system limits each user's data by company and branch (data scope) and by role; it has no supervisor-to-personnel link and no record-owner rule.</t>
        </is>
      </c>
      <c r="G5" s="12" t="inlineStr">
        <is>
          <t>Partly: data scope by company and branch on every user; no supervisor hierarchy or record-owner rule.</t>
        </is>
      </c>
      <c r="H5" s="12" t="inlineStr">
        <is>
          <t>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I5" s="30" t="n">
        <v>3</v>
      </c>
      <c r="J5" s="30" t="n">
        <v>10</v>
      </c>
      <c r="K5" s="30" t="n">
        <v>3</v>
      </c>
      <c r="L5" s="30" t="n">
        <v>5</v>
      </c>
      <c r="M5" s="30" t="n">
        <v>2</v>
      </c>
      <c r="N5" s="30">
        <f>SUM(I5:M5)</f>
        <v/>
      </c>
      <c r="O5" s="30">
        <f>ROUND(N5*(1-Accuracy),1)</f>
        <v/>
      </c>
      <c r="P5" s="30">
        <f>ROUND(N5*(1+Accuracy),1)</f>
        <v/>
      </c>
      <c r="Q5" s="12" t="inlineStr">
        <is>
          <t>High</t>
        </is>
      </c>
      <c r="R5" s="12" t="inlineStr">
        <is>
          <t>Medium</t>
        </is>
      </c>
      <c r="S5" s="12" t="inlineStr">
        <is>
          <t>BDOI to name the supervisory roles and the record owner of each module (User Access Matrix, Annex C); module FRS of each BRD for the records concerned.</t>
        </is>
      </c>
      <c r="T5" s="12" t="inlineStr">
        <is>
          <t>The rule reuses the data scope of the system; the personnel of a supervisor come from the user record (or UIDM-ISC), not from a separate organisation chart.</t>
        </is>
      </c>
      <c r="U5" s="25">
        <f>IF(DayRate="","",N5*DayRate)</f>
        <v/>
      </c>
    </row>
    <row r="6">
      <c r="A6" s="29" t="inlineStr">
        <is>
          <t>CR-UA-011</t>
        </is>
      </c>
      <c r="B6" s="29" t="inlineStr">
        <is>
          <t>Approval times, reminders and escalation</t>
        </is>
      </c>
      <c r="C6" s="12" t="inlineStr">
        <is>
          <t>Annex S (time rules), Annex Q.5, Annex Z</t>
        </is>
      </c>
      <c r="D6" s="12" t="inlineStr">
        <is>
          <t>Not in BRD</t>
        </is>
      </c>
      <c r="E6" s="12" t="inlineStr">
        <is>
          <t>Best practice (iorta TechNXT)</t>
        </is>
      </c>
      <c r="F6" s="12" t="inlineStr">
        <is>
          <t>The BRD sets no service level for the approval of access requests. Today the age of each request shows on the Access Requests list and report; a reminder and an escalation after a number of working days keep requests from waiting unseen.</t>
        </is>
      </c>
      <c r="G6" s="12" t="inlineStr">
        <is>
          <t>No: the age of each request is shown; no reminder or escalation run for access requests.</t>
        </is>
      </c>
      <c r="H6" s="12" t="inlineStr">
        <is>
          <t>Settings for the working days per stage, the reminder day and the escalation role; a daily run that sends the reminder notice and escalates overdue requests to the Business Administrator; the overdue marker on the lists; audit of each reminder and escalation.</t>
        </is>
      </c>
      <c r="I6" s="30" t="n">
        <v>1</v>
      </c>
      <c r="J6" s="30" t="n">
        <v>3</v>
      </c>
      <c r="K6" s="30" t="n">
        <v>1</v>
      </c>
      <c r="L6" s="30" t="n">
        <v>2</v>
      </c>
      <c r="M6" s="30" t="n">
        <v>1</v>
      </c>
      <c r="N6" s="30">
        <f>SUM(I6:M6)</f>
        <v/>
      </c>
      <c r="O6" s="30">
        <f>ROUND(N6*(1-Accuracy),1)</f>
        <v/>
      </c>
      <c r="P6" s="30">
        <f>ROUND(N6*(1+Accuracy),1)</f>
        <v/>
      </c>
      <c r="Q6" s="12" t="inlineStr">
        <is>
          <t>Medium</t>
        </is>
      </c>
      <c r="R6" s="12" t="inlineStr">
        <is>
          <t>Medium</t>
        </is>
      </c>
      <c r="S6" s="12" t="inlineStr">
        <is>
          <t>Working-day calendar with the public holidays (shared with the out-of-hours rule, Annex Z).</t>
        </is>
      </c>
      <c r="T6" s="12" t="inlineStr">
        <is>
          <t>Reminders use the notices and e-mails of Annex T; one escalation level.</t>
        </is>
      </c>
      <c r="U6" s="25">
        <f>IF(DayRate="","",N6*DayRate)</f>
        <v/>
      </c>
    </row>
    <row r="7">
      <c r="A7" s="29" t="inlineStr">
        <is>
          <t>CR-UA-012</t>
        </is>
      </c>
      <c r="B7" s="29" t="inlineStr">
        <is>
          <t>Monthly access review report to Information Security</t>
        </is>
      </c>
      <c r="C7" s="12" t="inlineStr">
        <is>
          <t>Annex V, Annex Q.5 (UA-Q51)</t>
        </is>
      </c>
      <c r="D7" s="12" t="inlineStr">
        <is>
          <t>Not in BRD (BRD p.11 lists report volumes only)</t>
        </is>
      </c>
      <c r="E7" s="12" t="inlineStr">
        <is>
          <t>Best practice (iorta TechNXT)</t>
        </is>
      </c>
      <c r="F7" s="12" t="inlineStr">
        <is>
          <t>Information Security practice is a periodic review of who holds which access. The reports exist and run on demand; producing them each month for Information Security makes the review routine.</t>
        </is>
      </c>
      <c r="G7" s="12" t="inlineStr">
        <is>
          <t>Partly: User Access Report and User Access Audit Log run on demand and export; no monthly schedule.</t>
        </is>
      </c>
      <c r="H7" s="12" t="inlineStr">
        <is>
          <t>A monthly run on the first working day that produces the User Access Report and the audit log of the month, keeps the files for download and notifies Information Security (in the system and by e-mail, with no attachment); run history and failure notice as for the other runs.</t>
        </is>
      </c>
      <c r="I7" s="30" t="n">
        <v>1</v>
      </c>
      <c r="J7" s="30" t="n">
        <v>2.5</v>
      </c>
      <c r="K7" s="30" t="n">
        <v>0.5</v>
      </c>
      <c r="L7" s="30" t="n">
        <v>1.5</v>
      </c>
      <c r="M7" s="30" t="n">
        <v>0.5</v>
      </c>
      <c r="N7" s="30">
        <f>SUM(I7:M7)</f>
        <v/>
      </c>
      <c r="O7" s="30">
        <f>ROUND(N7*(1-Accuracy),1)</f>
        <v/>
      </c>
      <c r="P7" s="30">
        <f>ROUND(N7*(1+Accuracy),1)</f>
        <v/>
      </c>
      <c r="Q7" s="12" t="inlineStr">
        <is>
          <t>Low</t>
        </is>
      </c>
      <c r="R7" s="12" t="inlineStr">
        <is>
          <t>Low</t>
        </is>
      </c>
      <c r="S7" s="12" t="inlineStr">
        <is>
          <t>UA-Q51 answered (reports, frequency and recipients).</t>
        </is>
      </c>
      <c r="T7" s="12" t="inlineStr">
        <is>
          <t>No new report layout; the files follow the export names of FRUM.007.02.</t>
        </is>
      </c>
      <c r="U7" s="25">
        <f>IF(DayRate="","",N7*DayRate)</f>
        <v/>
      </c>
    </row>
    <row r="8">
      <c r="A8" s="29" t="inlineStr">
        <is>
          <t>CR-UA-014</t>
        </is>
      </c>
      <c r="B8" s="29" t="inlineStr">
        <is>
          <t>Temporary access with an end date</t>
        </is>
      </c>
      <c r="C8" s="12" t="inlineStr">
        <is>
          <t>Annex Z (CLR-UA-06, CLR-UA-13); FRUM.009.10</t>
        </is>
      </c>
      <c r="D8" s="12" t="inlineStr">
        <is>
          <t>Not in BRD (BRD NFR 1.k asks for an effective date only)</t>
        </is>
      </c>
      <c r="E8" s="12" t="inlineStr">
        <is>
          <t>Best practice (iorta TechNXT)</t>
        </is>
      </c>
      <c r="F8" s="12" t="inlineStr">
        <is>
          <t>Access given for a project or a leave cover should end by itself. The system applies changes on an effective date; it has no end date on access.</t>
        </is>
      </c>
      <c r="G8" s="12" t="inlineStr">
        <is>
          <t>Partly: effective date and the daily run of scheduled changes; no end date.</t>
        </is>
      </c>
      <c r="H8" s="12" t="inlineStr">
        <is>
          <t>End date on the user requests and the bulk template; validation (after the effective date); the end date on the user's group profiles and in the reports; the daily run removes the access on the end date with a notice a number of days before; audit of each removal.</t>
        </is>
      </c>
      <c r="I8" s="30" t="n">
        <v>1.5</v>
      </c>
      <c r="J8" s="30" t="n">
        <v>4</v>
      </c>
      <c r="K8" s="30" t="n">
        <v>2.5</v>
      </c>
      <c r="L8" s="30" t="n">
        <v>2.5</v>
      </c>
      <c r="M8" s="30" t="n">
        <v>1</v>
      </c>
      <c r="N8" s="30">
        <f>SUM(I8:M8)</f>
        <v/>
      </c>
      <c r="O8" s="30">
        <f>ROUND(N8*(1-Accuracy),1)</f>
        <v/>
      </c>
      <c r="P8" s="30">
        <f>ROUND(N8*(1+Accuracy),1)</f>
        <v/>
      </c>
      <c r="Q8" s="12" t="inlineStr">
        <is>
          <t>Medium</t>
        </is>
      </c>
      <c r="R8" s="12" t="inlineStr">
        <is>
          <t>Low</t>
        </is>
      </c>
      <c r="S8" s="12" t="inlineStr">
        <is>
          <t>Answers to CLR-UA-06 and CLR-UA-13 (Annex Z): who is told and how many days before.</t>
        </is>
      </c>
      <c r="T8" s="12" t="inlineStr">
        <is>
          <t>The removal is a scheduled change of the existing daily run, checked again as the other scheduled changes.</t>
        </is>
      </c>
      <c r="U8" s="25">
        <f>IF(DayRate="","",N8*DayRate)</f>
        <v/>
      </c>
    </row>
    <row r="9">
      <c r="A9" s="26" t="inlineStr">
        <is>
          <t>Total</t>
        </is>
      </c>
      <c r="B9" s="26" t="inlineStr">
        <is>
          <t>4 change requests</t>
        </is>
      </c>
      <c r="C9" s="12" t="n"/>
      <c r="D9" s="12" t="n"/>
      <c r="E9" s="12" t="n"/>
      <c r="F9" s="12" t="n"/>
      <c r="G9" s="12" t="n"/>
      <c r="H9" s="12" t="n"/>
      <c r="I9" s="31">
        <f>SUM(I5:I8)</f>
        <v/>
      </c>
      <c r="J9" s="31">
        <f>SUM(J5:J8)</f>
        <v/>
      </c>
      <c r="K9" s="31">
        <f>SUM(K5:K8)</f>
        <v/>
      </c>
      <c r="L9" s="31">
        <f>SUM(L5:L8)</f>
        <v/>
      </c>
      <c r="M9" s="31">
        <f>SUM(M5:M8)</f>
        <v/>
      </c>
      <c r="N9" s="31">
        <f>SUM(N5:N8)</f>
        <v/>
      </c>
      <c r="O9" s="31">
        <f>SUM(O5:O8)</f>
        <v/>
      </c>
      <c r="P9" s="31">
        <f>SUM(P5:P8)</f>
        <v/>
      </c>
      <c r="Q9" s="12" t="n"/>
      <c r="R9" s="12" t="n"/>
      <c r="S9" s="12" t="n"/>
      <c r="T9" s="12" t="n"/>
      <c r="U9" s="28">
        <f>IF(DayRate="","",SUM(U5:U8))</f>
        <v/>
      </c>
    </row>
  </sheetData>
  <autoFilter ref="A4:U9"/>
  <mergeCells count="1">
    <mergeCell ref="A2:U2"/>
  </mergeCells>
  <conditionalFormatting sqref="A5:U509">
    <cfRule type="expression" priority="1" dxfId="0">
      <formula>AND(MOD(ROW(),2)=0,$A5&lt;&gt;"")</formula>
    </cfRule>
  </conditionalFormatting>
  <dataValidations count="2">
    <dataValidation sqref="Q5:Q509" showDropDown="0" showInputMessage="0" showErrorMessage="1" allowBlank="1" errorTitle="Complexity" error="Choose a value from the list (Complexity)." type="list">
      <formula1>'Lists'!$A$2:$A$4</formula1>
    </dataValidation>
    <dataValidation sqref="R5:R509" showDropDown="0" showInputMessage="0" showErrorMessage="1" allowBlank="1" errorTitle="Priority" error="Choose a value from the list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14" customWidth="1" min="4" max="4"/>
    <col width="60" customWidth="1" min="5" max="5"/>
    <col width="18" customWidth="1" min="6" max="6"/>
    <col width="12" customWidth="1" min="7" max="7"/>
    <col width="40" customWidth="1" min="8" max="8"/>
  </cols>
  <sheetData>
    <row r="1" ht="24" customHeight="1">
      <c r="A1" s="18" t="inlineStr">
        <is>
          <t>Beyond the BRD - OOTB</t>
        </is>
      </c>
    </row>
    <row r="2">
      <c r="A2" s="21" t="inlineStr">
        <is>
          <t>Points of the FRS v1.4 that no BRD asks for and the standard system offers (green): no cost</t>
        </is>
      </c>
    </row>
    <row r="3" ht="6" customHeight="1">
      <c r="A3" s="22" t="n"/>
      <c r="B3" s="22" t="n"/>
      <c r="C3" s="22" t="n"/>
      <c r="D3" s="22" t="n"/>
      <c r="E3" s="22" t="n"/>
      <c r="F3" s="22" t="n"/>
      <c r="G3" s="22" t="n"/>
      <c r="H3" s="22" t="n"/>
    </row>
    <row r="4" ht="30" customHeight="1">
      <c r="A4" s="23" t="inlineStr">
        <is>
          <t>No.</t>
        </is>
      </c>
      <c r="B4" s="23" t="inlineStr">
        <is>
          <t>Point</t>
        </is>
      </c>
      <c r="C4" s="23" t="inlineStr">
        <is>
          <t>FRS reference</t>
        </is>
      </c>
      <c r="D4" s="23" t="inlineStr">
        <is>
          <t>BRD reference</t>
        </is>
      </c>
      <c r="E4" s="23" t="inlineStr">
        <is>
          <t>What BDOI gets</t>
        </is>
      </c>
      <c r="F4" s="23" t="inlineStr">
        <is>
          <t>OOTB status</t>
        </is>
      </c>
      <c r="G4" s="23" t="inlineStr">
        <is>
          <t>Cost (man-days)</t>
        </is>
      </c>
      <c r="H4" s="23" t="inlineStr">
        <is>
          <t>Note</t>
        </is>
      </c>
    </row>
    <row r="5">
      <c r="A5" s="32" t="inlineStr">
        <is>
          <t>OB-UA-01</t>
        </is>
      </c>
      <c r="B5" s="32" t="inlineStr">
        <is>
          <t>Separation-of-duties rules</t>
        </is>
      </c>
      <c r="C5" s="12" t="inlineStr">
        <is>
          <t>FRUM.012.01; Annex M.6</t>
        </is>
      </c>
      <c r="D5" s="12" t="inlineStr">
        <is>
          <t>Not in BRD</t>
        </is>
      </c>
      <c r="E5" s="12" t="inlineStr">
        <is>
          <t>Pairs of group profiles (and of permissions) one user may not hold, kept by the Business Administrator and authorised by Information Security; checked on every request.</t>
        </is>
      </c>
      <c r="F5" s="12" t="inlineStr">
        <is>
          <t>Offered as standard</t>
        </is>
      </c>
      <c r="G5" s="12" t="n">
        <v>0</v>
      </c>
      <c r="H5" s="12" t="inlineStr">
        <is>
          <t>Extends the segregation-of-duties principle of the Operations addendum; was CR-UA-001</t>
        </is>
      </c>
    </row>
    <row r="6">
      <c r="A6" s="32" t="inlineStr">
        <is>
          <t>OB-UA-02</t>
        </is>
      </c>
      <c r="B6" s="32" t="inlineStr">
        <is>
          <t>Dormant-user deactivation</t>
        </is>
      </c>
      <c r="C6" s="12" t="inlineStr">
        <is>
          <t>FRUM.003.04; Annex V</t>
        </is>
      </c>
      <c r="D6" s="12" t="inlineStr">
        <is>
          <t>Not in BRD</t>
        </is>
      </c>
      <c r="E6" s="12" t="inlineStr">
        <is>
          <t>Users without a sign-in for 90 days deactivated by the daily run, with a notice 7 days before (settings).</t>
        </is>
      </c>
      <c r="F6" s="12" t="inlineStr">
        <is>
          <t>Offered as standard</t>
        </is>
      </c>
      <c r="G6" s="12" t="n">
        <v>0</v>
      </c>
      <c r="H6" s="12" t="inlineStr">
        <is>
          <t>Was CR-UA-002</t>
        </is>
      </c>
    </row>
    <row r="7">
      <c r="A7" s="32" t="inlineStr">
        <is>
          <t>OB-UA-03</t>
        </is>
      </c>
      <c r="B7" s="32" t="inlineStr">
        <is>
          <t>Break-glass administrators</t>
        </is>
      </c>
      <c r="C7" s="12" t="inlineStr">
        <is>
          <t>FRUM.001.06; Annex N.4</t>
        </is>
      </c>
      <c r="D7" s="12" t="inlineStr">
        <is>
          <t>Not in BRD</t>
        </is>
      </c>
      <c r="E7" s="12" t="inlineStr">
        <is>
          <t>Two named System Administrators with a local password and second factor while sign-in is through EIAM; each sign-in alerted to Information Security.</t>
        </is>
      </c>
      <c r="F7" s="12" t="inlineStr">
        <is>
          <t>Offered as standard</t>
        </is>
      </c>
      <c r="G7" s="12" t="n">
        <v>0</v>
      </c>
      <c r="H7" s="12" t="inlineStr">
        <is>
          <t>Was CR-UA-003</t>
        </is>
      </c>
    </row>
    <row r="8">
      <c r="A8" s="32" t="inlineStr">
        <is>
          <t>OB-UA-04</t>
        </is>
      </c>
      <c r="B8" s="32" t="inlineStr">
        <is>
          <t>Synchronisation with UIDM-ISC and EIAM</t>
        </is>
      </c>
      <c r="C8" s="12" t="inlineStr">
        <is>
          <t>FRUM.002.02, FRUM.003.03; Annex N.3</t>
        </is>
      </c>
      <c r="D8" s="12" t="inlineStr">
        <is>
          <t>Not in BRD</t>
        </is>
      </c>
      <c r="E8" s="12" t="inlineStr">
        <is>
          <t>Joiner, mover, leaver and rehire events applied with the UIDM request number; refused events queued and alerted; Synchronise Now per user.</t>
        </is>
      </c>
      <c r="F8" s="12" t="inlineStr">
        <is>
          <t>Offered as standard</t>
        </is>
      </c>
      <c r="G8" s="12" t="n">
        <v>0</v>
      </c>
      <c r="H8" s="12" t="inlineStr">
        <is>
          <t>Refines the BRD requirement 'Integration with SSO or LDAP'; was CR-UA-005</t>
        </is>
      </c>
    </row>
    <row r="9">
      <c r="A9" s="32" t="inlineStr">
        <is>
          <t>OB-UA-05</t>
        </is>
      </c>
      <c r="B9" s="32" t="inlineStr">
        <is>
          <t>Revocation on an SSO status change</t>
        </is>
      </c>
      <c r="C9" s="12" t="inlineStr">
        <is>
          <t>FRUM.003.02.01; Annex N</t>
        </is>
      </c>
      <c r="D9" s="12" t="inlineStr">
        <is>
          <t>Not in BRD</t>
        </is>
      </c>
      <c r="E9" s="12" t="inlineStr">
        <is>
          <t>A leaver, or an SSO account inactive, locked or disabled, deactivates the user and ends the open sessions.</t>
        </is>
      </c>
      <c r="F9" s="12" t="inlineStr">
        <is>
          <t>Offered as standard</t>
        </is>
      </c>
      <c r="G9" s="12" t="n">
        <v>0</v>
      </c>
      <c r="H9" s="12" t="inlineStr">
        <is>
          <t>Was CR-UA-006</t>
        </is>
      </c>
    </row>
    <row r="10">
      <c r="A10" s="32" t="inlineStr">
        <is>
          <t>OB-UA-06</t>
        </is>
      </c>
      <c r="B10" s="32" t="inlineStr">
        <is>
          <t>No conflicting permissions in a role</t>
        </is>
      </c>
      <c r="C10" s="12" t="inlineStr">
        <is>
          <t>FRUM.006.03</t>
        </is>
      </c>
      <c r="D10" s="12" t="inlineStr">
        <is>
          <t>Not in BRD</t>
        </is>
      </c>
      <c r="E10" s="12" t="inlineStr">
        <is>
          <t>Rules on permission pairs refuse a group profile, or a user, that would hold both permissions.</t>
        </is>
      </c>
      <c r="F10" s="12" t="inlineStr">
        <is>
          <t>Offered as standard</t>
        </is>
      </c>
      <c r="G10" s="12" t="n">
        <v>0</v>
      </c>
      <c r="H10" s="12" t="inlineStr">
        <is>
          <t>Was CR-UA-008</t>
        </is>
      </c>
    </row>
    <row r="11">
      <c r="A11" s="32" t="inlineStr">
        <is>
          <t>OB-UA-07</t>
        </is>
      </c>
      <c r="B11" s="32" t="inlineStr">
        <is>
          <t>Export file names</t>
        </is>
      </c>
      <c r="C11" s="12" t="inlineStr">
        <is>
          <t>FRUM.007.02; Annex V</t>
        </is>
      </c>
      <c r="D11" s="12" t="inlineStr">
        <is>
          <t>Not in BRD</t>
        </is>
      </c>
      <c r="E11" s="12" t="inlineStr">
        <is>
          <t>Exports named &lt;Report name&gt;_MMDDYYYY and Audit Logs_MMDDYYYY (setting).</t>
        </is>
      </c>
      <c r="F11" s="12" t="inlineStr">
        <is>
          <t>Offered as standard</t>
        </is>
      </c>
      <c r="G11" s="12" t="n">
        <v>0</v>
      </c>
      <c r="H11" s="12" t="inlineStr">
        <is>
          <t>Was CR-UA-009</t>
        </is>
      </c>
    </row>
    <row r="12">
      <c r="A12" s="32" t="inlineStr">
        <is>
          <t>OB-UA-08</t>
        </is>
      </c>
      <c r="B12" s="32" t="inlineStr">
        <is>
          <t>E-mail copy of the request notices</t>
        </is>
      </c>
      <c r="C12" s="12" t="inlineStr">
        <is>
          <t>FRUM.013.01; Annex T</t>
        </is>
      </c>
      <c r="D12" s="12" t="inlineStr">
        <is>
          <t>Not in BRD</t>
        </is>
      </c>
      <c r="E12" s="12" t="inlineStr">
        <is>
          <t>The notices to approve, returned and decided also e-mailed, by the user's preference (setting).</t>
        </is>
      </c>
      <c r="F12" s="12" t="inlineStr">
        <is>
          <t>Offered as standard</t>
        </is>
      </c>
      <c r="G12" s="12" t="n">
        <v>0</v>
      </c>
      <c r="H12" s="12" t="inlineStr">
        <is>
          <t>Was CR-UA-013</t>
        </is>
      </c>
    </row>
    <row r="13">
      <c r="A13" s="32" t="inlineStr">
        <is>
          <t>OB-UA-09</t>
        </is>
      </c>
      <c r="B13" s="32" t="inlineStr">
        <is>
          <t>Second approval of security settings</t>
        </is>
      </c>
      <c r="C13" s="12" t="inlineStr">
        <is>
          <t>FRUM.012.02; Annex M</t>
        </is>
      </c>
      <c r="D13" s="12" t="inlineStr">
        <is>
          <t>Not in BRD</t>
        </is>
      </c>
      <c r="E13" s="12" t="inlineStr">
        <is>
          <t>A change of a sign-in, password, session or access setting applies only after the approval of Information Security.</t>
        </is>
      </c>
      <c r="F13" s="12" t="inlineStr">
        <is>
          <t>Offered as standard</t>
        </is>
      </c>
      <c r="G13" s="12" t="n">
        <v>0</v>
      </c>
      <c r="H13" s="12" t="inlineStr">
        <is>
          <t>-</t>
        </is>
      </c>
    </row>
    <row r="14">
      <c r="A14" s="32" t="inlineStr">
        <is>
          <t>OB-UA-10</t>
        </is>
      </c>
      <c r="B14" s="32" t="inlineStr">
        <is>
          <t>Emergency role edit</t>
        </is>
      </c>
      <c r="C14" s="12" t="inlineStr">
        <is>
          <t>FRUM.005.01; Annex J</t>
        </is>
      </c>
      <c r="D14" s="12" t="inlineStr">
        <is>
          <t>Not in BRD</t>
        </is>
      </c>
      <c r="E14" s="12" t="inlineStr">
        <is>
          <t>A direct edit of users and group profiles by the System Administrator, closed as delivered; when opened by Information Security every edit is audited and alerted.</t>
        </is>
      </c>
      <c r="F14" s="12" t="inlineStr">
        <is>
          <t>Offered as standard</t>
        </is>
      </c>
      <c r="G14" s="12" t="n">
        <v>0</v>
      </c>
      <c r="H14" s="12" t="inlineStr">
        <is>
          <t>-</t>
        </is>
      </c>
    </row>
    <row r="15">
      <c r="A15" s="32" t="inlineStr">
        <is>
          <t>OB-UA-11</t>
        </is>
      </c>
      <c r="B15" s="32" t="inlineStr">
        <is>
          <t>Second factor of the local accounts</t>
        </is>
      </c>
      <c r="C15" s="12" t="inlineStr">
        <is>
          <t>FRUM-004; Annex M.4</t>
        </is>
      </c>
      <c r="D15" s="12" t="inlineStr">
        <is>
          <t>Not in BRD</t>
        </is>
      </c>
      <c r="E15" s="12" t="inlineStr">
        <is>
          <t>Authenticator code at every local sign-in, ten single-use recovery codes, reset of a lost authenticator by one administrator and approved by another.</t>
        </is>
      </c>
      <c r="F15" s="12" t="inlineStr">
        <is>
          <t>Offered as standard</t>
        </is>
      </c>
      <c r="G15" s="12" t="n">
        <v>0</v>
      </c>
      <c r="H15" s="12" t="inlineStr">
        <is>
          <t>-</t>
        </is>
      </c>
    </row>
    <row r="16">
      <c r="A16" s="32" t="inlineStr">
        <is>
          <t>OB-UA-12</t>
        </is>
      </c>
      <c r="B16" s="32" t="inlineStr">
        <is>
          <t>Settings for the points BDOI decides</t>
        </is>
      </c>
      <c r="C16" s="12" t="inlineStr">
        <is>
          <t>Annex M.10</t>
        </is>
      </c>
      <c r="D16" s="12" t="inlineStr">
        <is>
          <t>Not in BRD</t>
        </is>
      </c>
      <c r="E16" s="12" t="inlineStr">
        <is>
          <t>Each point where BDOI's FRS and the BRD differ is offered both ways, chosen by a setting changed with the approval of Information Security, without a release.</t>
        </is>
      </c>
      <c r="F16" s="12" t="inlineStr">
        <is>
          <t>Offered as standard</t>
        </is>
      </c>
      <c r="G16" s="12" t="n">
        <v>0</v>
      </c>
      <c r="H16" s="12" t="inlineStr">
        <is>
          <t>-</t>
        </is>
      </c>
    </row>
    <row r="17">
      <c r="A17" s="32" t="inlineStr">
        <is>
          <t>OB-UA-13</t>
        </is>
      </c>
      <c r="B17" s="32" t="inlineStr">
        <is>
          <t>Identity simulator for SIT and UAT</t>
        </is>
      </c>
      <c r="C17" s="12" t="inlineStr">
        <is>
          <t>Annex N</t>
        </is>
      </c>
      <c r="D17" s="12" t="inlineStr">
        <is>
          <t>Not in BRD</t>
        </is>
      </c>
      <c r="E17" s="12" t="inlineStr">
        <is>
          <t>EIAM sign-in and UIDM-ISC events simulated in the test environments until BDOI IT connects the real services.</t>
        </is>
      </c>
      <c r="F17" s="12" t="inlineStr">
        <is>
          <t>Offered as standard</t>
        </is>
      </c>
      <c r="G17" s="12" t="n">
        <v>0</v>
      </c>
      <c r="H17" s="12" t="inlineStr">
        <is>
          <t>-</t>
        </is>
      </c>
    </row>
  </sheetData>
  <autoFilter ref="A4:H17"/>
  <mergeCells count="1">
    <mergeCell ref="A2:H2"/>
  </mergeCells>
  <conditionalFormatting sqref="A5:H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30" customWidth="1" min="3" max="3"/>
    <col width="22" customWidth="1" min="4" max="4"/>
    <col width="50" customWidth="1" min="5" max="5"/>
    <col width="11" customWidth="1" min="6" max="6"/>
    <col width="11" customWidth="1" min="7" max="7"/>
    <col width="11" customWidth="1" min="8" max="8"/>
    <col width="11" customWidth="1" min="9" max="9"/>
    <col width="14" customWidth="1" min="10" max="10"/>
  </cols>
  <sheetData>
    <row r="1" ht="24" customHeight="1">
      <c r="A1" s="18" t="inlineStr">
        <is>
          <t>BRD items to deliver</t>
        </is>
      </c>
    </row>
    <row r="2">
      <c r="A2" s="21" t="inlineStr">
        <is>
          <t>BRD requirements found in the validation of the FRS v1.4 (Annex X.2, AA.4): in scope, for planning</t>
        </is>
      </c>
    </row>
    <row r="3" ht="6" customHeight="1">
      <c r="A3" s="22" t="n"/>
      <c r="B3" s="22" t="n"/>
      <c r="C3" s="22" t="n"/>
      <c r="D3" s="22" t="n"/>
      <c r="E3" s="22" t="n"/>
      <c r="F3" s="22" t="n"/>
      <c r="G3" s="22" t="n"/>
      <c r="H3" s="22" t="n"/>
      <c r="I3" s="22" t="n"/>
      <c r="J3" s="22" t="n"/>
    </row>
    <row r="4" ht="30" customHeight="1">
      <c r="A4" s="23" t="inlineStr">
        <is>
          <t>No.</t>
        </is>
      </c>
      <c r="B4" s="23" t="inlineStr">
        <is>
          <t>Item</t>
        </is>
      </c>
      <c r="C4" s="23" t="inlineStr">
        <is>
          <t>BRD reference</t>
        </is>
      </c>
      <c r="D4" s="23" t="inlineStr">
        <is>
          <t>FRS reference</t>
        </is>
      </c>
      <c r="E4" s="23" t="inlineStr">
        <is>
          <t>What is delivered</t>
        </is>
      </c>
      <c r="F4" s="23" t="inlineStr">
        <is>
          <t>Analysis and design</t>
        </is>
      </c>
      <c r="G4" s="23" t="inlineStr">
        <is>
          <t>Backend and frontend</t>
        </is>
      </c>
      <c r="H4" s="23" t="inlineStr">
        <is>
          <t>Testing and UAT support</t>
        </is>
      </c>
      <c r="I4" s="23" t="inlineStr">
        <is>
          <t>Total man-days</t>
        </is>
      </c>
      <c r="J4" s="23" t="inlineStr">
        <is>
          <t>Cost</t>
        </is>
      </c>
    </row>
    <row r="5">
      <c r="A5" s="12" t="inlineStr">
        <is>
          <t>BRD-UA-01</t>
        </is>
      </c>
      <c r="B5" s="12" t="inlineStr">
        <is>
          <t>One session per device</t>
        </is>
      </c>
      <c r="C5" s="12" t="inlineStr">
        <is>
          <t>Collections addendum NFR 10.07</t>
        </is>
      </c>
      <c r="D5" s="12" t="inlineStr">
        <is>
          <t>FRUM.001.01; Annex M.5</t>
        </is>
      </c>
      <c r="E5" s="12" t="inlineStr">
        <is>
          <t>A sign-in on another device ends the user's earlier session, with the reason in the session log and a message on the earlier device.</t>
        </is>
      </c>
      <c r="F5" s="30" t="n">
        <v>0.5</v>
      </c>
      <c r="G5" s="30" t="n">
        <v>3</v>
      </c>
      <c r="H5" s="30" t="n">
        <v>1.5</v>
      </c>
      <c r="I5" s="30">
        <f>SUM(F5:H5)</f>
        <v/>
      </c>
      <c r="J5" s="12" t="inlineStr">
        <is>
          <t>Not charged</t>
        </is>
      </c>
    </row>
    <row r="6">
      <c r="A6" s="12" t="inlineStr">
        <is>
          <t>BRD-UA-02</t>
        </is>
      </c>
      <c r="B6" s="12" t="inlineStr">
        <is>
          <t>Administrator passwords of 12 characters</t>
        </is>
      </c>
      <c r="C6" s="12" t="inlineStr">
        <is>
          <t>Collections addendum NFR 2.04</t>
        </is>
      </c>
      <c r="D6" s="12" t="inlineStr">
        <is>
          <t>FRUM-004; Annex M.4</t>
        </is>
      </c>
      <c r="E6" s="12" t="inlineStr">
        <is>
          <t>Minimum length 12 for the break-glass (administrator) accounts, 10 for any other local account; as a setting.</t>
        </is>
      </c>
      <c r="F6" s="30" t="n">
        <v>0.25</v>
      </c>
      <c r="G6" s="30" t="n">
        <v>0.75</v>
      </c>
      <c r="H6" s="30" t="n">
        <v>0.5</v>
      </c>
      <c r="I6" s="30">
        <f>SUM(F6:H6)</f>
        <v/>
      </c>
      <c r="J6" s="12" t="inlineStr">
        <is>
          <t>Not charged</t>
        </is>
      </c>
    </row>
    <row r="7">
      <c r="A7" s="12" t="inlineStr">
        <is>
          <t>BRD-UA-03</t>
        </is>
      </c>
      <c r="B7" s="12" t="inlineStr">
        <is>
          <t>Idle time-out per the BDO standard</t>
        </is>
      </c>
      <c r="C7" s="12" t="inlineStr">
        <is>
          <t>Collections addendum NFR 10.01; UAM BRD x.001.1.2, x.001.1.3</t>
        </is>
      </c>
      <c r="D7" s="12" t="inlineStr">
        <is>
          <t>FRUM.001.03, FRUM.001.04; Annex M.5</t>
        </is>
      </c>
      <c r="E7" s="12" t="inlineStr">
        <is>
          <t>Configuration only: the inactivity warning and sign-out times are settings; BDOI confirms 15 or 30 minutes.</t>
        </is>
      </c>
      <c r="F7" s="30" t="n">
        <v>0</v>
      </c>
      <c r="G7" s="30" t="n">
        <v>0</v>
      </c>
      <c r="H7" s="30" t="n">
        <v>0</v>
      </c>
      <c r="I7" s="30">
        <f>SUM(F7:H7)</f>
        <v/>
      </c>
      <c r="J7" s="12" t="inlineStr">
        <is>
          <t>Not charged</t>
        </is>
      </c>
    </row>
  </sheetData>
  <autoFilter ref="A4:J7"/>
  <mergeCells count="1">
    <mergeCell ref="A2:J2"/>
  </mergeCells>
  <conditionalFormatting sqref="A5:J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4" customWidth="1" min="2" max="2"/>
    <col width="90" customWidth="1" min="3" max="3"/>
  </cols>
  <sheetData>
    <row r="1" ht="24" customHeight="1">
      <c r="A1" s="18" t="inlineStr">
        <is>
          <t>Assumptions</t>
        </is>
      </c>
    </row>
    <row r="2">
      <c r="A2" s="21" t="inlineStr">
        <is>
          <t>Assumptions of the estimate; enter the day rate in the yellow cell</t>
        </is>
      </c>
    </row>
    <row r="3" ht="6" customHeight="1">
      <c r="A3" s="22" t="n"/>
      <c r="B3" s="22" t="n"/>
      <c r="C3" s="22" t="n"/>
    </row>
    <row r="4" ht="30" customHeight="1">
      <c r="A4" s="23" t="inlineStr">
        <is>
          <t>Assumption</t>
        </is>
      </c>
      <c r="B4" s="23" t="inlineStr">
        <is>
          <t>Value</t>
        </is>
      </c>
      <c r="C4" s="23" t="inlineStr">
        <is>
          <t>Note</t>
        </is>
      </c>
    </row>
    <row r="5">
      <c r="A5" s="12" t="inlineStr">
        <is>
          <t>Man-day</t>
        </is>
      </c>
      <c r="B5" s="12" t="n">
        <v>8</v>
      </c>
      <c r="C5" s="12" t="inlineStr">
        <is>
          <t>Hours of work in one man-day</t>
        </is>
      </c>
    </row>
    <row r="6">
      <c r="A6" s="12" t="inlineStr">
        <is>
          <t>Accuracy of the estimates</t>
        </is>
      </c>
      <c r="B6" s="33" t="n">
        <v>0.2</v>
      </c>
      <c r="C6" s="12" t="inlineStr">
        <is>
          <t>Plus or minus; the Low and High columns use it</t>
        </is>
      </c>
    </row>
    <row r="7">
      <c r="A7" s="12" t="inlineStr">
        <is>
          <t>Day rate</t>
        </is>
      </c>
      <c r="B7" s="34" t="n"/>
      <c r="C7" s="12" t="inlineStr">
        <is>
          <t>Enter the rate of one man-day (currency below); the costs are computed from it</t>
        </is>
      </c>
    </row>
    <row r="8">
      <c r="A8" s="12" t="inlineStr">
        <is>
          <t>Currency</t>
        </is>
      </c>
      <c r="B8" s="12" t="inlineStr"/>
      <c r="C8" s="12" t="inlineStr">
        <is>
          <t>For example PHP</t>
        </is>
      </c>
    </row>
    <row r="9">
      <c r="A9" s="12" t="inlineStr">
        <is>
          <t>Basis</t>
        </is>
      </c>
      <c r="B9" s="12" t="inlineStr"/>
      <c r="C9" s="12" t="inlineStr">
        <is>
          <t>Sized on the work needed in the standard iNXT BrokerVerse system as it stands on 11-Oct-2026: a point the system already offers is not a change request (sheet Beyond the BRD - OOTB).</t>
        </is>
      </c>
    </row>
    <row r="10">
      <c r="A10" s="12" t="inlineStr">
        <is>
          <t>Activities</t>
        </is>
      </c>
      <c r="B10" s="12" t="inlineStr"/>
      <c r="C10" s="12" t="inlineStr">
        <is>
          <t>Analysis and design (FRS update, rules), backend, frontend (screens), testing (test cases of the RTM, regression of the access functions), documentation and UAT support.</t>
        </is>
      </c>
    </row>
    <row r="11">
      <c r="A11" s="12" t="inlineStr">
        <is>
          <t>Not included</t>
        </is>
      </c>
      <c r="B11" s="12" t="inlineStr"/>
      <c r="C11" s="12" t="inlineStr">
        <is>
          <t>Work of BDOI and BDOI IT (decisions, identity systems, infrastructure), data migration, training beyond the UAT support.</t>
        </is>
      </c>
    </row>
    <row r="12">
      <c r="A12" s="12" t="inlineStr">
        <is>
          <t>Validity</t>
        </is>
      </c>
      <c r="B12" s="12" t="inlineStr"/>
      <c r="C12" s="12" t="inlineStr">
        <is>
          <t>Until the sign-off of the FRS v1.4; re-estimated when the decision of BDOI changes the scope of a change request.</t>
        </is>
      </c>
    </row>
  </sheetData>
  <autoFilter ref="A4:C12"/>
  <mergeCells count="1">
    <mergeCell ref="A2:C2"/>
  </mergeCells>
  <conditionalFormatting sqref="A5:C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5" t="inlineStr">
        <is>
          <t>Complexity</t>
        </is>
      </c>
      <c r="B1" s="35" t="inlineStr">
        <is>
          <t>Priority</t>
        </is>
      </c>
    </row>
    <row r="2">
      <c r="A2" s="36" t="inlineStr">
        <is>
          <t>Low</t>
        </is>
      </c>
      <c r="B2" s="36" t="inlineStr">
        <is>
          <t>High</t>
        </is>
      </c>
    </row>
    <row r="3">
      <c r="A3" s="36" t="inlineStr">
        <is>
          <t>Medium</t>
        </is>
      </c>
      <c r="B3" s="36" t="inlineStr">
        <is>
          <t>Medium</t>
        </is>
      </c>
    </row>
    <row r="4">
      <c r="A4" s="36" t="inlineStr">
        <is>
          <t>High</t>
        </is>
      </c>
      <c r="B4" s="36" t="inlineStr">
        <is>
          <t>Low</t>
        </is>
      </c>
    </row>
  </sheetData>
  <printOptions horizontalCentered="1"/>
  <pageMargins left="0.4" right="0.4" top="0.6" bottom="0.6" header="0.5" footer="0.5"/>
  <pageSetup orientation="landscape" paperSize="1" fitToHeight="0" fitToWidth="1"/>
  <headerFooter>
    <oddHeader>&amp;L&amp;8 &amp;K004EA8CR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CR Effort Estimate</dc:title>
  <dc:subject xmlns:dc="http://purl.org/dc/elements/1.1/">BIBS – BDOI Broker System</dc:subject>
  <dcterms:created xmlns:dcterms="http://purl.org/dc/terms/" xmlns:xsi="http://www.w3.org/2001/XMLSchema-instance" xsi:type="dcterms:W3CDTF">2026-10-11T14:19:56Z</dcterms:created>
  <dcterms:modified xmlns:dcterms="http://purl.org/dc/terms/" xmlns:xsi="http://www.w3.org/2001/XMLSchema-instance" xsi:type="dcterms:W3CDTF">2026-10-11T14:19:56Z</dcterms:modified>
  <cp:keywords>Change requests - effort, BRD-11, BIBS, BDOI</cp:keywords>
</cp:coreProperties>
</file>