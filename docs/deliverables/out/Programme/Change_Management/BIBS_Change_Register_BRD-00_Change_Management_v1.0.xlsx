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How to read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ffort basis" sheetId="6" state="visible" r:id="rId6"/>
    <sheet xmlns:r="http://schemas.openxmlformats.org/officeDocument/2006/relationships" name="Change control" sheetId="7" state="visible" r:id="rId7"/>
    <sheet xmlns:r="http://schemas.openxmlformats.org/officeDocument/2006/relationships" name="CR form" sheetId="8" state="visible" r:id="rId8"/>
    <sheet xmlns:r="http://schemas.openxmlformats.org/officeDocument/2006/relationships" name="_lists" sheetId="9" state="hidden" r:id="rId9"/>
  </sheets>
  <definedNames>
    <definedName name="_xlnm._FilterDatabase" localSheetId="3" hidden="1">'Register'!$A$4:$X$182</definedName>
    <definedName name="_xlnm.Print_Titles" localSheetId="3">'Register'!$4:$4,'Register'!$A:$A</definedName>
    <definedName name="_xlnm.Print_Titles" localSheetId="4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FFFFFF"/>
      <sz val="9"/>
    </font>
    <font>
      <name val="Arial"/>
      <b val="1"/>
      <color rgb="004B4B4B"/>
      <sz val="9"/>
    </font>
    <font>
      <name val="Arial"/>
      <color rgb="004B4B4B"/>
      <sz val="9"/>
    </font>
    <font>
      <name val="Arial"/>
      <b val="1"/>
      <color rgb="00004EA8"/>
      <sz val="12"/>
    </font>
    <font>
      <name val="Arial"/>
      <b val="1"/>
      <color rgb="00004EA8"/>
      <sz val="9"/>
    </font>
    <font>
      <name val="Arial"/>
      <b val="1"/>
      <color rgb="000072D8"/>
      <sz val="10"/>
    </font>
    <font>
      <name val="Arial"/>
      <b val="1"/>
      <color rgb="004B4B4B"/>
      <sz val="10"/>
    </font>
    <font>
      <name val="Arial"/>
      <b val="1"/>
      <color rgb="00FFFFFF"/>
      <sz val="11"/>
    </font>
    <font>
      <name val="Arial"/>
      <b val="1"/>
      <color rgb="002E2E2E"/>
      <sz val="9"/>
    </font>
    <font>
      <name val="Arial"/>
      <i val="1"/>
      <color rgb="00919191"/>
      <sz val="8"/>
    </font>
    <font>
      <name val="Arial"/>
      <b val="1"/>
      <color rgb="00004EA8"/>
      <sz val="11"/>
    </font>
    <font>
      <name val="Arial"/>
      <b val="1"/>
      <color rgb="00656565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6F6F6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left/>
      <right/>
      <top style="thin">
        <color rgb="00C2C2C1"/>
      </top>
      <bottom/>
      <diagonal/>
    </border>
    <border>
      <left/>
      <right style="thin">
        <color rgb="00C2C2C1"/>
      </right>
      <top style="thin">
        <color rgb="00C2C2C1"/>
      </top>
      <bottom/>
      <diagonal/>
    </border>
    <border>
      <left/>
      <right style="thin">
        <color rgb="00C2C2C1"/>
      </right>
      <top style="thin">
        <color rgb="00C2C2C1"/>
      </top>
      <bottom style="thin">
        <color rgb="00C2C2C1"/>
      </bottom>
      <diagonal/>
    </border>
    <border>
      <bottom style="thin">
        <color rgb="00E4E4E4"/>
      </bottom>
    </border>
    <border>
      <left/>
      <right/>
      <top style="thin">
        <color rgb="00C2C2C1"/>
      </top>
      <bottom style="thin">
        <color rgb="00C2C2C1"/>
      </bottom>
      <diagonal/>
    </border>
    <border>
      <bottom style="medium">
        <color rgb="00FDB91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0" borderId="8" pivotButton="0" quotePrefix="0" xfId="0"/>
    <xf numFmtId="0" fontId="1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6" pivotButton="0" quotePrefix="0" xfId="0"/>
    <xf numFmtId="0" fontId="21" fillId="0" borderId="6" pivotButton="0" quotePrefix="0" xfId="0"/>
    <xf numFmtId="0" fontId="22" fillId="0" borderId="6" pivotButton="0" quotePrefix="0" xfId="0"/>
    <xf numFmtId="0" fontId="8" fillId="0" borderId="0" pivotButton="0" quotePrefix="0" xfId="0"/>
    <xf numFmtId="0" fontId="3" fillId="2" borderId="2" pivotButton="0" quotePrefix="0" xfId="0"/>
    <xf numFmtId="0" fontId="10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1" fillId="5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2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5" fillId="3" borderId="0" applyAlignment="1" pivotButton="0" quotePrefix="0" xfId="0">
      <alignment vertical="center" indent="1"/>
    </xf>
    <xf numFmtId="0" fontId="16" fillId="0" borderId="6" pivotButton="0" quotePrefix="0" xfId="0"/>
    <xf numFmtId="0" fontId="4" fillId="0" borderId="6" applyAlignment="1" pivotButton="0" quotePrefix="0" xfId="0">
      <alignment vertical="top" wrapText="1"/>
    </xf>
    <xf numFmtId="0" fontId="0" fillId="0" borderId="6" pivotButton="0" quotePrefix="0" xfId="0"/>
    <xf numFmtId="0" fontId="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top" wrapText="1"/>
    </xf>
    <xf numFmtId="0" fontId="11" fillId="3" borderId="2" applyAlignment="1" pivotButton="0" quotePrefix="0" xfId="0">
      <alignment vertical="top" wrapText="1"/>
    </xf>
    <xf numFmtId="0" fontId="0" fillId="0" borderId="7" pivotButton="0" quotePrefix="0" xfId="0"/>
    <xf numFmtId="0" fontId="0" fillId="0" borderId="5" pivotButton="0" quotePrefix="0" xfId="0"/>
    <xf numFmtId="0" fontId="22" fillId="0" borderId="0" pivotButton="0" quotePrefix="0" xfId="0"/>
    <xf numFmtId="0" fontId="10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5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 wrapText="1"/>
    </xf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center" vertical="top" wrapText="1"/>
    </xf>
    <xf numFmtId="0" fontId="9" fillId="4" borderId="2" applyAlignment="1" pivotButton="0" quotePrefix="0" xfId="0">
      <alignment vertical="top"/>
    </xf>
    <xf numFmtId="0" fontId="9" fillId="4" borderId="2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right" vertical="top" wrapText="1"/>
    </xf>
    <xf numFmtId="0" fontId="4" fillId="3" borderId="2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/>
    </xf>
    <xf numFmtId="0" fontId="12" fillId="2" borderId="0" pivotButton="0" quotePrefix="0" xfId="0"/>
    <xf numFmtId="0" fontId="13" fillId="4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004EA8"/>
      </font>
      <fill>
        <patternFill patternType="solid">
          <fgColor rgb="00E5F5FF"/>
          <bgColor rgb="00E5F5FF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ow to read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Register'!A1" TargetMode="External" Id="rId3"/><Relationship Type="http://schemas.openxmlformats.org/officeDocument/2006/relationships/hyperlink" Target="#'Summary'!A1" TargetMode="External" Id="rId4"/><Relationship Type="http://schemas.openxmlformats.org/officeDocument/2006/relationships/hyperlink" Target="#'Effort basis'!A1" TargetMode="External" Id="rId5"/><Relationship Type="http://schemas.openxmlformats.org/officeDocument/2006/relationships/hyperlink" Target="#'Change control'!A1" TargetMode="External" Id="rId6"/><Relationship Type="http://schemas.openxmlformats.org/officeDocument/2006/relationships/hyperlink" Target="#'CR form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1"/>
    <row r="2" ht="40" customHeight="1"/>
    <row r="3"/>
    <row r="4" ht="6" customHeight="1">
      <c r="B4" s="1" t="n"/>
      <c r="C4" s="1" t="n"/>
      <c r="D4" s="1" t="n"/>
      <c r="E4" s="1" t="n"/>
    </row>
    <row r="5"/>
    <row r="6">
      <c r="B6" s="2" t="inlineStr">
        <is>
          <t>CHANGE REGISTER</t>
        </is>
      </c>
    </row>
    <row r="7" ht="32" customHeight="1">
      <c r="B7" s="3" t="inlineStr">
        <is>
          <t>Change Management Register</t>
        </is>
      </c>
    </row>
    <row r="8">
      <c r="B8" s="4" t="inlineStr">
        <is>
          <t>For documentation and change control; does not change the platform or the FRS baseline.</t>
        </is>
      </c>
    </row>
    <row r="9">
      <c r="B9" s="5" t="inlineStr">
        <is>
          <t>BIBS – BDOI Broker System</t>
        </is>
      </c>
    </row>
    <row r="10"/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7"/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How to read</t>
        </is>
      </c>
      <c r="C20" s="12" t="inlineStr">
        <is>
          <t>Reading guide, deviation types, statuses, priorities, size classes and column definitions</t>
        </is>
      </c>
      <c r="D20" s="12" t="inlineStr"/>
    </row>
    <row r="21" ht="28" customHeight="1">
      <c r="B21" s="13" t="inlineStr">
        <is>
          <t>Document control</t>
        </is>
      </c>
      <c r="C21" s="14" t="inlineStr">
        <is>
          <t>Version history, review and approval, distribution; the statement that the register does not change the platform or the FRS</t>
        </is>
      </c>
      <c r="D21" s="14" t="n"/>
    </row>
    <row r="22" ht="28" customHeight="1">
      <c r="B22" s="11" t="inlineStr">
        <is>
          <t>Register</t>
        </is>
      </c>
      <c r="C22" s="12" t="inlineStr">
        <is>
          <t>178 deviations from the BRDs for change control. For documentation and change control; does not change the platform or the FRS baseline.</t>
        </is>
      </c>
      <c r="D22" s="12" t="n">
        <v>178</v>
      </c>
    </row>
    <row r="23" ht="28" customHeight="1">
      <c r="B23" s="13" t="inlineStr">
        <is>
          <t>Summary</t>
        </is>
      </c>
      <c r="C23" s="14" t="inlineStr">
        <is>
          <t>Counts and man-days by drop, BRD, deviation type, status and priority. Formulas read the Register sheet, so the figures follow any change to it.</t>
        </is>
      </c>
      <c r="D23" s="14" t="n"/>
    </row>
    <row r="24" ht="28" customHeight="1">
      <c r="B24" s="11" t="inlineStr">
        <is>
          <t>Effort basis</t>
        </is>
      </c>
      <c r="C24" s="12" t="inlineStr">
        <is>
          <t>How the man-days are estimated: team roles, the man-day, what is included and excluded, and the size classes.</t>
        </is>
      </c>
      <c r="D24" s="12" t="n"/>
    </row>
    <row r="25" ht="28" customHeight="1">
      <c r="B25" s="13" t="inlineStr">
        <is>
          <t>Change control</t>
        </is>
      </c>
      <c r="C25" s="14" t="inlineStr">
        <is>
          <t>Change-control process for deviations and new change requests, with the roles and the proposed Change Control Board (CCB).</t>
        </is>
      </c>
      <c r="D25" s="14" t="n"/>
    </row>
    <row r="26" ht="28" customHeight="1">
      <c r="B26" s="11" t="inlineStr">
        <is>
          <t>CR form</t>
        </is>
      </c>
      <c r="C26" s="12" t="inlineStr">
        <is>
          <t>Change request form: one per CR; the Project Manager files the signed form with the register.</t>
        </is>
      </c>
      <c r="D26" s="12" t="n"/>
    </row>
    <row r="27"/>
    <row r="28">
      <c r="B28" s="9" t="inlineStr">
        <is>
          <t>Legend</t>
        </is>
      </c>
    </row>
    <row r="29" ht="28" customHeight="1">
      <c r="B29" s="15" t="inlineStr">
        <is>
          <t>Draft</t>
        </is>
      </c>
      <c r="C29" s="16" t="inlineStr">
        <is>
          <t>Raised by the project team. Impact analysis done; the BDOI answer or decision it needs is still open.</t>
        </is>
      </c>
    </row>
    <row r="30">
      <c r="B30" s="15" t="inlineStr">
        <is>
          <t>For CCB review</t>
        </is>
      </c>
      <c r="C30" s="16" t="inlineStr">
        <is>
          <t>Impact analysis complete; ready for the Change Control Board to approve, reject or defer.</t>
        </is>
      </c>
    </row>
    <row r="31">
      <c r="B31" s="15" t="inlineStr">
        <is>
          <t>Approved</t>
        </is>
      </c>
      <c r="C31" s="16" t="inlineStr">
        <is>
          <t>Approved by the CCB; scheduled into a drop or release.</t>
        </is>
      </c>
    </row>
    <row r="32">
      <c r="B32" s="15" t="inlineStr">
        <is>
          <t>Rejected</t>
        </is>
      </c>
      <c r="C32" s="16" t="inlineStr">
        <is>
          <t>Rejected by the CCB; the BRD text stands, or the item is closed without change.</t>
        </is>
      </c>
    </row>
    <row r="33" ht="28" customHeight="1">
      <c r="B33" s="15" t="inlineStr">
        <is>
          <t>For acceptance</t>
        </is>
      </c>
      <c r="C33" s="16" t="inlineStr">
        <is>
          <t>The proposed behaviour is decided and documented and differs from the BRD text; the CCB records the acceptance. No work remains.</t>
        </is>
      </c>
    </row>
    <row r="34"/>
    <row r="35">
      <c r="B35" s="17" t="inlineStr">
        <is>
          <t>Status as of 26 September 2026. Baseline: FRS v1.0 of every BRD (BRD-2, BRD-6, BRD-11 and BRD-13 at v1.1 or later), discrepancy register v1.2, BDOI answers of 26 September 2026.</t>
        </is>
      </c>
    </row>
    <row r="36"/>
    <row r="37" ht="26" customHeight="1">
      <c r="B37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6" customWidth="1" min="4" max="4"/>
    <col width="26" customWidth="1" min="5" max="5"/>
    <col width="50" customWidth="1" min="6" max="6"/>
  </cols>
  <sheetData>
    <row r="1">
      <c r="A1" s="19" t="inlineStr">
        <is>
          <t>Document control</t>
        </is>
      </c>
    </row>
    <row r="3" ht="22" customHeight="1">
      <c r="A3" s="20" t="inlineStr">
        <is>
          <t>For documentation and change control; does not change the platform or the FRS baseline.</t>
        </is>
      </c>
    </row>
    <row r="5">
      <c r="A5" s="21" t="inlineStr">
        <is>
          <t>Document</t>
        </is>
      </c>
      <c r="B5" s="22" t="inlineStr">
        <is>
          <t>Change Management Register (BIBS-CMR-BRD-00)</t>
        </is>
      </c>
      <c r="C5" s="23" t="n"/>
      <c r="D5" s="23" t="n"/>
      <c r="E5" s="23" t="n"/>
      <c r="F5" s="23" t="n"/>
    </row>
    <row r="6">
      <c r="A6" s="21" t="inlineStr">
        <is>
          <t>Version</t>
        </is>
      </c>
      <c r="B6" s="22" t="inlineStr">
        <is>
          <t>1.0</t>
        </is>
      </c>
      <c r="C6" s="23" t="n"/>
      <c r="D6" s="23" t="n"/>
      <c r="E6" s="23" t="n"/>
      <c r="F6" s="23" t="n"/>
    </row>
    <row r="7">
      <c r="A7" s="21" t="inlineStr">
        <is>
          <t>Date</t>
        </is>
      </c>
      <c r="B7" s="22" t="inlineStr">
        <is>
          <t>26 September 2026</t>
        </is>
      </c>
      <c r="C7" s="23" t="n"/>
      <c r="D7" s="23" t="n"/>
      <c r="E7" s="23" t="n"/>
      <c r="F7" s="23" t="n"/>
    </row>
    <row r="8">
      <c r="A8" s="21" t="inlineStr">
        <is>
          <t>Status</t>
        </is>
      </c>
      <c r="B8" s="22" t="inlineStr">
        <is>
          <t>Issued for BDOI review</t>
        </is>
      </c>
      <c r="C8" s="23" t="n"/>
      <c r="D8" s="23" t="n"/>
      <c r="E8" s="23" t="n"/>
      <c r="F8" s="23" t="n"/>
    </row>
    <row r="9">
      <c r="A9" s="21" t="inlineStr">
        <is>
          <t>Status as of</t>
        </is>
      </c>
      <c r="B9" s="22" t="inlineStr">
        <is>
          <t>26 September 2026</t>
        </is>
      </c>
      <c r="C9" s="23" t="n"/>
      <c r="D9" s="23" t="n"/>
      <c r="E9" s="23" t="n"/>
      <c r="F9" s="23" t="n"/>
    </row>
    <row r="10">
      <c r="A10" s="21" t="inlineStr">
        <is>
          <t>Baseline</t>
        </is>
      </c>
      <c r="B10" s="22" t="inlineStr">
        <is>
          <t>FRS v1.0 of every BRD (BRD-2, BRD-6, BRD-11 and BRD-13 at v1.1 or later), discrepancy register v1.2, BDOI answers of 26 September 2026</t>
        </is>
      </c>
      <c r="C10" s="23" t="n"/>
      <c r="D10" s="23" t="n"/>
      <c r="E10" s="23" t="n"/>
      <c r="F10" s="23" t="n"/>
    </row>
    <row r="11">
      <c r="A11" s="21" t="inlineStr">
        <is>
          <t>Word summary</t>
        </is>
      </c>
      <c r="B11" s="22" t="inlineStr">
        <is>
          <t>BIBS_Change_Register_BRD-00_Change_Management_Summary_v1.0.docx</t>
        </is>
      </c>
      <c r="C11" s="23" t="n"/>
      <c r="D11" s="23" t="n"/>
      <c r="E11" s="23" t="n"/>
      <c r="F11" s="23" t="n"/>
    </row>
    <row r="12">
      <c r="A12" s="21" t="inlineStr">
        <is>
          <t>Owner of the register</t>
        </is>
      </c>
      <c r="B12" s="22" t="inlineStr">
        <is>
          <t>Project Manager (iorta TechNXT) on behalf of the Change Control Board</t>
        </is>
      </c>
      <c r="C12" s="23" t="n"/>
      <c r="D12" s="23" t="n"/>
      <c r="E12" s="23" t="n"/>
      <c r="F12" s="23" t="n"/>
    </row>
    <row r="14">
      <c r="A14" s="9" t="inlineStr">
        <is>
          <t>Version history</t>
        </is>
      </c>
    </row>
    <row r="15">
      <c r="A15" s="24" t="inlineStr">
        <is>
          <t>Version</t>
        </is>
      </c>
      <c r="B15" s="24" t="inlineStr">
        <is>
          <t>Date</t>
        </is>
      </c>
      <c r="C15" s="24" t="inlineStr">
        <is>
          <t>Author</t>
        </is>
      </c>
      <c r="D15" s="24" t="inlineStr">
        <is>
          <t>Reviewer</t>
        </is>
      </c>
      <c r="E15" s="24" t="inlineStr">
        <is>
          <t>Approver</t>
        </is>
      </c>
      <c r="F15" s="24" t="inlineStr">
        <is>
          <t>Change</t>
        </is>
      </c>
    </row>
    <row r="16">
      <c r="A16" s="25" t="inlineStr">
        <is>
          <t>1.0</t>
        </is>
      </c>
      <c r="B16" s="12" t="inlineStr">
        <is>
          <t>26 Sep 2026</t>
        </is>
      </c>
      <c r="C16" s="12" t="inlineStr">
        <is>
          <t>iorta TechNXT Business Analyst lead</t>
        </is>
      </c>
      <c r="D16" s="12" t="inlineStr">
        <is>
          <t>iorta TechNXT Solution Architect</t>
        </is>
      </c>
      <c r="E16" s="12" t="inlineStr">
        <is>
          <t>BIBS Product Owner (pending)</t>
        </is>
      </c>
      <c r="F16" s="12" t="inlineStr">
        <is>
          <t>First issue: 178 deviations from BRD-00 to BRD-13 with effort in man-days</t>
        </is>
      </c>
    </row>
    <row r="18">
      <c r="A18" s="9" t="inlineStr">
        <is>
          <t>Review and approval</t>
        </is>
      </c>
    </row>
    <row r="19">
      <c r="A19" s="24" t="inlineStr">
        <is>
          <t>Role</t>
        </is>
      </c>
      <c r="B19" s="24" t="inlineStr">
        <is>
          <t>Organisation</t>
        </is>
      </c>
      <c r="C19" s="24" t="inlineStr">
        <is>
          <t>Name</t>
        </is>
      </c>
      <c r="D19" s="24" t="inlineStr">
        <is>
          <t>Signature</t>
        </is>
      </c>
      <c r="E19" s="24" t="inlineStr">
        <is>
          <t>Date</t>
        </is>
      </c>
      <c r="F19" s="24" t="inlineStr">
        <is>
          <t>Purpose</t>
        </is>
      </c>
    </row>
    <row r="20" ht="26" customHeight="1">
      <c r="A20" s="25" t="inlineStr">
        <is>
          <t>BIBS Product Owner</t>
        </is>
      </c>
      <c r="B20" s="12" t="inlineStr">
        <is>
          <t>BDOI</t>
        </is>
      </c>
      <c r="C20" s="12" t="inlineStr"/>
      <c r="D20" s="12" t="inlineStr"/>
      <c r="E20" s="12" t="inlineStr"/>
      <c r="F20" s="12" t="inlineStr">
        <is>
          <t>Chair of the CCB; approves the register</t>
        </is>
      </c>
    </row>
    <row r="21" ht="26" customHeight="1">
      <c r="A21" s="26" t="inlineStr">
        <is>
          <t>Program Manager, Business Project Services</t>
        </is>
      </c>
      <c r="B21" s="14" t="inlineStr">
        <is>
          <t>BDO Unibank ESG</t>
        </is>
      </c>
      <c r="C21" s="14" t="inlineStr"/>
      <c r="D21" s="14" t="inlineStr"/>
      <c r="E21" s="14" t="inlineStr"/>
      <c r="F21" s="14" t="inlineStr">
        <is>
          <t>Plan, drops and effort</t>
        </is>
      </c>
    </row>
    <row r="22" ht="26" customHeight="1">
      <c r="A22" s="25" t="inlineStr">
        <is>
          <t>Head, Comptrollership</t>
        </is>
      </c>
      <c r="B22" s="12" t="inlineStr">
        <is>
          <t>BDOI</t>
        </is>
      </c>
      <c r="C22" s="12" t="inlineStr"/>
      <c r="D22" s="12" t="inlineStr"/>
      <c r="E22" s="12" t="inlineStr"/>
      <c r="F22" s="12" t="inlineStr">
        <is>
          <t>Posting, GL, tax and BIR items</t>
        </is>
      </c>
    </row>
    <row r="23" ht="26" customHeight="1">
      <c r="A23" s="26" t="inlineStr">
        <is>
          <t>Chief Compliance Officer</t>
        </is>
      </c>
      <c r="B23" s="14" t="inlineStr">
        <is>
          <t>BDOI</t>
        </is>
      </c>
      <c r="C23" s="14" t="inlineStr"/>
      <c r="D23" s="14" t="inlineStr"/>
      <c r="E23" s="14" t="inlineStr"/>
      <c r="F23" s="14" t="inlineStr">
        <is>
          <t>Screening, access and retention items</t>
        </is>
      </c>
    </row>
    <row r="24" ht="26" customHeight="1">
      <c r="A24" s="25" t="inlineStr">
        <is>
          <t>Project Manager</t>
        </is>
      </c>
      <c r="B24" s="12" t="inlineStr">
        <is>
          <t>iorta TechNXT</t>
        </is>
      </c>
      <c r="C24" s="12" t="inlineStr"/>
      <c r="D24" s="12" t="inlineStr"/>
      <c r="E24" s="12" t="inlineStr"/>
      <c r="F24" s="12" t="inlineStr">
        <is>
          <t>Register owner; CCB secretary</t>
        </is>
      </c>
    </row>
    <row r="26">
      <c r="A26" s="9" t="inlineStr">
        <is>
          <t>Distribution</t>
        </is>
      </c>
    </row>
    <row r="27">
      <c r="A27" s="24" t="inlineStr">
        <is>
          <t>Recipient</t>
        </is>
      </c>
      <c r="B27" s="24" t="inlineStr">
        <is>
          <t>Organisation</t>
        </is>
      </c>
      <c r="C27" s="24" t="inlineStr">
        <is>
          <t>Purpose</t>
        </is>
      </c>
      <c r="D27" s="27" t="n"/>
      <c r="E27" s="27" t="n"/>
      <c r="F27" s="28" t="n"/>
    </row>
    <row r="28">
      <c r="A28" s="25" t="inlineStr">
        <is>
          <t>Owners of BRD-1 to BRD-13 (department heads and product owners)</t>
        </is>
      </c>
      <c r="B28" s="12" t="inlineStr">
        <is>
          <t>BDOI</t>
        </is>
      </c>
      <c r="C28" s="12" t="inlineStr">
        <is>
          <t>Review the CRs of their BRD; decision owners</t>
        </is>
      </c>
      <c r="D28" s="27" t="n"/>
      <c r="E28" s="27" t="n"/>
      <c r="F28" s="28" t="n"/>
    </row>
    <row r="29">
      <c r="A29" s="26" t="inlineStr">
        <is>
          <t>BDOI IT (integration owners)</t>
        </is>
      </c>
      <c r="B29" s="14" t="inlineStr">
        <is>
          <t>BDOI</t>
        </is>
      </c>
      <c r="C29" s="14" t="inlineStr">
        <is>
          <t>Interface and infrastructure CRs</t>
        </is>
      </c>
      <c r="D29" s="27" t="n"/>
      <c r="E29" s="27" t="n"/>
      <c r="F29" s="28" t="n"/>
    </row>
    <row r="30">
      <c r="A30" s="25" t="inlineStr">
        <is>
          <t>Project team</t>
        </is>
      </c>
      <c r="B30" s="12" t="inlineStr">
        <is>
          <t>iorta TechNXT</t>
        </is>
      </c>
      <c r="C30" s="12" t="inlineStr">
        <is>
          <t>Impact analysis, scheduling, FRS revisions</t>
        </is>
      </c>
      <c r="D30" s="27" t="n"/>
      <c r="E30" s="27" t="n"/>
      <c r="F30" s="28" t="n"/>
    </row>
  </sheetData>
  <mergeCells count="13">
    <mergeCell ref="B12:F12"/>
    <mergeCell ref="B7:F7"/>
    <mergeCell ref="B6:F6"/>
    <mergeCell ref="B10:F10"/>
    <mergeCell ref="B11:F11"/>
    <mergeCell ref="C27:F27"/>
    <mergeCell ref="B5:F5"/>
    <mergeCell ref="C29:F29"/>
    <mergeCell ref="C30:F30"/>
    <mergeCell ref="B8:F8"/>
    <mergeCell ref="A3:F3"/>
    <mergeCell ref="B9:F9"/>
    <mergeCell ref="C28:F28"/>
  </mergeCells>
  <printOptions horizontalCentered="1"/>
  <pageMargins left="0.4" right="0.4" top="0.6" bottom="0.6" header="0.5" footer="0.5"/>
  <pageSetup orientation="landscape" paperSize="9" fitToHeight="0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80" customWidth="1" min="3" max="3"/>
    <col width="44" customWidth="1" min="4" max="4"/>
  </cols>
  <sheetData>
    <row r="1">
      <c r="A1" s="19" t="inlineStr">
        <is>
          <t>How to read this register</t>
        </is>
      </c>
    </row>
    <row r="2">
      <c r="A2" s="29" t="inlineStr">
        <is>
          <t>For documentation and change control; does not change the platform or the FRS baseline.</t>
        </is>
      </c>
    </row>
    <row r="4">
      <c r="A4" s="9" t="inlineStr">
        <is>
          <t>Reading guide</t>
        </is>
      </c>
    </row>
    <row r="5" ht="30" customHeight="1">
      <c r="A5" s="30" t="inlineStr">
        <is>
          <t>•</t>
        </is>
      </c>
      <c r="B5" s="31" t="inlineStr">
        <is>
          <t>One row per deviation from a BRD requirement, merged across sources (the clarifications chapters of the FRS, the requirements baselines, the discrepancy register v1.2, the alignment pack, the cross-BRD decisions and the BDOI answers of 26 September 2026). The Source column says where each deviation is recorded.</t>
        </is>
      </c>
    </row>
    <row r="6" ht="30" customHeight="1">
      <c r="A6" s="30" t="inlineStr">
        <is>
          <t>•</t>
        </is>
      </c>
      <c r="B6" s="31" t="inlineStr">
        <is>
          <t>Filter the Register sheet by Drop, BRD, Deviation type, Priority or CR status. The Summary sheet recounts from the Register, so it stays correct when rows are added or a status changes.</t>
        </is>
      </c>
    </row>
    <row r="7" ht="30" customHeight="1">
      <c r="A7" s="30" t="inlineStr">
        <is>
          <t>•</t>
        </is>
      </c>
      <c r="B7" s="31" t="inlineStr">
        <is>
          <t>Effort is in man-days for the work still needed to close the deviation as proposed (Effort basis sheet). It is 0 when no work remains and the behaviour only needs acceptance. 'BRD as written' gives the indicative effort to deliver the BRD text instead, where the CCB may want to compare.</t>
        </is>
      </c>
    </row>
    <row r="8" ht="30" customHeight="1">
      <c r="A8" s="30" t="inlineStr">
        <is>
          <t>•</t>
        </is>
      </c>
      <c r="B8" s="31" t="inlineStr">
        <is>
          <t>A CR moves Draft -&gt; For CCB review -&gt; Approved or Rejected. Rows marked 'For acceptance' describe decided behaviour that differs from the BRD: the CCB records the acceptance; no work remains.</t>
        </is>
      </c>
    </row>
    <row r="9" ht="30" customHeight="1">
      <c r="A9" s="30" t="inlineStr">
        <is>
          <t>•</t>
        </is>
      </c>
      <c r="B9" s="31" t="inlineStr">
        <is>
          <t>The register does not change the FRS. An approved CR reaches the FRS only through the next FRS revision, which cites the CR ID.</t>
        </is>
      </c>
    </row>
    <row r="11">
      <c r="A11" s="9" t="inlineStr">
        <is>
          <t>Deviation types</t>
        </is>
      </c>
    </row>
    <row r="12">
      <c r="A12" s="24" t="inlineStr">
        <is>
          <t>Type</t>
        </is>
      </c>
      <c r="B12" s="24" t="inlineStr">
        <is>
          <t>Meaning</t>
        </is>
      </c>
      <c r="C12" s="27" t="n"/>
      <c r="D12" s="28" t="n"/>
    </row>
    <row r="13">
      <c r="A13" s="25" t="inlineStr">
        <is>
          <t>Scope addition — beyond BRD</t>
        </is>
      </c>
      <c r="B13" s="12" t="inlineStr">
        <is>
          <t>BIBS does more than the BRD asks, or the umbrella FRS proposes a requirement that no function BRD owns. BDOI accepts the addition or removes it.</t>
        </is>
      </c>
      <c r="C13" s="27" t="n"/>
      <c r="D13" s="28" t="n"/>
    </row>
    <row r="14">
      <c r="A14" s="26" t="inlineStr">
        <is>
          <t>Scope reduction / descoped</t>
        </is>
      </c>
      <c r="B14" s="14" t="inlineStr">
        <is>
          <t>A BRD requirement is not delivered, or is delivered with less than the BRD asks, by a BDOI instruction or a proposal. BDOI confirms the descoping.</t>
        </is>
      </c>
      <c r="C14" s="27" t="n"/>
      <c r="D14" s="28" t="n"/>
    </row>
    <row r="15">
      <c r="A15" s="25" t="inlineStr">
        <is>
          <t>Behaviour differs from BRD</t>
        </is>
      </c>
      <c r="B15" s="12" t="inlineStr">
        <is>
          <t>The requirement is met in a different way from the BRD text. BDOI accepts the proposed behaviour or asks for the BRD text.</t>
        </is>
      </c>
      <c r="C15" s="27" t="n"/>
      <c r="D15" s="28" t="n"/>
    </row>
    <row r="16">
      <c r="A16" s="26" t="inlineStr">
        <is>
          <t>Deferred pending BDOI answer</t>
        </is>
      </c>
      <c r="B16" s="14" t="inlineStr">
        <is>
          <t>The element runs with a documented default and waits for a BDOI answer (values, layouts, rules, a yes / no on scope).</t>
        </is>
      </c>
      <c r="C16" s="27" t="n"/>
      <c r="D16" s="28" t="n"/>
    </row>
    <row r="17">
      <c r="A17" s="25" t="inlineStr">
        <is>
          <t>Deferred to Phase 2</t>
        </is>
      </c>
      <c r="B17" s="12" t="inlineStr">
        <is>
          <t>Out of phase 1 by BDOI decision; kept for phase 2.</t>
        </is>
      </c>
      <c r="C17" s="27" t="n"/>
      <c r="D17" s="28" t="n"/>
    </row>
    <row r="18">
      <c r="A18" s="26" t="inlineStr">
        <is>
          <t>BRD conflict resolved by decision</t>
        </is>
      </c>
      <c r="B18" s="14" t="inlineStr">
        <is>
          <t>Two BRDs, or two parts of one BRD, conflict. A binding decision (D1-D10) or a proposed resolution settles the conflict; BDOI confirms it.</t>
        </is>
      </c>
      <c r="C18" s="27" t="n"/>
      <c r="D18" s="28" t="n"/>
    </row>
    <row r="19">
      <c r="A19" s="25" t="inlineStr">
        <is>
          <t>Integration dependency</t>
        </is>
      </c>
      <c r="B19" s="12" t="inlineStr">
        <is>
          <t>The requirement depends on an interface with a BDO or insurer system that is not yet specified. BIBS runs on an upload or a manual step until the interface exists.</t>
        </is>
      </c>
      <c r="C19" s="27" t="n"/>
      <c r="D19" s="28" t="n"/>
    </row>
    <row r="20">
      <c r="A20" s="26" t="inlineStr">
        <is>
          <t>NFR / infrastructure change</t>
        </is>
      </c>
      <c r="B20" s="14" t="inlineStr">
        <is>
          <t>A non-functional value (hours, availability, recovery, retention, sizing) or an infrastructure choice differs from one or more BRDs, or from the IER workbook.</t>
        </is>
      </c>
      <c r="C20" s="27" t="n"/>
      <c r="D20" s="28" t="n"/>
    </row>
    <row r="21">
      <c r="A21" s="25" t="inlineStr">
        <is>
          <t>Data migration</t>
        </is>
      </c>
      <c r="B21" s="12" t="inlineStr">
        <is>
          <t>The migration or cut-over treatment differs from what a BRD assumes, or adds work that a BRD does not state.</t>
        </is>
      </c>
      <c r="C21" s="27" t="n"/>
      <c r="D21" s="28" t="n"/>
    </row>
    <row r="23">
      <c r="A23" s="9" t="inlineStr">
        <is>
          <t>CR status</t>
        </is>
      </c>
    </row>
    <row r="24">
      <c r="A24" s="24" t="inlineStr">
        <is>
          <t>Status</t>
        </is>
      </c>
      <c r="B24" s="24" t="inlineStr">
        <is>
          <t>Meaning</t>
        </is>
      </c>
      <c r="C24" s="27" t="n"/>
      <c r="D24" s="28" t="n"/>
    </row>
    <row r="25">
      <c r="A25" s="25" t="inlineStr">
        <is>
          <t>Draft</t>
        </is>
      </c>
      <c r="B25" s="12" t="inlineStr">
        <is>
          <t>Raised by the project team. Impact analysis done; the BDOI answer or decision it needs is still open.</t>
        </is>
      </c>
      <c r="C25" s="27" t="n"/>
      <c r="D25" s="28" t="n"/>
    </row>
    <row r="26">
      <c r="A26" s="26" t="inlineStr">
        <is>
          <t>For CCB review</t>
        </is>
      </c>
      <c r="B26" s="14" t="inlineStr">
        <is>
          <t>Impact analysis complete; ready for the Change Control Board to approve, reject or defer.</t>
        </is>
      </c>
      <c r="C26" s="27" t="n"/>
      <c r="D26" s="28" t="n"/>
    </row>
    <row r="27">
      <c r="A27" s="25" t="inlineStr">
        <is>
          <t>Approved</t>
        </is>
      </c>
      <c r="B27" s="12" t="inlineStr">
        <is>
          <t>Approved by the CCB; scheduled into a drop or release.</t>
        </is>
      </c>
      <c r="C27" s="27" t="n"/>
      <c r="D27" s="28" t="n"/>
    </row>
    <row r="28">
      <c r="A28" s="26" t="inlineStr">
        <is>
          <t>Rejected</t>
        </is>
      </c>
      <c r="B28" s="14" t="inlineStr">
        <is>
          <t>Rejected by the CCB; the BRD text stands, or the item is closed without change.</t>
        </is>
      </c>
      <c r="C28" s="27" t="n"/>
      <c r="D28" s="28" t="n"/>
    </row>
    <row r="29">
      <c r="A29" s="25" t="inlineStr">
        <is>
          <t>For acceptance</t>
        </is>
      </c>
      <c r="B29" s="12" t="inlineStr">
        <is>
          <t>The proposed behaviour is decided and documented and differs from the BRD text; the CCB records the acceptance. No work remains.</t>
        </is>
      </c>
      <c r="C29" s="27" t="n"/>
      <c r="D29" s="28" t="n"/>
    </row>
    <row r="31">
      <c r="A31" s="9" t="inlineStr">
        <is>
          <t>Priority</t>
        </is>
      </c>
    </row>
    <row r="32">
      <c r="A32" s="24" t="inlineStr">
        <is>
          <t>Priority</t>
        </is>
      </c>
      <c r="B32" s="24" t="inlineStr">
        <is>
          <t>Meaning</t>
        </is>
      </c>
      <c r="C32" s="27" t="n"/>
      <c r="D32" s="28" t="n"/>
    </row>
    <row r="33">
      <c r="A33" s="25" t="inlineStr">
        <is>
          <t>High</t>
        </is>
      </c>
      <c r="B33" s="12" t="inlineStr">
        <is>
          <t>Affects money (premium, commission, GL, remittance), regulatory compliance, security or access, or blocks a drop. Decide before the FRS of the area is signed off.</t>
        </is>
      </c>
      <c r="C33" s="27" t="n"/>
      <c r="D33" s="28" t="n"/>
    </row>
    <row r="34">
      <c r="A34" s="26" t="inlineStr">
        <is>
          <t>Medium</t>
        </is>
      </c>
      <c r="B34" s="14" t="inlineStr">
        <is>
          <t>Changes a rule, screen, report or interface; a documented default runs until BDOI decides.</t>
        </is>
      </c>
      <c r="C34" s="27" t="n"/>
      <c r="D34" s="28" t="n"/>
    </row>
    <row r="35">
      <c r="A35" s="25" t="inlineStr">
        <is>
          <t>Low</t>
        </is>
      </c>
      <c r="B35" s="12" t="inlineStr">
        <is>
          <t>Wording, labels or presentation; no effect on money, control or data.</t>
        </is>
      </c>
      <c r="C35" s="27" t="n"/>
      <c r="D35" s="28" t="n"/>
    </row>
    <row r="37">
      <c r="A37" s="9" t="inlineStr">
        <is>
          <t>Size classes (effort basis)</t>
        </is>
      </c>
    </row>
    <row r="38">
      <c r="A38" s="24" t="inlineStr">
        <is>
          <t>Class</t>
        </is>
      </c>
      <c r="B38" s="24" t="inlineStr">
        <is>
          <t>Man-days</t>
        </is>
      </c>
      <c r="C38" s="27" t="n"/>
      <c r="D38" s="28" t="n"/>
    </row>
    <row r="39">
      <c r="A39" s="25" t="inlineStr">
        <is>
          <t>0</t>
        </is>
      </c>
      <c r="B39" s="12" t="inlineStr">
        <is>
          <t>Acceptance only</t>
        </is>
      </c>
      <c r="C39" s="27" t="n"/>
      <c r="D39" s="28" t="n"/>
    </row>
    <row r="40">
      <c r="A40" s="26" t="inlineStr">
        <is>
          <t>S</t>
        </is>
      </c>
      <c r="B40" s="14" t="inlineStr">
        <is>
          <t>1 to 3</t>
        </is>
      </c>
      <c r="C40" s="27" t="n"/>
      <c r="D40" s="28" t="n"/>
    </row>
    <row r="41">
      <c r="A41" s="25" t="inlineStr">
        <is>
          <t>M</t>
        </is>
      </c>
      <c r="B41" s="12" t="inlineStr">
        <is>
          <t>4 to 10</t>
        </is>
      </c>
      <c r="C41" s="27" t="n"/>
      <c r="D41" s="28" t="n"/>
    </row>
    <row r="42">
      <c r="A42" s="26" t="inlineStr">
        <is>
          <t>L</t>
        </is>
      </c>
      <c r="B42" s="14" t="inlineStr">
        <is>
          <t>11 to 25</t>
        </is>
      </c>
      <c r="C42" s="27" t="n"/>
      <c r="D42" s="28" t="n"/>
    </row>
    <row r="43">
      <c r="A43" s="25" t="inlineStr">
        <is>
          <t>XL</t>
        </is>
      </c>
      <c r="B43" s="12" t="inlineStr">
        <is>
          <t>more than 25</t>
        </is>
      </c>
      <c r="C43" s="27" t="n"/>
      <c r="D43" s="28" t="n"/>
    </row>
    <row r="45">
      <c r="A45" s="9" t="inlineStr">
        <is>
          <t>Columns of the data sheets</t>
        </is>
      </c>
    </row>
    <row r="46">
      <c r="A46" s="24" t="inlineStr">
        <is>
          <t>Sheet</t>
        </is>
      </c>
      <c r="B46" s="24" t="inlineStr">
        <is>
          <t>Column</t>
        </is>
      </c>
      <c r="C46" s="24" t="inlineStr">
        <is>
          <t>Meaning</t>
        </is>
      </c>
      <c r="D46" s="24" t="inlineStr">
        <is>
          <t>Allowed values</t>
        </is>
      </c>
    </row>
    <row r="47">
      <c r="A47" s="25" t="inlineStr">
        <is>
          <t>Register</t>
        </is>
      </c>
      <c r="B47" s="12" t="inlineStr">
        <is>
          <t>CR ID</t>
        </is>
      </c>
      <c r="C47" s="12" t="inlineStr">
        <is>
          <t>Change request identifier, CR-nnnn</t>
        </is>
      </c>
      <c r="D47" s="12" t="inlineStr"/>
    </row>
    <row r="48">
      <c r="A48" s="26" t="inlineStr">
        <is>
          <t>Register</t>
        </is>
      </c>
      <c r="B48" s="14" t="inlineStr">
        <is>
          <t>Drop</t>
        </is>
      </c>
      <c r="C48" s="14" t="inlineStr">
        <is>
          <t>BDOI drop of the item (Drop 0 set-up and migration, Drop 1 transactional, Drop 2 independent), Programme (cross-drop) or Phase 2</t>
        </is>
      </c>
      <c r="D48" s="14" t="inlineStr">
        <is>
          <t>Drop 0, Drop 1, Drop 2, Programme, Phase 2</t>
        </is>
      </c>
    </row>
    <row r="49">
      <c r="A49" s="25" t="inlineStr">
        <is>
          <t>Register</t>
        </is>
      </c>
      <c r="B49" s="12" t="inlineStr">
        <is>
          <t>BRD</t>
        </is>
      </c>
      <c r="C49" s="12" t="inlineStr">
        <is>
          <t>Primary BRD; other BRDs involved are named in the BRD requirement column</t>
        </is>
      </c>
      <c r="D49" s="12" t="inlineStr">
        <is>
          <t>BRD-00, BRD-01, BRD-02, BRD-03, BRD-04, BRD-05, BRD-06, BRD-07, BRD-08, BRD-09, BRD-10, BRD-11, BRD-12, BRD-13</t>
        </is>
      </c>
    </row>
    <row r="50">
      <c r="A50" s="26" t="inlineStr">
        <is>
          <t>Register</t>
        </is>
      </c>
      <c r="B50" s="14" t="inlineStr">
        <is>
          <t>BRD requirement ID(s) and page</t>
        </is>
      </c>
      <c r="C50" s="14" t="inlineStr">
        <is>
          <t>BRD requirement IDs with the PDF page of the source BRD</t>
        </is>
      </c>
      <c r="D50" s="14" t="inlineStr"/>
    </row>
    <row r="51">
      <c r="A51" s="25" t="inlineStr">
        <is>
          <t>Register</t>
        </is>
      </c>
      <c r="B51" s="12" t="inlineStr">
        <is>
          <t>FRS FR ID(s)</t>
        </is>
      </c>
      <c r="C51" s="12" t="inlineStr">
        <is>
          <t>Functional requirement IDs of the FRS, or the FRS section that records the item</t>
        </is>
      </c>
      <c r="D51" s="12" t="inlineStr"/>
    </row>
    <row r="52">
      <c r="A52" s="26" t="inlineStr">
        <is>
          <t>Register</t>
        </is>
      </c>
      <c r="B52" s="14" t="inlineStr">
        <is>
          <t>Deviation type</t>
        </is>
      </c>
      <c r="C52" s="14" t="inlineStr">
        <is>
          <t>Kind of deviation (How to read)</t>
        </is>
      </c>
      <c r="D52" s="14" t="inlineStr">
        <is>
          <t>Scope addition — beyond BRD, Scope reduction / descoped, Behaviour differs from BRD, Deferred pending BDOI answer, Deferred to Phase 2, BRD conflict resolved by decision, Integration dependency, NFR / infrastructure change, Data migration</t>
        </is>
      </c>
    </row>
    <row r="53">
      <c r="A53" s="25" t="inlineStr">
        <is>
          <t>Register</t>
        </is>
      </c>
      <c r="B53" s="12" t="inlineStr">
        <is>
          <t>BRD requirement</t>
        </is>
      </c>
      <c r="C53" s="12" t="inlineStr">
        <is>
          <t>What the BRD asks, in short</t>
        </is>
      </c>
      <c r="D53" s="12" t="inlineStr"/>
    </row>
    <row r="54">
      <c r="A54" s="26" t="inlineStr">
        <is>
          <t>Register</t>
        </is>
      </c>
      <c r="B54" s="14" t="inlineStr">
        <is>
          <t>Proposed behaviour</t>
        </is>
      </c>
      <c r="C54" s="14" t="inlineStr">
        <is>
          <t>The proposed behaviour of BIBS</t>
        </is>
      </c>
      <c r="D54" s="14" t="inlineStr"/>
    </row>
    <row r="55">
      <c r="A55" s="25" t="inlineStr">
        <is>
          <t>Register</t>
        </is>
      </c>
      <c r="B55" s="12" t="inlineStr">
        <is>
          <t>Reason</t>
        </is>
      </c>
      <c r="C55" s="12" t="inlineStr">
        <is>
          <t>BDOI decision, open question or technical constraint behind the deviation</t>
        </is>
      </c>
      <c r="D55" s="12" t="inlineStr"/>
    </row>
    <row r="56">
      <c r="A56" s="26" t="inlineStr">
        <is>
          <t>Register</t>
        </is>
      </c>
      <c r="B56" s="14" t="inlineStr">
        <is>
          <t>Business impact</t>
        </is>
      </c>
      <c r="C56" s="14" t="inlineStr">
        <is>
          <t>Effect on the business process, money, control or users</t>
        </is>
      </c>
      <c r="D56" s="14" t="inlineStr"/>
    </row>
    <row r="57">
      <c r="A57" s="25" t="inlineStr">
        <is>
          <t>Register</t>
        </is>
      </c>
      <c r="B57" s="12" t="inlineStr">
        <is>
          <t>Affected departments</t>
        </is>
      </c>
      <c r="C57" s="12" t="inlineStr">
        <is>
          <t>BDOI departments affected</t>
        </is>
      </c>
      <c r="D57" s="12" t="inlineStr"/>
    </row>
    <row r="58">
      <c r="A58" s="26" t="inlineStr">
        <is>
          <t>Register</t>
        </is>
      </c>
      <c r="B58" s="14" t="inlineStr">
        <is>
          <t>Analysis (md)</t>
        </is>
      </c>
      <c r="C58" s="14" t="inlineStr">
        <is>
          <t>Man-days of analysis still needed</t>
        </is>
      </c>
      <c r="D58" s="14" t="inlineStr"/>
    </row>
    <row r="59">
      <c r="A59" s="25" t="inlineStr">
        <is>
          <t>Register</t>
        </is>
      </c>
      <c r="B59" s="12" t="inlineStr">
        <is>
          <t>Dev. (md)</t>
        </is>
      </c>
      <c r="C59" s="12" t="inlineStr">
        <is>
          <t>Man-days of development and configuration</t>
        </is>
      </c>
      <c r="D59" s="12" t="inlineStr"/>
    </row>
    <row r="60">
      <c r="A60" s="26" t="inlineStr">
        <is>
          <t>Register</t>
        </is>
      </c>
      <c r="B60" s="14" t="inlineStr">
        <is>
          <t>Test (md)</t>
        </is>
      </c>
      <c r="C60" s="14" t="inlineStr">
        <is>
          <t>Man-days of SIT test preparation, execution and regression</t>
        </is>
      </c>
      <c r="D60" s="14" t="inlineStr"/>
    </row>
    <row r="61">
      <c r="A61" s="25" t="inlineStr">
        <is>
          <t>Register</t>
        </is>
      </c>
      <c r="B61" s="12" t="inlineStr">
        <is>
          <t>Doc. (md)</t>
        </is>
      </c>
      <c r="C61" s="12" t="inlineStr">
        <is>
          <t>Man-days of documentation (FRS, test plan, guides)</t>
        </is>
      </c>
      <c r="D61" s="12" t="inlineStr"/>
    </row>
    <row r="62">
      <c r="A62" s="26" t="inlineStr">
        <is>
          <t>Register</t>
        </is>
      </c>
      <c r="B62" s="14" t="inlineStr">
        <is>
          <t>Total (md)</t>
        </is>
      </c>
      <c r="C62" s="14" t="inlineStr">
        <is>
          <t>Sum of the four effort columns (formula)</t>
        </is>
      </c>
      <c r="D62" s="14" t="inlineStr"/>
    </row>
    <row r="63">
      <c r="A63" s="25" t="inlineStr">
        <is>
          <t>Register</t>
        </is>
      </c>
      <c r="B63" s="12" t="inlineStr">
        <is>
          <t>Size basis</t>
        </is>
      </c>
      <c r="C63" s="12" t="inlineStr">
        <is>
          <t>Size class and chosen number: S 1-3, M 4-10, L 11-25, XL over 25; 0 = acceptance only (formula)</t>
        </is>
      </c>
      <c r="D63" s="12" t="inlineStr"/>
    </row>
    <row r="64">
      <c r="A64" s="26" t="inlineStr">
        <is>
          <t>Register</t>
        </is>
      </c>
      <c r="B64" s="14" t="inlineStr">
        <is>
          <t>BRD as written (md)</t>
        </is>
      </c>
      <c r="C64" s="14" t="inlineStr">
        <is>
          <t>Indicative man-days to deliver the BRD text instead of the proposed behaviour (blank where not applicable)</t>
        </is>
      </c>
      <c r="D64" s="14" t="inlineStr"/>
    </row>
    <row r="65">
      <c r="A65" s="25" t="inlineStr">
        <is>
          <t>Register</t>
        </is>
      </c>
      <c r="B65" s="12" t="inlineStr">
        <is>
          <t>Priority</t>
        </is>
      </c>
      <c r="C65" s="12" t="inlineStr">
        <is>
          <t>High, Medium or Low (How to read)</t>
        </is>
      </c>
      <c r="D65" s="12" t="inlineStr">
        <is>
          <t>High, Medium, Low</t>
        </is>
      </c>
    </row>
    <row r="66">
      <c r="A66" s="26" t="inlineStr">
        <is>
          <t>Register</t>
        </is>
      </c>
      <c r="B66" s="14" t="inlineStr">
        <is>
          <t>CR status</t>
        </is>
      </c>
      <c r="C66" s="14" t="inlineStr">
        <is>
          <t>Status in the change-control process</t>
        </is>
      </c>
      <c r="D66" s="14" t="inlineStr">
        <is>
          <t>Draft, For CCB review, Approved, Rejected, For acceptance</t>
        </is>
      </c>
    </row>
    <row r="67">
      <c r="A67" s="25" t="inlineStr">
        <is>
          <t>Register</t>
        </is>
      </c>
      <c r="B67" s="12" t="inlineStr">
        <is>
          <t>Decision owner (BDOI)</t>
        </is>
      </c>
      <c r="C67" s="12" t="inlineStr">
        <is>
          <t>BDOI role that decides the CR</t>
        </is>
      </c>
      <c r="D67" s="12" t="inlineStr"/>
    </row>
    <row r="68">
      <c r="A68" s="26" t="inlineStr">
        <is>
          <t>Register</t>
        </is>
      </c>
      <c r="B68" s="14" t="inlineStr">
        <is>
          <t>Register / question refs</t>
        </is>
      </c>
      <c r="C68" s="14" t="inlineStr">
        <is>
          <t>Discrepancy register items (DCR-), question IDs and decisions (D1-D10)</t>
        </is>
      </c>
      <c r="D68" s="14" t="inlineStr"/>
    </row>
    <row r="69">
      <c r="A69" s="25" t="inlineStr">
        <is>
          <t>Register</t>
        </is>
      </c>
      <c r="B69" s="12" t="inlineStr">
        <is>
          <t>Target drop / release</t>
        </is>
      </c>
      <c r="C69" s="12" t="inlineStr">
        <is>
          <t>Drop or release in which the CR is closed</t>
        </is>
      </c>
      <c r="D69" s="12" t="inlineStr">
        <is>
          <t>FRS sign-off (Nov 2026), Drop 1, first release (Nov - Dec 2026), Drop 1, second release (Jan - Feb 2027), Migration functions (Nov 2026 - Mar 2027), Infrastructure before SIT (by Jan 2027), Drop 2 (Mar - Apr 2027), Before go-live (Oct - Dec 2027), Phase 2, After BDOI answer (slot set by the CCB)</t>
        </is>
      </c>
    </row>
    <row r="70">
      <c r="A70" s="26" t="inlineStr">
        <is>
          <t>Register</t>
        </is>
      </c>
      <c r="B70" s="14" t="inlineStr">
        <is>
          <t>Source of the record</t>
        </is>
      </c>
      <c r="C70" s="14" t="inlineStr">
        <is>
          <t>Where the deviation is recorded (FRS section, requirements baseline, register, alignment pack)</t>
        </is>
      </c>
      <c r="D70" s="14" t="inlineStr"/>
    </row>
  </sheetData>
  <mergeCells count="31">
    <mergeCell ref="B42:D42"/>
    <mergeCell ref="B14:D14"/>
    <mergeCell ref="B8:D8"/>
    <mergeCell ref="B17:D17"/>
    <mergeCell ref="B13:D13"/>
    <mergeCell ref="B29:D29"/>
    <mergeCell ref="B38:D38"/>
    <mergeCell ref="B34:D34"/>
    <mergeCell ref="B28:D28"/>
    <mergeCell ref="B19:D19"/>
    <mergeCell ref="B40:D40"/>
    <mergeCell ref="B9:D9"/>
    <mergeCell ref="B15:D15"/>
    <mergeCell ref="B6:D6"/>
    <mergeCell ref="B24:D24"/>
    <mergeCell ref="B20:D20"/>
    <mergeCell ref="B33:D33"/>
    <mergeCell ref="B5:D5"/>
    <mergeCell ref="B41:D41"/>
    <mergeCell ref="B32:D32"/>
    <mergeCell ref="B35:D35"/>
    <mergeCell ref="B26:D26"/>
    <mergeCell ref="B7:D7"/>
    <mergeCell ref="B25:D25"/>
    <mergeCell ref="B16:D16"/>
    <mergeCell ref="B18:D18"/>
    <mergeCell ref="B27:D27"/>
    <mergeCell ref="B21:D21"/>
    <mergeCell ref="B43:D43"/>
    <mergeCell ref="B12:D12"/>
    <mergeCell ref="B39:D39"/>
  </mergeCells>
  <printOptions horizontalCentered="1"/>
  <pageMargins left="0.4" right="0.4" top="0.6" bottom="0.6" header="0.5" footer="0.5"/>
  <pageSetup orientation="landscape" paperSize="9" fitToHeight="0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82"/>
  <sheetViews>
    <sheetView zoomScale="9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24" customWidth="1" min="4" max="4"/>
    <col width="16" customWidth="1" min="5" max="5"/>
    <col width="18" customWidth="1" min="6" max="6"/>
    <col width="30" customWidth="1" min="7" max="7"/>
    <col width="42" customWidth="1" min="8" max="8"/>
    <col width="22" customWidth="1" min="9" max="9"/>
    <col width="22" customWidth="1" min="10" max="10"/>
    <col width="1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2" customWidth="1" min="17" max="17"/>
    <col width="9" customWidth="1" min="18" max="18"/>
    <col width="9" customWidth="1" min="19" max="19"/>
    <col width="16" customWidth="1" min="20" max="20"/>
    <col width="22" customWidth="1" min="21" max="21"/>
    <col width="18" customWidth="1" min="22" max="22"/>
    <col width="17" customWidth="1" min="23" max="23"/>
    <col width="24" customWidth="1" min="24" max="24"/>
  </cols>
  <sheetData>
    <row r="1" ht="24" customHeight="1">
      <c r="A1" s="19" t="inlineStr">
        <is>
          <t>Register</t>
        </is>
      </c>
    </row>
    <row r="2">
      <c r="A2" s="32" t="inlineStr">
        <is>
          <t>178 deviations from the BRDs for change control. For documentation and change control; does not change the platform or the FRS baseline.</t>
        </is>
      </c>
    </row>
    <row r="3" ht="6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</row>
    <row r="4" ht="40" customHeight="1">
      <c r="A4" s="34" t="inlineStr">
        <is>
          <t>CR ID</t>
        </is>
      </c>
      <c r="B4" s="34" t="inlineStr">
        <is>
          <t>Drop</t>
        </is>
      </c>
      <c r="C4" s="34" t="inlineStr">
        <is>
          <t>BRD</t>
        </is>
      </c>
      <c r="D4" s="34" t="inlineStr">
        <is>
          <t>BRD requirement ID(s) and page</t>
        </is>
      </c>
      <c r="E4" s="34" t="inlineStr">
        <is>
          <t>FRS FR ID(s)</t>
        </is>
      </c>
      <c r="F4" s="34" t="inlineStr">
        <is>
          <t>Deviation type</t>
        </is>
      </c>
      <c r="G4" s="34" t="inlineStr">
        <is>
          <t>BRD requirement</t>
        </is>
      </c>
      <c r="H4" s="34" t="inlineStr">
        <is>
          <t>Proposed behaviour</t>
        </is>
      </c>
      <c r="I4" s="34" t="inlineStr">
        <is>
          <t>Reason</t>
        </is>
      </c>
      <c r="J4" s="34" t="inlineStr">
        <is>
          <t>Business impact</t>
        </is>
      </c>
      <c r="K4" s="34" t="inlineStr">
        <is>
          <t>Affected departments</t>
        </is>
      </c>
      <c r="L4" s="34" t="inlineStr">
        <is>
          <t>Analysis (md)</t>
        </is>
      </c>
      <c r="M4" s="34" t="inlineStr">
        <is>
          <t>Dev. (md)</t>
        </is>
      </c>
      <c r="N4" s="34" t="inlineStr">
        <is>
          <t>Test (md)</t>
        </is>
      </c>
      <c r="O4" s="34" t="inlineStr">
        <is>
          <t>Doc. (md)</t>
        </is>
      </c>
      <c r="P4" s="34" t="inlineStr">
        <is>
          <t>Total (md)</t>
        </is>
      </c>
      <c r="Q4" s="34" t="inlineStr">
        <is>
          <t>Size basis</t>
        </is>
      </c>
      <c r="R4" s="34" t="inlineStr">
        <is>
          <t>BRD as written (md)</t>
        </is>
      </c>
      <c r="S4" s="34" t="inlineStr">
        <is>
          <t>Priority</t>
        </is>
      </c>
      <c r="T4" s="34" t="inlineStr">
        <is>
          <t>CR status</t>
        </is>
      </c>
      <c r="U4" s="34" t="inlineStr">
        <is>
          <t>Decision owner (BDOI)</t>
        </is>
      </c>
      <c r="V4" s="34" t="inlineStr">
        <is>
          <t>Register / question refs</t>
        </is>
      </c>
      <c r="W4" s="34" t="inlineStr">
        <is>
          <t>Target drop / release</t>
        </is>
      </c>
      <c r="X4" s="34" t="inlineStr">
        <is>
          <t>Source of the record</t>
        </is>
      </c>
    </row>
    <row r="5">
      <c r="A5" s="35" t="inlineStr">
        <is>
          <t>CR-0001</t>
        </is>
      </c>
      <c r="B5" s="36" t="inlineStr">
        <is>
          <t>Phase 2</t>
        </is>
      </c>
      <c r="C5" s="36" t="inlineStr">
        <is>
          <t>BRD-00</t>
        </is>
      </c>
      <c r="D5" s="37" t="inlineStr">
        <is>
          <t>CORE-15.01-15.10; BR-153 to BR-160 (p.10-11); capability matrix (p.28); ReInsurance BRD</t>
        </is>
      </c>
      <c r="E5" s="37" t="inlineStr">
        <is>
          <t>FRS BRD-00 section 6 (Reinsurance, phase 2); CLR-CR-01</t>
        </is>
      </c>
      <c r="F5" s="37" t="inlineStr">
        <is>
          <t>Deferred to Phase 2</t>
        </is>
      </c>
      <c r="G5" s="37" t="inlineStr">
        <is>
          <t>Reinsurance placement, slips, SOA, claims reporting and payment, net settlement (capability 15).</t>
        </is>
      </c>
      <c r="H5" s="37" t="inlineStr">
        <is>
          <t>Out of phase 1: the ReInsurance BRD is received and is phase 2. Phase 1 keeps open reinsurer party types, template-driven slips and SOAs, report subscriptions, open-item matching and the claim party model. The insurer-side reinsurance module of the platform stays hidden from BDOI roles.</t>
        </is>
      </c>
      <c r="I5" s="37" t="inlineStr">
        <is>
          <t>BDOI answer A3 of 26-Sep-2026: the reinsurance module is phase 2.</t>
        </is>
      </c>
      <c r="J5" s="37" t="inlineStr">
        <is>
          <t>Reinsurance placement stays outside BIBS until phase 2; only the transactions routed through Remittance (CR-0002) are in phase 1.</t>
        </is>
      </c>
      <c r="K5" s="37" t="inlineStr">
        <is>
          <t>Reinsurance; Comptrollership; Operations</t>
        </is>
      </c>
      <c r="L5" s="36" t="n">
        <v>0</v>
      </c>
      <c r="M5" s="36" t="n">
        <v>0</v>
      </c>
      <c r="N5" s="36" t="n">
        <v>0</v>
      </c>
      <c r="O5" s="36" t="n">
        <v>1</v>
      </c>
      <c r="P5" s="38">
        <f>SUM(L5:O5)</f>
        <v/>
      </c>
      <c r="Q5" s="37">
        <f>IF(P5=0,"0 - acceptance only",IF(P5&lt;=3,"S",IF(P5&lt;=10,"M",IF(P5&lt;=25,"L","XL")))&amp;" ("&amp;P5&amp;")")</f>
        <v/>
      </c>
      <c r="R5" s="36" t="n"/>
      <c r="S5" s="36" t="inlineStr">
        <is>
          <t>Medium</t>
        </is>
      </c>
      <c r="T5" s="37" t="inlineStr">
        <is>
          <t>For CCB review</t>
        </is>
      </c>
      <c r="U5" s="37" t="inlineStr">
        <is>
          <t>BIBS Product Owner with the Program Manager, Business Project Services</t>
        </is>
      </c>
      <c r="V5" s="37" t="inlineStr">
        <is>
          <t>A3; CLR-CR-01; A-CR-04</t>
        </is>
      </c>
      <c r="W5" s="37" t="inlineStr">
        <is>
          <t>Phase 2</t>
        </is>
      </c>
      <c r="X5" s="37" t="inlineStr">
        <is>
          <t>FRS BRD-00 sections 1.2, 5, 6; Programme alignment 1.2</t>
        </is>
      </c>
    </row>
    <row r="6">
      <c r="A6" s="35" t="inlineStr">
        <is>
          <t>CR-0002</t>
        </is>
      </c>
      <c r="B6" s="36" t="inlineStr">
        <is>
          <t>Drop 1</t>
        </is>
      </c>
      <c r="C6" s="36" t="inlineStr">
        <is>
          <t>BRD-02</t>
        </is>
      </c>
      <c r="D6" s="37" t="inlineStr">
        <is>
          <t>Drop plan item 1.D3 (Operations BRD, Remittance Addendum; Reinsurance BRD); RMTID.001-040 (p.49-70)</t>
        </is>
      </c>
      <c r="E6" s="37" t="inlineStr">
        <is>
          <t>FR-OP-030 to FR-OP-041 (Remittance); FRS BRD-2 v1.1 introduction</t>
        </is>
      </c>
      <c r="F6" s="37" t="inlineStr">
        <is>
          <t>Scope addition — beyond BRD</t>
        </is>
      </c>
      <c r="G6" s="37" t="inlineStr">
        <is>
          <t>The Operations BRD specifies remittance to insurers only. The drop plan names the Reinsurance BRD for Remittance in Drop 1.</t>
        </is>
      </c>
      <c r="H6" s="37" t="inlineStr">
        <is>
          <t>Proposed: the named reinsurance transactions run in Remittance as remittance types with reinsurer counterparties and their own accounting rules; treaty and facultative processing stays phase 2.</t>
        </is>
      </c>
      <c r="I6" s="37" t="inlineStr">
        <is>
          <t>BDOI answer A3 of 26-Sep-2026: Remittance handles the reinsurance transactions in Drop 1. Which transactions and their accounting are open (IQ20).</t>
        </is>
      </c>
      <c r="J6" s="37" t="inlineStr">
        <is>
          <t>Reinsurance premium and recoveries settled through BIBS from go-live; new posting rules for Comptrollership.</t>
        </is>
      </c>
      <c r="K6" s="37" t="inlineStr">
        <is>
          <t>Operations (Remittance); Comptrollership; Reinsurance</t>
        </is>
      </c>
      <c r="L6" s="36" t="n">
        <v>4</v>
      </c>
      <c r="M6" s="36" t="n">
        <v>12</v>
      </c>
      <c r="N6" s="36" t="n">
        <v>6</v>
      </c>
      <c r="O6" s="36" t="n">
        <v>2</v>
      </c>
      <c r="P6" s="38">
        <f>SUM(L6:O6)</f>
        <v/>
      </c>
      <c r="Q6" s="37">
        <f>IF(P6=0,"0 - acceptance only",IF(P6&lt;=3,"S",IF(P6&lt;=10,"M",IF(P6&lt;=25,"L","XL")))&amp;" ("&amp;P6&amp;")")</f>
        <v/>
      </c>
      <c r="R6" s="36" t="n"/>
      <c r="S6" s="36" t="inlineStr">
        <is>
          <t>High</t>
        </is>
      </c>
      <c r="T6" s="37" t="inlineStr">
        <is>
          <t>Draft</t>
        </is>
      </c>
      <c r="U6" s="37" t="inlineStr">
        <is>
          <t>Head of Operations (Financial Transactions and Processing)</t>
        </is>
      </c>
      <c r="V6" s="37" t="inlineStr">
        <is>
          <t>DCR-210; IQ20; A3</t>
        </is>
      </c>
      <c r="W6" s="37" t="inlineStr">
        <is>
          <t>Drop 1, second release (Jan - Feb 2027)</t>
        </is>
      </c>
      <c r="X6" s="37" t="inlineStr">
        <is>
          <t>Register DCR-210; Programme alignment 2.2 item 1</t>
        </is>
      </c>
    </row>
    <row r="7">
      <c r="A7" s="35" t="inlineStr">
        <is>
          <t>CR-0003</t>
        </is>
      </c>
      <c r="B7" s="36" t="inlineStr">
        <is>
          <t>Drop 1</t>
        </is>
      </c>
      <c r="C7" s="36" t="inlineStr">
        <is>
          <t>BRD-02</t>
        </is>
      </c>
      <c r="D7" s="37" t="inlineStr">
        <is>
          <t>Drop plan items 1.D2 and 1.D3: Operations BRD (Cashiering Addendum), (Remittance Addendum)</t>
        </is>
      </c>
      <c r="E7" s="37" t="inlineStr">
        <is>
          <t>FRS BRD-2 (Cashiering, Remittance chapters)</t>
        </is>
      </c>
      <c r="F7" s="37" t="inlineStr">
        <is>
          <t>Deferred pending BDOI answer</t>
        </is>
      </c>
      <c r="G7" s="37" t="inlineStr">
        <is>
          <t>The drop plan names a Cashiering Addendum and a Remittance Addendum to the Operations BRD.</t>
        </is>
      </c>
      <c r="H7" s="37" t="inlineStr">
        <is>
          <t>The Operations pack received has only Addendum 1 (RMTID.002, ADJID.014). FRS BRD-2 is written without the two addenda; they are taken into FRS BRD-2 v1.2 when received and their impact is estimated then.</t>
        </is>
      </c>
      <c r="I7" s="37" t="inlineStr">
        <is>
          <t>Documents not received (DCR-215, IQ20).</t>
        </is>
      </c>
      <c r="J7" s="37" t="inlineStr">
        <is>
          <t>Cashiering and Remittance requirements may change after FRS sign-off.</t>
        </is>
      </c>
      <c r="K7" s="37" t="inlineStr">
        <is>
          <t>Operations (Cashiering, Remittance)</t>
        </is>
      </c>
      <c r="L7" s="36" t="n">
        <v>3</v>
      </c>
      <c r="M7" s="36" t="n">
        <v>0</v>
      </c>
      <c r="N7" s="36" t="n">
        <v>0</v>
      </c>
      <c r="O7" s="36" t="n">
        <v>2</v>
      </c>
      <c r="P7" s="38">
        <f>SUM(L7:O7)</f>
        <v/>
      </c>
      <c r="Q7" s="37">
        <f>IF(P7=0,"0 - acceptance only",IF(P7&lt;=3,"S",IF(P7&lt;=10,"M",IF(P7&lt;=25,"L","XL")))&amp;" ("&amp;P7&amp;")")</f>
        <v/>
      </c>
      <c r="R7" s="36" t="n"/>
      <c r="S7" s="36" t="inlineStr">
        <is>
          <t>Medium</t>
        </is>
      </c>
      <c r="T7" s="37" t="inlineStr">
        <is>
          <t>Draft</t>
        </is>
      </c>
      <c r="U7" s="37" t="inlineStr">
        <is>
          <t>Head of Operations (Financial Transactions and Processing)</t>
        </is>
      </c>
      <c r="V7" s="37" t="inlineStr">
        <is>
          <t>DCR-215; IQ20</t>
        </is>
      </c>
      <c r="W7" s="37" t="inlineStr">
        <is>
          <t>After BDOI answer (slot set by the CCB)</t>
        </is>
      </c>
      <c r="X7" s="37" t="inlineStr">
        <is>
          <t>Register DCR-215; Programme alignment 2.2</t>
        </is>
      </c>
    </row>
    <row r="8">
      <c r="A8" s="35" t="inlineStr">
        <is>
          <t>CR-0004</t>
        </is>
      </c>
      <c r="B8" s="36" t="inlineStr">
        <is>
          <t>Drop 2</t>
        </is>
      </c>
      <c r="C8" s="36" t="inlineStr">
        <is>
          <t>BRD-00</t>
        </is>
      </c>
      <c r="D8" s="37" t="inlineStr">
        <is>
          <t>CORE-14.08-14.10; BR-146 to BR-148 (p.10); BRD-7 (no claim money through BDOI)</t>
        </is>
      </c>
      <c r="E8" s="37" t="inlineStr">
        <is>
          <t>FRS BRD-00 CLR-CR-02; FR-CM (none)</t>
        </is>
      </c>
      <c r="F8" s="37" t="inlineStr">
        <is>
          <t>Deferred pending BDOI answer</t>
        </is>
      </c>
      <c r="G8" s="37" t="inlineStr">
        <is>
          <t>Safekeeping of unclaimed settlement cheques, hand-over to and retrieval from Cashiering.</t>
        </is>
      </c>
      <c r="H8" s="37" t="inlineStr">
        <is>
          <t>BRD-7 has no claim money through BDOI (CLQ10) and Claims posts no accounting entry. If BDOI holds cheques: a cheque custody register in Claims using the Cashiering cheque hand-over.</t>
        </is>
      </c>
      <c r="I8" s="37" t="inlineStr">
        <is>
          <t>Conflict between the umbrella BRD and BRD-7; CRQ03, CLQ10, XQ13.</t>
        </is>
      </c>
      <c r="J8" s="37" t="inlineStr">
        <is>
          <t>Without a register, cheque custody stays manual outside BIBS.</t>
        </is>
      </c>
      <c r="K8" s="37" t="inlineStr">
        <is>
          <t>Claims; Operations (Cashiering)</t>
        </is>
      </c>
      <c r="L8" s="36" t="n">
        <v>2</v>
      </c>
      <c r="M8" s="36" t="n">
        <v>5</v>
      </c>
      <c r="N8" s="36" t="n">
        <v>3</v>
      </c>
      <c r="O8" s="36" t="n">
        <v>1</v>
      </c>
      <c r="P8" s="38">
        <f>SUM(L8:O8)</f>
        <v/>
      </c>
      <c r="Q8" s="37">
        <f>IF(P8=0,"0 - acceptance only",IF(P8&lt;=3,"S",IF(P8&lt;=10,"M",IF(P8&lt;=25,"L","XL")))&amp;" ("&amp;P8&amp;")")</f>
        <v/>
      </c>
      <c r="R8" s="36" t="n">
        <v>11</v>
      </c>
      <c r="S8" s="36" t="inlineStr">
        <is>
          <t>Medium</t>
        </is>
      </c>
      <c r="T8" s="37" t="inlineStr">
        <is>
          <t>For CCB review</t>
        </is>
      </c>
      <c r="U8" s="37" t="inlineStr">
        <is>
          <t>BIBS Product Owner with the Program Manager, Business Project Services</t>
        </is>
      </c>
      <c r="V8" s="37" t="inlineStr">
        <is>
          <t>DCR-164; CRQ03; CLQ10; XQ13</t>
        </is>
      </c>
      <c r="W8" s="37" t="inlineStr">
        <is>
          <t>Drop 2 (Mar - Apr 2027)</t>
        </is>
      </c>
      <c r="X8" s="37" t="inlineStr">
        <is>
          <t>FRS BRD-00 chapter 5 (CLR-CR-02); Cross-BRD decisions XQ13</t>
        </is>
      </c>
    </row>
    <row r="9">
      <c r="A9" s="35" t="inlineStr">
        <is>
          <t>CR-0005</t>
        </is>
      </c>
      <c r="B9" s="36" t="inlineStr">
        <is>
          <t>Drop 1</t>
        </is>
      </c>
      <c r="C9" s="36" t="inlineStr">
        <is>
          <t>BRD-00</t>
        </is>
      </c>
      <c r="D9" s="37" t="inlineStr">
        <is>
          <t>CORE-16.06; BR-165 (p.11); BRD-9 CSF-EM10 (e-mail of 13-Feb-2026)</t>
        </is>
      </c>
      <c r="E9" s="37" t="inlineStr">
        <is>
          <t>FRS BRD-00 CLR-CR-03; FRS BRD-9 chapter 12</t>
        </is>
      </c>
      <c r="F9" s="37" t="inlineStr">
        <is>
          <t>Scope reduction / descoped</t>
        </is>
      </c>
      <c r="G9" s="37" t="inlineStr">
        <is>
          <t>CSF case resolution: add and edit case details and status.</t>
        </is>
      </c>
      <c r="H9" s="37" t="inlineStr">
        <is>
          <t>Out of phase 1. BRD-9 puts case management out of scope and keeps case logging in SharePoint. If BDOI brings it in: a CSF case record in the CSF module.</t>
        </is>
      </c>
      <c r="I9" s="37" t="inlineStr">
        <is>
          <t>BRD-9 e-mail of 13-Feb-2026; CRQ04 open; XQ12.</t>
        </is>
      </c>
      <c r="J9" s="37" t="inlineStr">
        <is>
          <t>Contact Center cases stay in SharePoint; no case history in BIBS.</t>
        </is>
      </c>
      <c r="K9" s="37" t="inlineStr">
        <is>
          <t>Contact Center Management; Alternative Distribution</t>
        </is>
      </c>
      <c r="L9" s="36" t="n">
        <v>0</v>
      </c>
      <c r="M9" s="36" t="n">
        <v>0</v>
      </c>
      <c r="N9" s="36" t="n">
        <v>0</v>
      </c>
      <c r="O9" s="36" t="n">
        <v>1</v>
      </c>
      <c r="P9" s="38">
        <f>SUM(L9:O9)</f>
        <v/>
      </c>
      <c r="Q9" s="37">
        <f>IF(P9=0,"0 - acceptance only",IF(P9&lt;=3,"S",IF(P9&lt;=10,"M",IF(P9&lt;=25,"L","XL")))&amp;" ("&amp;P9&amp;")")</f>
        <v/>
      </c>
      <c r="R9" s="36" t="n">
        <v>18</v>
      </c>
      <c r="S9" s="36" t="inlineStr">
        <is>
          <t>Medium</t>
        </is>
      </c>
      <c r="T9" s="37" t="inlineStr">
        <is>
          <t>For CCB review</t>
        </is>
      </c>
      <c r="U9" s="37" t="inlineStr">
        <is>
          <t>Product Owner, CSF (Contact Center Management)</t>
        </is>
      </c>
      <c r="V9" s="37" t="inlineStr">
        <is>
          <t>DCR-163; CRQ04; XQ12</t>
        </is>
      </c>
      <c r="W9" s="37" t="inlineStr">
        <is>
          <t>FRS sign-off (Nov 2026)</t>
        </is>
      </c>
      <c r="X9" s="37" t="inlineStr">
        <is>
          <t>FRS BRD-00 chapter 5 (CLR-CR-03); FRS BRD-9 chapter 12</t>
        </is>
      </c>
    </row>
    <row r="10">
      <c r="A10" s="35" t="inlineStr">
        <is>
          <t>CR-0006</t>
        </is>
      </c>
      <c r="B10" s="36" t="inlineStr">
        <is>
          <t>Programme</t>
        </is>
      </c>
      <c r="C10" s="36" t="inlineStr">
        <is>
          <t>BRD-00</t>
        </is>
      </c>
      <c r="D10" s="37" t="inlineStr">
        <is>
          <t>CORE-18.01; BR-176 (p.11)</t>
        </is>
      </c>
      <c r="E10" s="37" t="inlineStr">
        <is>
          <t>FRS BRD-00 CLR-CR-09</t>
        </is>
      </c>
      <c r="F10" s="37" t="inlineStr">
        <is>
          <t>Scope reduction / descoped</t>
        </is>
      </c>
      <c r="G10" s="37" t="inlineStr">
        <is>
          <t>Include any other or additional system capabilities (emerging capabilities).</t>
        </is>
      </c>
      <c r="H10" s="37" t="inlineStr">
        <is>
          <t>No work until the capabilities are listed: the requirement has no content to deliver or test. BDOI lists the capabilities or withdraws BR-176.</t>
        </is>
      </c>
      <c r="I10" s="37" t="inlineStr">
        <is>
          <t>CRQ10 open.</t>
        </is>
      </c>
      <c r="J10" s="37" t="inlineStr">
        <is>
          <t>None until BDOI names a capability; a named capability becomes its own CR.</t>
        </is>
      </c>
      <c r="K10" s="37" t="inlineStr">
        <is>
          <t>Business Project Services</t>
        </is>
      </c>
      <c r="L10" s="36" t="n">
        <v>0</v>
      </c>
      <c r="M10" s="36" t="n">
        <v>0</v>
      </c>
      <c r="N10" s="36" t="n">
        <v>0</v>
      </c>
      <c r="O10" s="36" t="n">
        <v>0</v>
      </c>
      <c r="P10" s="38">
        <f>SUM(L10:O10)</f>
        <v/>
      </c>
      <c r="Q10" s="37">
        <f>IF(P10=0,"0 - acceptance only",IF(P10&lt;=3,"S",IF(P10&lt;=10,"M",IF(P10&lt;=25,"L","XL")))&amp;" ("&amp;P10&amp;")")</f>
        <v/>
      </c>
      <c r="R10" s="36" t="n"/>
      <c r="S10" s="36" t="inlineStr">
        <is>
          <t>Low</t>
        </is>
      </c>
      <c r="T10" s="37" t="inlineStr">
        <is>
          <t>For CCB review</t>
        </is>
      </c>
      <c r="U10" s="37" t="inlineStr">
        <is>
          <t>BIBS Product Owner with the Program Manager, Business Project Services</t>
        </is>
      </c>
      <c r="V10" s="37" t="inlineStr">
        <is>
          <t>CRQ10; CLR-CR-09</t>
        </is>
      </c>
      <c r="W10" s="37" t="inlineStr">
        <is>
          <t>FRS sign-off (Nov 2026)</t>
        </is>
      </c>
      <c r="X10" s="37" t="inlineStr">
        <is>
          <t>FRS BRD-00 section 5</t>
        </is>
      </c>
    </row>
    <row r="11">
      <c r="A11" s="35" t="inlineStr">
        <is>
          <t>CR-0007</t>
        </is>
      </c>
      <c r="B11" s="36" t="inlineStr">
        <is>
          <t>Programme</t>
        </is>
      </c>
      <c r="C11" s="36" t="inlineStr">
        <is>
          <t>BRD-00</t>
        </is>
      </c>
      <c r="D11" s="37" t="inlineStr">
        <is>
          <t>XC-21 ALeA e-mail address encoding (p.43)</t>
        </is>
      </c>
      <c r="E11" s="37" t="inlineStr">
        <is>
          <t>FRS BRD-00 CLR-CR-10</t>
        </is>
      </c>
      <c r="F11" s="37" t="inlineStr">
        <is>
          <t>Deferred pending BDOI answer</t>
        </is>
      </c>
      <c r="G11" s="37" t="inlineStr">
        <is>
          <t>ALeA e-mail address encoding, as needed.</t>
        </is>
      </c>
      <c r="H11" s="37" t="inlineStr">
        <is>
          <t>Not in scope; the term is not defined in the BRD pack.</t>
        </is>
      </c>
      <c r="I11" s="37" t="inlineStr">
        <is>
          <t>CRQ20 open.</t>
        </is>
      </c>
      <c r="J11" s="37" t="inlineStr">
        <is>
          <t>None known until BDOI explains ALeA.</t>
        </is>
      </c>
      <c r="K11" s="37" t="inlineStr">
        <is>
          <t>BDOI IT</t>
        </is>
      </c>
      <c r="L11" s="36" t="n">
        <v>1</v>
      </c>
      <c r="M11" s="36" t="n">
        <v>0</v>
      </c>
      <c r="N11" s="36" t="n">
        <v>0</v>
      </c>
      <c r="O11" s="36" t="n">
        <v>0</v>
      </c>
      <c r="P11" s="38">
        <f>SUM(L11:O11)</f>
        <v/>
      </c>
      <c r="Q11" s="37">
        <f>IF(P11=0,"0 - acceptance only",IF(P11&lt;=3,"S",IF(P11&lt;=10,"M",IF(P11&lt;=25,"L","XL")))&amp;" ("&amp;P11&amp;")")</f>
        <v/>
      </c>
      <c r="R11" s="36" t="n"/>
      <c r="S11" s="36" t="inlineStr">
        <is>
          <t>Low</t>
        </is>
      </c>
      <c r="T11" s="37" t="inlineStr">
        <is>
          <t>Draft</t>
        </is>
      </c>
      <c r="U11" s="37" t="inlineStr">
        <is>
          <t>BIBS Product Owner with the Program Manager, Business Project Services</t>
        </is>
      </c>
      <c r="V11" s="37" t="inlineStr">
        <is>
          <t>CRQ20; CLR-CR-10</t>
        </is>
      </c>
      <c r="W11" s="37" t="inlineStr">
        <is>
          <t>After BDOI answer (slot set by the CCB)</t>
        </is>
      </c>
      <c r="X11" s="37" t="inlineStr">
        <is>
          <t>FRS BRD-00 section 5</t>
        </is>
      </c>
    </row>
    <row r="12">
      <c r="A12" s="35" t="inlineStr">
        <is>
          <t>CR-0008</t>
        </is>
      </c>
      <c r="B12" s="36" t="inlineStr">
        <is>
          <t>Programme</t>
        </is>
      </c>
      <c r="C12" s="36" t="inlineStr">
        <is>
          <t>BRD-00</t>
        </is>
      </c>
      <c r="D12" s="37" t="inlineStr">
        <is>
          <t>XC-16; BR-183 (p.23)</t>
        </is>
      </c>
      <c r="E12" s="37" t="inlineStr">
        <is>
          <t>FRS BRD-00 traceability (OUT); A-CR-05</t>
        </is>
      </c>
      <c r="F12" s="37" t="inlineStr">
        <is>
          <t>Behaviour differs from BRD</t>
        </is>
      </c>
      <c r="G12" s="37" t="inlineStr">
        <is>
          <t>The vendor uses Figma for design execution.</t>
        </is>
      </c>
      <c r="H12" s="37" t="inlineStr">
        <is>
          <t>Screens follow the BDO UX guidelines and the BIBS design system in code; the vendor-qualification items are met by the alignment pass and persona walkthroughs. BDOI supplies the icon set and design files (CRQ17).</t>
        </is>
      </c>
      <c r="I12" s="37" t="inlineStr">
        <is>
          <t>A-CR-05: BR-178 to BR-183 are vendor-qualification items.</t>
        </is>
      </c>
      <c r="J12" s="37" t="inlineStr">
        <is>
          <t>None on the business process.</t>
        </is>
      </c>
      <c r="K12" s="37" t="inlineStr">
        <is>
          <t>Business Project Services</t>
        </is>
      </c>
      <c r="L12" s="36" t="n">
        <v>0</v>
      </c>
      <c r="M12" s="36" t="n">
        <v>0</v>
      </c>
      <c r="N12" s="36" t="n">
        <v>0</v>
      </c>
      <c r="O12" s="36" t="n">
        <v>0</v>
      </c>
      <c r="P12" s="38">
        <f>SUM(L12:O12)</f>
        <v/>
      </c>
      <c r="Q12" s="37">
        <f>IF(P12=0,"0 - acceptance only",IF(P12&lt;=3,"S",IF(P12&lt;=10,"M",IF(P12&lt;=25,"L","XL")))&amp;" ("&amp;P12&amp;")")</f>
        <v/>
      </c>
      <c r="R12" s="36" t="n"/>
      <c r="S12" s="36" t="inlineStr">
        <is>
          <t>Low</t>
        </is>
      </c>
      <c r="T12" s="37" t="inlineStr">
        <is>
          <t>For acceptance</t>
        </is>
      </c>
      <c r="U12" s="37" t="inlineStr">
        <is>
          <t>BIBS Product Owner with the Program Manager, Business Project Services</t>
        </is>
      </c>
      <c r="V12" s="37" t="inlineStr">
        <is>
          <t>CRQ17; A-CR-05</t>
        </is>
      </c>
      <c r="W12" s="37" t="inlineStr">
        <is>
          <t>FRS sign-off (Nov 2026)</t>
        </is>
      </c>
      <c r="X12" s="37" t="inlineStr">
        <is>
          <t>FRS BRD-00 traceability XC-16</t>
        </is>
      </c>
    </row>
    <row r="13">
      <c r="A13" s="35" t="inlineStr">
        <is>
          <t>CR-0009</t>
        </is>
      </c>
      <c r="B13" s="36" t="inlineStr">
        <is>
          <t>Drop 0</t>
        </is>
      </c>
      <c r="C13" s="36" t="inlineStr">
        <is>
          <t>BRD-00</t>
        </is>
      </c>
      <c r="D13" s="37" t="inlineStr">
        <is>
          <t>CORE-17.01; BR-170 (p.11)</t>
        </is>
      </c>
      <c r="E13" s="37" t="inlineStr">
        <is>
          <t>FR-CR-031</t>
        </is>
      </c>
      <c r="F13" s="37" t="inlineStr">
        <is>
          <t>Scope addition — beyond BRD</t>
        </is>
      </c>
      <c r="G13" s="37" t="inlineStr">
        <is>
          <t>Master data change logging for users, products, insurers and LOVs. No function BRD owns it.</t>
        </is>
      </c>
      <c r="H13" s="37" t="inlineStr">
        <is>
          <t>BIBS audits each action with a summary. Proposed: a field-level log (old and new values) for the registered master types.</t>
        </is>
      </c>
      <c r="I13" s="37" t="inlineStr">
        <is>
          <t>Umbrella requirement without an owning BRD (Drop 0 item 0.4); CRQ07 open on the master types, approver and viewers.</t>
        </is>
      </c>
      <c r="J13" s="37" t="inlineStr">
        <is>
          <t>Auditors can see what changed on a master record, field by field.</t>
        </is>
      </c>
      <c r="K13" s="37" t="inlineStr">
        <is>
          <t>Business Project Services; Compliance; MBS; Comptrollership</t>
        </is>
      </c>
      <c r="L13" s="36" t="n">
        <v>2</v>
      </c>
      <c r="M13" s="36" t="n">
        <v>6</v>
      </c>
      <c r="N13" s="36" t="n">
        <v>4</v>
      </c>
      <c r="O13" s="36" t="n">
        <v>1</v>
      </c>
      <c r="P13" s="38">
        <f>SUM(L13:O13)</f>
        <v/>
      </c>
      <c r="Q13" s="37">
        <f>IF(P13=0,"0 - acceptance only",IF(P13&lt;=3,"S",IF(P13&lt;=10,"M",IF(P13&lt;=25,"L","XL")))&amp;" ("&amp;P13&amp;")")</f>
        <v/>
      </c>
      <c r="R13" s="36" t="n"/>
      <c r="S13" s="36" t="inlineStr">
        <is>
          <t>Medium</t>
        </is>
      </c>
      <c r="T13" s="37" t="inlineStr">
        <is>
          <t>Draft</t>
        </is>
      </c>
      <c r="U13" s="37" t="inlineStr">
        <is>
          <t>BIBS Product Owner with the Program Manager, Business Project Services</t>
        </is>
      </c>
      <c r="V13" s="37" t="inlineStr">
        <is>
          <t>DCR-174; CRQ07; CLR-CR-04</t>
        </is>
      </c>
      <c r="W13" s="37" t="inlineStr">
        <is>
          <t>Drop 1, second release (Jan - Feb 2027)</t>
        </is>
      </c>
      <c r="X13" s="37" t="inlineStr">
        <is>
          <t>FRS BRD-00 chapter 5 (CLR-CR-04); register DCR-174</t>
        </is>
      </c>
    </row>
    <row r="14">
      <c r="A14" s="35" t="inlineStr">
        <is>
          <t>CR-0010</t>
        </is>
      </c>
      <c r="B14" s="36" t="inlineStr">
        <is>
          <t>Drop 0</t>
        </is>
      </c>
      <c r="C14" s="36" t="inlineStr">
        <is>
          <t>BRD-00</t>
        </is>
      </c>
      <c r="D14" s="37" t="inlineStr">
        <is>
          <t>CORE-17.02; BR-171 (p.11)</t>
        </is>
      </c>
      <c r="E14" s="37" t="inlineStr">
        <is>
          <t>FR-CR-061</t>
        </is>
      </c>
      <c r="F14" s="37" t="inlineStr">
        <is>
          <t>Scope addition — beyond BRD</t>
        </is>
      </c>
      <c r="G14" s="37" t="inlineStr">
        <is>
          <t>Insurer management: risk participation, payment terms, remittance schedules on the insurer.</t>
        </is>
      </c>
      <c r="H14" s="37" t="inlineStr">
        <is>
          <t>The insurer page has no such attributes. Proposed: add the attributes and LOV INSURER_CONTACT_FUNCTION.</t>
        </is>
      </c>
      <c r="I14" s="37" t="inlineStr">
        <is>
          <t>Umbrella requirement without an owning BRD; CRQ08 open on meaning, owners and approval.</t>
        </is>
      </c>
      <c r="J14" s="37" t="inlineStr">
        <is>
          <t>One place for insurer terms used by Remittance and Collections.</t>
        </is>
      </c>
      <c r="K14" s="37" t="inlineStr">
        <is>
          <t>MBS; Operations (Remittance)</t>
        </is>
      </c>
      <c r="L14" s="36" t="n">
        <v>2</v>
      </c>
      <c r="M14" s="36" t="n">
        <v>4</v>
      </c>
      <c r="N14" s="36" t="n">
        <v>2</v>
      </c>
      <c r="O14" s="36" t="n">
        <v>1</v>
      </c>
      <c r="P14" s="38">
        <f>SUM(L14:O14)</f>
        <v/>
      </c>
      <c r="Q14" s="37">
        <f>IF(P14=0,"0 - acceptance only",IF(P14&lt;=3,"S",IF(P14&lt;=10,"M",IF(P14&lt;=25,"L","XL")))&amp;" ("&amp;P14&amp;")")</f>
        <v/>
      </c>
      <c r="R14" s="36" t="n"/>
      <c r="S14" s="36" t="inlineStr">
        <is>
          <t>Medium</t>
        </is>
      </c>
      <c r="T14" s="37" t="inlineStr">
        <is>
          <t>Draft</t>
        </is>
      </c>
      <c r="U14" s="37" t="inlineStr">
        <is>
          <t>BIBS Product Owner with the Program Manager, Business Project Services</t>
        </is>
      </c>
      <c r="V14" s="37" t="inlineStr">
        <is>
          <t>CRQ08; CLR-CR-05</t>
        </is>
      </c>
      <c r="W14" s="37" t="inlineStr">
        <is>
          <t>Drop 1, second release (Jan - Feb 2027)</t>
        </is>
      </c>
      <c r="X14" s="37" t="inlineStr">
        <is>
          <t>FRS BRD-00 chapter 5 (CLR-CR-05)</t>
        </is>
      </c>
    </row>
    <row r="15">
      <c r="A15" s="35" t="inlineStr">
        <is>
          <t>CR-0011</t>
        </is>
      </c>
      <c r="B15" s="36" t="inlineStr">
        <is>
          <t>Drop 0</t>
        </is>
      </c>
      <c r="C15" s="36" t="inlineStr">
        <is>
          <t>BRD-00</t>
        </is>
      </c>
      <c r="D15" s="37" t="inlineStr">
        <is>
          <t>CORE-17.04; BR-173, BR-174 (p.11)</t>
        </is>
      </c>
      <c r="E15" s="37" t="inlineStr">
        <is>
          <t>FR-CR-062</t>
        </is>
      </c>
      <c r="F15" s="37" t="inlineStr">
        <is>
          <t>Scope addition — beyond BRD</t>
        </is>
      </c>
      <c r="G15" s="37" t="inlineStr">
        <is>
          <t>MIS field definition.</t>
        </is>
      </c>
      <c r="H15" s="37" t="inlineStr">
        <is>
          <t>Proposed: an MIS field catalogue that names existing data per entity; users do not add database fields (A-CR-06).</t>
        </is>
      </c>
      <c r="I15" s="37" t="inlineStr">
        <is>
          <t>Umbrella requirement without an owning BRD; CRQ09 (fixed list or user-defined fields).</t>
        </is>
      </c>
      <c r="J15" s="37" t="inlineStr">
        <is>
          <t>Consistent MIS reporting fields across modules and migration.</t>
        </is>
      </c>
      <c r="K15" s="37" t="inlineStr">
        <is>
          <t>Business Project Services; MIS; Marketing</t>
        </is>
      </c>
      <c r="L15" s="36" t="n">
        <v>2</v>
      </c>
      <c r="M15" s="36" t="n">
        <v>6</v>
      </c>
      <c r="N15" s="36" t="n">
        <v>3</v>
      </c>
      <c r="O15" s="36" t="n">
        <v>1</v>
      </c>
      <c r="P15" s="38">
        <f>SUM(L15:O15)</f>
        <v/>
      </c>
      <c r="Q15" s="37">
        <f>IF(P15=0,"0 - acceptance only",IF(P15&lt;=3,"S",IF(P15&lt;=10,"M",IF(P15&lt;=25,"L","XL")))&amp;" ("&amp;P15&amp;")")</f>
        <v/>
      </c>
      <c r="R15" s="36" t="n">
        <v>30</v>
      </c>
      <c r="S15" s="36" t="inlineStr">
        <is>
          <t>Medium</t>
        </is>
      </c>
      <c r="T15" s="37" t="inlineStr">
        <is>
          <t>Draft</t>
        </is>
      </c>
      <c r="U15" s="37" t="inlineStr">
        <is>
          <t>BIBS Product Owner with the Program Manager, Business Project Services</t>
        </is>
      </c>
      <c r="V15" s="37" t="inlineStr">
        <is>
          <t>CRQ09; CLR-CR-06</t>
        </is>
      </c>
      <c r="W15" s="37" t="inlineStr">
        <is>
          <t>Drop 1, second release (Jan - Feb 2027)</t>
        </is>
      </c>
      <c r="X15" s="37" t="inlineStr">
        <is>
          <t>FRS BRD-00 chapter 5 (CLR-CR-06)</t>
        </is>
      </c>
    </row>
    <row r="16">
      <c r="A16" s="35" t="inlineStr">
        <is>
          <t>CR-0012</t>
        </is>
      </c>
      <c r="B16" s="36" t="inlineStr">
        <is>
          <t>Programme</t>
        </is>
      </c>
      <c r="C16" s="36" t="inlineStr">
        <is>
          <t>BRD-00</t>
        </is>
      </c>
      <c r="D16" s="37" t="inlineStr">
        <is>
          <t>CORE-21.04; BR-053 (p.12)</t>
        </is>
      </c>
      <c r="E16" s="37" t="inlineStr">
        <is>
          <t>FR-CR-042</t>
        </is>
      </c>
      <c r="F16" s="37" t="inlineStr">
        <is>
          <t>Scope addition — beyond BRD</t>
        </is>
      </c>
      <c r="G16" s="37" t="inlineStr">
        <is>
          <t>Dynamic report customisation: data fields, charts and summaries.</t>
        </is>
      </c>
      <c r="H16" s="37" t="inlineStr">
        <is>
          <t>BIBS has fixed report columns and saved parameter variants. Proposed: column layout stored in the variant.</t>
        </is>
      </c>
      <c r="I16" s="37" t="inlineStr">
        <is>
          <t>Umbrella requirement without an owning BRD; CRQ11 open.</t>
        </is>
      </c>
      <c r="J16" s="37" t="inlineStr">
        <is>
          <t>Users choose and order report columns without a change request.</t>
        </is>
      </c>
      <c r="K16" s="37" t="inlineStr">
        <is>
          <t>All report users</t>
        </is>
      </c>
      <c r="L16" s="36" t="n">
        <v>2</v>
      </c>
      <c r="M16" s="36" t="n">
        <v>8</v>
      </c>
      <c r="N16" s="36" t="n">
        <v>4</v>
      </c>
      <c r="O16" s="36" t="n">
        <v>1</v>
      </c>
      <c r="P16" s="38">
        <f>SUM(L16:O16)</f>
        <v/>
      </c>
      <c r="Q16" s="37">
        <f>IF(P16=0,"0 - acceptance only",IF(P16&lt;=3,"S",IF(P16&lt;=10,"M",IF(P16&lt;=25,"L","XL")))&amp;" ("&amp;P16&amp;")")</f>
        <v/>
      </c>
      <c r="R16" s="36" t="n"/>
      <c r="S16" s="36" t="inlineStr">
        <is>
          <t>Medium</t>
        </is>
      </c>
      <c r="T16" s="37" t="inlineStr">
        <is>
          <t>Draft</t>
        </is>
      </c>
      <c r="U16" s="37" t="inlineStr">
        <is>
          <t>BIBS Product Owner with the Program Manager, Business Project Services</t>
        </is>
      </c>
      <c r="V16" s="37" t="inlineStr">
        <is>
          <t>DCR-177; CRQ11; CLR-CR-07</t>
        </is>
      </c>
      <c r="W16" s="37" t="inlineStr">
        <is>
          <t>Drop 1, second release (Jan - Feb 2027)</t>
        </is>
      </c>
      <c r="X16" s="37" t="inlineStr">
        <is>
          <t>FRS BRD-00 chapter 5 (CLR-CR-07)</t>
        </is>
      </c>
    </row>
    <row r="17">
      <c r="A17" s="35" t="inlineStr">
        <is>
          <t>CR-0013</t>
        </is>
      </c>
      <c r="B17" s="36" t="inlineStr">
        <is>
          <t>Programme</t>
        </is>
      </c>
      <c r="C17" s="36" t="inlineStr">
        <is>
          <t>BRD-00</t>
        </is>
      </c>
      <c r="D17" s="37" t="inlineStr">
        <is>
          <t>CORE-21.05; BR-054, BR-103 (p.12)</t>
        </is>
      </c>
      <c r="E17" s="37" t="inlineStr">
        <is>
          <t>FR-CR-043</t>
        </is>
      </c>
      <c r="F17" s="37" t="inlineStr">
        <is>
          <t>Scope addition — beyond BRD</t>
        </is>
      </c>
      <c r="G17" s="37" t="inlineStr">
        <is>
          <t>Scheduled or on-demand report generation for any report.</t>
        </is>
      </c>
      <c r="H17" s="37" t="inlineStr">
        <is>
          <t>Only system-scheduled files exist. Proposed: report subscriptions per user (REPORT_SUBSCRIPTIONS_MAX 20; external domains limited).</t>
        </is>
      </c>
      <c r="I17" s="37" t="inlineStr">
        <is>
          <t>Umbrella requirement without an owning BRD; CRQ11 open.</t>
        </is>
      </c>
      <c r="J17" s="37" t="inlineStr">
        <is>
          <t>Users receive recurring reports by e-mail without manual runs.</t>
        </is>
      </c>
      <c r="K17" s="37" t="inlineStr">
        <is>
          <t>All report users</t>
        </is>
      </c>
      <c r="L17" s="36" t="n">
        <v>1</v>
      </c>
      <c r="M17" s="36" t="n">
        <v>6</v>
      </c>
      <c r="N17" s="36" t="n">
        <v>3</v>
      </c>
      <c r="O17" s="36" t="n">
        <v>1</v>
      </c>
      <c r="P17" s="38">
        <f>SUM(L17:O17)</f>
        <v/>
      </c>
      <c r="Q17" s="37">
        <f>IF(P17=0,"0 - acceptance only",IF(P17&lt;=3,"S",IF(P17&lt;=10,"M",IF(P17&lt;=25,"L","XL")))&amp;" ("&amp;P17&amp;")")</f>
        <v/>
      </c>
      <c r="R17" s="36" t="n"/>
      <c r="S17" s="36" t="inlineStr">
        <is>
          <t>Medium</t>
        </is>
      </c>
      <c r="T17" s="37" t="inlineStr">
        <is>
          <t>Draft</t>
        </is>
      </c>
      <c r="U17" s="37" t="inlineStr">
        <is>
          <t>BIBS Product Owner with the Program Manager, Business Project Services</t>
        </is>
      </c>
      <c r="V17" s="37" t="inlineStr">
        <is>
          <t>DCR-177; CRQ11; CLR-CR-08</t>
        </is>
      </c>
      <c r="W17" s="37" t="inlineStr">
        <is>
          <t>Drop 1, second release (Jan - Feb 2027)</t>
        </is>
      </c>
      <c r="X17" s="37" t="inlineStr">
        <is>
          <t>FRS BRD-00 chapter 5 (CLR-CR-08)</t>
        </is>
      </c>
    </row>
    <row r="18">
      <c r="A18" s="35" t="inlineStr">
        <is>
          <t>CR-0014</t>
        </is>
      </c>
      <c r="B18" s="36" t="inlineStr">
        <is>
          <t>Programme</t>
        </is>
      </c>
      <c r="C18" s="36" t="inlineStr">
        <is>
          <t>BRD-00</t>
        </is>
      </c>
      <c r="D18" s="37" t="inlineStr">
        <is>
          <t>XC-02; BR-125, BR-152, BR-160, BR-203 (p.5, p.20-21)</t>
        </is>
      </c>
      <c r="E18" s="37" t="inlineStr">
        <is>
          <t>FR-CR-010, FR-CR-011</t>
        </is>
      </c>
      <c r="F18" s="37" t="inlineStr">
        <is>
          <t>Scope addition — beyond BRD</t>
        </is>
      </c>
      <c r="G18" s="37" t="inlineStr">
        <is>
          <t>Centralised, real-time dashboards for all roles, with drill-down.</t>
        </is>
      </c>
      <c r="H18" s="37" t="inlineStr">
        <is>
          <t>Each module has its home page. Proposed: a role home with configurable widgets per role family (DASHBOARD_REFRESH_MINUTES 5).</t>
        </is>
      </c>
      <c r="I18" s="37" t="inlineStr">
        <is>
          <t>Umbrella requirement without an owning BRD; CRQ06 open (figures per role).</t>
        </is>
      </c>
      <c r="J18" s="37" t="inlineStr">
        <is>
          <t>Each role sees its work and figures on one page.</t>
        </is>
      </c>
      <c r="K18" s="37" t="inlineStr">
        <is>
          <t>All departments</t>
        </is>
      </c>
      <c r="L18" s="36" t="n">
        <v>3</v>
      </c>
      <c r="M18" s="36" t="n">
        <v>8</v>
      </c>
      <c r="N18" s="36" t="n">
        <v>4</v>
      </c>
      <c r="O18" s="36" t="n">
        <v>1</v>
      </c>
      <c r="P18" s="38">
        <f>SUM(L18:O18)</f>
        <v/>
      </c>
      <c r="Q18" s="37">
        <f>IF(P18=0,"0 - acceptance only",IF(P18&lt;=3,"S",IF(P18&lt;=10,"M",IF(P18&lt;=25,"L","XL")))&amp;" ("&amp;P18&amp;")")</f>
        <v/>
      </c>
      <c r="R18" s="36" t="n"/>
      <c r="S18" s="36" t="inlineStr">
        <is>
          <t>Medium</t>
        </is>
      </c>
      <c r="T18" s="37" t="inlineStr">
        <is>
          <t>Draft</t>
        </is>
      </c>
      <c r="U18" s="37" t="inlineStr">
        <is>
          <t>BIBS Product Owner with the Program Manager, Business Project Services</t>
        </is>
      </c>
      <c r="V18" s="37" t="inlineStr">
        <is>
          <t>CRQ06; CLR-CR-11</t>
        </is>
      </c>
      <c r="W18" s="37" t="inlineStr">
        <is>
          <t>Drop 1, second release (Jan - Feb 2027)</t>
        </is>
      </c>
      <c r="X18" s="37" t="inlineStr">
        <is>
          <t>FRS BRD-00 chapter 5 (CLR-CR-11)</t>
        </is>
      </c>
    </row>
    <row r="19">
      <c r="A19" s="35" t="inlineStr">
        <is>
          <t>CR-0015</t>
        </is>
      </c>
      <c r="B19" s="36" t="inlineStr">
        <is>
          <t>Drop 1</t>
        </is>
      </c>
      <c r="C19" s="36" t="inlineStr">
        <is>
          <t>BRD-00</t>
        </is>
      </c>
      <c r="D19" s="37" t="inlineStr">
        <is>
          <t>XC-13; BR-175 (p.23)</t>
        </is>
      </c>
      <c r="E19" s="37" t="inlineStr">
        <is>
          <t>FR-CR-090</t>
        </is>
      </c>
      <c r="F19" s="37" t="inlineStr">
        <is>
          <t>Scope addition — beyond BRD</t>
        </is>
      </c>
      <c r="G19" s="37" t="inlineStr">
        <is>
          <t>Invoice Master List across workflows.</t>
        </is>
      </c>
      <c r="H19" s="37" t="inlineStr">
        <is>
          <t>Proposed: columns added to the Operations invoice ledger view.</t>
        </is>
      </c>
      <c r="I19" s="37" t="inlineStr">
        <is>
          <t>Umbrella requirement without an owning BRD; CRQ13 open.</t>
        </is>
      </c>
      <c r="J19" s="37" t="inlineStr">
        <is>
          <t>One list of invoices with their status across NB, Operations and Collections.</t>
        </is>
      </c>
      <c r="K19" s="37" t="inlineStr">
        <is>
          <t>Operations; Collections; Comptrollership</t>
        </is>
      </c>
      <c r="L19" s="36" t="n">
        <v>1</v>
      </c>
      <c r="M19" s="36" t="n">
        <v>3</v>
      </c>
      <c r="N19" s="36" t="n">
        <v>2</v>
      </c>
      <c r="O19" s="36" t="n">
        <v>1</v>
      </c>
      <c r="P19" s="38">
        <f>SUM(L19:O19)</f>
        <v/>
      </c>
      <c r="Q19" s="37">
        <f>IF(P19=0,"0 - acceptance only",IF(P19&lt;=3,"S",IF(P19&lt;=10,"M",IF(P19&lt;=25,"L","XL")))&amp;" ("&amp;P19&amp;")")</f>
        <v/>
      </c>
      <c r="R19" s="36" t="n"/>
      <c r="S19" s="36" t="inlineStr">
        <is>
          <t>Low</t>
        </is>
      </c>
      <c r="T19" s="37" t="inlineStr">
        <is>
          <t>Draft</t>
        </is>
      </c>
      <c r="U19" s="37" t="inlineStr">
        <is>
          <t>BIBS Product Owner with the Program Manager, Business Project Services</t>
        </is>
      </c>
      <c r="V19" s="37" t="inlineStr">
        <is>
          <t>CRQ13; CLR-CR-12</t>
        </is>
      </c>
      <c r="W19" s="37" t="inlineStr">
        <is>
          <t>Drop 1, second release (Jan - Feb 2027)</t>
        </is>
      </c>
      <c r="X19" s="37" t="inlineStr">
        <is>
          <t>FRS BRD-00 chapter 5 (CLR-CR-12)</t>
        </is>
      </c>
    </row>
    <row r="20">
      <c r="A20" s="35" t="inlineStr">
        <is>
          <t>CR-0016</t>
        </is>
      </c>
      <c r="B20" s="36" t="inlineStr">
        <is>
          <t>Drop 1</t>
        </is>
      </c>
      <c r="C20" s="36" t="inlineStr">
        <is>
          <t>BRD-00</t>
        </is>
      </c>
      <c r="D20" s="37" t="inlineStr">
        <is>
          <t>XC-19 (p.43); BRNB.100 related</t>
        </is>
      </c>
      <c r="E20" s="37" t="inlineStr">
        <is>
          <t>FR-CR-081; FR-NB-117</t>
        </is>
      </c>
      <c r="F20" s="37" t="inlineStr">
        <is>
          <t>Integration dependency</t>
        </is>
      </c>
      <c r="G20" s="37" t="inlineStr">
        <is>
          <t>Invoice batch printing, delivery to insurers by SFTP and a delivery report, daily per insurer.</t>
        </is>
      </c>
      <c r="H20" s="37" t="inlineStr">
        <is>
          <t>Service invoices are issued and e-mailed. Proposed: daily batch per insurer at 20:00 PHT with SFTP delivery once the insurer SFTP addresses are given.</t>
        </is>
      </c>
      <c r="I20" s="37" t="inlineStr">
        <is>
          <t>CRQ18 open (format, SFTP addresses, replaces e-mail?).</t>
        </is>
      </c>
      <c r="J20" s="37" t="inlineStr">
        <is>
          <t>Insurers receive invoices in one daily file instead of single e-mails.</t>
        </is>
      </c>
      <c r="K20" s="37" t="inlineStr">
        <is>
          <t>Processing; Operations; BDOI IT</t>
        </is>
      </c>
      <c r="L20" s="36" t="n">
        <v>2</v>
      </c>
      <c r="M20" s="36" t="n">
        <v>6</v>
      </c>
      <c r="N20" s="36" t="n">
        <v>4</v>
      </c>
      <c r="O20" s="36" t="n">
        <v>1</v>
      </c>
      <c r="P20" s="38">
        <f>SUM(L20:O20)</f>
        <v/>
      </c>
      <c r="Q20" s="37">
        <f>IF(P20=0,"0 - acceptance only",IF(P20&lt;=3,"S",IF(P20&lt;=10,"M",IF(P20&lt;=25,"L","XL")))&amp;" ("&amp;P20&amp;")")</f>
        <v/>
      </c>
      <c r="R20" s="36" t="n"/>
      <c r="S20" s="36" t="inlineStr">
        <is>
          <t>Medium</t>
        </is>
      </c>
      <c r="T20" s="37" t="inlineStr">
        <is>
          <t>Draft</t>
        </is>
      </c>
      <c r="U20" s="37" t="inlineStr">
        <is>
          <t>BDOI IT (integration owner) with the BIBS Product Owner</t>
        </is>
      </c>
      <c r="V20" s="37" t="inlineStr">
        <is>
          <t>CRQ18; CLR-CR-13</t>
        </is>
      </c>
      <c r="W20" s="37" t="inlineStr">
        <is>
          <t>Drop 1, second release (Jan - Feb 2027)</t>
        </is>
      </c>
      <c r="X20" s="37" t="inlineStr">
        <is>
          <t>FRS BRD-00 chapter 5 (CLR-CR-13)</t>
        </is>
      </c>
    </row>
    <row r="21">
      <c r="A21" s="35" t="inlineStr">
        <is>
          <t>CR-0017</t>
        </is>
      </c>
      <c r="B21" s="36" t="inlineStr">
        <is>
          <t>Drop 0</t>
        </is>
      </c>
      <c r="C21" s="36" t="inlineStr">
        <is>
          <t>BRD-00</t>
        </is>
      </c>
      <c r="D21" s="37" t="inlineStr">
        <is>
          <t>XC-20 client migration and daily client batches (p.43); BRD-13 BRID 2.1 (p.7)</t>
        </is>
      </c>
      <c r="E21" s="37" t="inlineStr">
        <is>
          <t>FR-CR-082; FR-DM-031, FR-DM-032</t>
        </is>
      </c>
      <c r="F21" s="37" t="inlineStr">
        <is>
          <t>Data migration</t>
        </is>
      </c>
      <c r="G21" s="37" t="inlineStr">
        <is>
          <t>Umbrella BRD: one-time client migration 2020 to present plus daily midday and EOD client batches with a modification report.</t>
        </is>
      </c>
      <c r="H21" s="37" t="inlineStr">
        <is>
          <t>Selective migration of clean client master data by the Data Migration programme; legacy read-only after cut-over; no daily client batches after go-live.</t>
        </is>
      </c>
      <c r="I21" s="37" t="inlineStr">
        <is>
          <t>Conflict between the umbrella and BRD-13, decided in the Data Migration design; CRQ19, DMQ05 open on the client scope.</t>
        </is>
      </c>
      <c r="J21" s="37" t="inlineStr">
        <is>
          <t>Legacy client changes stop at the freeze; BIBS is the client master from go-live.</t>
        </is>
      </c>
      <c r="K21" s="37" t="inlineStr">
        <is>
          <t>Business Project Services; Marketing; Processing</t>
        </is>
      </c>
      <c r="L21" s="36" t="n">
        <v>0</v>
      </c>
      <c r="M21" s="36" t="n">
        <v>0</v>
      </c>
      <c r="N21" s="36" t="n">
        <v>0</v>
      </c>
      <c r="O21" s="36" t="n">
        <v>1</v>
      </c>
      <c r="P21" s="38">
        <f>SUM(L21:O21)</f>
        <v/>
      </c>
      <c r="Q21" s="37">
        <f>IF(P21=0,"0 - acceptance only",IF(P21&lt;=3,"S",IF(P21&lt;=10,"M",IF(P21&lt;=25,"L","XL")))&amp;" ("&amp;P21&amp;")")</f>
        <v/>
      </c>
      <c r="R21" s="36" t="n"/>
      <c r="S21" s="36" t="inlineStr">
        <is>
          <t>Medium</t>
        </is>
      </c>
      <c r="T21" s="37" t="inlineStr">
        <is>
          <t>For CCB review</t>
        </is>
      </c>
      <c r="U21" s="37" t="inlineStr">
        <is>
          <t>Program Manager, Business Project Services, with Comptrollership and Operations</t>
        </is>
      </c>
      <c r="V21" s="37" t="inlineStr">
        <is>
          <t>DCR-173; CRQ19; DMQ05; CLR-CR-14</t>
        </is>
      </c>
      <c r="W21" s="37" t="inlineStr">
        <is>
          <t>Migration functions (Nov 2026 - Mar 2027)</t>
        </is>
      </c>
      <c r="X21" s="37" t="inlineStr">
        <is>
          <t>FRS BRD-00 chapter 5 (CLR-CR-14); register DCR-173</t>
        </is>
      </c>
    </row>
    <row r="22">
      <c r="A22" s="35" t="inlineStr">
        <is>
          <t>CR-0018</t>
        </is>
      </c>
      <c r="B22" s="36" t="inlineStr">
        <is>
          <t>Drop 1</t>
        </is>
      </c>
      <c r="C22" s="36" t="inlineStr">
        <is>
          <t>BRD-00</t>
        </is>
      </c>
      <c r="D22" s="37" t="inlineStr">
        <is>
          <t>XC-10; BR-039, BR-043 (p.14-15)</t>
        </is>
      </c>
      <c r="E22" s="37" t="inlineStr">
        <is>
          <t>FR-CR-093</t>
        </is>
      </c>
      <c r="F22" s="37" t="inlineStr">
        <is>
          <t>Deferred pending BDOI answer</t>
        </is>
      </c>
      <c r="G22" s="37" t="inlineStr">
        <is>
          <t>SOA generated with the placement report and the Insurance Advice; service invoice issued to the insurer with the SOA at booking.</t>
        </is>
      </c>
      <c r="H22" s="37" t="inlineStr">
        <is>
          <t>Proposed after BDOI states which SOA is meant.</t>
        </is>
      </c>
      <c r="I22" s="37" t="inlineStr">
        <is>
          <t>CRQ12 open.</t>
        </is>
      </c>
      <c r="J22" s="37" t="inlineStr">
        <is>
          <t>Insurers and clients receive the SOA from BIBS instead of a manual document.</t>
        </is>
      </c>
      <c r="K22" s="37" t="inlineStr">
        <is>
          <t>Processing; Operations</t>
        </is>
      </c>
      <c r="L22" s="36" t="n">
        <v>1</v>
      </c>
      <c r="M22" s="36" t="n">
        <v>3</v>
      </c>
      <c r="N22" s="36" t="n">
        <v>2</v>
      </c>
      <c r="O22" s="36" t="n">
        <v>1</v>
      </c>
      <c r="P22" s="38">
        <f>SUM(L22:O22)</f>
        <v/>
      </c>
      <c r="Q22" s="37">
        <f>IF(P22=0,"0 - acceptance only",IF(P22&lt;=3,"S",IF(P22&lt;=10,"M",IF(P22&lt;=25,"L","XL")))&amp;" ("&amp;P22&amp;")")</f>
        <v/>
      </c>
      <c r="R22" s="36" t="n"/>
      <c r="S22" s="36" t="inlineStr">
        <is>
          <t>Medium</t>
        </is>
      </c>
      <c r="T22" s="37" t="inlineStr">
        <is>
          <t>Draft</t>
        </is>
      </c>
      <c r="U22" s="37" t="inlineStr">
        <is>
          <t>BIBS Product Owner with the Program Manager, Business Project Services</t>
        </is>
      </c>
      <c r="V22" s="37" t="inlineStr">
        <is>
          <t>CRQ12; CLR-CR-15</t>
        </is>
      </c>
      <c r="W22" s="37" t="inlineStr">
        <is>
          <t>After BDOI answer (slot set by the CCB)</t>
        </is>
      </c>
      <c r="X22" s="37" t="inlineStr">
        <is>
          <t>FRS BRD-00 chapter 5 (CLR-CR-15)</t>
        </is>
      </c>
    </row>
    <row r="23">
      <c r="A23" s="35" t="inlineStr">
        <is>
          <t>CR-0019</t>
        </is>
      </c>
      <c r="B23" s="36" t="inlineStr">
        <is>
          <t>Programme</t>
        </is>
      </c>
      <c r="C23" s="36" t="inlineStr">
        <is>
          <t>BRD-00</t>
        </is>
      </c>
      <c r="D23" s="37" t="inlineStr">
        <is>
          <t>NFR sections of every BRD: service hours, availability, maintenance window, BCP (umbrella p.42-46)</t>
        </is>
      </c>
      <c r="E23" s="37" t="inlineStr">
        <is>
          <t>FRS BRD-00 section 7</t>
        </is>
      </c>
      <c r="F23" s="37" t="inlineStr">
        <is>
          <t>NFR / infrastructure change</t>
        </is>
      </c>
      <c r="G23" s="37" t="inlineStr">
        <is>
          <t>Service hours differ by BRD (07:00-22:00 Mon-Sat NB and RN; 06:00-20:00 Mon-Fri Claims; 08:00-18:00 Mon-Fri SANC; others); availability 99.9% to 100%; maintenance windows 19:00-07:00 (ACCT) to 00:00-04:00 (SANC, SP).</t>
        </is>
      </c>
      <c r="H23" s="37" t="inlineStr">
        <is>
          <t>Proposed one BIBS-wide set: service 06:00-22:00 Mon-Sat plus month-end weekends; 99.9% within service hours; maintenance 00:00-04:00; batch after 22:00.</t>
        </is>
      </c>
      <c r="I23" s="37" t="inlineStr">
        <is>
          <t>XQ08; OQ44, CQ25, AQ27, PQ18, CLQ24, EBQ25, CSQ11, SP SQ21 / SQ22, RQ28.</t>
        </is>
      </c>
      <c r="J23" s="37" t="inlineStr">
        <is>
          <t>One service level for all departments; month-end work covered.</t>
        </is>
      </c>
      <c r="K23" s="37" t="inlineStr">
        <is>
          <t>All departments; BDOI IT</t>
        </is>
      </c>
      <c r="L23" s="36" t="n">
        <v>2</v>
      </c>
      <c r="M23" s="36" t="n">
        <v>0</v>
      </c>
      <c r="N23" s="36" t="n">
        <v>0</v>
      </c>
      <c r="O23" s="36" t="n">
        <v>2</v>
      </c>
      <c r="P23" s="38">
        <f>SUM(L23:O23)</f>
        <v/>
      </c>
      <c r="Q23" s="37">
        <f>IF(P23=0,"0 - acceptance only",IF(P23&lt;=3,"S",IF(P23&lt;=10,"M",IF(P23&lt;=25,"L","XL")))&amp;" ("&amp;P23&amp;")")</f>
        <v/>
      </c>
      <c r="R23" s="36" t="n"/>
      <c r="S23" s="36" t="inlineStr">
        <is>
          <t>High</t>
        </is>
      </c>
      <c r="T23" s="37" t="inlineStr">
        <is>
          <t>For CCB review</t>
        </is>
      </c>
      <c r="U23" s="37" t="inlineStr">
        <is>
          <t>BIBS Product Owner with the Program Manager, Business Project Services</t>
        </is>
      </c>
      <c r="V23" s="37" t="inlineStr">
        <is>
          <t>DCR-133; DCR-134; DCR-138; DCR-057; XQ08</t>
        </is>
      </c>
      <c r="W23" s="37" t="inlineStr">
        <is>
          <t>FRS sign-off (Nov 2026)</t>
        </is>
      </c>
      <c r="X23" s="37" t="inlineStr">
        <is>
          <t>Register DCR-133, 134, 138; FRS BRD-00 section 7</t>
        </is>
      </c>
    </row>
    <row r="24">
      <c r="A24" s="35" t="inlineStr">
        <is>
          <t>CR-0020</t>
        </is>
      </c>
      <c r="B24" s="36" t="inlineStr">
        <is>
          <t>Programme</t>
        </is>
      </c>
      <c r="C24" s="36" t="inlineStr">
        <is>
          <t>BRD-00</t>
        </is>
      </c>
      <c r="D24" s="37" t="inlineStr">
        <is>
          <t>NFR recovery objectives: RPO 24 h (OPS, PM, EB), 4 h (CLXN, CLM, CSF); CSF backup every 15 minutes (BRCSF-011.001, p.11)</t>
        </is>
      </c>
      <c r="E24" s="37" t="inlineStr">
        <is>
          <t>FRS BRD-00 section 7; FR-CSF-043</t>
        </is>
      </c>
      <c r="F24" s="37" t="inlineStr">
        <is>
          <t>NFR / infrastructure change</t>
        </is>
      </c>
      <c r="G24" s="37" t="inlineStr">
        <is>
          <t>Recovery objectives and backup frequency differ by BRD; the DR location is not stated.</t>
        </is>
      </c>
      <c r="H24" s="37" t="inlineStr">
        <is>
          <t>RPO 15 minutes (continuous WAL archiving) and RTO 4 hours for the whole platform, as in the IER. Proposed DR: RDS cross-region replica, S3 cross-region replication, EKS standby scaled at failover, DR runbook and a failover test. DR region to be named after the data-residency check.</t>
        </is>
      </c>
      <c r="I24" s="37" t="inlineStr">
        <is>
          <t>IER workbook v20 (BDO IT) states RPO 15 minutes, RTO 4 hours; IQ26 open on the DR region.</t>
        </is>
      </c>
      <c r="J24" s="37" t="inlineStr">
        <is>
          <t>One recovery target; CSF 15-minute backup met by continuous archiving.</t>
        </is>
      </c>
      <c r="K24" s="37" t="inlineStr">
        <is>
          <t>BDOI IT; all departments</t>
        </is>
      </c>
      <c r="L24" s="36" t="n">
        <v>2</v>
      </c>
      <c r="M24" s="36" t="n">
        <v>3</v>
      </c>
      <c r="N24" s="36" t="n">
        <v>4</v>
      </c>
      <c r="O24" s="36" t="n">
        <v>2</v>
      </c>
      <c r="P24" s="38">
        <f>SUM(L24:O24)</f>
        <v/>
      </c>
      <c r="Q24" s="37">
        <f>IF(P24=0,"0 - acceptance only",IF(P24&lt;=3,"S",IF(P24&lt;=10,"M",IF(P24&lt;=25,"L","XL")))&amp;" ("&amp;P24&amp;")")</f>
        <v/>
      </c>
      <c r="R24" s="36" t="n"/>
      <c r="S24" s="36" t="inlineStr">
        <is>
          <t>High</t>
        </is>
      </c>
      <c r="T24" s="37" t="inlineStr">
        <is>
          <t>For CCB review</t>
        </is>
      </c>
      <c r="U24" s="37" t="inlineStr">
        <is>
          <t>BDO Cloud and Digital Operations Engineering (IER owner) with BDOI IT</t>
        </is>
      </c>
      <c r="V24" s="37" t="inlineStr">
        <is>
          <t>DCR-135; DCR-225; CSQ11; IQ26</t>
        </is>
      </c>
      <c r="W24" s="37" t="inlineStr">
        <is>
          <t>Before go-live (Oct - Dec 2027)</t>
        </is>
      </c>
      <c r="X24" s="37" t="inlineStr">
        <is>
          <t>Register DCR-135, DCR-225; Programme alignment 6.2, 6.5</t>
        </is>
      </c>
    </row>
    <row r="25">
      <c r="A25" s="35" t="inlineStr">
        <is>
          <t>CR-0021</t>
        </is>
      </c>
      <c r="B25" s="36" t="inlineStr">
        <is>
          <t>Programme</t>
        </is>
      </c>
      <c r="C25" s="36" t="inlineStr">
        <is>
          <t>BRD-00</t>
        </is>
      </c>
      <c r="D25" s="37" t="inlineStr">
        <is>
          <t>Retention: umbrella 5 years online / 15 offline (p.42-46); BRD-7 10 / 15; BRD-5, 10, 12 5 / 5; BRNB.106 (p.12)</t>
        </is>
      </c>
      <c r="E25" s="37" t="inlineStr">
        <is>
          <t>FR-NB-137; FRS BRD-00 section 7</t>
        </is>
      </c>
      <c r="F25" s="37" t="inlineStr">
        <is>
          <t>NFR / infrastructure change</t>
        </is>
      </c>
      <c r="G25" s="37" t="inlineStr">
        <is>
          <t>Retain, archive and purge per the BRD values, which differ by BRD.</t>
        </is>
      </c>
      <c r="H25" s="37" t="inlineStr">
        <is>
          <t>Retention rules per record type with review counts (default 5 years online, 15 years archive; backup kept 7 years). Archive and purge wait until BDOI gives the retention per record type.</t>
        </is>
      </c>
      <c r="I25" s="37" t="inlineStr">
        <is>
          <t>Q39, CRQ22 open.</t>
        </is>
      </c>
      <c r="J25" s="37" t="inlineStr">
        <is>
          <t>Legal record keeping; database size and cost over time.</t>
        </is>
      </c>
      <c r="K25" s="37" t="inlineStr">
        <is>
          <t>Compliance; Comptrollership; BDOI IT; all record owners</t>
        </is>
      </c>
      <c r="L25" s="36" t="n">
        <v>2</v>
      </c>
      <c r="M25" s="36" t="n">
        <v>8</v>
      </c>
      <c r="N25" s="36" t="n">
        <v>4</v>
      </c>
      <c r="O25" s="36" t="n">
        <v>2</v>
      </c>
      <c r="P25" s="38">
        <f>SUM(L25:O25)</f>
        <v/>
      </c>
      <c r="Q25" s="37">
        <f>IF(P25=0,"0 - acceptance only",IF(P25&lt;=3,"S",IF(P25&lt;=10,"M",IF(P25&lt;=25,"L","XL")))&amp;" ("&amp;P25&amp;")")</f>
        <v/>
      </c>
      <c r="R25" s="36" t="n"/>
      <c r="S25" s="36" t="inlineStr">
        <is>
          <t>High</t>
        </is>
      </c>
      <c r="T25" s="37" t="inlineStr">
        <is>
          <t>Draft</t>
        </is>
      </c>
      <c r="U25" s="37" t="inlineStr">
        <is>
          <t>BIBS Product Owner with the Program Manager, Business Project Services</t>
        </is>
      </c>
      <c r="V25" s="37" t="inlineStr">
        <is>
          <t>DCR-136; DCR-167; DCR-209; Q39; CRQ22</t>
        </is>
      </c>
      <c r="W25" s="37" t="inlineStr">
        <is>
          <t>After BDOI answer (slot set by the CCB)</t>
        </is>
      </c>
      <c r="X25" s="37" t="inlineStr">
        <is>
          <t>FRS BRD-1 chapter 21 (BRNB.106); register DCR-136</t>
        </is>
      </c>
    </row>
    <row r="26">
      <c r="A26" s="35" t="inlineStr">
        <is>
          <t>CR-0022</t>
        </is>
      </c>
      <c r="B26" s="36" t="inlineStr">
        <is>
          <t>Programme</t>
        </is>
      </c>
      <c r="C26" s="36" t="inlineStr">
        <is>
          <t>BRD-00</t>
        </is>
      </c>
      <c r="D26" s="37" t="inlineStr">
        <is>
          <t>Response times: 2 s (SP) to 10 s (NB, RN, UAM); umbrella under 5 s for every role (p.42)</t>
        </is>
      </c>
      <c r="E26" s="37" t="inlineStr">
        <is>
          <t>FRS BRD-00 section 7</t>
        </is>
      </c>
      <c r="F26" s="37" t="inlineStr">
        <is>
          <t>NFR / infrastructure change</t>
        </is>
      </c>
      <c r="G26" s="37" t="inlineStr">
        <is>
          <t>Response-time targets differ by BRD.</t>
        </is>
      </c>
      <c r="H26" s="37" t="inlineStr">
        <is>
          <t>Proposed: screens and single-record actions p95 under 2 seconds; reports and batches run as jobs with progress. Proved in the performance test (deliverable 28).</t>
        </is>
      </c>
      <c r="I26" s="37" t="inlineStr">
        <is>
          <t>CRQ21 open.</t>
        </is>
      </c>
      <c r="J26" s="37" t="inlineStr">
        <is>
          <t>One testable target for every screen.</t>
        </is>
      </c>
      <c r="K26" s="37" t="inlineStr">
        <is>
          <t>All departments</t>
        </is>
      </c>
      <c r="L26" s="36" t="n">
        <v>1</v>
      </c>
      <c r="M26" s="36" t="n">
        <v>0</v>
      </c>
      <c r="N26" s="36" t="n">
        <v>0</v>
      </c>
      <c r="O26" s="36" t="n">
        <v>1</v>
      </c>
      <c r="P26" s="38">
        <f>SUM(L26:O26)</f>
        <v/>
      </c>
      <c r="Q26" s="37">
        <f>IF(P26=0,"0 - acceptance only",IF(P26&lt;=3,"S",IF(P26&lt;=10,"M",IF(P26&lt;=25,"L","XL")))&amp;" ("&amp;P26&amp;")")</f>
        <v/>
      </c>
      <c r="R26" s="36" t="n"/>
      <c r="S26" s="36" t="inlineStr">
        <is>
          <t>Medium</t>
        </is>
      </c>
      <c r="T26" s="37" t="inlineStr">
        <is>
          <t>For CCB review</t>
        </is>
      </c>
      <c r="U26" s="37" t="inlineStr">
        <is>
          <t>BIBS Product Owner with the Program Manager, Business Project Services</t>
        </is>
      </c>
      <c r="V26" s="37" t="inlineStr">
        <is>
          <t>DCR-137; DCR-165; CRQ21</t>
        </is>
      </c>
      <c r="W26" s="37" t="inlineStr">
        <is>
          <t>FRS sign-off (Nov 2026)</t>
        </is>
      </c>
      <c r="X26" s="37" t="inlineStr">
        <is>
          <t>Register DCR-137, DCR-165</t>
        </is>
      </c>
    </row>
    <row r="27">
      <c r="A27" s="35" t="inlineStr">
        <is>
          <t>CR-0023</t>
        </is>
      </c>
      <c r="B27" s="36" t="inlineStr">
        <is>
          <t>Programme</t>
        </is>
      </c>
      <c r="C27" s="36" t="inlineStr">
        <is>
          <t>BRD-00</t>
        </is>
      </c>
      <c r="D27" s="37" t="inlineStr">
        <is>
          <t>Umbrella p.42: 1,344 named / 429 concurrent users; IER: about 1,200 internal users</t>
        </is>
      </c>
      <c r="E27" s="37" t="inlineStr">
        <is>
          <t>FRS BRD-00 section 7</t>
        </is>
      </c>
      <c r="F27" s="37" t="inlineStr">
        <is>
          <t>NFR / infrastructure change</t>
        </is>
      </c>
      <c r="G27" s="37" t="inlineStr">
        <is>
          <t>User counts differ between the umbrella, BRD-3, BRD-7, BRD-8 and the IER.</t>
        </is>
      </c>
      <c r="H27" s="37" t="inlineStr">
        <is>
          <t>Sized and tested for 429 concurrent sessions as the peak case; no external users.</t>
        </is>
      </c>
      <c r="I27" s="37" t="inlineStr">
        <is>
          <t>CRQ21, CRQ24, IQ32 open.</t>
        </is>
      </c>
      <c r="J27" s="37" t="inlineStr">
        <is>
          <t>Infrastructure cost and the performance test depend on the figure.</t>
        </is>
      </c>
      <c r="K27" s="37" t="inlineStr">
        <is>
          <t>BDOI IT</t>
        </is>
      </c>
      <c r="L27" s="36" t="n">
        <v>1</v>
      </c>
      <c r="M27" s="36" t="n">
        <v>0</v>
      </c>
      <c r="N27" s="36" t="n">
        <v>0</v>
      </c>
      <c r="O27" s="36" t="n">
        <v>1</v>
      </c>
      <c r="P27" s="38">
        <f>SUM(L27:O27)</f>
        <v/>
      </c>
      <c r="Q27" s="37">
        <f>IF(P27=0,"0 - acceptance only",IF(P27&lt;=3,"S",IF(P27&lt;=10,"M",IF(P27&lt;=25,"L","XL")))&amp;" ("&amp;P27&amp;")")</f>
        <v/>
      </c>
      <c r="R27" s="36" t="n"/>
      <c r="S27" s="36" t="inlineStr">
        <is>
          <t>Medium</t>
        </is>
      </c>
      <c r="T27" s="37" t="inlineStr">
        <is>
          <t>For CCB review</t>
        </is>
      </c>
      <c r="U27" s="37" t="inlineStr">
        <is>
          <t>BDO Cloud and Digital Operations Engineering (IER owner) with BDOI IT</t>
        </is>
      </c>
      <c r="V27" s="37" t="inlineStr">
        <is>
          <t>DCR-166; DCR-232; IQ32; CRQ24</t>
        </is>
      </c>
      <c r="W27" s="37" t="inlineStr">
        <is>
          <t>FRS sign-off (Nov 2026)</t>
        </is>
      </c>
      <c r="X27" s="37" t="inlineStr">
        <is>
          <t>Register DCR-166, DCR-232</t>
        </is>
      </c>
    </row>
    <row r="28">
      <c r="A28" s="35" t="inlineStr">
        <is>
          <t>CR-0024</t>
        </is>
      </c>
      <c r="B28" s="36" t="inlineStr">
        <is>
          <t>Programme</t>
        </is>
      </c>
      <c r="C28" s="36" t="inlineStr">
        <is>
          <t>BRD-11</t>
        </is>
      </c>
      <c r="D28" s="37" t="inlineStr">
        <is>
          <t>BRD-4 and BRD-7 NFR: session timeout 15 minutes; BRD-1 and BRD-11 NFR 5 (p.17): warning at 15, log-out at 30</t>
        </is>
      </c>
      <c r="E28" s="37" t="inlineStr">
        <is>
          <t>FR-UA-004; FR-CL-094</t>
        </is>
      </c>
      <c r="F28" s="37" t="inlineStr">
        <is>
          <t>BRD conflict resolved by decision</t>
        </is>
      </c>
      <c r="G28" s="37" t="inlineStr">
        <is>
          <t>BRD-4 and BRD-7 set a 15-minute session timeout; BRD-1 and BRD-11 a 15-minute warning and a 30-minute log-out.</t>
        </is>
      </c>
      <c r="H28" s="37" t="inlineStr">
        <is>
          <t>Inactivity warning at 15 minutes and log-out at 30 minutes for all users (SESSION_IDLE_WARNING_MINUTES 15, SESSION_TIMEOUT_MINUTES 30), configurable. BRD-11 governs access BIBS-wide.</t>
        </is>
      </c>
      <c r="I28" s="37" t="inlineStr">
        <is>
          <t>BRD-11 p.17 NFR 5 (answer to DCR-008).</t>
        </is>
      </c>
      <c r="J28" s="37" t="inlineStr">
        <is>
          <t>Collections and Claims users get 30 minutes instead of 15.</t>
        </is>
      </c>
      <c r="K28" s="37" t="inlineStr">
        <is>
          <t>Collections; Claims</t>
        </is>
      </c>
      <c r="L28" s="36" t="n">
        <v>0</v>
      </c>
      <c r="M28" s="36" t="n">
        <v>0</v>
      </c>
      <c r="N28" s="36" t="n">
        <v>0</v>
      </c>
      <c r="O28" s="36" t="n">
        <v>0</v>
      </c>
      <c r="P28" s="38">
        <f>SUM(L28:O28)</f>
        <v/>
      </c>
      <c r="Q28" s="37">
        <f>IF(P28=0,"0 - acceptance only",IF(P28&lt;=3,"S",IF(P28&lt;=10,"M",IF(P28&lt;=25,"L","XL")))&amp;" ("&amp;P28&amp;")")</f>
        <v/>
      </c>
      <c r="R28" s="36" t="n"/>
      <c r="S28" s="36" t="inlineStr">
        <is>
          <t>Low</t>
        </is>
      </c>
      <c r="T28" s="37" t="inlineStr">
        <is>
          <t>For acceptance</t>
        </is>
      </c>
      <c r="U28" s="37" t="inlineStr">
        <is>
          <t>UAM Product Owner with ITIO</t>
        </is>
      </c>
      <c r="V28" s="37" t="inlineStr">
        <is>
          <t>DCR-008; DCR-140</t>
        </is>
      </c>
      <c r="W28" s="37" t="inlineStr">
        <is>
          <t>FRS sign-off (Nov 2026)</t>
        </is>
      </c>
      <c r="X28" s="37" t="inlineStr">
        <is>
          <t>Register DCR-008, DCR-140</t>
        </is>
      </c>
    </row>
    <row r="29">
      <c r="A29" s="35" t="inlineStr">
        <is>
          <t>CR-0025</t>
        </is>
      </c>
      <c r="B29" s="36" t="inlineStr">
        <is>
          <t>Drop 0</t>
        </is>
      </c>
      <c r="C29" s="36" t="inlineStr">
        <is>
          <t>BRD-11</t>
        </is>
      </c>
      <c r="D29" s="37" t="inlineStr">
        <is>
          <t>BRD-4 NFR 10.07 (p.51-58), one session per device; BRD-7 NFR (p.32-41), concurrent sessions allowed; BRD-11 silent</t>
        </is>
      </c>
      <c r="E29" s="37" t="inlineStr">
        <is>
          <t>FR-UA-004</t>
        </is>
      </c>
      <c r="F29" s="37" t="inlineStr">
        <is>
          <t>Deferred pending BDOI answer</t>
        </is>
      </c>
      <c r="G29" s="37" t="inlineStr">
        <is>
          <t>BRD-4: one session per device, a new device logs off the old one. BRD-7: concurrent sessions allowed.</t>
        </is>
      </c>
      <c r="H29" s="37" t="inlineStr">
        <is>
          <t>Session log kept; enforcement of a single session is a parameter, off until BDOI decides whether it applies to all users.</t>
        </is>
      </c>
      <c r="I29" s="37" t="inlineStr">
        <is>
          <t>UQ09; XQ11.</t>
        </is>
      </c>
      <c r="J29" s="37" t="inlineStr">
        <is>
          <t>Shared-device risk in Collections if not enforced.</t>
        </is>
      </c>
      <c r="K29" s="37" t="inlineStr">
        <is>
          <t>Collections; Claims; BDOI IT Security</t>
        </is>
      </c>
      <c r="L29" s="36" t="n">
        <v>1</v>
      </c>
      <c r="M29" s="36" t="n">
        <v>3</v>
      </c>
      <c r="N29" s="36" t="n">
        <v>2</v>
      </c>
      <c r="O29" s="36" t="n">
        <v>1</v>
      </c>
      <c r="P29" s="38">
        <f>SUM(L29:O29)</f>
        <v/>
      </c>
      <c r="Q29" s="37">
        <f>IF(P29=0,"0 - acceptance only",IF(P29&lt;=3,"S",IF(P29&lt;=10,"M",IF(P29&lt;=25,"L","XL")))&amp;" ("&amp;P29&amp;")")</f>
        <v/>
      </c>
      <c r="R29" s="36" t="n"/>
      <c r="S29" s="36" t="inlineStr">
        <is>
          <t>Medium</t>
        </is>
      </c>
      <c r="T29" s="37" t="inlineStr">
        <is>
          <t>Draft</t>
        </is>
      </c>
      <c r="U29" s="37" t="inlineStr">
        <is>
          <t>UAM Product Owner with ITIO</t>
        </is>
      </c>
      <c r="V29" s="37" t="inlineStr">
        <is>
          <t>DCR-141; UQ09; XQ11</t>
        </is>
      </c>
      <c r="W29" s="37" t="inlineStr">
        <is>
          <t>After BDOI answer (slot set by the CCB)</t>
        </is>
      </c>
      <c r="X29" s="37" t="inlineStr">
        <is>
          <t>Register DCR-141; Cross-BRD decisions XQ11</t>
        </is>
      </c>
    </row>
    <row r="30">
      <c r="A30" s="35" t="inlineStr">
        <is>
          <t>CR-0026</t>
        </is>
      </c>
      <c r="B30" s="36" t="inlineStr">
        <is>
          <t>Drop 1</t>
        </is>
      </c>
      <c r="C30" s="36" t="inlineStr">
        <is>
          <t>BRD-04</t>
        </is>
      </c>
      <c r="D30" s="37" t="inlineStr">
        <is>
          <t>BRD-4 NFR 3.04 (users may not hold several roles); BRD-11 NFR 1.d (p.13)</t>
        </is>
      </c>
      <c r="E30" s="37" t="inlineStr">
        <is>
          <t>FRS BRD-4 chapter 12; FR-CL-094</t>
        </is>
      </c>
      <c r="F30" s="37" t="inlineStr">
        <is>
          <t>BRD conflict resolved by decision</t>
        </is>
      </c>
      <c r="G30" s="37" t="inlineStr">
        <is>
          <t>BRD-4: the system does not allow users to have multiple roles.</t>
        </is>
      </c>
      <c r="H30" s="37" t="inlineStr">
        <is>
          <t>Several roles per user allowed everywhere; there is no single-role check. Incompatible role pairs can be blocked as a segregation rule.</t>
        </is>
      </c>
      <c r="I30" s="37" t="inlineStr">
        <is>
          <t>Decision D5 (CQ23 answered by BRD-11: "User can have more than one role").</t>
        </is>
      </c>
      <c r="J30" s="37" t="inlineStr">
        <is>
          <t>A collector who also works in another unit keeps one user ID.</t>
        </is>
      </c>
      <c r="K30" s="37" t="inlineStr">
        <is>
          <t>Collections; ITIO</t>
        </is>
      </c>
      <c r="L30" s="36" t="n">
        <v>0</v>
      </c>
      <c r="M30" s="36" t="n">
        <v>0</v>
      </c>
      <c r="N30" s="36" t="n">
        <v>0</v>
      </c>
      <c r="O30" s="36" t="n">
        <v>0</v>
      </c>
      <c r="P30" s="38">
        <f>SUM(L30:O30)</f>
        <v/>
      </c>
      <c r="Q30" s="37">
        <f>IF(P30=0,"0 - acceptance only",IF(P30&lt;=3,"S",IF(P30&lt;=10,"M",IF(P30&lt;=25,"L","XL")))&amp;" ("&amp;P30&amp;")")</f>
        <v/>
      </c>
      <c r="R30" s="36" t="n"/>
      <c r="S30" s="36" t="inlineStr">
        <is>
          <t>Medium</t>
        </is>
      </c>
      <c r="T30" s="37" t="inlineStr">
        <is>
          <t>For acceptance</t>
        </is>
      </c>
      <c r="U30" s="37" t="inlineStr">
        <is>
          <t>Head of BDOI Operations (Collections)</t>
        </is>
      </c>
      <c r="V30" s="37" t="inlineStr">
        <is>
          <t>DCR-045; D5; CQ23</t>
        </is>
      </c>
      <c r="W30" s="37" t="inlineStr">
        <is>
          <t>FRS sign-off (Nov 2026)</t>
        </is>
      </c>
      <c r="X30" s="37" t="inlineStr">
        <is>
          <t>FRS BRD-4 chapter 12; Cross-BRD decisions D5</t>
        </is>
      </c>
    </row>
    <row r="31">
      <c r="A31" s="35" t="inlineStr">
        <is>
          <t>CR-0027</t>
        </is>
      </c>
      <c r="B31" s="36" t="inlineStr">
        <is>
          <t>Programme</t>
        </is>
      </c>
      <c r="C31" s="36" t="inlineStr">
        <is>
          <t>BRD-00</t>
        </is>
      </c>
      <c r="D31" s="37" t="inlineStr">
        <is>
          <t>IER workbook v20: architecture diagram (multi-tenant microservices), Kubernetes sheets (ten bv-* services)</t>
        </is>
      </c>
      <c r="E31" s="37" t="inlineStr">
        <is>
          <t>FRS BRD-00 section 7; ARCHITECTURE_OPTION_DECISION</t>
        </is>
      </c>
      <c r="F31" s="37" t="inlineStr">
        <is>
          <t>NFR / infrastructure change</t>
        </is>
      </c>
      <c r="G31" s="37" t="inlineStr">
        <is>
          <t>The IER sizes ten microservices, three tenants, Aurora and MongoDB per tenant, Istio and EventBridge.</t>
        </is>
      </c>
      <c r="H31" s="37" t="inlineStr">
        <is>
          <t>BIBS stays a modular monolith on one PostgreSQL database, deployed on EKS as four workloads (web, jobs, integration, frontend) with RDS, ElastiCache, MSK and S3; internal ALB with AWS WAF for users; Apigee X for system APIs; TLS on every hop, deny-by-default network policies, IRSA; no service mesh. Infrastructure work: workload roles, backend HTTPS, data-service TLS, Apigee token validation, deployment values with HPA and PDB.</t>
        </is>
      </c>
      <c r="I31" s="37" t="inlineStr">
        <is>
          <t>Decision D10, confirmed by BDOI on 26-Sep-2026 ("go ahead with the best practices"); IQ25.</t>
        </is>
      </c>
      <c r="J31" s="37" t="inlineStr">
        <is>
          <t>The IER is restated; infrastructure cost follows the real workloads.</t>
        </is>
      </c>
      <c r="K31" s="37" t="inlineStr">
        <is>
          <t>BDOI IT; BDO Cloud and Digital Operations Engineering</t>
        </is>
      </c>
      <c r="L31" s="36" t="n">
        <v>3</v>
      </c>
      <c r="M31" s="36" t="n">
        <v>15</v>
      </c>
      <c r="N31" s="36" t="n">
        <v>6</v>
      </c>
      <c r="O31" s="36" t="n">
        <v>4</v>
      </c>
      <c r="P31" s="38">
        <f>SUM(L31:O31)</f>
        <v/>
      </c>
      <c r="Q31" s="37">
        <f>IF(P31=0,"0 - acceptance only",IF(P31&lt;=3,"S",IF(P31&lt;=10,"M",IF(P31&lt;=25,"L","XL")))&amp;" ("&amp;P31&amp;")")</f>
        <v/>
      </c>
      <c r="R31" s="36" t="n"/>
      <c r="S31" s="36" t="inlineStr">
        <is>
          <t>High</t>
        </is>
      </c>
      <c r="T31" s="37" t="inlineStr">
        <is>
          <t>For CCB review</t>
        </is>
      </c>
      <c r="U31" s="37" t="inlineStr">
        <is>
          <t>BDO Cloud and Digital Operations Engineering (IER owner) with BDOI IT</t>
        </is>
      </c>
      <c r="V31" s="37" t="inlineStr">
        <is>
          <t>DCR-222; DCR-223; D10; IQ25</t>
        </is>
      </c>
      <c r="W31" s="37" t="inlineStr">
        <is>
          <t>Infrastructure before SIT (by Jan 2027)</t>
        </is>
      </c>
      <c r="X31" s="37" t="inlineStr">
        <is>
          <t>Architecture option decision 5.3-5.4; Programme alignment 6.2</t>
        </is>
      </c>
    </row>
    <row r="32">
      <c r="A32" s="35" t="inlineStr">
        <is>
          <t>CR-0028</t>
        </is>
      </c>
      <c r="B32" s="36" t="inlineStr">
        <is>
          <t>Programme</t>
        </is>
      </c>
      <c r="C32" s="36" t="inlineStr">
        <is>
          <t>BRD-00</t>
        </is>
      </c>
      <c r="D32" s="37" t="inlineStr">
        <is>
          <t>BDOI answer A4 of 26-Sep-2026 (documents in S3 only); every BRD that stores files</t>
        </is>
      </c>
      <c r="E32" s="37" t="inlineStr">
        <is>
          <t>FRS BRD-00 section 4 (document generation, data management)</t>
        </is>
      </c>
      <c r="F32" s="37" t="inlineStr">
        <is>
          <t>NFR / infrastructure change</t>
        </is>
      </c>
      <c r="G32" s="37" t="inlineStr">
        <is>
          <t>Documents and attachments are stored in an S3 bucket only.</t>
        </is>
      </c>
      <c r="H32" s="37" t="inlineStr">
        <is>
          <t>Proposed: every file in S3 with its metadata in PostgreSQL; signed links after the permission check and audit; quarantine until the malware scan passes; retention and legal hold; every module moved to the S3 store and the existing files copied with a checksum check.</t>
        </is>
      </c>
      <c r="I32" s="37" t="inlineStr">
        <is>
          <t>Decision D9 (option C of DOCUMENT_STORAGE_DECISION, approved 26-Sep-2026); five design points still to confirm (IQ31).</t>
        </is>
      </c>
      <c r="J32" s="37" t="inlineStr">
        <is>
          <t>Smaller database and backups; encryption with BDOI keys; Object Lock for records under legal hold.</t>
        </is>
      </c>
      <c r="K32" s="37" t="inlineStr">
        <is>
          <t>BDOI IT; Compliance; all departments that upload or print documents</t>
        </is>
      </c>
      <c r="L32" s="36" t="n">
        <v>3</v>
      </c>
      <c r="M32" s="36" t="n">
        <v>22</v>
      </c>
      <c r="N32" s="36" t="n">
        <v>8</v>
      </c>
      <c r="O32" s="36" t="n">
        <v>3</v>
      </c>
      <c r="P32" s="38">
        <f>SUM(L32:O32)</f>
        <v/>
      </c>
      <c r="Q32" s="37">
        <f>IF(P32=0,"0 - acceptance only",IF(P32&lt;=3,"S",IF(P32&lt;=10,"M",IF(P32&lt;=25,"L","XL")))&amp;" ("&amp;P32&amp;")")</f>
        <v/>
      </c>
      <c r="R32" s="36" t="n"/>
      <c r="S32" s="36" t="inlineStr">
        <is>
          <t>High</t>
        </is>
      </c>
      <c r="T32" s="37" t="inlineStr">
        <is>
          <t>For CCB review</t>
        </is>
      </c>
      <c r="U32" s="37" t="inlineStr">
        <is>
          <t>BDOI IT (integration owner) with the BIBS Product Owner</t>
        </is>
      </c>
      <c r="V32" s="37" t="inlineStr">
        <is>
          <t>DCR-227; D9; A4; IQ31; DSQ01-DSQ04</t>
        </is>
      </c>
      <c r="W32" s="37" t="inlineStr">
        <is>
          <t>Drop 1, first release (Nov - Dec 2026)</t>
        </is>
      </c>
      <c r="X32" s="37" t="inlineStr">
        <is>
          <t>Document storage proposal section 4; Programme alignment 6.3</t>
        </is>
      </c>
    </row>
    <row r="33">
      <c r="A33" s="35" t="inlineStr">
        <is>
          <t>CR-0029</t>
        </is>
      </c>
      <c r="B33" s="36" t="inlineStr">
        <is>
          <t>Programme</t>
        </is>
      </c>
      <c r="C33" s="36" t="inlineStr">
        <is>
          <t>BRD-00</t>
        </is>
      </c>
      <c r="D33" s="37" t="inlineStr">
        <is>
          <t>IER HW and SW sheet: ElastiCache Redis 7 "(cluster)" in Pre-Prod and PROD</t>
        </is>
      </c>
      <c r="E33" s="37" t="inlineStr">
        <is>
          <t>FRS BRD-00 section 7</t>
        </is>
      </c>
      <c r="F33" s="37" t="inlineStr">
        <is>
          <t>NFR / infrastructure change</t>
        </is>
      </c>
      <c r="G33" s="37" t="inlineStr">
        <is>
          <t>The IER asks for ElastiCache in cluster mode.</t>
        </is>
      </c>
      <c r="H33" s="37" t="inlineStr">
        <is>
          <t>BIBS runs Redis 7 with cluster mode disabled (one shard, Multi-AZ replica); the cache clear and the job lock assume one shard.</t>
        </is>
      </c>
      <c r="I33" s="37" t="inlineStr">
        <is>
          <t>Technical constraint; IQ34 open.</t>
        </is>
      </c>
      <c r="J33" s="37" t="inlineStr">
        <is>
          <t>None if accepted; cluster mode enabled needs a code change.</t>
        </is>
      </c>
      <c r="K33" s="37" t="inlineStr">
        <is>
          <t>BDOI IT</t>
        </is>
      </c>
      <c r="L33" s="36" t="n">
        <v>0</v>
      </c>
      <c r="M33" s="36" t="n">
        <v>0</v>
      </c>
      <c r="N33" s="36" t="n">
        <v>0</v>
      </c>
      <c r="O33" s="36" t="n">
        <v>1</v>
      </c>
      <c r="P33" s="38">
        <f>SUM(L33:O33)</f>
        <v/>
      </c>
      <c r="Q33" s="37">
        <f>IF(P33=0,"0 - acceptance only",IF(P33&lt;=3,"S",IF(P33&lt;=10,"M",IF(P33&lt;=25,"L","XL")))&amp;" ("&amp;P33&amp;")")</f>
        <v/>
      </c>
      <c r="R33" s="36" t="n">
        <v>10</v>
      </c>
      <c r="S33" s="36" t="inlineStr">
        <is>
          <t>Low</t>
        </is>
      </c>
      <c r="T33" s="37" t="inlineStr">
        <is>
          <t>For CCB review</t>
        </is>
      </c>
      <c r="U33" s="37" t="inlineStr">
        <is>
          <t>BDO Cloud and Digital Operations Engineering (IER owner) with BDOI IT</t>
        </is>
      </c>
      <c r="V33" s="37" t="inlineStr">
        <is>
          <t>DCR-228; IQ34</t>
        </is>
      </c>
      <c r="W33" s="37" t="inlineStr">
        <is>
          <t>Infrastructure before SIT (by Jan 2027)</t>
        </is>
      </c>
      <c r="X33" s="37" t="inlineStr">
        <is>
          <t>Register DCR-228; Programme alignment 6.2</t>
        </is>
      </c>
    </row>
    <row r="34">
      <c r="A34" s="35" t="inlineStr">
        <is>
          <t>CR-0030</t>
        </is>
      </c>
      <c r="B34" s="36" t="inlineStr">
        <is>
          <t>Programme</t>
        </is>
      </c>
      <c r="C34" s="36" t="inlineStr">
        <is>
          <t>BRD-00</t>
        </is>
      </c>
      <c r="D34" s="37" t="inlineStr">
        <is>
          <t>IER VDI sheet: OpenJDK 17, Node 20, Angular SPA; RDS rows "RHEL 9.x"</t>
        </is>
      </c>
      <c r="E34" s="37" t="inlineStr">
        <is>
          <t>FRS BRD-00 section 7</t>
        </is>
      </c>
      <c r="F34" s="37" t="inlineStr">
        <is>
          <t>NFR / infrastructure change</t>
        </is>
      </c>
      <c r="G34" s="37" t="inlineStr">
        <is>
          <t>The IER names JDK 17, Node 20 and an Angular front end.</t>
        </is>
      </c>
      <c r="H34" s="37" t="inlineStr">
        <is>
          <t>BIBS runs on Java 21, Spring Boot 3.5, Node 22 and React 19. Proposed IER correction: Temurin 21, Maven 3.9, Node 22, no Angular; RDS rows without an operating system.</t>
        </is>
      </c>
      <c r="I34" s="37" t="inlineStr">
        <is>
          <t>Technology baseline of BIBS; IQ28, IQ29.</t>
        </is>
      </c>
      <c r="J34" s="37" t="inlineStr">
        <is>
          <t>VDI images and base images follow the real stack.</t>
        </is>
      </c>
      <c r="K34" s="37" t="inlineStr">
        <is>
          <t>BDOI IT</t>
        </is>
      </c>
      <c r="L34" s="36" t="n">
        <v>0</v>
      </c>
      <c r="M34" s="36" t="n">
        <v>0</v>
      </c>
      <c r="N34" s="36" t="n">
        <v>0</v>
      </c>
      <c r="O34" s="36" t="n">
        <v>1</v>
      </c>
      <c r="P34" s="38">
        <f>SUM(L34:O34)</f>
        <v/>
      </c>
      <c r="Q34" s="37">
        <f>IF(P34=0,"0 - acceptance only",IF(P34&lt;=3,"S",IF(P34&lt;=10,"M",IF(P34&lt;=25,"L","XL")))&amp;" ("&amp;P34&amp;")")</f>
        <v/>
      </c>
      <c r="R34" s="36" t="n"/>
      <c r="S34" s="36" t="inlineStr">
        <is>
          <t>Low</t>
        </is>
      </c>
      <c r="T34" s="37" t="inlineStr">
        <is>
          <t>For CCB review</t>
        </is>
      </c>
      <c r="U34" s="37" t="inlineStr">
        <is>
          <t>BDO Cloud and Digital Operations Engineering (IER owner) with BDOI IT</t>
        </is>
      </c>
      <c r="V34" s="37" t="inlineStr">
        <is>
          <t>DCR-224; IQ28; IQ29</t>
        </is>
      </c>
      <c r="W34" s="37" t="inlineStr">
        <is>
          <t>Infrastructure before SIT (by Jan 2027)</t>
        </is>
      </c>
      <c r="X34" s="37" t="inlineStr">
        <is>
          <t>Register DCR-224; Programme alignment 6.2</t>
        </is>
      </c>
    </row>
    <row r="35">
      <c r="A35" s="35" t="inlineStr">
        <is>
          <t>CR-0031</t>
        </is>
      </c>
      <c r="B35" s="36" t="inlineStr">
        <is>
          <t>Programme</t>
        </is>
      </c>
      <c r="C35" s="36" t="inlineStr">
        <is>
          <t>BRD-00</t>
        </is>
      </c>
      <c r="D35" s="37" t="inlineStr">
        <is>
          <t>IER assumptions: non-production 12 x 5 hours</t>
        </is>
      </c>
      <c r="E35" s="37" t="inlineStr">
        <is>
          <t>FRS BRD-00 section 7</t>
        </is>
      </c>
      <c r="F35" s="37" t="inlineStr">
        <is>
          <t>NFR / infrastructure change</t>
        </is>
      </c>
      <c r="G35" s="37" t="inlineStr">
        <is>
          <t>Non-production environments run 12 hours a day, 5 days a week.</t>
        </is>
      </c>
      <c r="H35" s="37" t="inlineStr">
        <is>
          <t>Night jobs run from 20:00 to 06:00 PHT and would never fire. Proposed: non-production crons moved into the window by environment variables; extended hours booked for batch, month-end and migration rehearsal cycles.</t>
        </is>
      </c>
      <c r="I35" s="37" t="inlineStr">
        <is>
          <t>Technical constraint; IQ27 open.</t>
        </is>
      </c>
      <c r="J35" s="37" t="inlineStr">
        <is>
          <t>SIT and UAT can test the batch cycle and month-end.</t>
        </is>
      </c>
      <c r="K35" s="37" t="inlineStr">
        <is>
          <t>BDOI IT; QA</t>
        </is>
      </c>
      <c r="L35" s="36" t="n">
        <v>1</v>
      </c>
      <c r="M35" s="36" t="n">
        <v>1</v>
      </c>
      <c r="N35" s="36" t="n">
        <v>1</v>
      </c>
      <c r="O35" s="36" t="n">
        <v>1</v>
      </c>
      <c r="P35" s="38">
        <f>SUM(L35:O35)</f>
        <v/>
      </c>
      <c r="Q35" s="37">
        <f>IF(P35=0,"0 - acceptance only",IF(P35&lt;=3,"S",IF(P35&lt;=10,"M",IF(P35&lt;=25,"L","XL")))&amp;" ("&amp;P35&amp;")")</f>
        <v/>
      </c>
      <c r="R35" s="36" t="n"/>
      <c r="S35" s="36" t="inlineStr">
        <is>
          <t>Medium</t>
        </is>
      </c>
      <c r="T35" s="37" t="inlineStr">
        <is>
          <t>For CCB review</t>
        </is>
      </c>
      <c r="U35" s="37" t="inlineStr">
        <is>
          <t>BDO Cloud and Digital Operations Engineering (IER owner) with BDOI IT</t>
        </is>
      </c>
      <c r="V35" s="37" t="inlineStr">
        <is>
          <t>DCR-226; IQ27</t>
        </is>
      </c>
      <c r="W35" s="37" t="inlineStr">
        <is>
          <t>Infrastructure before SIT (by Jan 2027)</t>
        </is>
      </c>
      <c r="X35" s="37" t="inlineStr">
        <is>
          <t>Register DCR-226; Programme alignment 6.5</t>
        </is>
      </c>
    </row>
    <row r="36">
      <c r="A36" s="35" t="inlineStr">
        <is>
          <t>CR-0032</t>
        </is>
      </c>
      <c r="B36" s="36" t="inlineStr">
        <is>
          <t>Programme</t>
        </is>
      </c>
      <c r="C36" s="36" t="inlineStr">
        <is>
          <t>BRD-00</t>
        </is>
      </c>
      <c r="D36" s="37" t="inlineStr">
        <is>
          <t>IER workbook v20 (HW and SW sheet, infrastructure diagram, architecture diagram): GitLab runner, Jenkins, ArgoCD and Helm</t>
        </is>
      </c>
      <c r="E36" s="37" t="inlineStr">
        <is>
          <t>FRS BRD-00 section 7</t>
        </is>
      </c>
      <c r="F36" s="37" t="inlineStr">
        <is>
          <t>NFR / infrastructure change</t>
        </is>
      </c>
      <c r="G36" s="37" t="inlineStr">
        <is>
          <t>Three CI / CD toolchains appear in the IER; the BDO standard is not named.</t>
        </is>
      </c>
      <c r="H36" s="37" t="inlineStr">
        <is>
          <t>Proposed: a Helm chart or Kustomize overlays per environment and a pipeline on the toolchain BDO IT names (container registry, image base, code-quality server).</t>
        </is>
      </c>
      <c r="I36" s="37" t="inlineStr">
        <is>
          <t>IQ29 open.</t>
        </is>
      </c>
      <c r="J36" s="37" t="inlineStr">
        <is>
          <t>Releases follow BDO change management and tooling.</t>
        </is>
      </c>
      <c r="K36" s="37" t="inlineStr">
        <is>
          <t>BDOI IT</t>
        </is>
      </c>
      <c r="L36" s="36" t="n">
        <v>1</v>
      </c>
      <c r="M36" s="36" t="n">
        <v>5</v>
      </c>
      <c r="N36" s="36" t="n">
        <v>2</v>
      </c>
      <c r="O36" s="36" t="n">
        <v>1</v>
      </c>
      <c r="P36" s="38">
        <f>SUM(L36:O36)</f>
        <v/>
      </c>
      <c r="Q36" s="37">
        <f>IF(P36=0,"0 - acceptance only",IF(P36&lt;=3,"S",IF(P36&lt;=10,"M",IF(P36&lt;=25,"L","XL")))&amp;" ("&amp;P36&amp;")")</f>
        <v/>
      </c>
      <c r="R36" s="36" t="n"/>
      <c r="S36" s="36" t="inlineStr">
        <is>
          <t>Medium</t>
        </is>
      </c>
      <c r="T36" s="37" t="inlineStr">
        <is>
          <t>Draft</t>
        </is>
      </c>
      <c r="U36" s="37" t="inlineStr">
        <is>
          <t>BDO Cloud and Digital Operations Engineering (IER owner) with BDOI IT</t>
        </is>
      </c>
      <c r="V36" s="37" t="inlineStr">
        <is>
          <t>DCR-224; IQ29</t>
        </is>
      </c>
      <c r="W36" s="37" t="inlineStr">
        <is>
          <t>Infrastructure before SIT (by Jan 2027)</t>
        </is>
      </c>
      <c r="X36" s="37" t="inlineStr">
        <is>
          <t>Programme alignment 6.2, 6.6</t>
        </is>
      </c>
    </row>
    <row r="37">
      <c r="A37" s="35" t="inlineStr">
        <is>
          <t>CR-0033</t>
        </is>
      </c>
      <c r="B37" s="36" t="inlineStr">
        <is>
          <t>Programme</t>
        </is>
      </c>
      <c r="C37" s="36" t="inlineStr">
        <is>
          <t>BRD-00</t>
        </is>
      </c>
      <c r="D37" s="37" t="inlineStr">
        <is>
          <t>IER: Dynatrace (VDI, K8s sheets) against CloudWatch, X-Ray, Prometheus, Loki, Grafana (diagram); BRD-11 NFR remote log server (p.14)</t>
        </is>
      </c>
      <c r="E37" s="37" t="inlineStr">
        <is>
          <t>FRS BRD-11 interfaces (remote log server, on hold)</t>
        </is>
      </c>
      <c r="F37" s="37" t="inlineStr">
        <is>
          <t>NFR / infrastructure change</t>
        </is>
      </c>
      <c r="G37" s="37" t="inlineStr">
        <is>
          <t>Two observability stacks named; BRD-11 asks for logs on a remote log server.</t>
        </is>
      </c>
      <c r="H37" s="37" t="inlineStr">
        <is>
          <t>Health checks, metrics for Prometheus and structured logs. Proposed: monitoring collectors and log shipping for the stack BDO IT chooses; alert routing per the alert catalogue (deliverable 38).</t>
        </is>
      </c>
      <c r="I37" s="37" t="inlineStr">
        <is>
          <t>IQ30 open.</t>
        </is>
      </c>
      <c r="J37" s="37" t="inlineStr">
        <is>
          <t>Production support sees BIBS in the BDO monitoring tools.</t>
        </is>
      </c>
      <c r="K37" s="37" t="inlineStr">
        <is>
          <t>BDOI IT; production support</t>
        </is>
      </c>
      <c r="L37" s="36" t="n">
        <v>1</v>
      </c>
      <c r="M37" s="36" t="n">
        <v>4</v>
      </c>
      <c r="N37" s="36" t="n">
        <v>2</v>
      </c>
      <c r="O37" s="36" t="n">
        <v>1</v>
      </c>
      <c r="P37" s="38">
        <f>SUM(L37:O37)</f>
        <v/>
      </c>
      <c r="Q37" s="37">
        <f>IF(P37=0,"0 - acceptance only",IF(P37&lt;=3,"S",IF(P37&lt;=10,"M",IF(P37&lt;=25,"L","XL")))&amp;" ("&amp;P37&amp;")")</f>
        <v/>
      </c>
      <c r="R37" s="36" t="n"/>
      <c r="S37" s="36" t="inlineStr">
        <is>
          <t>Medium</t>
        </is>
      </c>
      <c r="T37" s="37" t="inlineStr">
        <is>
          <t>Draft</t>
        </is>
      </c>
      <c r="U37" s="37" t="inlineStr">
        <is>
          <t>BDO Cloud and Digital Operations Engineering (IER owner) with BDOI IT</t>
        </is>
      </c>
      <c r="V37" s="37" t="inlineStr">
        <is>
          <t>IQ30</t>
        </is>
      </c>
      <c r="W37" s="37" t="inlineStr">
        <is>
          <t>Infrastructure before SIT (by Jan 2027)</t>
        </is>
      </c>
      <c r="X37" s="37" t="inlineStr">
        <is>
          <t>Programme alignment 6.2; FRS BRD-11 interfaces</t>
        </is>
      </c>
    </row>
    <row r="38">
      <c r="A38" s="35" t="inlineStr">
        <is>
          <t>CR-0034</t>
        </is>
      </c>
      <c r="B38" s="36" t="inlineStr">
        <is>
          <t>Programme</t>
        </is>
      </c>
      <c r="C38" s="36" t="inlineStr">
        <is>
          <t>BRD-00</t>
        </is>
      </c>
      <c r="D38" s="37" t="inlineStr">
        <is>
          <t>Hosting appendix (access restricted to personnel in the Philippines); IER VDI sheet (15 users)</t>
        </is>
      </c>
      <c r="E38" s="37" t="inlineStr">
        <is>
          <t>FRS BRD-00 section 7</t>
        </is>
      </c>
      <c r="F38" s="37" t="inlineStr">
        <is>
          <t>NFR / infrastructure change</t>
        </is>
      </c>
      <c r="G38" s="37" t="inlineStr">
        <is>
          <t>Access is restricted to personnel in the Philippines; the IER plans 15 VDI users without saying where they sit.</t>
        </is>
      </c>
      <c r="H38" s="37" t="inlineStr">
        <is>
          <t>Proposed: production and UAT reachable only from the Philippines; DEV and SIT with masked data reachable by named vendor staff through VDI.</t>
        </is>
      </c>
      <c r="I38" s="37" t="inlineStr">
        <is>
          <t>IQ28 open.</t>
        </is>
      </c>
      <c r="J38" s="37" t="inlineStr">
        <is>
          <t>Defines who can support the platform from where.</t>
        </is>
      </c>
      <c r="K38" s="37" t="inlineStr">
        <is>
          <t>BDOI IT; Compliance</t>
        </is>
      </c>
      <c r="L38" s="36" t="n">
        <v>1</v>
      </c>
      <c r="M38" s="36" t="n">
        <v>0</v>
      </c>
      <c r="N38" s="36" t="n">
        <v>0</v>
      </c>
      <c r="O38" s="36" t="n">
        <v>1</v>
      </c>
      <c r="P38" s="38">
        <f>SUM(L38:O38)</f>
        <v/>
      </c>
      <c r="Q38" s="37">
        <f>IF(P38=0,"0 - acceptance only",IF(P38&lt;=3,"S",IF(P38&lt;=10,"M",IF(P38&lt;=25,"L","XL")))&amp;" ("&amp;P38&amp;")")</f>
        <v/>
      </c>
      <c r="R38" s="36" t="n"/>
      <c r="S38" s="36" t="inlineStr">
        <is>
          <t>Medium</t>
        </is>
      </c>
      <c r="T38" s="37" t="inlineStr">
        <is>
          <t>For CCB review</t>
        </is>
      </c>
      <c r="U38" s="37" t="inlineStr">
        <is>
          <t>BDO Cloud and Digital Operations Engineering (IER owner) with BDOI IT</t>
        </is>
      </c>
      <c r="V38" s="37" t="inlineStr">
        <is>
          <t>DCR-231; IQ28</t>
        </is>
      </c>
      <c r="W38" s="37" t="inlineStr">
        <is>
          <t>Infrastructure before SIT (by Jan 2027)</t>
        </is>
      </c>
      <c r="X38" s="37" t="inlineStr">
        <is>
          <t>Register DCR-231</t>
        </is>
      </c>
    </row>
    <row r="39">
      <c r="A39" s="35" t="inlineStr">
        <is>
          <t>CR-0035</t>
        </is>
      </c>
      <c r="B39" s="36" t="inlineStr">
        <is>
          <t>Programme</t>
        </is>
      </c>
      <c r="C39" s="36" t="inlineStr">
        <is>
          <t>BRD-00</t>
        </is>
      </c>
      <c r="D39" s="37" t="inlineStr">
        <is>
          <t>Concept paper "Advance Implementation of Renewal Processing" V1.0 (MANCOM, 06-Sep-2026); timeline slide</t>
        </is>
      </c>
      <c r="E39" s="37" t="inlineStr">
        <is>
          <t>FRS BRD-6 v1.1 introduction; FRS BRD-13 (FR-DM-120)</t>
        </is>
      </c>
      <c r="F39" s="37" t="inlineStr">
        <is>
          <t>BRD conflict resolved by decision</t>
        </is>
      </c>
      <c r="G39" s="37" t="inlineStr">
        <is>
          <t>The signed concept paper proposes an early renewal release by 15-Aug-2027 for January to May 2028 expiries, with early migration of client and reference data.</t>
        </is>
      </c>
      <c r="H39" s="37" t="inlineStr">
        <is>
          <t>Superseded: every module goes live together in January 2028; no early release and no early migration. Its capabilities stay in scope for January 2028.</t>
        </is>
      </c>
      <c r="I39" s="37" t="inlineStr">
        <is>
          <t>BDOI answer A1 of 26-Sep-2026.</t>
        </is>
      </c>
      <c r="J39" s="37" t="inlineStr">
        <is>
          <t>One cut-over; renewals of January to May 2028 run in BIBS after go-live (CR-0139).</t>
        </is>
      </c>
      <c r="K39" s="37" t="inlineStr">
        <is>
          <t>Marketing; Processing; Business Project Services</t>
        </is>
      </c>
      <c r="L39" s="36" t="n">
        <v>0</v>
      </c>
      <c r="M39" s="36" t="n">
        <v>0</v>
      </c>
      <c r="N39" s="36" t="n">
        <v>0</v>
      </c>
      <c r="O39" s="36" t="n">
        <v>1</v>
      </c>
      <c r="P39" s="38">
        <f>SUM(L39:O39)</f>
        <v/>
      </c>
      <c r="Q39" s="37">
        <f>IF(P39=0,"0 - acceptance only",IF(P39&lt;=3,"S",IF(P39&lt;=10,"M",IF(P39&lt;=25,"L","XL")))&amp;" ("&amp;P39&amp;")")</f>
        <v/>
      </c>
      <c r="R39" s="36" t="n"/>
      <c r="S39" s="36" t="inlineStr">
        <is>
          <t>High</t>
        </is>
      </c>
      <c r="T39" s="37" t="inlineStr">
        <is>
          <t>For CCB review</t>
        </is>
      </c>
      <c r="U39" s="37" t="inlineStr">
        <is>
          <t>BIBS Product Owner with the Program Manager, Business Project Services</t>
        </is>
      </c>
      <c r="V39" s="37" t="inlineStr">
        <is>
          <t>DCR-218; DCR-240; A1</t>
        </is>
      </c>
      <c r="W39" s="37" t="inlineStr">
        <is>
          <t>FRS sign-off (Nov 2026)</t>
        </is>
      </c>
      <c r="X39" s="37" t="inlineStr">
        <is>
          <t>Programme alignment 3; register DCR-218, DCR-240</t>
        </is>
      </c>
    </row>
    <row r="40">
      <c r="A40" s="35" t="inlineStr">
        <is>
          <t>CR-0036</t>
        </is>
      </c>
      <c r="B40" s="36" t="inlineStr">
        <is>
          <t>Programme</t>
        </is>
      </c>
      <c r="C40" s="36" t="inlineStr">
        <is>
          <t>BRD-00</t>
        </is>
      </c>
      <c r="D40" s="37" t="inlineStr">
        <is>
          <t>Drop plan: BRD-10 Sanction Screening and CSF service requests not placed; Drop 0 items 0.1, 0.4, 0.5 without a BRD</t>
        </is>
      </c>
      <c r="E40" s="37" t="inlineStr">
        <is>
          <t>FRS BRD-00 section 3; FRS BRD-10; FRS BRD-9</t>
        </is>
      </c>
      <c r="F40" s="37" t="inlineStr">
        <is>
          <t>BRD conflict resolved by decision</t>
        </is>
      </c>
      <c r="G40" s="37" t="inlineStr">
        <is>
          <t>The drop plan does not place BRD-10 or the CSF service-request functions, and names Drop 0 items without a governing BRD.</t>
        </is>
      </c>
      <c r="H40" s="37" t="inlineStr">
        <is>
          <t>Proposed: BRD-10 in Drop 1 with Client Onboarding; CSF service requests in Drop 2; Drop 0 acceptance on BRD-11 plus EIAM (item 0.1), CORE-17 of the umbrella (item 0.4) and the workflows of each BRD (item 0.5). Documents are filed by this map.</t>
        </is>
      </c>
      <c r="I40" s="37" t="inlineStr">
        <is>
          <t>IQ23, IQ24 open.</t>
        </is>
      </c>
      <c r="J40" s="37" t="inlineStr">
        <is>
          <t>Test and sign-off windows for the two BRDs.</t>
        </is>
      </c>
      <c r="K40" s="37" t="inlineStr">
        <is>
          <t>Compliance; Contact Center Management; Business Project Services</t>
        </is>
      </c>
      <c r="L40" s="36" t="n">
        <v>0</v>
      </c>
      <c r="M40" s="36" t="n">
        <v>0</v>
      </c>
      <c r="N40" s="36" t="n">
        <v>0</v>
      </c>
      <c r="O40" s="36" t="n">
        <v>1</v>
      </c>
      <c r="P40" s="38">
        <f>SUM(L40:O40)</f>
        <v/>
      </c>
      <c r="Q40" s="37">
        <f>IF(P40=0,"0 - acceptance only",IF(P40&lt;=3,"S",IF(P40&lt;=10,"M",IF(P40&lt;=25,"L","XL")))&amp;" ("&amp;P40&amp;")")</f>
        <v/>
      </c>
      <c r="R40" s="36" t="n"/>
      <c r="S40" s="36" t="inlineStr">
        <is>
          <t>Medium</t>
        </is>
      </c>
      <c r="T40" s="37" t="inlineStr">
        <is>
          <t>For CCB review</t>
        </is>
      </c>
      <c r="U40" s="37" t="inlineStr">
        <is>
          <t>BIBS Product Owner with the Program Manager, Business Project Services</t>
        </is>
      </c>
      <c r="V40" s="37" t="inlineStr">
        <is>
          <t>DCR-213; DCR-214; IQ23; IQ24</t>
        </is>
      </c>
      <c r="W40" s="37" t="inlineStr">
        <is>
          <t>FRS sign-off (Nov 2026)</t>
        </is>
      </c>
      <c r="X40" s="37" t="inlineStr">
        <is>
          <t>Programme alignment 2.2 items 5-6</t>
        </is>
      </c>
    </row>
    <row r="41">
      <c r="A41" s="35" t="inlineStr">
        <is>
          <t>CR-0037</t>
        </is>
      </c>
      <c r="B41" s="36" t="inlineStr">
        <is>
          <t>Programme</t>
        </is>
      </c>
      <c r="C41" s="36" t="inlineStr">
        <is>
          <t>BRD-00</t>
        </is>
      </c>
      <c r="D41" s="37" t="inlineStr">
        <is>
          <t>BRD-8 BRID-022.01 (PDF/XLSX/CSV/WORD); other BRDs Excel and PDF; FRBS 3.2.0 (p.63) board schedules in Word</t>
        </is>
      </c>
      <c r="E41" s="37" t="inlineStr">
        <is>
          <t>FRS BRD-00 (report generation); FRS BRD-5 Vol.1 chapter 12</t>
        </is>
      </c>
      <c r="F41" s="37" t="inlineStr">
        <is>
          <t>Scope addition — beyond BRD</t>
        </is>
      </c>
      <c r="G41" s="37" t="inlineStr">
        <is>
          <t>BRD-8 asks for Word export of reports; BRD-5 asks for board schedules in Word; the other BRDs ask for Excel and PDF.</t>
        </is>
      </c>
      <c r="H41" s="37" t="inlineStr">
        <is>
          <t>Word export for every report, Word on documents and schedules (GL-SCHEDULE, GL-BVA, FRBS-MANCOM-MARKET, RI-SOA, FIN-AP-VOUCHER), and a Word copy of each composed business document.</t>
        </is>
      </c>
      <c r="I41" s="37" t="inlineStr">
        <is>
          <t>Work item P2; FRS BRD-5 Vol.1 clarification CLR-AC-10.</t>
        </is>
      </c>
      <c r="J41" s="37" t="inlineStr">
        <is>
          <t>All departments can export to Word, beyond what their BRD asks.</t>
        </is>
      </c>
      <c r="K41" s="37" t="inlineStr">
        <is>
          <t>All report users; Comptrollership</t>
        </is>
      </c>
      <c r="L41" s="36" t="n">
        <v>0</v>
      </c>
      <c r="M41" s="36" t="n">
        <v>0</v>
      </c>
      <c r="N41" s="36" t="n">
        <v>0</v>
      </c>
      <c r="O41" s="36" t="n">
        <v>0</v>
      </c>
      <c r="P41" s="38">
        <f>SUM(L41:O41)</f>
        <v/>
      </c>
      <c r="Q41" s="37">
        <f>IF(P41=0,"0 - acceptance only",IF(P41&lt;=3,"S",IF(P41&lt;=10,"M",IF(P41&lt;=25,"L","XL")))&amp;" ("&amp;P41&amp;")")</f>
        <v/>
      </c>
      <c r="R41" s="36" t="n"/>
      <c r="S41" s="36" t="inlineStr">
        <is>
          <t>Low</t>
        </is>
      </c>
      <c r="T41" s="37" t="inlineStr">
        <is>
          <t>For acceptance</t>
        </is>
      </c>
      <c r="U41" s="37" t="inlineStr">
        <is>
          <t>BIBS Product Owner with the Program Manager, Business Project Services</t>
        </is>
      </c>
      <c r="V41" s="37" t="inlineStr">
        <is>
          <t>DCR-161; P2; EBQ21</t>
        </is>
      </c>
      <c r="W41" s="37" t="inlineStr">
        <is>
          <t>FRS sign-off (Nov 2026)</t>
        </is>
      </c>
      <c r="X41" s="37" t="inlineStr">
        <is>
          <t>Deliverables plan item 17; register DCR-161</t>
        </is>
      </c>
    </row>
    <row r="42">
      <c r="A42" s="35" t="inlineStr">
        <is>
          <t>CR-0038</t>
        </is>
      </c>
      <c r="B42" s="36" t="inlineStr">
        <is>
          <t>Programme</t>
        </is>
      </c>
      <c r="C42" s="36" t="inlineStr">
        <is>
          <t>BRD-00</t>
        </is>
      </c>
      <c r="D42" s="37" t="inlineStr">
        <is>
          <t>BRD-7, BRD-4, BRD-10, BRD-2, BRD-1 shared-drive and FS04 targets; BRNB.110 (p.14); SNSRP-706 (p.19-20)</t>
        </is>
      </c>
      <c r="E42" s="37" t="inlineStr">
        <is>
          <t>FR-NB-038; FR-SS-071; FR-CM-064; FR-OP (extracts)</t>
        </is>
      </c>
      <c r="F42" s="37" t="inlineStr">
        <is>
          <t>Behaviour differs from BRD</t>
        </is>
      </c>
      <c r="G42" s="37" t="inlineStr">
        <is>
          <t>Several BRDs send files or lists to a shared drive or a designated folder.</t>
        </is>
      </c>
      <c r="H42" s="37" t="inlineStr">
        <is>
          <t>Files are kept in BIBS with download and notification; a shared-drive or SFTP drop is added only where a downstream system reads the file (for example FS04, CR-0104).</t>
        </is>
      </c>
      <c r="I42" s="37" t="inlineStr">
        <is>
          <t>BRD-12 asks for one master database instead of shared-drive files; OQ17, CLQ21.</t>
        </is>
      </c>
      <c r="J42" s="37" t="inlineStr">
        <is>
          <t>No uncontrolled copies on shared drives; users download from BIBS.</t>
        </is>
      </c>
      <c r="K42" s="37" t="inlineStr">
        <is>
          <t>Claims; Compliance; Operations; Marketing</t>
        </is>
      </c>
      <c r="L42" s="36" t="n">
        <v>0</v>
      </c>
      <c r="M42" s="36" t="n">
        <v>0</v>
      </c>
      <c r="N42" s="36" t="n">
        <v>0</v>
      </c>
      <c r="O42" s="36" t="n">
        <v>0</v>
      </c>
      <c r="P42" s="38">
        <f>SUM(L42:O42)</f>
        <v/>
      </c>
      <c r="Q42" s="37">
        <f>IF(P42=0,"0 - acceptance only",IF(P42&lt;=3,"S",IF(P42&lt;=10,"M",IF(P42&lt;=25,"L","XL")))&amp;" ("&amp;P42&amp;")")</f>
        <v/>
      </c>
      <c r="R42" s="36" t="n"/>
      <c r="S42" s="36" t="inlineStr">
        <is>
          <t>Low</t>
        </is>
      </c>
      <c r="T42" s="37" t="inlineStr">
        <is>
          <t>For acceptance</t>
        </is>
      </c>
      <c r="U42" s="37" t="inlineStr">
        <is>
          <t>BIBS Product Owner with the Program Manager, Business Project Services</t>
        </is>
      </c>
      <c r="V42" s="37" t="inlineStr">
        <is>
          <t>DCR-152; OQ17; CLQ21</t>
        </is>
      </c>
      <c r="W42" s="37" t="inlineStr">
        <is>
          <t>FRS sign-off (Nov 2026)</t>
        </is>
      </c>
      <c r="X42" s="37" t="inlineStr">
        <is>
          <t>Register DCR-152; FRS BRD-1 chapter 21</t>
        </is>
      </c>
    </row>
    <row r="43">
      <c r="A43" s="35" t="inlineStr">
        <is>
          <t>CR-0039</t>
        </is>
      </c>
      <c r="B43" s="36" t="inlineStr">
        <is>
          <t>Programme</t>
        </is>
      </c>
      <c r="C43" s="36" t="inlineStr">
        <is>
          <t>BRD-00</t>
        </is>
      </c>
      <c r="D43" s="37" t="inlineStr">
        <is>
          <t>Ageing buckets: ACSL 2.14.x (p.124); Claims report list; BRCLXN reports; Cashiering reports</t>
        </is>
      </c>
      <c r="E43" s="37" t="inlineStr">
        <is>
          <t>FR-CM-060; FR-CL (reports); FR-AS (ACSL reports)</t>
        </is>
      </c>
      <c r="F43" s="37" t="inlineStr">
        <is>
          <t>BRD conflict resolved by decision</t>
        </is>
      </c>
      <c r="G43" s="37" t="inlineStr">
        <is>
          <t>Ageing buckets differ: ACSL 0-30 to over 730 days; Claims 0-30 to 181+; Collections and Cashiering without buckets.</t>
        </is>
      </c>
      <c r="H43" s="37" t="inlineStr">
        <is>
          <t>Proposed: ageing buckets configurable per report family, ACSL buckets as the default, as a shared setting.</t>
        </is>
      </c>
      <c r="I43" s="37" t="inlineStr">
        <is>
          <t>Conflict between BRDs; OQ43.</t>
        </is>
      </c>
      <c r="J43" s="37" t="inlineStr">
        <is>
          <t>Ageing reports agree across departments.</t>
        </is>
      </c>
      <c r="K43" s="37" t="inlineStr">
        <is>
          <t>Comptrollership; Claims; Collections; Operations</t>
        </is>
      </c>
      <c r="L43" s="36" t="n">
        <v>1</v>
      </c>
      <c r="M43" s="36" t="n">
        <v>3</v>
      </c>
      <c r="N43" s="36" t="n">
        <v>2</v>
      </c>
      <c r="O43" s="36" t="n">
        <v>0</v>
      </c>
      <c r="P43" s="38">
        <f>SUM(L43:O43)</f>
        <v/>
      </c>
      <c r="Q43" s="37">
        <f>IF(P43=0,"0 - acceptance only",IF(P43&lt;=3,"S",IF(P43&lt;=10,"M",IF(P43&lt;=25,"L","XL")))&amp;" ("&amp;P43&amp;")")</f>
        <v/>
      </c>
      <c r="R43" s="36" t="n"/>
      <c r="S43" s="36" t="inlineStr">
        <is>
          <t>Low</t>
        </is>
      </c>
      <c r="T43" s="37" t="inlineStr">
        <is>
          <t>Draft</t>
        </is>
      </c>
      <c r="U43" s="37" t="inlineStr">
        <is>
          <t>BIBS Product Owner with the Program Manager, Business Project Services</t>
        </is>
      </c>
      <c r="V43" s="37" t="inlineStr">
        <is>
          <t>DCR-158; OQ43</t>
        </is>
      </c>
      <c r="W43" s="37" t="inlineStr">
        <is>
          <t>Drop 1, second release (Jan - Feb 2027)</t>
        </is>
      </c>
      <c r="X43" s="37" t="inlineStr">
        <is>
          <t>Register DCR-158</t>
        </is>
      </c>
    </row>
    <row r="44">
      <c r="A44" s="35" t="inlineStr">
        <is>
          <t>CR-0040</t>
        </is>
      </c>
      <c r="B44" s="36" t="inlineStr">
        <is>
          <t>Programme</t>
        </is>
      </c>
      <c r="C44" s="36" t="inlineStr">
        <is>
          <t>BRD-00</t>
        </is>
      </c>
      <c r="D44" s="37" t="inlineStr">
        <is>
          <t>BRD-8 (documents restricted by process), BRD-9 BRCSF-006, 009 (p.9-10), BRD-7 claim document types</t>
        </is>
      </c>
      <c r="E44" s="37" t="inlineStr">
        <is>
          <t>FR-CSF-030, FR-CSF-033; FR-EB-002</t>
        </is>
      </c>
      <c r="F44" s="37" t="inlineStr">
        <is>
          <t>BRD conflict resolved by decision</t>
        </is>
      </c>
      <c r="G44" s="37" t="inlineStr">
        <is>
          <t>Contact Center users view and resend renewal advices and claims reports; EB restricts documents by process; claim documents may be confidential.</t>
        </is>
      </c>
      <c r="H44" s="37" t="inlineStr">
        <is>
          <t>Access class per document type; CSF users may view RENEWAL_ADVICE and CLAIM_REPORT; the loss advice and insurer claim reports are stored as CLAIM_REPORT. Final confidentiality matrix to confirm.</t>
        </is>
      </c>
      <c r="I44" s="37" t="inlineStr">
        <is>
          <t>XQ04, XQ05; CSQ07, EBQ15, CLQ26.</t>
        </is>
      </c>
      <c r="J44" s="37" t="inlineStr">
        <is>
          <t>Contact Center sees only the document types it is cleared for.</t>
        </is>
      </c>
      <c r="K44" s="37" t="inlineStr">
        <is>
          <t>Contact Center Management; Claims; Employee Benefits</t>
        </is>
      </c>
      <c r="L44" s="36" t="n">
        <v>0</v>
      </c>
      <c r="M44" s="36" t="n">
        <v>0</v>
      </c>
      <c r="N44" s="36" t="n">
        <v>0</v>
      </c>
      <c r="O44" s="36" t="n">
        <v>0</v>
      </c>
      <c r="P44" s="38">
        <f>SUM(L44:O44)</f>
        <v/>
      </c>
      <c r="Q44" s="37">
        <f>IF(P44=0,"0 - acceptance only",IF(P44&lt;=3,"S",IF(P44&lt;=10,"M",IF(P44&lt;=25,"L","XL")))&amp;" ("&amp;P44&amp;")")</f>
        <v/>
      </c>
      <c r="R44" s="36" t="n"/>
      <c r="S44" s="36" t="inlineStr">
        <is>
          <t>Medium</t>
        </is>
      </c>
      <c r="T44" s="37" t="inlineStr">
        <is>
          <t>For acceptance</t>
        </is>
      </c>
      <c r="U44" s="37" t="inlineStr">
        <is>
          <t>BIBS Product Owner with the Program Manager, Business Project Services</t>
        </is>
      </c>
      <c r="V44" s="37" t="inlineStr">
        <is>
          <t>DCR-148; XQ04; XQ05; P3</t>
        </is>
      </c>
      <c r="W44" s="37" t="inlineStr">
        <is>
          <t>FRS sign-off (Nov 2026)</t>
        </is>
      </c>
      <c r="X44" s="37" t="inlineStr">
        <is>
          <t>Cross-BRD decisions 5, 6.1</t>
        </is>
      </c>
    </row>
    <row r="45">
      <c r="A45" s="35" t="inlineStr">
        <is>
          <t>CR-0041</t>
        </is>
      </c>
      <c r="B45" s="36" t="inlineStr">
        <is>
          <t>Programme</t>
        </is>
      </c>
      <c r="C45" s="36" t="inlineStr">
        <is>
          <t>BRD-00</t>
        </is>
      </c>
      <c r="D45" s="37" t="inlineStr">
        <is>
          <t>Report List as of 27-Apr-2026: #69, #73, #168 (BDOI remarks "DELETE" / "no longer needed")</t>
        </is>
      </c>
      <c r="E45" s="37" t="inlineStr">
        <is>
          <t>FRS BRD-00 report generation</t>
        </is>
      </c>
      <c r="F45" s="37" t="inlineStr">
        <is>
          <t>Scope reduction / descoped</t>
        </is>
      </c>
      <c r="G45" s="37" t="inlineStr">
        <is>
          <t>The Report List carries #69, #73 and #168.</t>
        </is>
      </c>
      <c r="H45" s="37" t="inlineStr">
        <is>
          <t>Marked DROPPED and not in scope, per the BDOI remarks in the Report List.</t>
        </is>
      </c>
      <c r="I45" s="37" t="inlineStr">
        <is>
          <t>Report List remarks (DCR-130, answered).</t>
        </is>
      </c>
      <c r="J45" s="37" t="inlineStr">
        <is>
          <t>None; the data is in the Policy Transmittal and e-policy reports.</t>
        </is>
      </c>
      <c r="K45" s="37" t="inlineStr">
        <is>
          <t>Report SMEs named in the Report List</t>
        </is>
      </c>
      <c r="L45" s="36" t="n">
        <v>0</v>
      </c>
      <c r="M45" s="36" t="n">
        <v>0</v>
      </c>
      <c r="N45" s="36" t="n">
        <v>0</v>
      </c>
      <c r="O45" s="36" t="n">
        <v>0</v>
      </c>
      <c r="P45" s="38">
        <f>SUM(L45:O45)</f>
        <v/>
      </c>
      <c r="Q45" s="37">
        <f>IF(P45=0,"0 - acceptance only",IF(P45&lt;=3,"S",IF(P45&lt;=10,"M",IF(P45&lt;=25,"L","XL")))&amp;" ("&amp;P45&amp;")")</f>
        <v/>
      </c>
      <c r="R45" s="36" t="n"/>
      <c r="S45" s="36" t="inlineStr">
        <is>
          <t>Low</t>
        </is>
      </c>
      <c r="T45" s="37" t="inlineStr">
        <is>
          <t>For acceptance</t>
        </is>
      </c>
      <c r="U45" s="37" t="inlineStr">
        <is>
          <t>BIBS Product Owner with the Program Manager, Business Project Services</t>
        </is>
      </c>
      <c r="V45" s="37" t="inlineStr">
        <is>
          <t>DCR-130</t>
        </is>
      </c>
      <c r="W45" s="37" t="inlineStr">
        <is>
          <t>FRS sign-off (Nov 2026)</t>
        </is>
      </c>
      <c r="X45" s="37" t="inlineStr">
        <is>
          <t>Register DCR-130</t>
        </is>
      </c>
    </row>
    <row r="46">
      <c r="A46" s="35" t="inlineStr">
        <is>
          <t>CR-0042</t>
        </is>
      </c>
      <c r="B46" s="36" t="inlineStr">
        <is>
          <t>Programme</t>
        </is>
      </c>
      <c r="C46" s="36" t="inlineStr">
        <is>
          <t>BRD-00</t>
        </is>
      </c>
      <c r="D46" s="37" t="inlineStr">
        <is>
          <t>Report List TSU rows ("there should be a separate TSU module", #182)</t>
        </is>
      </c>
      <c r="E46" s="37" t="inlineStr">
        <is>
          <t>FRS BRD-3; FRS BRD-1 (non-package placement)</t>
        </is>
      </c>
      <c r="F46" s="37" t="inlineStr">
        <is>
          <t>Behaviour differs from BRD</t>
        </is>
      </c>
      <c r="G46" s="37" t="inlineStr">
        <is>
          <t>The Report List asks for a separate TSU module.</t>
        </is>
      </c>
      <c r="H46" s="37" t="inlineStr">
        <is>
          <t>TSU work stays in non-package placement and Product Maintenance, with a TSU menu section and the TSU Workbench.</t>
        </is>
      </c>
      <c r="I46" s="37" t="inlineStr">
        <is>
          <t>Platform design; no BRD specifies a TSU module.</t>
        </is>
      </c>
      <c r="J46" s="37" t="inlineStr">
        <is>
          <t>TSU users work in two modules from one menu section.</t>
        </is>
      </c>
      <c r="K46" s="37" t="inlineStr">
        <is>
          <t>TSU; MBS</t>
        </is>
      </c>
      <c r="L46" s="36" t="n">
        <v>0</v>
      </c>
      <c r="M46" s="36" t="n">
        <v>0</v>
      </c>
      <c r="N46" s="36" t="n">
        <v>0</v>
      </c>
      <c r="O46" s="36" t="n">
        <v>0</v>
      </c>
      <c r="P46" s="38">
        <f>SUM(L46:O46)</f>
        <v/>
      </c>
      <c r="Q46" s="37">
        <f>IF(P46=0,"0 - acceptance only",IF(P46&lt;=3,"S",IF(P46&lt;=10,"M",IF(P46&lt;=25,"L","XL")))&amp;" ("&amp;P46&amp;")")</f>
        <v/>
      </c>
      <c r="R46" s="36" t="n"/>
      <c r="S46" s="36" t="inlineStr">
        <is>
          <t>Low</t>
        </is>
      </c>
      <c r="T46" s="37" t="inlineStr">
        <is>
          <t>For acceptance</t>
        </is>
      </c>
      <c r="U46" s="37" t="inlineStr">
        <is>
          <t>Head, Marketing Business Services (MBS) with the TSU Head</t>
        </is>
      </c>
      <c r="V46" s="37" t="inlineStr">
        <is>
          <t>DCR-131</t>
        </is>
      </c>
      <c r="W46" s="37" t="inlineStr">
        <is>
          <t>FRS sign-off (Nov 2026)</t>
        </is>
      </c>
      <c r="X46" s="37" t="inlineStr">
        <is>
          <t>Register DCR-131</t>
        </is>
      </c>
    </row>
    <row r="47">
      <c r="A47" s="35" t="inlineStr">
        <is>
          <t>CR-0043</t>
        </is>
      </c>
      <c r="B47" s="36" t="inlineStr">
        <is>
          <t>Drop 2</t>
        </is>
      </c>
      <c r="C47" s="36" t="inlineStr">
        <is>
          <t>BRD-00</t>
        </is>
      </c>
      <c r="D47" s="37" t="inlineStr">
        <is>
          <t>Drop plan INT-19 "Insurer System"; PRCID.009 (p.81); RMTID.012 (p.55-56); BRNB.071, 073 (p.116-117); ACSL 2.2.1; CLQ17</t>
        </is>
      </c>
      <c r="E47" s="37" t="inlineStr">
        <is>
          <t>FR-OP-070 to FR-OP-074; FR-OP-030 to 041; FR-NB-081, FR-NB-100; FR-CM-022</t>
        </is>
      </c>
      <c r="F47" s="37" t="inlineStr">
        <is>
          <t>Integration dependency</t>
        </is>
      </c>
      <c r="G47" s="37" t="inlineStr">
        <is>
          <t>Insurer files are received and sent automatically: production feedback, remittance ORs, DP billing responses, renewal responses, SOAs, e-policies, claims.</t>
        </is>
      </c>
      <c r="H47" s="37" t="inlineStr">
        <is>
          <t>Users upload and download the files on the screens. Proposed: an SFTP or API channel per insurer and outbound drops once BDOI names the insurers and channels.</t>
        </is>
      </c>
      <c r="I47" s="37" t="inlineStr">
        <is>
          <t>IQ18, Q06, OQ22, OQ29, CLQ17 open.</t>
        </is>
      </c>
      <c r="J47" s="37" t="inlineStr">
        <is>
          <t>Manual upload and e-mail with insurers until the channels exist.</t>
        </is>
      </c>
      <c r="K47" s="37" t="inlineStr">
        <is>
          <t>Operations; Processing; Claims; Comptrollership (ACSL); BDOI IT</t>
        </is>
      </c>
      <c r="L47" s="36" t="n">
        <v>3</v>
      </c>
      <c r="M47" s="36" t="n">
        <v>12</v>
      </c>
      <c r="N47" s="36" t="n">
        <v>6</v>
      </c>
      <c r="O47" s="36" t="n">
        <v>2</v>
      </c>
      <c r="P47" s="38">
        <f>SUM(L47:O47)</f>
        <v/>
      </c>
      <c r="Q47" s="37">
        <f>IF(P47=0,"0 - acceptance only",IF(P47&lt;=3,"S",IF(P47&lt;=10,"M",IF(P47&lt;=25,"L","XL")))&amp;" ("&amp;P47&amp;")")</f>
        <v/>
      </c>
      <c r="R47" s="36" t="n"/>
      <c r="S47" s="36" t="inlineStr">
        <is>
          <t>Medium</t>
        </is>
      </c>
      <c r="T47" s="37" t="inlineStr">
        <is>
          <t>Draft</t>
        </is>
      </c>
      <c r="U47" s="37" t="inlineStr">
        <is>
          <t>BDOI IT (integration owner) with the BIBS Product Owner</t>
        </is>
      </c>
      <c r="V47" s="37" t="inlineStr">
        <is>
          <t>IQ18; Q06; OQ22; OQ29; CLQ17</t>
        </is>
      </c>
      <c r="W47" s="37" t="inlineStr">
        <is>
          <t>Drop 2 (Mar - Apr 2027)</t>
        </is>
      </c>
      <c r="X47" s="37" t="inlineStr">
        <is>
          <t>Programme alignment 5 (INT-19); FRS BRD-2 chapter 12 (PRCID.009); FRS BRD-1 chapter 21 (BRNB.071, 073)</t>
        </is>
      </c>
    </row>
    <row r="48">
      <c r="A48" s="35" t="inlineStr">
        <is>
          <t>CR-0044</t>
        </is>
      </c>
      <c r="B48" s="36" t="inlineStr">
        <is>
          <t>Drop 2</t>
        </is>
      </c>
      <c r="C48" s="36" t="inlineStr">
        <is>
          <t>BRD-00</t>
        </is>
      </c>
      <c r="D48" s="37" t="inlineStr">
        <is>
          <t>Drop plan INT-16 EDP - Data Ingestion (SD 11)</t>
        </is>
      </c>
      <c r="E48" s="37" t="inlineStr">
        <is>
          <t>FRS BRD-00 integration and data flow</t>
        </is>
      </c>
      <c r="F48" s="37" t="inlineStr">
        <is>
          <t>Integration dependency</t>
        </is>
      </c>
      <c r="G48" s="37" t="inlineStr">
        <is>
          <t>BIBS data is ingested by the BDO Enterprise Data Platform. No BRD specifies the data, frequency or format.</t>
        </is>
      </c>
      <c r="H48" s="37" t="inlineStr">
        <is>
          <t>Integration events (9 topics) and report exports. Proposed: daily extracts to an S3 drop per SD 11, with masking rules.</t>
        </is>
      </c>
      <c r="I48" s="37" t="inlineStr">
        <is>
          <t>IQ15 open ("SD 11" not explained).</t>
        </is>
      </c>
      <c r="J48" s="37" t="inlineStr">
        <is>
          <t>Group analytics receives BIBS data.</t>
        </is>
      </c>
      <c r="K48" s="37" t="inlineStr">
        <is>
          <t>BDOI IT; MIS</t>
        </is>
      </c>
      <c r="L48" s="36" t="n">
        <v>3</v>
      </c>
      <c r="M48" s="36" t="n">
        <v>10</v>
      </c>
      <c r="N48" s="36" t="n">
        <v>5</v>
      </c>
      <c r="O48" s="36" t="n">
        <v>2</v>
      </c>
      <c r="P48" s="38">
        <f>SUM(L48:O48)</f>
        <v/>
      </c>
      <c r="Q48" s="37">
        <f>IF(P48=0,"0 - acceptance only",IF(P48&lt;=3,"S",IF(P48&lt;=10,"M",IF(P48&lt;=25,"L","XL")))&amp;" ("&amp;P48&amp;")")</f>
        <v/>
      </c>
      <c r="R48" s="36" t="n"/>
      <c r="S48" s="36" t="inlineStr">
        <is>
          <t>Medium</t>
        </is>
      </c>
      <c r="T48" s="37" t="inlineStr">
        <is>
          <t>Draft</t>
        </is>
      </c>
      <c r="U48" s="37" t="inlineStr">
        <is>
          <t>BDOI IT (integration owner) with the BIBS Product Owner</t>
        </is>
      </c>
      <c r="V48" s="37" t="inlineStr">
        <is>
          <t>DCR-233; IQ15</t>
        </is>
      </c>
      <c r="W48" s="37" t="inlineStr">
        <is>
          <t>Drop 2 (Mar - Apr 2027)</t>
        </is>
      </c>
      <c r="X48" s="37" t="inlineStr">
        <is>
          <t>Programme alignment 5 (INT-16)</t>
        </is>
      </c>
    </row>
    <row r="49">
      <c r="A49" s="35" t="inlineStr">
        <is>
          <t>CR-0045</t>
        </is>
      </c>
      <c r="B49" s="36" t="inlineStr">
        <is>
          <t>Drop 2</t>
        </is>
      </c>
      <c r="C49" s="36" t="inlineStr">
        <is>
          <t>BRD-00</t>
        </is>
      </c>
      <c r="D49" s="37" t="inlineStr">
        <is>
          <t>Drop plan INT-18 CARMS</t>
        </is>
      </c>
      <c r="E49" s="37" t="inlineStr">
        <is>
          <t>None</t>
        </is>
      </c>
      <c r="F49" s="37" t="inlineStr">
        <is>
          <t>Integration dependency</t>
        </is>
      </c>
      <c r="G49" s="37" t="inlineStr">
        <is>
          <t>The drop plan names CARMS for Drop 2 without a description.</t>
        </is>
      </c>
      <c r="H49" s="37" t="inlineStr">
        <is>
          <t>Purpose, data and direction unknown. Analysis only until BDOI explains it; the delivery becomes its own CR.</t>
        </is>
      </c>
      <c r="I49" s="37" t="inlineStr">
        <is>
          <t>IQ17 open.</t>
        </is>
      </c>
      <c r="J49" s="37" t="inlineStr">
        <is>
          <t>Unknown.</t>
        </is>
      </c>
      <c r="K49" s="37" t="inlineStr">
        <is>
          <t>BDOI IT</t>
        </is>
      </c>
      <c r="L49" s="36" t="n">
        <v>2</v>
      </c>
      <c r="M49" s="36" t="n">
        <v>0</v>
      </c>
      <c r="N49" s="36" t="n">
        <v>0</v>
      </c>
      <c r="O49" s="36" t="n">
        <v>1</v>
      </c>
      <c r="P49" s="38">
        <f>SUM(L49:O49)</f>
        <v/>
      </c>
      <c r="Q49" s="37">
        <f>IF(P49=0,"0 - acceptance only",IF(P49&lt;=3,"S",IF(P49&lt;=10,"M",IF(P49&lt;=25,"L","XL")))&amp;" ("&amp;P49&amp;")")</f>
        <v/>
      </c>
      <c r="R49" s="36" t="n"/>
      <c r="S49" s="36" t="inlineStr">
        <is>
          <t>Low</t>
        </is>
      </c>
      <c r="T49" s="37" t="inlineStr">
        <is>
          <t>Draft</t>
        </is>
      </c>
      <c r="U49" s="37" t="inlineStr">
        <is>
          <t>BDOI IT (integration owner) with the BIBS Product Owner</t>
        </is>
      </c>
      <c r="V49" s="37" t="inlineStr">
        <is>
          <t>IQ17</t>
        </is>
      </c>
      <c r="W49" s="37" t="inlineStr">
        <is>
          <t>After BDOI answer (slot set by the CCB)</t>
        </is>
      </c>
      <c r="X49" s="37" t="inlineStr">
        <is>
          <t>Programme alignment 5 (INT-18)</t>
        </is>
      </c>
    </row>
    <row r="50">
      <c r="A50" s="35" t="inlineStr">
        <is>
          <t>CR-0046</t>
        </is>
      </c>
      <c r="B50" s="36" t="inlineStr">
        <is>
          <t>Drop 0</t>
        </is>
      </c>
      <c r="C50" s="36" t="inlineStr">
        <is>
          <t>BRD-00</t>
        </is>
      </c>
      <c r="D50" s="37" t="inlineStr">
        <is>
          <t>Drop plan INT-12 ECM; decision D9 (final issued records archived to ECM)</t>
        </is>
      </c>
      <c r="E50" s="37" t="inlineStr">
        <is>
          <t>FRS BRD-00 document generation</t>
        </is>
      </c>
      <c r="F50" s="37" t="inlineStr">
        <is>
          <t>Integration dependency</t>
        </is>
      </c>
      <c r="G50" s="37" t="inlineStr">
        <is>
          <t>ECM is named as a Drop 0 integration; BDOI answer A4 places every document in S3.</t>
        </is>
      </c>
      <c r="H50" s="37" t="inlineStr">
        <is>
          <t>Documents live in S3 (CR-0028). Proposed: transfer of final issued records to ECM and, if ECM holds them, legacy documents into the archive.</t>
        </is>
      </c>
      <c r="I50" s="37" t="inlineStr">
        <is>
          <t>IQ13 open; D9.</t>
        </is>
      </c>
      <c r="J50" s="37" t="inlineStr">
        <is>
          <t>Records management follows the BDO ECM policy.</t>
        </is>
      </c>
      <c r="K50" s="37" t="inlineStr">
        <is>
          <t>BDOI IT; Compliance</t>
        </is>
      </c>
      <c r="L50" s="36" t="n">
        <v>2</v>
      </c>
      <c r="M50" s="36" t="n">
        <v>5</v>
      </c>
      <c r="N50" s="36" t="n">
        <v>3</v>
      </c>
      <c r="O50" s="36" t="n">
        <v>1</v>
      </c>
      <c r="P50" s="38">
        <f>SUM(L50:O50)</f>
        <v/>
      </c>
      <c r="Q50" s="37">
        <f>IF(P50=0,"0 - acceptance only",IF(P50&lt;=3,"S",IF(P50&lt;=10,"M",IF(P50&lt;=25,"L","XL")))&amp;" ("&amp;P50&amp;")")</f>
        <v/>
      </c>
      <c r="R50" s="36" t="n"/>
      <c r="S50" s="36" t="inlineStr">
        <is>
          <t>Medium</t>
        </is>
      </c>
      <c r="T50" s="37" t="inlineStr">
        <is>
          <t>Draft</t>
        </is>
      </c>
      <c r="U50" s="37" t="inlineStr">
        <is>
          <t>BDOI IT (integration owner) with the BIBS Product Owner</t>
        </is>
      </c>
      <c r="V50" s="37" t="inlineStr">
        <is>
          <t>IQ13; D9</t>
        </is>
      </c>
      <c r="W50" s="37" t="inlineStr">
        <is>
          <t>Drop 1, second release (Jan - Feb 2027)</t>
        </is>
      </c>
      <c r="X50" s="37" t="inlineStr">
        <is>
          <t>Programme alignment 5 (INT-12); Cross-BRD decisions D9</t>
        </is>
      </c>
    </row>
    <row r="51">
      <c r="A51" s="35" t="inlineStr">
        <is>
          <t>CR-0047</t>
        </is>
      </c>
      <c r="B51" s="36" t="inlineStr">
        <is>
          <t>Drop 0</t>
        </is>
      </c>
      <c r="C51" s="36" t="inlineStr">
        <is>
          <t>BRD-00</t>
        </is>
      </c>
      <c r="D51" s="37" t="inlineStr">
        <is>
          <t>Drop plan INT-13 CCM (e-mail sending); every BRD that sends e-mail or protected documents</t>
        </is>
      </c>
      <c r="E51" s="37" t="inlineStr">
        <is>
          <t>FR-NB-013; FR-RN (letters); messaging</t>
        </is>
      </c>
      <c r="F51" s="37" t="inlineStr">
        <is>
          <t>Integration dependency</t>
        </is>
      </c>
      <c r="G51" s="37" t="inlineStr">
        <is>
          <t>All outbound e-mail goes through CCM.</t>
        </is>
      </c>
      <c r="H51" s="37" t="inlineStr">
        <is>
          <t>BIBS sends e-mail through SMTP with an outbox. Proposed: SMTP relay to CCM (configuration); an API interface with delivery status only if CCM requires it.</t>
        </is>
      </c>
      <c r="I51" s="37" t="inlineStr">
        <is>
          <t>IQ11 open (SMTP or API, attachment limit, bounces).</t>
        </is>
      </c>
      <c r="J51" s="37" t="inlineStr">
        <is>
          <t>Renewal advices and protected PDFs leave through the BDO mail platform.</t>
        </is>
      </c>
      <c r="K51" s="37" t="inlineStr">
        <is>
          <t>BDOI IT; Marketing; Processing</t>
        </is>
      </c>
      <c r="L51" s="36" t="n">
        <v>1</v>
      </c>
      <c r="M51" s="36" t="n">
        <v>2</v>
      </c>
      <c r="N51" s="36" t="n">
        <v>2</v>
      </c>
      <c r="O51" s="36" t="n">
        <v>0</v>
      </c>
      <c r="P51" s="38">
        <f>SUM(L51:O51)</f>
        <v/>
      </c>
      <c r="Q51" s="37">
        <f>IF(P51=0,"0 - acceptance only",IF(P51&lt;=3,"S",IF(P51&lt;=10,"M",IF(P51&lt;=25,"L","XL")))&amp;" ("&amp;P51&amp;")")</f>
        <v/>
      </c>
      <c r="R51" s="36" t="n"/>
      <c r="S51" s="36" t="inlineStr">
        <is>
          <t>Medium</t>
        </is>
      </c>
      <c r="T51" s="37" t="inlineStr">
        <is>
          <t>Draft</t>
        </is>
      </c>
      <c r="U51" s="37" t="inlineStr">
        <is>
          <t>BDOI IT (integration owner) with the BIBS Product Owner</t>
        </is>
      </c>
      <c r="V51" s="37" t="inlineStr">
        <is>
          <t>IQ11</t>
        </is>
      </c>
      <c r="W51" s="37" t="inlineStr">
        <is>
          <t>Drop 1, second release (Jan - Feb 2027)</t>
        </is>
      </c>
      <c r="X51" s="37" t="inlineStr">
        <is>
          <t>Programme alignment 5 (INT-13)</t>
        </is>
      </c>
    </row>
    <row r="52">
      <c r="A52" s="35" t="inlineStr">
        <is>
          <t>CR-0048</t>
        </is>
      </c>
      <c r="B52" s="36" t="inlineStr">
        <is>
          <t>Drop 1</t>
        </is>
      </c>
      <c r="C52" s="36" t="inlineStr">
        <is>
          <t>BRD-01</t>
        </is>
      </c>
      <c r="D52" s="37" t="inlineStr">
        <is>
          <t>BRNB.005 (p.50-51); BRNB.014 (p.56)</t>
        </is>
      </c>
      <c r="E52" s="37" t="inlineStr">
        <is>
          <t>FR-NB-014, FR-NB-051</t>
        </is>
      </c>
      <c r="F52" s="37" t="inlineStr">
        <is>
          <t>Behaviour differs from BRD</t>
        </is>
      </c>
      <c r="G52" s="37" t="inlineStr">
        <is>
          <t>Multi-level approval TL, TH, UH.</t>
        </is>
      </c>
      <c r="H52" s="37" t="inlineStr">
        <is>
          <t>One approval stage per document; the approver permission decides who approves.</t>
        </is>
      </c>
      <c r="I52" s="37" t="inlineStr">
        <is>
          <t>Q05 open (approval chain).</t>
        </is>
      </c>
      <c r="J52" s="37" t="inlineStr">
        <is>
          <t>Fewer approval hops; a chain needs a CR if BDOI requires it.</t>
        </is>
      </c>
      <c r="K52" s="37" t="inlineStr">
        <is>
          <t>Marketing; TSU</t>
        </is>
      </c>
      <c r="L52" s="36" t="n">
        <v>0</v>
      </c>
      <c r="M52" s="36" t="n">
        <v>0</v>
      </c>
      <c r="N52" s="36" t="n">
        <v>0</v>
      </c>
      <c r="O52" s="36" t="n">
        <v>0</v>
      </c>
      <c r="P52" s="38">
        <f>SUM(L52:O52)</f>
        <v/>
      </c>
      <c r="Q52" s="37">
        <f>IF(P52=0,"0 - acceptance only",IF(P52&lt;=3,"S",IF(P52&lt;=10,"M",IF(P52&lt;=25,"L","XL")))&amp;" ("&amp;P52&amp;")")</f>
        <v/>
      </c>
      <c r="R52" s="36" t="n">
        <v>13</v>
      </c>
      <c r="S52" s="36" t="inlineStr">
        <is>
          <t>Medium</t>
        </is>
      </c>
      <c r="T52" s="37" t="inlineStr">
        <is>
          <t>For acceptance</t>
        </is>
      </c>
      <c r="U52" s="37" t="inlineStr">
        <is>
          <t>Product Owner, New Business (Marketing and Processing)</t>
        </is>
      </c>
      <c r="V52" s="37" t="inlineStr">
        <is>
          <t>Q05</t>
        </is>
      </c>
      <c r="W52" s="37" t="inlineStr">
        <is>
          <t>FRS sign-off (Nov 2026)</t>
        </is>
      </c>
      <c r="X52" s="37" t="inlineStr">
        <is>
          <t>FRS BRD-1 chapter 21</t>
        </is>
      </c>
    </row>
    <row r="53">
      <c r="A53" s="35" t="inlineStr">
        <is>
          <t>CR-0049</t>
        </is>
      </c>
      <c r="B53" s="36" t="inlineStr">
        <is>
          <t>Drop 1</t>
        </is>
      </c>
      <c r="C53" s="36" t="inlineStr">
        <is>
          <t>BRD-01</t>
        </is>
      </c>
      <c r="D53" s="37" t="inlineStr">
        <is>
          <t>BRNB.015 (p.56)</t>
        </is>
      </c>
      <c r="E53" s="37" t="inlineStr">
        <is>
          <t>FR-NB-015</t>
        </is>
      </c>
      <c r="F53" s="37" t="inlineStr">
        <is>
          <t>Integration dependency</t>
        </is>
      </c>
      <c r="G53" s="37" t="inlineStr">
        <is>
          <t>Data synchronised with the BDOI tracking systems.</t>
        </is>
      </c>
      <c r="H53" s="37" t="inlineStr">
        <is>
          <t>Internal events only; the external feed is on hold until BDOI names the systems.</t>
        </is>
      </c>
      <c r="I53" s="37" t="inlineStr">
        <is>
          <t>Q08 open.</t>
        </is>
      </c>
      <c r="J53" s="37" t="inlineStr">
        <is>
          <t>Other BDOI systems do not receive NB data automatically.</t>
        </is>
      </c>
      <c r="K53" s="37" t="inlineStr">
        <is>
          <t>Marketing; BDOI IT</t>
        </is>
      </c>
      <c r="L53" s="36" t="n">
        <v>2</v>
      </c>
      <c r="M53" s="36" t="n">
        <v>5</v>
      </c>
      <c r="N53" s="36" t="n">
        <v>3</v>
      </c>
      <c r="O53" s="36" t="n">
        <v>1</v>
      </c>
      <c r="P53" s="38">
        <f>SUM(L53:O53)</f>
        <v/>
      </c>
      <c r="Q53" s="37">
        <f>IF(P53=0,"0 - acceptance only",IF(P53&lt;=3,"S",IF(P53&lt;=10,"M",IF(P53&lt;=25,"L","XL")))&amp;" ("&amp;P53&amp;")")</f>
        <v/>
      </c>
      <c r="R53" s="36" t="n"/>
      <c r="S53" s="36" t="inlineStr">
        <is>
          <t>Low</t>
        </is>
      </c>
      <c r="T53" s="37" t="inlineStr">
        <is>
          <t>Draft</t>
        </is>
      </c>
      <c r="U53" s="37" t="inlineStr">
        <is>
          <t>BDOI IT (integration owner) with the BIBS Product Owner</t>
        </is>
      </c>
      <c r="V53" s="37" t="inlineStr">
        <is>
          <t>Q08</t>
        </is>
      </c>
      <c r="W53" s="37" t="inlineStr">
        <is>
          <t>After BDOI answer (slot set by the CCB)</t>
        </is>
      </c>
      <c r="X53" s="37" t="inlineStr">
        <is>
          <t>FRS BRD-1 chapter 21</t>
        </is>
      </c>
    </row>
    <row r="54">
      <c r="A54" s="35" t="inlineStr">
        <is>
          <t>CR-0050</t>
        </is>
      </c>
      <c r="B54" s="36" t="inlineStr">
        <is>
          <t>Drop 1</t>
        </is>
      </c>
      <c r="C54" s="36" t="inlineStr">
        <is>
          <t>BRD-01</t>
        </is>
      </c>
      <c r="D54" s="37" t="inlineStr">
        <is>
          <t>BRNB.018 (p.57); Report List #182</t>
        </is>
      </c>
      <c r="E54" s="37" t="inlineStr">
        <is>
          <t>FR-NB-126; FR-RN-112</t>
        </is>
      </c>
      <c r="F54" s="37" t="inlineStr">
        <is>
          <t>Deferred pending BDOI answer</t>
        </is>
      </c>
      <c r="G54" s="37" t="inlineStr">
        <is>
          <t>Late Renewal Requests Report in New Business.</t>
        </is>
      </c>
      <c r="H54" s="37" t="inlineStr">
        <is>
          <t>Neither the RN BRD nor the Report List defines it (#182 is a package report). Proposed: a variant of the renewal listing (renewals booked after expiry).</t>
        </is>
      </c>
      <c r="I54" s="37" t="inlineStr">
        <is>
          <t>Q09, RQ29, XQ09 open.</t>
        </is>
      </c>
      <c r="J54" s="37" t="inlineStr">
        <is>
          <t>Late renewals are visible in the Renewal status report until then.</t>
        </is>
      </c>
      <c r="K54" s="37" t="inlineStr">
        <is>
          <t>Marketing; Processing</t>
        </is>
      </c>
      <c r="L54" s="36" t="n">
        <v>1</v>
      </c>
      <c r="M54" s="36" t="n">
        <v>2</v>
      </c>
      <c r="N54" s="36" t="n">
        <v>2</v>
      </c>
      <c r="O54" s="36" t="n">
        <v>1</v>
      </c>
      <c r="P54" s="38">
        <f>SUM(L54:O54)</f>
        <v/>
      </c>
      <c r="Q54" s="37">
        <f>IF(P54=0,"0 - acceptance only",IF(P54&lt;=3,"S",IF(P54&lt;=10,"M",IF(P54&lt;=25,"L","XL")))&amp;" ("&amp;P54&amp;")")</f>
        <v/>
      </c>
      <c r="R54" s="36" t="n"/>
      <c r="S54" s="36" t="inlineStr">
        <is>
          <t>Low</t>
        </is>
      </c>
      <c r="T54" s="37" t="inlineStr">
        <is>
          <t>Draft</t>
        </is>
      </c>
      <c r="U54" s="37" t="inlineStr">
        <is>
          <t>Product Owner, New Business (Marketing and Processing)</t>
        </is>
      </c>
      <c r="V54" s="37" t="inlineStr">
        <is>
          <t>DCR-009; Q09; RQ29; XQ09</t>
        </is>
      </c>
      <c r="W54" s="37" t="inlineStr">
        <is>
          <t>Drop 1, second release (Jan - Feb 2027)</t>
        </is>
      </c>
      <c r="X54" s="37" t="inlineStr">
        <is>
          <t>FRS BRD-1 chapter 21; register DCR-009</t>
        </is>
      </c>
    </row>
    <row r="55">
      <c r="A55" s="35" t="inlineStr">
        <is>
          <t>CR-0051</t>
        </is>
      </c>
      <c r="B55" s="36" t="inlineStr">
        <is>
          <t>Drop 1</t>
        </is>
      </c>
      <c r="C55" s="36" t="inlineStr">
        <is>
          <t>BRD-01</t>
        </is>
      </c>
      <c r="D55" s="37" t="inlineStr">
        <is>
          <t>BRNB.019 (p.58); BRNB.094 (p.5-6)</t>
        </is>
      </c>
      <c r="E55" s="37" t="inlineStr">
        <is>
          <t>FR-NB-012</t>
        </is>
      </c>
      <c r="F55" s="37" t="inlineStr">
        <is>
          <t>Behaviour differs from BRD</t>
        </is>
      </c>
      <c r="G55" s="37" t="inlineStr">
        <is>
          <t>Delete in-process records.</t>
        </is>
      </c>
      <c r="H55" s="37" t="inlineStr">
        <is>
          <t>Void with a reason; records are kept and hidden from standard lists.</t>
        </is>
      </c>
      <c r="I55" s="37" t="inlineStr">
        <is>
          <t>Audit trail and record retention.</t>
        </is>
      </c>
      <c r="J55" s="37" t="inlineStr">
        <is>
          <t>Voided records remain available to audit.</t>
        </is>
      </c>
      <c r="K55" s="37" t="inlineStr">
        <is>
          <t>Marketing; Processing</t>
        </is>
      </c>
      <c r="L55" s="36" t="n">
        <v>0</v>
      </c>
      <c r="M55" s="36" t="n">
        <v>0</v>
      </c>
      <c r="N55" s="36" t="n">
        <v>0</v>
      </c>
      <c r="O55" s="36" t="n">
        <v>0</v>
      </c>
      <c r="P55" s="38">
        <f>SUM(L55:O55)</f>
        <v/>
      </c>
      <c r="Q55" s="37">
        <f>IF(P55=0,"0 - acceptance only",IF(P55&lt;=3,"S",IF(P55&lt;=10,"M",IF(P55&lt;=25,"L","XL")))&amp;" ("&amp;P55&amp;")")</f>
        <v/>
      </c>
      <c r="R55" s="36" t="n"/>
      <c r="S55" s="36" t="inlineStr">
        <is>
          <t>Low</t>
        </is>
      </c>
      <c r="T55" s="37" t="inlineStr">
        <is>
          <t>For acceptance</t>
        </is>
      </c>
      <c r="U55" s="37" t="inlineStr">
        <is>
          <t>Product Owner, New Business (Marketing and Processing)</t>
        </is>
      </c>
      <c r="V55" s="37" t="inlineStr">
        <is>
          <t>CRQ05</t>
        </is>
      </c>
      <c r="W55" s="37" t="inlineStr">
        <is>
          <t>FRS sign-off (Nov 2026)</t>
        </is>
      </c>
      <c r="X55" s="37" t="inlineStr">
        <is>
          <t>FRS BRD-1 chapter 21</t>
        </is>
      </c>
    </row>
    <row r="56">
      <c r="A56" s="35" t="inlineStr">
        <is>
          <t>CR-0052</t>
        </is>
      </c>
      <c r="B56" s="36" t="inlineStr">
        <is>
          <t>Drop 1</t>
        </is>
      </c>
      <c r="C56" s="36" t="inlineStr">
        <is>
          <t>BRD-01</t>
        </is>
      </c>
      <c r="D56" s="37" t="inlineStr">
        <is>
          <t>BRNB.022 (p.60-61)</t>
        </is>
      </c>
      <c r="E56" s="37" t="inlineStr">
        <is>
          <t>FR-NB-010</t>
        </is>
      </c>
      <c r="F56" s="37" t="inlineStr">
        <is>
          <t>Behaviour differs from BRD</t>
        </is>
      </c>
      <c r="G56" s="37" t="inlineStr">
        <is>
          <t>One status list including "Endorsed".</t>
        </is>
      </c>
      <c r="H56" s="37" t="inlineStr">
        <is>
          <t>Stages of four workflows (client, quotation, proposal, account); endorsements are invoices on a booked account.</t>
        </is>
      </c>
      <c r="I56" s="37" t="inlineStr">
        <is>
          <t>Q10 (master list of stages).</t>
        </is>
      </c>
      <c r="J56" s="37" t="inlineStr">
        <is>
          <t>Status reporting reads the workflow stages.</t>
        </is>
      </c>
      <c r="K56" s="37" t="inlineStr">
        <is>
          <t>Marketing; Processing</t>
        </is>
      </c>
      <c r="L56" s="36" t="n">
        <v>0</v>
      </c>
      <c r="M56" s="36" t="n">
        <v>0</v>
      </c>
      <c r="N56" s="36" t="n">
        <v>0</v>
      </c>
      <c r="O56" s="36" t="n">
        <v>0</v>
      </c>
      <c r="P56" s="38">
        <f>SUM(L56:O56)</f>
        <v/>
      </c>
      <c r="Q56" s="37">
        <f>IF(P56=0,"0 - acceptance only",IF(P56&lt;=3,"S",IF(P56&lt;=10,"M",IF(P56&lt;=25,"L","XL")))&amp;" ("&amp;P56&amp;")")</f>
        <v/>
      </c>
      <c r="R56" s="36" t="n"/>
      <c r="S56" s="36" t="inlineStr">
        <is>
          <t>Low</t>
        </is>
      </c>
      <c r="T56" s="37" t="inlineStr">
        <is>
          <t>For acceptance</t>
        </is>
      </c>
      <c r="U56" s="37" t="inlineStr">
        <is>
          <t>Product Owner, New Business (Marketing and Processing)</t>
        </is>
      </c>
      <c r="V56" s="37" t="inlineStr">
        <is>
          <t>Q10</t>
        </is>
      </c>
      <c r="W56" s="37" t="inlineStr">
        <is>
          <t>FRS sign-off (Nov 2026)</t>
        </is>
      </c>
      <c r="X56" s="37" t="inlineStr">
        <is>
          <t>FRS BRD-1 chapter 21</t>
        </is>
      </c>
    </row>
    <row r="57">
      <c r="A57" s="35" t="inlineStr">
        <is>
          <t>CR-0053</t>
        </is>
      </c>
      <c r="B57" s="36" t="inlineStr">
        <is>
          <t>Drop 0</t>
        </is>
      </c>
      <c r="C57" s="36" t="inlineStr">
        <is>
          <t>BRD-01</t>
        </is>
      </c>
      <c r="D57" s="37" t="inlineStr">
        <is>
          <t>BRNB.023 (p.61); Submitted Policies HLS report; CLPC HLS billing</t>
        </is>
      </c>
      <c r="E57" s="37" t="inlineStr">
        <is>
          <t>FR-NB-040</t>
        </is>
      </c>
      <c r="F57" s="37" t="inlineStr">
        <is>
          <t>Integration dependency</t>
        </is>
      </c>
      <c r="G57" s="37" t="inlineStr">
        <is>
          <t>Quotation requests come directly from HLS with a source check.</t>
        </is>
      </c>
      <c r="H57" s="37" t="inlineStr">
        <is>
          <t>The user uploads the HLS extract; the direct interface is on hold. HLS (Drop 0) and LOAS (Drop 2) are one system, HL-LOAS; proposed one interface specification delivered in Drop 0.</t>
        </is>
      </c>
      <c r="I57" s="37" t="inlineStr">
        <is>
          <t>Q11, IQ07 open.</t>
        </is>
      </c>
      <c r="J57" s="37" t="inlineStr">
        <is>
          <t>Home-loan quotation requests are uploaded by hand until the interface exists.</t>
        </is>
      </c>
      <c r="K57" s="37" t="inlineStr">
        <is>
          <t>Marketing (CBG); BDOI IT</t>
        </is>
      </c>
      <c r="L57" s="36" t="n">
        <v>2</v>
      </c>
      <c r="M57" s="36" t="n">
        <v>6</v>
      </c>
      <c r="N57" s="36" t="n">
        <v>4</v>
      </c>
      <c r="O57" s="36" t="n">
        <v>1</v>
      </c>
      <c r="P57" s="38">
        <f>SUM(L57:O57)</f>
        <v/>
      </c>
      <c r="Q57" s="37">
        <f>IF(P57=0,"0 - acceptance only",IF(P57&lt;=3,"S",IF(P57&lt;=10,"M",IF(P57&lt;=25,"L","XL")))&amp;" ("&amp;P57&amp;")")</f>
        <v/>
      </c>
      <c r="R57" s="36" t="n"/>
      <c r="S57" s="36" t="inlineStr">
        <is>
          <t>Medium</t>
        </is>
      </c>
      <c r="T57" s="37" t="inlineStr">
        <is>
          <t>Draft</t>
        </is>
      </c>
      <c r="U57" s="37" t="inlineStr">
        <is>
          <t>BDOI IT (integration owner) with the BIBS Product Owner</t>
        </is>
      </c>
      <c r="V57" s="37" t="inlineStr">
        <is>
          <t>DCR-216; Q11; IQ07</t>
        </is>
      </c>
      <c r="W57" s="37" t="inlineStr">
        <is>
          <t>Drop 1, second release (Jan - Feb 2027)</t>
        </is>
      </c>
      <c r="X57" s="37" t="inlineStr">
        <is>
          <t>FRS BRD-1 chapter 21; Programme alignment 5 (INT-04)</t>
        </is>
      </c>
    </row>
    <row r="58">
      <c r="A58" s="35" t="inlineStr">
        <is>
          <t>CR-0054</t>
        </is>
      </c>
      <c r="B58" s="36" t="inlineStr">
        <is>
          <t>Drop 1</t>
        </is>
      </c>
      <c r="C58" s="36" t="inlineStr">
        <is>
          <t>BRD-01</t>
        </is>
      </c>
      <c r="D58" s="37" t="inlineStr">
        <is>
          <t>BRNB.029 (p.68-69); BRNB.063 (p.109-110)</t>
        </is>
      </c>
      <c r="E58" s="37" t="inlineStr">
        <is>
          <t>FR-NB-041, FR-NB-046</t>
        </is>
      </c>
      <c r="F58" s="37" t="inlineStr">
        <is>
          <t>BRD conflict resolved by decision</t>
        </is>
      </c>
      <c r="G58" s="37" t="inlineStr">
        <is>
          <t>BRNB.029 requires a client code for a quotation; BRNB.063 allows a quotation without a client code.</t>
        </is>
      </c>
      <c r="H58" s="37" t="inlineStr">
        <is>
          <t>A prospect client code is created automatically at quotation; a confirmed client is required from account creation.</t>
        </is>
      </c>
      <c r="I58" s="37" t="inlineStr">
        <is>
          <t>Contradiction within BRD-1 resolved by proposal.</t>
        </is>
      </c>
      <c r="J58" s="37" t="inlineStr">
        <is>
          <t>Walk-in and bank-referred prospects can be quoted.</t>
        </is>
      </c>
      <c r="K58" s="37" t="inlineStr">
        <is>
          <t>Marketing</t>
        </is>
      </c>
      <c r="L58" s="36" t="n">
        <v>0</v>
      </c>
      <c r="M58" s="36" t="n">
        <v>0</v>
      </c>
      <c r="N58" s="36" t="n">
        <v>0</v>
      </c>
      <c r="O58" s="36" t="n">
        <v>0</v>
      </c>
      <c r="P58" s="38">
        <f>SUM(L58:O58)</f>
        <v/>
      </c>
      <c r="Q58" s="37">
        <f>IF(P58=0,"0 - acceptance only",IF(P58&lt;=3,"S",IF(P58&lt;=10,"M",IF(P58&lt;=25,"L","XL")))&amp;" ("&amp;P58&amp;")")</f>
        <v/>
      </c>
      <c r="R58" s="36" t="n"/>
      <c r="S58" s="36" t="inlineStr">
        <is>
          <t>Medium</t>
        </is>
      </c>
      <c r="T58" s="37" t="inlineStr">
        <is>
          <t>For acceptance</t>
        </is>
      </c>
      <c r="U58" s="37" t="inlineStr">
        <is>
          <t>Product Owner, New Business (Marketing and Processing)</t>
        </is>
      </c>
      <c r="V58" s="37" t="inlineStr">
        <is>
          <t>DCR-001; Q13; Q20</t>
        </is>
      </c>
      <c r="W58" s="37" t="inlineStr">
        <is>
          <t>FRS sign-off (Nov 2026)</t>
        </is>
      </c>
      <c r="X58" s="37" t="inlineStr">
        <is>
          <t>FRS BRD-1 chapter 21; register DCR-001</t>
        </is>
      </c>
    </row>
    <row r="59">
      <c r="A59" s="35" t="inlineStr">
        <is>
          <t>CR-0055</t>
        </is>
      </c>
      <c r="B59" s="36" t="inlineStr">
        <is>
          <t>Drop 1</t>
        </is>
      </c>
      <c r="C59" s="36" t="inlineStr">
        <is>
          <t>BRD-01</t>
        </is>
      </c>
      <c r="D59" s="37" t="inlineStr">
        <is>
          <t>BRNB.031 (p.71-72)</t>
        </is>
      </c>
      <c r="E59" s="37" t="inlineStr">
        <is>
          <t>FR-NB-124</t>
        </is>
      </c>
      <c r="F59" s="37" t="inlineStr">
        <is>
          <t>Behaviour differs from BRD</t>
        </is>
      </c>
      <c r="G59" s="37" t="inlineStr">
        <is>
          <t>Print on A4 or Letter; summary or detail.</t>
        </is>
      </c>
      <c r="H59" s="37" t="inlineStr">
        <is>
          <t>A4 only; summary and detail are separate reports.</t>
        </is>
      </c>
      <c r="I59" s="37" t="inlineStr">
        <is>
          <t>BDO document template is A4.</t>
        </is>
      </c>
      <c r="J59" s="37" t="inlineStr">
        <is>
          <t>Letter-size printing not offered.</t>
        </is>
      </c>
      <c r="K59" s="37" t="inlineStr">
        <is>
          <t>Marketing; Processing</t>
        </is>
      </c>
      <c r="L59" s="36" t="n">
        <v>0</v>
      </c>
      <c r="M59" s="36" t="n">
        <v>0</v>
      </c>
      <c r="N59" s="36" t="n">
        <v>0</v>
      </c>
      <c r="O59" s="36" t="n">
        <v>0</v>
      </c>
      <c r="P59" s="38">
        <f>SUM(L59:O59)</f>
        <v/>
      </c>
      <c r="Q59" s="37">
        <f>IF(P59=0,"0 - acceptance only",IF(P59&lt;=3,"S",IF(P59&lt;=10,"M",IF(P59&lt;=25,"L","XL")))&amp;" ("&amp;P59&amp;")")</f>
        <v/>
      </c>
      <c r="R59" s="36" t="n">
        <v>2</v>
      </c>
      <c r="S59" s="36" t="inlineStr">
        <is>
          <t>Low</t>
        </is>
      </c>
      <c r="T59" s="37" t="inlineStr">
        <is>
          <t>For acceptance</t>
        </is>
      </c>
      <c r="U59" s="37" t="inlineStr">
        <is>
          <t>Product Owner, New Business (Marketing and Processing)</t>
        </is>
      </c>
      <c r="V59" s="37" t="inlineStr">
        <is>
          <t>-</t>
        </is>
      </c>
      <c r="W59" s="37" t="inlineStr">
        <is>
          <t>FRS sign-off (Nov 2026)</t>
        </is>
      </c>
      <c r="X59" s="37" t="inlineStr">
        <is>
          <t>FRS BRD-1 chapter 21</t>
        </is>
      </c>
    </row>
    <row r="60">
      <c r="A60" s="35" t="inlineStr">
        <is>
          <t>CR-0056</t>
        </is>
      </c>
      <c r="B60" s="36" t="inlineStr">
        <is>
          <t>Drop 1</t>
        </is>
      </c>
      <c r="C60" s="36" t="inlineStr">
        <is>
          <t>BRD-01</t>
        </is>
      </c>
      <c r="D60" s="37" t="inlineStr">
        <is>
          <t>BRNB.032 (p.72-73)</t>
        </is>
      </c>
      <c r="E60" s="37" t="inlineStr">
        <is>
          <t>FR-NB-033, FR-NB-063</t>
        </is>
      </c>
      <c r="F60" s="37" t="inlineStr">
        <is>
          <t>Behaviour differs from BRD</t>
        </is>
      </c>
      <c r="G60" s="37" t="inlineStr">
        <is>
          <t>Account duplicates checked by e-mail, phone and ID.</t>
        </is>
      </c>
      <c r="H60" s="37" t="inlineStr">
        <is>
          <t>Clients are checked on identity keys (TIN, ID, name with birth date; e-mail and mobile warn); accounts on vehicle and location keys.</t>
        </is>
      </c>
      <c r="I60" s="37" t="inlineStr">
        <is>
          <t>Duplicate rules per record type.</t>
        </is>
      </c>
      <c r="J60" s="37" t="inlineStr">
        <is>
          <t>Fewer false duplicates on accounts of the same client.</t>
        </is>
      </c>
      <c r="K60" s="37" t="inlineStr">
        <is>
          <t>Marketing</t>
        </is>
      </c>
      <c r="L60" s="36" t="n">
        <v>0</v>
      </c>
      <c r="M60" s="36" t="n">
        <v>0</v>
      </c>
      <c r="N60" s="36" t="n">
        <v>0</v>
      </c>
      <c r="O60" s="36" t="n">
        <v>0</v>
      </c>
      <c r="P60" s="38">
        <f>SUM(L60:O60)</f>
        <v/>
      </c>
      <c r="Q60" s="37">
        <f>IF(P60=0,"0 - acceptance only",IF(P60&lt;=3,"S",IF(P60&lt;=10,"M",IF(P60&lt;=25,"L","XL")))&amp;" ("&amp;P60&amp;")")</f>
        <v/>
      </c>
      <c r="R60" s="36" t="n"/>
      <c r="S60" s="36" t="inlineStr">
        <is>
          <t>Low</t>
        </is>
      </c>
      <c r="T60" s="37" t="inlineStr">
        <is>
          <t>For acceptance</t>
        </is>
      </c>
      <c r="U60" s="37" t="inlineStr">
        <is>
          <t>Product Owner, New Business (Marketing and Processing)</t>
        </is>
      </c>
      <c r="V60" s="37" t="inlineStr">
        <is>
          <t>DMQ04</t>
        </is>
      </c>
      <c r="W60" s="37" t="inlineStr">
        <is>
          <t>FRS sign-off (Nov 2026)</t>
        </is>
      </c>
      <c r="X60" s="37" t="inlineStr">
        <is>
          <t>FRS BRD-1 chapter 21</t>
        </is>
      </c>
    </row>
    <row r="61">
      <c r="A61" s="35" t="inlineStr">
        <is>
          <t>CR-0057</t>
        </is>
      </c>
      <c r="B61" s="36" t="inlineStr">
        <is>
          <t>Drop 1</t>
        </is>
      </c>
      <c r="C61" s="36" t="inlineStr">
        <is>
          <t>BRD-01</t>
        </is>
      </c>
      <c r="D61" s="37" t="inlineStr">
        <is>
          <t>BRNB.036 (p.77-78)</t>
        </is>
      </c>
      <c r="E61" s="37" t="inlineStr">
        <is>
          <t>FR-NB-111</t>
        </is>
      </c>
      <c r="F61" s="37" t="inlineStr">
        <is>
          <t>Behaviour differs from BRD</t>
        </is>
      </c>
      <c r="G61" s="37" t="inlineStr">
        <is>
          <t>Edit or delete accounts before batch booking.</t>
        </is>
      </c>
      <c r="H61" s="37" t="inlineStr">
        <is>
          <t>Edit the booking date and cost center, remove from the queue, cancel the batch.</t>
        </is>
      </c>
      <c r="I61" s="37" t="inlineStr">
        <is>
          <t>Account data is fixed once approved for booking.</t>
        </is>
      </c>
      <c r="J61" s="37" t="inlineStr">
        <is>
          <t>Corrections go back through the account workflow.</t>
        </is>
      </c>
      <c r="K61" s="37" t="inlineStr">
        <is>
          <t>Processing</t>
        </is>
      </c>
      <c r="L61" s="36" t="n">
        <v>0</v>
      </c>
      <c r="M61" s="36" t="n">
        <v>0</v>
      </c>
      <c r="N61" s="36" t="n">
        <v>0</v>
      </c>
      <c r="O61" s="36" t="n">
        <v>0</v>
      </c>
      <c r="P61" s="38">
        <f>SUM(L61:O61)</f>
        <v/>
      </c>
      <c r="Q61" s="37">
        <f>IF(P61=0,"0 - acceptance only",IF(P61&lt;=3,"S",IF(P61&lt;=10,"M",IF(P61&lt;=25,"L","XL")))&amp;" ("&amp;P61&amp;")")</f>
        <v/>
      </c>
      <c r="R61" s="36" t="n"/>
      <c r="S61" s="36" t="inlineStr">
        <is>
          <t>Low</t>
        </is>
      </c>
      <c r="T61" s="37" t="inlineStr">
        <is>
          <t>For acceptance</t>
        </is>
      </c>
      <c r="U61" s="37" t="inlineStr">
        <is>
          <t>Product Owner, New Business (Marketing and Processing)</t>
        </is>
      </c>
      <c r="V61" s="37" t="inlineStr">
        <is>
          <t>-</t>
        </is>
      </c>
      <c r="W61" s="37" t="inlineStr">
        <is>
          <t>FRS sign-off (Nov 2026)</t>
        </is>
      </c>
      <c r="X61" s="37" t="inlineStr">
        <is>
          <t>FRS BRD-1 chapter 21</t>
        </is>
      </c>
    </row>
    <row r="62">
      <c r="A62" s="35" t="inlineStr">
        <is>
          <t>CR-0058</t>
        </is>
      </c>
      <c r="B62" s="36" t="inlineStr">
        <is>
          <t>Drop 1</t>
        </is>
      </c>
      <c r="C62" s="36" t="inlineStr">
        <is>
          <t>BRD-01</t>
        </is>
      </c>
      <c r="D62" s="37" t="inlineStr">
        <is>
          <t>BRNB.041 (p.94); BRNB.073 (p.116-117)</t>
        </is>
      </c>
      <c r="E62" s="37" t="inlineStr">
        <is>
          <t>FR-NB-040, FR-NB-100</t>
        </is>
      </c>
      <c r="F62" s="37" t="inlineStr">
        <is>
          <t>Integration dependency</t>
        </is>
      </c>
      <c r="G62" s="37" t="inlineStr">
        <is>
          <t>Requests received by e-mail and e-policies received from insurers are read automatically.</t>
        </is>
      </c>
      <c r="H62" s="37" t="inlineStr">
        <is>
          <t>Requests are captured manually with the e-mail attached; e-policies are uploaded by Processing. Proposed: a mailbox reader through Microsoft Graph (M365 Exchange) if BDOI confirms its role against CCM.</t>
        </is>
      </c>
      <c r="I62" s="37" t="inlineStr">
        <is>
          <t>Q12, Q31, IQ12 open.</t>
        </is>
      </c>
      <c r="J62" s="37" t="inlineStr">
        <is>
          <t>Manual capture of e-mailed requests and e-policies.</t>
        </is>
      </c>
      <c r="K62" s="37" t="inlineStr">
        <is>
          <t>Marketing; Processing; BDOI IT</t>
        </is>
      </c>
      <c r="L62" s="36" t="n">
        <v>2</v>
      </c>
      <c r="M62" s="36" t="n">
        <v>8</v>
      </c>
      <c r="N62" s="36" t="n">
        <v>4</v>
      </c>
      <c r="O62" s="36" t="n">
        <v>1</v>
      </c>
      <c r="P62" s="38">
        <f>SUM(L62:O62)</f>
        <v/>
      </c>
      <c r="Q62" s="37">
        <f>IF(P62=0,"0 - acceptance only",IF(P62&lt;=3,"S",IF(P62&lt;=10,"M",IF(P62&lt;=25,"L","XL")))&amp;" ("&amp;P62&amp;")")</f>
        <v/>
      </c>
      <c r="R62" s="36" t="n"/>
      <c r="S62" s="36" t="inlineStr">
        <is>
          <t>Medium</t>
        </is>
      </c>
      <c r="T62" s="37" t="inlineStr">
        <is>
          <t>Draft</t>
        </is>
      </c>
      <c r="U62" s="37" t="inlineStr">
        <is>
          <t>BDOI IT (integration owner) with the BIBS Product Owner</t>
        </is>
      </c>
      <c r="V62" s="37" t="inlineStr">
        <is>
          <t>Q12; Q31; IQ12</t>
        </is>
      </c>
      <c r="W62" s="37" t="inlineStr">
        <is>
          <t>After BDOI answer (slot set by the CCB)</t>
        </is>
      </c>
      <c r="X62" s="37" t="inlineStr">
        <is>
          <t>FRS BRD-1 chapter 21; Programme alignment 5 (INT-14)</t>
        </is>
      </c>
    </row>
    <row r="63">
      <c r="A63" s="35" t="inlineStr">
        <is>
          <t>CR-0059</t>
        </is>
      </c>
      <c r="B63" s="36" t="inlineStr">
        <is>
          <t>Drop 1</t>
        </is>
      </c>
      <c r="C63" s="36" t="inlineStr">
        <is>
          <t>BRD-01</t>
        </is>
      </c>
      <c r="D63" s="37" t="inlineStr">
        <is>
          <t>BRNB.047, BRNB.065 (p.97-98, p.110-111)</t>
        </is>
      </c>
      <c r="E63" s="37" t="inlineStr">
        <is>
          <t>FR-NB-035</t>
        </is>
      </c>
      <c r="F63" s="37" t="inlineStr">
        <is>
          <t>Behaviour differs from BRD</t>
        </is>
      </c>
      <c r="G63" s="37" t="inlineStr">
        <is>
          <t>Save draft and cancel in bulk updates.</t>
        </is>
      </c>
      <c r="H63" s="37" t="inlineStr">
        <is>
          <t>Review before commit; valid rows are saved directly.</t>
        </is>
      </c>
      <c r="I63" s="37" t="inlineStr">
        <is>
          <t>Bulk framework design.</t>
        </is>
      </c>
      <c r="J63" s="37" t="inlineStr">
        <is>
          <t>No draft bulk batches.</t>
        </is>
      </c>
      <c r="K63" s="37" t="inlineStr">
        <is>
          <t>Marketing</t>
        </is>
      </c>
      <c r="L63" s="36" t="n">
        <v>0</v>
      </c>
      <c r="M63" s="36" t="n">
        <v>0</v>
      </c>
      <c r="N63" s="36" t="n">
        <v>0</v>
      </c>
      <c r="O63" s="36" t="n">
        <v>0</v>
      </c>
      <c r="P63" s="38">
        <f>SUM(L63:O63)</f>
        <v/>
      </c>
      <c r="Q63" s="37">
        <f>IF(P63=0,"0 - acceptance only",IF(P63&lt;=3,"S",IF(P63&lt;=10,"M",IF(P63&lt;=25,"L","XL")))&amp;" ("&amp;P63&amp;")")</f>
        <v/>
      </c>
      <c r="R63" s="36" t="n"/>
      <c r="S63" s="36" t="inlineStr">
        <is>
          <t>Low</t>
        </is>
      </c>
      <c r="T63" s="37" t="inlineStr">
        <is>
          <t>For acceptance</t>
        </is>
      </c>
      <c r="U63" s="37" t="inlineStr">
        <is>
          <t>Product Owner, New Business (Marketing and Processing)</t>
        </is>
      </c>
      <c r="V63" s="37" t="inlineStr">
        <is>
          <t>Q14</t>
        </is>
      </c>
      <c r="W63" s="37" t="inlineStr">
        <is>
          <t>FRS sign-off (Nov 2026)</t>
        </is>
      </c>
      <c r="X63" s="37" t="inlineStr">
        <is>
          <t>FRS BRD-1 chapter 21</t>
        </is>
      </c>
    </row>
    <row r="64">
      <c r="A64" s="35" t="inlineStr">
        <is>
          <t>CR-0060</t>
        </is>
      </c>
      <c r="B64" s="36" t="inlineStr">
        <is>
          <t>Programme</t>
        </is>
      </c>
      <c r="C64" s="36" t="inlineStr">
        <is>
          <t>BRD-01</t>
        </is>
      </c>
      <c r="D64" s="37" t="inlineStr">
        <is>
          <t>BRNB.057 (p.106); Claims dynamic reports (Q40)</t>
        </is>
      </c>
      <c r="E64" s="37" t="inlineStr">
        <is>
          <t>FR-NB-123; FR-CM-064</t>
        </is>
      </c>
      <c r="F64" s="37" t="inlineStr">
        <is>
          <t>Scope reduction / descoped</t>
        </is>
      </c>
      <c r="G64" s="37" t="inlineStr">
        <is>
          <t>Users create dynamic reports.</t>
        </is>
      </c>
      <c r="H64" s="37" t="inlineStr">
        <is>
          <t>Saved report variants; no ad-hoc report builder.</t>
        </is>
      </c>
      <c r="I64" s="37" t="inlineStr">
        <is>
          <t>Q40 open (scope of dynamic reports).</t>
        </is>
      </c>
      <c r="J64" s="37" t="inlineStr">
        <is>
          <t>New report layouts need a change request (see also CR-0012).</t>
        </is>
      </c>
      <c r="K64" s="37" t="inlineStr">
        <is>
          <t>Marketing; Claims; all report users</t>
        </is>
      </c>
      <c r="L64" s="36" t="n">
        <v>0</v>
      </c>
      <c r="M64" s="36" t="n">
        <v>0</v>
      </c>
      <c r="N64" s="36" t="n">
        <v>0</v>
      </c>
      <c r="O64" s="36" t="n">
        <v>0</v>
      </c>
      <c r="P64" s="38">
        <f>SUM(L64:O64)</f>
        <v/>
      </c>
      <c r="Q64" s="37">
        <f>IF(P64=0,"0 - acceptance only",IF(P64&lt;=3,"S",IF(P64&lt;=10,"M",IF(P64&lt;=25,"L","XL")))&amp;" ("&amp;P64&amp;")")</f>
        <v/>
      </c>
      <c r="R64" s="36" t="n">
        <v>33</v>
      </c>
      <c r="S64" s="36" t="inlineStr">
        <is>
          <t>Medium</t>
        </is>
      </c>
      <c r="T64" s="37" t="inlineStr">
        <is>
          <t>For CCB review</t>
        </is>
      </c>
      <c r="U64" s="37" t="inlineStr">
        <is>
          <t>Product Owner, New Business (Marketing and Processing)</t>
        </is>
      </c>
      <c r="V64" s="37" t="inlineStr">
        <is>
          <t>Q40</t>
        </is>
      </c>
      <c r="W64" s="37" t="inlineStr">
        <is>
          <t>FRS sign-off (Nov 2026)</t>
        </is>
      </c>
      <c r="X64" s="37" t="inlineStr">
        <is>
          <t>FRS BRD-1 chapter 21; BRD-7 requirements baseline (Q40)</t>
        </is>
      </c>
    </row>
    <row r="65">
      <c r="A65" s="35" t="inlineStr">
        <is>
          <t>CR-0061</t>
        </is>
      </c>
      <c r="B65" s="36" t="inlineStr">
        <is>
          <t>Drop 1</t>
        </is>
      </c>
      <c r="C65" s="36" t="inlineStr">
        <is>
          <t>BRD-01</t>
        </is>
      </c>
      <c r="D65" s="37" t="inlineStr">
        <is>
          <t>BRNB.062 (p.109); BRD 2.1.16 reactivate cancelled placements (p.180)</t>
        </is>
      </c>
      <c r="E65" s="37" t="inlineStr">
        <is>
          <t>FR-NB-085, FR-NB-086</t>
        </is>
      </c>
      <c r="F65" s="37" t="inlineStr">
        <is>
          <t>Behaviour differs from BRD</t>
        </is>
      </c>
      <c r="G65" s="37" t="inlineStr">
        <is>
          <t>A cancelled placement returns to the previous workflow; reactivation is in the role matrix without a BRNB ID.</t>
        </is>
      </c>
      <c r="H65" s="37" t="inlineStr">
        <is>
          <t>Stage "Placement cancelled" until reactivated to "Ready for placement"; reactivation as in BRD 2.1.16.</t>
        </is>
      </c>
      <c r="I65" s="37" t="inlineStr">
        <is>
          <t>DCR-002 (no BRNB ID); Q25.</t>
        </is>
      </c>
      <c r="J65" s="37" t="inlineStr">
        <is>
          <t>Cancelled placements are visible until reactivated.</t>
        </is>
      </c>
      <c r="K65" s="37" t="inlineStr">
        <is>
          <t>Processing</t>
        </is>
      </c>
      <c r="L65" s="36" t="n">
        <v>0</v>
      </c>
      <c r="M65" s="36" t="n">
        <v>0</v>
      </c>
      <c r="N65" s="36" t="n">
        <v>0</v>
      </c>
      <c r="O65" s="36" t="n">
        <v>0</v>
      </c>
      <c r="P65" s="38">
        <f>SUM(L65:O65)</f>
        <v/>
      </c>
      <c r="Q65" s="37">
        <f>IF(P65=0,"0 - acceptance only",IF(P65&lt;=3,"S",IF(P65&lt;=10,"M",IF(P65&lt;=25,"L","XL")))&amp;" ("&amp;P65&amp;")")</f>
        <v/>
      </c>
      <c r="R65" s="36" t="n"/>
      <c r="S65" s="36" t="inlineStr">
        <is>
          <t>Low</t>
        </is>
      </c>
      <c r="T65" s="37" t="inlineStr">
        <is>
          <t>For acceptance</t>
        </is>
      </c>
      <c r="U65" s="37" t="inlineStr">
        <is>
          <t>Product Owner, New Business (Marketing and Processing)</t>
        </is>
      </c>
      <c r="V65" s="37" t="inlineStr">
        <is>
          <t>DCR-002; Q25</t>
        </is>
      </c>
      <c r="W65" s="37" t="inlineStr">
        <is>
          <t>FRS sign-off (Nov 2026)</t>
        </is>
      </c>
      <c r="X65" s="37" t="inlineStr">
        <is>
          <t>FRS BRD-1 chapter 21 and traceability</t>
        </is>
      </c>
    </row>
    <row r="66">
      <c r="A66" s="35" t="inlineStr">
        <is>
          <t>CR-0062</t>
        </is>
      </c>
      <c r="B66" s="36" t="inlineStr">
        <is>
          <t>Drop 1</t>
        </is>
      </c>
      <c r="C66" s="36" t="inlineStr">
        <is>
          <t>BRD-01</t>
        </is>
      </c>
      <c r="D66" s="37" t="inlineStr">
        <is>
          <t>BRNB.067 (p.114-115); BRNB.068 (p.115)</t>
        </is>
      </c>
      <c r="E66" s="37" t="inlineStr">
        <is>
          <t>FR-NB-090, FR-NB-091</t>
        </is>
      </c>
      <c r="F66" s="37" t="inlineStr">
        <is>
          <t>Integration dependency</t>
        </is>
      </c>
      <c r="G66" s="37" t="inlineStr">
        <is>
          <t>The billing file is forwarded to CLPC automatically; QPS reference used.</t>
        </is>
      </c>
      <c r="H66" s="37" t="inlineStr">
        <is>
          <t>The user downloads the billing file and uploads the payment report; the ARN replaces the QPS reference. Proposed: automated transfer once LMS / HL-LOAS layouts and transport are given.</t>
        </is>
      </c>
      <c r="I66" s="37" t="inlineStr">
        <is>
          <t>Q28, IQ06 open.</t>
        </is>
      </c>
      <c r="J66" s="37" t="inlineStr">
        <is>
          <t>Manual file hand-over with CLPC.</t>
        </is>
      </c>
      <c r="K66" s="37" t="inlineStr">
        <is>
          <t>Processing; Operations (Cashiering); BDOI IT</t>
        </is>
      </c>
      <c r="L66" s="36" t="n">
        <v>2</v>
      </c>
      <c r="M66" s="36" t="n">
        <v>5</v>
      </c>
      <c r="N66" s="36" t="n">
        <v>3</v>
      </c>
      <c r="O66" s="36" t="n">
        <v>1</v>
      </c>
      <c r="P66" s="38">
        <f>SUM(L66:O66)</f>
        <v/>
      </c>
      <c r="Q66" s="37">
        <f>IF(P66=0,"0 - acceptance only",IF(P66&lt;=3,"S",IF(P66&lt;=10,"M",IF(P66&lt;=25,"L","XL")))&amp;" ("&amp;P66&amp;")")</f>
        <v/>
      </c>
      <c r="R66" s="36" t="n"/>
      <c r="S66" s="36" t="inlineStr">
        <is>
          <t>Medium</t>
        </is>
      </c>
      <c r="T66" s="37" t="inlineStr">
        <is>
          <t>Draft</t>
        </is>
      </c>
      <c r="U66" s="37" t="inlineStr">
        <is>
          <t>BDOI IT (integration owner) with the BIBS Product Owner</t>
        </is>
      </c>
      <c r="V66" s="37" t="inlineStr">
        <is>
          <t>Q28; IQ06; DCR-027</t>
        </is>
      </c>
      <c r="W66" s="37" t="inlineStr">
        <is>
          <t>Drop 1, second release (Jan - Feb 2027)</t>
        </is>
      </c>
      <c r="X66" s="37" t="inlineStr">
        <is>
          <t>FRS BRD-1 chapter 21; Programme alignment 5 (INT-03)</t>
        </is>
      </c>
    </row>
    <row r="67">
      <c r="A67" s="35" t="inlineStr">
        <is>
          <t>CR-0063</t>
        </is>
      </c>
      <c r="B67" s="36" t="inlineStr">
        <is>
          <t>Drop 1</t>
        </is>
      </c>
      <c r="C67" s="36" t="inlineStr">
        <is>
          <t>BRD-01</t>
        </is>
      </c>
      <c r="D67" s="37" t="inlineStr">
        <is>
          <t>BRNB.072 (p.116); BRNB.103 (p.10-11)</t>
        </is>
      </c>
      <c r="E67" s="37" t="inlineStr">
        <is>
          <t>FR-NB-082, FR-NB-083</t>
        </is>
      </c>
      <c r="F67" s="37" t="inlineStr">
        <is>
          <t>Behaviour differs from BRD</t>
        </is>
      </c>
      <c r="G67" s="37" t="inlineStr">
        <is>
          <t>The hold cover request is sent automatically.</t>
        </is>
      </c>
      <c r="H67" s="37" t="inlineStr">
        <is>
          <t>Sent when Processing clicks Request Hold Cover.</t>
        </is>
      </c>
      <c r="I67" s="37" t="inlineStr">
        <is>
          <t>Q27 open (accounts needing an automatic hold cover).</t>
        </is>
      </c>
      <c r="J67" s="37" t="inlineStr">
        <is>
          <t>One click per hold cover.</t>
        </is>
      </c>
      <c r="K67" s="37" t="inlineStr">
        <is>
          <t>Processing</t>
        </is>
      </c>
      <c r="L67" s="36" t="n">
        <v>0</v>
      </c>
      <c r="M67" s="36" t="n">
        <v>0</v>
      </c>
      <c r="N67" s="36" t="n">
        <v>0</v>
      </c>
      <c r="O67" s="36" t="n">
        <v>0</v>
      </c>
      <c r="P67" s="38">
        <f>SUM(L67:O67)</f>
        <v/>
      </c>
      <c r="Q67" s="37">
        <f>IF(P67=0,"0 - acceptance only",IF(P67&lt;=3,"S",IF(P67&lt;=10,"M",IF(P67&lt;=25,"L","XL")))&amp;" ("&amp;P67&amp;")")</f>
        <v/>
      </c>
      <c r="R67" s="36" t="n">
        <v>7</v>
      </c>
      <c r="S67" s="36" t="inlineStr">
        <is>
          <t>Low</t>
        </is>
      </c>
      <c r="T67" s="37" t="inlineStr">
        <is>
          <t>For acceptance</t>
        </is>
      </c>
      <c r="U67" s="37" t="inlineStr">
        <is>
          <t>Product Owner, New Business (Marketing and Processing)</t>
        </is>
      </c>
      <c r="V67" s="37" t="inlineStr">
        <is>
          <t>Q27</t>
        </is>
      </c>
      <c r="W67" s="37" t="inlineStr">
        <is>
          <t>FRS sign-off (Nov 2026)</t>
        </is>
      </c>
      <c r="X67" s="37" t="inlineStr">
        <is>
          <t>FRS BRD-1 chapter 21</t>
        </is>
      </c>
    </row>
    <row r="68">
      <c r="A68" s="35" t="inlineStr">
        <is>
          <t>CR-0064</t>
        </is>
      </c>
      <c r="B68" s="36" t="inlineStr">
        <is>
          <t>Drop 1</t>
        </is>
      </c>
      <c r="C68" s="36" t="inlineStr">
        <is>
          <t>BRD-01</t>
        </is>
      </c>
      <c r="D68" s="37" t="inlineStr">
        <is>
          <t>BRNB.075 (p.117-118)</t>
        </is>
      </c>
      <c r="E68" s="37" t="inlineStr">
        <is>
          <t>FR-NB-122</t>
        </is>
      </c>
      <c r="F68" s="37" t="inlineStr">
        <is>
          <t>Behaviour differs from BRD</t>
        </is>
      </c>
      <c r="G68" s="37" t="inlineStr">
        <is>
          <t>Production per system; QPS placement report.</t>
        </is>
      </c>
      <c r="H68" s="37" t="inlineStr">
        <is>
          <t>Production per region, department, team and officer; Placement Summary.</t>
        </is>
      </c>
      <c r="I68" s="37" t="inlineStr">
        <is>
          <t>QPS is replaced by BIBS.</t>
        </is>
      </c>
      <c r="J68" s="37" t="inlineStr">
        <is>
          <t>None.</t>
        </is>
      </c>
      <c r="K68" s="37" t="inlineStr">
        <is>
          <t>Marketing</t>
        </is>
      </c>
      <c r="L68" s="36" t="n">
        <v>0</v>
      </c>
      <c r="M68" s="36" t="n">
        <v>0</v>
      </c>
      <c r="N68" s="36" t="n">
        <v>0</v>
      </c>
      <c r="O68" s="36" t="n">
        <v>0</v>
      </c>
      <c r="P68" s="38">
        <f>SUM(L68:O68)</f>
        <v/>
      </c>
      <c r="Q68" s="37">
        <f>IF(P68=0,"0 - acceptance only",IF(P68&lt;=3,"S",IF(P68&lt;=10,"M",IF(P68&lt;=25,"L","XL")))&amp;" ("&amp;P68&amp;")")</f>
        <v/>
      </c>
      <c r="R68" s="36" t="n"/>
      <c r="S68" s="36" t="inlineStr">
        <is>
          <t>Low</t>
        </is>
      </c>
      <c r="T68" s="37" t="inlineStr">
        <is>
          <t>For acceptance</t>
        </is>
      </c>
      <c r="U68" s="37" t="inlineStr">
        <is>
          <t>Product Owner, New Business (Marketing and Processing)</t>
        </is>
      </c>
      <c r="V68" s="37" t="inlineStr">
        <is>
          <t>-</t>
        </is>
      </c>
      <c r="W68" s="37" t="inlineStr">
        <is>
          <t>FRS sign-off (Nov 2026)</t>
        </is>
      </c>
      <c r="X68" s="37" t="inlineStr">
        <is>
          <t>FRS BRD-1 chapter 21</t>
        </is>
      </c>
    </row>
    <row r="69">
      <c r="A69" s="35" t="inlineStr">
        <is>
          <t>CR-0065</t>
        </is>
      </c>
      <c r="B69" s="36" t="inlineStr">
        <is>
          <t>Drop 1</t>
        </is>
      </c>
      <c r="C69" s="36" t="inlineStr">
        <is>
          <t>BRD-01</t>
        </is>
      </c>
      <c r="D69" s="37" t="inlineStr">
        <is>
          <t>BRNB.080 (p.120)</t>
        </is>
      </c>
      <c r="E69" s="37" t="inlineStr">
        <is>
          <t>FR-NB-011</t>
        </is>
      </c>
      <c r="F69" s="37" t="inlineStr">
        <is>
          <t>Behaviour differs from BRD</t>
        </is>
      </c>
      <c r="G69" s="37" t="inlineStr">
        <is>
          <t>Assign and re-assign workload.</t>
        </is>
      </c>
      <c r="H69" s="37" t="inlineStr">
        <is>
          <t>Manual claim and assignment; no automatic allocation.</t>
        </is>
      </c>
      <c r="I69" s="37" t="inlineStr">
        <is>
          <t>No allocation rule given in the BRD.</t>
        </is>
      </c>
      <c r="J69" s="37" t="inlineStr">
        <is>
          <t>Team leads assign work by hand.</t>
        </is>
      </c>
      <c r="K69" s="37" t="inlineStr">
        <is>
          <t>Marketing; Processing</t>
        </is>
      </c>
      <c r="L69" s="36" t="n">
        <v>0</v>
      </c>
      <c r="M69" s="36" t="n">
        <v>0</v>
      </c>
      <c r="N69" s="36" t="n">
        <v>0</v>
      </c>
      <c r="O69" s="36" t="n">
        <v>0</v>
      </c>
      <c r="P69" s="38">
        <f>SUM(L69:O69)</f>
        <v/>
      </c>
      <c r="Q69" s="37">
        <f>IF(P69=0,"0 - acceptance only",IF(P69&lt;=3,"S",IF(P69&lt;=10,"M",IF(P69&lt;=25,"L","XL")))&amp;" ("&amp;P69&amp;")")</f>
        <v/>
      </c>
      <c r="R69" s="36" t="n">
        <v>12</v>
      </c>
      <c r="S69" s="36" t="inlineStr">
        <is>
          <t>Low</t>
        </is>
      </c>
      <c r="T69" s="37" t="inlineStr">
        <is>
          <t>For acceptance</t>
        </is>
      </c>
      <c r="U69" s="37" t="inlineStr">
        <is>
          <t>Product Owner, New Business (Marketing and Processing)</t>
        </is>
      </c>
      <c r="V69" s="37" t="inlineStr">
        <is>
          <t>-</t>
        </is>
      </c>
      <c r="W69" s="37" t="inlineStr">
        <is>
          <t>FRS sign-off (Nov 2026)</t>
        </is>
      </c>
      <c r="X69" s="37" t="inlineStr">
        <is>
          <t>FRS BRD-1 chapter 21</t>
        </is>
      </c>
    </row>
    <row r="70">
      <c r="A70" s="35" t="inlineStr">
        <is>
          <t>CR-0066</t>
        </is>
      </c>
      <c r="B70" s="36" t="inlineStr">
        <is>
          <t>Drop 1</t>
        </is>
      </c>
      <c r="C70" s="36" t="inlineStr">
        <is>
          <t>BRD-01</t>
        </is>
      </c>
      <c r="D70" s="37" t="inlineStr">
        <is>
          <t>BRNB.083 (p.121)</t>
        </is>
      </c>
      <c r="E70" s="37" t="inlineStr">
        <is>
          <t>FR-NB-132</t>
        </is>
      </c>
      <c r="F70" s="37" t="inlineStr">
        <is>
          <t>Behaviour differs from BRD</t>
        </is>
      </c>
      <c r="G70" s="37" t="inlineStr">
        <is>
          <t>Delete LOVs.</t>
        </is>
      </c>
      <c r="H70" s="37" t="inlineStr">
        <is>
          <t>Values are deactivated, never deleted.</t>
        </is>
      </c>
      <c r="I70" s="37" t="inlineStr">
        <is>
          <t>Historical records keep their values.</t>
        </is>
      </c>
      <c r="J70" s="37" t="inlineStr">
        <is>
          <t>None.</t>
        </is>
      </c>
      <c r="K70" s="37" t="inlineStr">
        <is>
          <t>MBS; System Administrator</t>
        </is>
      </c>
      <c r="L70" s="36" t="n">
        <v>0</v>
      </c>
      <c r="M70" s="36" t="n">
        <v>0</v>
      </c>
      <c r="N70" s="36" t="n">
        <v>0</v>
      </c>
      <c r="O70" s="36" t="n">
        <v>0</v>
      </c>
      <c r="P70" s="38">
        <f>SUM(L70:O70)</f>
        <v/>
      </c>
      <c r="Q70" s="37">
        <f>IF(P70=0,"0 - acceptance only",IF(P70&lt;=3,"S",IF(P70&lt;=10,"M",IF(P70&lt;=25,"L","XL")))&amp;" ("&amp;P70&amp;")")</f>
        <v/>
      </c>
      <c r="R70" s="36" t="n"/>
      <c r="S70" s="36" t="inlineStr">
        <is>
          <t>Low</t>
        </is>
      </c>
      <c r="T70" s="37" t="inlineStr">
        <is>
          <t>For acceptance</t>
        </is>
      </c>
      <c r="U70" s="37" t="inlineStr">
        <is>
          <t>Product Owner, New Business (Marketing and Processing)</t>
        </is>
      </c>
      <c r="V70" s="37" t="inlineStr">
        <is>
          <t>-</t>
        </is>
      </c>
      <c r="W70" s="37" t="inlineStr">
        <is>
          <t>FRS sign-off (Nov 2026)</t>
        </is>
      </c>
      <c r="X70" s="37" t="inlineStr">
        <is>
          <t>FRS BRD-1 chapter 21</t>
        </is>
      </c>
    </row>
    <row r="71">
      <c r="A71" s="35" t="inlineStr">
        <is>
          <t>CR-0067</t>
        </is>
      </c>
      <c r="B71" s="36" t="inlineStr">
        <is>
          <t>Drop 1</t>
        </is>
      </c>
      <c r="C71" s="36" t="inlineStr">
        <is>
          <t>BRD-01</t>
        </is>
      </c>
      <c r="D71" s="37" t="inlineStr">
        <is>
          <t>BRNB.091 (p.4)</t>
        </is>
      </c>
      <c r="E71" s="37" t="inlineStr">
        <is>
          <t>FR-NB-036</t>
        </is>
      </c>
      <c r="F71" s="37" t="inlineStr">
        <is>
          <t>Deferred pending BDOI answer</t>
        </is>
      </c>
      <c r="G71" s="37" t="inlineStr">
        <is>
          <t>Tags and instructions are enforced.</t>
        </is>
      </c>
      <c r="H71" s="37" t="inlineStr">
        <is>
          <t>Banner only (warn); blocking is on hold until BDOI lists the tags that block.</t>
        </is>
      </c>
      <c r="I71" s="37" t="inlineStr">
        <is>
          <t>Q18 open.</t>
        </is>
      </c>
      <c r="J71" s="37" t="inlineStr">
        <is>
          <t>Users can proceed past a tag after the warning.</t>
        </is>
      </c>
      <c r="K71" s="37" t="inlineStr">
        <is>
          <t>Marketing; Compliance</t>
        </is>
      </c>
      <c r="L71" s="36" t="n">
        <v>1</v>
      </c>
      <c r="M71" s="36" t="n">
        <v>3</v>
      </c>
      <c r="N71" s="36" t="n">
        <v>2</v>
      </c>
      <c r="O71" s="36" t="n">
        <v>1</v>
      </c>
      <c r="P71" s="38">
        <f>SUM(L71:O71)</f>
        <v/>
      </c>
      <c r="Q71" s="37">
        <f>IF(P71=0,"0 - acceptance only",IF(P71&lt;=3,"S",IF(P71&lt;=10,"M",IF(P71&lt;=25,"L","XL")))&amp;" ("&amp;P71&amp;")")</f>
        <v/>
      </c>
      <c r="R71" s="36" t="n"/>
      <c r="S71" s="36" t="inlineStr">
        <is>
          <t>Medium</t>
        </is>
      </c>
      <c r="T71" s="37" t="inlineStr">
        <is>
          <t>Draft</t>
        </is>
      </c>
      <c r="U71" s="37" t="inlineStr">
        <is>
          <t>Product Owner, New Business (Marketing and Processing)</t>
        </is>
      </c>
      <c r="V71" s="37" t="inlineStr">
        <is>
          <t>Q18</t>
        </is>
      </c>
      <c r="W71" s="37" t="inlineStr">
        <is>
          <t>After BDOI answer (slot set by the CCB)</t>
        </is>
      </c>
      <c r="X71" s="37" t="inlineStr">
        <is>
          <t>FRS BRD-1 chapter 21</t>
        </is>
      </c>
    </row>
    <row r="72">
      <c r="A72" s="35" t="inlineStr">
        <is>
          <t>CR-0068</t>
        </is>
      </c>
      <c r="B72" s="36" t="inlineStr">
        <is>
          <t>Drop 1</t>
        </is>
      </c>
      <c r="C72" s="36" t="inlineStr">
        <is>
          <t>BRD-01</t>
        </is>
      </c>
      <c r="D72" s="37" t="inlineStr">
        <is>
          <t>BRNB.092 (p.5)</t>
        </is>
      </c>
      <c r="E72" s="37" t="inlineStr">
        <is>
          <t>FR-NB-020</t>
        </is>
      </c>
      <c r="F72" s="37" t="inlineStr">
        <is>
          <t>Deferred pending BDOI answer</t>
        </is>
      </c>
      <c r="G72" s="37" t="inlineStr">
        <is>
          <t>Authoritative source per data element.</t>
        </is>
      </c>
      <c r="H72" s="37" t="inlineStr">
        <is>
          <t>Proposed: a data governance register naming the authoritative source per data element, once BDOI answers Q37.</t>
        </is>
      </c>
      <c r="I72" s="37" t="inlineStr">
        <is>
          <t>Q37 open.</t>
        </is>
      </c>
      <c r="J72" s="37" t="inlineStr">
        <is>
          <t>Source of truth per data element is documented outside BIBS.</t>
        </is>
      </c>
      <c r="K72" s="37" t="inlineStr">
        <is>
          <t>Business Project Services; MIS</t>
        </is>
      </c>
      <c r="L72" s="36" t="n">
        <v>2</v>
      </c>
      <c r="M72" s="36" t="n">
        <v>4</v>
      </c>
      <c r="N72" s="36" t="n">
        <v>2</v>
      </c>
      <c r="O72" s="36" t="n">
        <v>1</v>
      </c>
      <c r="P72" s="38">
        <f>SUM(L72:O72)</f>
        <v/>
      </c>
      <c r="Q72" s="37">
        <f>IF(P72=0,"0 - acceptance only",IF(P72&lt;=3,"S",IF(P72&lt;=10,"M",IF(P72&lt;=25,"L","XL")))&amp;" ("&amp;P72&amp;")")</f>
        <v/>
      </c>
      <c r="R72" s="36" t="n"/>
      <c r="S72" s="36" t="inlineStr">
        <is>
          <t>Low</t>
        </is>
      </c>
      <c r="T72" s="37" t="inlineStr">
        <is>
          <t>Draft</t>
        </is>
      </c>
      <c r="U72" s="37" t="inlineStr">
        <is>
          <t>Product Owner, New Business (Marketing and Processing)</t>
        </is>
      </c>
      <c r="V72" s="37" t="inlineStr">
        <is>
          <t>Q37</t>
        </is>
      </c>
      <c r="W72" s="37" t="inlineStr">
        <is>
          <t>After BDOI answer (slot set by the CCB)</t>
        </is>
      </c>
      <c r="X72" s="37" t="inlineStr">
        <is>
          <t>FRS BRD-1 chapter 21 and traceability</t>
        </is>
      </c>
    </row>
    <row r="73">
      <c r="A73" s="35" t="inlineStr">
        <is>
          <t>CR-0069</t>
        </is>
      </c>
      <c r="B73" s="36" t="inlineStr">
        <is>
          <t>Drop 1</t>
        </is>
      </c>
      <c r="C73" s="36" t="inlineStr">
        <is>
          <t>BRD-01</t>
        </is>
      </c>
      <c r="D73" s="37" t="inlineStr">
        <is>
          <t>BRNB.097 (p.6-7); BRRN.033 (p.10); BRID-022.01; BRIDSP-26, 27</t>
        </is>
      </c>
      <c r="E73" s="37" t="inlineStr">
        <is>
          <t>FR-NB-119; FR-RN; FR-EB-061; FR-SP</t>
        </is>
      </c>
      <c r="F73" s="37" t="inlineStr">
        <is>
          <t>BRD conflict resolved by decision</t>
        </is>
      </c>
      <c r="G73" s="37" t="inlineStr">
        <is>
          <t>NB and Renewal classification per transaction, from creation to the invoice and as a report filter (four BRDs).</t>
        </is>
      </c>
      <c r="H73" s="37" t="inlineStr">
        <is>
          <t>Business type on the account (BT0), carried to the invoice and used as a report filter; NB booking stamps New Business.</t>
        </is>
      </c>
      <c r="I73" s="37" t="inlineStr">
        <is>
          <t>Decision D1.</t>
        </is>
      </c>
      <c r="J73" s="37" t="inlineStr">
        <is>
          <t>Production reports split NB and Renewal consistently.</t>
        </is>
      </c>
      <c r="K73" s="37" t="inlineStr">
        <is>
          <t>Marketing; Processing; Comptrollership</t>
        </is>
      </c>
      <c r="L73" s="36" t="n">
        <v>0</v>
      </c>
      <c r="M73" s="36" t="n">
        <v>0</v>
      </c>
      <c r="N73" s="36" t="n">
        <v>0</v>
      </c>
      <c r="O73" s="36" t="n">
        <v>0</v>
      </c>
      <c r="P73" s="38">
        <f>SUM(L73:O73)</f>
        <v/>
      </c>
      <c r="Q73" s="37">
        <f>IF(P73=0,"0 - acceptance only",IF(P73&lt;=3,"S",IF(P73&lt;=10,"M",IF(P73&lt;=25,"L","XL")))&amp;" ("&amp;P73&amp;")")</f>
        <v/>
      </c>
      <c r="R73" s="36" t="n"/>
      <c r="S73" s="36" t="inlineStr">
        <is>
          <t>Medium</t>
        </is>
      </c>
      <c r="T73" s="37" t="inlineStr">
        <is>
          <t>For acceptance</t>
        </is>
      </c>
      <c r="U73" s="37" t="inlineStr">
        <is>
          <t>Product Owner, New Business (Marketing and Processing)</t>
        </is>
      </c>
      <c r="V73" s="37" t="inlineStr">
        <is>
          <t>DCR-010; D1; BT0</t>
        </is>
      </c>
      <c r="W73" s="37" t="inlineStr">
        <is>
          <t>FRS sign-off (Nov 2026)</t>
        </is>
      </c>
      <c r="X73" s="37" t="inlineStr">
        <is>
          <t>FRS BRD-1 chapter 21; Cross-BRD decisions D1, 6.1</t>
        </is>
      </c>
    </row>
    <row r="74">
      <c r="A74" s="35" t="inlineStr">
        <is>
          <t>CR-0070</t>
        </is>
      </c>
      <c r="B74" s="36" t="inlineStr">
        <is>
          <t>Drop 1</t>
        </is>
      </c>
      <c r="C74" s="36" t="inlineStr">
        <is>
          <t>BRD-01</t>
        </is>
      </c>
      <c r="D74" s="37" t="inlineStr">
        <is>
          <t>BRNB.099 (p.8)</t>
        </is>
      </c>
      <c r="E74" s="37" t="inlineStr">
        <is>
          <t>FR-NB-037</t>
        </is>
      </c>
      <c r="F74" s="37" t="inlineStr">
        <is>
          <t>Deferred pending BDOI answer</t>
        </is>
      </c>
      <c r="G74" s="37" t="inlineStr">
        <is>
          <t>Leads management.</t>
        </is>
      </c>
      <c r="H74" s="37" t="inlineStr">
        <is>
          <t>Prospects only; leads management is on hold.</t>
        </is>
      </c>
      <c r="I74" s="37" t="inlineStr">
        <is>
          <t>Q19 open.</t>
        </is>
      </c>
      <c r="J74" s="37" t="inlineStr">
        <is>
          <t>Leads are tracked outside BIBS.</t>
        </is>
      </c>
      <c r="K74" s="37" t="inlineStr">
        <is>
          <t>Marketing</t>
        </is>
      </c>
      <c r="L74" s="36" t="n">
        <v>2</v>
      </c>
      <c r="M74" s="36" t="n">
        <v>8</v>
      </c>
      <c r="N74" s="36" t="n">
        <v>4</v>
      </c>
      <c r="O74" s="36" t="n">
        <v>1</v>
      </c>
      <c r="P74" s="38">
        <f>SUM(L74:O74)</f>
        <v/>
      </c>
      <c r="Q74" s="37">
        <f>IF(P74=0,"0 - acceptance only",IF(P74&lt;=3,"S",IF(P74&lt;=10,"M",IF(P74&lt;=25,"L","XL")))&amp;" ("&amp;P74&amp;")")</f>
        <v/>
      </c>
      <c r="R74" s="36" t="n"/>
      <c r="S74" s="36" t="inlineStr">
        <is>
          <t>Low</t>
        </is>
      </c>
      <c r="T74" s="37" t="inlineStr">
        <is>
          <t>Draft</t>
        </is>
      </c>
      <c r="U74" s="37" t="inlineStr">
        <is>
          <t>Product Owner, New Business (Marketing and Processing)</t>
        </is>
      </c>
      <c r="V74" s="37" t="inlineStr">
        <is>
          <t>Q19</t>
        </is>
      </c>
      <c r="W74" s="37" t="inlineStr">
        <is>
          <t>After BDOI answer (slot set by the CCB)</t>
        </is>
      </c>
      <c r="X74" s="37" t="inlineStr">
        <is>
          <t>FRS BRD-1 chapter 21</t>
        </is>
      </c>
    </row>
    <row r="75">
      <c r="A75" s="35" t="inlineStr">
        <is>
          <t>CR-0071</t>
        </is>
      </c>
      <c r="B75" s="36" t="inlineStr">
        <is>
          <t>Drop 1</t>
        </is>
      </c>
      <c r="C75" s="36" t="inlineStr">
        <is>
          <t>BRD-01</t>
        </is>
      </c>
      <c r="D75" s="37" t="inlineStr">
        <is>
          <t>BRNB.104 (p.11); BRIDSP-02 (p.8)</t>
        </is>
      </c>
      <c r="E75" s="37" t="inlineStr">
        <is>
          <t>FR-NB-101; FR-SP-002</t>
        </is>
      </c>
      <c r="F75" s="37" t="inlineStr">
        <is>
          <t>Deferred pending BDOI answer</t>
        </is>
      </c>
      <c r="G75" s="37" t="inlineStr">
        <is>
          <t>Extraction from uploaded documents, including scanned submitted policies.</t>
        </is>
      </c>
      <c r="H75" s="37" t="inlineStr">
        <is>
          <t>Text PDFs are extracted; OCR of scanned documents waits for BDOI (SP SQ03).</t>
        </is>
      </c>
      <c r="I75" s="37" t="inlineStr">
        <is>
          <t>Q24 open (documents to extract; OCR).</t>
        </is>
      </c>
      <c r="J75" s="37" t="inlineStr">
        <is>
          <t>Scanned documents are keyed by the user.</t>
        </is>
      </c>
      <c r="K75" s="37" t="inlineStr">
        <is>
          <t>Processing; Submitted Policies</t>
        </is>
      </c>
      <c r="L75" s="36" t="n">
        <v>2</v>
      </c>
      <c r="M75" s="36" t="n">
        <v>8</v>
      </c>
      <c r="N75" s="36" t="n">
        <v>5</v>
      </c>
      <c r="O75" s="36" t="n">
        <v>1</v>
      </c>
      <c r="P75" s="38">
        <f>SUM(L75:O75)</f>
        <v/>
      </c>
      <c r="Q75" s="37">
        <f>IF(P75=0,"0 - acceptance only",IF(P75&lt;=3,"S",IF(P75&lt;=10,"M",IF(P75&lt;=25,"L","XL")))&amp;" ("&amp;P75&amp;")")</f>
        <v/>
      </c>
      <c r="R75" s="36" t="n"/>
      <c r="S75" s="36" t="inlineStr">
        <is>
          <t>Medium</t>
        </is>
      </c>
      <c r="T75" s="37" t="inlineStr">
        <is>
          <t>Draft</t>
        </is>
      </c>
      <c r="U75" s="37" t="inlineStr">
        <is>
          <t>Product Owner, New Business (Marketing and Processing)</t>
        </is>
      </c>
      <c r="V75" s="37" t="inlineStr">
        <is>
          <t>Q24</t>
        </is>
      </c>
      <c r="W75" s="37" t="inlineStr">
        <is>
          <t>After BDOI answer (slot set by the CCB)</t>
        </is>
      </c>
      <c r="X75" s="37" t="inlineStr">
        <is>
          <t>FRS BRD-1 chapter 21; FRS BRD-12 scope</t>
        </is>
      </c>
    </row>
    <row r="76">
      <c r="A76" s="35" t="inlineStr">
        <is>
          <t>CR-0072</t>
        </is>
      </c>
      <c r="B76" s="36" t="inlineStr">
        <is>
          <t>Drop 1</t>
        </is>
      </c>
      <c r="C76" s="36" t="inlineStr">
        <is>
          <t>BRD-01</t>
        </is>
      </c>
      <c r="D76" s="37" t="inlineStr">
        <is>
          <t>BRNB.107 (p.12-13); PMADD07, PMADD08 (p.5-6)</t>
        </is>
      </c>
      <c r="E76" s="37" t="inlineStr">
        <is>
          <t>FR-NB-118; FR-PM-080</t>
        </is>
      </c>
      <c r="F76" s="37" t="inlineStr">
        <is>
          <t>Behaviour differs from BRD</t>
        </is>
      </c>
      <c r="G76" s="37" t="inlineStr">
        <is>
          <t>Incentive indicator on booking.</t>
        </is>
      </c>
      <c r="H76" s="37" t="inlineStr">
        <is>
          <t>The indicator comes from the BRD-3 incentive criteria on the products matrix; the booking incentive rules are frozen.</t>
        </is>
      </c>
      <c r="I76" s="37" t="inlineStr">
        <is>
          <t>One incentive master (DCR-037).</t>
        </is>
      </c>
      <c r="J76" s="37" t="inlineStr">
        <is>
          <t>Incentive criteria maintained once by MBS.</t>
        </is>
      </c>
      <c r="K76" s="37" t="inlineStr">
        <is>
          <t>Processing; MBS</t>
        </is>
      </c>
      <c r="L76" s="36" t="n">
        <v>0</v>
      </c>
      <c r="M76" s="36" t="n">
        <v>0</v>
      </c>
      <c r="N76" s="36" t="n">
        <v>0</v>
      </c>
      <c r="O76" s="36" t="n">
        <v>0</v>
      </c>
      <c r="P76" s="38">
        <f>SUM(L76:O76)</f>
        <v/>
      </c>
      <c r="Q76" s="37">
        <f>IF(P76=0,"0 - acceptance only",IF(P76&lt;=3,"S",IF(P76&lt;=10,"M",IF(P76&lt;=25,"L","XL")))&amp;" ("&amp;P76&amp;")")</f>
        <v/>
      </c>
      <c r="R76" s="36" t="n"/>
      <c r="S76" s="36" t="inlineStr">
        <is>
          <t>Low</t>
        </is>
      </c>
      <c r="T76" s="37" t="inlineStr">
        <is>
          <t>For acceptance</t>
        </is>
      </c>
      <c r="U76" s="37" t="inlineStr">
        <is>
          <t>Product Owner, New Business (Marketing and Processing)</t>
        </is>
      </c>
      <c r="V76" s="37" t="inlineStr">
        <is>
          <t>DCR-037</t>
        </is>
      </c>
      <c r="W76" s="37" t="inlineStr">
        <is>
          <t>FRS sign-off (Nov 2026)</t>
        </is>
      </c>
      <c r="X76" s="37" t="inlineStr">
        <is>
          <t>FRS BRD-1 chapter 21; BRD-3 requirements baseline</t>
        </is>
      </c>
    </row>
    <row r="77">
      <c r="A77" s="35" t="inlineStr">
        <is>
          <t>CR-0073</t>
        </is>
      </c>
      <c r="B77" s="36" t="inlineStr">
        <is>
          <t>Drop 1</t>
        </is>
      </c>
      <c r="C77" s="36" t="inlineStr">
        <is>
          <t>BRD-01</t>
        </is>
      </c>
      <c r="D77" s="37" t="inlineStr">
        <is>
          <t>BRNB.040, BRNB.087 (p.93-94, p.122); BRD-11 NFR (p.13-14, 17); BRD-4, BRD-7 NFR (Windows credentials); BRCSF-001 (p.6)</t>
        </is>
      </c>
      <c r="E77" s="37" t="inlineStr">
        <is>
          <t>FR-UA-003; FR-NB-130; FR-CM-001; FR-CSF-001</t>
        </is>
      </c>
      <c r="F77" s="37" t="inlineStr">
        <is>
          <t>Integration dependency</t>
        </is>
      </c>
      <c r="G77" s="37" t="inlineStr">
        <is>
          <t>Sign-in with the BDO profile: Windows ID through BDO EUA, LDAP / AD or SSO.</t>
        </is>
      </c>
      <c r="H77" s="37" t="inlineStr">
        <is>
          <t>BIBS sign-in with user ID and password. BDOI named EIAM on Microsoft Entra ID: proposed OpenID Connect sign-in (authorisation code with PKCE), identity mapped to the BIBS user, roles kept in BIBS, BIBS sign-in kept for a break-glass administrator.</t>
        </is>
      </c>
      <c r="I77" s="37" t="inlineStr">
        <is>
          <t>Decision D6; drop plan Drop 0 (EIAM); IQ04 open.</t>
        </is>
      </c>
      <c r="J77" s="37" t="inlineStr">
        <is>
          <t>Single sign-on for all internal users; password, MFA and lock-out move to Entra ID.</t>
        </is>
      </c>
      <c r="K77" s="37" t="inlineStr">
        <is>
          <t>All departments; ITIO; BDOI IT</t>
        </is>
      </c>
      <c r="L77" s="36" t="n">
        <v>3</v>
      </c>
      <c r="M77" s="36" t="n">
        <v>12</v>
      </c>
      <c r="N77" s="36" t="n">
        <v>6</v>
      </c>
      <c r="O77" s="36" t="n">
        <v>2</v>
      </c>
      <c r="P77" s="38">
        <f>SUM(L77:O77)</f>
        <v/>
      </c>
      <c r="Q77" s="37">
        <f>IF(P77=0,"0 - acceptance only",IF(P77&lt;=3,"S",IF(P77&lt;=10,"M",IF(P77&lt;=25,"L","XL")))&amp;" ("&amp;P77&amp;")")</f>
        <v/>
      </c>
      <c r="R77" s="36" t="n"/>
      <c r="S77" s="36" t="inlineStr">
        <is>
          <t>High</t>
        </is>
      </c>
      <c r="T77" s="37" t="inlineStr">
        <is>
          <t>Draft</t>
        </is>
      </c>
      <c r="U77" s="37" t="inlineStr">
        <is>
          <t>UAM Product Owner with ITIO</t>
        </is>
      </c>
      <c r="V77" s="37" t="inlineStr">
        <is>
          <t>DCR-143; DCR-230; D6; IQ04; Q42; UQ04</t>
        </is>
      </c>
      <c r="W77" s="37" t="inlineStr">
        <is>
          <t>Drop 1, first release (Nov - Dec 2026)</t>
        </is>
      </c>
      <c r="X77" s="37" t="inlineStr">
        <is>
          <t>FRS BRD-11 v1.1 (FR-UA-003); FRS BRD-1 chapter 21; Programme alignment 5 (INT-01)</t>
        </is>
      </c>
    </row>
    <row r="78">
      <c r="A78" s="35" t="inlineStr">
        <is>
          <t>CR-0074</t>
        </is>
      </c>
      <c r="B78" s="36" t="inlineStr">
        <is>
          <t>Drop 1</t>
        </is>
      </c>
      <c r="C78" s="36" t="inlineStr">
        <is>
          <t>BRD-01</t>
        </is>
      </c>
      <c r="D78" s="37" t="inlineStr">
        <is>
          <t>Drop plan item 1.U6 (EB placement in Drop 1); BRD-8 in Drop 2</t>
        </is>
      </c>
      <c r="E78" s="37" t="inlineStr">
        <is>
          <t>FR-EB-046, FR-EB-051; FR-NB (placement)</t>
        </is>
      </c>
      <c r="F78" s="37" t="inlineStr">
        <is>
          <t>BRD conflict resolved by decision</t>
        </is>
      </c>
      <c r="G78" s="37" t="inlineStr">
        <is>
          <t>EB placement and EB upstream reports are in Drop 1 while the EB module is in Drop 2.</t>
        </is>
      </c>
      <c r="H78" s="37" t="inlineStr">
        <is>
          <t>Proposed: EB programmes are placed through the NB placement screens in Drop 1; each Report List item goes with the drop of its owning module.</t>
        </is>
      </c>
      <c r="I78" s="37" t="inlineStr">
        <is>
          <t>IQ22 open.</t>
        </is>
      </c>
      <c r="J78" s="37" t="inlineStr">
        <is>
          <t>EB placement is tested with NB in Drop 1.</t>
        </is>
      </c>
      <c r="K78" s="37" t="inlineStr">
        <is>
          <t>Employee Benefits; Processing</t>
        </is>
      </c>
      <c r="L78" s="36" t="n">
        <v>1</v>
      </c>
      <c r="M78" s="36" t="n">
        <v>0</v>
      </c>
      <c r="N78" s="36" t="n">
        <v>1</v>
      </c>
      <c r="O78" s="36" t="n">
        <v>1</v>
      </c>
      <c r="P78" s="38">
        <f>SUM(L78:O78)</f>
        <v/>
      </c>
      <c r="Q78" s="37">
        <f>IF(P78=0,"0 - acceptance only",IF(P78&lt;=3,"S",IF(P78&lt;=10,"M",IF(P78&lt;=25,"L","XL")))&amp;" ("&amp;P78&amp;")")</f>
        <v/>
      </c>
      <c r="R78" s="36" t="n"/>
      <c r="S78" s="36" t="inlineStr">
        <is>
          <t>Low</t>
        </is>
      </c>
      <c r="T78" s="37" t="inlineStr">
        <is>
          <t>For CCB review</t>
        </is>
      </c>
      <c r="U78" s="37" t="inlineStr">
        <is>
          <t>Product Owner, Employee Benefits</t>
        </is>
      </c>
      <c r="V78" s="37" t="inlineStr">
        <is>
          <t>DCR-235; IQ22</t>
        </is>
      </c>
      <c r="W78" s="37" t="inlineStr">
        <is>
          <t>FRS sign-off (Nov 2026)</t>
        </is>
      </c>
      <c r="X78" s="37" t="inlineStr">
        <is>
          <t>Programme alignment 2.2 item 8</t>
        </is>
      </c>
    </row>
    <row r="79">
      <c r="A79" s="35" t="inlineStr">
        <is>
          <t>CR-0075</t>
        </is>
      </c>
      <c r="B79" s="36" t="inlineStr">
        <is>
          <t>Drop 1</t>
        </is>
      </c>
      <c r="C79" s="36" t="inlineStr">
        <is>
          <t>BRD-02</t>
        </is>
      </c>
      <c r="D79" s="37" t="inlineStr">
        <is>
          <t>BRQID.003 (p.17)</t>
        </is>
      </c>
      <c r="E79" s="37" t="inlineStr">
        <is>
          <t>FR-OP-003</t>
        </is>
      </c>
      <c r="F79" s="37" t="inlineStr">
        <is>
          <t>Behaviour differs from BRD</t>
        </is>
      </c>
      <c r="G79" s="37" t="inlineStr">
        <is>
          <t>Users customise or filter the Operations sections.</t>
        </is>
      </c>
      <c r="H79" s="37" t="inlineStr">
        <is>
          <t>Sections are filtered by role; a personal pin or hide of sections is not proposed.</t>
        </is>
      </c>
      <c r="I79" s="37" t="inlineStr">
        <is>
          <t>Role menus meet the access need.</t>
        </is>
      </c>
      <c r="J79" s="37" t="inlineStr">
        <is>
          <t>Users cannot hide sections they do not use.</t>
        </is>
      </c>
      <c r="K79" s="37" t="inlineStr">
        <is>
          <t>Operations</t>
        </is>
      </c>
      <c r="L79" s="36" t="n">
        <v>0</v>
      </c>
      <c r="M79" s="36" t="n">
        <v>0</v>
      </c>
      <c r="N79" s="36" t="n">
        <v>0</v>
      </c>
      <c r="O79" s="36" t="n">
        <v>0</v>
      </c>
      <c r="P79" s="38">
        <f>SUM(L79:O79)</f>
        <v/>
      </c>
      <c r="Q79" s="37">
        <f>IF(P79=0,"0 - acceptance only",IF(P79&lt;=3,"S",IF(P79&lt;=10,"M",IF(P79&lt;=25,"L","XL")))&amp;" ("&amp;P79&amp;")")</f>
        <v/>
      </c>
      <c r="R79" s="36" t="n">
        <v>3</v>
      </c>
      <c r="S79" s="36" t="inlineStr">
        <is>
          <t>Low</t>
        </is>
      </c>
      <c r="T79" s="37" t="inlineStr">
        <is>
          <t>For acceptance</t>
        </is>
      </c>
      <c r="U79" s="37" t="inlineStr">
        <is>
          <t>Head of Operations (Financial Transactions and Processing)</t>
        </is>
      </c>
      <c r="V79" s="37" t="inlineStr">
        <is>
          <t>-</t>
        </is>
      </c>
      <c r="W79" s="37" t="inlineStr">
        <is>
          <t>FRS sign-off (Nov 2026)</t>
        </is>
      </c>
      <c r="X79" s="37" t="inlineStr">
        <is>
          <t>FRS BRD-2 chapter 12</t>
        </is>
      </c>
    </row>
    <row r="80">
      <c r="A80" s="35" t="inlineStr">
        <is>
          <t>CR-0076</t>
        </is>
      </c>
      <c r="B80" s="36" t="inlineStr">
        <is>
          <t>Drop 1</t>
        </is>
      </c>
      <c r="C80" s="36" t="inlineStr">
        <is>
          <t>BRD-02</t>
        </is>
      </c>
      <c r="D80" s="37" t="inlineStr">
        <is>
          <t>RMTID.040 (p.69-70)</t>
        </is>
      </c>
      <c r="E80" s="37" t="inlineStr">
        <is>
          <t>FR-OP (remittance locks)</t>
        </is>
      </c>
      <c r="F80" s="37" t="inlineStr">
        <is>
          <t>Deferred pending BDOI answer</t>
        </is>
      </c>
      <c r="G80" s="37" t="inlineStr">
        <is>
          <t>Lock the invoice while it is "still with Comptrollership".</t>
        </is>
      </c>
      <c r="H80" s="37" t="inlineStr">
        <is>
          <t>Remittance and Adjustment lock the invoice while they work on it; no Comptrollership lock until BDOI names the activity.</t>
        </is>
      </c>
      <c r="I80" s="37" t="inlineStr">
        <is>
          <t>OQ28 open.</t>
        </is>
      </c>
      <c r="J80" s="37" t="inlineStr">
        <is>
          <t>An invoice under Comptrollership review can still be adjusted.</t>
        </is>
      </c>
      <c r="K80" s="37" t="inlineStr">
        <is>
          <t>Operations; Comptrollership</t>
        </is>
      </c>
      <c r="L80" s="36" t="n">
        <v>1</v>
      </c>
      <c r="M80" s="36" t="n">
        <v>2</v>
      </c>
      <c r="N80" s="36" t="n">
        <v>1</v>
      </c>
      <c r="O80" s="36" t="n">
        <v>0</v>
      </c>
      <c r="P80" s="38">
        <f>SUM(L80:O80)</f>
        <v/>
      </c>
      <c r="Q80" s="37">
        <f>IF(P80=0,"0 - acceptance only",IF(P80&lt;=3,"S",IF(P80&lt;=10,"M",IF(P80&lt;=25,"L","XL")))&amp;" ("&amp;P80&amp;")")</f>
        <v/>
      </c>
      <c r="R80" s="36" t="n"/>
      <c r="S80" s="36" t="inlineStr">
        <is>
          <t>Medium</t>
        </is>
      </c>
      <c r="T80" s="37" t="inlineStr">
        <is>
          <t>Draft</t>
        </is>
      </c>
      <c r="U80" s="37" t="inlineStr">
        <is>
          <t>Head of Operations (Financial Transactions and Processing)</t>
        </is>
      </c>
      <c r="V80" s="37" t="inlineStr">
        <is>
          <t>OQ28</t>
        </is>
      </c>
      <c r="W80" s="37" t="inlineStr">
        <is>
          <t>After BDOI answer (slot set by the CCB)</t>
        </is>
      </c>
      <c r="X80" s="37" t="inlineStr">
        <is>
          <t>FRS BRD-2 chapter 12</t>
        </is>
      </c>
    </row>
    <row r="81">
      <c r="A81" s="35" t="inlineStr">
        <is>
          <t>CR-0077</t>
        </is>
      </c>
      <c r="B81" s="36" t="inlineStr">
        <is>
          <t>Drop 1</t>
        </is>
      </c>
      <c r="C81" s="36" t="inlineStr">
        <is>
          <t>BRD-02</t>
        </is>
      </c>
      <c r="D81" s="37" t="inlineStr">
        <is>
          <t>MKTID.001 (p.70-71); RMTID.016 (p.57-58)</t>
        </is>
      </c>
      <c r="E81" s="37" t="inlineStr">
        <is>
          <t>FR-OP (remittance schedule)</t>
        </is>
      </c>
      <c r="F81" s="37" t="inlineStr">
        <is>
          <t>Behaviour differs from BRD</t>
        </is>
      </c>
      <c r="G81" s="37" t="inlineStr">
        <is>
          <t>Marketing initiates the request to send the schedule.</t>
        </is>
      </c>
      <c r="H81" s="37" t="inlineStr">
        <is>
          <t>The Remittance processor sends the approved schedule from the batch, once.</t>
        </is>
      </c>
      <c r="I81" s="37" t="inlineStr">
        <is>
          <t>OQ22.</t>
        </is>
      </c>
      <c r="J81" s="37" t="inlineStr">
        <is>
          <t>Marketing no longer triggers the schedule.</t>
        </is>
      </c>
      <c r="K81" s="37" t="inlineStr">
        <is>
          <t>Operations (Remittance); Marketing</t>
        </is>
      </c>
      <c r="L81" s="36" t="n">
        <v>0</v>
      </c>
      <c r="M81" s="36" t="n">
        <v>0</v>
      </c>
      <c r="N81" s="36" t="n">
        <v>0</v>
      </c>
      <c r="O81" s="36" t="n">
        <v>0</v>
      </c>
      <c r="P81" s="38">
        <f>SUM(L81:O81)</f>
        <v/>
      </c>
      <c r="Q81" s="37">
        <f>IF(P81=0,"0 - acceptance only",IF(P81&lt;=3,"S",IF(P81&lt;=10,"M",IF(P81&lt;=25,"L","XL")))&amp;" ("&amp;P81&amp;")")</f>
        <v/>
      </c>
      <c r="R81" s="36" t="n"/>
      <c r="S81" s="36" t="inlineStr">
        <is>
          <t>Low</t>
        </is>
      </c>
      <c r="T81" s="37" t="inlineStr">
        <is>
          <t>For acceptance</t>
        </is>
      </c>
      <c r="U81" s="37" t="inlineStr">
        <is>
          <t>Head of Operations (Financial Transactions and Processing)</t>
        </is>
      </c>
      <c r="V81" s="37" t="inlineStr">
        <is>
          <t>OQ22</t>
        </is>
      </c>
      <c r="W81" s="37" t="inlineStr">
        <is>
          <t>FRS sign-off (Nov 2026)</t>
        </is>
      </c>
      <c r="X81" s="37" t="inlineStr">
        <is>
          <t>FRS BRD-2 chapter 12</t>
        </is>
      </c>
    </row>
    <row r="82">
      <c r="A82" s="35" t="inlineStr">
        <is>
          <t>CR-0078</t>
        </is>
      </c>
      <c r="B82" s="36" t="inlineStr">
        <is>
          <t>Drop 1</t>
        </is>
      </c>
      <c r="C82" s="36" t="inlineStr">
        <is>
          <t>BRD-02</t>
        </is>
      </c>
      <c r="D82" s="37" t="inlineStr">
        <is>
          <t>RMTID.002 (p.50); Addendum 1 (p.4-5)</t>
        </is>
      </c>
      <c r="E82" s="37" t="inlineStr">
        <is>
          <t>FR-OP (remittance extraction)</t>
        </is>
      </c>
      <c r="F82" s="37" t="inlineStr">
        <is>
          <t>BRD conflict resolved by decision</t>
        </is>
      </c>
      <c r="G82" s="37" t="inlineStr">
        <is>
          <t>Main BRD: edit the extracted file online and push it with or without edits.</t>
        </is>
      </c>
      <c r="H82" s="37" t="inlineStr">
        <is>
          <t>Addendum 1 governs: rows are excluded and restored with a reason; financial fields cannot be edited.</t>
        </is>
      </c>
      <c r="I82" s="37" t="inlineStr">
        <is>
          <t>Operations Addendum 1 (DCR-011 answered).</t>
        </is>
      </c>
      <c r="J82" s="37" t="inlineStr">
        <is>
          <t>No editing of financial data in the remittance file.</t>
        </is>
      </c>
      <c r="K82" s="37" t="inlineStr">
        <is>
          <t>Operations (Remittance)</t>
        </is>
      </c>
      <c r="L82" s="36" t="n">
        <v>0</v>
      </c>
      <c r="M82" s="36" t="n">
        <v>0</v>
      </c>
      <c r="N82" s="36" t="n">
        <v>0</v>
      </c>
      <c r="O82" s="36" t="n">
        <v>0</v>
      </c>
      <c r="P82" s="38">
        <f>SUM(L82:O82)</f>
        <v/>
      </c>
      <c r="Q82" s="37">
        <f>IF(P82=0,"0 - acceptance only",IF(P82&lt;=3,"S",IF(P82&lt;=10,"M",IF(P82&lt;=25,"L","XL")))&amp;" ("&amp;P82&amp;")")</f>
        <v/>
      </c>
      <c r="R82" s="36" t="n"/>
      <c r="S82" s="36" t="inlineStr">
        <is>
          <t>Medium</t>
        </is>
      </c>
      <c r="T82" s="37" t="inlineStr">
        <is>
          <t>For acceptance</t>
        </is>
      </c>
      <c r="U82" s="37" t="inlineStr">
        <is>
          <t>Head of Operations (Financial Transactions and Processing)</t>
        </is>
      </c>
      <c r="V82" s="37" t="inlineStr">
        <is>
          <t>DCR-011</t>
        </is>
      </c>
      <c r="W82" s="37" t="inlineStr">
        <is>
          <t>FRS sign-off (Nov 2026)</t>
        </is>
      </c>
      <c r="X82" s="37" t="inlineStr">
        <is>
          <t>FRS BRD-2 chapter 12; register DCR-011</t>
        </is>
      </c>
    </row>
    <row r="83">
      <c r="A83" s="35" t="inlineStr">
        <is>
          <t>CR-0079</t>
        </is>
      </c>
      <c r="B83" s="36" t="inlineStr">
        <is>
          <t>Drop 1</t>
        </is>
      </c>
      <c r="C83" s="36" t="inlineStr">
        <is>
          <t>BRD-02</t>
        </is>
      </c>
      <c r="D83" s="37" t="inlineStr">
        <is>
          <t>CSHID.001-005 (p.23-28)</t>
        </is>
      </c>
      <c r="E83" s="37" t="inlineStr">
        <is>
          <t>FR-OP (receipt cancellation and reinstatement)</t>
        </is>
      </c>
      <c r="F83" s="37" t="inlineStr">
        <is>
          <t>Scope addition — beyond BRD</t>
        </is>
      </c>
      <c r="G83" s="37" t="inlineStr">
        <is>
          <t>Cancellation and reinstatement of receipts without a stated approver.</t>
        </is>
      </c>
      <c r="H83" s="37" t="inlineStr">
        <is>
          <t>A cancellation or reinstatement is a request approved by a Cashiering TL / TH (four eyes) before it posts.</t>
        </is>
      </c>
      <c r="I83" s="37" t="inlineStr">
        <is>
          <t>OQ06; control over receipts.</t>
        </is>
      </c>
      <c r="J83" s="37" t="inlineStr">
        <is>
          <t>One more approval step per cancellation.</t>
        </is>
      </c>
      <c r="K83" s="37" t="inlineStr">
        <is>
          <t>Operations (Cashiering)</t>
        </is>
      </c>
      <c r="L83" s="36" t="n">
        <v>0</v>
      </c>
      <c r="M83" s="36" t="n">
        <v>0</v>
      </c>
      <c r="N83" s="36" t="n">
        <v>0</v>
      </c>
      <c r="O83" s="36" t="n">
        <v>0</v>
      </c>
      <c r="P83" s="38">
        <f>SUM(L83:O83)</f>
        <v/>
      </c>
      <c r="Q83" s="37">
        <f>IF(P83=0,"0 - acceptance only",IF(P83&lt;=3,"S",IF(P83&lt;=10,"M",IF(P83&lt;=25,"L","XL")))&amp;" ("&amp;P83&amp;")")</f>
        <v/>
      </c>
      <c r="R83" s="36" t="n"/>
      <c r="S83" s="36" t="inlineStr">
        <is>
          <t>Medium</t>
        </is>
      </c>
      <c r="T83" s="37" t="inlineStr">
        <is>
          <t>For acceptance</t>
        </is>
      </c>
      <c r="U83" s="37" t="inlineStr">
        <is>
          <t>Head of Operations (Financial Transactions and Processing)</t>
        </is>
      </c>
      <c r="V83" s="37" t="inlineStr">
        <is>
          <t>OQ06</t>
        </is>
      </c>
      <c r="W83" s="37" t="inlineStr">
        <is>
          <t>FRS sign-off (Nov 2026)</t>
        </is>
      </c>
      <c r="X83" s="37" t="inlineStr">
        <is>
          <t>FRS BRD-2 chapter 12</t>
        </is>
      </c>
    </row>
    <row r="84">
      <c r="A84" s="35" t="inlineStr">
        <is>
          <t>CR-0080</t>
        </is>
      </c>
      <c r="B84" s="36" t="inlineStr">
        <is>
          <t>Drop 1</t>
        </is>
      </c>
      <c r="C84" s="36" t="inlineStr">
        <is>
          <t>BRD-02</t>
        </is>
      </c>
      <c r="D84" s="37" t="inlineStr">
        <is>
          <t>CSHID.007 (p.29)</t>
        </is>
      </c>
      <c r="E84" s="37" t="inlineStr">
        <is>
          <t>FR-OP (OR issue)</t>
        </is>
      </c>
      <c r="F84" s="37" t="inlineStr">
        <is>
          <t>Behaviour differs from BRD</t>
        </is>
      </c>
      <c r="G84" s="37" t="inlineStr">
        <is>
          <t>One OR per remittance batch, or per payment unless consolidated.</t>
        </is>
      </c>
      <c r="H84" s="37" t="inlineStr">
        <is>
          <t>Remittance approval issues one commission OR per batch; the Collection upload issues one OR per insurer, certificate and payment.</t>
        </is>
      </c>
      <c r="I84" s="37" t="inlineStr">
        <is>
          <t>OQ49.</t>
        </is>
      </c>
      <c r="J84" s="37" t="inlineStr">
        <is>
          <t>OR count follows batch and insurer.</t>
        </is>
      </c>
      <c r="K84" s="37" t="inlineStr">
        <is>
          <t>Operations (Cashiering); Comptrollership</t>
        </is>
      </c>
      <c r="L84" s="36" t="n">
        <v>0</v>
      </c>
      <c r="M84" s="36" t="n">
        <v>0</v>
      </c>
      <c r="N84" s="36" t="n">
        <v>0</v>
      </c>
      <c r="O84" s="36" t="n">
        <v>0</v>
      </c>
      <c r="P84" s="38">
        <f>SUM(L84:O84)</f>
        <v/>
      </c>
      <c r="Q84" s="37">
        <f>IF(P84=0,"0 - acceptance only",IF(P84&lt;=3,"S",IF(P84&lt;=10,"M",IF(P84&lt;=25,"L","XL")))&amp;" ("&amp;P84&amp;")")</f>
        <v/>
      </c>
      <c r="R84" s="36" t="n"/>
      <c r="S84" s="36" t="inlineStr">
        <is>
          <t>Medium</t>
        </is>
      </c>
      <c r="T84" s="37" t="inlineStr">
        <is>
          <t>For acceptance</t>
        </is>
      </c>
      <c r="U84" s="37" t="inlineStr">
        <is>
          <t>Head of Operations (Financial Transactions and Processing)</t>
        </is>
      </c>
      <c r="V84" s="37" t="inlineStr">
        <is>
          <t>OQ49</t>
        </is>
      </c>
      <c r="W84" s="37" t="inlineStr">
        <is>
          <t>FRS sign-off (Nov 2026)</t>
        </is>
      </c>
      <c r="X84" s="37" t="inlineStr">
        <is>
          <t>FRS BRD-2 chapter 12</t>
        </is>
      </c>
    </row>
    <row r="85">
      <c r="A85" s="35" t="inlineStr">
        <is>
          <t>CR-0081</t>
        </is>
      </c>
      <c r="B85" s="36" t="inlineStr">
        <is>
          <t>Drop 0</t>
        </is>
      </c>
      <c r="C85" s="36" t="inlineStr">
        <is>
          <t>BRD-02</t>
        </is>
      </c>
      <c r="D85" s="37" t="inlineStr">
        <is>
          <t>CSHID.008 (p.29-32); DIS 2.22.0 (p.93); DIS 2.16.1 (p.88)</t>
        </is>
      </c>
      <c r="E85" s="37" t="inlineStr">
        <is>
          <t>FR-OP-015; FR-DS (bank uploads, DCTF)</t>
        </is>
      </c>
      <c r="F85" s="37" t="inlineStr">
        <is>
          <t>Integration dependency</t>
        </is>
      </c>
      <c r="G85" s="37" t="inlineStr">
        <is>
          <t>Payment files are encrypted and cannot be edited; Trade, CLPC and Direct Credit run by IT. Drop plan: OBPCS, Old BOB, PMS, TFS, AFTS and CMS / New BOB channels.</t>
        </is>
      </c>
      <c r="H85" s="37" t="inlineStr">
        <is>
          <t>Operations users upload the files; each file is stored read-only with its SHA-256 and a duplicate is refused; layouts are configurable. Disbursement uses a minimal CSV for bank uploads and a DCTF without trailer. Proposed: layouts per channel in the layout table, the CMS / New BOB outward file in Disbursement, automated transfer where BDO IT offers it; AFTS purpose to confirm.</t>
        </is>
      </c>
      <c r="I85" s="37" t="inlineStr">
        <is>
          <t>OQ03, OQ04, AQ09, IQ09, IQ10, IQ14 open.</t>
        </is>
      </c>
      <c r="J85" s="37" t="inlineStr">
        <is>
          <t>Bank files handled by upload until the layouts and transport are given.</t>
        </is>
      </c>
      <c r="K85" s="37" t="inlineStr">
        <is>
          <t>Operations (Cashiering); Comptrollership (Disbursement); BDOI IT</t>
        </is>
      </c>
      <c r="L85" s="36" t="n">
        <v>3</v>
      </c>
      <c r="M85" s="36" t="n">
        <v>10</v>
      </c>
      <c r="N85" s="36" t="n">
        <v>6</v>
      </c>
      <c r="O85" s="36" t="n">
        <v>1</v>
      </c>
      <c r="P85" s="38">
        <f>SUM(L85:O85)</f>
        <v/>
      </c>
      <c r="Q85" s="37">
        <f>IF(P85=0,"0 - acceptance only",IF(P85&lt;=3,"S",IF(P85&lt;=10,"M",IF(P85&lt;=25,"L","XL")))&amp;" ("&amp;P85&amp;")")</f>
        <v/>
      </c>
      <c r="R85" s="36" t="n"/>
      <c r="S85" s="36" t="inlineStr">
        <is>
          <t>High</t>
        </is>
      </c>
      <c r="T85" s="37" t="inlineStr">
        <is>
          <t>Draft</t>
        </is>
      </c>
      <c r="U85" s="37" t="inlineStr">
        <is>
          <t>BDOI IT (integration owner) with the BIBS Product Owner</t>
        </is>
      </c>
      <c r="V85" s="37" t="inlineStr">
        <is>
          <t>DCR-234; OQ03; OQ04; AQ09; IQ09; IQ10; IQ14</t>
        </is>
      </c>
      <c r="W85" s="37" t="inlineStr">
        <is>
          <t>Drop 1, second release (Jan - Feb 2027)</t>
        </is>
      </c>
      <c r="X85" s="37" t="inlineStr">
        <is>
          <t>FRS BRD-2 chapter 12; FRS BRD-5 Vol.2 chapter 12; Programme alignment 5 (INT-06 to INT-10)</t>
        </is>
      </c>
    </row>
    <row r="86">
      <c r="A86" s="35" t="inlineStr">
        <is>
          <t>CR-0082</t>
        </is>
      </c>
      <c r="B86" s="36" t="inlineStr">
        <is>
          <t>Drop 1</t>
        </is>
      </c>
      <c r="C86" s="36" t="inlineStr">
        <is>
          <t>BRD-02</t>
        </is>
      </c>
      <c r="D86" s="37" t="inlineStr">
        <is>
          <t>CSHID.016 (p.37-38); ADJID.026</t>
        </is>
      </c>
      <c r="E86" s="37" t="inlineStr">
        <is>
          <t>FR-OP (minimal balance sweep)</t>
        </is>
      </c>
      <c r="F86" s="37" t="inlineStr">
        <is>
          <t>Behaviour differs from BRD</t>
        </is>
      </c>
      <c r="G86" s="37" t="inlineStr">
        <is>
          <t>PR up to 10.00 reversed; file 10.00-100.00 written off (10.00 in both ranges).</t>
        </is>
      </c>
      <c r="H86" s="37" t="inlineStr">
        <is>
          <t>The sweep skips an invoice already written off by the file, so a balance is never reversed twice.</t>
        </is>
      </c>
      <c r="I86" s="37" t="inlineStr">
        <is>
          <t>OQ11.</t>
        </is>
      </c>
      <c r="J86" s="37" t="inlineStr">
        <is>
          <t>No double reversal at 10.00.</t>
        </is>
      </c>
      <c r="K86" s="37" t="inlineStr">
        <is>
          <t>Operations; Comptrollership</t>
        </is>
      </c>
      <c r="L86" s="36" t="n">
        <v>0</v>
      </c>
      <c r="M86" s="36" t="n">
        <v>0</v>
      </c>
      <c r="N86" s="36" t="n">
        <v>0</v>
      </c>
      <c r="O86" s="36" t="n">
        <v>0</v>
      </c>
      <c r="P86" s="38">
        <f>SUM(L86:O86)</f>
        <v/>
      </c>
      <c r="Q86" s="37">
        <f>IF(P86=0,"0 - acceptance only",IF(P86&lt;=3,"S",IF(P86&lt;=10,"M",IF(P86&lt;=25,"L","XL")))&amp;" ("&amp;P86&amp;")")</f>
        <v/>
      </c>
      <c r="R86" s="36" t="n"/>
      <c r="S86" s="36" t="inlineStr">
        <is>
          <t>Low</t>
        </is>
      </c>
      <c r="T86" s="37" t="inlineStr">
        <is>
          <t>For acceptance</t>
        </is>
      </c>
      <c r="U86" s="37" t="inlineStr">
        <is>
          <t>Head of Operations (Financial Transactions and Processing)</t>
        </is>
      </c>
      <c r="V86" s="37" t="inlineStr">
        <is>
          <t>OQ11</t>
        </is>
      </c>
      <c r="W86" s="37" t="inlineStr">
        <is>
          <t>FRS sign-off (Nov 2026)</t>
        </is>
      </c>
      <c r="X86" s="37" t="inlineStr">
        <is>
          <t>FRS BRD-2 chapter 12</t>
        </is>
      </c>
    </row>
    <row r="87">
      <c r="A87" s="35" t="inlineStr">
        <is>
          <t>CR-0083</t>
        </is>
      </c>
      <c r="B87" s="36" t="inlineStr">
        <is>
          <t>Drop 1</t>
        </is>
      </c>
      <c r="C87" s="36" t="inlineStr">
        <is>
          <t>BRD-02</t>
        </is>
      </c>
      <c r="D87" s="37" t="inlineStr">
        <is>
          <t>RMTID.005 (p.52)</t>
        </is>
      </c>
      <c r="E87" s="37" t="inlineStr">
        <is>
          <t>FR-OP (extraction queue)</t>
        </is>
      </c>
      <c r="F87" s="37" t="inlineStr">
        <is>
          <t>Behaviour differs from BRD</t>
        </is>
      </c>
      <c r="G87" s="37" t="inlineStr">
        <is>
          <t>Trigger extraction at end of day "if payment application is searched".</t>
        </is>
      </c>
      <c r="H87" s="37" t="inlineStr">
        <is>
          <t>A user queues the searched invoice for the evening extraction run.</t>
        </is>
      </c>
      <c r="I87" s="37" t="inlineStr">
        <is>
          <t>OQ18.</t>
        </is>
      </c>
      <c r="J87" s="37" t="inlineStr">
        <is>
          <t>None.</t>
        </is>
      </c>
      <c r="K87" s="37" t="inlineStr">
        <is>
          <t>Operations (Remittance)</t>
        </is>
      </c>
      <c r="L87" s="36" t="n">
        <v>0</v>
      </c>
      <c r="M87" s="36" t="n">
        <v>0</v>
      </c>
      <c r="N87" s="36" t="n">
        <v>0</v>
      </c>
      <c r="O87" s="36" t="n">
        <v>0</v>
      </c>
      <c r="P87" s="38">
        <f>SUM(L87:O87)</f>
        <v/>
      </c>
      <c r="Q87" s="37">
        <f>IF(P87=0,"0 - acceptance only",IF(P87&lt;=3,"S",IF(P87&lt;=10,"M",IF(P87&lt;=25,"L","XL")))&amp;" ("&amp;P87&amp;")")</f>
        <v/>
      </c>
      <c r="R87" s="36" t="n"/>
      <c r="S87" s="36" t="inlineStr">
        <is>
          <t>Low</t>
        </is>
      </c>
      <c r="T87" s="37" t="inlineStr">
        <is>
          <t>For acceptance</t>
        </is>
      </c>
      <c r="U87" s="37" t="inlineStr">
        <is>
          <t>Head of Operations (Financial Transactions and Processing)</t>
        </is>
      </c>
      <c r="V87" s="37" t="inlineStr">
        <is>
          <t>OQ18</t>
        </is>
      </c>
      <c r="W87" s="37" t="inlineStr">
        <is>
          <t>FRS sign-off (Nov 2026)</t>
        </is>
      </c>
      <c r="X87" s="37" t="inlineStr">
        <is>
          <t>FRS BRD-2 chapter 12</t>
        </is>
      </c>
    </row>
    <row r="88">
      <c r="A88" s="35" t="inlineStr">
        <is>
          <t>CR-0084</t>
        </is>
      </c>
      <c r="B88" s="36" t="inlineStr">
        <is>
          <t>Drop 1</t>
        </is>
      </c>
      <c r="C88" s="36" t="inlineStr">
        <is>
          <t>BRD-02</t>
        </is>
      </c>
      <c r="D88" s="37" t="inlineStr">
        <is>
          <t>RMTID.014 (p.56-57)</t>
        </is>
      </c>
      <c r="E88" s="37" t="inlineStr">
        <is>
          <t>FR-OP (remittance extraction rules)</t>
        </is>
      </c>
      <c r="F88" s="37" t="inlineStr">
        <is>
          <t>Deferred pending BDOI answer</t>
        </is>
      </c>
      <c r="G88" s="37" t="inlineStr">
        <is>
          <t>Expected result: remit the DTIP balance; acceptance criteria: flag and exclude.</t>
        </is>
      </c>
      <c r="H88" s="37" t="inlineStr">
        <is>
          <t>Excluded by default (EXCLUDE); CAP remits the DTIP balance only. BDOI chooses the setting.</t>
        </is>
      </c>
      <c r="I88" s="37" t="inlineStr">
        <is>
          <t>OQ19 open; register priority item DCR-015.</t>
        </is>
      </c>
      <c r="J88" s="37" t="inlineStr">
        <is>
          <t>Remittance to insurers withheld or capped when the paid AR exceeds the DTIP balance.</t>
        </is>
      </c>
      <c r="K88" s="37" t="inlineStr">
        <is>
          <t>Operations (Remittance); Comptrollership</t>
        </is>
      </c>
      <c r="L88" s="36" t="n">
        <v>0</v>
      </c>
      <c r="M88" s="36" t="n">
        <v>0</v>
      </c>
      <c r="N88" s="36" t="n">
        <v>1</v>
      </c>
      <c r="O88" s="36" t="n">
        <v>0</v>
      </c>
      <c r="P88" s="38">
        <f>SUM(L88:O88)</f>
        <v/>
      </c>
      <c r="Q88" s="37">
        <f>IF(P88=0,"0 - acceptance only",IF(P88&lt;=3,"S",IF(P88&lt;=10,"M",IF(P88&lt;=25,"L","XL")))&amp;" ("&amp;P88&amp;")")</f>
        <v/>
      </c>
      <c r="R88" s="36" t="n"/>
      <c r="S88" s="36" t="inlineStr">
        <is>
          <t>High</t>
        </is>
      </c>
      <c r="T88" s="37" t="inlineStr">
        <is>
          <t>For CCB review</t>
        </is>
      </c>
      <c r="U88" s="37" t="inlineStr">
        <is>
          <t>Head of Operations (Financial Transactions and Processing)</t>
        </is>
      </c>
      <c r="V88" s="37" t="inlineStr">
        <is>
          <t>DCR-015; OQ19</t>
        </is>
      </c>
      <c r="W88" s="37" t="inlineStr">
        <is>
          <t>FRS sign-off (Nov 2026)</t>
        </is>
      </c>
      <c r="X88" s="37" t="inlineStr">
        <is>
          <t>FRS BRD-2 chapter 12; register priority list</t>
        </is>
      </c>
    </row>
    <row r="89">
      <c r="A89" s="35" t="inlineStr">
        <is>
          <t>CR-0085</t>
        </is>
      </c>
      <c r="B89" s="36" t="inlineStr">
        <is>
          <t>Drop 1</t>
        </is>
      </c>
      <c r="C89" s="36" t="inlineStr">
        <is>
          <t>BRD-02</t>
        </is>
      </c>
      <c r="D89" s="37" t="inlineStr">
        <is>
          <t>RMTID.016 (p.57-58)</t>
        </is>
      </c>
      <c r="E89" s="37" t="inlineStr">
        <is>
          <t>FR-OP (OR comparison)</t>
        </is>
      </c>
      <c r="F89" s="37" t="inlineStr">
        <is>
          <t>Deferred pending BDOI answer</t>
        </is>
      </c>
      <c r="G89" s="37" t="inlineStr">
        <is>
          <t>Compare the insurer OR amount with the paid PR.</t>
        </is>
      </c>
      <c r="H89" s="37" t="inlineStr">
        <is>
          <t>Exact comparison per invoice; no tolerance until BDOI gives one.</t>
        </is>
      </c>
      <c r="I89" s="37" t="inlineStr">
        <is>
          <t>OQ22 open.</t>
        </is>
      </c>
      <c r="J89" s="37" t="inlineStr">
        <is>
          <t>Small differences are flagged for manual review.</t>
        </is>
      </c>
      <c r="K89" s="37" t="inlineStr">
        <is>
          <t>Operations (Remittance)</t>
        </is>
      </c>
      <c r="L89" s="36" t="n">
        <v>0</v>
      </c>
      <c r="M89" s="36" t="n">
        <v>1</v>
      </c>
      <c r="N89" s="36" t="n">
        <v>1</v>
      </c>
      <c r="O89" s="36" t="n">
        <v>0</v>
      </c>
      <c r="P89" s="38">
        <f>SUM(L89:O89)</f>
        <v/>
      </c>
      <c r="Q89" s="37">
        <f>IF(P89=0,"0 - acceptance only",IF(P89&lt;=3,"S",IF(P89&lt;=10,"M",IF(P89&lt;=25,"L","XL")))&amp;" ("&amp;P89&amp;")")</f>
        <v/>
      </c>
      <c r="R89" s="36" t="n"/>
      <c r="S89" s="36" t="inlineStr">
        <is>
          <t>Low</t>
        </is>
      </c>
      <c r="T89" s="37" t="inlineStr">
        <is>
          <t>Draft</t>
        </is>
      </c>
      <c r="U89" s="37" t="inlineStr">
        <is>
          <t>Head of Operations (Financial Transactions and Processing)</t>
        </is>
      </c>
      <c r="V89" s="37" t="inlineStr">
        <is>
          <t>OQ22</t>
        </is>
      </c>
      <c r="W89" s="37" t="inlineStr">
        <is>
          <t>After BDOI answer (slot set by the CCB)</t>
        </is>
      </c>
      <c r="X89" s="37" t="inlineStr">
        <is>
          <t>FRS BRD-2 chapter 12</t>
        </is>
      </c>
    </row>
    <row r="90">
      <c r="A90" s="35" t="inlineStr">
        <is>
          <t>CR-0086</t>
        </is>
      </c>
      <c r="B90" s="36" t="inlineStr">
        <is>
          <t>Drop 1</t>
        </is>
      </c>
      <c r="C90" s="36" t="inlineStr">
        <is>
          <t>BRD-02</t>
        </is>
      </c>
      <c r="D90" s="37" t="inlineStr">
        <is>
          <t>RMTID.017 (p.58-59); RMTID.019 (p.59-60)</t>
        </is>
      </c>
      <c r="E90" s="37" t="inlineStr">
        <is>
          <t>FR-OP (remittance eligibility, statuses)</t>
        </is>
      </c>
      <c r="F90" s="37" t="inlineStr">
        <is>
          <t>Behaviour differs from BRD</t>
        </is>
      </c>
      <c r="G90" s="37" t="inlineStr">
        <is>
          <t>Checks at least 3 banking days old and cleared; eight statuses that mix payment and remittance states.</t>
        </is>
      </c>
      <c r="H90" s="37" t="inlineStr">
        <is>
          <t>Banking days counted from the last applied value date on the BDOI banking-day calendar, cleared status from the payment application; the invoice keeps a payment status and a remittance status, and the batch has its own stages.</t>
        </is>
      </c>
      <c r="I90" s="37" t="inlineStr">
        <is>
          <t>OQ20, OQ21.</t>
        </is>
      </c>
      <c r="J90" s="37" t="inlineStr">
        <is>
          <t>Status reports show two statuses per invoice.</t>
        </is>
      </c>
      <c r="K90" s="37" t="inlineStr">
        <is>
          <t>Operations</t>
        </is>
      </c>
      <c r="L90" s="36" t="n">
        <v>0</v>
      </c>
      <c r="M90" s="36" t="n">
        <v>0</v>
      </c>
      <c r="N90" s="36" t="n">
        <v>0</v>
      </c>
      <c r="O90" s="36" t="n">
        <v>0</v>
      </c>
      <c r="P90" s="38">
        <f>SUM(L90:O90)</f>
        <v/>
      </c>
      <c r="Q90" s="37">
        <f>IF(P90=0,"0 - acceptance only",IF(P90&lt;=3,"S",IF(P90&lt;=10,"M",IF(P90&lt;=25,"L","XL")))&amp;" ("&amp;P90&amp;")")</f>
        <v/>
      </c>
      <c r="R90" s="36" t="n"/>
      <c r="S90" s="36" t="inlineStr">
        <is>
          <t>Low</t>
        </is>
      </c>
      <c r="T90" s="37" t="inlineStr">
        <is>
          <t>For acceptance</t>
        </is>
      </c>
      <c r="U90" s="37" t="inlineStr">
        <is>
          <t>Head of Operations (Financial Transactions and Processing)</t>
        </is>
      </c>
      <c r="V90" s="37" t="inlineStr">
        <is>
          <t>OQ20; OQ21</t>
        </is>
      </c>
      <c r="W90" s="37" t="inlineStr">
        <is>
          <t>FRS sign-off (Nov 2026)</t>
        </is>
      </c>
      <c r="X90" s="37" t="inlineStr">
        <is>
          <t>FRS BRD-2 chapter 12</t>
        </is>
      </c>
    </row>
    <row r="91">
      <c r="A91" s="35" t="inlineStr">
        <is>
          <t>CR-0087</t>
        </is>
      </c>
      <c r="B91" s="36" t="inlineStr">
        <is>
          <t>Drop 1</t>
        </is>
      </c>
      <c r="C91" s="36" t="inlineStr">
        <is>
          <t>BRD-02</t>
        </is>
      </c>
      <c r="D91" s="37" t="inlineStr">
        <is>
          <t>PRCID.002 (p.79); PRCID.030 (p.85)</t>
        </is>
      </c>
      <c r="E91" s="37" t="inlineStr">
        <is>
          <t>FR-OP-070 to FR-OP-074</t>
        </is>
      </c>
      <c r="F91" s="37" t="inlineStr">
        <is>
          <t>Scope addition — beyond BRD</t>
        </is>
      </c>
      <c r="G91" s="37" t="inlineStr">
        <is>
          <t>Only the Remarks column is editable; four reconciliation statuses.</t>
        </is>
      </c>
      <c r="H91" s="37" t="inlineStr">
        <is>
          <t>Remarks and Incentive columns and 200 blank rows are editable so the insurer can add unbooked production; a fifth status BDOI_ONLY marks booked accounts the insurer did not return.</t>
        </is>
      </c>
      <c r="I91" s="37" t="inlineStr">
        <is>
          <t>PRCID.022; analysis R6 5.1.</t>
        </is>
      </c>
      <c r="J91" s="37" t="inlineStr">
        <is>
          <t>Unbooked production is captured in the same file.</t>
        </is>
      </c>
      <c r="K91" s="37" t="inlineStr">
        <is>
          <t>Operations (Production Reconciliation)</t>
        </is>
      </c>
      <c r="L91" s="36" t="n">
        <v>0</v>
      </c>
      <c r="M91" s="36" t="n">
        <v>0</v>
      </c>
      <c r="N91" s="36" t="n">
        <v>0</v>
      </c>
      <c r="O91" s="36" t="n">
        <v>0</v>
      </c>
      <c r="P91" s="38">
        <f>SUM(L91:O91)</f>
        <v/>
      </c>
      <c r="Q91" s="37">
        <f>IF(P91=0,"0 - acceptance only",IF(P91&lt;=3,"S",IF(P91&lt;=10,"M",IF(P91&lt;=25,"L","XL")))&amp;" ("&amp;P91&amp;")")</f>
        <v/>
      </c>
      <c r="R91" s="36" t="n"/>
      <c r="S91" s="36" t="inlineStr">
        <is>
          <t>Low</t>
        </is>
      </c>
      <c r="T91" s="37" t="inlineStr">
        <is>
          <t>For acceptance</t>
        </is>
      </c>
      <c r="U91" s="37" t="inlineStr">
        <is>
          <t>Head of Operations (Financial Transactions and Processing)</t>
        </is>
      </c>
      <c r="V91" s="37" t="inlineStr">
        <is>
          <t>PRCID.022</t>
        </is>
      </c>
      <c r="W91" s="37" t="inlineStr">
        <is>
          <t>FRS sign-off (Nov 2026)</t>
        </is>
      </c>
      <c r="X91" s="37" t="inlineStr">
        <is>
          <t>FRS BRD-2 chapter 12</t>
        </is>
      </c>
    </row>
    <row r="92">
      <c r="A92" s="35" t="inlineStr">
        <is>
          <t>CR-0088</t>
        </is>
      </c>
      <c r="B92" s="36" t="inlineStr">
        <is>
          <t>Drop 2</t>
        </is>
      </c>
      <c r="C92" s="36" t="inlineStr">
        <is>
          <t>BRD-02</t>
        </is>
      </c>
      <c r="D92" s="37" t="inlineStr">
        <is>
          <t>PRCID.014, PRCID.021 (p.82); Annex IV #5</t>
        </is>
      </c>
      <c r="E92" s="37" t="inlineStr">
        <is>
          <t>FR-OP-070 to FR-OP-074</t>
        </is>
      </c>
      <c r="F92" s="37" t="inlineStr">
        <is>
          <t>Scope reduction / descoped</t>
        </is>
      </c>
      <c r="G92" s="37" t="inlineStr">
        <is>
          <t>Filter by BDOI location; Sum Insured on the production register.</t>
        </is>
      </c>
      <c r="H92" s="37" t="inlineStr">
        <is>
          <t>Items filter by AO, sales unit, segment and product line; the location filter is on the reports only. Sum Insured is left out: the invoice ledger does not hold it.</t>
        </is>
      </c>
      <c r="I92" s="37" t="inlineStr">
        <is>
          <t>Data not held in the invoice ledger.</t>
        </is>
      </c>
      <c r="J92" s="37" t="inlineStr">
        <is>
          <t>Sum Insured read from the account when needed.</t>
        </is>
      </c>
      <c r="K92" s="37" t="inlineStr">
        <is>
          <t>Operations (Production Reconciliation)</t>
        </is>
      </c>
      <c r="L92" s="36" t="n">
        <v>0</v>
      </c>
      <c r="M92" s="36" t="n">
        <v>0</v>
      </c>
      <c r="N92" s="36" t="n">
        <v>0</v>
      </c>
      <c r="O92" s="36" t="n">
        <v>0</v>
      </c>
      <c r="P92" s="38">
        <f>SUM(L92:O92)</f>
        <v/>
      </c>
      <c r="Q92" s="37">
        <f>IF(P92=0,"0 - acceptance only",IF(P92&lt;=3,"S",IF(P92&lt;=10,"M",IF(P92&lt;=25,"L","XL")))&amp;" ("&amp;P92&amp;")")</f>
        <v/>
      </c>
      <c r="R92" s="36" t="n">
        <v>4</v>
      </c>
      <c r="S92" s="36" t="inlineStr">
        <is>
          <t>Low</t>
        </is>
      </c>
      <c r="T92" s="37" t="inlineStr">
        <is>
          <t>For acceptance</t>
        </is>
      </c>
      <c r="U92" s="37" t="inlineStr">
        <is>
          <t>Head of Operations (Financial Transactions and Processing)</t>
        </is>
      </c>
      <c r="V92" s="37" t="inlineStr">
        <is>
          <t>-</t>
        </is>
      </c>
      <c r="W92" s="37" t="inlineStr">
        <is>
          <t>FRS sign-off (Nov 2026)</t>
        </is>
      </c>
      <c r="X92" s="37" t="inlineStr">
        <is>
          <t>FRS BRD-2 chapter 12</t>
        </is>
      </c>
    </row>
    <row r="93">
      <c r="A93" s="35" t="inlineStr">
        <is>
          <t>CR-0089</t>
        </is>
      </c>
      <c r="B93" s="36" t="inlineStr">
        <is>
          <t>Drop 1</t>
        </is>
      </c>
      <c r="C93" s="36" t="inlineStr">
        <is>
          <t>BRD-02</t>
        </is>
      </c>
      <c r="D93" s="37" t="inlineStr">
        <is>
          <t>ADJID.001 (p.89); ADJID.008 (p.92-93)</t>
        </is>
      </c>
      <c r="E93" s="37" t="inlineStr">
        <is>
          <t>FR-OP-050 to FR-OP-055</t>
        </is>
      </c>
      <c r="F93" s="37" t="inlineStr">
        <is>
          <t>Behaviour differs from BRD</t>
        </is>
      </c>
      <c r="G93" s="37" t="inlineStr">
        <is>
          <t>Multiple accounts in one transaction; prompt the AO to prepare a quotation.</t>
        </is>
      </c>
      <c r="H93" s="37" t="inlineStr">
        <is>
          <t>One request per invoice; the wizard and the upload raise several requests at once. A hand-off to Marketing; the quotation number is linked on the request by reference.</t>
        </is>
      </c>
      <c r="I93" s="37" t="inlineStr">
        <is>
          <t>Analysis R6 4.1.</t>
        </is>
      </c>
      <c r="J93" s="37" t="inlineStr">
        <is>
          <t>Approvals are per invoice.</t>
        </is>
      </c>
      <c r="K93" s="37" t="inlineStr">
        <is>
          <t>Operations (Adjustment); Marketing</t>
        </is>
      </c>
      <c r="L93" s="36" t="n">
        <v>0</v>
      </c>
      <c r="M93" s="36" t="n">
        <v>0</v>
      </c>
      <c r="N93" s="36" t="n">
        <v>0</v>
      </c>
      <c r="O93" s="36" t="n">
        <v>0</v>
      </c>
      <c r="P93" s="38">
        <f>SUM(L93:O93)</f>
        <v/>
      </c>
      <c r="Q93" s="37">
        <f>IF(P93=0,"0 - acceptance only",IF(P93&lt;=3,"S",IF(P93&lt;=10,"M",IF(P93&lt;=25,"L","XL")))&amp;" ("&amp;P93&amp;")")</f>
        <v/>
      </c>
      <c r="R93" s="36" t="n"/>
      <c r="S93" s="36" t="inlineStr">
        <is>
          <t>Low</t>
        </is>
      </c>
      <c r="T93" s="37" t="inlineStr">
        <is>
          <t>For acceptance</t>
        </is>
      </c>
      <c r="U93" s="37" t="inlineStr">
        <is>
          <t>Head of Operations (Financial Transactions and Processing)</t>
        </is>
      </c>
      <c r="V93" s="37" t="inlineStr">
        <is>
          <t>-</t>
        </is>
      </c>
      <c r="W93" s="37" t="inlineStr">
        <is>
          <t>FRS sign-off (Nov 2026)</t>
        </is>
      </c>
      <c r="X93" s="37" t="inlineStr">
        <is>
          <t>FRS BRD-2 chapter 12</t>
        </is>
      </c>
    </row>
    <row r="94">
      <c r="A94" s="35" t="inlineStr">
        <is>
          <t>CR-0090</t>
        </is>
      </c>
      <c r="B94" s="36" t="inlineStr">
        <is>
          <t>Drop 1</t>
        </is>
      </c>
      <c r="C94" s="36" t="inlineStr">
        <is>
          <t>BRD-02</t>
        </is>
      </c>
      <c r="D94" s="37" t="inlineStr">
        <is>
          <t>ADJID.003 (p.90)</t>
        </is>
      </c>
      <c r="E94" s="37" t="inlineStr">
        <is>
          <t>FR-OP-052</t>
        </is>
      </c>
      <c r="F94" s="37" t="inlineStr">
        <is>
          <t>Behaviour differs from BRD</t>
        </is>
      </c>
      <c r="G94" s="37" t="inlineStr">
        <is>
          <t>Marketing updates the account through a non-financial endorsement.</t>
        </is>
      </c>
      <c r="H94" s="37" t="inlineStr">
        <is>
          <t>Booking records the non-financial endorsement with its description; the account data are not changed.</t>
        </is>
      </c>
      <c r="I94" s="37" t="inlineStr">
        <is>
          <t>OQ32 open (endorsement ownership).</t>
        </is>
      </c>
      <c r="J94" s="37" t="inlineStr">
        <is>
          <t>Account fields are corrected through the account workflow.</t>
        </is>
      </c>
      <c r="K94" s="37" t="inlineStr">
        <is>
          <t>Marketing; Operations</t>
        </is>
      </c>
      <c r="L94" s="36" t="n">
        <v>0</v>
      </c>
      <c r="M94" s="36" t="n">
        <v>0</v>
      </c>
      <c r="N94" s="36" t="n">
        <v>0</v>
      </c>
      <c r="O94" s="36" t="n">
        <v>0</v>
      </c>
      <c r="P94" s="38">
        <f>SUM(L94:O94)</f>
        <v/>
      </c>
      <c r="Q94" s="37">
        <f>IF(P94=0,"0 - acceptance only",IF(P94&lt;=3,"S",IF(P94&lt;=10,"M",IF(P94&lt;=25,"L","XL")))&amp;" ("&amp;P94&amp;")")</f>
        <v/>
      </c>
      <c r="R94" s="36" t="n">
        <v>8</v>
      </c>
      <c r="S94" s="36" t="inlineStr">
        <is>
          <t>Medium</t>
        </is>
      </c>
      <c r="T94" s="37" t="inlineStr">
        <is>
          <t>For acceptance</t>
        </is>
      </c>
      <c r="U94" s="37" t="inlineStr">
        <is>
          <t>Head of Operations (Financial Transactions and Processing)</t>
        </is>
      </c>
      <c r="V94" s="37" t="inlineStr">
        <is>
          <t>OQ32</t>
        </is>
      </c>
      <c r="W94" s="37" t="inlineStr">
        <is>
          <t>FRS sign-off (Nov 2026)</t>
        </is>
      </c>
      <c r="X94" s="37" t="inlineStr">
        <is>
          <t>FRS BRD-2 chapter 12</t>
        </is>
      </c>
    </row>
    <row r="95">
      <c r="A95" s="35" t="inlineStr">
        <is>
          <t>CR-0091</t>
        </is>
      </c>
      <c r="B95" s="36" t="inlineStr">
        <is>
          <t>Drop 1</t>
        </is>
      </c>
      <c r="C95" s="36" t="inlineStr">
        <is>
          <t>BRD-02</t>
        </is>
      </c>
      <c r="D95" s="37" t="inlineStr">
        <is>
          <t>MKTID.012 (p.75-76)</t>
        </is>
      </c>
      <c r="E95" s="37" t="inlineStr">
        <is>
          <t>FR-OP (DP PR reversal)</t>
        </is>
      </c>
      <c r="F95" s="37" t="inlineStr">
        <is>
          <t>Behaviour differs from BRD</t>
        </is>
      </c>
      <c r="G95" s="37" t="inlineStr">
        <is>
          <t>Auto-reverse the DP premium receivable.</t>
        </is>
      </c>
      <c r="H95" s="37" t="inlineStr">
        <is>
          <t>The ledger reversal is always recorded; its GL entry is off because booking posts no PR for DP invoices.</t>
        </is>
      </c>
      <c r="I95" s="37" t="inlineStr">
        <is>
          <t>OQ07 (chart and default entries).</t>
        </is>
      </c>
      <c r="J95" s="37" t="inlineStr">
        <is>
          <t>No GL entry for a PR that was never posted.</t>
        </is>
      </c>
      <c r="K95" s="37" t="inlineStr">
        <is>
          <t>Operations (Commission); Comptrollership</t>
        </is>
      </c>
      <c r="L95" s="36" t="n">
        <v>0</v>
      </c>
      <c r="M95" s="36" t="n">
        <v>0</v>
      </c>
      <c r="N95" s="36" t="n">
        <v>0</v>
      </c>
      <c r="O95" s="36" t="n">
        <v>0</v>
      </c>
      <c r="P95" s="38">
        <f>SUM(L95:O95)</f>
        <v/>
      </c>
      <c r="Q95" s="37">
        <f>IF(P95=0,"0 - acceptance only",IF(P95&lt;=3,"S",IF(P95&lt;=10,"M",IF(P95&lt;=25,"L","XL")))&amp;" ("&amp;P95&amp;")")</f>
        <v/>
      </c>
      <c r="R95" s="36" t="n"/>
      <c r="S95" s="36" t="inlineStr">
        <is>
          <t>Medium</t>
        </is>
      </c>
      <c r="T95" s="37" t="inlineStr">
        <is>
          <t>For acceptance</t>
        </is>
      </c>
      <c r="U95" s="37" t="inlineStr">
        <is>
          <t>Head of Operations (Financial Transactions and Processing)</t>
        </is>
      </c>
      <c r="V95" s="37" t="inlineStr">
        <is>
          <t>OQ07</t>
        </is>
      </c>
      <c r="W95" s="37" t="inlineStr">
        <is>
          <t>FRS sign-off (Nov 2026)</t>
        </is>
      </c>
      <c r="X95" s="37" t="inlineStr">
        <is>
          <t>FRS BRD-2 chapter 12</t>
        </is>
      </c>
    </row>
    <row r="96">
      <c r="A96" s="35" t="inlineStr">
        <is>
          <t>CR-0092</t>
        </is>
      </c>
      <c r="B96" s="36" t="inlineStr">
        <is>
          <t>Drop 1</t>
        </is>
      </c>
      <c r="C96" s="36" t="inlineStr">
        <is>
          <t>BRD-03</t>
        </is>
      </c>
      <c r="D96" s="37" t="inlineStr">
        <is>
          <t>PMADD07, PMADD08 (p.5-6); DIS 3.29.1, 3.29.2 (Add. p.7-9); CMRID.005, 006 (p.108-109); BRCLXN.061-064</t>
        </is>
      </c>
      <c r="E96" s="37" t="inlineStr">
        <is>
          <t>FR-PM-080; FR-OP-095; FR-DS (CPC2); FR-CL (incentives)</t>
        </is>
      </c>
      <c r="F96" s="37" t="inlineStr">
        <is>
          <t>BRD conflict resolved by decision</t>
        </is>
      </c>
      <c r="G96" s="37" t="inlineStr">
        <is>
          <t>Incentives are specified in four BRDs: criteria on the products matrix (BRD-3), CPC2 and early incentive (BRD-5), No Touch, Top Up and Motor Mania (BRD-2), incentive receivables (BRD-4 draft).</t>
        </is>
      </c>
      <c r="H96" s="37" t="inlineStr">
        <is>
          <t>Criteria kept once in Product Maintenance; CPC2 and early incentive computed in Remittance; schemes in Commission reference the criteria. Schemes stay inactive until BDOI gives targets, amounts and the CPC2 base and VAT treatment.</t>
        </is>
      </c>
      <c r="I96" s="37" t="inlineStr">
        <is>
          <t>DCR-037 proposal; OQ39, AQ24, PQ04, Q33 open.</t>
        </is>
      </c>
      <c r="J96" s="37" t="inlineStr">
        <is>
          <t>Incentive income not computed until the schemes are set up.</t>
        </is>
      </c>
      <c r="K96" s="37" t="inlineStr">
        <is>
          <t>MBS; Operations (Remittance, Commission); Comptrollership</t>
        </is>
      </c>
      <c r="L96" s="36" t="n">
        <v>2</v>
      </c>
      <c r="M96" s="36" t="n">
        <v>2</v>
      </c>
      <c r="N96" s="36" t="n">
        <v>3</v>
      </c>
      <c r="O96" s="36" t="n">
        <v>1</v>
      </c>
      <c r="P96" s="38">
        <f>SUM(L96:O96)</f>
        <v/>
      </c>
      <c r="Q96" s="37">
        <f>IF(P96=0,"0 - acceptance only",IF(P96&lt;=3,"S",IF(P96&lt;=10,"M",IF(P96&lt;=25,"L","XL")))&amp;" ("&amp;P96&amp;")")</f>
        <v/>
      </c>
      <c r="R96" s="36" t="n"/>
      <c r="S96" s="36" t="inlineStr">
        <is>
          <t>High</t>
        </is>
      </c>
      <c r="T96" s="37" t="inlineStr">
        <is>
          <t>For CCB review</t>
        </is>
      </c>
      <c r="U96" s="37" t="inlineStr">
        <is>
          <t>Head, Marketing Business Services (MBS) with the TSU Head</t>
        </is>
      </c>
      <c r="V96" s="37" t="inlineStr">
        <is>
          <t>DCR-037; OQ39; AQ24; PQ04; Q33</t>
        </is>
      </c>
      <c r="W96" s="37" t="inlineStr">
        <is>
          <t>After BDOI answer (slot set by the CCB)</t>
        </is>
      </c>
      <c r="X96" s="37" t="inlineStr">
        <is>
          <t>Register DCR-037; FRS BRD-2 chapter 12; FRS BRD-5 Vol.2 chapter 12</t>
        </is>
      </c>
    </row>
    <row r="97">
      <c r="A97" s="35" t="inlineStr">
        <is>
          <t>CR-0093</t>
        </is>
      </c>
      <c r="B97" s="36" t="inlineStr">
        <is>
          <t>Drop 1</t>
        </is>
      </c>
      <c r="C97" s="36" t="inlineStr">
        <is>
          <t>BRD-02</t>
        </is>
      </c>
      <c r="D97" s="37" t="inlineStr">
        <is>
          <t>BRQID.004 (p.18); CSHID.009; MKTID.010, 013; CMRID.001; DBMID.001 (p.46); RMTID.034; MKTID.009 (p.74)</t>
        </is>
      </c>
      <c r="E97" s="37" t="inlineStr">
        <is>
          <t>FR-OP-130 to FR-OP-132</t>
        </is>
      </c>
      <c r="F97" s="37" t="inlineStr">
        <is>
          <t>BRD conflict resolved by decision</t>
        </is>
      </c>
      <c r="G97" s="37" t="inlineStr">
        <is>
          <t>Operations integrates with Collection, Accounting, Disbursement, Marketing and Claims as other systems.</t>
        </is>
      </c>
      <c r="H97" s="37" t="inlineStr">
        <is>
          <t>Collections, Disbursement, FRBS and Claims are BIBS modules; Operations uses in-app ports. The claims condition of a special remittance is confirmed through the Claims feed.</t>
        </is>
      </c>
      <c r="I97" s="37" t="inlineStr">
        <is>
          <t>DCR-022 answered by BRD-4, BRD-5 and BRD-7.</t>
        </is>
      </c>
      <c r="J97" s="37" t="inlineStr">
        <is>
          <t>No file interfaces between these functions.</t>
        </is>
      </c>
      <c r="K97" s="37" t="inlineStr">
        <is>
          <t>Operations; Collections; Comptrollership; Claims</t>
        </is>
      </c>
      <c r="L97" s="36" t="n">
        <v>0</v>
      </c>
      <c r="M97" s="36" t="n">
        <v>0</v>
      </c>
      <c r="N97" s="36" t="n">
        <v>0</v>
      </c>
      <c r="O97" s="36" t="n">
        <v>0</v>
      </c>
      <c r="P97" s="38">
        <f>SUM(L97:O97)</f>
        <v/>
      </c>
      <c r="Q97" s="37">
        <f>IF(P97=0,"0 - acceptance only",IF(P97&lt;=3,"S",IF(P97&lt;=10,"M",IF(P97&lt;=25,"L","XL")))&amp;" ("&amp;P97&amp;")")</f>
        <v/>
      </c>
      <c r="R97" s="36" t="n"/>
      <c r="S97" s="36" t="inlineStr">
        <is>
          <t>Medium</t>
        </is>
      </c>
      <c r="T97" s="37" t="inlineStr">
        <is>
          <t>For acceptance</t>
        </is>
      </c>
      <c r="U97" s="37" t="inlineStr">
        <is>
          <t>Head of Operations (Financial Transactions and Processing)</t>
        </is>
      </c>
      <c r="V97" s="37" t="inlineStr">
        <is>
          <t>DCR-022; OQ01; OQ02; OQ45; OQ46</t>
        </is>
      </c>
      <c r="W97" s="37" t="inlineStr">
        <is>
          <t>FRS sign-off (Nov 2026)</t>
        </is>
      </c>
      <c r="X97" s="37" t="inlineStr">
        <is>
          <t>FRS BRD-2 chapter 12; register DCR-022</t>
        </is>
      </c>
    </row>
    <row r="98">
      <c r="A98" s="35" t="inlineStr">
        <is>
          <t>CR-0094</t>
        </is>
      </c>
      <c r="B98" s="36" t="inlineStr">
        <is>
          <t>Drop 1</t>
        </is>
      </c>
      <c r="C98" s="36" t="inlineStr">
        <is>
          <t>BRD-02</t>
        </is>
      </c>
      <c r="D98" s="37" t="inlineStr">
        <is>
          <t>BRNB.067 (p.114-115), 068 (p.115), 076 (p.118), 081 (p.120), 094 (p.5-6), 114 (p.17); CSHID.008 (p.29-32); ADJID.001 (p.89), 003 (p.90), 011 (p.94)</t>
        </is>
      </c>
      <c r="E98" s="37" t="inlineStr">
        <is>
          <t>FR-NB-090, FR-NB-116; FR-OP-015; FR-OP-050</t>
        </is>
      </c>
      <c r="F98" s="37" t="inlineStr">
        <is>
          <t>BRD conflict resolved by decision</t>
        </is>
      </c>
      <c r="G98" s="37" t="inlineStr">
        <is>
          <t>The same functions are specified in BRD-1 and BRD-2: CLPC payment matching, endorsements and cancellation, DP tagging.</t>
        </is>
      </c>
      <c r="H98" s="37" t="inlineStr">
        <is>
          <t>Cashiering is the single payment intake and placement reads its result; Adjustment owns endorsements and cancellations after booking; Marketing raises the request.</t>
        </is>
      </c>
      <c r="I98" s="37" t="inlineStr">
        <is>
          <t>Conflict between BRDs resolved by proposal.</t>
        </is>
      </c>
      <c r="J98" s="37" t="inlineStr">
        <is>
          <t>One place for each function.</t>
        </is>
      </c>
      <c r="K98" s="37" t="inlineStr">
        <is>
          <t>Marketing; Processing; Operations</t>
        </is>
      </c>
      <c r="L98" s="36" t="n">
        <v>0</v>
      </c>
      <c r="M98" s="36" t="n">
        <v>0</v>
      </c>
      <c r="N98" s="36" t="n">
        <v>0</v>
      </c>
      <c r="O98" s="36" t="n">
        <v>0</v>
      </c>
      <c r="P98" s="38">
        <f>SUM(L98:O98)</f>
        <v/>
      </c>
      <c r="Q98" s="37">
        <f>IF(P98=0,"0 - acceptance only",IF(P98&lt;=3,"S",IF(P98&lt;=10,"M",IF(P98&lt;=25,"L","XL")))&amp;" ("&amp;P98&amp;")")</f>
        <v/>
      </c>
      <c r="R98" s="36" t="n"/>
      <c r="S98" s="36" t="inlineStr">
        <is>
          <t>High</t>
        </is>
      </c>
      <c r="T98" s="37" t="inlineStr">
        <is>
          <t>For acceptance</t>
        </is>
      </c>
      <c r="U98" s="37" t="inlineStr">
        <is>
          <t>Head of Operations (Financial Transactions and Processing)</t>
        </is>
      </c>
      <c r="V98" s="37" t="inlineStr">
        <is>
          <t>DCR-027</t>
        </is>
      </c>
      <c r="W98" s="37" t="inlineStr">
        <is>
          <t>FRS sign-off (Nov 2026)</t>
        </is>
      </c>
      <c r="X98" s="37" t="inlineStr">
        <is>
          <t>Register DCR-027</t>
        </is>
      </c>
    </row>
    <row r="99">
      <c r="A99" s="35" t="inlineStr">
        <is>
          <t>CR-0095</t>
        </is>
      </c>
      <c r="B99" s="36" t="inlineStr">
        <is>
          <t>Drop 0</t>
        </is>
      </c>
      <c r="C99" s="36" t="inlineStr">
        <is>
          <t>BRD-03</t>
        </is>
      </c>
      <c r="D99" s="37" t="inlineStr">
        <is>
          <t>BRD revision log of 27-Oct-2025 (p.11); April 2026 addendum</t>
        </is>
      </c>
      <c r="E99" s="37" t="inlineStr">
        <is>
          <t>FRS BRD-3 section 1.2 (out of scope)</t>
        </is>
      </c>
      <c r="F99" s="37" t="inlineStr">
        <is>
          <t>Scope reduction / descoped</t>
        </is>
      </c>
      <c r="G99" s="37" t="inlineStr">
        <is>
          <t>Maintenance of non-package products.</t>
        </is>
      </c>
      <c r="H99" s="37" t="inlineStr">
        <is>
          <t>Out of this phase: the revision log moved it to an addendum and the April 2026 addendum does not add it.</t>
        </is>
      </c>
      <c r="I99" s="37" t="inlineStr">
        <is>
          <t>PQ19 open.</t>
        </is>
      </c>
      <c r="J99" s="37" t="inlineStr">
        <is>
          <t>Non-package products keep today's set-up in the catalog without the package request workflow.</t>
        </is>
      </c>
      <c r="K99" s="37" t="inlineStr">
        <is>
          <t>MBS; TSU</t>
        </is>
      </c>
      <c r="L99" s="36" t="n">
        <v>0</v>
      </c>
      <c r="M99" s="36" t="n">
        <v>0</v>
      </c>
      <c r="N99" s="36" t="n">
        <v>0</v>
      </c>
      <c r="O99" s="36" t="n">
        <v>1</v>
      </c>
      <c r="P99" s="38">
        <f>SUM(L99:O99)</f>
        <v/>
      </c>
      <c r="Q99" s="37">
        <f>IF(P99=0,"0 - acceptance only",IF(P99&lt;=3,"S",IF(P99&lt;=10,"M",IF(P99&lt;=25,"L","XL")))&amp;" ("&amp;P99&amp;")")</f>
        <v/>
      </c>
      <c r="R99" s="36" t="n">
        <v>15</v>
      </c>
      <c r="S99" s="36" t="inlineStr">
        <is>
          <t>Medium</t>
        </is>
      </c>
      <c r="T99" s="37" t="inlineStr">
        <is>
          <t>For CCB review</t>
        </is>
      </c>
      <c r="U99" s="37" t="inlineStr">
        <is>
          <t>Head, Marketing Business Services (MBS) with the TSU Head</t>
        </is>
      </c>
      <c r="V99" s="37" t="inlineStr">
        <is>
          <t>PQ19</t>
        </is>
      </c>
      <c r="W99" s="37" t="inlineStr">
        <is>
          <t>FRS sign-off (Nov 2026)</t>
        </is>
      </c>
      <c r="X99" s="37" t="inlineStr">
        <is>
          <t>FRS BRD-3 section 1.2</t>
        </is>
      </c>
    </row>
    <row r="100">
      <c r="A100" s="35" t="inlineStr">
        <is>
          <t>CR-0096</t>
        </is>
      </c>
      <c r="B100" s="36" t="inlineStr">
        <is>
          <t>Drop 0</t>
        </is>
      </c>
      <c r="C100" s="36" t="inlineStr">
        <is>
          <t>BRD-03</t>
        </is>
      </c>
      <c r="D100" s="37" t="inlineStr">
        <is>
          <t>BRPM.022 (p.31)</t>
        </is>
      </c>
      <c r="E100" s="37" t="inlineStr">
        <is>
          <t>FR-PM-081; FR-CR-063</t>
        </is>
      </c>
      <c r="F100" s="37" t="inlineStr">
        <is>
          <t>Integration dependency</t>
        </is>
      </c>
      <c r="G100" s="37" t="inlineStr">
        <is>
          <t>Product master changes synchronised with BDOI tracking systems and repositories.</t>
        </is>
      </c>
      <c r="H100" s="37" t="inlineStr">
        <is>
          <t>Each change of the product master is logged; transfer to other BDOI systems waits for PQ16.</t>
        </is>
      </c>
      <c r="I100" s="37" t="inlineStr">
        <is>
          <t>PQ16 open.</t>
        </is>
      </c>
      <c r="J100" s="37" t="inlineStr">
        <is>
          <t>Other systems do not receive product changes automatically.</t>
        </is>
      </c>
      <c r="K100" s="37" t="inlineStr">
        <is>
          <t>MBS; BDOI IT</t>
        </is>
      </c>
      <c r="L100" s="36" t="n">
        <v>1</v>
      </c>
      <c r="M100" s="36" t="n">
        <v>3</v>
      </c>
      <c r="N100" s="36" t="n">
        <v>2</v>
      </c>
      <c r="O100" s="36" t="n">
        <v>1</v>
      </c>
      <c r="P100" s="38">
        <f>SUM(L100:O100)</f>
        <v/>
      </c>
      <c r="Q100" s="37">
        <f>IF(P100=0,"0 - acceptance only",IF(P100&lt;=3,"S",IF(P100&lt;=10,"M",IF(P100&lt;=25,"L","XL")))&amp;" ("&amp;P100&amp;")")</f>
        <v/>
      </c>
      <c r="R100" s="36" t="n"/>
      <c r="S100" s="36" t="inlineStr">
        <is>
          <t>Low</t>
        </is>
      </c>
      <c r="T100" s="37" t="inlineStr">
        <is>
          <t>Draft</t>
        </is>
      </c>
      <c r="U100" s="37" t="inlineStr">
        <is>
          <t>BDOI IT (integration owner) with the BIBS Product Owner</t>
        </is>
      </c>
      <c r="V100" s="37" t="inlineStr">
        <is>
          <t>PQ16</t>
        </is>
      </c>
      <c r="W100" s="37" t="inlineStr">
        <is>
          <t>After BDOI answer (slot set by the CCB)</t>
        </is>
      </c>
      <c r="X100" s="37" t="inlineStr">
        <is>
          <t>FRS BRD-3 section 1.2 and interfaces</t>
        </is>
      </c>
    </row>
    <row r="101">
      <c r="A101" s="35" t="inlineStr">
        <is>
          <t>CR-0097</t>
        </is>
      </c>
      <c r="B101" s="36" t="inlineStr">
        <is>
          <t>Drop 0</t>
        </is>
      </c>
      <c r="C101" s="36" t="inlineStr">
        <is>
          <t>BRD-03</t>
        </is>
      </c>
      <c r="D101" s="37" t="inlineStr">
        <is>
          <t>PMADD07, PMADD08 (p.5-6)</t>
        </is>
      </c>
      <c r="E101" s="37" t="inlineStr">
        <is>
          <t>FR-PM-080</t>
        </is>
      </c>
      <c r="F101" s="37" t="inlineStr">
        <is>
          <t>Scope reduction / descoped</t>
        </is>
      </c>
      <c r="G101" s="37" t="inlineStr">
        <is>
          <t>Incentive criteria on the products matrix, "i.e. CPC2".</t>
        </is>
      </c>
      <c r="H101" s="37" t="inlineStr">
        <is>
          <t>Criteria only; computation and payout of incentives are out of BRD-3 (they run in Remittance and Commission, CR-0092).</t>
        </is>
      </c>
      <c r="I101" s="37" t="inlineStr">
        <is>
          <t>Q33.</t>
        </is>
      </c>
      <c r="J101" s="37" t="inlineStr">
        <is>
          <t>None beyond CR-0092.</t>
        </is>
      </c>
      <c r="K101" s="37" t="inlineStr">
        <is>
          <t>MBS</t>
        </is>
      </c>
      <c r="L101" s="36" t="n">
        <v>0</v>
      </c>
      <c r="M101" s="36" t="n">
        <v>0</v>
      </c>
      <c r="N101" s="36" t="n">
        <v>0</v>
      </c>
      <c r="O101" s="36" t="n">
        <v>0</v>
      </c>
      <c r="P101" s="38">
        <f>SUM(L101:O101)</f>
        <v/>
      </c>
      <c r="Q101" s="37">
        <f>IF(P101=0,"0 - acceptance only",IF(P101&lt;=3,"S",IF(P101&lt;=10,"M",IF(P101&lt;=25,"L","XL")))&amp;" ("&amp;P101&amp;")")</f>
        <v/>
      </c>
      <c r="R101" s="36" t="n"/>
      <c r="S101" s="36" t="inlineStr">
        <is>
          <t>Low</t>
        </is>
      </c>
      <c r="T101" s="37" t="inlineStr">
        <is>
          <t>For acceptance</t>
        </is>
      </c>
      <c r="U101" s="37" t="inlineStr">
        <is>
          <t>Head, Marketing Business Services (MBS) with the TSU Head</t>
        </is>
      </c>
      <c r="V101" s="37" t="inlineStr">
        <is>
          <t>Q33; DCR-037</t>
        </is>
      </c>
      <c r="W101" s="37" t="inlineStr">
        <is>
          <t>FRS sign-off (Nov 2026)</t>
        </is>
      </c>
      <c r="X101" s="37" t="inlineStr">
        <is>
          <t>FRS BRD-3 section 1.2</t>
        </is>
      </c>
    </row>
    <row r="102">
      <c r="A102" s="35" t="inlineStr">
        <is>
          <t>CR-0098</t>
        </is>
      </c>
      <c r="B102" s="36" t="inlineStr">
        <is>
          <t>Drop 1</t>
        </is>
      </c>
      <c r="C102" s="36" t="inlineStr">
        <is>
          <t>BRD-04</t>
        </is>
      </c>
      <c r="D102" s="37" t="inlineStr">
        <is>
          <t>BRCLXN.013-015 (p.27 / p.47)</t>
        </is>
      </c>
      <c r="E102" s="37" t="inlineStr">
        <is>
          <t>FR-CL (daily refresh)</t>
        </is>
      </c>
      <c r="F102" s="37" t="inlineStr">
        <is>
          <t>Behaviour differs from BRD</t>
        </is>
      </c>
      <c r="G102" s="37" t="inlineStr">
        <is>
          <t>Daily batch extracts all data from EBIX after the 22:00 EOD.</t>
        </is>
      </c>
      <c r="H102" s="37" t="inlineStr">
        <is>
          <t>EBIX is replaced by BIBS booking: the job reads the BIBS invoice ledger at 22:15 and the balance of a listed account is also refreshed after each payment.</t>
        </is>
      </c>
      <c r="I102" s="37" t="inlineStr">
        <is>
          <t>EBIX replaced by BIBS.</t>
        </is>
      </c>
      <c r="J102" s="37" t="inlineStr">
        <is>
          <t>Collectors see balances updated during the day.</t>
        </is>
      </c>
      <c r="K102" s="37" t="inlineStr">
        <is>
          <t>Collections</t>
        </is>
      </c>
      <c r="L102" s="36" t="n">
        <v>0</v>
      </c>
      <c r="M102" s="36" t="n">
        <v>0</v>
      </c>
      <c r="N102" s="36" t="n">
        <v>0</v>
      </c>
      <c r="O102" s="36" t="n">
        <v>0</v>
      </c>
      <c r="P102" s="38">
        <f>SUM(L102:O102)</f>
        <v/>
      </c>
      <c r="Q102" s="37">
        <f>IF(P102=0,"0 - acceptance only",IF(P102&lt;=3,"S",IF(P102&lt;=10,"M",IF(P102&lt;=25,"L","XL")))&amp;" ("&amp;P102&amp;")")</f>
        <v/>
      </c>
      <c r="R102" s="36" t="n"/>
      <c r="S102" s="36" t="inlineStr">
        <is>
          <t>Low</t>
        </is>
      </c>
      <c r="T102" s="37" t="inlineStr">
        <is>
          <t>For acceptance</t>
        </is>
      </c>
      <c r="U102" s="37" t="inlineStr">
        <is>
          <t>Head of BDOI Operations (Collections)</t>
        </is>
      </c>
      <c r="V102" s="37" t="inlineStr">
        <is>
          <t>CQ07</t>
        </is>
      </c>
      <c r="W102" s="37" t="inlineStr">
        <is>
          <t>FRS sign-off (Nov 2026)</t>
        </is>
      </c>
      <c r="X102" s="37" t="inlineStr">
        <is>
          <t>FRS BRD-4 chapter 12</t>
        </is>
      </c>
    </row>
    <row r="103">
      <c r="A103" s="35" t="inlineStr">
        <is>
          <t>CR-0099</t>
        </is>
      </c>
      <c r="B103" s="36" t="inlineStr">
        <is>
          <t>Drop 1</t>
        </is>
      </c>
      <c r="C103" s="36" t="inlineStr">
        <is>
          <t>BRD-04</t>
        </is>
      </c>
      <c r="D103" s="37" t="inlineStr">
        <is>
          <t>BRCLXN.010 (p.27 / p.47); BRCLXN.011 (p.27)</t>
        </is>
      </c>
      <c r="E103" s="37" t="inlineStr">
        <is>
          <t>FR-CL (worklist rules)</t>
        </is>
      </c>
      <c r="F103" s="37" t="inlineStr">
        <is>
          <t>Behaviour differs from BRD</t>
        </is>
      </c>
      <c r="G103" s="37" t="inlineStr">
        <is>
          <t>Exclude negative balances of transaction type C; filter by Unit Head.</t>
        </is>
      </c>
      <c r="H103" s="37" t="inlineStr">
        <is>
          <t>Negatives of cancellations and return invoices are never listed; other negatives are kept on a Credit Balances tab. The Unit Head is the head of the invoice's sales unit, maintained on Collections Setup.</t>
        </is>
      </c>
      <c r="I103" s="37" t="inlineStr">
        <is>
          <t>CQ04, CQ05.</t>
        </is>
      </c>
      <c r="J103" s="37" t="inlineStr">
        <is>
          <t>Credit balances are visible for follow-up.</t>
        </is>
      </c>
      <c r="K103" s="37" t="inlineStr">
        <is>
          <t>Collections</t>
        </is>
      </c>
      <c r="L103" s="36" t="n">
        <v>0</v>
      </c>
      <c r="M103" s="36" t="n">
        <v>0</v>
      </c>
      <c r="N103" s="36" t="n">
        <v>0</v>
      </c>
      <c r="O103" s="36" t="n">
        <v>0</v>
      </c>
      <c r="P103" s="38">
        <f>SUM(L103:O103)</f>
        <v/>
      </c>
      <c r="Q103" s="37">
        <f>IF(P103=0,"0 - acceptance only",IF(P103&lt;=3,"S",IF(P103&lt;=10,"M",IF(P103&lt;=25,"L","XL")))&amp;" ("&amp;P103&amp;")")</f>
        <v/>
      </c>
      <c r="R103" s="36" t="n"/>
      <c r="S103" s="36" t="inlineStr">
        <is>
          <t>Low</t>
        </is>
      </c>
      <c r="T103" s="37" t="inlineStr">
        <is>
          <t>For acceptance</t>
        </is>
      </c>
      <c r="U103" s="37" t="inlineStr">
        <is>
          <t>Head of BDOI Operations (Collections)</t>
        </is>
      </c>
      <c r="V103" s="37" t="inlineStr">
        <is>
          <t>CQ04; CQ05</t>
        </is>
      </c>
      <c r="W103" s="37" t="inlineStr">
        <is>
          <t>FRS sign-off (Nov 2026)</t>
        </is>
      </c>
      <c r="X103" s="37" t="inlineStr">
        <is>
          <t>FRS BRD-4 chapter 12</t>
        </is>
      </c>
    </row>
    <row r="104">
      <c r="A104" s="35" t="inlineStr">
        <is>
          <t>CR-0100</t>
        </is>
      </c>
      <c r="B104" s="36" t="inlineStr">
        <is>
          <t>Drop 1</t>
        </is>
      </c>
      <c r="C104" s="36" t="inlineStr">
        <is>
          <t>BRD-04</t>
        </is>
      </c>
      <c r="D104" s="37" t="inlineStr">
        <is>
          <t>BRCLXN.012 (p.27 / p.47)</t>
        </is>
      </c>
      <c r="E104" s="37" t="inlineStr">
        <is>
          <t>FR-CL (data scope)</t>
        </is>
      </c>
      <c r="F104" s="37" t="inlineStr">
        <is>
          <t>Deferred pending BDOI answer</t>
        </is>
      </c>
      <c r="G104" s="37" t="inlineStr">
        <is>
          <t>Show only the accounts of the selected segment and Unit Head.</t>
        </is>
      </c>
      <c r="H104" s="37" t="inlineStr">
        <is>
          <t>Server-side filters; no default data scope per user: every CLX_VIEW user sees every account and filters.</t>
        </is>
      </c>
      <c r="I104" s="37" t="inlineStr">
        <is>
          <t>CQ06 open (CSF users see all accounts; other roles open).</t>
        </is>
      </c>
      <c r="J104" s="37" t="inlineStr">
        <is>
          <t>Collectors see accounts outside their segment.</t>
        </is>
      </c>
      <c r="K104" s="37" t="inlineStr">
        <is>
          <t>Collections; Compliance</t>
        </is>
      </c>
      <c r="L104" s="36" t="n">
        <v>1</v>
      </c>
      <c r="M104" s="36" t="n">
        <v>3</v>
      </c>
      <c r="N104" s="36" t="n">
        <v>2</v>
      </c>
      <c r="O104" s="36" t="n">
        <v>1</v>
      </c>
      <c r="P104" s="38">
        <f>SUM(L104:O104)</f>
        <v/>
      </c>
      <c r="Q104" s="37">
        <f>IF(P104=0,"0 - acceptance only",IF(P104&lt;=3,"S",IF(P104&lt;=10,"M",IF(P104&lt;=25,"L","XL")))&amp;" ("&amp;P104&amp;")")</f>
        <v/>
      </c>
      <c r="R104" s="36" t="n"/>
      <c r="S104" s="36" t="inlineStr">
        <is>
          <t>Medium</t>
        </is>
      </c>
      <c r="T104" s="37" t="inlineStr">
        <is>
          <t>Draft</t>
        </is>
      </c>
      <c r="U104" s="37" t="inlineStr">
        <is>
          <t>Head of BDOI Operations (Collections)</t>
        </is>
      </c>
      <c r="V104" s="37" t="inlineStr">
        <is>
          <t>CQ06</t>
        </is>
      </c>
      <c r="W104" s="37" t="inlineStr">
        <is>
          <t>After BDOI answer (slot set by the CCB)</t>
        </is>
      </c>
      <c r="X104" s="37" t="inlineStr">
        <is>
          <t>FRS BRD-4 chapter 12</t>
        </is>
      </c>
    </row>
    <row r="105">
      <c r="A105" s="35" t="inlineStr">
        <is>
          <t>CR-0101</t>
        </is>
      </c>
      <c r="B105" s="36" t="inlineStr">
        <is>
          <t>Drop 1</t>
        </is>
      </c>
      <c r="C105" s="36" t="inlineStr">
        <is>
          <t>BRD-04</t>
        </is>
      </c>
      <c r="D105" s="37" t="inlineStr">
        <is>
          <t>BRCLXN.024, 026 (p.28-29 / p.48); BRCLXN.030, 032 (p.29)</t>
        </is>
      </c>
      <c r="E105" s="37" t="inlineStr">
        <is>
          <t>FR-CL (hand-offs)</t>
        </is>
      </c>
      <c r="F105" s="37" t="inlineStr">
        <is>
          <t>Scope addition — beyond BRD</t>
        </is>
      </c>
      <c r="G105" s="37" t="inlineStr">
        <is>
          <t>A monthly batch "generates the file"; request application of payment.</t>
        </is>
      </c>
      <c r="H105" s="37" t="inlineStr">
        <is>
          <t>The file is also a hand-off: a DP PR disposition goes at once to the Commission DP list, a PR 2307 disposition to Cashiering's 2307 intake; the monthly file is the audit copy. Application requests go to Cashiering's Incoming Requests and the Operations disposition workflow.</t>
        </is>
      </c>
      <c r="I105" s="37" t="inlineStr">
        <is>
          <t>OQ15, OQ16, OQ38.</t>
        </is>
      </c>
      <c r="J105" s="37" t="inlineStr">
        <is>
          <t>Faster reversal and application.</t>
        </is>
      </c>
      <c r="K105" s="37" t="inlineStr">
        <is>
          <t>Collections; Operations</t>
        </is>
      </c>
      <c r="L105" s="36" t="n">
        <v>0</v>
      </c>
      <c r="M105" s="36" t="n">
        <v>0</v>
      </c>
      <c r="N105" s="36" t="n">
        <v>0</v>
      </c>
      <c r="O105" s="36" t="n">
        <v>0</v>
      </c>
      <c r="P105" s="38">
        <f>SUM(L105:O105)</f>
        <v/>
      </c>
      <c r="Q105" s="37">
        <f>IF(P105=0,"0 - acceptance only",IF(P105&lt;=3,"S",IF(P105&lt;=10,"M",IF(P105&lt;=25,"L","XL")))&amp;" ("&amp;P105&amp;")")</f>
        <v/>
      </c>
      <c r="R105" s="36" t="n"/>
      <c r="S105" s="36" t="inlineStr">
        <is>
          <t>Low</t>
        </is>
      </c>
      <c r="T105" s="37" t="inlineStr">
        <is>
          <t>For acceptance</t>
        </is>
      </c>
      <c r="U105" s="37" t="inlineStr">
        <is>
          <t>Head of BDOI Operations (Collections)</t>
        </is>
      </c>
      <c r="V105" s="37" t="inlineStr">
        <is>
          <t>OQ15; OQ16; OQ38</t>
        </is>
      </c>
      <c r="W105" s="37" t="inlineStr">
        <is>
          <t>FRS sign-off (Nov 2026)</t>
        </is>
      </c>
      <c r="X105" s="37" t="inlineStr">
        <is>
          <t>FRS BRD-4 chapter 12</t>
        </is>
      </c>
    </row>
    <row r="106">
      <c r="A106" s="35" t="inlineStr">
        <is>
          <t>CR-0102</t>
        </is>
      </c>
      <c r="B106" s="36" t="inlineStr">
        <is>
          <t>Drop 1</t>
        </is>
      </c>
      <c r="C106" s="36" t="inlineStr">
        <is>
          <t>BRD-04</t>
        </is>
      </c>
      <c r="D106" s="37" t="inlineStr">
        <is>
          <t>BRCLXN.026 (p.29 / p.48)</t>
        </is>
      </c>
      <c r="E106" s="37" t="inlineStr">
        <is>
          <t>FR-CL (COLLECTION_CWT2307 hand-off)</t>
        </is>
      </c>
      <c r="F106" s="37" t="inlineStr">
        <is>
          <t>Behaviour differs from BRD</t>
        </is>
      </c>
      <c r="G106" s="37" t="inlineStr">
        <is>
          <t>2307 accounts reach Operations for reversal.</t>
        </is>
      </c>
      <c r="H106" s="37" t="inlineStr">
        <is>
          <t>Proposed: Cashiering takes the COLLECTION_CWT2307 hand-offs in its 2307 intake; a hand-off not taken within one day raises the alert CLX_OUTBOX_STALE.</t>
        </is>
      </c>
      <c r="I106" s="37" t="inlineStr">
        <is>
          <t>The BRD does not name the Cashiering step for the 2307 accounts.</t>
        </is>
      </c>
      <c r="J106" s="37" t="inlineStr">
        <is>
          <t>Double handling of 2307 accounts until closed.</t>
        </is>
      </c>
      <c r="K106" s="37" t="inlineStr">
        <is>
          <t>Collections; Operations (Cashiering)</t>
        </is>
      </c>
      <c r="L106" s="36" t="n">
        <v>1</v>
      </c>
      <c r="M106" s="36" t="n">
        <v>3</v>
      </c>
      <c r="N106" s="36" t="n">
        <v>2</v>
      </c>
      <c r="O106" s="36" t="n">
        <v>0</v>
      </c>
      <c r="P106" s="38">
        <f>SUM(L106:O106)</f>
        <v/>
      </c>
      <c r="Q106" s="37">
        <f>IF(P106=0,"0 - acceptance only",IF(P106&lt;=3,"S",IF(P106&lt;=10,"M",IF(P106&lt;=25,"L","XL")))&amp;" ("&amp;P106&amp;")")</f>
        <v/>
      </c>
      <c r="R106" s="36" t="n"/>
      <c r="S106" s="36" t="inlineStr">
        <is>
          <t>Medium</t>
        </is>
      </c>
      <c r="T106" s="37" t="inlineStr">
        <is>
          <t>Draft</t>
        </is>
      </c>
      <c r="U106" s="37" t="inlineStr">
        <is>
          <t>Head of BDOI Operations (Collections)</t>
        </is>
      </c>
      <c r="V106" s="37" t="inlineStr">
        <is>
          <t>FRS BRD-4 CLR-CL-06</t>
        </is>
      </c>
      <c r="W106" s="37" t="inlineStr">
        <is>
          <t>Drop 1, first release (Nov - Dec 2026)</t>
        </is>
      </c>
      <c r="X106" s="37" t="inlineStr">
        <is>
          <t>FRS BRD-4 chapter 12</t>
        </is>
      </c>
    </row>
    <row r="107">
      <c r="A107" s="35" t="inlineStr">
        <is>
          <t>CR-0103</t>
        </is>
      </c>
      <c r="B107" s="36" t="inlineStr">
        <is>
          <t>Drop 1</t>
        </is>
      </c>
      <c r="C107" s="36" t="inlineStr">
        <is>
          <t>BRD-04</t>
        </is>
      </c>
      <c r="D107" s="37" t="inlineStr">
        <is>
          <t>BRCLXN.036 (p.31 / p.49)</t>
        </is>
      </c>
      <c r="E107" s="37" t="inlineStr">
        <is>
          <t>FR-CL (account view columns)</t>
        </is>
      </c>
      <c r="F107" s="37" t="inlineStr">
        <is>
          <t>Deferred pending BDOI answer</t>
        </is>
      </c>
      <c r="G107" s="37" t="inlineStr">
        <is>
          <t>UH, AO and bank officer shown as names; booker name; Processing Stage, Business Origin, Client Code Match, System Remarks.</t>
        </is>
      </c>
      <c r="H107" s="37" t="inlineStr">
        <is>
          <t>User names shown for UH and AO; booker and bank officer names, Business Origin and System Remarks are not shown; "Processing Stage" is the Cashiering tab.</t>
        </is>
      </c>
      <c r="I107" s="37" t="inlineStr">
        <is>
          <t>CQ11 open.</t>
        </is>
      </c>
      <c r="J107" s="37" t="inlineStr">
        <is>
          <t>Collectors look up the missing fields on the account.</t>
        </is>
      </c>
      <c r="K107" s="37" t="inlineStr">
        <is>
          <t>Collections</t>
        </is>
      </c>
      <c r="L107" s="36" t="n">
        <v>1</v>
      </c>
      <c r="M107" s="36" t="n">
        <v>2</v>
      </c>
      <c r="N107" s="36" t="n">
        <v>1</v>
      </c>
      <c r="O107" s="36" t="n">
        <v>0</v>
      </c>
      <c r="P107" s="38">
        <f>SUM(L107:O107)</f>
        <v/>
      </c>
      <c r="Q107" s="37">
        <f>IF(P107=0,"0 - acceptance only",IF(P107&lt;=3,"S",IF(P107&lt;=10,"M",IF(P107&lt;=25,"L","XL")))&amp;" ("&amp;P107&amp;")")</f>
        <v/>
      </c>
      <c r="R107" s="36" t="n"/>
      <c r="S107" s="36" t="inlineStr">
        <is>
          <t>Low</t>
        </is>
      </c>
      <c r="T107" s="37" t="inlineStr">
        <is>
          <t>Draft</t>
        </is>
      </c>
      <c r="U107" s="37" t="inlineStr">
        <is>
          <t>Head of BDOI Operations (Collections)</t>
        </is>
      </c>
      <c r="V107" s="37" t="inlineStr">
        <is>
          <t>CQ11</t>
        </is>
      </c>
      <c r="W107" s="37" t="inlineStr">
        <is>
          <t>After BDOI answer (slot set by the CCB)</t>
        </is>
      </c>
      <c r="X107" s="37" t="inlineStr">
        <is>
          <t>FRS BRD-4 chapter 12</t>
        </is>
      </c>
    </row>
    <row r="108">
      <c r="A108" s="35" t="inlineStr">
        <is>
          <t>CR-0104</t>
        </is>
      </c>
      <c r="B108" s="36" t="inlineStr">
        <is>
          <t>Drop 2</t>
        </is>
      </c>
      <c r="C108" s="36" t="inlineStr">
        <is>
          <t>BRD-04</t>
        </is>
      </c>
      <c r="D108" s="37" t="inlineStr">
        <is>
          <t>BRCLXN.041-042 (p.32 / p.49); BRCLXN.047 (p.33)</t>
        </is>
      </c>
      <c r="E108" s="37" t="inlineStr">
        <is>
          <t>FR-CL (CLX-APPLICATION-TO-INVOICE)</t>
        </is>
      </c>
      <c r="F108" s="37" t="inlineStr">
        <is>
          <t>Integration dependency</t>
        </is>
      </c>
      <c r="G108" s="37" t="inlineStr">
        <is>
          <t>Text file loaded to FS04 before 06:00; EBIX invoice number format I########.</t>
        </is>
      </c>
      <c r="H108" s="37" t="inlineStr">
        <is>
          <t>The pipe-delimited file is written at 05:00 to the in-system folder FS04/CLX_APPLICATION_TO_INVOICE; the transport to FS04 is on hold. Invoice pattern accepts EBIX and BIBS numbers.</t>
        </is>
      </c>
      <c r="I108" s="37" t="inlineStr">
        <is>
          <t>OQ17, CQ12, CQ13; keep FS04 only if a downstream system reads it.</t>
        </is>
      </c>
      <c r="J108" s="37" t="inlineStr">
        <is>
          <t>Downstream readers of FS04 need the transport.</t>
        </is>
      </c>
      <c r="K108" s="37" t="inlineStr">
        <is>
          <t>Collections; BDOI IT</t>
        </is>
      </c>
      <c r="L108" s="36" t="n">
        <v>1</v>
      </c>
      <c r="M108" s="36" t="n">
        <v>2</v>
      </c>
      <c r="N108" s="36" t="n">
        <v>2</v>
      </c>
      <c r="O108" s="36" t="n">
        <v>0</v>
      </c>
      <c r="P108" s="38">
        <f>SUM(L108:O108)</f>
        <v/>
      </c>
      <c r="Q108" s="37">
        <f>IF(P108=0,"0 - acceptance only",IF(P108&lt;=3,"S",IF(P108&lt;=10,"M",IF(P108&lt;=25,"L","XL")))&amp;" ("&amp;P108&amp;")")</f>
        <v/>
      </c>
      <c r="R108" s="36" t="n"/>
      <c r="S108" s="36" t="inlineStr">
        <is>
          <t>Low</t>
        </is>
      </c>
      <c r="T108" s="37" t="inlineStr">
        <is>
          <t>Draft</t>
        </is>
      </c>
      <c r="U108" s="37" t="inlineStr">
        <is>
          <t>BDOI IT (integration owner) with the BIBS Product Owner</t>
        </is>
      </c>
      <c r="V108" s="37" t="inlineStr">
        <is>
          <t>DCR-046; OQ17; CQ12; CQ13</t>
        </is>
      </c>
      <c r="W108" s="37" t="inlineStr">
        <is>
          <t>Drop 2 (Mar - Apr 2027)</t>
        </is>
      </c>
      <c r="X108" s="37" t="inlineStr">
        <is>
          <t>FRS BRD-4 chapter 12; register DCR-046</t>
        </is>
      </c>
    </row>
    <row r="109">
      <c r="A109" s="35" t="inlineStr">
        <is>
          <t>CR-0105</t>
        </is>
      </c>
      <c r="B109" s="36" t="inlineStr">
        <is>
          <t>Drop 1</t>
        </is>
      </c>
      <c r="C109" s="36" t="inlineStr">
        <is>
          <t>BRD-04</t>
        </is>
      </c>
      <c r="D109" s="37" t="inlineStr">
        <is>
          <t>BRCLXN.051 (Add. p.5 / p.17)</t>
        </is>
      </c>
      <c r="E109" s="37" t="inlineStr">
        <is>
          <t>FR-CL (bulk update)</t>
        </is>
      </c>
      <c r="F109" s="37" t="inlineStr">
        <is>
          <t>Behaviour differs from BRD</t>
        </is>
      </c>
      <c r="G109" s="37" t="inlineStr">
        <is>
          <t>Bulk update of several invoices.</t>
        </is>
      </c>
      <c r="H109" s="37" t="inlineStr">
        <is>
          <t>The worklist updates several accounts with a disposition or effort and reassigns them; promises and escalations are recorded in bulk on their screens. The upload records promises and escalations only; its disposition, effort and remarks columns are refused. Proposed: accept those columns in the upload.</t>
        </is>
      </c>
      <c r="I109" s="37" t="inlineStr">
        <is>
          <t>FRS BRD-4 Gap G1.</t>
        </is>
      </c>
      <c r="J109" s="37" t="inlineStr">
        <is>
          <t>Dispositions are bulk-updated on screen, not by file.</t>
        </is>
      </c>
      <c r="K109" s="37" t="inlineStr">
        <is>
          <t>Collections</t>
        </is>
      </c>
      <c r="L109" s="36" t="n">
        <v>1</v>
      </c>
      <c r="M109" s="36" t="n">
        <v>3</v>
      </c>
      <c r="N109" s="36" t="n">
        <v>2</v>
      </c>
      <c r="O109" s="36" t="n">
        <v>1</v>
      </c>
      <c r="P109" s="38">
        <f>SUM(L109:O109)</f>
        <v/>
      </c>
      <c r="Q109" s="37">
        <f>IF(P109=0,"0 - acceptance only",IF(P109&lt;=3,"S",IF(P109&lt;=10,"M",IF(P109&lt;=25,"L","XL")))&amp;" ("&amp;P109&amp;")")</f>
        <v/>
      </c>
      <c r="R109" s="36" t="n"/>
      <c r="S109" s="36" t="inlineStr">
        <is>
          <t>Low</t>
        </is>
      </c>
      <c r="T109" s="37" t="inlineStr">
        <is>
          <t>Draft</t>
        </is>
      </c>
      <c r="U109" s="37" t="inlineStr">
        <is>
          <t>Head of BDOI Operations (Collections)</t>
        </is>
      </c>
      <c r="V109" s="37" t="inlineStr">
        <is>
          <t>CLR-CR-01 (FRS BRD-4)</t>
        </is>
      </c>
      <c r="W109" s="37" t="inlineStr">
        <is>
          <t>Drop 1, second release (Jan - Feb 2027)</t>
        </is>
      </c>
      <c r="X109" s="37" t="inlineStr">
        <is>
          <t>FRS BRD-4 chapter 12</t>
        </is>
      </c>
    </row>
    <row r="110">
      <c r="A110" s="35" t="inlineStr">
        <is>
          <t>CR-0106</t>
        </is>
      </c>
      <c r="B110" s="36" t="inlineStr">
        <is>
          <t>Drop 1</t>
        </is>
      </c>
      <c r="C110" s="36" t="inlineStr">
        <is>
          <t>BRD-04</t>
        </is>
      </c>
      <c r="D110" s="37" t="inlineStr">
        <is>
          <t>BRCLXN.053 (Add. p.5-6); BRCLXN.055 (Add. p.6); BRCLXN.059 (Add. p.7-8)</t>
        </is>
      </c>
      <c r="E110" s="37" t="inlineStr">
        <is>
          <t>FR-CL (installments, promises, CR billing)</t>
        </is>
      </c>
      <c r="F110" s="37" t="inlineStr">
        <is>
          <t>Behaviour differs from BRD</t>
        </is>
      </c>
      <c r="G110" s="37" t="inlineStr">
        <is>
          <t>Installment schedule per account; broken promises per installment; CR billing needs Premium Receivable confirmation.</t>
        </is>
      </c>
      <c r="H110" s="37" t="inlineStr">
        <is>
          <t>Plans made in Collections (policy years, generated or manual); a promise is KEPT, PARTIALLY_KEPT or BROKEN by the payments in the promise window (grace 0 days); Commission bills a DP account after the CRU reviewer confirms it fully paid to the insurer.</t>
        </is>
      </c>
      <c r="I110" s="37" t="inlineStr">
        <is>
          <t>CQ15, CQ16, OQ38.</t>
        </is>
      </c>
      <c r="J110" s="37" t="inlineStr">
        <is>
          <t>Installment terms are not taken from the quotation.</t>
        </is>
      </c>
      <c r="K110" s="37" t="inlineStr">
        <is>
          <t>Collections; Operations (Commission)</t>
        </is>
      </c>
      <c r="L110" s="36" t="n">
        <v>0</v>
      </c>
      <c r="M110" s="36" t="n">
        <v>0</v>
      </c>
      <c r="N110" s="36" t="n">
        <v>0</v>
      </c>
      <c r="O110" s="36" t="n">
        <v>0</v>
      </c>
      <c r="P110" s="38">
        <f>SUM(L110:O110)</f>
        <v/>
      </c>
      <c r="Q110" s="37">
        <f>IF(P110=0,"0 - acceptance only",IF(P110&lt;=3,"S",IF(P110&lt;=10,"M",IF(P110&lt;=25,"L","XL")))&amp;" ("&amp;P110&amp;")")</f>
        <v/>
      </c>
      <c r="R110" s="36" t="n"/>
      <c r="S110" s="36" t="inlineStr">
        <is>
          <t>Low</t>
        </is>
      </c>
      <c r="T110" s="37" t="inlineStr">
        <is>
          <t>For acceptance</t>
        </is>
      </c>
      <c r="U110" s="37" t="inlineStr">
        <is>
          <t>Head of BDOI Operations (Collections)</t>
        </is>
      </c>
      <c r="V110" s="37" t="inlineStr">
        <is>
          <t>CQ15; CQ16; OQ38</t>
        </is>
      </c>
      <c r="W110" s="37" t="inlineStr">
        <is>
          <t>FRS sign-off (Nov 2026)</t>
        </is>
      </c>
      <c r="X110" s="37" t="inlineStr">
        <is>
          <t>FRS BRD-4 chapter 12</t>
        </is>
      </c>
    </row>
    <row r="111">
      <c r="A111" s="35" t="inlineStr">
        <is>
          <t>CR-0107</t>
        </is>
      </c>
      <c r="B111" s="36" t="inlineStr">
        <is>
          <t>Drop 1</t>
        </is>
      </c>
      <c r="C111" s="36" t="inlineStr">
        <is>
          <t>BRD-04</t>
        </is>
      </c>
      <c r="D111" s="37" t="inlineStr">
        <is>
          <t>BRCLXN.056 (Add. p.6-7); BRCLXN.060 (Add. p.8)</t>
        </is>
      </c>
      <c r="E111" s="37" t="inlineStr">
        <is>
          <t>FR-CL (billing statements, ageing)</t>
        </is>
      </c>
      <c r="F111" s="37" t="inlineStr">
        <is>
          <t>Deferred pending BDOI answer</t>
        </is>
      </c>
      <c r="G111" s="37" t="inlineStr">
        <is>
          <t>Delivery date and receipt date on billing statements; ageing from billing statements, invoice dates and policy periods.</t>
        </is>
      </c>
      <c r="H111" s="37" t="inlineStr">
        <is>
          <t>The first AR date is shown as the receipt date; the delivery date is blank. CLX_AGING_BASIS takes BOOKING or INCEPTION; ageing from the SOA due date is not proposed.</t>
        </is>
      </c>
      <c r="I111" s="37" t="inlineStr">
        <is>
          <t>CQ14, CQ17 open.</t>
        </is>
      </c>
      <c r="J111" s="37" t="inlineStr">
        <is>
          <t>Statement delivery tracking and ageing from the SOA due date wait for the BDOI answers to CQ14 and CQ17.</t>
        </is>
      </c>
      <c r="K111" s="37" t="inlineStr">
        <is>
          <t>Collections</t>
        </is>
      </c>
      <c r="L111" s="36" t="n">
        <v>1</v>
      </c>
      <c r="M111" s="36" t="n">
        <v>3</v>
      </c>
      <c r="N111" s="36" t="n">
        <v>2</v>
      </c>
      <c r="O111" s="36" t="n">
        <v>0</v>
      </c>
      <c r="P111" s="38">
        <f>SUM(L111:O111)</f>
        <v/>
      </c>
      <c r="Q111" s="37">
        <f>IF(P111=0,"0 - acceptance only",IF(P111&lt;=3,"S",IF(P111&lt;=10,"M",IF(P111&lt;=25,"L","XL")))&amp;" ("&amp;P111&amp;")")</f>
        <v/>
      </c>
      <c r="R111" s="36" t="n"/>
      <c r="S111" s="36" t="inlineStr">
        <is>
          <t>Low</t>
        </is>
      </c>
      <c r="T111" s="37" t="inlineStr">
        <is>
          <t>Draft</t>
        </is>
      </c>
      <c r="U111" s="37" t="inlineStr">
        <is>
          <t>Head of BDOI Operations (Collections)</t>
        </is>
      </c>
      <c r="V111" s="37" t="inlineStr">
        <is>
          <t>CQ14; CQ17</t>
        </is>
      </c>
      <c r="W111" s="37" t="inlineStr">
        <is>
          <t>After BDOI answer (slot set by the CCB)</t>
        </is>
      </c>
      <c r="X111" s="37" t="inlineStr">
        <is>
          <t>FRS BRD-4 chapter 12</t>
        </is>
      </c>
    </row>
    <row r="112">
      <c r="A112" s="35" t="inlineStr">
        <is>
          <t>CR-0108</t>
        </is>
      </c>
      <c r="B112" s="36" t="inlineStr">
        <is>
          <t>Drop 1</t>
        </is>
      </c>
      <c r="C112" s="36" t="inlineStr">
        <is>
          <t>BRD-04</t>
        </is>
      </c>
      <c r="D112" s="37" t="inlineStr">
        <is>
          <t>BRCLXN.061-064 (Add. p.8-9, draft)</t>
        </is>
      </c>
      <c r="E112" s="37" t="inlineStr">
        <is>
          <t>FR-CL-091 to FR-CL-094 (commission receivable and incentives, draft)</t>
        </is>
      </c>
      <c r="F112" s="37" t="inlineStr">
        <is>
          <t>Deferred pending BDOI answer</t>
        </is>
      </c>
      <c r="G112" s="37" t="inlineStr">
        <is>
          <t>Draft requirements on commission receivables and incentives (drop plan item 1.D7).</t>
        </is>
      </c>
      <c r="H112" s="37" t="inlineStr">
        <is>
          <t>Proposed in FRS BRD-4 section 4.10 for confirmation of the draft addendum.</t>
        </is>
      </c>
      <c r="I112" s="37" t="inlineStr">
        <is>
          <t>CQ01 open (unsigned draft).</t>
        </is>
      </c>
      <c r="J112" s="37" t="inlineStr">
        <is>
          <t>Commission receivable collection for these rows stays manual.</t>
        </is>
      </c>
      <c r="K112" s="37" t="inlineStr">
        <is>
          <t>Collections; Operations (Commission)</t>
        </is>
      </c>
      <c r="L112" s="36" t="n">
        <v>3</v>
      </c>
      <c r="M112" s="36" t="n">
        <v>12</v>
      </c>
      <c r="N112" s="36" t="n">
        <v>6</v>
      </c>
      <c r="O112" s="36" t="n">
        <v>2</v>
      </c>
      <c r="P112" s="38">
        <f>SUM(L112:O112)</f>
        <v/>
      </c>
      <c r="Q112" s="37">
        <f>IF(P112=0,"0 - acceptance only",IF(P112&lt;=3,"S",IF(P112&lt;=10,"M",IF(P112&lt;=25,"L","XL")))&amp;" ("&amp;P112&amp;")")</f>
        <v/>
      </c>
      <c r="R112" s="36" t="n"/>
      <c r="S112" s="36" t="inlineStr">
        <is>
          <t>Medium</t>
        </is>
      </c>
      <c r="T112" s="37" t="inlineStr">
        <is>
          <t>Draft</t>
        </is>
      </c>
      <c r="U112" s="37" t="inlineStr">
        <is>
          <t>Head of BDOI Operations (Collections)</t>
        </is>
      </c>
      <c r="V112" s="37" t="inlineStr">
        <is>
          <t>CQ01</t>
        </is>
      </c>
      <c r="W112" s="37" t="inlineStr">
        <is>
          <t>After BDOI answer (slot set by the CCB)</t>
        </is>
      </c>
      <c r="X112" s="37" t="inlineStr">
        <is>
          <t>FRS BRD-4 chapter 12; Programme alignment 2.1 (1.D7)</t>
        </is>
      </c>
    </row>
    <row r="113">
      <c r="A113" s="35" t="inlineStr">
        <is>
          <t>CR-0109</t>
        </is>
      </c>
      <c r="B113" s="36" t="inlineStr">
        <is>
          <t>Drop 1</t>
        </is>
      </c>
      <c r="C113" s="36" t="inlineStr">
        <is>
          <t>BRD-04</t>
        </is>
      </c>
      <c r="D113" s="37" t="inlineStr">
        <is>
          <t>BRD-4 NFR audit logging (p.51-58): source IP of each event; BRCLXN.043 (p.32 / p.49)</t>
        </is>
      </c>
      <c r="E113" s="37" t="inlineStr">
        <is>
          <t>FR-CL (audit); FR-CR-030</t>
        </is>
      </c>
      <c r="F113" s="37" t="inlineStr">
        <is>
          <t>Behaviour differs from BRD</t>
        </is>
      </c>
      <c r="G113" s="37" t="inlineStr">
        <is>
          <t>Record the source IP address of each event and of back-office actions.</t>
        </is>
      </c>
      <c r="H113" s="37" t="inlineStr">
        <is>
          <t>The audit trail records user, time and change, not the source IP. Proposed: add source IP and resource to the audit record.</t>
        </is>
      </c>
      <c r="I113" s="37" t="inlineStr">
        <is>
          <t>Platform audit design.</t>
        </is>
      </c>
      <c r="J113" s="37" t="inlineStr">
        <is>
          <t>Investigations cannot trace the device.</t>
        </is>
      </c>
      <c r="K113" s="37" t="inlineStr">
        <is>
          <t>Collections; Compliance; BDOI IT Security</t>
        </is>
      </c>
      <c r="L113" s="36" t="n">
        <v>1</v>
      </c>
      <c r="M113" s="36" t="n">
        <v>2</v>
      </c>
      <c r="N113" s="36" t="n">
        <v>1</v>
      </c>
      <c r="O113" s="36" t="n">
        <v>0</v>
      </c>
      <c r="P113" s="38">
        <f>SUM(L113:O113)</f>
        <v/>
      </c>
      <c r="Q113" s="37">
        <f>IF(P113=0,"0 - acceptance only",IF(P113&lt;=3,"S",IF(P113&lt;=10,"M",IF(P113&lt;=25,"L","XL")))&amp;" ("&amp;P113&amp;")")</f>
        <v/>
      </c>
      <c r="R113" s="36" t="n"/>
      <c r="S113" s="36" t="inlineStr">
        <is>
          <t>Medium</t>
        </is>
      </c>
      <c r="T113" s="37" t="inlineStr">
        <is>
          <t>Draft</t>
        </is>
      </c>
      <c r="U113" s="37" t="inlineStr">
        <is>
          <t>Head of BDOI Operations (Collections)</t>
        </is>
      </c>
      <c r="V113" s="37" t="inlineStr">
        <is>
          <t>DCR-145</t>
        </is>
      </c>
      <c r="W113" s="37" t="inlineStr">
        <is>
          <t>Drop 1, second release (Jan - Feb 2027)</t>
        </is>
      </c>
      <c r="X113" s="37" t="inlineStr">
        <is>
          <t>Register DCR-145</t>
        </is>
      </c>
    </row>
    <row r="114">
      <c r="A114" s="35" t="inlineStr">
        <is>
          <t>CR-0110</t>
        </is>
      </c>
      <c r="B114" s="36" t="inlineStr">
        <is>
          <t>Drop 1</t>
        </is>
      </c>
      <c r="C114" s="36" t="inlineStr">
        <is>
          <t>BRD-04</t>
        </is>
      </c>
      <c r="D114" s="37" t="inlineStr">
        <is>
          <t>BRD-4 p.93 caveat (exports may slow the system)</t>
        </is>
      </c>
      <c r="E114" s="37" t="inlineStr">
        <is>
          <t>FR-CL-084</t>
        </is>
      </c>
      <c r="F114" s="37" t="inlineStr">
        <is>
          <t>Scope addition — beyond BRD</t>
        </is>
      </c>
      <c r="G114" s="37" t="inlineStr">
        <is>
          <t>The BRD warns that exports may slow the system.</t>
        </is>
      </c>
      <c r="H114" s="37" t="inlineStr">
        <is>
          <t>Exports run in the background, capped at CLX_EXPORT_MAX_ROWS, under their own permission CLX_EXPORT.</t>
        </is>
      </c>
      <c r="I114" s="37" t="inlineStr">
        <is>
          <t>Performance and data-protection control.</t>
        </is>
      </c>
      <c r="J114" s="37" t="inlineStr">
        <is>
          <t>Export needs a separate permission.</t>
        </is>
      </c>
      <c r="K114" s="37" t="inlineStr">
        <is>
          <t>Collections</t>
        </is>
      </c>
      <c r="L114" s="36" t="n">
        <v>0</v>
      </c>
      <c r="M114" s="36" t="n">
        <v>0</v>
      </c>
      <c r="N114" s="36" t="n">
        <v>0</v>
      </c>
      <c r="O114" s="36" t="n">
        <v>0</v>
      </c>
      <c r="P114" s="38">
        <f>SUM(L114:O114)</f>
        <v/>
      </c>
      <c r="Q114" s="37">
        <f>IF(P114=0,"0 - acceptance only",IF(P114&lt;=3,"S",IF(P114&lt;=10,"M",IF(P114&lt;=25,"L","XL")))&amp;" ("&amp;P114&amp;")")</f>
        <v/>
      </c>
      <c r="R114" s="36" t="n"/>
      <c r="S114" s="36" t="inlineStr">
        <is>
          <t>Low</t>
        </is>
      </c>
      <c r="T114" s="37" t="inlineStr">
        <is>
          <t>For acceptance</t>
        </is>
      </c>
      <c r="U114" s="37" t="inlineStr">
        <is>
          <t>Head of BDOI Operations (Collections)</t>
        </is>
      </c>
      <c r="V114" s="37" t="inlineStr">
        <is>
          <t>-</t>
        </is>
      </c>
      <c r="W114" s="37" t="inlineStr">
        <is>
          <t>FRS sign-off (Nov 2026)</t>
        </is>
      </c>
      <c r="X114" s="37" t="inlineStr">
        <is>
          <t>FRS BRD-4 chapter 12</t>
        </is>
      </c>
    </row>
    <row r="115">
      <c r="A115" s="35" t="inlineStr">
        <is>
          <t>CR-0111</t>
        </is>
      </c>
      <c r="B115" s="36" t="inlineStr">
        <is>
          <t>Drop 2</t>
        </is>
      </c>
      <c r="C115" s="36" t="inlineStr">
        <is>
          <t>BRD-04</t>
        </is>
      </c>
      <c r="D115" s="37" t="inlineStr">
        <is>
          <t>Drop plan item 2.1 "Marketing Collection (extraction)"</t>
        </is>
      </c>
      <c r="E115" s="37" t="inlineStr">
        <is>
          <t>FRS BRD-4; FR-OP (Marketing Collection items)</t>
        </is>
      </c>
      <c r="F115" s="37" t="inlineStr">
        <is>
          <t>Integration dependency</t>
        </is>
      </c>
      <c r="G115" s="37" t="inlineStr">
        <is>
          <t>Drop 2 lists "Marketing Collection (extraction)", which suggests a feed from BIBS to a separate collection system.</t>
        </is>
      </c>
      <c r="H115" s="37" t="inlineStr">
        <is>
          <t>BRD-4 is a BIBS module fed by the Operations ledger, replacing the Collection Management System. Proposed: the item means the Collections daily files; BRD-4 is tested in Drop 2 except the DP rows (Drop 1).</t>
        </is>
      </c>
      <c r="I115" s="37" t="inlineStr">
        <is>
          <t>IQ21 open.</t>
        </is>
      </c>
      <c r="J115" s="37" t="inlineStr">
        <is>
          <t>If a separate system is kept, a new extract interface is needed.</t>
        </is>
      </c>
      <c r="K115" s="37" t="inlineStr">
        <is>
          <t>Collections; Marketing; BDOI IT</t>
        </is>
      </c>
      <c r="L115" s="36" t="n">
        <v>1</v>
      </c>
      <c r="M115" s="36" t="n">
        <v>0</v>
      </c>
      <c r="N115" s="36" t="n">
        <v>0</v>
      </c>
      <c r="O115" s="36" t="n">
        <v>1</v>
      </c>
      <c r="P115" s="38">
        <f>SUM(L115:O115)</f>
        <v/>
      </c>
      <c r="Q115" s="37">
        <f>IF(P115=0,"0 - acceptance only",IF(P115&lt;=3,"S",IF(P115&lt;=10,"M",IF(P115&lt;=25,"L","XL")))&amp;" ("&amp;P115&amp;")")</f>
        <v/>
      </c>
      <c r="R115" s="36" t="n">
        <v>15</v>
      </c>
      <c r="S115" s="36" t="inlineStr">
        <is>
          <t>Medium</t>
        </is>
      </c>
      <c r="T115" s="37" t="inlineStr">
        <is>
          <t>For CCB review</t>
        </is>
      </c>
      <c r="U115" s="37" t="inlineStr">
        <is>
          <t>Head of BDOI Operations (Collections)</t>
        </is>
      </c>
      <c r="V115" s="37" t="inlineStr">
        <is>
          <t>DCR-212; DCR-221; IQ21</t>
        </is>
      </c>
      <c r="W115" s="37" t="inlineStr">
        <is>
          <t>FRS sign-off (Nov 2026)</t>
        </is>
      </c>
      <c r="X115" s="37" t="inlineStr">
        <is>
          <t>Programme alignment 2.2 item 3</t>
        </is>
      </c>
    </row>
    <row r="116">
      <c r="A116" s="35" t="inlineStr">
        <is>
          <t>CR-0112</t>
        </is>
      </c>
      <c r="B116" s="36" t="inlineStr">
        <is>
          <t>Drop 1</t>
        </is>
      </c>
      <c r="C116" s="36" t="inlineStr">
        <is>
          <t>BRD-05</t>
        </is>
      </c>
      <c r="D116" s="37" t="inlineStr">
        <is>
          <t>FRBS 2.2.0 (p.51); FRBS 3.5.0 (p.65)</t>
        </is>
      </c>
      <c r="E116" s="37" t="inlineStr">
        <is>
          <t>FR-AC (revaluation)</t>
        </is>
      </c>
      <c r="F116" s="37" t="inlineStr">
        <is>
          <t>Behaviour differs from BRD</t>
        </is>
      </c>
      <c r="G116" s="37" t="inlineStr">
        <is>
          <t>Input the revaluation rate monthly; revalue daily (previous date against current date).</t>
        </is>
      </c>
      <c r="H116" s="37" t="inlineStr">
        <is>
          <t>The monthly rate is the CLOSING rate of the month end, copied as the BOOK rate of the next month; revaluation runs per period with automatic reversal. Daily revaluation only if BDOI confirms.</t>
        </is>
      </c>
      <c r="I116" s="37" t="inlineStr">
        <is>
          <t>AQ03, OQ08 open.</t>
        </is>
      </c>
      <c r="J116" s="37" t="inlineStr">
        <is>
          <t>Foreign-currency balances revalued monthly, not daily.</t>
        </is>
      </c>
      <c r="K116" s="37" t="inlineStr">
        <is>
          <t>Comptrollership (FRBS)</t>
        </is>
      </c>
      <c r="L116" s="36" t="n">
        <v>0</v>
      </c>
      <c r="M116" s="36" t="n">
        <v>0</v>
      </c>
      <c r="N116" s="36" t="n">
        <v>0</v>
      </c>
      <c r="O116" s="36" t="n">
        <v>0</v>
      </c>
      <c r="P116" s="38">
        <f>SUM(L116:O116)</f>
        <v/>
      </c>
      <c r="Q116" s="37">
        <f>IF(P116=0,"0 - acceptance only",IF(P116&lt;=3,"S",IF(P116&lt;=10,"M",IF(P116&lt;=25,"L","XL")))&amp;" ("&amp;P116&amp;")")</f>
        <v/>
      </c>
      <c r="R116" s="36" t="n">
        <v>6</v>
      </c>
      <c r="S116" s="36" t="inlineStr">
        <is>
          <t>Medium</t>
        </is>
      </c>
      <c r="T116" s="37" t="inlineStr">
        <is>
          <t>For CCB review</t>
        </is>
      </c>
      <c r="U116" s="37" t="inlineStr">
        <is>
          <t>Head, Comptrollership (FRBS, Disbursement and ACSL)</t>
        </is>
      </c>
      <c r="V116" s="37" t="inlineStr">
        <is>
          <t>AQ03; OQ08</t>
        </is>
      </c>
      <c r="W116" s="37" t="inlineStr">
        <is>
          <t>FRS sign-off (Nov 2026)</t>
        </is>
      </c>
      <c r="X116" s="37" t="inlineStr">
        <is>
          <t>FRS BRD-5 Vol.1 chapter 12</t>
        </is>
      </c>
    </row>
    <row r="117">
      <c r="A117" s="35" t="inlineStr">
        <is>
          <t>CR-0113</t>
        </is>
      </c>
      <c r="B117" s="36" t="inlineStr">
        <is>
          <t>Drop 1</t>
        </is>
      </c>
      <c r="C117" s="36" t="inlineStr">
        <is>
          <t>BRD-05</t>
        </is>
      </c>
      <c r="D117" s="37" t="inlineStr">
        <is>
          <t>FRBS 2.3.2 (p.52); FRBS 2.5.7 (p.57); FRBS 2.6.0 (p.58); FRBS 2.8.1 (p.60)</t>
        </is>
      </c>
      <c r="E117" s="37" t="inlineStr">
        <is>
          <t>FR-AC (chart, journals, close)</t>
        </is>
      </c>
      <c r="F117" s="37" t="inlineStr">
        <is>
          <t>Behaviour differs from BRD</t>
        </is>
      </c>
      <c r="G117" s="37" t="inlineStr">
        <is>
          <t>Account number generated by the system; return a posting request; close the previous month on a preferred date; reversal posts in GL and sub-ledger.</t>
        </is>
      </c>
      <c r="H117" s="37" t="inlineStr">
        <is>
          <t>A number is proposed from the parent's scheme when the code is left blank; "Reject" is labelled "Return to Maker" and the journal is resubmitted; FRBS schedules the close (proposal: 2nd banking day, 17:00); manual journals record no sub-ledger items, so the reversal posts in the GL only.</t>
        </is>
      </c>
      <c r="I117" s="37" t="inlineStr">
        <is>
          <t>AQ01, AQ04.</t>
        </is>
      </c>
      <c r="J117" s="37" t="inlineStr">
        <is>
          <t>None on the accounting result.</t>
        </is>
      </c>
      <c r="K117" s="37" t="inlineStr">
        <is>
          <t>Comptrollership (FRBS)</t>
        </is>
      </c>
      <c r="L117" s="36" t="n">
        <v>0</v>
      </c>
      <c r="M117" s="36" t="n">
        <v>0</v>
      </c>
      <c r="N117" s="36" t="n">
        <v>0</v>
      </c>
      <c r="O117" s="36" t="n">
        <v>0</v>
      </c>
      <c r="P117" s="38">
        <f>SUM(L117:O117)</f>
        <v/>
      </c>
      <c r="Q117" s="37">
        <f>IF(P117=0,"0 - acceptance only",IF(P117&lt;=3,"S",IF(P117&lt;=10,"M",IF(P117&lt;=25,"L","XL")))&amp;" ("&amp;P117&amp;")")</f>
        <v/>
      </c>
      <c r="R117" s="36" t="n"/>
      <c r="S117" s="36" t="inlineStr">
        <is>
          <t>Low</t>
        </is>
      </c>
      <c r="T117" s="37" t="inlineStr">
        <is>
          <t>For acceptance</t>
        </is>
      </c>
      <c r="U117" s="37" t="inlineStr">
        <is>
          <t>Head, Comptrollership (FRBS, Disbursement and ACSL)</t>
        </is>
      </c>
      <c r="V117" s="37" t="inlineStr">
        <is>
          <t>AQ01; AQ04</t>
        </is>
      </c>
      <c r="W117" s="37" t="inlineStr">
        <is>
          <t>FRS sign-off (Nov 2026)</t>
        </is>
      </c>
      <c r="X117" s="37" t="inlineStr">
        <is>
          <t>FRS BRD-5 Vol.1 chapter 12</t>
        </is>
      </c>
    </row>
    <row r="118">
      <c r="A118" s="35" t="inlineStr">
        <is>
          <t>CR-0114</t>
        </is>
      </c>
      <c r="B118" s="36" t="inlineStr">
        <is>
          <t>Drop 1</t>
        </is>
      </c>
      <c r="C118" s="36" t="inlineStr">
        <is>
          <t>BRD-05</t>
        </is>
      </c>
      <c r="D118" s="37" t="inlineStr">
        <is>
          <t>FRBS 2.5.4 (p.56); FRBS 2.8.4</t>
        </is>
      </c>
      <c r="E118" s="37" t="inlineStr">
        <is>
          <t>FR-AC (posting checks)</t>
        </is>
      </c>
      <c r="F118" s="37" t="inlineStr">
        <is>
          <t>Deferred pending BDOI answer</t>
        </is>
      </c>
      <c r="G118" s="37" t="inlineStr">
        <is>
          <t>Prevent posting with a negative balance.</t>
        </is>
      </c>
      <c r="H118" s="37" t="inlineStr">
        <is>
          <t>Each account has a policy ALLOW, WARN or BLOCK; only BLOCK accounts refuse the journal. BDOI names the accounts that may never be negative.</t>
        </is>
      </c>
      <c r="I118" s="37" t="inlineStr">
        <is>
          <t>AQ30 open.</t>
        </is>
      </c>
      <c r="J118" s="37" t="inlineStr">
        <is>
          <t>Until set, negative balances are allowed with a warning.</t>
        </is>
      </c>
      <c r="K118" s="37" t="inlineStr">
        <is>
          <t>Comptrollership (FRBS)</t>
        </is>
      </c>
      <c r="L118" s="36" t="n">
        <v>1</v>
      </c>
      <c r="M118" s="36" t="n">
        <v>0</v>
      </c>
      <c r="N118" s="36" t="n">
        <v>1</v>
      </c>
      <c r="O118" s="36" t="n">
        <v>0</v>
      </c>
      <c r="P118" s="38">
        <f>SUM(L118:O118)</f>
        <v/>
      </c>
      <c r="Q118" s="37">
        <f>IF(P118=0,"0 - acceptance only",IF(P118&lt;=3,"S",IF(P118&lt;=10,"M",IF(P118&lt;=25,"L","XL")))&amp;" ("&amp;P118&amp;")")</f>
        <v/>
      </c>
      <c r="R118" s="36" t="n"/>
      <c r="S118" s="36" t="inlineStr">
        <is>
          <t>Medium</t>
        </is>
      </c>
      <c r="T118" s="37" t="inlineStr">
        <is>
          <t>Draft</t>
        </is>
      </c>
      <c r="U118" s="37" t="inlineStr">
        <is>
          <t>Head, Comptrollership (FRBS, Disbursement and ACSL)</t>
        </is>
      </c>
      <c r="V118" s="37" t="inlineStr">
        <is>
          <t>AQ30</t>
        </is>
      </c>
      <c r="W118" s="37" t="inlineStr">
        <is>
          <t>After BDOI answer (slot set by the CCB)</t>
        </is>
      </c>
      <c r="X118" s="37" t="inlineStr">
        <is>
          <t>FRS BRD-5 Vol.1 chapter 12</t>
        </is>
      </c>
    </row>
    <row r="119">
      <c r="A119" s="35" t="inlineStr">
        <is>
          <t>CR-0115</t>
        </is>
      </c>
      <c r="B119" s="36" t="inlineStr">
        <is>
          <t>Drop 1</t>
        </is>
      </c>
      <c r="C119" s="36" t="inlineStr">
        <is>
          <t>BRD-05</t>
        </is>
      </c>
      <c r="D119" s="37" t="inlineStr">
        <is>
          <t>FRBS 3.4.0-3.4.1 (p.64)</t>
        </is>
      </c>
      <c r="E119" s="37" t="inlineStr">
        <is>
          <t>FR-AC (broking-books close)</t>
        </is>
      </c>
      <c r="F119" s="37" t="inlineStr">
        <is>
          <t>Behaviour differs from BRD</t>
        </is>
      </c>
      <c r="G119" s="37" t="inlineStr">
        <is>
          <t>Close the broking books automatically.</t>
        </is>
      </c>
      <c r="H119" s="37" t="inlineStr">
        <is>
          <t>The broking books close on the last day of the month at 23:00 Manila; the pending list shows the items the broking modules report. Proposed: each broking module reports its pending items to the close checklist.</t>
        </is>
      </c>
      <c r="I119" s="37" t="inlineStr">
        <is>
          <t>The broking modules report their pending items (D-AC-07).</t>
        </is>
      </c>
      <c r="J119" s="37" t="inlineStr">
        <is>
          <t>The close can run with open broking items not listed.</t>
        </is>
      </c>
      <c r="K119" s="37" t="inlineStr">
        <is>
          <t>Comptrollership; Operations</t>
        </is>
      </c>
      <c r="L119" s="36" t="n">
        <v>1</v>
      </c>
      <c r="M119" s="36" t="n">
        <v>4</v>
      </c>
      <c r="N119" s="36" t="n">
        <v>2</v>
      </c>
      <c r="O119" s="36" t="n">
        <v>1</v>
      </c>
      <c r="P119" s="38">
        <f>SUM(L119:O119)</f>
        <v/>
      </c>
      <c r="Q119" s="37">
        <f>IF(P119=0,"0 - acceptance only",IF(P119&lt;=3,"S",IF(P119&lt;=10,"M",IF(P119&lt;=25,"L","XL")))&amp;" ("&amp;P119&amp;")")</f>
        <v/>
      </c>
      <c r="R119" s="36" t="n"/>
      <c r="S119" s="36" t="inlineStr">
        <is>
          <t>High</t>
        </is>
      </c>
      <c r="T119" s="37" t="inlineStr">
        <is>
          <t>Draft</t>
        </is>
      </c>
      <c r="U119" s="37" t="inlineStr">
        <is>
          <t>Head, Comptrollership (FRBS, Disbursement and ACSL)</t>
        </is>
      </c>
      <c r="V119" s="37" t="inlineStr">
        <is>
          <t>AQ04</t>
        </is>
      </c>
      <c r="W119" s="37" t="inlineStr">
        <is>
          <t>Drop 1, second release (Jan - Feb 2027)</t>
        </is>
      </c>
      <c r="X119" s="37" t="inlineStr">
        <is>
          <t>FRS BRD-5 Vol.1 chapter 12</t>
        </is>
      </c>
    </row>
    <row r="120">
      <c r="A120" s="35" t="inlineStr">
        <is>
          <t>CR-0116</t>
        </is>
      </c>
      <c r="B120" s="36" t="inlineStr">
        <is>
          <t>Drop 1</t>
        </is>
      </c>
      <c r="C120" s="36" t="inlineStr">
        <is>
          <t>BRD-05</t>
        </is>
      </c>
      <c r="D120" s="37" t="inlineStr">
        <is>
          <t>FRBS 3.1.2 (Add. p.6)</t>
        </is>
      </c>
      <c r="E120" s="37" t="inlineStr">
        <is>
          <t>FR-AC (incentive income account)</t>
        </is>
      </c>
      <c r="F120" s="37" t="inlineStr">
        <is>
          <t>Deferred pending BDOI answer</t>
        </is>
      </c>
      <c r="G120" s="37" t="inlineStr">
        <is>
          <t>Early incentives reported as Other Income.</t>
        </is>
      </c>
      <c r="H120" s="37" t="inlineStr">
        <is>
          <t>The incentive component posts to its own account; placing 4130 under Other Income is a change to BDOI's chart for FRBS.</t>
        </is>
      </c>
      <c r="I120" s="37" t="inlineStr">
        <is>
          <t>AQ01.</t>
        </is>
      </c>
      <c r="J120" s="37" t="inlineStr">
        <is>
          <t>Financial statement grouping of incentive income.</t>
        </is>
      </c>
      <c r="K120" s="37" t="inlineStr">
        <is>
          <t>Comptrollership (FRBS)</t>
        </is>
      </c>
      <c r="L120" s="36" t="n">
        <v>1</v>
      </c>
      <c r="M120" s="36" t="n">
        <v>0</v>
      </c>
      <c r="N120" s="36" t="n">
        <v>1</v>
      </c>
      <c r="O120" s="36" t="n">
        <v>0</v>
      </c>
      <c r="P120" s="38">
        <f>SUM(L120:O120)</f>
        <v/>
      </c>
      <c r="Q120" s="37">
        <f>IF(P120=0,"0 - acceptance only",IF(P120&lt;=3,"S",IF(P120&lt;=10,"M",IF(P120&lt;=25,"L","XL")))&amp;" ("&amp;P120&amp;")")</f>
        <v/>
      </c>
      <c r="R120" s="36" t="n"/>
      <c r="S120" s="36" t="inlineStr">
        <is>
          <t>Low</t>
        </is>
      </c>
      <c r="T120" s="37" t="inlineStr">
        <is>
          <t>Draft</t>
        </is>
      </c>
      <c r="U120" s="37" t="inlineStr">
        <is>
          <t>Head, Comptrollership (FRBS, Disbursement and ACSL)</t>
        </is>
      </c>
      <c r="V120" s="37" t="inlineStr">
        <is>
          <t>AQ01</t>
        </is>
      </c>
      <c r="W120" s="37" t="inlineStr">
        <is>
          <t>FRS sign-off (Nov 2026)</t>
        </is>
      </c>
      <c r="X120" s="37" t="inlineStr">
        <is>
          <t>FRS BRD-5 Vol.1 chapter 12</t>
        </is>
      </c>
    </row>
    <row r="121">
      <c r="A121" s="35" t="inlineStr">
        <is>
          <t>CR-0117</t>
        </is>
      </c>
      <c r="B121" s="36" t="inlineStr">
        <is>
          <t>Drop 1</t>
        </is>
      </c>
      <c r="C121" s="36" t="inlineStr">
        <is>
          <t>BRD-05</t>
        </is>
      </c>
      <c r="D121" s="37" t="inlineStr">
        <is>
          <t>FRBS 3.2.0 (p.63), Appendix A (138 reports)</t>
        </is>
      </c>
      <c r="E121" s="37" t="inlineStr">
        <is>
          <t>FR-AC (report pack); FRS BRD-5 Vol.1 Appendix A</t>
        </is>
      </c>
      <c r="F121" s="37" t="inlineStr">
        <is>
          <t>Deferred pending BDOI answer</t>
        </is>
      </c>
      <c r="G121" s="37" t="inlineStr">
        <is>
          <t>The 138 reports and schedules of Appendix A.</t>
        </is>
      </c>
      <c r="H121" s="37" t="inlineStr">
        <is>
          <t>28 schedule definitions and 58 report-pack entries with draft layouts; lease, DTA, ECL and placement data are not in BIBS; payroll outputs are out of scope (BIBS has no payroll). Proposed: final layouts once BDOI supplies them.</t>
        </is>
      </c>
      <c r="I121" s="37" t="inlineStr">
        <is>
          <t>AQ05, AQ06 open.</t>
        </is>
      </c>
      <c r="J121" s="37" t="inlineStr">
        <is>
          <t>Part of the board and regulatory pack stays manual until layouts are final.</t>
        </is>
      </c>
      <c r="K121" s="37" t="inlineStr">
        <is>
          <t>Comptrollership (FRBS)</t>
        </is>
      </c>
      <c r="L121" s="36" t="n">
        <v>4</v>
      </c>
      <c r="M121" s="36" t="n">
        <v>15</v>
      </c>
      <c r="N121" s="36" t="n">
        <v>8</v>
      </c>
      <c r="O121" s="36" t="n">
        <v>2</v>
      </c>
      <c r="P121" s="38">
        <f>SUM(L121:O121)</f>
        <v/>
      </c>
      <c r="Q121" s="37">
        <f>IF(P121=0,"0 - acceptance only",IF(P121&lt;=3,"S",IF(P121&lt;=10,"M",IF(P121&lt;=25,"L","XL")))&amp;" ("&amp;P121&amp;")")</f>
        <v/>
      </c>
      <c r="R121" s="36" t="n"/>
      <c r="S121" s="36" t="inlineStr">
        <is>
          <t>High</t>
        </is>
      </c>
      <c r="T121" s="37" t="inlineStr">
        <is>
          <t>For CCB review</t>
        </is>
      </c>
      <c r="U121" s="37" t="inlineStr">
        <is>
          <t>Head, Comptrollership (FRBS, Disbursement and ACSL)</t>
        </is>
      </c>
      <c r="V121" s="37" t="inlineStr">
        <is>
          <t>AQ05; AQ06</t>
        </is>
      </c>
      <c r="W121" s="37" t="inlineStr">
        <is>
          <t>After BDOI answer (slot set by the CCB)</t>
        </is>
      </c>
      <c r="X121" s="37" t="inlineStr">
        <is>
          <t>FRS BRD-5 Vol.1 chapter 12</t>
        </is>
      </c>
    </row>
    <row r="122">
      <c r="A122" s="35" t="inlineStr">
        <is>
          <t>CR-0118</t>
        </is>
      </c>
      <c r="B122" s="36" t="inlineStr">
        <is>
          <t>Drop 1</t>
        </is>
      </c>
      <c r="C122" s="36" t="inlineStr">
        <is>
          <t>BRD-05</t>
        </is>
      </c>
      <c r="D122" s="37" t="inlineStr">
        <is>
          <t>FRBS 3.2.0 (VII) BIR books and forms (p.63); BRNB.100 (p.8-9) service invoice</t>
        </is>
      </c>
      <c r="E122" s="37" t="inlineStr">
        <is>
          <t>FR-AC (BIR); FR-NB-117</t>
        </is>
      </c>
      <c r="F122" s="37" t="inlineStr">
        <is>
          <t>Scope reduction / descoped</t>
        </is>
      </c>
      <c r="G122" s="37" t="inlineStr">
        <is>
          <t>BIR books and forms; service invoice transmission.</t>
        </is>
      </c>
      <c r="H122" s="37" t="inlineStr">
        <is>
          <t>Worksheets and loose-leaf books; not eFPS, DAT or CAS files. Service invoices are not transmitted to BIR electronically. Comptrollership uploads the forms manually.</t>
        </is>
      </c>
      <c r="I122" s="37" t="inlineStr">
        <is>
          <t>AQ07 open.</t>
        </is>
      </c>
      <c r="J122" s="37" t="inlineStr">
        <is>
          <t>Manual BIR filing continues.</t>
        </is>
      </c>
      <c r="K122" s="37" t="inlineStr">
        <is>
          <t>Comptrollership (Tax)</t>
        </is>
      </c>
      <c r="L122" s="36" t="n">
        <v>0</v>
      </c>
      <c r="M122" s="36" t="n">
        <v>0</v>
      </c>
      <c r="N122" s="36" t="n">
        <v>0</v>
      </c>
      <c r="O122" s="36" t="n">
        <v>0</v>
      </c>
      <c r="P122" s="38">
        <f>SUM(L122:O122)</f>
        <v/>
      </c>
      <c r="Q122" s="37">
        <f>IF(P122=0,"0 - acceptance only",IF(P122&lt;=3,"S",IF(P122&lt;=10,"M",IF(P122&lt;=25,"L","XL")))&amp;" ("&amp;P122&amp;")")</f>
        <v/>
      </c>
      <c r="R122" s="36" t="n">
        <v>23</v>
      </c>
      <c r="S122" s="36" t="inlineStr">
        <is>
          <t>High</t>
        </is>
      </c>
      <c r="T122" s="37" t="inlineStr">
        <is>
          <t>For CCB review</t>
        </is>
      </c>
      <c r="U122" s="37" t="inlineStr">
        <is>
          <t>Head, Comptrollership (FRBS, Disbursement and ACSL)</t>
        </is>
      </c>
      <c r="V122" s="37" t="inlineStr">
        <is>
          <t>AQ07</t>
        </is>
      </c>
      <c r="W122" s="37" t="inlineStr">
        <is>
          <t>FRS sign-off (Nov 2026)</t>
        </is>
      </c>
      <c r="X122" s="37" t="inlineStr">
        <is>
          <t>FRS BRD-5 Vol.1 chapter 12; FRS BRD-1 interfaces (BIR CAS)</t>
        </is>
      </c>
    </row>
    <row r="123">
      <c r="A123" s="35" t="inlineStr">
        <is>
          <t>CR-0119</t>
        </is>
      </c>
      <c r="B123" s="36" t="inlineStr">
        <is>
          <t>Drop 0</t>
        </is>
      </c>
      <c r="C123" s="36" t="inlineStr">
        <is>
          <t>BRD-05</t>
        </is>
      </c>
      <c r="D123" s="37" t="inlineStr">
        <is>
          <t>BASAU 2.3.2 (p.129); BASAU 2.4.1, 2.5.3, 2.6.x (p.130)</t>
        </is>
      </c>
      <c r="E123" s="37" t="inlineStr">
        <is>
          <t>FR-AC-072; FR-UA (access requests)</t>
        </is>
      </c>
      <c r="F123" s="37" t="inlineStr">
        <is>
          <t>Behaviour differs from BRD</t>
        </is>
      </c>
      <c r="G123" s="37" t="inlineStr">
        <is>
          <t>Assign functionality to a role; return requests; select several requests.</t>
        </is>
      </c>
      <c r="H123" s="37" t="inlineStr">
        <is>
          <t>A change of role permissions is an access request approved by a second user. The API returns a request with remarks, lets the requester resubmit it and approves in bulk; the Access Requests screen and My Approvals do not show Return, Resubmit or bulk approval yet. Proposed: add the three actions on the screens.</t>
        </is>
      </c>
      <c r="I123" s="37" t="inlineStr">
        <is>
          <t>PQ17; FRS BRD-5 Vol.1 Gap G2.</t>
        </is>
      </c>
      <c r="J123" s="37" t="inlineStr">
        <is>
          <t>Approvers approve one by one on screen.</t>
        </is>
      </c>
      <c r="K123" s="37" t="inlineStr">
        <is>
          <t>Comptrollership; ITIO</t>
        </is>
      </c>
      <c r="L123" s="36" t="n">
        <v>1</v>
      </c>
      <c r="M123" s="36" t="n">
        <v>3</v>
      </c>
      <c r="N123" s="36" t="n">
        <v>2</v>
      </c>
      <c r="O123" s="36" t="n">
        <v>1</v>
      </c>
      <c r="P123" s="38">
        <f>SUM(L123:O123)</f>
        <v/>
      </c>
      <c r="Q123" s="37">
        <f>IF(P123=0,"0 - acceptance only",IF(P123&lt;=3,"S",IF(P123&lt;=10,"M",IF(P123&lt;=25,"L","XL")))&amp;" ("&amp;P123&amp;")")</f>
        <v/>
      </c>
      <c r="R123" s="36" t="n"/>
      <c r="S123" s="36" t="inlineStr">
        <is>
          <t>Low</t>
        </is>
      </c>
      <c r="T123" s="37" t="inlineStr">
        <is>
          <t>Draft</t>
        </is>
      </c>
      <c r="U123" s="37" t="inlineStr">
        <is>
          <t>Head, Comptrollership (FRBS, Disbursement and ACSL)</t>
        </is>
      </c>
      <c r="V123" s="37" t="inlineStr">
        <is>
          <t>PQ17; CLR-CR-02 (FRS BRD-5 Vol.1)</t>
        </is>
      </c>
      <c r="W123" s="37" t="inlineStr">
        <is>
          <t>Drop 1, first release (Nov - Dec 2026)</t>
        </is>
      </c>
      <c r="X123" s="37" t="inlineStr">
        <is>
          <t>FRS BRD-5 Vol.1 chapter 12</t>
        </is>
      </c>
    </row>
    <row r="124">
      <c r="A124" s="35" t="inlineStr">
        <is>
          <t>CR-0120</t>
        </is>
      </c>
      <c r="B124" s="36" t="inlineStr">
        <is>
          <t>Drop 1</t>
        </is>
      </c>
      <c r="C124" s="36" t="inlineStr">
        <is>
          <t>BRD-05</t>
        </is>
      </c>
      <c r="D124" s="37" t="inlineStr">
        <is>
          <t>DIS 3.25.0 (p.95); DIS 2.2.4 (p.70); DIS 2.7.6 (p.80); DIS 3.27.0 (p.99)</t>
        </is>
      </c>
      <c r="E124" s="37" t="inlineStr">
        <is>
          <t>FR-DS (payee, request intake, proforma)</t>
        </is>
      </c>
      <c r="F124" s="37" t="inlineStr">
        <is>
          <t>Behaviour differs from BRD</t>
        </is>
      </c>
      <c r="G124" s="37" t="inlineStr">
        <is>
          <t>Auto-reject a request whose payee is not maintained; delete payee details; proforma entry editable.</t>
        </is>
      </c>
      <c r="H124" s="37" t="inlineStr">
        <is>
          <t>By default the request waits as No Payee, a payee request is raised and an alert sent; DISB_NO_PAYEE_ACTION = RETURN returns it as the BRD says. Only a never-used draft payee is deleted; others are deactivated with authorisation. Lines are editable until approval and marked Edited.</t>
        </is>
      </c>
      <c r="I124" s="37" t="inlineStr">
        <is>
          <t>AQ11, AQ12, AQ13.</t>
        </is>
      </c>
      <c r="J124" s="37" t="inlineStr">
        <is>
          <t>Fewer rejected requests; payee history kept.</t>
        </is>
      </c>
      <c r="K124" s="37" t="inlineStr">
        <is>
          <t>Comptrollership (Disbursement)</t>
        </is>
      </c>
      <c r="L124" s="36" t="n">
        <v>0</v>
      </c>
      <c r="M124" s="36" t="n">
        <v>0</v>
      </c>
      <c r="N124" s="36" t="n">
        <v>0</v>
      </c>
      <c r="O124" s="36" t="n">
        <v>0</v>
      </c>
      <c r="P124" s="38">
        <f>SUM(L124:O124)</f>
        <v/>
      </c>
      <c r="Q124" s="37">
        <f>IF(P124=0,"0 - acceptance only",IF(P124&lt;=3,"S",IF(P124&lt;=10,"M",IF(P124&lt;=25,"L","XL")))&amp;" ("&amp;P124&amp;")")</f>
        <v/>
      </c>
      <c r="R124" s="36" t="n"/>
      <c r="S124" s="36" t="inlineStr">
        <is>
          <t>Low</t>
        </is>
      </c>
      <c r="T124" s="37" t="inlineStr">
        <is>
          <t>For acceptance</t>
        </is>
      </c>
      <c r="U124" s="37" t="inlineStr">
        <is>
          <t>Head, Comptrollership (FRBS, Disbursement and ACSL)</t>
        </is>
      </c>
      <c r="V124" s="37" t="inlineStr">
        <is>
          <t>AQ11; AQ12; AQ13</t>
        </is>
      </c>
      <c r="W124" s="37" t="inlineStr">
        <is>
          <t>FRS sign-off (Nov 2026)</t>
        </is>
      </c>
      <c r="X124" s="37" t="inlineStr">
        <is>
          <t>FRS BRD-5 Vol.2 chapter 12</t>
        </is>
      </c>
    </row>
    <row r="125">
      <c r="A125" s="35" t="inlineStr">
        <is>
          <t>CR-0121</t>
        </is>
      </c>
      <c r="B125" s="36" t="inlineStr">
        <is>
          <t>Drop 1</t>
        </is>
      </c>
      <c r="C125" s="36" t="inlineStr">
        <is>
          <t>BRD-05</t>
        </is>
      </c>
      <c r="D125" s="37" t="inlineStr">
        <is>
          <t>DIS 2.8.1 (p.83); DIS 2.16.2</t>
        </is>
      </c>
      <c r="E125" s="37" t="inlineStr">
        <is>
          <t>FR-DS (check printing)</t>
        </is>
      </c>
      <c r="F125" s="37" t="inlineStr">
        <is>
          <t>Deferred pending BDOI answer</t>
        </is>
      </c>
      <c r="G125" s="37" t="inlineStr">
        <is>
          <t>Check statuses; checks printed at EOD.</t>
        </is>
      </c>
      <c r="H125" s="37" t="inlineStr">
        <is>
          <t>A check takes the next leaf of the paying account's cheque book when printed; the layout is a draft template until BDOI gives the bank layout.</t>
        </is>
      </c>
      <c r="I125" s="37" t="inlineStr">
        <is>
          <t>AQ14 open.</t>
        </is>
      </c>
      <c r="J125" s="37" t="inlineStr">
        <is>
          <t>Checks cannot be printed on bank stock until the layout is final.</t>
        </is>
      </c>
      <c r="K125" s="37" t="inlineStr">
        <is>
          <t>Comptrollership (Disbursement)</t>
        </is>
      </c>
      <c r="L125" s="36" t="n">
        <v>1</v>
      </c>
      <c r="M125" s="36" t="n">
        <v>2</v>
      </c>
      <c r="N125" s="36" t="n">
        <v>2</v>
      </c>
      <c r="O125" s="36" t="n">
        <v>0</v>
      </c>
      <c r="P125" s="38">
        <f>SUM(L125:O125)</f>
        <v/>
      </c>
      <c r="Q125" s="37">
        <f>IF(P125=0,"0 - acceptance only",IF(P125&lt;=3,"S",IF(P125&lt;=10,"M",IF(P125&lt;=25,"L","XL")))&amp;" ("&amp;P125&amp;")")</f>
        <v/>
      </c>
      <c r="R125" s="36" t="n"/>
      <c r="S125" s="36" t="inlineStr">
        <is>
          <t>Medium</t>
        </is>
      </c>
      <c r="T125" s="37" t="inlineStr">
        <is>
          <t>Draft</t>
        </is>
      </c>
      <c r="U125" s="37" t="inlineStr">
        <is>
          <t>Head, Comptrollership (FRBS, Disbursement and ACSL)</t>
        </is>
      </c>
      <c r="V125" s="37" t="inlineStr">
        <is>
          <t>AQ14</t>
        </is>
      </c>
      <c r="W125" s="37" t="inlineStr">
        <is>
          <t>After BDOI answer (slot set by the CCB)</t>
        </is>
      </c>
      <c r="X125" s="37" t="inlineStr">
        <is>
          <t>FRS BRD-5 Vol.2 chapter 12</t>
        </is>
      </c>
    </row>
    <row r="126">
      <c r="A126" s="35" t="inlineStr">
        <is>
          <t>CR-0122</t>
        </is>
      </c>
      <c r="B126" s="36" t="inlineStr">
        <is>
          <t>Drop 1</t>
        </is>
      </c>
      <c r="C126" s="36" t="inlineStr">
        <is>
          <t>BRD-05</t>
        </is>
      </c>
      <c r="D126" s="37" t="inlineStr">
        <is>
          <t>DIS 2.20.0 (p.92); MKT 1.19.0 (p.110); DIS 2.17.x (p.90)</t>
        </is>
      </c>
      <c r="E126" s="37" t="inlineStr">
        <is>
          <t>FR-DS (DV cancellation, funding); FR-PQ</t>
        </is>
      </c>
      <c r="F126" s="37" t="inlineStr">
        <is>
          <t>Behaviour differs from BRD</t>
        </is>
      </c>
      <c r="G126" s="37" t="inlineStr">
        <is>
          <t>Cancel an approved DV and regularise the source data; cancellation of a disbursed check routed to Disbursement; funding through BOB with a verifier and two approvers.</t>
        </is>
      </c>
      <c r="H126" s="37" t="inlineStr">
        <is>
          <t>The DV journal is reversed and the request goes back to its source (for a remittance DV the batch is returned to review and sent again under a new cycle); Marketing cancellations are handed to the Disbursement approvers; funding is a BIBS four-eyes workflow and the BOB transaction itself is done in BOB with its reference recorded.</t>
        </is>
      </c>
      <c r="I126" s="37" t="inlineStr">
        <is>
          <t>AQ10, AQ15.</t>
        </is>
      </c>
      <c r="J126" s="37" t="inlineStr">
        <is>
          <t>None on control; BOB stays the funding system.</t>
        </is>
      </c>
      <c r="K126" s="37" t="inlineStr">
        <is>
          <t>Comptrollership (Disbursement); Operations (Remittance); Marketing</t>
        </is>
      </c>
      <c r="L126" s="36" t="n">
        <v>0</v>
      </c>
      <c r="M126" s="36" t="n">
        <v>0</v>
      </c>
      <c r="N126" s="36" t="n">
        <v>0</v>
      </c>
      <c r="O126" s="36" t="n">
        <v>0</v>
      </c>
      <c r="P126" s="38">
        <f>SUM(L126:O126)</f>
        <v/>
      </c>
      <c r="Q126" s="37">
        <f>IF(P126=0,"0 - acceptance only",IF(P126&lt;=3,"S",IF(P126&lt;=10,"M",IF(P126&lt;=25,"L","XL")))&amp;" ("&amp;P126&amp;")")</f>
        <v/>
      </c>
      <c r="R126" s="36" t="n"/>
      <c r="S126" s="36" t="inlineStr">
        <is>
          <t>Medium</t>
        </is>
      </c>
      <c r="T126" s="37" t="inlineStr">
        <is>
          <t>For acceptance</t>
        </is>
      </c>
      <c r="U126" s="37" t="inlineStr">
        <is>
          <t>Head, Comptrollership (FRBS, Disbursement and ACSL)</t>
        </is>
      </c>
      <c r="V126" s="37" t="inlineStr">
        <is>
          <t>AQ10; AQ15</t>
        </is>
      </c>
      <c r="W126" s="37" t="inlineStr">
        <is>
          <t>FRS sign-off (Nov 2026)</t>
        </is>
      </c>
      <c r="X126" s="37" t="inlineStr">
        <is>
          <t>FRS BRD-5 Vol.2 chapter 12</t>
        </is>
      </c>
    </row>
    <row r="127">
      <c r="A127" s="35" t="inlineStr">
        <is>
          <t>CR-0123</t>
        </is>
      </c>
      <c r="B127" s="36" t="inlineStr">
        <is>
          <t>Drop 1</t>
        </is>
      </c>
      <c r="C127" s="36" t="inlineStr">
        <is>
          <t>BRD-05</t>
        </is>
      </c>
      <c r="D127" s="37" t="inlineStr">
        <is>
          <t>DIS 2.10.x (p.86); DIS 2.11.x (p.86)</t>
        </is>
      </c>
      <c r="E127" s="37" t="inlineStr">
        <is>
          <t>FR-DS (OR / AR tagging, CWT tagging)</t>
        </is>
      </c>
      <c r="F127" s="37" t="inlineStr">
        <is>
          <t>Deferred pending BDOI answer</t>
        </is>
      </c>
      <c r="G127" s="37" t="inlineStr">
        <is>
          <t>OR / AR tagging on DVs; CWT tagging.</t>
        </is>
      </c>
      <c r="H127" s="37" t="inlineStr">
        <is>
          <t>Every approved DV counts as unregularised until tagged; which DVs need an OR / AR back is open. The CWT tag records the certificate on the DV; insurer certificates on commission are kept in one register in Tax.</t>
        </is>
      </c>
      <c r="I127" s="37" t="inlineStr">
        <is>
          <t>AQ16, AQ17 open.</t>
        </is>
      </c>
      <c r="J127" s="37" t="inlineStr">
        <is>
          <t>The unregularised DV list includes DVs that need no OR.</t>
        </is>
      </c>
      <c r="K127" s="37" t="inlineStr">
        <is>
          <t>Comptrollership (Disbursement, Tax)</t>
        </is>
      </c>
      <c r="L127" s="36" t="n">
        <v>1</v>
      </c>
      <c r="M127" s="36" t="n">
        <v>1</v>
      </c>
      <c r="N127" s="36" t="n">
        <v>1</v>
      </c>
      <c r="O127" s="36" t="n">
        <v>0</v>
      </c>
      <c r="P127" s="38">
        <f>SUM(L127:O127)</f>
        <v/>
      </c>
      <c r="Q127" s="37">
        <f>IF(P127=0,"0 - acceptance only",IF(P127&lt;=3,"S",IF(P127&lt;=10,"M",IF(P127&lt;=25,"L","XL")))&amp;" ("&amp;P127&amp;")")</f>
        <v/>
      </c>
      <c r="R127" s="36" t="n"/>
      <c r="S127" s="36" t="inlineStr">
        <is>
          <t>Low</t>
        </is>
      </c>
      <c r="T127" s="37" t="inlineStr">
        <is>
          <t>Draft</t>
        </is>
      </c>
      <c r="U127" s="37" t="inlineStr">
        <is>
          <t>Head, Comptrollership (FRBS, Disbursement and ACSL)</t>
        </is>
      </c>
      <c r="V127" s="37" t="inlineStr">
        <is>
          <t>AQ16; AQ17</t>
        </is>
      </c>
      <c r="W127" s="37" t="inlineStr">
        <is>
          <t>After BDOI answer (slot set by the CCB)</t>
        </is>
      </c>
      <c r="X127" s="37" t="inlineStr">
        <is>
          <t>FRS BRD-5 Vol.2 chapter 12</t>
        </is>
      </c>
    </row>
    <row r="128">
      <c r="A128" s="35" t="inlineStr">
        <is>
          <t>CR-0124</t>
        </is>
      </c>
      <c r="B128" s="36" t="inlineStr">
        <is>
          <t>Drop 1</t>
        </is>
      </c>
      <c r="C128" s="36" t="inlineStr">
        <is>
          <t>BRD-05</t>
        </is>
      </c>
      <c r="D128" s="37" t="inlineStr">
        <is>
          <t>DIS 3.27.2 (p.100); ACSL 2.16.0 (p.126)</t>
        </is>
      </c>
      <c r="E128" s="37" t="inlineStr">
        <is>
          <t>FR-DS (invoice family); FR-OP (Invoice 360)</t>
        </is>
      </c>
      <c r="F128" s="37" t="inlineStr">
        <is>
          <t>Behaviour differs from BRD</t>
        </is>
      </c>
      <c r="G128" s="37" t="inlineStr">
        <is>
          <t>One invoice number for related transactions (booking, adjustment, cancellation).</t>
        </is>
      </c>
      <c r="H128" s="37" t="inlineStr">
        <is>
          <t>Endorsements and cancellations keep their own BIR invoice number and carry the root invoice number; Invoice 360 shows the family.</t>
        </is>
      </c>
      <c r="I128" s="37" t="inlineStr">
        <is>
          <t>BIR numbering rules; AQ29.</t>
        </is>
      </c>
      <c r="J128" s="37" t="inlineStr">
        <is>
          <t>Users trace a policy's transactions through the root number.</t>
        </is>
      </c>
      <c r="K128" s="37" t="inlineStr">
        <is>
          <t>Comptrollership; Operations; Processing</t>
        </is>
      </c>
      <c r="L128" s="36" t="n">
        <v>0</v>
      </c>
      <c r="M128" s="36" t="n">
        <v>0</v>
      </c>
      <c r="N128" s="36" t="n">
        <v>0</v>
      </c>
      <c r="O128" s="36" t="n">
        <v>0</v>
      </c>
      <c r="P128" s="38">
        <f>SUM(L128:O128)</f>
        <v/>
      </c>
      <c r="Q128" s="37">
        <f>IF(P128=0,"0 - acceptance only",IF(P128&lt;=3,"S",IF(P128&lt;=10,"M",IF(P128&lt;=25,"L","XL")))&amp;" ("&amp;P128&amp;")")</f>
        <v/>
      </c>
      <c r="R128" s="36" t="n"/>
      <c r="S128" s="36" t="inlineStr">
        <is>
          <t>High</t>
        </is>
      </c>
      <c r="T128" s="37" t="inlineStr">
        <is>
          <t>For acceptance</t>
        </is>
      </c>
      <c r="U128" s="37" t="inlineStr">
        <is>
          <t>Head, Comptrollership (FRBS, Disbursement and ACSL)</t>
        </is>
      </c>
      <c r="V128" s="37" t="inlineStr">
        <is>
          <t>DCR-058; AQ29</t>
        </is>
      </c>
      <c r="W128" s="37" t="inlineStr">
        <is>
          <t>FRS sign-off (Nov 2026)</t>
        </is>
      </c>
      <c r="X128" s="37" t="inlineStr">
        <is>
          <t>FRS BRD-5 Vol.2 chapter 12; register DCR-058</t>
        </is>
      </c>
    </row>
    <row r="129">
      <c r="A129" s="35" t="inlineStr">
        <is>
          <t>CR-0125</t>
        </is>
      </c>
      <c r="B129" s="36" t="inlineStr">
        <is>
          <t>Drop 1</t>
        </is>
      </c>
      <c r="C129" s="36" t="inlineStr">
        <is>
          <t>BRD-05</t>
        </is>
      </c>
      <c r="D129" s="37" t="inlineStr">
        <is>
          <t>DIS 3.29.1 (Add. p.7-8)</t>
        </is>
      </c>
      <c r="E129" s="37" t="inlineStr">
        <is>
          <t>FR-DS (early incentive); FR-OP (remittance)</t>
        </is>
      </c>
      <c r="F129" s="37" t="inlineStr">
        <is>
          <t>Deferred pending BDOI answer</t>
        </is>
      </c>
      <c r="G129" s="37" t="inlineStr">
        <is>
          <t>Service invoice of the early incentive issued automatically with 2% withholding.</t>
        </is>
      </c>
      <c r="H129" s="37" t="inlineStr">
        <is>
          <t>One service invoice per batch; until AQ25 is answered the incentive is deducted in full from the remittance and the insurer's 2% withholding is not posted.</t>
        </is>
      </c>
      <c r="I129" s="37" t="inlineStr">
        <is>
          <t>AQ25 open.</t>
        </is>
      </c>
      <c r="J129" s="37" t="inlineStr">
        <is>
          <t>Remittance deduction overstated by the withholding until closed.</t>
        </is>
      </c>
      <c r="K129" s="37" t="inlineStr">
        <is>
          <t>Operations (Remittance); Comptrollership (Tax)</t>
        </is>
      </c>
      <c r="L129" s="36" t="n">
        <v>1</v>
      </c>
      <c r="M129" s="36" t="n">
        <v>3</v>
      </c>
      <c r="N129" s="36" t="n">
        <v>2</v>
      </c>
      <c r="O129" s="36" t="n">
        <v>1</v>
      </c>
      <c r="P129" s="38">
        <f>SUM(L129:O129)</f>
        <v/>
      </c>
      <c r="Q129" s="37">
        <f>IF(P129=0,"0 - acceptance only",IF(P129&lt;=3,"S",IF(P129&lt;=10,"M",IF(P129&lt;=25,"L","XL")))&amp;" ("&amp;P129&amp;")")</f>
        <v/>
      </c>
      <c r="R129" s="36" t="n"/>
      <c r="S129" s="36" t="inlineStr">
        <is>
          <t>High</t>
        </is>
      </c>
      <c r="T129" s="37" t="inlineStr">
        <is>
          <t>Draft</t>
        </is>
      </c>
      <c r="U129" s="37" t="inlineStr">
        <is>
          <t>Head, Comptrollership (FRBS, Disbursement and ACSL)</t>
        </is>
      </c>
      <c r="V129" s="37" t="inlineStr">
        <is>
          <t>AQ25</t>
        </is>
      </c>
      <c r="W129" s="37" t="inlineStr">
        <is>
          <t>After BDOI answer (slot set by the CCB)</t>
        </is>
      </c>
      <c r="X129" s="37" t="inlineStr">
        <is>
          <t>FRS BRD-5 Vol.2 chapter 12</t>
        </is>
      </c>
    </row>
    <row r="130">
      <c r="A130" s="35" t="inlineStr">
        <is>
          <t>CR-0126</t>
        </is>
      </c>
      <c r="B130" s="36" t="inlineStr">
        <is>
          <t>Drop 1</t>
        </is>
      </c>
      <c r="C130" s="36" t="inlineStr">
        <is>
          <t>BRD-05</t>
        </is>
      </c>
      <c r="D130" s="37" t="inlineStr">
        <is>
          <t>DIS 3.29.0 (Add. p.7)</t>
        </is>
      </c>
      <c r="E130" s="37" t="inlineStr">
        <is>
          <t>FR-DS (CPC2 report)</t>
        </is>
      </c>
      <c r="F130" s="37" t="inlineStr">
        <is>
          <t>Behaviour differs from BRD</t>
        </is>
      </c>
      <c r="G130" s="37" t="inlineStr">
        <is>
          <t>CPC2 report.</t>
        </is>
      </c>
      <c r="H130" s="37" t="inlineStr">
        <is>
          <t>The CPC2 amounts are on the remittance batch and its schedule. Proposed: a CPC2 report.</t>
        </is>
      </c>
      <c r="I130" s="37" t="inlineStr">
        <is>
          <t>FRS BRD-5 Vol.2 Gap G4.</t>
        </is>
      </c>
      <c r="J130" s="37" t="inlineStr">
        <is>
          <t>CPC2 figures are read from each batch.</t>
        </is>
      </c>
      <c r="K130" s="37" t="inlineStr">
        <is>
          <t>Operations (Remittance); MBS</t>
        </is>
      </c>
      <c r="L130" s="36" t="n">
        <v>1</v>
      </c>
      <c r="M130" s="36" t="n">
        <v>2</v>
      </c>
      <c r="N130" s="36" t="n">
        <v>1</v>
      </c>
      <c r="O130" s="36" t="n">
        <v>0</v>
      </c>
      <c r="P130" s="38">
        <f>SUM(L130:O130)</f>
        <v/>
      </c>
      <c r="Q130" s="37">
        <f>IF(P130=0,"0 - acceptance only",IF(P130&lt;=3,"S",IF(P130&lt;=10,"M",IF(P130&lt;=25,"L","XL")))&amp;" ("&amp;P130&amp;")")</f>
        <v/>
      </c>
      <c r="R130" s="36" t="n"/>
      <c r="S130" s="36" t="inlineStr">
        <is>
          <t>Low</t>
        </is>
      </c>
      <c r="T130" s="37" t="inlineStr">
        <is>
          <t>Draft</t>
        </is>
      </c>
      <c r="U130" s="37" t="inlineStr">
        <is>
          <t>Head, Comptrollership (FRBS, Disbursement and ACSL)</t>
        </is>
      </c>
      <c r="V130" s="37" t="inlineStr">
        <is>
          <t>CLR-CR-04 (FRS BRD-5 Vol.2)</t>
        </is>
      </c>
      <c r="W130" s="37" t="inlineStr">
        <is>
          <t>Drop 1, second release (Jan - Feb 2027)</t>
        </is>
      </c>
      <c r="X130" s="37" t="inlineStr">
        <is>
          <t>FRS BRD-5 Vol.2 chapter 12</t>
        </is>
      </c>
    </row>
    <row r="131">
      <c r="A131" s="35" t="inlineStr">
        <is>
          <t>CR-0127</t>
        </is>
      </c>
      <c r="B131" s="36" t="inlineStr">
        <is>
          <t>Drop 1</t>
        </is>
      </c>
      <c r="C131" s="36" t="inlineStr">
        <is>
          <t>BRD-05</t>
        </is>
      </c>
      <c r="D131" s="37" t="inlineStr">
        <is>
          <t>MKT 1.7.0 (p.106); MKT 1.10.0; MKT 1.12.0, 1.13.0 (p.108); MKT 2.25.0 (p.112)</t>
        </is>
      </c>
      <c r="E131" s="37" t="inlineStr">
        <is>
          <t>FR-PQ (Marketing payment requests)</t>
        </is>
      </c>
      <c r="F131" s="37" t="inlineStr">
        <is>
          <t>Scope reduction / descoped</t>
        </is>
      </c>
      <c r="G131" s="37" t="inlineStr">
        <is>
          <t>Unapplied payment report for Marketing; upload .txt files and preview documents side by side; CA / SA on the client record.</t>
        </is>
      </c>
      <c r="H131" s="37" t="inlineStr">
        <is>
          <t>Marketing runs the Cashiering reports (no segment filter); .txt is not an accepted type and files open one at a time; CA / SA recorded on approval with the BDO account number checked as 10 to 16 digits until AQ19.</t>
        </is>
      </c>
      <c r="I131" s="37" t="inlineStr">
        <is>
          <t>AQ18, AQ19.</t>
        </is>
      </c>
      <c r="J131" s="37" t="inlineStr">
        <is>
          <t>Marketing uses the Cashiering report; no side-by-side preview.</t>
        </is>
      </c>
      <c r="K131" s="37" t="inlineStr">
        <is>
          <t>Marketing; Operations (Cashiering)</t>
        </is>
      </c>
      <c r="L131" s="36" t="n">
        <v>0</v>
      </c>
      <c r="M131" s="36" t="n">
        <v>0</v>
      </c>
      <c r="N131" s="36" t="n">
        <v>0</v>
      </c>
      <c r="O131" s="36" t="n">
        <v>0</v>
      </c>
      <c r="P131" s="38">
        <f>SUM(L131:O131)</f>
        <v/>
      </c>
      <c r="Q131" s="37">
        <f>IF(P131=0,"0 - acceptance only",IF(P131&lt;=3,"S",IF(P131&lt;=10,"M",IF(P131&lt;=25,"L","XL")))&amp;" ("&amp;P131&amp;")")</f>
        <v/>
      </c>
      <c r="R131" s="36" t="n">
        <v>6</v>
      </c>
      <c r="S131" s="36" t="inlineStr">
        <is>
          <t>Low</t>
        </is>
      </c>
      <c r="T131" s="37" t="inlineStr">
        <is>
          <t>For acceptance</t>
        </is>
      </c>
      <c r="U131" s="37" t="inlineStr">
        <is>
          <t>Head, Comptrollership (FRBS, Disbursement and ACSL)</t>
        </is>
      </c>
      <c r="V131" s="37" t="inlineStr">
        <is>
          <t>AQ18; AQ19</t>
        </is>
      </c>
      <c r="W131" s="37" t="inlineStr">
        <is>
          <t>FRS sign-off (Nov 2026)</t>
        </is>
      </c>
      <c r="X131" s="37" t="inlineStr">
        <is>
          <t>FRS BRD-5 Vol.2 chapter 12</t>
        </is>
      </c>
    </row>
    <row r="132">
      <c r="A132" s="35" t="inlineStr">
        <is>
          <t>CR-0128</t>
        </is>
      </c>
      <c r="B132" s="36" t="inlineStr">
        <is>
          <t>Drop 1</t>
        </is>
      </c>
      <c r="C132" s="36" t="inlineStr">
        <is>
          <t>BRD-05</t>
        </is>
      </c>
      <c r="D132" s="37" t="inlineStr">
        <is>
          <t>BRD-5 Appendix D (p.152-153), cash-advance liquidation form; MKT 1.10.0 (p.107)</t>
        </is>
      </c>
      <c r="E132" s="37" t="inlineStr">
        <is>
          <t>FR-PQ (liquidation, return, post)</t>
        </is>
      </c>
      <c r="F132" s="37" t="inlineStr">
        <is>
          <t>Scope addition — beyond BRD</t>
        </is>
      </c>
      <c r="G132" s="37" t="inlineStr">
        <is>
          <t>The form is in Appendix D; its scope is to be confirmed.</t>
        </is>
      </c>
      <c r="H132" s="37" t="inlineStr">
        <is>
          <t>Liquidation, return and posting of cash advances.</t>
        </is>
      </c>
      <c r="I132" s="37" t="inlineStr">
        <is>
          <t>AQ18 open on scope.</t>
        </is>
      </c>
      <c r="J132" s="37" t="inlineStr">
        <is>
          <t>Cash advances liquidated in BIBS.</t>
        </is>
      </c>
      <c r="K132" s="37" t="inlineStr">
        <is>
          <t>Marketing; Comptrollership</t>
        </is>
      </c>
      <c r="L132" s="36" t="n">
        <v>0</v>
      </c>
      <c r="M132" s="36" t="n">
        <v>0</v>
      </c>
      <c r="N132" s="36" t="n">
        <v>0</v>
      </c>
      <c r="O132" s="36" t="n">
        <v>0</v>
      </c>
      <c r="P132" s="38">
        <f>SUM(L132:O132)</f>
        <v/>
      </c>
      <c r="Q132" s="37">
        <f>IF(P132=0,"0 - acceptance only",IF(P132&lt;=3,"S",IF(P132&lt;=10,"M",IF(P132&lt;=25,"L","XL")))&amp;" ("&amp;P132&amp;")")</f>
        <v/>
      </c>
      <c r="R132" s="36" t="n"/>
      <c r="S132" s="36" t="inlineStr">
        <is>
          <t>Low</t>
        </is>
      </c>
      <c r="T132" s="37" t="inlineStr">
        <is>
          <t>For acceptance</t>
        </is>
      </c>
      <c r="U132" s="37" t="inlineStr">
        <is>
          <t>Head, Comptrollership (FRBS, Disbursement and ACSL)</t>
        </is>
      </c>
      <c r="V132" s="37" t="inlineStr">
        <is>
          <t>AQ18</t>
        </is>
      </c>
      <c r="W132" s="37" t="inlineStr">
        <is>
          <t>FRS sign-off (Nov 2026)</t>
        </is>
      </c>
      <c r="X132" s="37" t="inlineStr">
        <is>
          <t>FRS BRD-5 Vol.2 chapter 12</t>
        </is>
      </c>
    </row>
    <row r="133">
      <c r="A133" s="35" t="inlineStr">
        <is>
          <t>CR-0129</t>
        </is>
      </c>
      <c r="B133" s="36" t="inlineStr">
        <is>
          <t>Drop 1</t>
        </is>
      </c>
      <c r="C133" s="36" t="inlineStr">
        <is>
          <t>BRD-05</t>
        </is>
      </c>
      <c r="D133" s="37" t="inlineStr">
        <is>
          <t>ACSL 2.4.0 (p.117); ACSL 2.9.2 (Add. p.13); ACSL 2.13.2 (p.121)</t>
        </is>
      </c>
      <c r="E133" s="37" t="inlineStr">
        <is>
          <t>FR-AS (SOA reconciliation, deductions, GL-SL reconciliation)</t>
        </is>
      </c>
      <c r="F133" s="37" t="inlineStr">
        <is>
          <t>Deferred pending BDOI answer</t>
        </is>
      </c>
      <c r="G133" s="37" t="inlineStr">
        <is>
          <t>Upload SOA files that trigger reconciliation; remittance deduction on insurer confirmation; GL-SL reconciliation also at period end.</t>
        </is>
      </c>
      <c r="H133" s="37" t="inlineStr">
        <is>
          <t>The SOA file is read in one request (up to ACSL_SOA_MAX_ROWS) and reconciled once loaded, layouts per insurer as configuration; the deduction stays Confirmed while batches consume it and is Applied when every batch has the insurer OR (sources and spanning batches wait for BDOI); GL-SL reconciliation runs nightly and on demand, a period-end stop is not proposed.</t>
        </is>
      </c>
      <c r="I133" s="37" t="inlineStr">
        <is>
          <t>AQ21, AQ23 open.</t>
        </is>
      </c>
      <c r="J133" s="37" t="inlineStr">
        <is>
          <t>Period-end GL-SL evidence is the last nightly run.</t>
        </is>
      </c>
      <c r="K133" s="37" t="inlineStr">
        <is>
          <t>Comptrollership (ACSL); Operations (Remittance)</t>
        </is>
      </c>
      <c r="L133" s="36" t="n">
        <v>2</v>
      </c>
      <c r="M133" s="36" t="n">
        <v>4</v>
      </c>
      <c r="N133" s="36" t="n">
        <v>4</v>
      </c>
      <c r="O133" s="36" t="n">
        <v>0</v>
      </c>
      <c r="P133" s="38">
        <f>SUM(L133:O133)</f>
        <v/>
      </c>
      <c r="Q133" s="37">
        <f>IF(P133=0,"0 - acceptance only",IF(P133&lt;=3,"S",IF(P133&lt;=10,"M",IF(P133&lt;=25,"L","XL")))&amp;" ("&amp;P133&amp;")")</f>
        <v/>
      </c>
      <c r="R133" s="36" t="n"/>
      <c r="S133" s="36" t="inlineStr">
        <is>
          <t>Medium</t>
        </is>
      </c>
      <c r="T133" s="37" t="inlineStr">
        <is>
          <t>Draft</t>
        </is>
      </c>
      <c r="U133" s="37" t="inlineStr">
        <is>
          <t>Head, Comptrollership (FRBS, Disbursement and ACSL)</t>
        </is>
      </c>
      <c r="V133" s="37" t="inlineStr">
        <is>
          <t>AQ21; AQ23</t>
        </is>
      </c>
      <c r="W133" s="37" t="inlineStr">
        <is>
          <t>After BDOI answer (slot set by the CCB)</t>
        </is>
      </c>
      <c r="X133" s="37" t="inlineStr">
        <is>
          <t>FRS BRD-5 Vol.2 chapter 12</t>
        </is>
      </c>
    </row>
    <row r="134">
      <c r="A134" s="35" t="inlineStr">
        <is>
          <t>CR-0130</t>
        </is>
      </c>
      <c r="B134" s="36" t="inlineStr">
        <is>
          <t>Drop 1</t>
        </is>
      </c>
      <c r="C134" s="36" t="inlineStr">
        <is>
          <t>BRD-05</t>
        </is>
      </c>
      <c r="D134" s="37" t="inlineStr">
        <is>
          <t>ACSL 2.14.3, 2.14.4 (p.124)</t>
        </is>
      </c>
      <c r="E134" s="37" t="inlineStr">
        <is>
          <t>FR-AS (ageing reports); FR-AC (account schedules)</t>
        </is>
      </c>
      <c r="F134" s="37" t="inlineStr">
        <is>
          <t>Behaviour differs from BRD</t>
        </is>
      </c>
      <c r="G134" s="37" t="inlineStr">
        <is>
          <t>Ageing and schedule reports per account family in ACSL.</t>
        </is>
      </c>
      <c r="H134" s="37" t="inlineStr">
        <is>
          <t>Proposed: ACSL aging and schedule reports per account family, with the GL balance and the SL-GL difference.</t>
        </is>
      </c>
      <c r="I134" s="37" t="inlineStr">
        <is>
          <t>FRS BRD-5 Vol.2 Gap G3.</t>
        </is>
      </c>
      <c r="J134" s="37" t="inlineStr">
        <is>
          <t>ACSL users run the schedules from FRBS.</t>
        </is>
      </c>
      <c r="K134" s="37" t="inlineStr">
        <is>
          <t>Comptrollership (ACSL)</t>
        </is>
      </c>
      <c r="L134" s="36" t="n">
        <v>1</v>
      </c>
      <c r="M134" s="36" t="n">
        <v>3</v>
      </c>
      <c r="N134" s="36" t="n">
        <v>2</v>
      </c>
      <c r="O134" s="36" t="n">
        <v>0</v>
      </c>
      <c r="P134" s="38">
        <f>SUM(L134:O134)</f>
        <v/>
      </c>
      <c r="Q134" s="37">
        <f>IF(P134=0,"0 - acceptance only",IF(P134&lt;=3,"S",IF(P134&lt;=10,"M",IF(P134&lt;=25,"L","XL")))&amp;" ("&amp;P134&amp;")")</f>
        <v/>
      </c>
      <c r="R134" s="36" t="n"/>
      <c r="S134" s="36" t="inlineStr">
        <is>
          <t>Low</t>
        </is>
      </c>
      <c r="T134" s="37" t="inlineStr">
        <is>
          <t>Draft</t>
        </is>
      </c>
      <c r="U134" s="37" t="inlineStr">
        <is>
          <t>Head, Comptrollership (FRBS, Disbursement and ACSL)</t>
        </is>
      </c>
      <c r="V134" s="37" t="inlineStr">
        <is>
          <t>CLR-CR-03 (FRS BRD-5 Vol.2)</t>
        </is>
      </c>
      <c r="W134" s="37" t="inlineStr">
        <is>
          <t>Drop 1, second release (Jan - Feb 2027)</t>
        </is>
      </c>
      <c r="X134" s="37" t="inlineStr">
        <is>
          <t>FRS BRD-5 Vol.2 chapter 12</t>
        </is>
      </c>
    </row>
    <row r="135">
      <c r="A135" s="35" t="inlineStr">
        <is>
          <t>CR-0131</t>
        </is>
      </c>
      <c r="B135" s="36" t="inlineStr">
        <is>
          <t>Drop 2</t>
        </is>
      </c>
      <c r="C135" s="36" t="inlineStr">
        <is>
          <t>BRD-05</t>
        </is>
      </c>
      <c r="D135" s="37" t="inlineStr">
        <is>
          <t>Drop plan INT-17 EGL; BRD-5 Appendix A II (GARD submission)</t>
        </is>
      </c>
      <c r="E135" s="37" t="inlineStr">
        <is>
          <t>FR-AC (GL reports)</t>
        </is>
      </c>
      <c r="F135" s="37" t="inlineStr">
        <is>
          <t>Integration dependency</t>
        </is>
      </c>
      <c r="G135" s="37" t="inlineStr">
        <is>
          <t>BDOI accounting is delivered to the BDO Enterprise General Ledger. No BRD specifies what BIBS sends.</t>
        </is>
      </c>
      <c r="H135" s="37" t="inlineStr">
        <is>
          <t>No GL interface; GL reports only. Proposed: daily journal extract with a code map to EGL accounts, control totals and a reconciliation report.</t>
        </is>
      </c>
      <c r="I135" s="37" t="inlineStr">
        <is>
          <t>IQ16, AQ31 open.</t>
        </is>
      </c>
      <c r="J135" s="37" t="inlineStr">
        <is>
          <t>Group consolidation takes BDOI figures from BIBS.</t>
        </is>
      </c>
      <c r="K135" s="37" t="inlineStr">
        <is>
          <t>Comptrollership; BDOI IT; BDO Group Accounting</t>
        </is>
      </c>
      <c r="L135" s="36" t="n">
        <v>3</v>
      </c>
      <c r="M135" s="36" t="n">
        <v>10</v>
      </c>
      <c r="N135" s="36" t="n">
        <v>6</v>
      </c>
      <c r="O135" s="36" t="n">
        <v>2</v>
      </c>
      <c r="P135" s="38">
        <f>SUM(L135:O135)</f>
        <v/>
      </c>
      <c r="Q135" s="37">
        <f>IF(P135=0,"0 - acceptance only",IF(P135&lt;=3,"S",IF(P135&lt;=10,"M",IF(P135&lt;=25,"L","XL")))&amp;" ("&amp;P135&amp;")")</f>
        <v/>
      </c>
      <c r="R135" s="36" t="n"/>
      <c r="S135" s="36" t="inlineStr">
        <is>
          <t>High</t>
        </is>
      </c>
      <c r="T135" s="37" t="inlineStr">
        <is>
          <t>Draft</t>
        </is>
      </c>
      <c r="U135" s="37" t="inlineStr">
        <is>
          <t>BDOI IT (integration owner) with the BIBS Product Owner</t>
        </is>
      </c>
      <c r="V135" s="37" t="inlineStr">
        <is>
          <t>DCR-233; IQ16; AQ31</t>
        </is>
      </c>
      <c r="W135" s="37" t="inlineStr">
        <is>
          <t>Drop 2 (Mar - Apr 2027)</t>
        </is>
      </c>
      <c r="X135" s="37" t="inlineStr">
        <is>
          <t>Programme alignment 5 (INT-17)</t>
        </is>
      </c>
    </row>
    <row r="136">
      <c r="A136" s="35" t="inlineStr">
        <is>
          <t>CR-0132</t>
        </is>
      </c>
      <c r="B136" s="36" t="inlineStr">
        <is>
          <t>Drop 1</t>
        </is>
      </c>
      <c r="C136" s="36" t="inlineStr">
        <is>
          <t>BRD-06</t>
        </is>
      </c>
      <c r="D136" s="37" t="inlineStr">
        <is>
          <t>Addendum 1 (p.34): 1.003.4.1.1.1, 1.003.4.1.1.3 (p.47-48); 2.003.1.6 (p.80); 2.006.1.2 (p.86); 2.007.4.1 (p.88); 3.003.4.1.1, 3.003.4.1.3 (p.111-112); 3.003.4.5 (p.115); 4.003.1.6 (p.150)</t>
        </is>
      </c>
      <c r="E136" s="37" t="inlineStr">
        <is>
          <t>FR-RN-013, FR-RN-040; FRS BRD-6 out-of-scope IDs</t>
        </is>
      </c>
      <c r="F136" s="37" t="inlineStr">
        <is>
          <t>Scope reduction / descoped</t>
        </is>
      </c>
      <c r="G136" s="37" t="inlineStr">
        <is>
          <t>EBIX invoice number and BDOIsys reference columns; search by QPS / EBIX reference numbers.</t>
        </is>
      </c>
      <c r="H136" s="37" t="inlineStr">
        <is>
          <t>Out of scope per Addendum 1: the BIBS expiring invoice number, the renewal reference and the ARN replace them; search by name and BIBS reference.</t>
        </is>
      </c>
      <c r="I136" s="37" t="inlineStr">
        <is>
          <t>BRD-6 Addendum 1 p.34.</t>
        </is>
      </c>
      <c r="J136" s="37" t="inlineStr">
        <is>
          <t>Legacy references are found through the migrated legacy reference (FR-DM-033).</t>
        </is>
      </c>
      <c r="K136" s="37" t="inlineStr">
        <is>
          <t>Marketing; Processing</t>
        </is>
      </c>
      <c r="L136" s="36" t="n">
        <v>0</v>
      </c>
      <c r="M136" s="36" t="n">
        <v>0</v>
      </c>
      <c r="N136" s="36" t="n">
        <v>0</v>
      </c>
      <c r="O136" s="36" t="n">
        <v>0</v>
      </c>
      <c r="P136" s="38">
        <f>SUM(L136:O136)</f>
        <v/>
      </c>
      <c r="Q136" s="37">
        <f>IF(P136=0,"0 - acceptance only",IF(P136&lt;=3,"S",IF(P136&lt;=10,"M",IF(P136&lt;=25,"L","XL")))&amp;" ("&amp;P136&amp;")")</f>
        <v/>
      </c>
      <c r="R136" s="36" t="n"/>
      <c r="S136" s="36" t="inlineStr">
        <is>
          <t>Low</t>
        </is>
      </c>
      <c r="T136" s="37" t="inlineStr">
        <is>
          <t>For acceptance</t>
        </is>
      </c>
      <c r="U136" s="37" t="inlineStr">
        <is>
          <t>Product Owner, Renewal (Marketing and Processing)</t>
        </is>
      </c>
      <c r="V136" s="37" t="inlineStr">
        <is>
          <t>RQ27</t>
        </is>
      </c>
      <c r="W136" s="37" t="inlineStr">
        <is>
          <t>FRS sign-off (Nov 2026)</t>
        </is>
      </c>
      <c r="X136" s="37" t="inlineStr">
        <is>
          <t>FRS BRD-6 out-of-scope IDs</t>
        </is>
      </c>
    </row>
    <row r="137">
      <c r="A137" s="35" t="inlineStr">
        <is>
          <t>CR-0133</t>
        </is>
      </c>
      <c r="B137" s="36" t="inlineStr">
        <is>
          <t>Drop 1</t>
        </is>
      </c>
      <c r="C137" s="36" t="inlineStr">
        <is>
          <t>BRD-06</t>
        </is>
      </c>
      <c r="D137" s="37" t="inlineStr">
        <is>
          <t>BRD-6 renewal lists; BRD-8 BRID-001 (p.7)</t>
        </is>
      </c>
      <c r="E137" s="37" t="inlineStr">
        <is>
          <t>FR-RN (extraction); FR-EB-022</t>
        </is>
      </c>
      <c r="F137" s="37" t="inlineStr">
        <is>
          <t>BRD conflict resolved by decision</t>
        </is>
      </c>
      <c r="G137" s="37" t="inlineStr">
        <is>
          <t>The renewal lists cover every expiring policy; BRD-8 renews EB programmes in its own cycle.</t>
        </is>
      </c>
      <c r="H137" s="37" t="inlineStr">
        <is>
          <t>EB programmes are excluded from the general renewal lists and renewed in the EB module; every renewal advice is stored as document type RENEWAL_ADVICE.</t>
        </is>
      </c>
      <c r="I137" s="37" t="inlineStr">
        <is>
          <t>Decision D3.</t>
        </is>
      </c>
      <c r="J137" s="37" t="inlineStr">
        <is>
          <t>EB renewals do not appear twice.</t>
        </is>
      </c>
      <c r="K137" s="37" t="inlineStr">
        <is>
          <t>Marketing; Employee Benefits</t>
        </is>
      </c>
      <c r="L137" s="36" t="n">
        <v>0</v>
      </c>
      <c r="M137" s="36" t="n">
        <v>0</v>
      </c>
      <c r="N137" s="36" t="n">
        <v>0</v>
      </c>
      <c r="O137" s="36" t="n">
        <v>0</v>
      </c>
      <c r="P137" s="38">
        <f>SUM(L137:O137)</f>
        <v/>
      </c>
      <c r="Q137" s="37">
        <f>IF(P137=0,"0 - acceptance only",IF(P137&lt;=3,"S",IF(P137&lt;=10,"M",IF(P137&lt;=25,"L","XL")))&amp;" ("&amp;P137&amp;")")</f>
        <v/>
      </c>
      <c r="R137" s="36" t="n"/>
      <c r="S137" s="36" t="inlineStr">
        <is>
          <t>Medium</t>
        </is>
      </c>
      <c r="T137" s="37" t="inlineStr">
        <is>
          <t>For CCB review</t>
        </is>
      </c>
      <c r="U137" s="37" t="inlineStr">
        <is>
          <t>Product Owner, Renewal (Marketing and Processing)</t>
        </is>
      </c>
      <c r="V137" s="37" t="inlineStr">
        <is>
          <t>D3</t>
        </is>
      </c>
      <c r="W137" s="37" t="inlineStr">
        <is>
          <t>FRS sign-off (Nov 2026)</t>
        </is>
      </c>
      <c r="X137" s="37" t="inlineStr">
        <is>
          <t>Cross-BRD decisions D3; FRS BRD-6 section 1.2</t>
        </is>
      </c>
    </row>
    <row r="138">
      <c r="A138" s="35" t="inlineStr">
        <is>
          <t>CR-0134</t>
        </is>
      </c>
      <c r="B138" s="36" t="inlineStr">
        <is>
          <t>Drop 1</t>
        </is>
      </c>
      <c r="C138" s="36" t="inlineStr">
        <is>
          <t>BRD-06</t>
        </is>
      </c>
      <c r="D138" s="37" t="inlineStr">
        <is>
          <t>BRRN.029 (p.8); BRIDSP-13 (p.10)</t>
        </is>
      </c>
      <c r="E138" s="37" t="inlineStr">
        <is>
          <t>FR-RN-025; FR-SP (LAMD upload)</t>
        </is>
      </c>
      <c r="F138" s="37" t="inlineStr">
        <is>
          <t>Deferred pending BDOI answer</t>
        </is>
      </c>
      <c r="G138" s="37" t="inlineStr">
        <is>
          <t>BRD-6 ingests LAMD reports of paid-off loans; BRD-12 matches submitted policies against LAMD active loans.</t>
        </is>
      </c>
      <c r="H138" s="37" t="inlineStr">
        <is>
          <t>Two LAMD intakes proposed (one per module), both matching on the PN. Proposed: one intake owned by one module and read by the other, sourced from LMS if confirmed.</t>
        </is>
      </c>
      <c r="I138" s="37" t="inlineStr">
        <is>
          <t>XQ01, RQ20, SP SQ06, IQ06 open.</t>
        </is>
      </c>
      <c r="J138" s="37" t="inlineStr">
        <is>
          <t>Two uploads of the same data and two owners if not decided.</t>
        </is>
      </c>
      <c r="K138" s="37" t="inlineStr">
        <is>
          <t>Marketing; Submitted Policies; LAMD</t>
        </is>
      </c>
      <c r="L138" s="36" t="n">
        <v>1</v>
      </c>
      <c r="M138" s="36" t="n">
        <v>2</v>
      </c>
      <c r="N138" s="36" t="n">
        <v>2</v>
      </c>
      <c r="O138" s="36" t="n">
        <v>1</v>
      </c>
      <c r="P138" s="38">
        <f>SUM(L138:O138)</f>
        <v/>
      </c>
      <c r="Q138" s="37">
        <f>IF(P138=0,"0 - acceptance only",IF(P138&lt;=3,"S",IF(P138&lt;=10,"M",IF(P138&lt;=25,"L","XL")))&amp;" ("&amp;P138&amp;")")</f>
        <v/>
      </c>
      <c r="R138" s="36" t="n"/>
      <c r="S138" s="36" t="inlineStr">
        <is>
          <t>High</t>
        </is>
      </c>
      <c r="T138" s="37" t="inlineStr">
        <is>
          <t>Draft</t>
        </is>
      </c>
      <c r="U138" s="37" t="inlineStr">
        <is>
          <t>Product Owner, Renewal (Marketing and Processing)</t>
        </is>
      </c>
      <c r="V138" s="37" t="inlineStr">
        <is>
          <t>DCR-146; XQ01; RQ20; SP SQ06; IQ06</t>
        </is>
      </c>
      <c r="W138" s="37" t="inlineStr">
        <is>
          <t>Drop 1, first release (Nov - Dec 2026)</t>
        </is>
      </c>
      <c r="X138" s="37" t="inlineStr">
        <is>
          <t>Cross-BRD decisions XQ01; register DCR-146</t>
        </is>
      </c>
    </row>
    <row r="139">
      <c r="A139" s="35" t="inlineStr">
        <is>
          <t>CR-0135</t>
        </is>
      </c>
      <c r="B139" s="36" t="inlineStr">
        <is>
          <t>Drop 1</t>
        </is>
      </c>
      <c r="C139" s="36" t="inlineStr">
        <is>
          <t>BRD-06</t>
        </is>
      </c>
      <c r="D139" s="37" t="inlineStr">
        <is>
          <t>BRRN.026 (p.6-7); BRD-9 Contact Center roles</t>
        </is>
      </c>
      <c r="E139" s="37" t="inlineStr">
        <is>
          <t>FR-RN (Contact Center follow-up); FR-CSF-001</t>
        </is>
      </c>
      <c r="F139" s="37" t="inlineStr">
        <is>
          <t>BRD conflict resolved by decision</t>
        </is>
      </c>
      <c r="G139" s="37" t="inlineStr">
        <is>
          <t>BRD-6 gives Contact Center users renewal lists with remarks and status updates; BRD-9 defines Contact Center users who see all accounts.</t>
        </is>
      </c>
      <c r="H139" s="37" t="inlineStr">
        <is>
          <t>Proposed: two roles; one user may hold both (decision D5 allows several roles).</t>
        </is>
      </c>
      <c r="I139" s="37" t="inlineStr">
        <is>
          <t>XQ02, RQ21, CSQ10 open.</t>
        </is>
      </c>
      <c r="J139" s="37" t="inlineStr">
        <is>
          <t>Access per role stays narrow.</t>
        </is>
      </c>
      <c r="K139" s="37" t="inlineStr">
        <is>
          <t>Contact Center Management; Marketing</t>
        </is>
      </c>
      <c r="L139" s="36" t="n">
        <v>0</v>
      </c>
      <c r="M139" s="36" t="n">
        <v>0</v>
      </c>
      <c r="N139" s="36" t="n">
        <v>0</v>
      </c>
      <c r="O139" s="36" t="n">
        <v>0</v>
      </c>
      <c r="P139" s="38">
        <f>SUM(L139:O139)</f>
        <v/>
      </c>
      <c r="Q139" s="37">
        <f>IF(P139=0,"0 - acceptance only",IF(P139&lt;=3,"S",IF(P139&lt;=10,"M",IF(P139&lt;=25,"L","XL")))&amp;" ("&amp;P139&amp;")")</f>
        <v/>
      </c>
      <c r="R139" s="36" t="n"/>
      <c r="S139" s="36" t="inlineStr">
        <is>
          <t>Low</t>
        </is>
      </c>
      <c r="T139" s="37" t="inlineStr">
        <is>
          <t>For CCB review</t>
        </is>
      </c>
      <c r="U139" s="37" t="inlineStr">
        <is>
          <t>Product Owner, Renewal (Marketing and Processing)</t>
        </is>
      </c>
      <c r="V139" s="37" t="inlineStr">
        <is>
          <t>DCR-147; XQ02</t>
        </is>
      </c>
      <c r="W139" s="37" t="inlineStr">
        <is>
          <t>FRS sign-off (Nov 2026)</t>
        </is>
      </c>
      <c r="X139" s="37" t="inlineStr">
        <is>
          <t>Cross-BRD decisions XQ02</t>
        </is>
      </c>
    </row>
    <row r="140">
      <c r="A140" s="35" t="inlineStr">
        <is>
          <t>CR-0136</t>
        </is>
      </c>
      <c r="B140" s="36" t="inlineStr">
        <is>
          <t>Drop 1</t>
        </is>
      </c>
      <c r="C140" s="36" t="inlineStr">
        <is>
          <t>BRD-06</t>
        </is>
      </c>
      <c r="D140" s="37" t="inlineStr">
        <is>
          <t>BRD-6 2.004.4 (p.82-83), reason "Total Loss Claim"</t>
        </is>
      </c>
      <c r="E140" s="37" t="inlineStr">
        <is>
          <t>FR-RN-023, FR-RN-043; FR-CM</t>
        </is>
      </c>
      <c r="F140" s="37" t="inlineStr">
        <is>
          <t>Deferred pending BDOI answer</t>
        </is>
      </c>
      <c r="G140" s="37" t="inlineStr">
        <is>
          <t>Use "Total Loss Claim" as a non-renewal reason and show claims per account.</t>
        </is>
      </c>
      <c r="H140" s="37" t="inlineStr">
        <is>
          <t>Renewal reads loss experience from Claims (decision D4); "Total Loss Claim" stays a manual reason until Claims records a total-loss indicator.</t>
        </is>
      </c>
      <c r="I140" s="37" t="inlineStr">
        <is>
          <t>CLQ28, XQ10 open.</t>
        </is>
      </c>
      <c r="J140" s="37" t="inlineStr">
        <is>
          <t>Total-loss accounts are flagged by hand.</t>
        </is>
      </c>
      <c r="K140" s="37" t="inlineStr">
        <is>
          <t>Marketing; Claims</t>
        </is>
      </c>
      <c r="L140" s="36" t="n">
        <v>1</v>
      </c>
      <c r="M140" s="36" t="n">
        <v>3</v>
      </c>
      <c r="N140" s="36" t="n">
        <v>2</v>
      </c>
      <c r="O140" s="36" t="n">
        <v>1</v>
      </c>
      <c r="P140" s="38">
        <f>SUM(L140:O140)</f>
        <v/>
      </c>
      <c r="Q140" s="37">
        <f>IF(P140=0,"0 - acceptance only",IF(P140&lt;=3,"S",IF(P140&lt;=10,"M",IF(P140&lt;=25,"L","XL")))&amp;" ("&amp;P140&amp;")")</f>
        <v/>
      </c>
      <c r="R140" s="36" t="n"/>
      <c r="S140" s="36" t="inlineStr">
        <is>
          <t>Low</t>
        </is>
      </c>
      <c r="T140" s="37" t="inlineStr">
        <is>
          <t>Draft</t>
        </is>
      </c>
      <c r="U140" s="37" t="inlineStr">
        <is>
          <t>Product Owner, Renewal (Marketing and Processing)</t>
        </is>
      </c>
      <c r="V140" s="37" t="inlineStr">
        <is>
          <t>DCR-150; CLQ28; XQ10; D4</t>
        </is>
      </c>
      <c r="W140" s="37" t="inlineStr">
        <is>
          <t>After BDOI answer (slot set by the CCB)</t>
        </is>
      </c>
      <c r="X140" s="37" t="inlineStr">
        <is>
          <t>Cross-BRD decisions D4, XQ10</t>
        </is>
      </c>
    </row>
    <row r="141">
      <c r="A141" s="35" t="inlineStr">
        <is>
          <t>CR-0137</t>
        </is>
      </c>
      <c r="B141" s="36" t="inlineStr">
        <is>
          <t>Drop 1</t>
        </is>
      </c>
      <c r="C141" s="36" t="inlineStr">
        <is>
          <t>BRD-06</t>
        </is>
      </c>
      <c r="D141" s="37" t="inlineStr">
        <is>
          <t>Report List #135 (p.44), Renewal Persistency Report</t>
        </is>
      </c>
      <c r="E141" s="37" t="inlineStr">
        <is>
          <t>FR-RN (reports); SBM-PERSISTENCY</t>
        </is>
      </c>
      <c r="F141" s="37" t="inlineStr">
        <is>
          <t>Deferred pending BDOI answer</t>
        </is>
      </c>
      <c r="G141" s="37" t="inlineStr">
        <is>
          <t>General renewal persistency report.</t>
        </is>
      </c>
      <c r="H141" s="37" t="inlineStr">
        <is>
          <t>Submitted Policies proposes SBM-PERSISTENCY for submitted accounts; Renewal has no persistency report. Proposed: a renewal report over closed candidates.</t>
        </is>
      </c>
      <c r="I141" s="37" t="inlineStr">
        <is>
          <t>XQ06 open (layout and definition).</t>
        </is>
      </c>
      <c r="J141" s="37" t="inlineStr">
        <is>
          <t>Renewal persistency is measured outside BIBS until BDOI confirms the report layout and definition (XQ06).</t>
        </is>
      </c>
      <c r="K141" s="37" t="inlineStr">
        <is>
          <t>Marketing; MIS</t>
        </is>
      </c>
      <c r="L141" s="36" t="n">
        <v>1</v>
      </c>
      <c r="M141" s="36" t="n">
        <v>3</v>
      </c>
      <c r="N141" s="36" t="n">
        <v>2</v>
      </c>
      <c r="O141" s="36" t="n">
        <v>1</v>
      </c>
      <c r="P141" s="38">
        <f>SUM(L141:O141)</f>
        <v/>
      </c>
      <c r="Q141" s="37">
        <f>IF(P141=0,"0 - acceptance only",IF(P141&lt;=3,"S",IF(P141&lt;=10,"M",IF(P141&lt;=25,"L","XL")))&amp;" ("&amp;P141&amp;")")</f>
        <v/>
      </c>
      <c r="R141" s="36" t="n"/>
      <c r="S141" s="36" t="inlineStr">
        <is>
          <t>Low</t>
        </is>
      </c>
      <c r="T141" s="37" t="inlineStr">
        <is>
          <t>Draft</t>
        </is>
      </c>
      <c r="U141" s="37" t="inlineStr">
        <is>
          <t>Product Owner, Renewal (Marketing and Processing)</t>
        </is>
      </c>
      <c r="V141" s="37" t="inlineStr">
        <is>
          <t>XQ06</t>
        </is>
      </c>
      <c r="W141" s="37" t="inlineStr">
        <is>
          <t>After BDOI answer (slot set by the CCB)</t>
        </is>
      </c>
      <c r="X141" s="37" t="inlineStr">
        <is>
          <t>Cross-BRD decisions XQ06</t>
        </is>
      </c>
    </row>
    <row r="142">
      <c r="A142" s="35" t="inlineStr">
        <is>
          <t>CR-0138</t>
        </is>
      </c>
      <c r="B142" s="36" t="inlineStr">
        <is>
          <t>Drop 1</t>
        </is>
      </c>
      <c r="C142" s="36" t="inlineStr">
        <is>
          <t>BRD-06</t>
        </is>
      </c>
      <c r="D142" s="37" t="inlineStr">
        <is>
          <t>BRRN.004 (p.23-24); BRRN.011 (p.28-29)</t>
        </is>
      </c>
      <c r="E142" s="37" t="inlineStr">
        <is>
          <t>FR-RN (Expiry List grid)</t>
        </is>
      </c>
      <c r="F142" s="37" t="inlineStr">
        <is>
          <t>Behaviour differs from BRD</t>
        </is>
      </c>
      <c r="G142" s="37" t="inlineStr">
        <is>
          <t>One scrollable view with no pagination.</t>
        </is>
      </c>
      <c r="H142" s="37" t="inlineStr">
        <is>
          <t>Virtualised grid with a row count and no pager, instead of the BDO UX pager.</t>
        </is>
      </c>
      <c r="I142" s="37" t="inlineStr">
        <is>
          <t>BDO UX guidelines use a pager.</t>
        </is>
      </c>
      <c r="J142" s="37" t="inlineStr">
        <is>
          <t>None for users.</t>
        </is>
      </c>
      <c r="K142" s="37" t="inlineStr">
        <is>
          <t>Marketing</t>
        </is>
      </c>
      <c r="L142" s="36" t="n">
        <v>0</v>
      </c>
      <c r="M142" s="36" t="n">
        <v>0</v>
      </c>
      <c r="N142" s="36" t="n">
        <v>0</v>
      </c>
      <c r="O142" s="36" t="n">
        <v>0</v>
      </c>
      <c r="P142" s="38">
        <f>SUM(L142:O142)</f>
        <v/>
      </c>
      <c r="Q142" s="37">
        <f>IF(P142=0,"0 - acceptance only",IF(P142&lt;=3,"S",IF(P142&lt;=10,"M",IF(P142&lt;=25,"L","XL")))&amp;" ("&amp;P142&amp;")")</f>
        <v/>
      </c>
      <c r="R142" s="36" t="n"/>
      <c r="S142" s="36" t="inlineStr">
        <is>
          <t>Low</t>
        </is>
      </c>
      <c r="T142" s="37" t="inlineStr">
        <is>
          <t>For CCB review</t>
        </is>
      </c>
      <c r="U142" s="37" t="inlineStr">
        <is>
          <t>Product Owner, Renewal (Marketing and Processing)</t>
        </is>
      </c>
      <c r="V142" s="37" t="inlineStr">
        <is>
          <t>DCR-074</t>
        </is>
      </c>
      <c r="W142" s="37" t="inlineStr">
        <is>
          <t>FRS sign-off (Nov 2026)</t>
        </is>
      </c>
      <c r="X142" s="37" t="inlineStr">
        <is>
          <t>Register DCR-074</t>
        </is>
      </c>
    </row>
    <row r="143">
      <c r="A143" s="35" t="inlineStr">
        <is>
          <t>CR-0139</t>
        </is>
      </c>
      <c r="B143" s="36" t="inlineStr">
        <is>
          <t>Drop 0</t>
        </is>
      </c>
      <c r="C143" s="36" t="inlineStr">
        <is>
          <t>BRD-06</t>
        </is>
      </c>
      <c r="D143" s="37" t="inlineStr">
        <is>
          <t>BRD-13 BRID 12.1 (p.12), renewal-driven transition; BRRN.005 (p.24-25); concept paper (superseded)</t>
        </is>
      </c>
      <c r="E143" s="37" t="inlineStr">
        <is>
          <t>FR-RN-016; FR-DM-122, FR-DM-124, FR-DM-125</t>
        </is>
      </c>
      <c r="F143" s="37" t="inlineStr">
        <is>
          <t>Data migration</t>
        </is>
      </c>
      <c r="G143" s="37" t="inlineStr">
        <is>
          <t>BRD-13 makes the transition renewal-driven without describing it; the earlier design carried the RMEL cohorts expiring T to T+140 days with their dispositions.</t>
        </is>
      </c>
      <c r="H143" s="37" t="inlineStr">
        <is>
          <t>January to May 2028 expiries are processed in BIBS after go-live; no candidate is carried from legacy. At go-live Renewal extracts every expiry to 31-May-2028 (January urgent) and records the renewal advices already sent from the Excel trackers, rejected rows reviewed maker-checker by the Renewal processing team.</t>
        </is>
      </c>
      <c r="I143" s="37" t="inlineStr">
        <is>
          <t>BDOI answers DMQ37 and DMQ38 of 26-Sep-2026.</t>
        </is>
      </c>
      <c r="J143" s="37" t="inlineStr">
        <is>
          <t>Marketing works the first five months of renewals in BIBS; heavy load in January 2028.</t>
        </is>
      </c>
      <c r="K143" s="37" t="inlineStr">
        <is>
          <t>Marketing; Processing (Renewal); Business Project Services</t>
        </is>
      </c>
      <c r="L143" s="36" t="n">
        <v>1</v>
      </c>
      <c r="M143" s="36" t="n">
        <v>4</v>
      </c>
      <c r="N143" s="36" t="n">
        <v>3</v>
      </c>
      <c r="O143" s="36" t="n">
        <v>1</v>
      </c>
      <c r="P143" s="38">
        <f>SUM(L143:O143)</f>
        <v/>
      </c>
      <c r="Q143" s="37">
        <f>IF(P143=0,"0 - acceptance only",IF(P143&lt;=3,"S",IF(P143&lt;=10,"M",IF(P143&lt;=25,"L","XL")))&amp;" ("&amp;P143&amp;")")</f>
        <v/>
      </c>
      <c r="R143" s="36" t="n"/>
      <c r="S143" s="36" t="inlineStr">
        <is>
          <t>High</t>
        </is>
      </c>
      <c r="T143" s="37" t="inlineStr">
        <is>
          <t>For CCB review</t>
        </is>
      </c>
      <c r="U143" s="37" t="inlineStr">
        <is>
          <t>Product Owner, Renewal (Marketing and Processing)</t>
        </is>
      </c>
      <c r="V143" s="37" t="inlineStr">
        <is>
          <t>DCR-199; DCR-220; DCR-240; DCR-243; DMQ37; DMQ38</t>
        </is>
      </c>
      <c r="W143" s="37" t="inlineStr">
        <is>
          <t>Migration functions (Nov 2026 - Mar 2027)</t>
        </is>
      </c>
      <c r="X143" s="37" t="inlineStr">
        <is>
          <t>FRS BRD-6 v1.1 (FR-RN-016); FRS BRD-13 (FR-DM-124, 125)</t>
        </is>
      </c>
    </row>
    <row r="144">
      <c r="A144" s="35" t="inlineStr">
        <is>
          <t>CR-0140</t>
        </is>
      </c>
      <c r="B144" s="36" t="inlineStr">
        <is>
          <t>Drop 0</t>
        </is>
      </c>
      <c r="C144" s="36" t="inlineStr">
        <is>
          <t>BRD-06</t>
        </is>
      </c>
      <c r="D144" s="37" t="inlineStr">
        <is>
          <t>BRRN.020 (p.4) sanitation; concept paper VII, VIII, Annex C (package remapping)</t>
        </is>
      </c>
      <c r="E144" s="37" t="inlineStr">
        <is>
          <t>FR-RN-028; FR-DM-034</t>
        </is>
      </c>
      <c r="F144" s="37" t="inlineStr">
        <is>
          <t>Data migration</t>
        </is>
      </c>
      <c r="G144" s="37" t="inlineStr">
        <is>
          <t>Legacy package names must be remapped to BIBS packages; the paper asks where and by whom.</t>
        </is>
      </c>
      <c r="H144" s="37" t="inlineStr">
        <is>
          <t>Remapping at Renewal sanitation, not at upload: the migration loads the legacy package code and the PACKAGE code map only; the check PACKAGE_REMAP sends unmapped, retired or split packages to the Exception bucket for the Renewal processing team.</t>
        </is>
      </c>
      <c r="I144" s="37" t="inlineStr">
        <is>
          <t>BDOI answer DMQ36 of 26-Sep-2026.</t>
        </is>
      </c>
      <c r="J144" s="37" t="inlineStr">
        <is>
          <t>Renewals of migrated policies price on the right package version.</t>
        </is>
      </c>
      <c r="K144" s="37" t="inlineStr">
        <is>
          <t>Processing (Renewal); TSU; MBS</t>
        </is>
      </c>
      <c r="L144" s="36" t="n">
        <v>1</v>
      </c>
      <c r="M144" s="36" t="n">
        <v>4</v>
      </c>
      <c r="N144" s="36" t="n">
        <v>3</v>
      </c>
      <c r="O144" s="36" t="n">
        <v>1</v>
      </c>
      <c r="P144" s="38">
        <f>SUM(L144:O144)</f>
        <v/>
      </c>
      <c r="Q144" s="37">
        <f>IF(P144=0,"0 - acceptance only",IF(P144&lt;=3,"S",IF(P144&lt;=10,"M",IF(P144&lt;=25,"L","XL")))&amp;" ("&amp;P144&amp;")")</f>
        <v/>
      </c>
      <c r="R144" s="36" t="n"/>
      <c r="S144" s="36" t="inlineStr">
        <is>
          <t>High</t>
        </is>
      </c>
      <c r="T144" s="37" t="inlineStr">
        <is>
          <t>For CCB review</t>
        </is>
      </c>
      <c r="U144" s="37" t="inlineStr">
        <is>
          <t>Product Owner, Renewal (Marketing and Processing)</t>
        </is>
      </c>
      <c r="V144" s="37" t="inlineStr">
        <is>
          <t>DCR-219; DCR-241; DMQ36; IQ03</t>
        </is>
      </c>
      <c r="W144" s="37" t="inlineStr">
        <is>
          <t>Migration functions (Nov 2026 - Mar 2027)</t>
        </is>
      </c>
      <c r="X144" s="37" t="inlineStr">
        <is>
          <t>FRS BRD-6 v1.1 (FR-RN-028); FRS BRD-13 (FR-DM-034)</t>
        </is>
      </c>
    </row>
    <row r="145">
      <c r="A145" s="35" t="inlineStr">
        <is>
          <t>CR-0141</t>
        </is>
      </c>
      <c r="B145" s="36" t="inlineStr">
        <is>
          <t>Drop 1</t>
        </is>
      </c>
      <c r="C145" s="36" t="inlineStr">
        <is>
          <t>BRD-06</t>
        </is>
      </c>
      <c r="D145" s="37" t="inlineStr">
        <is>
          <t>Umbrella CORE-06.07 (p.8) "Non-Renewal Letter (NRL)"; BRD-6 "Not for Renewal Letter (NFR)"</t>
        </is>
      </c>
      <c r="E145" s="37" t="inlineStr">
        <is>
          <t>FR-RN-082</t>
        </is>
      </c>
      <c r="F145" s="37" t="inlineStr">
        <is>
          <t>BRD conflict resolved by decision</t>
        </is>
      </c>
      <c r="G145" s="37" t="inlineStr">
        <is>
          <t>The umbrella and BRD-6 name the letter differently.</t>
        </is>
      </c>
      <c r="H145" s="37" t="inlineStr">
        <is>
          <t>The BRD-6 name is used until BDOI answers.</t>
        </is>
      </c>
      <c r="I145" s="37" t="inlineStr">
        <is>
          <t>CRQ14 open.</t>
        </is>
      </c>
      <c r="J145" s="37" t="inlineStr">
        <is>
          <t>Letter title only.</t>
        </is>
      </c>
      <c r="K145" s="37" t="inlineStr">
        <is>
          <t>Marketing</t>
        </is>
      </c>
      <c r="L145" s="36" t="n">
        <v>0</v>
      </c>
      <c r="M145" s="36" t="n">
        <v>0</v>
      </c>
      <c r="N145" s="36" t="n">
        <v>0</v>
      </c>
      <c r="O145" s="36" t="n">
        <v>0</v>
      </c>
      <c r="P145" s="38">
        <f>SUM(L145:O145)</f>
        <v/>
      </c>
      <c r="Q145" s="37">
        <f>IF(P145=0,"0 - acceptance only",IF(P145&lt;=3,"S",IF(P145&lt;=10,"M",IF(P145&lt;=25,"L","XL")))&amp;" ("&amp;P145&amp;")")</f>
        <v/>
      </c>
      <c r="R145" s="36" t="n"/>
      <c r="S145" s="36" t="inlineStr">
        <is>
          <t>Low</t>
        </is>
      </c>
      <c r="T145" s="37" t="inlineStr">
        <is>
          <t>For CCB review</t>
        </is>
      </c>
      <c r="U145" s="37" t="inlineStr">
        <is>
          <t>Product Owner, Renewal (Marketing and Processing)</t>
        </is>
      </c>
      <c r="V145" s="37" t="inlineStr">
        <is>
          <t>DCR-168; CRQ14</t>
        </is>
      </c>
      <c r="W145" s="37" t="inlineStr">
        <is>
          <t>FRS sign-off (Nov 2026)</t>
        </is>
      </c>
      <c r="X145" s="37" t="inlineStr">
        <is>
          <t>Register DCR-168</t>
        </is>
      </c>
    </row>
    <row r="146">
      <c r="A146" s="35" t="inlineStr">
        <is>
          <t>CR-0142</t>
        </is>
      </c>
      <c r="B146" s="36" t="inlineStr">
        <is>
          <t>Drop 2</t>
        </is>
      </c>
      <c r="C146" s="36" t="inlineStr">
        <is>
          <t>BRD-07</t>
        </is>
      </c>
      <c r="D146" s="37" t="inlineStr">
        <is>
          <t>BRD-7 p.23, assumption 1 ("enhance the existing claims module in eBIX"); BRCLM.007 (p.13)</t>
        </is>
      </c>
      <c r="E146" s="37" t="inlineStr">
        <is>
          <t>FR-CM-013; FRS BRD-7 chapter 12</t>
        </is>
      </c>
      <c r="F146" s="37" t="inlineStr">
        <is>
          <t>Behaviour differs from BRD</t>
        </is>
      </c>
      <c r="G146" s="37" t="inlineStr">
        <is>
          <t>Enhance the claims facility in eBIX; get the policy number from EBIX and upload it.</t>
        </is>
      </c>
      <c r="H146" s="37" t="inlineStr">
        <is>
          <t>A new BIBS broker claims module; the platform's insurer-side claims module does not fit a broker. The policy number is copied from the BIBS account; no upload.</t>
        </is>
      </c>
      <c r="I146" s="37" t="inlineStr">
        <is>
          <t>EBIX is replaced; design R5 section 2.</t>
        </is>
      </c>
      <c r="J146" s="37" t="inlineStr">
        <is>
          <t>Claims handling moves to BIBS.</t>
        </is>
      </c>
      <c r="K146" s="37" t="inlineStr">
        <is>
          <t>Claims</t>
        </is>
      </c>
      <c r="L146" s="36" t="n">
        <v>0</v>
      </c>
      <c r="M146" s="36" t="n">
        <v>0</v>
      </c>
      <c r="N146" s="36" t="n">
        <v>0</v>
      </c>
      <c r="O146" s="36" t="n">
        <v>0</v>
      </c>
      <c r="P146" s="38">
        <f>SUM(L146:O146)</f>
        <v/>
      </c>
      <c r="Q146" s="37">
        <f>IF(P146=0,"0 - acceptance only",IF(P146&lt;=3,"S",IF(P146&lt;=10,"M",IF(P146&lt;=25,"L","XL")))&amp;" ("&amp;P146&amp;")")</f>
        <v/>
      </c>
      <c r="R146" s="36" t="n"/>
      <c r="S146" s="36" t="inlineStr">
        <is>
          <t>Medium</t>
        </is>
      </c>
      <c r="T146" s="37" t="inlineStr">
        <is>
          <t>For acceptance</t>
        </is>
      </c>
      <c r="U146" s="37" t="inlineStr">
        <is>
          <t>Product Owner, Claims (Claims, Risk Management and Analytics)</t>
        </is>
      </c>
      <c r="V146" s="37" t="inlineStr">
        <is>
          <t>DCR-081</t>
        </is>
      </c>
      <c r="W146" s="37" t="inlineStr">
        <is>
          <t>FRS sign-off (Nov 2026)</t>
        </is>
      </c>
      <c r="X146" s="37" t="inlineStr">
        <is>
          <t>FRS BRD-7 chapter 12; register DCR-081</t>
        </is>
      </c>
    </row>
    <row r="147">
      <c r="A147" s="35" t="inlineStr">
        <is>
          <t>CR-0143</t>
        </is>
      </c>
      <c r="B147" s="36" t="inlineStr">
        <is>
          <t>Drop 2</t>
        </is>
      </c>
      <c r="C147" s="36" t="inlineStr">
        <is>
          <t>BRD-07</t>
        </is>
      </c>
      <c r="D147" s="37" t="inlineStr">
        <is>
          <t>BRCLM.014 (p.14 / p.30); BRD-7 p.28 "Settlement Type Status values"; BRCLM.005 (p.13), BRCLM.035 (p.16)</t>
        </is>
      </c>
      <c r="E147" s="37" t="inlineStr">
        <is>
          <t>FR-CM-043, FR-CM-045</t>
        </is>
      </c>
      <c r="F147" s="37" t="inlineStr">
        <is>
          <t>Deferred pending BDOI answer</t>
        </is>
      </c>
      <c r="G147" s="37" t="inlineStr">
        <is>
          <t>Requested Type of Settlement values; a separate Settlement Type Status list maintained by the Unit Head; officers tag closures and TL / TH close.</t>
        </is>
      </c>
      <c r="H147" s="37" t="inlineStr">
        <is>
          <t>Settlement values are outcomes and each says whether it closes the claim; officers set temporary closures and TL / TH close permanently; a separate status list waits until CLQ05 is answered.</t>
        </is>
      </c>
      <c r="I147" s="37" t="inlineStr">
        <is>
          <t>CLQ05, CLQ06 open.</t>
        </is>
      </c>
      <c r="J147" s="37" t="inlineStr">
        <is>
          <t>Settlement reporting uses the outcome list.</t>
        </is>
      </c>
      <c r="K147" s="37" t="inlineStr">
        <is>
          <t>Claims</t>
        </is>
      </c>
      <c r="L147" s="36" t="n">
        <v>1</v>
      </c>
      <c r="M147" s="36" t="n">
        <v>2</v>
      </c>
      <c r="N147" s="36" t="n">
        <v>1</v>
      </c>
      <c r="O147" s="36" t="n">
        <v>0</v>
      </c>
      <c r="P147" s="38">
        <f>SUM(L147:O147)</f>
        <v/>
      </c>
      <c r="Q147" s="37">
        <f>IF(P147=0,"0 - acceptance only",IF(P147&lt;=3,"S",IF(P147&lt;=10,"M",IF(P147&lt;=25,"L","XL")))&amp;" ("&amp;P147&amp;")")</f>
        <v/>
      </c>
      <c r="R147" s="36" t="n"/>
      <c r="S147" s="36" t="inlineStr">
        <is>
          <t>Low</t>
        </is>
      </c>
      <c r="T147" s="37" t="inlineStr">
        <is>
          <t>Draft</t>
        </is>
      </c>
      <c r="U147" s="37" t="inlineStr">
        <is>
          <t>Product Owner, Claims (Claims, Risk Management and Analytics)</t>
        </is>
      </c>
      <c r="V147" s="37" t="inlineStr">
        <is>
          <t>CLQ05; CLQ06</t>
        </is>
      </c>
      <c r="W147" s="37" t="inlineStr">
        <is>
          <t>After BDOI answer (slot set by the CCB)</t>
        </is>
      </c>
      <c r="X147" s="37" t="inlineStr">
        <is>
          <t>FRS BRD-7 chapter 12</t>
        </is>
      </c>
    </row>
    <row r="148">
      <c r="A148" s="35" t="inlineStr">
        <is>
          <t>CR-0144</t>
        </is>
      </c>
      <c r="B148" s="36" t="inlineStr">
        <is>
          <t>Drop 2</t>
        </is>
      </c>
      <c r="C148" s="36" t="inlineStr">
        <is>
          <t>BRD-07</t>
        </is>
      </c>
      <c r="D148" s="37" t="inlineStr">
        <is>
          <t>BRCLM.001-043 values and definitions (p.13-31)</t>
        </is>
      </c>
      <c r="E148" s="37" t="inlineStr">
        <is>
          <t>FR-CM (parameters and LOVs)</t>
        </is>
      </c>
      <c r="F148" s="37" t="inlineStr">
        <is>
          <t>Deferred pending BDOI answer</t>
        </is>
      </c>
      <c r="G148" s="37" t="inlineStr">
        <is>
          <t>BDOI values and definitions for Claims (statuses, SLA, ageing, adjusters, locations per endorsement).</t>
        </is>
      </c>
      <c r="H148" s="37" t="inlineStr">
        <is>
          <t>Documented defaults apply; 21 rows wait for BDOI values (CLQ01, CLQ02, CLQ04-CLQ08, CLQ11, CLQ15, CLQ16, CLQ20).</t>
        </is>
      </c>
      <c r="I148" s="37" t="inlineStr">
        <is>
          <t>Open Claims questions.</t>
        </is>
      </c>
      <c r="J148" s="37" t="inlineStr">
        <is>
          <t>Defaults may not match BDOI practice until set.</t>
        </is>
      </c>
      <c r="K148" s="37" t="inlineStr">
        <is>
          <t>Claims</t>
        </is>
      </c>
      <c r="L148" s="36" t="n">
        <v>2</v>
      </c>
      <c r="M148" s="36" t="n">
        <v>0</v>
      </c>
      <c r="N148" s="36" t="n">
        <v>2</v>
      </c>
      <c r="O148" s="36" t="n">
        <v>1</v>
      </c>
      <c r="P148" s="38">
        <f>SUM(L148:O148)</f>
        <v/>
      </c>
      <c r="Q148" s="37">
        <f>IF(P148=0,"0 - acceptance only",IF(P148&lt;=3,"S",IF(P148&lt;=10,"M",IF(P148&lt;=25,"L","XL")))&amp;" ("&amp;P148&amp;")")</f>
        <v/>
      </c>
      <c r="R148" s="36" t="n"/>
      <c r="S148" s="36" t="inlineStr">
        <is>
          <t>Medium</t>
        </is>
      </c>
      <c r="T148" s="37" t="inlineStr">
        <is>
          <t>Draft</t>
        </is>
      </c>
      <c r="U148" s="37" t="inlineStr">
        <is>
          <t>Product Owner, Claims (Claims, Risk Management and Analytics)</t>
        </is>
      </c>
      <c r="V148" s="37" t="inlineStr">
        <is>
          <t>CLQ01; CLQ02; CLQ04-CLQ08; CLQ11; CLQ15; CLQ16; CLQ20</t>
        </is>
      </c>
      <c r="W148" s="37" t="inlineStr">
        <is>
          <t>Drop 2 (Mar - Apr 2027)</t>
        </is>
      </c>
      <c r="X148" s="37" t="inlineStr">
        <is>
          <t>BRD-7 requirements baseline</t>
        </is>
      </c>
    </row>
    <row r="149">
      <c r="A149" s="35" t="inlineStr">
        <is>
          <t>CR-0145</t>
        </is>
      </c>
      <c r="B149" s="36" t="inlineStr">
        <is>
          <t>Drop 2</t>
        </is>
      </c>
      <c r="C149" s="36" t="inlineStr">
        <is>
          <t>BRD-07</t>
        </is>
      </c>
      <c r="D149" s="37" t="inlineStr">
        <is>
          <t>Report List claims rows (ISYS source, extra fields, age brackets); BRCLM.026-033 (p.16 / p.30-31)</t>
        </is>
      </c>
      <c r="E149" s="37" t="inlineStr">
        <is>
          <t>FR-CM-060 to FR-CM-064</t>
        </is>
      </c>
      <c r="F149" s="37" t="inlineStr">
        <is>
          <t>BRD conflict resolved by decision</t>
        </is>
      </c>
      <c r="G149" s="37" t="inlineStr">
        <is>
          <t>The Report List names ISYS as the source and adds fields and age brackets that BRD-7 does not list.</t>
        </is>
      </c>
      <c r="H149" s="37" t="inlineStr">
        <is>
          <t>BIBS replaces ISYS for claims reports; columns from both documents; files kept in BIBS.</t>
        </is>
      </c>
      <c r="I149" s="37" t="inlineStr">
        <is>
          <t>Conflict between BRD-7 and the Report List.</t>
        </is>
      </c>
      <c r="J149" s="37" t="inlineStr">
        <is>
          <t>One set of claims reports.</t>
        </is>
      </c>
      <c r="K149" s="37" t="inlineStr">
        <is>
          <t>Claims</t>
        </is>
      </c>
      <c r="L149" s="36" t="n">
        <v>0</v>
      </c>
      <c r="M149" s="36" t="n">
        <v>0</v>
      </c>
      <c r="N149" s="36" t="n">
        <v>0</v>
      </c>
      <c r="O149" s="36" t="n">
        <v>0</v>
      </c>
      <c r="P149" s="38">
        <f>SUM(L149:O149)</f>
        <v/>
      </c>
      <c r="Q149" s="37">
        <f>IF(P149=0,"0 - acceptance only",IF(P149&lt;=3,"S",IF(P149&lt;=10,"M",IF(P149&lt;=25,"L","XL")))&amp;" ("&amp;P149&amp;")")</f>
        <v/>
      </c>
      <c r="R149" s="36" t="n"/>
      <c r="S149" s="36" t="inlineStr">
        <is>
          <t>Low</t>
        </is>
      </c>
      <c r="T149" s="37" t="inlineStr">
        <is>
          <t>For acceptance</t>
        </is>
      </c>
      <c r="U149" s="37" t="inlineStr">
        <is>
          <t>Product Owner, Claims (Claims, Risk Management and Analytics)</t>
        </is>
      </c>
      <c r="V149" s="37" t="inlineStr">
        <is>
          <t>DCR-084</t>
        </is>
      </c>
      <c r="W149" s="37" t="inlineStr">
        <is>
          <t>FRS sign-off (Nov 2026)</t>
        </is>
      </c>
      <c r="X149" s="37" t="inlineStr">
        <is>
          <t>Register DCR-084</t>
        </is>
      </c>
    </row>
    <row r="150">
      <c r="A150" s="35" t="inlineStr">
        <is>
          <t>CR-0146</t>
        </is>
      </c>
      <c r="B150" s="36" t="inlineStr">
        <is>
          <t>Drop 0</t>
        </is>
      </c>
      <c r="C150" s="36" t="inlineStr">
        <is>
          <t>BRD-07</t>
        </is>
      </c>
      <c r="D150" s="37" t="inlineStr">
        <is>
          <t>BRD-7 assumption 3 (data migration and integration with existing systems, p.23); BRD-13 (no claims object)</t>
        </is>
      </c>
      <c r="E150" s="37" t="inlineStr">
        <is>
          <t>FR-CM-013; FRS BRD-13 (object F07 / F11, conditional)</t>
        </is>
      </c>
      <c r="F150" s="37" t="inlineStr">
        <is>
          <t>Data migration</t>
        </is>
      </c>
      <c r="G150" s="37" t="inlineStr">
        <is>
          <t>BRD-7 assumes open and historical claims are migrated; BRD-13 does not mention claims.</t>
        </is>
      </c>
      <c r="H150" s="37" t="inlineStr">
        <is>
          <t>Open claims are migrated only if BDOI puts the object in scope; history stays in legacy read-only.</t>
        </is>
      </c>
      <c r="I150" s="37" t="inlineStr">
        <is>
          <t>CLQ14, DMQ30 open.</t>
        </is>
      </c>
      <c r="J150" s="37" t="inlineStr">
        <is>
          <t>Without migration, open claims are finished in legacy or re-keyed.</t>
        </is>
      </c>
      <c r="K150" s="37" t="inlineStr">
        <is>
          <t>Claims; Business Project Services</t>
        </is>
      </c>
      <c r="L150" s="36" t="n">
        <v>2</v>
      </c>
      <c r="M150" s="36" t="n">
        <v>6</v>
      </c>
      <c r="N150" s="36" t="n">
        <v>4</v>
      </c>
      <c r="O150" s="36" t="n">
        <v>1</v>
      </c>
      <c r="P150" s="38">
        <f>SUM(L150:O150)</f>
        <v/>
      </c>
      <c r="Q150" s="37">
        <f>IF(P150=0,"0 - acceptance only",IF(P150&lt;=3,"S",IF(P150&lt;=10,"M",IF(P150&lt;=25,"L","XL")))&amp;" ("&amp;P150&amp;")")</f>
        <v/>
      </c>
      <c r="R150" s="36" t="n"/>
      <c r="S150" s="36" t="inlineStr">
        <is>
          <t>High</t>
        </is>
      </c>
      <c r="T150" s="37" t="inlineStr">
        <is>
          <t>Draft</t>
        </is>
      </c>
      <c r="U150" s="37" t="inlineStr">
        <is>
          <t>Product Owner, Claims (Claims, Risk Management and Analytics)</t>
        </is>
      </c>
      <c r="V150" s="37" t="inlineStr">
        <is>
          <t>DCR-081; DCR-196; CLQ14; DMQ30</t>
        </is>
      </c>
      <c r="W150" s="37" t="inlineStr">
        <is>
          <t>Migration functions (Nov 2026 - Mar 2027)</t>
        </is>
      </c>
      <c r="X150" s="37" t="inlineStr">
        <is>
          <t>BRD-13 requirements baseline 6.1</t>
        </is>
      </c>
    </row>
    <row r="151">
      <c r="A151" s="35" t="inlineStr">
        <is>
          <t>CR-0147</t>
        </is>
      </c>
      <c r="B151" s="36" t="inlineStr">
        <is>
          <t>Drop 2</t>
        </is>
      </c>
      <c r="C151" s="36" t="inlineStr">
        <is>
          <t>BRD-08</t>
        </is>
      </c>
      <c r="D151" s="37" t="inlineStr">
        <is>
          <t>BRID-005 (p.10-11); BRID-005.01 (Add. p.7-8); BRID-005.02; BRID-014 (p.20-22); portal NFRs</t>
        </is>
      </c>
      <c r="E151" s="37" t="inlineStr">
        <is>
          <t>FR-EB-010 to FR-EB-015 (portal); FR-EB-040, FR-EB-051</t>
        </is>
      </c>
      <c r="F151" s="37" t="inlineStr">
        <is>
          <t>Scope reduction / descoped</t>
        </is>
      </c>
      <c r="G151" s="37" t="inlineStr">
        <is>
          <t>Insurers and client HR use a secure portal or API: sign-in, uploads, downloads, requests for proposal, revisions.</t>
        </is>
      </c>
      <c r="H151" s="37" t="inlineStr">
        <is>
          <t>No portal: insurers and client HR send files by e-mail or an agreed channel and EB users upload and validate them. The portal, its permissions and screens are removed; decision D7 is dormant. FRS BRD-8 and the test plan are updated.</t>
        </is>
      </c>
      <c r="I151" s="37" t="inlineStr">
        <is>
          <t>BDOI drop plan item 2.4 "Employee Benefits (no portal feature)"; IQ22.</t>
        </is>
      </c>
      <c r="J151" s="37" t="inlineStr">
        <is>
          <t>EB users key or upload partner documents; no external users in BIBS.</t>
        </is>
      </c>
      <c r="K151" s="37" t="inlineStr">
        <is>
          <t>Employee Benefits; Processing</t>
        </is>
      </c>
      <c r="L151" s="36" t="n">
        <v>2</v>
      </c>
      <c r="M151" s="36" t="n">
        <v>3</v>
      </c>
      <c r="N151" s="36" t="n">
        <v>3</v>
      </c>
      <c r="O151" s="36" t="n">
        <v>3</v>
      </c>
      <c r="P151" s="38">
        <f>SUM(L151:O151)</f>
        <v/>
      </c>
      <c r="Q151" s="37">
        <f>IF(P151=0,"0 - acceptance only",IF(P151&lt;=3,"S",IF(P151&lt;=10,"M",IF(P151&lt;=25,"L","XL")))&amp;" ("&amp;P151&amp;")")</f>
        <v/>
      </c>
      <c r="R151" s="36" t="n">
        <v>40</v>
      </c>
      <c r="S151" s="36" t="inlineStr">
        <is>
          <t>High</t>
        </is>
      </c>
      <c r="T151" s="37" t="inlineStr">
        <is>
          <t>For CCB review</t>
        </is>
      </c>
      <c r="U151" s="37" t="inlineStr">
        <is>
          <t>Product Owner, Employee Benefits</t>
        </is>
      </c>
      <c r="V151" s="37" t="inlineStr">
        <is>
          <t>DCR-211; IQ22; D7; EBQ13</t>
        </is>
      </c>
      <c r="W151" s="37" t="inlineStr">
        <is>
          <t>Drop 2 (Mar - Apr 2027)</t>
        </is>
      </c>
      <c r="X151" s="37" t="inlineStr">
        <is>
          <t>Programme alignment 2.2 item 2</t>
        </is>
      </c>
    </row>
    <row r="152">
      <c r="A152" s="35" t="inlineStr">
        <is>
          <t>CR-0148</t>
        </is>
      </c>
      <c r="B152" s="36" t="inlineStr">
        <is>
          <t>Drop 2</t>
        </is>
      </c>
      <c r="C152" s="36" t="inlineStr">
        <is>
          <t>BRD-08</t>
        </is>
      </c>
      <c r="D152" s="37" t="inlineStr">
        <is>
          <t>BRID-008 (p.14-15); BRIDSP-07 (p.9); BRIDSP-18 (p.10)</t>
        </is>
      </c>
      <c r="E152" s="37" t="inlineStr">
        <is>
          <t>FR-EB-031; FR-SP-041</t>
        </is>
      </c>
      <c r="F152" s="37" t="inlineStr">
        <is>
          <t>Deferred pending BDOI answer</t>
        </is>
      </c>
      <c r="G152" s="37" t="inlineStr">
        <is>
          <t>The system validates that the BOR is signed; IAAF and TOR carry a signature.</t>
        </is>
      </c>
      <c r="H152" s="37" t="inlineStr">
        <is>
          <t>BOR: validator attestation with a checklist; e-signature verification on hold. IAAF and TOR: stamped signature until a qualified e-signature provider is named.</t>
        </is>
      </c>
      <c r="I152" s="37" t="inlineStr">
        <is>
          <t>EBQ06; SP e-signature question open.</t>
        </is>
      </c>
      <c r="J152" s="37" t="inlineStr">
        <is>
          <t>Signature checks stay manual.</t>
        </is>
      </c>
      <c r="K152" s="37" t="inlineStr">
        <is>
          <t>Employee Benefits; Submitted Policies (Policy Review); Compliance</t>
        </is>
      </c>
      <c r="L152" s="36" t="n">
        <v>2</v>
      </c>
      <c r="M152" s="36" t="n">
        <v>5</v>
      </c>
      <c r="N152" s="36" t="n">
        <v>3</v>
      </c>
      <c r="O152" s="36" t="n">
        <v>1</v>
      </c>
      <c r="P152" s="38">
        <f>SUM(L152:O152)</f>
        <v/>
      </c>
      <c r="Q152" s="37">
        <f>IF(P152=0,"0 - acceptance only",IF(P152&lt;=3,"S",IF(P152&lt;=10,"M",IF(P152&lt;=25,"L","XL")))&amp;" ("&amp;P152&amp;")")</f>
        <v/>
      </c>
      <c r="R152" s="36" t="n"/>
      <c r="S152" s="36" t="inlineStr">
        <is>
          <t>Medium</t>
        </is>
      </c>
      <c r="T152" s="37" t="inlineStr">
        <is>
          <t>Draft</t>
        </is>
      </c>
      <c r="U152" s="37" t="inlineStr">
        <is>
          <t>Product Owner, Employee Benefits</t>
        </is>
      </c>
      <c r="V152" s="37" t="inlineStr">
        <is>
          <t>EBQ06</t>
        </is>
      </c>
      <c r="W152" s="37" t="inlineStr">
        <is>
          <t>After BDOI answer (slot set by the CCB)</t>
        </is>
      </c>
      <c r="X152" s="37" t="inlineStr">
        <is>
          <t>FRS BRD-8 chapter 12; FRS BRD-12 scope</t>
        </is>
      </c>
    </row>
    <row r="153">
      <c r="A153" s="35" t="inlineStr">
        <is>
          <t>CR-0149</t>
        </is>
      </c>
      <c r="B153" s="36" t="inlineStr">
        <is>
          <t>Drop 2</t>
        </is>
      </c>
      <c r="C153" s="36" t="inlineStr">
        <is>
          <t>BRD-08</t>
        </is>
      </c>
      <c r="D153" s="37" t="inlineStr">
        <is>
          <t>BRID-008 negative scenario (p.14-15); BRID-001 (p.7); TAT annex (p.42)</t>
        </is>
      </c>
      <c r="E153" s="37" t="inlineStr">
        <is>
          <t>FR-EB-031, FR-EB-022, FR-EB-052</t>
        </is>
      </c>
      <c r="F153" s="37" t="inlineStr">
        <is>
          <t>Behaviour differs from BRD</t>
        </is>
      </c>
      <c r="G153" s="37" t="inlineStr">
        <is>
          <t>A BOR uploaded for a renewal transaction is invalid; RA a set number of days before expiry (example 180); booking in EBIX.</t>
        </is>
      </c>
      <c r="H153" s="37" t="inlineStr">
        <is>
          <t>The BOR is required for renewals that remarket; RA default 135 days from the TAT annex; booking in BIBS.</t>
        </is>
      </c>
      <c r="I153" s="37" t="inlineStr">
        <is>
          <t>EBQ02, EBQ05; flow charts of the BRD.</t>
        </is>
      </c>
      <c r="J153" s="37" t="inlineStr">
        <is>
          <t>Renewal advice issued 135 days before expiry unless BDOI sets another value.</t>
        </is>
      </c>
      <c r="K153" s="37" t="inlineStr">
        <is>
          <t>Employee Benefits</t>
        </is>
      </c>
      <c r="L153" s="36" t="n">
        <v>0</v>
      </c>
      <c r="M153" s="36" t="n">
        <v>0</v>
      </c>
      <c r="N153" s="36" t="n">
        <v>0</v>
      </c>
      <c r="O153" s="36" t="n">
        <v>0</v>
      </c>
      <c r="P153" s="38">
        <f>SUM(L153:O153)</f>
        <v/>
      </c>
      <c r="Q153" s="37">
        <f>IF(P153=0,"0 - acceptance only",IF(P153&lt;=3,"S",IF(P153&lt;=10,"M",IF(P153&lt;=25,"L","XL")))&amp;" ("&amp;P153&amp;")")</f>
        <v/>
      </c>
      <c r="R153" s="36" t="n"/>
      <c r="S153" s="36" t="inlineStr">
        <is>
          <t>Low</t>
        </is>
      </c>
      <c r="T153" s="37" t="inlineStr">
        <is>
          <t>For CCB review</t>
        </is>
      </c>
      <c r="U153" s="37" t="inlineStr">
        <is>
          <t>Product Owner, Employee Benefits</t>
        </is>
      </c>
      <c r="V153" s="37" t="inlineStr">
        <is>
          <t>EBQ02; EBQ05</t>
        </is>
      </c>
      <c r="W153" s="37" t="inlineStr">
        <is>
          <t>FRS sign-off (Nov 2026)</t>
        </is>
      </c>
      <c r="X153" s="37" t="inlineStr">
        <is>
          <t>FRS BRD-8 chapter 12</t>
        </is>
      </c>
    </row>
    <row r="154">
      <c r="A154" s="35" t="inlineStr">
        <is>
          <t>CR-0150</t>
        </is>
      </c>
      <c r="B154" s="36" t="inlineStr">
        <is>
          <t>Drop 2</t>
        </is>
      </c>
      <c r="C154" s="36" t="inlineStr">
        <is>
          <t>BRD-08</t>
        </is>
      </c>
      <c r="D154" s="37" t="inlineStr">
        <is>
          <t>BRID-028 (Add. p.13; main p.33)</t>
        </is>
      </c>
      <c r="E154" s="37" t="inlineStr">
        <is>
          <t>FRS BRD-8 traceability (out of scope)</t>
        </is>
      </c>
      <c r="F154" s="37" t="inlineStr">
        <is>
          <t>Scope reduction / descoped</t>
        </is>
      </c>
      <c r="G154" s="37" t="inlineStr">
        <is>
          <t>Present required documents for high-risk accounts.</t>
        </is>
      </c>
      <c r="H154" s="37" t="inlineStr">
        <is>
          <t>Out of scope per the EB addendum.</t>
        </is>
      </c>
      <c r="I154" s="37" t="inlineStr">
        <is>
          <t>EB Addendum p.13 (DCR-089 answered).</t>
        </is>
      </c>
      <c r="J154" s="37" t="inlineStr">
        <is>
          <t>None.</t>
        </is>
      </c>
      <c r="K154" s="37" t="inlineStr">
        <is>
          <t>Employee Benefits</t>
        </is>
      </c>
      <c r="L154" s="36" t="n">
        <v>0</v>
      </c>
      <c r="M154" s="36" t="n">
        <v>0</v>
      </c>
      <c r="N154" s="36" t="n">
        <v>0</v>
      </c>
      <c r="O154" s="36" t="n">
        <v>0</v>
      </c>
      <c r="P154" s="38">
        <f>SUM(L154:O154)</f>
        <v/>
      </c>
      <c r="Q154" s="37">
        <f>IF(P154=0,"0 - acceptance only",IF(P154&lt;=3,"S",IF(P154&lt;=10,"M",IF(P154&lt;=25,"L","XL")))&amp;" ("&amp;P154&amp;")")</f>
        <v/>
      </c>
      <c r="R154" s="36" t="n"/>
      <c r="S154" s="36" t="inlineStr">
        <is>
          <t>Low</t>
        </is>
      </c>
      <c r="T154" s="37" t="inlineStr">
        <is>
          <t>For acceptance</t>
        </is>
      </c>
      <c r="U154" s="37" t="inlineStr">
        <is>
          <t>Product Owner, Employee Benefits</t>
        </is>
      </c>
      <c r="V154" s="37" t="inlineStr">
        <is>
          <t>DCR-089</t>
        </is>
      </c>
      <c r="W154" s="37" t="inlineStr">
        <is>
          <t>FRS sign-off (Nov 2026)</t>
        </is>
      </c>
      <c r="X154" s="37" t="inlineStr">
        <is>
          <t>FRS BRD-8 chapter 12</t>
        </is>
      </c>
    </row>
    <row r="155">
      <c r="A155" s="35" t="inlineStr">
        <is>
          <t>CR-0151</t>
        </is>
      </c>
      <c r="B155" s="36" t="inlineStr">
        <is>
          <t>Drop 2</t>
        </is>
      </c>
      <c r="C155" s="36" t="inlineStr">
        <is>
          <t>BRD-08</t>
        </is>
      </c>
      <c r="D155" s="37" t="inlineStr">
        <is>
          <t>BRID-013 (p.20), benefit lines HMO, GPA, GLI</t>
        </is>
      </c>
      <c r="E155" s="37" t="inlineStr">
        <is>
          <t>FR-EB-020, FR-EB-021</t>
        </is>
      </c>
      <c r="F155" s="37" t="inlineStr">
        <is>
          <t>Behaviour differs from BRD</t>
        </is>
      </c>
      <c r="G155" s="37" t="inlineStr">
        <is>
          <t>HMO providers are placement counterparties but are not insurance companies.</t>
        </is>
      </c>
      <c r="H155" s="37" t="inlineStr">
        <is>
          <t>Proposed: HMO providers held in the insurer master with a provider type.</t>
        </is>
      </c>
      <c r="I155" s="37" t="inlineStr">
        <is>
          <t>Platform holds counterparties as insurers.</t>
        </is>
      </c>
      <c r="J155" s="37" t="inlineStr">
        <is>
          <t>HMO shown with insurers in lists and reports.</t>
        </is>
      </c>
      <c r="K155" s="37" t="inlineStr">
        <is>
          <t>Employee Benefits; MBS</t>
        </is>
      </c>
      <c r="L155" s="36" t="n">
        <v>1</v>
      </c>
      <c r="M155" s="36" t="n">
        <v>2</v>
      </c>
      <c r="N155" s="36" t="n">
        <v>1</v>
      </c>
      <c r="O155" s="36" t="n">
        <v>0</v>
      </c>
      <c r="P155" s="38">
        <f>SUM(L155:O155)</f>
        <v/>
      </c>
      <c r="Q155" s="37">
        <f>IF(P155=0,"0 - acceptance only",IF(P155&lt;=3,"S",IF(P155&lt;=10,"M",IF(P155&lt;=25,"L","XL")))&amp;" ("&amp;P155&amp;")")</f>
        <v/>
      </c>
      <c r="R155" s="36" t="n"/>
      <c r="S155" s="36" t="inlineStr">
        <is>
          <t>Low</t>
        </is>
      </c>
      <c r="T155" s="37" t="inlineStr">
        <is>
          <t>Draft</t>
        </is>
      </c>
      <c r="U155" s="37" t="inlineStr">
        <is>
          <t>Product Owner, Employee Benefits</t>
        </is>
      </c>
      <c r="V155" s="37" t="inlineStr">
        <is>
          <t>DCR-097</t>
        </is>
      </c>
      <c r="W155" s="37" t="inlineStr">
        <is>
          <t>Drop 2 (Mar - Apr 2027)</t>
        </is>
      </c>
      <c r="X155" s="37" t="inlineStr">
        <is>
          <t>Register DCR-097</t>
        </is>
      </c>
    </row>
    <row r="156">
      <c r="A156" s="35" t="inlineStr">
        <is>
          <t>CR-0152</t>
        </is>
      </c>
      <c r="B156" s="36" t="inlineStr">
        <is>
          <t>Drop 1</t>
        </is>
      </c>
      <c r="C156" s="36" t="inlineStr">
        <is>
          <t>BRD-09</t>
        </is>
      </c>
      <c r="D156" s="37" t="inlineStr">
        <is>
          <t>BRCSF-002 (p.7); BRD-9 p.3, p.5 footnote 3; BRD-13 BRID 11.1 (p.11-12)</t>
        </is>
      </c>
      <c r="E156" s="37" t="inlineStr">
        <is>
          <t>FR-CSF-022; FR-CSF-011</t>
        </is>
      </c>
      <c r="F156" s="37" t="inlineStr">
        <is>
          <t>BRD conflict resolved by decision</t>
        </is>
      </c>
      <c r="G156" s="37" t="inlineStr">
        <is>
          <t>Retrieve data from QPS and EBIX and send contact updates back to them.</t>
        </is>
      </c>
      <c r="H156" s="37" t="inlineStr">
        <is>
          <t>BIBS is the source; the write-back to legacy stays off (NOT_CONFIGURED) because legacy is read-only from cut-over; accounts that exist only in legacy are found through the legacy account lookup.</t>
        </is>
      </c>
      <c r="I156" s="37" t="inlineStr">
        <is>
          <t>BRD-13 legacy read-only (DCR-202); CSQ01.</t>
        </is>
      </c>
      <c r="J156" s="37" t="inlineStr">
        <is>
          <t>No updates flow to legacy after go-live.</t>
        </is>
      </c>
      <c r="K156" s="37" t="inlineStr">
        <is>
          <t>Contact Center Management</t>
        </is>
      </c>
      <c r="L156" s="36" t="n">
        <v>0</v>
      </c>
      <c r="M156" s="36" t="n">
        <v>0</v>
      </c>
      <c r="N156" s="36" t="n">
        <v>0</v>
      </c>
      <c r="O156" s="36" t="n">
        <v>0</v>
      </c>
      <c r="P156" s="38">
        <f>SUM(L156:O156)</f>
        <v/>
      </c>
      <c r="Q156" s="37">
        <f>IF(P156=0,"0 - acceptance only",IF(P156&lt;=3,"S",IF(P156&lt;=10,"M",IF(P156&lt;=25,"L","XL")))&amp;" ("&amp;P156&amp;")")</f>
        <v/>
      </c>
      <c r="R156" s="36" t="n">
        <v>13</v>
      </c>
      <c r="S156" s="36" t="inlineStr">
        <is>
          <t>Medium</t>
        </is>
      </c>
      <c r="T156" s="37" t="inlineStr">
        <is>
          <t>For CCB review</t>
        </is>
      </c>
      <c r="U156" s="37" t="inlineStr">
        <is>
          <t>Product Owner, CSF (Contact Center Management)</t>
        </is>
      </c>
      <c r="V156" s="37" t="inlineStr">
        <is>
          <t>DCR-104; DCR-202; CSQ01</t>
        </is>
      </c>
      <c r="W156" s="37" t="inlineStr">
        <is>
          <t>FRS sign-off (Nov 2026)</t>
        </is>
      </c>
      <c r="X156" s="37" t="inlineStr">
        <is>
          <t>FRS BRD-9 chapter 12; register DCR-202</t>
        </is>
      </c>
    </row>
    <row r="157">
      <c r="A157" s="35" t="inlineStr">
        <is>
          <t>CR-0153</t>
        </is>
      </c>
      <c r="B157" s="36" t="inlineStr">
        <is>
          <t>Drop 1</t>
        </is>
      </c>
      <c r="C157" s="36" t="inlineStr">
        <is>
          <t>BRD-09</t>
        </is>
      </c>
      <c r="D157" s="37" t="inlineStr">
        <is>
          <t>BRCSF-004 (p.8)</t>
        </is>
      </c>
      <c r="E157" s="37" t="inlineStr">
        <is>
          <t>FR-CSF-020, FR-CSF-021</t>
        </is>
      </c>
      <c r="F157" s="37" t="inlineStr">
        <is>
          <t>Deferred pending BDOI answer</t>
        </is>
      </c>
      <c r="G157" s="37" t="inlineStr">
        <is>
          <t>View, add or update contact details.</t>
        </is>
      </c>
      <c r="H157" s="37" t="inlineStr">
        <is>
          <t>Update after a recorded verification; "add" means additional contacts only if BDOI confirms.</t>
        </is>
      </c>
      <c r="I157" s="37" t="inlineStr">
        <is>
          <t>CSQ15 open.</t>
        </is>
      </c>
      <c r="J157" s="37" t="inlineStr">
        <is>
          <t>Contact Center users cannot add second contacts until confirmed.</t>
        </is>
      </c>
      <c r="K157" s="37" t="inlineStr">
        <is>
          <t>Contact Center Management</t>
        </is>
      </c>
      <c r="L157" s="36" t="n">
        <v>0</v>
      </c>
      <c r="M157" s="36" t="n">
        <v>2</v>
      </c>
      <c r="N157" s="36" t="n">
        <v>1</v>
      </c>
      <c r="O157" s="36" t="n">
        <v>0</v>
      </c>
      <c r="P157" s="38">
        <f>SUM(L157:O157)</f>
        <v/>
      </c>
      <c r="Q157" s="37">
        <f>IF(P157=0,"0 - acceptance only",IF(P157&lt;=3,"S",IF(P157&lt;=10,"M",IF(P157&lt;=25,"L","XL")))&amp;" ("&amp;P157&amp;")")</f>
        <v/>
      </c>
      <c r="R157" s="36" t="n"/>
      <c r="S157" s="36" t="inlineStr">
        <is>
          <t>Low</t>
        </is>
      </c>
      <c r="T157" s="37" t="inlineStr">
        <is>
          <t>Draft</t>
        </is>
      </c>
      <c r="U157" s="37" t="inlineStr">
        <is>
          <t>Product Owner, CSF (Contact Center Management)</t>
        </is>
      </c>
      <c r="V157" s="37" t="inlineStr">
        <is>
          <t>CSQ15</t>
        </is>
      </c>
      <c r="W157" s="37" t="inlineStr">
        <is>
          <t>After BDOI answer (slot set by the CCB)</t>
        </is>
      </c>
      <c r="X157" s="37" t="inlineStr">
        <is>
          <t>FRS BRD-9 chapter 12</t>
        </is>
      </c>
    </row>
    <row r="158">
      <c r="A158" s="35" t="inlineStr">
        <is>
          <t>CR-0154</t>
        </is>
      </c>
      <c r="B158" s="36" t="inlineStr">
        <is>
          <t>Drop 1</t>
        </is>
      </c>
      <c r="C158" s="36" t="inlineStr">
        <is>
          <t>BRD-09</t>
        </is>
      </c>
      <c r="D158" s="37" t="inlineStr">
        <is>
          <t>Umbrella CORE-16.04; BR-164 (p.11); BRCSF-006, BRCSF-009</t>
        </is>
      </c>
      <c r="E158" s="37" t="inlineStr">
        <is>
          <t>FR-CSF-030, FR-CSF-033</t>
        </is>
      </c>
      <c r="F158" s="37" t="inlineStr">
        <is>
          <t>BRD conflict resolved by decision</t>
        </is>
      </c>
      <c r="G158" s="37" t="inlineStr">
        <is>
          <t>The umbrella asks Contact Center users to view and resend RAs and e-policies; BRD-9 asks for RAs only.</t>
        </is>
      </c>
      <c r="H158" s="37" t="inlineStr">
        <is>
          <t>RA resend only until BDOI answers; e-policies can be viewed.</t>
        </is>
      </c>
      <c r="I158" s="37" t="inlineStr">
        <is>
          <t>CRQ16 open.</t>
        </is>
      </c>
      <c r="J158" s="37" t="inlineStr">
        <is>
          <t>E-policy resend stays with Processing.</t>
        </is>
      </c>
      <c r="K158" s="37" t="inlineStr">
        <is>
          <t>Contact Center Management; Processing</t>
        </is>
      </c>
      <c r="L158" s="36" t="n">
        <v>0</v>
      </c>
      <c r="M158" s="36" t="n">
        <v>0</v>
      </c>
      <c r="N158" s="36" t="n">
        <v>0</v>
      </c>
      <c r="O158" s="36" t="n">
        <v>0</v>
      </c>
      <c r="P158" s="38">
        <f>SUM(L158:O158)</f>
        <v/>
      </c>
      <c r="Q158" s="37">
        <f>IF(P158=0,"0 - acceptance only",IF(P158&lt;=3,"S",IF(P158&lt;=10,"M",IF(P158&lt;=25,"L","XL")))&amp;" ("&amp;P158&amp;")")</f>
        <v/>
      </c>
      <c r="R158" s="36" t="n">
        <v>3</v>
      </c>
      <c r="S158" s="36" t="inlineStr">
        <is>
          <t>Low</t>
        </is>
      </c>
      <c r="T158" s="37" t="inlineStr">
        <is>
          <t>For CCB review</t>
        </is>
      </c>
      <c r="U158" s="37" t="inlineStr">
        <is>
          <t>Product Owner, CSF (Contact Center Management)</t>
        </is>
      </c>
      <c r="V158" s="37" t="inlineStr">
        <is>
          <t>DCR-172; CRQ16</t>
        </is>
      </c>
      <c r="W158" s="37" t="inlineStr">
        <is>
          <t>FRS sign-off (Nov 2026)</t>
        </is>
      </c>
      <c r="X158" s="37" t="inlineStr">
        <is>
          <t>Register DCR-172</t>
        </is>
      </c>
    </row>
    <row r="159">
      <c r="A159" s="35" t="inlineStr">
        <is>
          <t>CR-0155</t>
        </is>
      </c>
      <c r="B159" s="36" t="inlineStr">
        <is>
          <t>Drop 1</t>
        </is>
      </c>
      <c r="C159" s="36" t="inlineStr">
        <is>
          <t>BRD-10</t>
        </is>
      </c>
      <c r="D159" s="37" t="inlineStr">
        <is>
          <t>SNSRP-301 (p.14); BRD-10 to-be diagram (p.8)</t>
        </is>
      </c>
      <c r="E159" s="37" t="inlineStr">
        <is>
          <t>FR-SS-033</t>
        </is>
      </c>
      <c r="F159" s="37" t="inlineStr">
        <is>
          <t>Deferred pending BDOI answer</t>
        </is>
      </c>
      <c r="G159" s="37" t="inlineStr">
        <is>
          <t>The BRD asks for tags, cases and notifications on a match, not for a stop on business.</t>
        </is>
      </c>
      <c r="H159" s="37" t="inlineStr">
        <is>
          <t>No blocking. A blocking gate on quotation, account submission, placement, booking and renewal is proposed behind a parameter, off by default, if BDOI decides to block.</t>
        </is>
      </c>
      <c r="I159" s="37" t="inlineStr">
        <is>
          <t>SANC SQ07 open; register priority item DCR-112.</t>
        </is>
      </c>
      <c r="J159" s="37" t="inlineStr">
        <is>
          <t>Business can proceed while a match is under review.</t>
        </is>
      </c>
      <c r="K159" s="37" t="inlineStr">
        <is>
          <t>Compliance; Marketing; Processing</t>
        </is>
      </c>
      <c r="L159" s="36" t="n">
        <v>1</v>
      </c>
      <c r="M159" s="36" t="n">
        <v>4</v>
      </c>
      <c r="N159" s="36" t="n">
        <v>3</v>
      </c>
      <c r="O159" s="36" t="n">
        <v>1</v>
      </c>
      <c r="P159" s="38">
        <f>SUM(L159:O159)</f>
        <v/>
      </c>
      <c r="Q159" s="37">
        <f>IF(P159=0,"0 - acceptance only",IF(P159&lt;=3,"S",IF(P159&lt;=10,"M",IF(P159&lt;=25,"L","XL")))&amp;" ("&amp;P159&amp;")")</f>
        <v/>
      </c>
      <c r="R159" s="36" t="n"/>
      <c r="S159" s="36" t="inlineStr">
        <is>
          <t>High</t>
        </is>
      </c>
      <c r="T159" s="37" t="inlineStr">
        <is>
          <t>Draft</t>
        </is>
      </c>
      <c r="U159" s="37" t="inlineStr">
        <is>
          <t>Chief Compliance Officer</t>
        </is>
      </c>
      <c r="V159" s="37" t="inlineStr">
        <is>
          <t>DCR-112; SANC SQ07</t>
        </is>
      </c>
      <c r="W159" s="37" t="inlineStr">
        <is>
          <t>After BDOI answer (slot set by the CCB)</t>
        </is>
      </c>
      <c r="X159" s="37" t="inlineStr">
        <is>
          <t>FRS BRD-10 section 1.2</t>
        </is>
      </c>
    </row>
    <row r="160">
      <c r="A160" s="35" t="inlineStr">
        <is>
          <t>CR-0156</t>
        </is>
      </c>
      <c r="B160" s="36" t="inlineStr">
        <is>
          <t>Drop 1</t>
        </is>
      </c>
      <c r="C160" s="36" t="inlineStr">
        <is>
          <t>BRD-10</t>
        </is>
      </c>
      <c r="D160" s="37" t="inlineStr">
        <is>
          <t>SNSRP-201 (p.12); SNSRP-706 (p.19-20)</t>
        </is>
      </c>
      <c r="E160" s="37" t="inlineStr">
        <is>
          <t>FR-SS-020; FR-SS-071</t>
        </is>
      </c>
      <c r="F160" s="37" t="inlineStr">
        <is>
          <t>Integration dependency</t>
        </is>
      </c>
      <c r="G160" s="37" t="inlineStr">
        <is>
          <t>Receive the sanctions and NLDS-PEP lists in real time or on a schedule; save the STR extract to a designated folder.</t>
        </is>
      </c>
      <c r="H160" s="37" t="inlineStr">
        <is>
          <t>Lists come in as files; direct NLDS query and provider APIs are on hold; the STR extract is downloaded, automatic saving to a folder is on hold.</t>
        </is>
      </c>
      <c r="I160" s="37" t="inlineStr">
        <is>
          <t>SANC SQ01 open (sources and transports).</t>
        </is>
      </c>
      <c r="J160" s="37" t="inlineStr">
        <is>
          <t>Compliance loads list files by hand.</t>
        </is>
      </c>
      <c r="K160" s="37" t="inlineStr">
        <is>
          <t>Compliance; BDOI IT</t>
        </is>
      </c>
      <c r="L160" s="36" t="n">
        <v>2</v>
      </c>
      <c r="M160" s="36" t="n">
        <v>5</v>
      </c>
      <c r="N160" s="36" t="n">
        <v>3</v>
      </c>
      <c r="O160" s="36" t="n">
        <v>1</v>
      </c>
      <c r="P160" s="38">
        <f>SUM(L160:O160)</f>
        <v/>
      </c>
      <c r="Q160" s="37">
        <f>IF(P160=0,"0 - acceptance only",IF(P160&lt;=3,"S",IF(P160&lt;=10,"M",IF(P160&lt;=25,"L","XL")))&amp;" ("&amp;P160&amp;")")</f>
        <v/>
      </c>
      <c r="R160" s="36" t="n"/>
      <c r="S160" s="36" t="inlineStr">
        <is>
          <t>Medium</t>
        </is>
      </c>
      <c r="T160" s="37" t="inlineStr">
        <is>
          <t>Draft</t>
        </is>
      </c>
      <c r="U160" s="37" t="inlineStr">
        <is>
          <t>BDOI IT (integration owner) with the BIBS Product Owner</t>
        </is>
      </c>
      <c r="V160" s="37" t="inlineStr">
        <is>
          <t>SANC SQ01</t>
        </is>
      </c>
      <c r="W160" s="37" t="inlineStr">
        <is>
          <t>After BDOI answer (slot set by the CCB)</t>
        </is>
      </c>
      <c r="X160" s="37" t="inlineStr">
        <is>
          <t>FRS BRD-10 section 1.2 and interfaces</t>
        </is>
      </c>
    </row>
    <row r="161">
      <c r="A161" s="35" t="inlineStr">
        <is>
          <t>CR-0157</t>
        </is>
      </c>
      <c r="B161" s="36" t="inlineStr">
        <is>
          <t>Drop 1</t>
        </is>
      </c>
      <c r="C161" s="36" t="inlineStr">
        <is>
          <t>BRD-10</t>
        </is>
      </c>
      <c r="D161" s="37" t="inlineStr">
        <is>
          <t>SNSRP-301 (p.14) parties screened</t>
        </is>
      </c>
      <c r="E161" s="37" t="inlineStr">
        <is>
          <t>FR-SS-030 to FR-SS-033</t>
        </is>
      </c>
      <c r="F161" s="37" t="inlineStr">
        <is>
          <t>Deferred pending BDOI answer</t>
        </is>
      </c>
      <c r="G161" s="37" t="inlineStr">
        <is>
          <t>Screening of clients; the parties are not listed.</t>
        </is>
      </c>
      <c r="H161" s="37" t="inlineStr">
        <is>
          <t>Clients held in BIBS are screened; beneficial owners, authorised signatories and beneficiaries are not held today and not screened.</t>
        </is>
      </c>
      <c r="I161" s="37" t="inlineStr">
        <is>
          <t>SANC SQ11 open.</t>
        </is>
      </c>
      <c r="J161" s="37" t="inlineStr">
        <is>
          <t>Related parties are screened outside BIBS.</t>
        </is>
      </c>
      <c r="K161" s="37" t="inlineStr">
        <is>
          <t>Compliance; Marketing</t>
        </is>
      </c>
      <c r="L161" s="36" t="n">
        <v>2</v>
      </c>
      <c r="M161" s="36" t="n">
        <v>6</v>
      </c>
      <c r="N161" s="36" t="n">
        <v>4</v>
      </c>
      <c r="O161" s="36" t="n">
        <v>1</v>
      </c>
      <c r="P161" s="38">
        <f>SUM(L161:O161)</f>
        <v/>
      </c>
      <c r="Q161" s="37">
        <f>IF(P161=0,"0 - acceptance only",IF(P161&lt;=3,"S",IF(P161&lt;=10,"M",IF(P161&lt;=25,"L","XL")))&amp;" ("&amp;P161&amp;")")</f>
        <v/>
      </c>
      <c r="R161" s="36" t="n"/>
      <c r="S161" s="36" t="inlineStr">
        <is>
          <t>Medium</t>
        </is>
      </c>
      <c r="T161" s="37" t="inlineStr">
        <is>
          <t>Draft</t>
        </is>
      </c>
      <c r="U161" s="37" t="inlineStr">
        <is>
          <t>Chief Compliance Officer</t>
        </is>
      </c>
      <c r="V161" s="37" t="inlineStr">
        <is>
          <t>SANC SQ11</t>
        </is>
      </c>
      <c r="W161" s="37" t="inlineStr">
        <is>
          <t>After BDOI answer (slot set by the CCB)</t>
        </is>
      </c>
      <c r="X161" s="37" t="inlineStr">
        <is>
          <t>FRS BRD-10 section 1.2</t>
        </is>
      </c>
    </row>
    <row r="162">
      <c r="A162" s="35" t="inlineStr">
        <is>
          <t>CR-0158</t>
        </is>
      </c>
      <c r="B162" s="36" t="inlineStr">
        <is>
          <t>Drop 1</t>
        </is>
      </c>
      <c r="C162" s="36" t="inlineStr">
        <is>
          <t>BRD-10</t>
        </is>
      </c>
      <c r="D162" s="37" t="inlineStr">
        <is>
          <t>BRD-10 objectives (p.3), BSP M-2025-017</t>
        </is>
      </c>
      <c r="E162" s="37" t="inlineStr">
        <is>
          <t>FRS BRD-10 section 1.2 (out of scope)</t>
        </is>
      </c>
      <c r="F162" s="37" t="inlineStr">
        <is>
          <t>Scope reduction / descoped</t>
        </is>
      </c>
      <c r="G162" s="37" t="inlineStr">
        <is>
          <t>The objectives cite BSP M-2025-017; no requirement asks for adverse-media screening.</t>
        </is>
      </c>
      <c r="H162" s="37" t="inlineStr">
        <is>
          <t>Adverse-media screening not in scope.</t>
        </is>
      </c>
      <c r="I162" s="37" t="inlineStr">
        <is>
          <t>SANC SQ20 open.</t>
        </is>
      </c>
      <c r="J162" s="37" t="inlineStr">
        <is>
          <t>Adverse media checked outside BIBS.</t>
        </is>
      </c>
      <c r="K162" s="37" t="inlineStr">
        <is>
          <t>Compliance</t>
        </is>
      </c>
      <c r="L162" s="36" t="n">
        <v>0</v>
      </c>
      <c r="M162" s="36" t="n">
        <v>0</v>
      </c>
      <c r="N162" s="36" t="n">
        <v>0</v>
      </c>
      <c r="O162" s="36" t="n">
        <v>0</v>
      </c>
      <c r="P162" s="38">
        <f>SUM(L162:O162)</f>
        <v/>
      </c>
      <c r="Q162" s="37">
        <f>IF(P162=0,"0 - acceptance only",IF(P162&lt;=3,"S",IF(P162&lt;=10,"M",IF(P162&lt;=25,"L","XL")))&amp;" ("&amp;P162&amp;")")</f>
        <v/>
      </c>
      <c r="R162" s="36" t="n">
        <v>18</v>
      </c>
      <c r="S162" s="36" t="inlineStr">
        <is>
          <t>Medium</t>
        </is>
      </c>
      <c r="T162" s="37" t="inlineStr">
        <is>
          <t>For CCB review</t>
        </is>
      </c>
      <c r="U162" s="37" t="inlineStr">
        <is>
          <t>Chief Compliance Officer</t>
        </is>
      </c>
      <c r="V162" s="37" t="inlineStr">
        <is>
          <t>SANC SQ20</t>
        </is>
      </c>
      <c r="W162" s="37" t="inlineStr">
        <is>
          <t>FRS sign-off (Nov 2026)</t>
        </is>
      </c>
      <c r="X162" s="37" t="inlineStr">
        <is>
          <t>FRS BRD-10 section 1.2</t>
        </is>
      </c>
    </row>
    <row r="163">
      <c r="A163" s="35" t="inlineStr">
        <is>
          <t>CR-0159</t>
        </is>
      </c>
      <c r="B163" s="36" t="inlineStr">
        <is>
          <t>Drop 1</t>
        </is>
      </c>
      <c r="C163" s="36" t="inlineStr">
        <is>
          <t>BRD-10</t>
        </is>
      </c>
      <c r="D163" s="37" t="inlineStr">
        <is>
          <t>SNSRP-101 to 109 (p.10-12), configuration; SNSRP-705, 706 (p.19-20), STR format</t>
        </is>
      </c>
      <c r="E163" s="37" t="inlineStr">
        <is>
          <t>FR-SS (configuration); FR-SS-070, FR-SS-071</t>
        </is>
      </c>
      <c r="F163" s="37" t="inlineStr">
        <is>
          <t>Deferred pending BDOI answer</t>
        </is>
      </c>
      <c r="G163" s="37" t="inlineStr">
        <is>
          <t>Production values, lists and the AMLC STR format.</t>
        </is>
      </c>
      <c r="H163" s="37" t="inlineStr">
        <is>
          <t>Documented defaults apply; the production values and lists, the AMLC STR format and reasons, and the active-policy definition wait for BDOI. Four follow-ups: working-hour SLA calendars, accent-insensitive case search, protection of case documents against deletion, and screening after the transaction is saved.</t>
        </is>
      </c>
      <c r="I163" s="37" t="inlineStr">
        <is>
          <t>SANC SQ02, SQ03, SQ05, SQ06, SQ08, SQ09, SQ10, SQ15 open.</t>
        </is>
      </c>
      <c r="J163" s="37" t="inlineStr">
        <is>
          <t>Screening runs on default thresholds until set.</t>
        </is>
      </c>
      <c r="K163" s="37" t="inlineStr">
        <is>
          <t>Compliance</t>
        </is>
      </c>
      <c r="L163" s="36" t="n">
        <v>3</v>
      </c>
      <c r="M163" s="36" t="n">
        <v>7</v>
      </c>
      <c r="N163" s="36" t="n">
        <v>5</v>
      </c>
      <c r="O163" s="36" t="n">
        <v>2</v>
      </c>
      <c r="P163" s="38">
        <f>SUM(L163:O163)</f>
        <v/>
      </c>
      <c r="Q163" s="37">
        <f>IF(P163=0,"0 - acceptance only",IF(P163&lt;=3,"S",IF(P163&lt;=10,"M",IF(P163&lt;=25,"L","XL")))&amp;" ("&amp;P163&amp;")")</f>
        <v/>
      </c>
      <c r="R163" s="36" t="n"/>
      <c r="S163" s="36" t="inlineStr">
        <is>
          <t>Medium</t>
        </is>
      </c>
      <c r="T163" s="37" t="inlineStr">
        <is>
          <t>Draft</t>
        </is>
      </c>
      <c r="U163" s="37" t="inlineStr">
        <is>
          <t>Chief Compliance Officer</t>
        </is>
      </c>
      <c r="V163" s="37" t="inlineStr">
        <is>
          <t>SANC SQ02; SQ03; SQ05; SQ06; SQ08; SQ09; SQ10; SQ15</t>
        </is>
      </c>
      <c r="W163" s="37" t="inlineStr">
        <is>
          <t>Drop 1, second release (Jan - Feb 2027)</t>
        </is>
      </c>
      <c r="X163" s="37" t="inlineStr">
        <is>
          <t>BRD-10 requirements baseline</t>
        </is>
      </c>
    </row>
    <row r="164">
      <c r="A164" s="35" t="inlineStr">
        <is>
          <t>CR-0160</t>
        </is>
      </c>
      <c r="B164" s="36" t="inlineStr">
        <is>
          <t>Drop 2</t>
        </is>
      </c>
      <c r="C164" s="36" t="inlineStr">
        <is>
          <t>BRD-10</t>
        </is>
      </c>
      <c r="D164" s="37" t="inlineStr">
        <is>
          <t>Drop plan INT-20 Bridger Insight XG (manual)</t>
        </is>
      </c>
      <c r="E164" s="37" t="inlineStr">
        <is>
          <t>FR-SS (cases, evidence)</t>
        </is>
      </c>
      <c r="F164" s="37" t="inlineStr">
        <is>
          <t>Integration dependency</t>
        </is>
      </c>
      <c r="G164" s="37" t="inlineStr">
        <is>
          <t>Compliance screens names in Bridger Insight XG.</t>
        </is>
      </c>
      <c r="H164" s="37" t="inlineStr">
        <is>
          <t>Proposed: Bridger results recorded in the BIBS case with evidence; evidence document type and disposition values configured; a client export for batch screening only if asked.</t>
        </is>
      </c>
      <c r="I164" s="37" t="inlineStr">
        <is>
          <t>IQ19 open (replace or complement BIBS list matching).</t>
        </is>
      </c>
      <c r="J164" s="37" t="inlineStr">
        <is>
          <t>Two screening tools unless BDOI decides.</t>
        </is>
      </c>
      <c r="K164" s="37" t="inlineStr">
        <is>
          <t>Compliance</t>
        </is>
      </c>
      <c r="L164" s="36" t="n">
        <v>1</v>
      </c>
      <c r="M164" s="36" t="n">
        <v>1</v>
      </c>
      <c r="N164" s="36" t="n">
        <v>1</v>
      </c>
      <c r="O164" s="36" t="n">
        <v>0</v>
      </c>
      <c r="P164" s="38">
        <f>SUM(L164:O164)</f>
        <v/>
      </c>
      <c r="Q164" s="37">
        <f>IF(P164=0,"0 - acceptance only",IF(P164&lt;=3,"S",IF(P164&lt;=10,"M",IF(P164&lt;=25,"L","XL")))&amp;" ("&amp;P164&amp;")")</f>
        <v/>
      </c>
      <c r="R164" s="36" t="n"/>
      <c r="S164" s="36" t="inlineStr">
        <is>
          <t>Low</t>
        </is>
      </c>
      <c r="T164" s="37" t="inlineStr">
        <is>
          <t>Draft</t>
        </is>
      </c>
      <c r="U164" s="37" t="inlineStr">
        <is>
          <t>Chief Compliance Officer</t>
        </is>
      </c>
      <c r="V164" s="37" t="inlineStr">
        <is>
          <t>IQ19</t>
        </is>
      </c>
      <c r="W164" s="37" t="inlineStr">
        <is>
          <t>Drop 2 (Mar - Apr 2027)</t>
        </is>
      </c>
      <c r="X164" s="37" t="inlineStr">
        <is>
          <t>Programme alignment 5 (INT-20)</t>
        </is>
      </c>
    </row>
    <row r="165">
      <c r="A165" s="35" t="inlineStr">
        <is>
          <t>CR-0161</t>
        </is>
      </c>
      <c r="B165" s="36" t="inlineStr">
        <is>
          <t>Drop 0</t>
        </is>
      </c>
      <c r="C165" s="36" t="inlineStr">
        <is>
          <t>BRD-11</t>
        </is>
      </c>
      <c r="D165" s="37" t="inlineStr">
        <is>
          <t>BRD 1.002-1.009 (p.7-8), BRD 2.002 (p.8), BRD 3.002 (p.9): an approved BIBS request is the only way to change access</t>
        </is>
      </c>
      <c r="E165" s="37" t="inlineStr">
        <is>
          <t>FR-UA-010 to FR-UA-045</t>
        </is>
      </c>
      <c r="F165" s="37" t="inlineStr">
        <is>
          <t>Integration dependency</t>
        </is>
      </c>
      <c r="G165" s="37" t="inlineStr">
        <is>
          <t>BRD-11 makes an approved request in BIBS the only way to change a user or a group profile. The drop plan adds UIDM-ISC (identity governance).</t>
        </is>
      </c>
      <c r="H165" s="37" t="inlineStr">
        <is>
          <t>Proposed: UIDM-ISC provisions users and group-profile assignments through an API (SCIM 2.0 or its connector) with the ISC request number in the change log; group-profile definitions stay in BIBS under BRD-11; aggregation export for certification.</t>
        </is>
      </c>
      <c r="I165" s="37" t="inlineStr">
        <is>
          <t>Drop plan Drop 0 (UIDM-ISC); IQ05 open.</t>
        </is>
      </c>
      <c r="J165" s="37" t="inlineStr">
        <is>
          <t>Joiners, movers and leavers handled by the IGA; BRD-11 request types reduced.</t>
        </is>
      </c>
      <c r="K165" s="37" t="inlineStr">
        <is>
          <t>ITIO; BDOI IT; all departments</t>
        </is>
      </c>
      <c r="L165" s="36" t="n">
        <v>3</v>
      </c>
      <c r="M165" s="36" t="n">
        <v>15</v>
      </c>
      <c r="N165" s="36" t="n">
        <v>7</v>
      </c>
      <c r="O165" s="36" t="n">
        <v>2</v>
      </c>
      <c r="P165" s="38">
        <f>SUM(L165:O165)</f>
        <v/>
      </c>
      <c r="Q165" s="37">
        <f>IF(P165=0,"0 - acceptance only",IF(P165&lt;=3,"S",IF(P165&lt;=10,"M",IF(P165&lt;=25,"L","XL")))&amp;" ("&amp;P165&amp;")")</f>
        <v/>
      </c>
      <c r="R165" s="36" t="n"/>
      <c r="S165" s="36" t="inlineStr">
        <is>
          <t>High</t>
        </is>
      </c>
      <c r="T165" s="37" t="inlineStr">
        <is>
          <t>Draft</t>
        </is>
      </c>
      <c r="U165" s="37" t="inlineStr">
        <is>
          <t>UAM Product Owner with ITIO</t>
        </is>
      </c>
      <c r="V165" s="37" t="inlineStr">
        <is>
          <t>DCR-229; IQ05</t>
        </is>
      </c>
      <c r="W165" s="37" t="inlineStr">
        <is>
          <t>Drop 1, first release (Nov - Dec 2026)</t>
        </is>
      </c>
      <c r="X165" s="37" t="inlineStr">
        <is>
          <t>FRS BRD-11 v1.1 interfaces; Programme alignment 5 (INT-02)</t>
        </is>
      </c>
    </row>
    <row r="166">
      <c r="A166" s="35" t="inlineStr">
        <is>
          <t>CR-0162</t>
        </is>
      </c>
      <c r="B166" s="36" t="inlineStr">
        <is>
          <t>Drop 0</t>
        </is>
      </c>
      <c r="C166" s="36" t="inlineStr">
        <is>
          <t>BRD-11</t>
        </is>
      </c>
      <c r="D166" s="37" t="inlineStr">
        <is>
          <t>UAM-NFR-12 (p.13), NFR 1.i external ACL</t>
        </is>
      </c>
      <c r="E166" s="37" t="inlineStr">
        <is>
          <t>FR-UA-003</t>
        </is>
      </c>
      <c r="F166" s="37" t="inlineStr">
        <is>
          <t>Deferred pending BDOI answer</t>
        </is>
      </c>
      <c r="G166" s="37" t="inlineStr">
        <is>
          <t>Authorisation of users by interfacing with an external ACL.</t>
        </is>
      </c>
      <c r="H166" s="37" t="inlineStr">
        <is>
          <t>Authorisation stays in BIBS roles and permissions.</t>
        </is>
      </c>
      <c r="I166" s="37" t="inlineStr">
        <is>
          <t>UQ14 open; may be covered by UIDM-ISC (CR-0161).</t>
        </is>
      </c>
      <c r="J166" s="37" t="inlineStr">
        <is>
          <t>None while roles stay in BIBS.</t>
        </is>
      </c>
      <c r="K166" s="37" t="inlineStr">
        <is>
          <t>ITIO</t>
        </is>
      </c>
      <c r="L166" s="36" t="n">
        <v>1</v>
      </c>
      <c r="M166" s="36" t="n">
        <v>4</v>
      </c>
      <c r="N166" s="36" t="n">
        <v>2</v>
      </c>
      <c r="O166" s="36" t="n">
        <v>1</v>
      </c>
      <c r="P166" s="38">
        <f>SUM(L166:O166)</f>
        <v/>
      </c>
      <c r="Q166" s="37">
        <f>IF(P166=0,"0 - acceptance only",IF(P166&lt;=3,"S",IF(P166&lt;=10,"M",IF(P166&lt;=25,"L","XL")))&amp;" ("&amp;P166&amp;")")</f>
        <v/>
      </c>
      <c r="R166" s="36" t="n"/>
      <c r="S166" s="36" t="inlineStr">
        <is>
          <t>Low</t>
        </is>
      </c>
      <c r="T166" s="37" t="inlineStr">
        <is>
          <t>Draft</t>
        </is>
      </c>
      <c r="U166" s="37" t="inlineStr">
        <is>
          <t>UAM Product Owner with ITIO</t>
        </is>
      </c>
      <c r="V166" s="37" t="inlineStr">
        <is>
          <t>UQ14</t>
        </is>
      </c>
      <c r="W166" s="37" t="inlineStr">
        <is>
          <t>After BDOI answer (slot set by the CCB)</t>
        </is>
      </c>
      <c r="X166" s="37" t="inlineStr">
        <is>
          <t>BRD-11 requirements baseline</t>
        </is>
      </c>
    </row>
    <row r="167">
      <c r="A167" s="35" t="inlineStr">
        <is>
          <t>CR-0163</t>
        </is>
      </c>
      <c r="B167" s="36" t="inlineStr">
        <is>
          <t>Drop 0</t>
        </is>
      </c>
      <c r="C167" s="36" t="inlineStr">
        <is>
          <t>BRD-11</t>
        </is>
      </c>
      <c r="D167" s="37" t="inlineStr">
        <is>
          <t>NFR 1.j (p.13) user ID of at least ten characters, format a999999999; UAM-NFR-13 to 15</t>
        </is>
      </c>
      <c r="E167" s="37" t="inlineStr">
        <is>
          <t>FR-UA-011, FR-UA-052</t>
        </is>
      </c>
      <c r="F167" s="37" t="inlineStr">
        <is>
          <t>Deferred pending BDOI answer</t>
        </is>
      </c>
      <c r="G167" s="37" t="inlineStr">
        <is>
          <t>User IDs in the a999999999 format; business unit and user level values; privilege levels and working hours; QPS retention values; profile deactivation while it has members.</t>
        </is>
      </c>
      <c r="H167" s="37" t="inlineStr">
        <is>
          <t>Parameter USER_ID_PATTERN (default a999999999 for new users; existing service users exempt); the value lists and rules wait for BDOI.</t>
        </is>
      </c>
      <c r="I167" s="37" t="inlineStr">
        <is>
          <t>UQ05, UQ07, UQ12, UQ16 open.</t>
        </is>
      </c>
      <c r="J167" s="37" t="inlineStr">
        <is>
          <t>Defaults apply until BDOI sets the values.</t>
        </is>
      </c>
      <c r="K167" s="37" t="inlineStr">
        <is>
          <t>ITIO</t>
        </is>
      </c>
      <c r="L167" s="36" t="n">
        <v>1</v>
      </c>
      <c r="M167" s="36" t="n">
        <v>1</v>
      </c>
      <c r="N167" s="36" t="n">
        <v>2</v>
      </c>
      <c r="O167" s="36" t="n">
        <v>1</v>
      </c>
      <c r="P167" s="38">
        <f>SUM(L167:O167)</f>
        <v/>
      </c>
      <c r="Q167" s="37">
        <f>IF(P167=0,"0 - acceptance only",IF(P167&lt;=3,"S",IF(P167&lt;=10,"M",IF(P167&lt;=25,"L","XL")))&amp;" ("&amp;P167&amp;")")</f>
        <v/>
      </c>
      <c r="R167" s="36" t="n"/>
      <c r="S167" s="36" t="inlineStr">
        <is>
          <t>Low</t>
        </is>
      </c>
      <c r="T167" s="37" t="inlineStr">
        <is>
          <t>Draft</t>
        </is>
      </c>
      <c r="U167" s="37" t="inlineStr">
        <is>
          <t>UAM Product Owner with ITIO</t>
        </is>
      </c>
      <c r="V167" s="37" t="inlineStr">
        <is>
          <t>DCR-118; UQ05; UQ07; UQ12; UQ16</t>
        </is>
      </c>
      <c r="W167" s="37" t="inlineStr">
        <is>
          <t>After BDOI answer (slot set by the CCB)</t>
        </is>
      </c>
      <c r="X167" s="37" t="inlineStr">
        <is>
          <t>BRD-11 requirements baseline; register DCR-118</t>
        </is>
      </c>
    </row>
    <row r="168">
      <c r="A168" s="35" t="inlineStr">
        <is>
          <t>CR-0164</t>
        </is>
      </c>
      <c r="B168" s="36" t="inlineStr">
        <is>
          <t>Drop 0</t>
        </is>
      </c>
      <c r="C168" s="36" t="inlineStr">
        <is>
          <t>BRD-11</t>
        </is>
      </c>
      <c r="D168" s="37" t="inlineStr">
        <is>
          <t>BRD-11 written for QPS in April 2025, process diagram (p.6); UQ19</t>
        </is>
      </c>
      <c r="E168" s="37" t="inlineStr">
        <is>
          <t>FRS BRD-11 section 1.2</t>
        </is>
      </c>
      <c r="F168" s="37" t="inlineStr">
        <is>
          <t>Scope addition — beyond BRD</t>
        </is>
      </c>
      <c r="G168" s="37" t="inlineStr">
        <is>
          <t>User access maintenance for the Quotation and Pre-processing System (QPS).</t>
        </is>
      </c>
      <c r="H168" s="37" t="inlineStr">
        <is>
          <t>System-wide user access maintenance: every BIBS module uses the same users, group profiles and permissions.</t>
        </is>
      </c>
      <c r="I168" s="37" t="inlineStr">
        <is>
          <t>UQ19.</t>
        </is>
      </c>
      <c r="J168" s="37" t="inlineStr">
        <is>
          <t>One access process for all BIBS modules.</t>
        </is>
      </c>
      <c r="K168" s="37" t="inlineStr">
        <is>
          <t>ITIO; all departments</t>
        </is>
      </c>
      <c r="L168" s="36" t="n">
        <v>0</v>
      </c>
      <c r="M168" s="36" t="n">
        <v>0</v>
      </c>
      <c r="N168" s="36" t="n">
        <v>0</v>
      </c>
      <c r="O168" s="36" t="n">
        <v>0</v>
      </c>
      <c r="P168" s="38">
        <f>SUM(L168:O168)</f>
        <v/>
      </c>
      <c r="Q168" s="37">
        <f>IF(P168=0,"0 - acceptance only",IF(P168&lt;=3,"S",IF(P168&lt;=10,"M",IF(P168&lt;=25,"L","XL")))&amp;" ("&amp;P168&amp;")")</f>
        <v/>
      </c>
      <c r="R168" s="36" t="n"/>
      <c r="S168" s="36" t="inlineStr">
        <is>
          <t>Medium</t>
        </is>
      </c>
      <c r="T168" s="37" t="inlineStr">
        <is>
          <t>For acceptance</t>
        </is>
      </c>
      <c r="U168" s="37" t="inlineStr">
        <is>
          <t>UAM Product Owner with ITIO</t>
        </is>
      </c>
      <c r="V168" s="37" t="inlineStr">
        <is>
          <t>UQ19</t>
        </is>
      </c>
      <c r="W168" s="37" t="inlineStr">
        <is>
          <t>FRS sign-off (Nov 2026)</t>
        </is>
      </c>
      <c r="X168" s="37" t="inlineStr">
        <is>
          <t>FRS BRD-11 section 1.2</t>
        </is>
      </c>
    </row>
    <row r="169">
      <c r="A169" s="35" t="inlineStr">
        <is>
          <t>CR-0165</t>
        </is>
      </c>
      <c r="B169" s="36" t="inlineStr">
        <is>
          <t>Drop 0</t>
        </is>
      </c>
      <c r="C169" s="36" t="inlineStr">
        <is>
          <t>BRD-11</t>
        </is>
      </c>
      <c r="D169" s="37" t="inlineStr">
        <is>
          <t>BRD-11 infrastructure rows "Follow existing QPS set up"; UAM-NFR-30 engagement terms (p.17); data migration "N/A" (p.12)</t>
        </is>
      </c>
      <c r="E169" s="37" t="inlineStr">
        <is>
          <t>FRS BRD-11 section 1.2 (out of scope); FR-UA-019</t>
        </is>
      </c>
      <c r="F169" s="37" t="inlineStr">
        <is>
          <t>Scope reduction / descoped</t>
        </is>
      </c>
      <c r="G169" s="37" t="inlineStr">
        <is>
          <t>Servers, network, DR, environments and support follow the QPS set-up; engagement terms; user migration not applicable.</t>
        </is>
      </c>
      <c r="H169" s="37" t="inlineStr">
        <is>
          <t>Infrastructure follows the BIBS deployment standards (CR-0027); engagement terms are outside the application; existing users are loaded with the bulk request.</t>
        </is>
      </c>
      <c r="I169" s="37" t="inlineStr">
        <is>
          <t>BRD-11 answers with QPS references.</t>
        </is>
      </c>
      <c r="J169" s="37" t="inlineStr">
        <is>
          <t>None on the business process.</t>
        </is>
      </c>
      <c r="K169" s="37" t="inlineStr">
        <is>
          <t>ITIO; BDOI IT</t>
        </is>
      </c>
      <c r="L169" s="36" t="n">
        <v>0</v>
      </c>
      <c r="M169" s="36" t="n">
        <v>0</v>
      </c>
      <c r="N169" s="36" t="n">
        <v>0</v>
      </c>
      <c r="O169" s="36" t="n">
        <v>0</v>
      </c>
      <c r="P169" s="38">
        <f>SUM(L169:O169)</f>
        <v/>
      </c>
      <c r="Q169" s="37">
        <f>IF(P169=0,"0 - acceptance only",IF(P169&lt;=3,"S",IF(P169&lt;=10,"M",IF(P169&lt;=25,"L","XL")))&amp;" ("&amp;P169&amp;")")</f>
        <v/>
      </c>
      <c r="R169" s="36" t="n"/>
      <c r="S169" s="36" t="inlineStr">
        <is>
          <t>Low</t>
        </is>
      </c>
      <c r="T169" s="37" t="inlineStr">
        <is>
          <t>For acceptance</t>
        </is>
      </c>
      <c r="U169" s="37" t="inlineStr">
        <is>
          <t>UAM Product Owner with ITIO</t>
        </is>
      </c>
      <c r="V169" s="37" t="inlineStr">
        <is>
          <t>-</t>
        </is>
      </c>
      <c r="W169" s="37" t="inlineStr">
        <is>
          <t>FRS sign-off (Nov 2026)</t>
        </is>
      </c>
      <c r="X169" s="37" t="inlineStr">
        <is>
          <t>FRS BRD-11 section 1.2</t>
        </is>
      </c>
    </row>
    <row r="170">
      <c r="A170" s="35" t="inlineStr">
        <is>
          <t>CR-0166</t>
        </is>
      </c>
      <c r="B170" s="36" t="inlineStr">
        <is>
          <t>Drop 1</t>
        </is>
      </c>
      <c r="C170" s="36" t="inlineStr">
        <is>
          <t>BRD-12</t>
        </is>
      </c>
      <c r="D170" s="37" t="inlineStr">
        <is>
          <t>BRIDSP-01 (p.8); BRIDSP-13 (p.10); BRD-12 p.4-5 (LFS, HLS, CIU, SPI, LAMD)</t>
        </is>
      </c>
      <c r="E170" s="37" t="inlineStr">
        <is>
          <t>FR-SP-001; FR-SP (LAMD)</t>
        </is>
      </c>
      <c r="F170" s="37" t="inlineStr">
        <is>
          <t>Integration dependency</t>
        </is>
      </c>
      <c r="G170" s="37" t="inlineStr">
        <is>
          <t>Receive submitted-policy details from the approved sources.</t>
        </is>
      </c>
      <c r="H170" s="37" t="inlineStr">
        <is>
          <t>Excel uploads per source layout; direct feeds from LFS SaaS, HL-LOAS, CIU, SPI and LMS (LAMD) are on hold until specified.</t>
        </is>
      </c>
      <c r="I170" s="37" t="inlineStr">
        <is>
          <t>IQ06, IQ07, IQ08 open; LFS not on the drop plan.</t>
        </is>
      </c>
      <c r="J170" s="37" t="inlineStr">
        <is>
          <t>Submissions arrive by upload until the feeds exist.</t>
        </is>
      </c>
      <c r="K170" s="37" t="inlineStr">
        <is>
          <t>Submitted Policies; CBG and Non-CBG Marketing; BDOI IT</t>
        </is>
      </c>
      <c r="L170" s="36" t="n">
        <v>3</v>
      </c>
      <c r="M170" s="36" t="n">
        <v>8</v>
      </c>
      <c r="N170" s="36" t="n">
        <v>5</v>
      </c>
      <c r="O170" s="36" t="n">
        <v>1</v>
      </c>
      <c r="P170" s="38">
        <f>SUM(L170:O170)</f>
        <v/>
      </c>
      <c r="Q170" s="37">
        <f>IF(P170=0,"0 - acceptance only",IF(P170&lt;=3,"S",IF(P170&lt;=10,"M",IF(P170&lt;=25,"L","XL")))&amp;" ("&amp;P170&amp;")")</f>
        <v/>
      </c>
      <c r="R170" s="36" t="n"/>
      <c r="S170" s="36" t="inlineStr">
        <is>
          <t>High</t>
        </is>
      </c>
      <c r="T170" s="37" t="inlineStr">
        <is>
          <t>Draft</t>
        </is>
      </c>
      <c r="U170" s="37" t="inlineStr">
        <is>
          <t>BDOI IT (integration owner) with the BIBS Product Owner</t>
        </is>
      </c>
      <c r="V170" s="37" t="inlineStr">
        <is>
          <t>IQ06; IQ07; IQ08; SP SQ01</t>
        </is>
      </c>
      <c r="W170" s="37" t="inlineStr">
        <is>
          <t>Drop 1, first release (Nov - Dec 2026)</t>
        </is>
      </c>
      <c r="X170" s="37" t="inlineStr">
        <is>
          <t>FRS BRD-12 section 1.2 and interfaces; Programme alignment 5 (INT-03 to INT-05)</t>
        </is>
      </c>
    </row>
    <row r="171">
      <c r="A171" s="35" t="inlineStr">
        <is>
          <t>CR-0167</t>
        </is>
      </c>
      <c r="B171" s="36" t="inlineStr">
        <is>
          <t>Drop 1</t>
        </is>
      </c>
      <c r="C171" s="36" t="inlineStr">
        <is>
          <t>BRD-12</t>
        </is>
      </c>
      <c r="D171" s="37" t="inlineStr">
        <is>
          <t>BRIDSP-22 (p.11)</t>
        </is>
      </c>
      <c r="E171" s="37" t="inlineStr">
        <is>
          <t>FR-SP-062</t>
        </is>
      </c>
      <c r="F171" s="37" t="inlineStr">
        <is>
          <t>Integration dependency</t>
        </is>
      </c>
      <c r="G171" s="37" t="inlineStr">
        <is>
          <t>Letters and proposals sent automatically, including printed letters.</t>
        </is>
      </c>
      <c r="H171" s="37" t="inlineStr">
        <is>
          <t>Print batches (merged PDF and control list); the mail-house (COG) transport is on hold.</t>
        </is>
      </c>
      <c r="I171" s="37" t="inlineStr">
        <is>
          <t>Mail-house channel and layout not given.</t>
        </is>
      </c>
      <c r="J171" s="37" t="inlineStr">
        <is>
          <t>Print batches handed to the mail house by hand.</t>
        </is>
      </c>
      <c r="K171" s="37" t="inlineStr">
        <is>
          <t>Submitted Policies; Marketing</t>
        </is>
      </c>
      <c r="L171" s="36" t="n">
        <v>1</v>
      </c>
      <c r="M171" s="36" t="n">
        <v>4</v>
      </c>
      <c r="N171" s="36" t="n">
        <v>2</v>
      </c>
      <c r="O171" s="36" t="n">
        <v>1</v>
      </c>
      <c r="P171" s="38">
        <f>SUM(L171:O171)</f>
        <v/>
      </c>
      <c r="Q171" s="37">
        <f>IF(P171=0,"0 - acceptance only",IF(P171&lt;=3,"S",IF(P171&lt;=10,"M",IF(P171&lt;=25,"L","XL")))&amp;" ("&amp;P171&amp;")")</f>
        <v/>
      </c>
      <c r="R171" s="36" t="n"/>
      <c r="S171" s="36" t="inlineStr">
        <is>
          <t>Low</t>
        </is>
      </c>
      <c r="T171" s="37" t="inlineStr">
        <is>
          <t>Draft</t>
        </is>
      </c>
      <c r="U171" s="37" t="inlineStr">
        <is>
          <t>BDOI IT (integration owner) with the BIBS Product Owner</t>
        </is>
      </c>
      <c r="V171" s="37" t="inlineStr">
        <is>
          <t>SP SQ09</t>
        </is>
      </c>
      <c r="W171" s="37" t="inlineStr">
        <is>
          <t>After BDOI answer (slot set by the CCB)</t>
        </is>
      </c>
      <c r="X171" s="37" t="inlineStr">
        <is>
          <t>FRS BRD-12 section 1.2 and interfaces</t>
        </is>
      </c>
    </row>
    <row r="172">
      <c r="A172" s="35" t="inlineStr">
        <is>
          <t>CR-0168</t>
        </is>
      </c>
      <c r="B172" s="36" t="inlineStr">
        <is>
          <t>Drop 1</t>
        </is>
      </c>
      <c r="C172" s="36" t="inlineStr">
        <is>
          <t>BRD-12</t>
        </is>
      </c>
      <c r="D172" s="37" t="inlineStr">
        <is>
          <t>BRIDSP-22, 23, 25, 26, 27, 32 (p.11-12) renewal of submitted policies; BRD-6 renewal letters</t>
        </is>
      </c>
      <c r="E172" s="37" t="inlineStr">
        <is>
          <t>FR-SP (hand-off); FR-RN-090</t>
        </is>
      </c>
      <c r="F172" s="37" t="inlineStr">
        <is>
          <t>BRD conflict resolved by decision</t>
        </is>
      </c>
      <c r="G172" s="37" t="inlineStr">
        <is>
          <t>BRD-12 requires the renewal of submitted policies (renewable list, RA / NRNS / NAL / SFU letters, hold cover, placement, booking); BRD-6 covers the same letters.</t>
        </is>
      </c>
      <c r="H172" s="37" t="inlineStr">
        <is>
          <t>Renewal owns the renewal from the hand-off (candidate, account, hold cover, RA / NRNS / NAL / SFU); Submitted Policies keeps intake, classification, buckets, the expiry scan and the masterlist status. Renewal notice and renewal proposal letters stay in Submitted Policies until answered.</t>
        </is>
      </c>
      <c r="I172" s="37" t="inlineStr">
        <is>
          <t>Decision D2; XQ03 (SP SQ09) open for the two letters.</t>
        </is>
      </c>
      <c r="J172" s="37" t="inlineStr">
        <is>
          <t>One renewal process for all policies.</t>
        </is>
      </c>
      <c r="K172" s="37" t="inlineStr">
        <is>
          <t>Submitted Policies; Marketing (Renewal)</t>
        </is>
      </c>
      <c r="L172" s="36" t="n">
        <v>1</v>
      </c>
      <c r="M172" s="36" t="n">
        <v>1</v>
      </c>
      <c r="N172" s="36" t="n">
        <v>1</v>
      </c>
      <c r="O172" s="36" t="n">
        <v>0</v>
      </c>
      <c r="P172" s="38">
        <f>SUM(L172:O172)</f>
        <v/>
      </c>
      <c r="Q172" s="37">
        <f>IF(P172=0,"0 - acceptance only",IF(P172&lt;=3,"S",IF(P172&lt;=10,"M",IF(P172&lt;=25,"L","XL")))&amp;" ("&amp;P172&amp;")")</f>
        <v/>
      </c>
      <c r="R172" s="36" t="n"/>
      <c r="S172" s="36" t="inlineStr">
        <is>
          <t>High</t>
        </is>
      </c>
      <c r="T172" s="37" t="inlineStr">
        <is>
          <t>For CCB review</t>
        </is>
      </c>
      <c r="U172" s="37" t="inlineStr">
        <is>
          <t>Product Owner, Submitted Policies (CBG and Non-CBG Marketing)</t>
        </is>
      </c>
      <c r="V172" s="37" t="inlineStr">
        <is>
          <t>DCR-129; D2; XQ03; SP SQ10</t>
        </is>
      </c>
      <c r="W172" s="37" t="inlineStr">
        <is>
          <t>FRS sign-off (Nov 2026)</t>
        </is>
      </c>
      <c r="X172" s="37" t="inlineStr">
        <is>
          <t>Cross-BRD decisions D2, XQ03; FRS BRD-12 section 1.2</t>
        </is>
      </c>
    </row>
    <row r="173">
      <c r="A173" s="35" t="inlineStr">
        <is>
          <t>CR-0169</t>
        </is>
      </c>
      <c r="B173" s="36" t="inlineStr">
        <is>
          <t>Drop 1</t>
        </is>
      </c>
      <c r="C173" s="36" t="inlineStr">
        <is>
          <t>BRD-12</t>
        </is>
      </c>
      <c r="D173" s="37" t="inlineStr">
        <is>
          <t>BRD-12 p.5 (ISYS reference and ARF of the current process)</t>
        </is>
      </c>
      <c r="E173" s="37" t="inlineStr">
        <is>
          <t>FRS BRD-12 section 1.2</t>
        </is>
      </c>
      <c r="F173" s="37" t="inlineStr">
        <is>
          <t>Behaviour differs from BRD</t>
        </is>
      </c>
      <c r="G173" s="37" t="inlineStr">
        <is>
          <t>The current process uses the ISYS reference and the ARF.</t>
        </is>
      </c>
      <c r="H173" s="37" t="inlineStr">
        <is>
          <t>The BIBS ARN replaces them; ISYS is not fed.</t>
        </is>
      </c>
      <c r="I173" s="37" t="inlineStr">
        <is>
          <t>SP SQ20.</t>
        </is>
      </c>
      <c r="J173" s="37" t="inlineStr">
        <is>
          <t>None after go-live.</t>
        </is>
      </c>
      <c r="K173" s="37" t="inlineStr">
        <is>
          <t>Submitted Policies</t>
        </is>
      </c>
      <c r="L173" s="36" t="n">
        <v>0</v>
      </c>
      <c r="M173" s="36" t="n">
        <v>0</v>
      </c>
      <c r="N173" s="36" t="n">
        <v>0</v>
      </c>
      <c r="O173" s="36" t="n">
        <v>0</v>
      </c>
      <c r="P173" s="38">
        <f>SUM(L173:O173)</f>
        <v/>
      </c>
      <c r="Q173" s="37">
        <f>IF(P173=0,"0 - acceptance only",IF(P173&lt;=3,"S",IF(P173&lt;=10,"M",IF(P173&lt;=25,"L","XL")))&amp;" ("&amp;P173&amp;")")</f>
        <v/>
      </c>
      <c r="R173" s="36" t="n"/>
      <c r="S173" s="36" t="inlineStr">
        <is>
          <t>Low</t>
        </is>
      </c>
      <c r="T173" s="37" t="inlineStr">
        <is>
          <t>For CCB review</t>
        </is>
      </c>
      <c r="U173" s="37" t="inlineStr">
        <is>
          <t>Product Owner, Submitted Policies (CBG and Non-CBG Marketing)</t>
        </is>
      </c>
      <c r="V173" s="37" t="inlineStr">
        <is>
          <t>SP SQ20</t>
        </is>
      </c>
      <c r="W173" s="37" t="inlineStr">
        <is>
          <t>FRS sign-off (Nov 2026)</t>
        </is>
      </c>
      <c r="X173" s="37" t="inlineStr">
        <is>
          <t>FRS BRD-12 section 1.2</t>
        </is>
      </c>
    </row>
    <row r="174">
      <c r="A174" s="35" t="inlineStr">
        <is>
          <t>CR-0170</t>
        </is>
      </c>
      <c r="B174" s="36" t="inlineStr">
        <is>
          <t>Drop 0</t>
        </is>
      </c>
      <c r="C174" s="36" t="inlineStr">
        <is>
          <t>BRD-13</t>
        </is>
      </c>
      <c r="D174" s="37" t="inlineStr">
        <is>
          <t>BRID 5.1 (p.8)</t>
        </is>
      </c>
      <c r="E174" s="37" t="inlineStr">
        <is>
          <t>FR-DM-051</t>
        </is>
      </c>
      <c r="F174" s="37" t="inlineStr">
        <is>
          <t>Data migration</t>
        </is>
      </c>
      <c r="G174" s="37" t="inlineStr">
        <is>
          <t>The system "can issue acknowledgment receipt" for a migrated UPP item.</t>
        </is>
      </c>
      <c r="H174" s="37" t="inlineStr">
        <is>
          <t>No new AR for a migrated UPP item; the legacy AR number and date are shown on the item.</t>
        </is>
      </c>
      <c r="I174" s="37" t="inlineStr">
        <is>
          <t>The cash was already acknowledged in legacy; DMQ14.</t>
        </is>
      </c>
      <c r="J174" s="37" t="inlineStr">
        <is>
          <t>No double counting of receipts.</t>
        </is>
      </c>
      <c r="K174" s="37" t="inlineStr">
        <is>
          <t>Operations (Cashiering); Comptrollership</t>
        </is>
      </c>
      <c r="L174" s="36" t="n">
        <v>0</v>
      </c>
      <c r="M174" s="36" t="n">
        <v>0</v>
      </c>
      <c r="N174" s="36" t="n">
        <v>0</v>
      </c>
      <c r="O174" s="36" t="n">
        <v>0</v>
      </c>
      <c r="P174" s="38">
        <f>SUM(L174:O174)</f>
        <v/>
      </c>
      <c r="Q174" s="37">
        <f>IF(P174=0,"0 - acceptance only",IF(P174&lt;=3,"S",IF(P174&lt;=10,"M",IF(P174&lt;=25,"L","XL")))&amp;" ("&amp;P174&amp;")")</f>
        <v/>
      </c>
      <c r="R174" s="36" t="n"/>
      <c r="S174" s="36" t="inlineStr">
        <is>
          <t>High</t>
        </is>
      </c>
      <c r="T174" s="37" t="inlineStr">
        <is>
          <t>For CCB review</t>
        </is>
      </c>
      <c r="U174" s="37" t="inlineStr">
        <is>
          <t>Program Manager, Business Project Services, with Comptrollership and Operations</t>
        </is>
      </c>
      <c r="V174" s="37" t="inlineStr">
        <is>
          <t>DCR-204; DMQ14</t>
        </is>
      </c>
      <c r="W174" s="37" t="inlineStr">
        <is>
          <t>Migration functions (Nov 2026 - Mar 2027)</t>
        </is>
      </c>
      <c r="X174" s="37" t="inlineStr">
        <is>
          <t>Register DCR-204; FRS BRD-13 (FR-DM-051)</t>
        </is>
      </c>
    </row>
    <row r="175">
      <c r="A175" s="35" t="inlineStr">
        <is>
          <t>CR-0171</t>
        </is>
      </c>
      <c r="B175" s="36" t="inlineStr">
        <is>
          <t>Drop 0</t>
        </is>
      </c>
      <c r="C175" s="36" t="inlineStr">
        <is>
          <t>BRD-13</t>
        </is>
      </c>
      <c r="D175" s="37" t="inlineStr">
        <is>
          <t>BRID 5.5 (p.9)</t>
        </is>
      </c>
      <c r="E175" s="37" t="inlineStr">
        <is>
          <t>FR-DM-055</t>
        </is>
      </c>
      <c r="F175" s="37" t="inlineStr">
        <is>
          <t>Deferred pending BDOI answer</t>
        </is>
      </c>
      <c r="G175" s="37" t="inlineStr">
        <is>
          <t>Reclassify legacy UPP to other income with top-management approval.</t>
        </is>
      </c>
      <c r="H175" s="37" t="inlineStr">
        <is>
          <t>New disposition RECLASS_OTHER_INCOME in batches, approved by the TL and then by a top-management approver; reversal only by a new approved batch. Criteria, GL account, frequency and notification wait for BDOI.</t>
        </is>
      </c>
      <c r="I175" s="37" t="inlineStr">
        <is>
          <t>DMQ16 open.</t>
        </is>
      </c>
      <c r="J175" s="37" t="inlineStr">
        <is>
          <t>Old unapplied cash stays on the books until criteria are set.</t>
        </is>
      </c>
      <c r="K175" s="37" t="inlineStr">
        <is>
          <t>Operations (Cashiering); Comptrollership; top management</t>
        </is>
      </c>
      <c r="L175" s="36" t="n">
        <v>1</v>
      </c>
      <c r="M175" s="36" t="n">
        <v>1</v>
      </c>
      <c r="N175" s="36" t="n">
        <v>1</v>
      </c>
      <c r="O175" s="36" t="n">
        <v>0</v>
      </c>
      <c r="P175" s="38">
        <f>SUM(L175:O175)</f>
        <v/>
      </c>
      <c r="Q175" s="37">
        <f>IF(P175=0,"0 - acceptance only",IF(P175&lt;=3,"S",IF(P175&lt;=10,"M",IF(P175&lt;=25,"L","XL")))&amp;" ("&amp;P175&amp;")")</f>
        <v/>
      </c>
      <c r="R175" s="36" t="n"/>
      <c r="S175" s="36" t="inlineStr">
        <is>
          <t>Medium</t>
        </is>
      </c>
      <c r="T175" s="37" t="inlineStr">
        <is>
          <t>Draft</t>
        </is>
      </c>
      <c r="U175" s="37" t="inlineStr">
        <is>
          <t>Program Manager, Business Project Services, with Comptrollership and Operations</t>
        </is>
      </c>
      <c r="V175" s="37" t="inlineStr">
        <is>
          <t>DCR-205; DMQ16</t>
        </is>
      </c>
      <c r="W175" s="37" t="inlineStr">
        <is>
          <t>Migration functions (Nov 2026 - Mar 2027)</t>
        </is>
      </c>
      <c r="X175" s="37" t="inlineStr">
        <is>
          <t>Register DCR-205; FRS BRD-13 (FR-DM-055)</t>
        </is>
      </c>
    </row>
    <row r="176">
      <c r="A176" s="35" t="inlineStr">
        <is>
          <t>CR-0172</t>
        </is>
      </c>
      <c r="B176" s="36" t="inlineStr">
        <is>
          <t>Drop 0</t>
        </is>
      </c>
      <c r="C176" s="36" t="inlineStr">
        <is>
          <t>BRD-13</t>
        </is>
      </c>
      <c r="D176" s="37" t="inlineStr">
        <is>
          <t>BRID 7.1, 7.2 (p.10)</t>
        </is>
      </c>
      <c r="E176" s="37" t="inlineStr">
        <is>
          <t>FR-DM-070, FR-DM-071</t>
        </is>
      </c>
      <c r="F176" s="37" t="inlineStr">
        <is>
          <t>BRD conflict resolved by decision</t>
        </is>
      </c>
      <c r="G176" s="37" t="inlineStr">
        <is>
          <t>Batch reversal of DPPR and PR2307 legacy invoices; BRD-2 reverses DP PR per invoice after confirmed collection.</t>
        </is>
      </c>
      <c r="H176" s="37" t="inlineStr">
        <is>
          <t>Batches from an upload or from the Collections "for reversal" tags of legacy invoices, with maker-checker approval; the commission receivable entry follows the BDOI answer.</t>
        </is>
      </c>
      <c r="I176" s="37" t="inlineStr">
        <is>
          <t>Conflict between BRD-13, BRD-2 and BRD-4.</t>
        </is>
      </c>
      <c r="J176" s="37" t="inlineStr">
        <is>
          <t>Legacy DP and 2307 items cleared in batches.</t>
        </is>
      </c>
      <c r="K176" s="37" t="inlineStr">
        <is>
          <t>Operations; Collections; Comptrollership</t>
        </is>
      </c>
      <c r="L176" s="36" t="n">
        <v>1</v>
      </c>
      <c r="M176" s="36" t="n">
        <v>1</v>
      </c>
      <c r="N176" s="36" t="n">
        <v>1</v>
      </c>
      <c r="O176" s="36" t="n">
        <v>0</v>
      </c>
      <c r="P176" s="38">
        <f>SUM(L176:O176)</f>
        <v/>
      </c>
      <c r="Q176" s="37">
        <f>IF(P176=0,"0 - acceptance only",IF(P176&lt;=3,"S",IF(P176&lt;=10,"M",IF(P176&lt;=25,"L","XL")))&amp;" ("&amp;P176&amp;")")</f>
        <v/>
      </c>
      <c r="R176" s="36" t="n"/>
      <c r="S176" s="36" t="inlineStr">
        <is>
          <t>Medium</t>
        </is>
      </c>
      <c r="T176" s="37" t="inlineStr">
        <is>
          <t>For CCB review</t>
        </is>
      </c>
      <c r="U176" s="37" t="inlineStr">
        <is>
          <t>Program Manager, Business Project Services, with Comptrollership and Operations</t>
        </is>
      </c>
      <c r="V176" s="37" t="inlineStr">
        <is>
          <t>DCR-206</t>
        </is>
      </c>
      <c r="W176" s="37" t="inlineStr">
        <is>
          <t>Migration functions (Nov 2026 - Mar 2027)</t>
        </is>
      </c>
      <c r="X176" s="37" t="inlineStr">
        <is>
          <t>Register DCR-206</t>
        </is>
      </c>
    </row>
    <row r="177">
      <c r="A177" s="35" t="inlineStr">
        <is>
          <t>CR-0173</t>
        </is>
      </c>
      <c r="B177" s="36" t="inlineStr">
        <is>
          <t>Drop 0</t>
        </is>
      </c>
      <c r="C177" s="36" t="inlineStr">
        <is>
          <t>BRD-13</t>
        </is>
      </c>
      <c r="D177" s="37" t="inlineStr">
        <is>
          <t>BRID 6.1, 6.2 (p.9-10); BRCLXN.047 (p.33)</t>
        </is>
      </c>
      <c r="E177" s="37" t="inlineStr">
        <is>
          <t>FR-DM-050; FR-DM-033</t>
        </is>
      </c>
      <c r="F177" s="37" t="inlineStr">
        <is>
          <t>Data migration</t>
        </is>
      </c>
      <c r="G177" s="37" t="inlineStr">
        <is>
          <t>Legacy invoices are processed in BIBS by their legacy number; uniqueness across EBIX and QPS and component balances not stated.</t>
        </is>
      </c>
      <c r="H177" s="37" t="inlineStr">
        <is>
          <t>The legacy number is kept as the BIBS invoice number unless it collides (then a source prefix); loaded by component, or in open-balance mode if legacy cannot split.</t>
        </is>
      </c>
      <c r="I177" s="37" t="inlineStr">
        <is>
          <t>DMQ11, DMQ12 open.</t>
        </is>
      </c>
      <c r="J177" s="37" t="inlineStr">
        <is>
          <t>Users find legacy invoices by their known number.</t>
        </is>
      </c>
      <c r="K177" s="37" t="inlineStr">
        <is>
          <t>Operations; Collections; Comptrollership</t>
        </is>
      </c>
      <c r="L177" s="36" t="n">
        <v>0</v>
      </c>
      <c r="M177" s="36" t="n">
        <v>0</v>
      </c>
      <c r="N177" s="36" t="n">
        <v>0</v>
      </c>
      <c r="O177" s="36" t="n">
        <v>0</v>
      </c>
      <c r="P177" s="38">
        <f>SUM(L177:O177)</f>
        <v/>
      </c>
      <c r="Q177" s="37">
        <f>IF(P177=0,"0 - acceptance only",IF(P177&lt;=3,"S",IF(P177&lt;=10,"M",IF(P177&lt;=25,"L","XL")))&amp;" ("&amp;P177&amp;")")</f>
        <v/>
      </c>
      <c r="R177" s="36" t="n"/>
      <c r="S177" s="36" t="inlineStr">
        <is>
          <t>Medium</t>
        </is>
      </c>
      <c r="T177" s="37" t="inlineStr">
        <is>
          <t>For CCB review</t>
        </is>
      </c>
      <c r="U177" s="37" t="inlineStr">
        <is>
          <t>Program Manager, Business Project Services, with Comptrollership and Operations</t>
        </is>
      </c>
      <c r="V177" s="37" t="inlineStr">
        <is>
          <t>DCR-207; DMQ11; DMQ12</t>
        </is>
      </c>
      <c r="W177" s="37" t="inlineStr">
        <is>
          <t>Migration functions (Nov 2026 - Mar 2027)</t>
        </is>
      </c>
      <c r="X177" s="37" t="inlineStr">
        <is>
          <t>Register DCR-207</t>
        </is>
      </c>
    </row>
    <row r="178">
      <c r="A178" s="35" t="inlineStr">
        <is>
          <t>CR-0174</t>
        </is>
      </c>
      <c r="B178" s="36" t="inlineStr">
        <is>
          <t>Drop 0</t>
        </is>
      </c>
      <c r="C178" s="36" t="inlineStr">
        <is>
          <t>BRD-13</t>
        </is>
      </c>
      <c r="D178" s="37" t="inlineStr">
        <is>
          <t>BRD-4 needs open EBIX PRs and disposition history; BRD-13 BRID 5-9 (p.8-11)</t>
        </is>
      </c>
      <c r="E178" s="37" t="inlineStr">
        <is>
          <t>FR-DM (object F09); FR-CL</t>
        </is>
      </c>
      <c r="F178" s="37" t="inlineStr">
        <is>
          <t>Data migration</t>
        </is>
      </c>
      <c r="G178" s="37" t="inlineStr">
        <is>
          <t>BRD-13 carries receivables forward but says nothing about open dispositions, promises, installment plans and collector assignments.</t>
        </is>
      </c>
      <c r="H178" s="37" t="inlineStr">
        <is>
          <t>Proposed: carry the open dispositions, promises, installment plans and assignments; history stays in the archive.</t>
        </is>
      </c>
      <c r="I178" s="37" t="inlineStr">
        <is>
          <t>Gap between BRD-4 and BRD-13; CQ07.</t>
        </is>
      </c>
      <c r="J178" s="37" t="inlineStr">
        <is>
          <t>Collectors continue their follow-up from day one.</t>
        </is>
      </c>
      <c r="K178" s="37" t="inlineStr">
        <is>
          <t>Collections</t>
        </is>
      </c>
      <c r="L178" s="36" t="n">
        <v>1</v>
      </c>
      <c r="M178" s="36" t="n">
        <v>3</v>
      </c>
      <c r="N178" s="36" t="n">
        <v>2</v>
      </c>
      <c r="O178" s="36" t="n">
        <v>1</v>
      </c>
      <c r="P178" s="38">
        <f>SUM(L178:O178)</f>
        <v/>
      </c>
      <c r="Q178" s="37">
        <f>IF(P178=0,"0 - acceptance only",IF(P178&lt;=3,"S",IF(P178&lt;=10,"M",IF(P178&lt;=25,"L","XL")))&amp;" ("&amp;P178&amp;")")</f>
        <v/>
      </c>
      <c r="R178" s="36" t="n"/>
      <c r="S178" s="36" t="inlineStr">
        <is>
          <t>Medium</t>
        </is>
      </c>
      <c r="T178" s="37" t="inlineStr">
        <is>
          <t>Draft</t>
        </is>
      </c>
      <c r="U178" s="37" t="inlineStr">
        <is>
          <t>Program Manager, Business Project Services, with Comptrollership and Operations</t>
        </is>
      </c>
      <c r="V178" s="37" t="inlineStr">
        <is>
          <t>DCR-203; CQ07</t>
        </is>
      </c>
      <c r="W178" s="37" t="inlineStr">
        <is>
          <t>Migration functions (Nov 2026 - Mar 2027)</t>
        </is>
      </c>
      <c r="X178" s="37" t="inlineStr">
        <is>
          <t>Register DCR-203; BRD-13 requirements baseline 6.1</t>
        </is>
      </c>
    </row>
    <row r="179">
      <c r="A179" s="35" t="inlineStr">
        <is>
          <t>CR-0175</t>
        </is>
      </c>
      <c r="B179" s="36" t="inlineStr">
        <is>
          <t>Drop 0</t>
        </is>
      </c>
      <c r="C179" s="36" t="inlineStr">
        <is>
          <t>BRD-13</t>
        </is>
      </c>
      <c r="D179" s="37" t="inlineStr">
        <is>
          <t>BRD-12 BRIDSP-33 (p.12); EB programme load; payee migration; BRD-13 object list (none)</t>
        </is>
      </c>
      <c r="E179" s="37" t="inlineStr">
        <is>
          <t>FR-DM-014; FR-SP (migration); FR-EB (programme load); FR-DS (payee migration)</t>
        </is>
      </c>
      <c r="F179" s="37" t="inlineStr">
        <is>
          <t>Data migration</t>
        </is>
      </c>
      <c r="G179" s="37" t="inlineStr">
        <is>
          <t>Other BRDs expect data that BRD-13 does not mention: submitted-policy masterlists, in-force EB programmes, payees.</t>
        </is>
      </c>
      <c r="H179" s="37" t="inlineStr">
        <is>
          <t>The loaders the other designs hold run under the migration framework (reconciliation and sign-off) once BDOI puts the objects in scope (P04, P05, R09).</t>
        </is>
      </c>
      <c r="I179" s="37" t="inlineStr">
        <is>
          <t>DMQ01 open (object inventory).</t>
        </is>
      </c>
      <c r="J179" s="37" t="inlineStr">
        <is>
          <t>All masterlists and programmes arrive through one controlled migration.</t>
        </is>
      </c>
      <c r="K179" s="37" t="inlineStr">
        <is>
          <t>Submitted Policies; Employee Benefits; Comptrollership (Disbursement); Business Project Services</t>
        </is>
      </c>
      <c r="L179" s="36" t="n">
        <v>2</v>
      </c>
      <c r="M179" s="36" t="n">
        <v>6</v>
      </c>
      <c r="N179" s="36" t="n">
        <v>4</v>
      </c>
      <c r="O179" s="36" t="n">
        <v>1</v>
      </c>
      <c r="P179" s="38">
        <f>SUM(L179:O179)</f>
        <v/>
      </c>
      <c r="Q179" s="37">
        <f>IF(P179=0,"0 - acceptance only",IF(P179&lt;=3,"S",IF(P179&lt;=10,"M",IF(P179&lt;=25,"L","XL")))&amp;" ("&amp;P179&amp;")")</f>
        <v/>
      </c>
      <c r="R179" s="36" t="n"/>
      <c r="S179" s="36" t="inlineStr">
        <is>
          <t>Medium</t>
        </is>
      </c>
      <c r="T179" s="37" t="inlineStr">
        <is>
          <t>Draft</t>
        </is>
      </c>
      <c r="U179" s="37" t="inlineStr">
        <is>
          <t>Program Manager, Business Project Services, with Comptrollership and Operations</t>
        </is>
      </c>
      <c r="V179" s="37" t="inlineStr">
        <is>
          <t>DCR-196; DMQ01</t>
        </is>
      </c>
      <c r="W179" s="37" t="inlineStr">
        <is>
          <t>Migration functions (Nov 2026 - Mar 2027)</t>
        </is>
      </c>
      <c r="X179" s="37" t="inlineStr">
        <is>
          <t>Register DCR-196; BRD-13 requirements baseline 6.1</t>
        </is>
      </c>
    </row>
    <row r="180">
      <c r="A180" s="35" t="inlineStr">
        <is>
          <t>CR-0176</t>
        </is>
      </c>
      <c r="B180" s="36" t="inlineStr">
        <is>
          <t>Drop 0</t>
        </is>
      </c>
      <c r="C180" s="36" t="inlineStr">
        <is>
          <t>BRD-13</t>
        </is>
      </c>
      <c r="D180" s="37" t="inlineStr">
        <is>
          <t>BRID 2.1 (p.7); BRD-10 SNSRP-301 (p.14)</t>
        </is>
      </c>
      <c r="E180" s="37" t="inlineStr">
        <is>
          <t>FR-DM-032; FR-SS</t>
        </is>
      </c>
      <c r="F180" s="37" t="inlineStr">
        <is>
          <t>Data migration</t>
        </is>
      </c>
      <c r="G180" s="37" t="inlineStr">
        <is>
          <t>BRD-10 screens each client when it is created; BRD-13 loads clients in bulk and is silent on screening.</t>
        </is>
      </c>
      <c r="H180" s="37" t="inlineStr">
        <is>
          <t>Proposed: no screening per migrated client; one full screening run after the client load; legacy risk ratings kept until the run completes.</t>
        </is>
      </c>
      <c r="I180" s="37" t="inlineStr">
        <is>
          <t>DMQ06 open.</t>
        </is>
      </c>
      <c r="J180" s="37" t="inlineStr">
        <is>
          <t>Compliance reviews one batch of matches after the load.</t>
        </is>
      </c>
      <c r="K180" s="37" t="inlineStr">
        <is>
          <t>Compliance; Business Project Services</t>
        </is>
      </c>
      <c r="L180" s="36" t="n">
        <v>1</v>
      </c>
      <c r="M180" s="36" t="n">
        <v>2</v>
      </c>
      <c r="N180" s="36" t="n">
        <v>2</v>
      </c>
      <c r="O180" s="36" t="n">
        <v>0</v>
      </c>
      <c r="P180" s="38">
        <f>SUM(L180:O180)</f>
        <v/>
      </c>
      <c r="Q180" s="37">
        <f>IF(P180=0,"0 - acceptance only",IF(P180&lt;=3,"S",IF(P180&lt;=10,"M",IF(P180&lt;=25,"L","XL")))&amp;" ("&amp;P180&amp;")")</f>
        <v/>
      </c>
      <c r="R180" s="36" t="n"/>
      <c r="S180" s="36" t="inlineStr">
        <is>
          <t>Medium</t>
        </is>
      </c>
      <c r="T180" s="37" t="inlineStr">
        <is>
          <t>Draft</t>
        </is>
      </c>
      <c r="U180" s="37" t="inlineStr">
        <is>
          <t>Program Manager, Business Project Services, with Comptrollership and Operations</t>
        </is>
      </c>
      <c r="V180" s="37" t="inlineStr">
        <is>
          <t>DCR-208; DMQ06</t>
        </is>
      </c>
      <c r="W180" s="37" t="inlineStr">
        <is>
          <t>Migration functions (Nov 2026 - Mar 2027)</t>
        </is>
      </c>
      <c r="X180" s="37" t="inlineStr">
        <is>
          <t>Register DCR-208</t>
        </is>
      </c>
    </row>
    <row r="181">
      <c r="A181" s="35" t="inlineStr">
        <is>
          <t>CR-0177</t>
        </is>
      </c>
      <c r="B181" s="36" t="inlineStr">
        <is>
          <t>Drop 0</t>
        </is>
      </c>
      <c r="C181" s="36" t="inlineStr">
        <is>
          <t>BRD-13</t>
        </is>
      </c>
      <c r="D181" s="37" t="inlineStr">
        <is>
          <t>BRD-13 cut-over aligned to RMEL (no date, p.12-13); timeline slide (go-live January 2028)</t>
        </is>
      </c>
      <c r="E181" s="37" t="inlineStr">
        <is>
          <t>FR-DM-022, FR-DM-023, FR-DM-024; FR-DM-120, FR-DM-121</t>
        </is>
      </c>
      <c r="F181" s="37" t="inlineStr">
        <is>
          <t>Data migration</t>
        </is>
      </c>
      <c r="G181" s="37" t="inlineStr">
        <is>
          <t>Cut-over aligned to RMEL; no go-live date, freeze, mocks, go / no-go criteria or treatment of the year-end.</t>
        </is>
      </c>
      <c r="H181" s="37" t="inlineStr">
        <is>
          <t>Go-live Monday 3-Jan-2028 at the year-end boundary (option A): provisional GL opening trial balance, legacy GL kept for the FY2027 close, true-ups posted as opening-balance adjustment journals and reconciled to the legacy trial balance; mocks Apr-May, Jun-Jul, Aug and Oct 2027, dress rehearsal Nov-Dec 2027.</t>
        </is>
      </c>
      <c r="I181" s="37" t="inlineStr">
        <is>
          <t>BDOI answer DMQ39 of 26-Sep-2026 (recommended option A); IQ01 confirmed at M6.</t>
        </is>
      </c>
      <c r="J181" s="37" t="inlineStr">
        <is>
          <t>FY2027 is closed in legacy; BIBS books start with a provisional opening.</t>
        </is>
      </c>
      <c r="K181" s="37" t="inlineStr">
        <is>
          <t>Comptrollership; Business Project Services; all departments (freeze)</t>
        </is>
      </c>
      <c r="L181" s="36" t="n">
        <v>0</v>
      </c>
      <c r="M181" s="36" t="n">
        <v>0</v>
      </c>
      <c r="N181" s="36" t="n">
        <v>0</v>
      </c>
      <c r="O181" s="36" t="n">
        <v>1</v>
      </c>
      <c r="P181" s="38">
        <f>SUM(L181:O181)</f>
        <v/>
      </c>
      <c r="Q181" s="37">
        <f>IF(P181=0,"0 - acceptance only",IF(P181&lt;=3,"S",IF(P181&lt;=10,"M",IF(P181&lt;=25,"L","XL")))&amp;" ("&amp;P181&amp;")")</f>
        <v/>
      </c>
      <c r="R181" s="36" t="n"/>
      <c r="S181" s="36" t="inlineStr">
        <is>
          <t>High</t>
        </is>
      </c>
      <c r="T181" s="37" t="inlineStr">
        <is>
          <t>For CCB review</t>
        </is>
      </c>
      <c r="U181" s="37" t="inlineStr">
        <is>
          <t>Program Manager, Business Project Services, with Comptrollership and Operations</t>
        </is>
      </c>
      <c r="V181" s="37" t="inlineStr">
        <is>
          <t>DCR-200; DCR-217; DCR-242; DMQ39; IQ01</t>
        </is>
      </c>
      <c r="W181" s="37" t="inlineStr">
        <is>
          <t>Migration functions (Nov 2026 - Mar 2027)</t>
        </is>
      </c>
      <c r="X181" s="37" t="inlineStr">
        <is>
          <t>FRS BRD-13 (FR-DM-022 to 024); register DCR-242</t>
        </is>
      </c>
    </row>
    <row r="182">
      <c r="A182" s="35" t="inlineStr">
        <is>
          <t>CR-0178</t>
        </is>
      </c>
      <c r="B182" s="36" t="inlineStr">
        <is>
          <t>Drop 0</t>
        </is>
      </c>
      <c r="C182" s="36" t="inlineStr">
        <is>
          <t>BRD-13</t>
        </is>
      </c>
      <c r="D182" s="37" t="inlineStr">
        <is>
          <t>BRID 11.1 (p.11-12) legacy read-only history; BRID 1.1b (p.7) extract delivery</t>
        </is>
      </c>
      <c r="E182" s="37" t="inlineStr">
        <is>
          <t>FR-DM-110, FR-DM-111; FR-DM-010</t>
        </is>
      </c>
      <c r="F182" s="37" t="inlineStr">
        <is>
          <t>Data migration</t>
        </is>
      </c>
      <c r="G182" s="37" t="inlineStr">
        <is>
          <t>Keep legacy read-only for history; receive the extracts. No retention for migration evidence; transport not stated.</t>
        </is>
      </c>
      <c r="H182" s="37" t="inlineStr">
        <is>
          <t>Archive search with logged access; migration evidence kept 10 years as project records; staging purged within 5 days. Extracts are received by upload; an SFTP drop from BDOI IT and links into the legacy systems are on hold.</t>
        </is>
      </c>
      <c r="I182" s="37" t="inlineStr">
        <is>
          <t>DMQ28 open (extract transport); hosting appendix (5-day purge).</t>
        </is>
      </c>
      <c r="J182" s="37" t="inlineStr">
        <is>
          <t>Extract delivery by hand until the SFTP drop exists.</t>
        </is>
      </c>
      <c r="K182" s="37" t="inlineStr">
        <is>
          <t>Business Project Services; BDOI IT; Compliance</t>
        </is>
      </c>
      <c r="L182" s="36" t="n">
        <v>1</v>
      </c>
      <c r="M182" s="36" t="n">
        <v>3</v>
      </c>
      <c r="N182" s="36" t="n">
        <v>2</v>
      </c>
      <c r="O182" s="36" t="n">
        <v>0</v>
      </c>
      <c r="P182" s="38">
        <f>SUM(L182:O182)</f>
        <v/>
      </c>
      <c r="Q182" s="37">
        <f>IF(P182=0,"0 - acceptance only",IF(P182&lt;=3,"S",IF(P182&lt;=10,"M",IF(P182&lt;=25,"L","XL")))&amp;" ("&amp;P182&amp;")")</f>
        <v/>
      </c>
      <c r="R182" s="36" t="n"/>
      <c r="S182" s="36" t="inlineStr">
        <is>
          <t>Medium</t>
        </is>
      </c>
      <c r="T182" s="37" t="inlineStr">
        <is>
          <t>Draft</t>
        </is>
      </c>
      <c r="U182" s="37" t="inlineStr">
        <is>
          <t>Program Manager, Business Project Services, with Comptrollership and Operations</t>
        </is>
      </c>
      <c r="V182" s="37" t="inlineStr">
        <is>
          <t>DCR-209; DMQ28</t>
        </is>
      </c>
      <c r="W182" s="37" t="inlineStr">
        <is>
          <t>Migration functions (Nov 2026 - Mar 2027)</t>
        </is>
      </c>
      <c r="X182" s="37" t="inlineStr">
        <is>
          <t>Register DCR-209; FRS BRD-13 interfaces</t>
        </is>
      </c>
    </row>
  </sheetData>
  <autoFilter ref="A4:X182"/>
  <mergeCells count="1">
    <mergeCell ref="A2:X2"/>
  </mergeCells>
  <conditionalFormatting sqref="A5:X682">
    <cfRule type="expression" priority="8" dxfId="0">
      <formula>AND(MOD(ROW(),2)=0,$A5&lt;&gt;"")</formula>
    </cfRule>
  </conditionalFormatting>
  <conditionalFormatting sqref="T5:T682">
    <cfRule type="cellIs" priority="1" operator="equal" dxfId="1" stopIfTrue="1">
      <formula>"For acceptance"</formula>
    </cfRule>
    <cfRule type="cellIs" priority="2" operator="equal" dxfId="2" stopIfTrue="1">
      <formula>"For CCB review"</formula>
    </cfRule>
    <cfRule type="cellIs" priority="3" operator="equal" dxfId="3" stopIfTrue="1">
      <formula>"Draft"</formula>
    </cfRule>
    <cfRule type="cellIs" priority="4" operator="equal" dxfId="1" stopIfTrue="1">
      <formula>"Approved"</formula>
    </cfRule>
    <cfRule type="cellIs" priority="5" operator="equal" dxfId="4" stopIfTrue="1">
      <formula>"Rejected"</formula>
    </cfRule>
  </conditionalFormatting>
  <conditionalFormatting sqref="S5:S682">
    <cfRule type="cellIs" priority="6" operator="equal" dxfId="5" stopIfTrue="1">
      <formula>"High"</formula>
    </cfRule>
    <cfRule type="cellIs" priority="7" operator="equal" dxfId="2" stopIfTrue="1">
      <formula>"Medium"</formula>
    </cfRule>
  </conditionalFormatting>
  <dataValidations count="6">
    <dataValidation sqref="B5:B682" showDropDown="0" showInputMessage="0" showErrorMessage="1" allowBlank="1" errorTitle="Drop" error="Choose a value from the list (Drop)." type="list">
      <formula1>'_lists'!$A$1:$A$5</formula1>
    </dataValidation>
    <dataValidation sqref="C5:C682" showDropDown="0" showInputMessage="0" showErrorMessage="1" allowBlank="1" errorTitle="BRD" error="Choose a value from the list (BRD)." type="list">
      <formula1>'_lists'!$B$1:$B$14</formula1>
    </dataValidation>
    <dataValidation sqref="F5:F682" showDropDown="0" showInputMessage="0" showErrorMessage="1" allowBlank="1" errorTitle="Deviation type" error="Choose a value from the list (Deviation type)." type="list">
      <formula1>'_lists'!$C$1:$C$9</formula1>
    </dataValidation>
    <dataValidation sqref="S5:S682" showDropDown="0" showInputMessage="0" showErrorMessage="1" allowBlank="1" errorTitle="Priority" error="Choose a value from the list (Priority)." type="list">
      <formula1>'_lists'!$D$1:$D$3</formula1>
    </dataValidation>
    <dataValidation sqref="T5:T682" showDropDown="0" showInputMessage="0" showErrorMessage="1" allowBlank="1" errorTitle="CR status" error="Choose a value from the list (CR status)." type="list">
      <formula1>'_lists'!$E$1:$E$5</formula1>
    </dataValidation>
    <dataValidation sqref="W5:W682" showDropDown="0" showInputMessage="0" showErrorMessage="1" allowBlank="1" errorTitle="Target drop / release" error="Choose a value from the list (Target drop / release)." type="list">
      <formula1>'_lists'!$F$1:$F$9</formula1>
    </dataValidation>
  </dataValidations>
  <printOptions horizontalCentered="1"/>
  <pageMargins left="0.4" right="0.4" top="0.6" bottom="0.6" header="0.5" footer="0.5"/>
  <pageSetup orientation="landscape" paperSize="8" fitToHeight="0" fitToWidth="2" pageOrder="overThenDown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colBreaks count="1" manualBreakCount="1">
    <brk id="10" min="0" max="16383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 ht="24" customHeight="1">
      <c r="A1" s="19" t="inlineStr">
        <is>
          <t>Summary</t>
        </is>
      </c>
    </row>
    <row r="2">
      <c r="A2" s="18" t="inlineStr">
        <is>
          <t>Counts and man-days by drop, BRD, deviation type, status and priority. Formulas read the Register sheet, so the figures follow any change to it.</t>
        </is>
      </c>
    </row>
    <row r="4">
      <c r="A4" s="9" t="inlineStr">
        <is>
          <t>By drop</t>
        </is>
      </c>
    </row>
    <row r="5" ht="28" customHeight="1">
      <c r="A5" s="34" t="inlineStr">
        <is>
          <t>Value</t>
        </is>
      </c>
      <c r="B5" s="34" t="inlineStr">
        <is>
          <t>Description</t>
        </is>
      </c>
      <c r="C5" s="39" t="inlineStr">
        <is>
          <t>CRs</t>
        </is>
      </c>
      <c r="D5" s="39" t="inlineStr">
        <is>
          <t>High</t>
        </is>
      </c>
      <c r="E5" s="39" t="inlineStr">
        <is>
          <t>Draft</t>
        </is>
      </c>
      <c r="F5" s="39" t="inlineStr">
        <is>
          <t>For CCB review</t>
        </is>
      </c>
      <c r="G5" s="39" t="inlineStr">
        <is>
          <t>For acceptance</t>
        </is>
      </c>
      <c r="H5" s="39" t="inlineStr">
        <is>
          <t>Analysis (md)</t>
        </is>
      </c>
      <c r="I5" s="39" t="inlineStr">
        <is>
          <t>Dev. (md)</t>
        </is>
      </c>
      <c r="J5" s="39" t="inlineStr">
        <is>
          <t>Test (md)</t>
        </is>
      </c>
      <c r="K5" s="39" t="inlineStr">
        <is>
          <t>Doc. (md)</t>
        </is>
      </c>
      <c r="L5" s="39" t="inlineStr">
        <is>
          <t>Total (md)</t>
        </is>
      </c>
    </row>
    <row r="6">
      <c r="A6" s="35" t="inlineStr">
        <is>
          <t>Drop 0</t>
        </is>
      </c>
      <c r="B6" s="37" t="inlineStr">
        <is>
          <t>Drop 0 - Setup and Data Migration</t>
        </is>
      </c>
      <c r="C6" s="36">
        <f>COUNTIFS(Register!$B$5:$B$682,"Drop 0")</f>
        <v/>
      </c>
      <c r="D6" s="36">
        <f>COUNTIFS(Register!$B$5:$B$682,"Drop 0",Register!$S$5:$S$682,"High")</f>
        <v/>
      </c>
      <c r="E6" s="36">
        <f>COUNTIFS(Register!$B$5:$B$682,"Drop 0",Register!$T$5:$T$682,"Draft")</f>
        <v/>
      </c>
      <c r="F6" s="36">
        <f>COUNTIFS(Register!$B$5:$B$682,"Drop 0",Register!$T$5:$T$682,"For CCB review")</f>
        <v/>
      </c>
      <c r="G6" s="36">
        <f>COUNTIFS(Register!$B$5:$B$682,"Drop 0",Register!$T$5:$T$682,"For acceptance")</f>
        <v/>
      </c>
      <c r="H6" s="36">
        <f>SUMIFS(Register!$L$5:$L$682,Register!$B$5:$B$682,"Drop 0")</f>
        <v/>
      </c>
      <c r="I6" s="36">
        <f>SUMIFS(Register!$M$5:$M$682,Register!$B$5:$B$682,"Drop 0")</f>
        <v/>
      </c>
      <c r="J6" s="36">
        <f>SUMIFS(Register!$N$5:$N$682,Register!$B$5:$B$682,"Drop 0")</f>
        <v/>
      </c>
      <c r="K6" s="36">
        <f>SUMIFS(Register!$O$5:$O$682,Register!$B$5:$B$682,"Drop 0")</f>
        <v/>
      </c>
      <c r="L6" s="38">
        <f>SUMIFS(Register!$P$5:$P$682,Register!$B$5:$B$682,"Drop 0")</f>
        <v/>
      </c>
    </row>
    <row r="7">
      <c r="A7" s="40" t="inlineStr">
        <is>
          <t>Drop 1</t>
        </is>
      </c>
      <c r="B7" s="41" t="inlineStr">
        <is>
          <t>Drop 1 - Transactional (upstream and downstream)</t>
        </is>
      </c>
      <c r="C7" s="42">
        <f>COUNTIFS(Register!$B$5:$B$682,"Drop 1")</f>
        <v/>
      </c>
      <c r="D7" s="42">
        <f>COUNTIFS(Register!$B$5:$B$682,"Drop 1",Register!$S$5:$S$682,"High")</f>
        <v/>
      </c>
      <c r="E7" s="42">
        <f>COUNTIFS(Register!$B$5:$B$682,"Drop 1",Register!$T$5:$T$682,"Draft")</f>
        <v/>
      </c>
      <c r="F7" s="42">
        <f>COUNTIFS(Register!$B$5:$B$682,"Drop 1",Register!$T$5:$T$682,"For CCB review")</f>
        <v/>
      </c>
      <c r="G7" s="42">
        <f>COUNTIFS(Register!$B$5:$B$682,"Drop 1",Register!$T$5:$T$682,"For acceptance")</f>
        <v/>
      </c>
      <c r="H7" s="42">
        <f>SUMIFS(Register!$L$5:$L$682,Register!$B$5:$B$682,"Drop 1")</f>
        <v/>
      </c>
      <c r="I7" s="42">
        <f>SUMIFS(Register!$M$5:$M$682,Register!$B$5:$B$682,"Drop 1")</f>
        <v/>
      </c>
      <c r="J7" s="42">
        <f>SUMIFS(Register!$N$5:$N$682,Register!$B$5:$B$682,"Drop 1")</f>
        <v/>
      </c>
      <c r="K7" s="42">
        <f>SUMIFS(Register!$O$5:$O$682,Register!$B$5:$B$682,"Drop 1")</f>
        <v/>
      </c>
      <c r="L7" s="43">
        <f>SUMIFS(Register!$P$5:$P$682,Register!$B$5:$B$682,"Drop 1")</f>
        <v/>
      </c>
    </row>
    <row r="8">
      <c r="A8" s="35" t="inlineStr">
        <is>
          <t>Drop 2</t>
        </is>
      </c>
      <c r="B8" s="37" t="inlineStr">
        <is>
          <t>Drop 2 - Independent</t>
        </is>
      </c>
      <c r="C8" s="36">
        <f>COUNTIFS(Register!$B$5:$B$682,"Drop 2")</f>
        <v/>
      </c>
      <c r="D8" s="36">
        <f>COUNTIFS(Register!$B$5:$B$682,"Drop 2",Register!$S$5:$S$682,"High")</f>
        <v/>
      </c>
      <c r="E8" s="36">
        <f>COUNTIFS(Register!$B$5:$B$682,"Drop 2",Register!$T$5:$T$682,"Draft")</f>
        <v/>
      </c>
      <c r="F8" s="36">
        <f>COUNTIFS(Register!$B$5:$B$682,"Drop 2",Register!$T$5:$T$682,"For CCB review")</f>
        <v/>
      </c>
      <c r="G8" s="36">
        <f>COUNTIFS(Register!$B$5:$B$682,"Drop 2",Register!$T$5:$T$682,"For acceptance")</f>
        <v/>
      </c>
      <c r="H8" s="36">
        <f>SUMIFS(Register!$L$5:$L$682,Register!$B$5:$B$682,"Drop 2")</f>
        <v/>
      </c>
      <c r="I8" s="36">
        <f>SUMIFS(Register!$M$5:$M$682,Register!$B$5:$B$682,"Drop 2")</f>
        <v/>
      </c>
      <c r="J8" s="36">
        <f>SUMIFS(Register!$N$5:$N$682,Register!$B$5:$B$682,"Drop 2")</f>
        <v/>
      </c>
      <c r="K8" s="36">
        <f>SUMIFS(Register!$O$5:$O$682,Register!$B$5:$B$682,"Drop 2")</f>
        <v/>
      </c>
      <c r="L8" s="38">
        <f>SUMIFS(Register!$P$5:$P$682,Register!$B$5:$B$682,"Drop 2")</f>
        <v/>
      </c>
    </row>
    <row r="9">
      <c r="A9" s="40" t="inlineStr">
        <is>
          <t>Programme</t>
        </is>
      </c>
      <c r="B9" s="41" t="inlineStr">
        <is>
          <t>Programme (cross-drop)</t>
        </is>
      </c>
      <c r="C9" s="42">
        <f>COUNTIFS(Register!$B$5:$B$682,"Programme")</f>
        <v/>
      </c>
      <c r="D9" s="42">
        <f>COUNTIFS(Register!$B$5:$B$682,"Programme",Register!$S$5:$S$682,"High")</f>
        <v/>
      </c>
      <c r="E9" s="42">
        <f>COUNTIFS(Register!$B$5:$B$682,"Programme",Register!$T$5:$T$682,"Draft")</f>
        <v/>
      </c>
      <c r="F9" s="42">
        <f>COUNTIFS(Register!$B$5:$B$682,"Programme",Register!$T$5:$T$682,"For CCB review")</f>
        <v/>
      </c>
      <c r="G9" s="42">
        <f>COUNTIFS(Register!$B$5:$B$682,"Programme",Register!$T$5:$T$682,"For acceptance")</f>
        <v/>
      </c>
      <c r="H9" s="42">
        <f>SUMIFS(Register!$L$5:$L$682,Register!$B$5:$B$682,"Programme")</f>
        <v/>
      </c>
      <c r="I9" s="42">
        <f>SUMIFS(Register!$M$5:$M$682,Register!$B$5:$B$682,"Programme")</f>
        <v/>
      </c>
      <c r="J9" s="42">
        <f>SUMIFS(Register!$N$5:$N$682,Register!$B$5:$B$682,"Programme")</f>
        <v/>
      </c>
      <c r="K9" s="42">
        <f>SUMIFS(Register!$O$5:$O$682,Register!$B$5:$B$682,"Programme")</f>
        <v/>
      </c>
      <c r="L9" s="43">
        <f>SUMIFS(Register!$P$5:$P$682,Register!$B$5:$B$682,"Programme")</f>
        <v/>
      </c>
    </row>
    <row r="10">
      <c r="A10" s="35" t="inlineStr">
        <is>
          <t>Phase 2</t>
        </is>
      </c>
      <c r="B10" s="37" t="inlineStr">
        <is>
          <t>Reinsurance module (BDOI answer A3)</t>
        </is>
      </c>
      <c r="C10" s="36">
        <f>COUNTIFS(Register!$B$5:$B$682,"Phase 2")</f>
        <v/>
      </c>
      <c r="D10" s="36">
        <f>COUNTIFS(Register!$B$5:$B$682,"Phase 2",Register!$S$5:$S$682,"High")</f>
        <v/>
      </c>
      <c r="E10" s="36">
        <f>COUNTIFS(Register!$B$5:$B$682,"Phase 2",Register!$T$5:$T$682,"Draft")</f>
        <v/>
      </c>
      <c r="F10" s="36">
        <f>COUNTIFS(Register!$B$5:$B$682,"Phase 2",Register!$T$5:$T$682,"For CCB review")</f>
        <v/>
      </c>
      <c r="G10" s="36">
        <f>COUNTIFS(Register!$B$5:$B$682,"Phase 2",Register!$T$5:$T$682,"For acceptance")</f>
        <v/>
      </c>
      <c r="H10" s="36">
        <f>SUMIFS(Register!$L$5:$L$682,Register!$B$5:$B$682,"Phase 2")</f>
        <v/>
      </c>
      <c r="I10" s="36">
        <f>SUMIFS(Register!$M$5:$M$682,Register!$B$5:$B$682,"Phase 2")</f>
        <v/>
      </c>
      <c r="J10" s="36">
        <f>SUMIFS(Register!$N$5:$N$682,Register!$B$5:$B$682,"Phase 2")</f>
        <v/>
      </c>
      <c r="K10" s="36">
        <f>SUMIFS(Register!$O$5:$O$682,Register!$B$5:$B$682,"Phase 2")</f>
        <v/>
      </c>
      <c r="L10" s="38">
        <f>SUMIFS(Register!$P$5:$P$682,Register!$B$5:$B$682,"Phase 2")</f>
        <v/>
      </c>
    </row>
    <row r="11">
      <c r="A11" s="44" t="inlineStr">
        <is>
          <t>Total</t>
        </is>
      </c>
      <c r="B11" s="44" t="inlineStr"/>
      <c r="C11" s="45">
        <f>SUM(C6:C10)</f>
        <v/>
      </c>
      <c r="D11" s="45">
        <f>SUM(D6:D10)</f>
        <v/>
      </c>
      <c r="E11" s="45">
        <f>SUM(E6:E10)</f>
        <v/>
      </c>
      <c r="F11" s="45">
        <f>SUM(F6:F10)</f>
        <v/>
      </c>
      <c r="G11" s="45">
        <f>SUM(G6:G10)</f>
        <v/>
      </c>
      <c r="H11" s="45">
        <f>SUM(H6:H10)</f>
        <v/>
      </c>
      <c r="I11" s="45">
        <f>SUM(I6:I10)</f>
        <v/>
      </c>
      <c r="J11" s="45">
        <f>SUM(J6:J10)</f>
        <v/>
      </c>
      <c r="K11" s="45">
        <f>SUM(K6:K10)</f>
        <v/>
      </c>
      <c r="L11" s="45">
        <f>SUM(L6:L10)</f>
        <v/>
      </c>
    </row>
    <row r="13">
      <c r="A13" s="9" t="inlineStr">
        <is>
          <t>By BRD</t>
        </is>
      </c>
    </row>
    <row r="14" ht="28" customHeight="1">
      <c r="A14" s="34" t="inlineStr">
        <is>
          <t>Value</t>
        </is>
      </c>
      <c r="B14" s="34" t="inlineStr">
        <is>
          <t>Description</t>
        </is>
      </c>
      <c r="C14" s="39" t="inlineStr">
        <is>
          <t>CRs</t>
        </is>
      </c>
      <c r="D14" s="39" t="inlineStr">
        <is>
          <t>High</t>
        </is>
      </c>
      <c r="E14" s="39" t="inlineStr">
        <is>
          <t>Draft</t>
        </is>
      </c>
      <c r="F14" s="39" t="inlineStr">
        <is>
          <t>For CCB review</t>
        </is>
      </c>
      <c r="G14" s="39" t="inlineStr">
        <is>
          <t>For acceptance</t>
        </is>
      </c>
      <c r="H14" s="39" t="inlineStr">
        <is>
          <t>Analysis (md)</t>
        </is>
      </c>
      <c r="I14" s="39" t="inlineStr">
        <is>
          <t>Dev. (md)</t>
        </is>
      </c>
      <c r="J14" s="39" t="inlineStr">
        <is>
          <t>Test (md)</t>
        </is>
      </c>
      <c r="K14" s="39" t="inlineStr">
        <is>
          <t>Doc. (md)</t>
        </is>
      </c>
      <c r="L14" s="39" t="inlineStr">
        <is>
          <t>Total (md)</t>
        </is>
      </c>
    </row>
    <row r="15">
      <c r="A15" s="35" t="inlineStr">
        <is>
          <t>BRD-00</t>
        </is>
      </c>
      <c r="B15" s="37" t="inlineStr">
        <is>
          <t>Core Replacement (umbrella) and programme</t>
        </is>
      </c>
      <c r="C15" s="36">
        <f>COUNTIFS(Register!$C$5:$C$682,"BRD-00")</f>
        <v/>
      </c>
      <c r="D15" s="36">
        <f>COUNTIFS(Register!$C$5:$C$682,"BRD-00",Register!$S$5:$S$682,"High")</f>
        <v/>
      </c>
      <c r="E15" s="36">
        <f>COUNTIFS(Register!$C$5:$C$682,"BRD-00",Register!$T$5:$T$682,"Draft")</f>
        <v/>
      </c>
      <c r="F15" s="36">
        <f>COUNTIFS(Register!$C$5:$C$682,"BRD-00",Register!$T$5:$T$682,"For CCB review")</f>
        <v/>
      </c>
      <c r="G15" s="36">
        <f>COUNTIFS(Register!$C$5:$C$682,"BRD-00",Register!$T$5:$T$682,"For acceptance")</f>
        <v/>
      </c>
      <c r="H15" s="36">
        <f>SUMIFS(Register!$L$5:$L$682,Register!$C$5:$C$682,"BRD-00")</f>
        <v/>
      </c>
      <c r="I15" s="36">
        <f>SUMIFS(Register!$M$5:$M$682,Register!$C$5:$C$682,"BRD-00")</f>
        <v/>
      </c>
      <c r="J15" s="36">
        <f>SUMIFS(Register!$N$5:$N$682,Register!$C$5:$C$682,"BRD-00")</f>
        <v/>
      </c>
      <c r="K15" s="36">
        <f>SUMIFS(Register!$O$5:$O$682,Register!$C$5:$C$682,"BRD-00")</f>
        <v/>
      </c>
      <c r="L15" s="38">
        <f>SUMIFS(Register!$P$5:$P$682,Register!$C$5:$C$682,"BRD-00")</f>
        <v/>
      </c>
    </row>
    <row r="16">
      <c r="A16" s="40" t="inlineStr">
        <is>
          <t>BRD-01</t>
        </is>
      </c>
      <c r="B16" s="41" t="inlineStr">
        <is>
          <t>New Business</t>
        </is>
      </c>
      <c r="C16" s="42">
        <f>COUNTIFS(Register!$C$5:$C$682,"BRD-01")</f>
        <v/>
      </c>
      <c r="D16" s="42">
        <f>COUNTIFS(Register!$C$5:$C$682,"BRD-01",Register!$S$5:$S$682,"High")</f>
        <v/>
      </c>
      <c r="E16" s="42">
        <f>COUNTIFS(Register!$C$5:$C$682,"BRD-01",Register!$T$5:$T$682,"Draft")</f>
        <v/>
      </c>
      <c r="F16" s="42">
        <f>COUNTIFS(Register!$C$5:$C$682,"BRD-01",Register!$T$5:$T$682,"For CCB review")</f>
        <v/>
      </c>
      <c r="G16" s="42">
        <f>COUNTIFS(Register!$C$5:$C$682,"BRD-01",Register!$T$5:$T$682,"For acceptance")</f>
        <v/>
      </c>
      <c r="H16" s="42">
        <f>SUMIFS(Register!$L$5:$L$682,Register!$C$5:$C$682,"BRD-01")</f>
        <v/>
      </c>
      <c r="I16" s="42">
        <f>SUMIFS(Register!$M$5:$M$682,Register!$C$5:$C$682,"BRD-01")</f>
        <v/>
      </c>
      <c r="J16" s="42">
        <f>SUMIFS(Register!$N$5:$N$682,Register!$C$5:$C$682,"BRD-01")</f>
        <v/>
      </c>
      <c r="K16" s="42">
        <f>SUMIFS(Register!$O$5:$O$682,Register!$C$5:$C$682,"BRD-01")</f>
        <v/>
      </c>
      <c r="L16" s="43">
        <f>SUMIFS(Register!$P$5:$P$682,Register!$C$5:$C$682,"BRD-01")</f>
        <v/>
      </c>
    </row>
    <row r="17">
      <c r="A17" s="35" t="inlineStr">
        <is>
          <t>BRD-02</t>
        </is>
      </c>
      <c r="B17" s="37" t="inlineStr">
        <is>
          <t>Operations</t>
        </is>
      </c>
      <c r="C17" s="36">
        <f>COUNTIFS(Register!$C$5:$C$682,"BRD-02")</f>
        <v/>
      </c>
      <c r="D17" s="36">
        <f>COUNTIFS(Register!$C$5:$C$682,"BRD-02",Register!$S$5:$S$682,"High")</f>
        <v/>
      </c>
      <c r="E17" s="36">
        <f>COUNTIFS(Register!$C$5:$C$682,"BRD-02",Register!$T$5:$T$682,"Draft")</f>
        <v/>
      </c>
      <c r="F17" s="36">
        <f>COUNTIFS(Register!$C$5:$C$682,"BRD-02",Register!$T$5:$T$682,"For CCB review")</f>
        <v/>
      </c>
      <c r="G17" s="36">
        <f>COUNTIFS(Register!$C$5:$C$682,"BRD-02",Register!$T$5:$T$682,"For acceptance")</f>
        <v/>
      </c>
      <c r="H17" s="36">
        <f>SUMIFS(Register!$L$5:$L$682,Register!$C$5:$C$682,"BRD-02")</f>
        <v/>
      </c>
      <c r="I17" s="36">
        <f>SUMIFS(Register!$M$5:$M$682,Register!$C$5:$C$682,"BRD-02")</f>
        <v/>
      </c>
      <c r="J17" s="36">
        <f>SUMIFS(Register!$N$5:$N$682,Register!$C$5:$C$682,"BRD-02")</f>
        <v/>
      </c>
      <c r="K17" s="36">
        <f>SUMIFS(Register!$O$5:$O$682,Register!$C$5:$C$682,"BRD-02")</f>
        <v/>
      </c>
      <c r="L17" s="38">
        <f>SUMIFS(Register!$P$5:$P$682,Register!$C$5:$C$682,"BRD-02")</f>
        <v/>
      </c>
    </row>
    <row r="18">
      <c r="A18" s="40" t="inlineStr">
        <is>
          <t>BRD-03</t>
        </is>
      </c>
      <c r="B18" s="41" t="inlineStr">
        <is>
          <t>Product Maintenance</t>
        </is>
      </c>
      <c r="C18" s="42">
        <f>COUNTIFS(Register!$C$5:$C$682,"BRD-03")</f>
        <v/>
      </c>
      <c r="D18" s="42">
        <f>COUNTIFS(Register!$C$5:$C$682,"BRD-03",Register!$S$5:$S$682,"High")</f>
        <v/>
      </c>
      <c r="E18" s="42">
        <f>COUNTIFS(Register!$C$5:$C$682,"BRD-03",Register!$T$5:$T$682,"Draft")</f>
        <v/>
      </c>
      <c r="F18" s="42">
        <f>COUNTIFS(Register!$C$5:$C$682,"BRD-03",Register!$T$5:$T$682,"For CCB review")</f>
        <v/>
      </c>
      <c r="G18" s="42">
        <f>COUNTIFS(Register!$C$5:$C$682,"BRD-03",Register!$T$5:$T$682,"For acceptance")</f>
        <v/>
      </c>
      <c r="H18" s="42">
        <f>SUMIFS(Register!$L$5:$L$682,Register!$C$5:$C$682,"BRD-03")</f>
        <v/>
      </c>
      <c r="I18" s="42">
        <f>SUMIFS(Register!$M$5:$M$682,Register!$C$5:$C$682,"BRD-03")</f>
        <v/>
      </c>
      <c r="J18" s="42">
        <f>SUMIFS(Register!$N$5:$N$682,Register!$C$5:$C$682,"BRD-03")</f>
        <v/>
      </c>
      <c r="K18" s="42">
        <f>SUMIFS(Register!$O$5:$O$682,Register!$C$5:$C$682,"BRD-03")</f>
        <v/>
      </c>
      <c r="L18" s="43">
        <f>SUMIFS(Register!$P$5:$P$682,Register!$C$5:$C$682,"BRD-03")</f>
        <v/>
      </c>
    </row>
    <row r="19">
      <c r="A19" s="35" t="inlineStr">
        <is>
          <t>BRD-04</t>
        </is>
      </c>
      <c r="B19" s="37" t="inlineStr">
        <is>
          <t>Collections</t>
        </is>
      </c>
      <c r="C19" s="36">
        <f>COUNTIFS(Register!$C$5:$C$682,"BRD-04")</f>
        <v/>
      </c>
      <c r="D19" s="36">
        <f>COUNTIFS(Register!$C$5:$C$682,"BRD-04",Register!$S$5:$S$682,"High")</f>
        <v/>
      </c>
      <c r="E19" s="36">
        <f>COUNTIFS(Register!$C$5:$C$682,"BRD-04",Register!$T$5:$T$682,"Draft")</f>
        <v/>
      </c>
      <c r="F19" s="36">
        <f>COUNTIFS(Register!$C$5:$C$682,"BRD-04",Register!$T$5:$T$682,"For CCB review")</f>
        <v/>
      </c>
      <c r="G19" s="36">
        <f>COUNTIFS(Register!$C$5:$C$682,"BRD-04",Register!$T$5:$T$682,"For acceptance")</f>
        <v/>
      </c>
      <c r="H19" s="36">
        <f>SUMIFS(Register!$L$5:$L$682,Register!$C$5:$C$682,"BRD-04")</f>
        <v/>
      </c>
      <c r="I19" s="36">
        <f>SUMIFS(Register!$M$5:$M$682,Register!$C$5:$C$682,"BRD-04")</f>
        <v/>
      </c>
      <c r="J19" s="36">
        <f>SUMIFS(Register!$N$5:$N$682,Register!$C$5:$C$682,"BRD-04")</f>
        <v/>
      </c>
      <c r="K19" s="36">
        <f>SUMIFS(Register!$O$5:$O$682,Register!$C$5:$C$682,"BRD-04")</f>
        <v/>
      </c>
      <c r="L19" s="38">
        <f>SUMIFS(Register!$P$5:$P$682,Register!$C$5:$C$682,"BRD-04")</f>
        <v/>
      </c>
    </row>
    <row r="20">
      <c r="A20" s="40" t="inlineStr">
        <is>
          <t>BRD-05</t>
        </is>
      </c>
      <c r="B20" s="41" t="inlineStr">
        <is>
          <t>Accounting, Disbursement and ACSL</t>
        </is>
      </c>
      <c r="C20" s="42">
        <f>COUNTIFS(Register!$C$5:$C$682,"BRD-05")</f>
        <v/>
      </c>
      <c r="D20" s="42">
        <f>COUNTIFS(Register!$C$5:$C$682,"BRD-05",Register!$S$5:$S$682,"High")</f>
        <v/>
      </c>
      <c r="E20" s="42">
        <f>COUNTIFS(Register!$C$5:$C$682,"BRD-05",Register!$T$5:$T$682,"Draft")</f>
        <v/>
      </c>
      <c r="F20" s="42">
        <f>COUNTIFS(Register!$C$5:$C$682,"BRD-05",Register!$T$5:$T$682,"For CCB review")</f>
        <v/>
      </c>
      <c r="G20" s="42">
        <f>COUNTIFS(Register!$C$5:$C$682,"BRD-05",Register!$T$5:$T$682,"For acceptance")</f>
        <v/>
      </c>
      <c r="H20" s="42">
        <f>SUMIFS(Register!$L$5:$L$682,Register!$C$5:$C$682,"BRD-05")</f>
        <v/>
      </c>
      <c r="I20" s="42">
        <f>SUMIFS(Register!$M$5:$M$682,Register!$C$5:$C$682,"BRD-05")</f>
        <v/>
      </c>
      <c r="J20" s="42">
        <f>SUMIFS(Register!$N$5:$N$682,Register!$C$5:$C$682,"BRD-05")</f>
        <v/>
      </c>
      <c r="K20" s="42">
        <f>SUMIFS(Register!$O$5:$O$682,Register!$C$5:$C$682,"BRD-05")</f>
        <v/>
      </c>
      <c r="L20" s="43">
        <f>SUMIFS(Register!$P$5:$P$682,Register!$C$5:$C$682,"BRD-05")</f>
        <v/>
      </c>
    </row>
    <row r="21">
      <c r="A21" s="35" t="inlineStr">
        <is>
          <t>BRD-06</t>
        </is>
      </c>
      <c r="B21" s="37" t="inlineStr">
        <is>
          <t>Renewal</t>
        </is>
      </c>
      <c r="C21" s="36">
        <f>COUNTIFS(Register!$C$5:$C$682,"BRD-06")</f>
        <v/>
      </c>
      <c r="D21" s="36">
        <f>COUNTIFS(Register!$C$5:$C$682,"BRD-06",Register!$S$5:$S$682,"High")</f>
        <v/>
      </c>
      <c r="E21" s="36">
        <f>COUNTIFS(Register!$C$5:$C$682,"BRD-06",Register!$T$5:$T$682,"Draft")</f>
        <v/>
      </c>
      <c r="F21" s="36">
        <f>COUNTIFS(Register!$C$5:$C$682,"BRD-06",Register!$T$5:$T$682,"For CCB review")</f>
        <v/>
      </c>
      <c r="G21" s="36">
        <f>COUNTIFS(Register!$C$5:$C$682,"BRD-06",Register!$T$5:$T$682,"For acceptance")</f>
        <v/>
      </c>
      <c r="H21" s="36">
        <f>SUMIFS(Register!$L$5:$L$682,Register!$C$5:$C$682,"BRD-06")</f>
        <v/>
      </c>
      <c r="I21" s="36">
        <f>SUMIFS(Register!$M$5:$M$682,Register!$C$5:$C$682,"BRD-06")</f>
        <v/>
      </c>
      <c r="J21" s="36">
        <f>SUMIFS(Register!$N$5:$N$682,Register!$C$5:$C$682,"BRD-06")</f>
        <v/>
      </c>
      <c r="K21" s="36">
        <f>SUMIFS(Register!$O$5:$O$682,Register!$C$5:$C$682,"BRD-06")</f>
        <v/>
      </c>
      <c r="L21" s="38">
        <f>SUMIFS(Register!$P$5:$P$682,Register!$C$5:$C$682,"BRD-06")</f>
        <v/>
      </c>
    </row>
    <row r="22">
      <c r="A22" s="40" t="inlineStr">
        <is>
          <t>BRD-07</t>
        </is>
      </c>
      <c r="B22" s="41" t="inlineStr">
        <is>
          <t>Claims</t>
        </is>
      </c>
      <c r="C22" s="42">
        <f>COUNTIFS(Register!$C$5:$C$682,"BRD-07")</f>
        <v/>
      </c>
      <c r="D22" s="42">
        <f>COUNTIFS(Register!$C$5:$C$682,"BRD-07",Register!$S$5:$S$682,"High")</f>
        <v/>
      </c>
      <c r="E22" s="42">
        <f>COUNTIFS(Register!$C$5:$C$682,"BRD-07",Register!$T$5:$T$682,"Draft")</f>
        <v/>
      </c>
      <c r="F22" s="42">
        <f>COUNTIFS(Register!$C$5:$C$682,"BRD-07",Register!$T$5:$T$682,"For CCB review")</f>
        <v/>
      </c>
      <c r="G22" s="42">
        <f>COUNTIFS(Register!$C$5:$C$682,"BRD-07",Register!$T$5:$T$682,"For acceptance")</f>
        <v/>
      </c>
      <c r="H22" s="42">
        <f>SUMIFS(Register!$L$5:$L$682,Register!$C$5:$C$682,"BRD-07")</f>
        <v/>
      </c>
      <c r="I22" s="42">
        <f>SUMIFS(Register!$M$5:$M$682,Register!$C$5:$C$682,"BRD-07")</f>
        <v/>
      </c>
      <c r="J22" s="42">
        <f>SUMIFS(Register!$N$5:$N$682,Register!$C$5:$C$682,"BRD-07")</f>
        <v/>
      </c>
      <c r="K22" s="42">
        <f>SUMIFS(Register!$O$5:$O$682,Register!$C$5:$C$682,"BRD-07")</f>
        <v/>
      </c>
      <c r="L22" s="43">
        <f>SUMIFS(Register!$P$5:$P$682,Register!$C$5:$C$682,"BRD-07")</f>
        <v/>
      </c>
    </row>
    <row r="23">
      <c r="A23" s="35" t="inlineStr">
        <is>
          <t>BRD-08</t>
        </is>
      </c>
      <c r="B23" s="37" t="inlineStr">
        <is>
          <t>Employee Benefits</t>
        </is>
      </c>
      <c r="C23" s="36">
        <f>COUNTIFS(Register!$C$5:$C$682,"BRD-08")</f>
        <v/>
      </c>
      <c r="D23" s="36">
        <f>COUNTIFS(Register!$C$5:$C$682,"BRD-08",Register!$S$5:$S$682,"High")</f>
        <v/>
      </c>
      <c r="E23" s="36">
        <f>COUNTIFS(Register!$C$5:$C$682,"BRD-08",Register!$T$5:$T$682,"Draft")</f>
        <v/>
      </c>
      <c r="F23" s="36">
        <f>COUNTIFS(Register!$C$5:$C$682,"BRD-08",Register!$T$5:$T$682,"For CCB review")</f>
        <v/>
      </c>
      <c r="G23" s="36">
        <f>COUNTIFS(Register!$C$5:$C$682,"BRD-08",Register!$T$5:$T$682,"For acceptance")</f>
        <v/>
      </c>
      <c r="H23" s="36">
        <f>SUMIFS(Register!$L$5:$L$682,Register!$C$5:$C$682,"BRD-08")</f>
        <v/>
      </c>
      <c r="I23" s="36">
        <f>SUMIFS(Register!$M$5:$M$682,Register!$C$5:$C$682,"BRD-08")</f>
        <v/>
      </c>
      <c r="J23" s="36">
        <f>SUMIFS(Register!$N$5:$N$682,Register!$C$5:$C$682,"BRD-08")</f>
        <v/>
      </c>
      <c r="K23" s="36">
        <f>SUMIFS(Register!$O$5:$O$682,Register!$C$5:$C$682,"BRD-08")</f>
        <v/>
      </c>
      <c r="L23" s="38">
        <f>SUMIFS(Register!$P$5:$P$682,Register!$C$5:$C$682,"BRD-08")</f>
        <v/>
      </c>
    </row>
    <row r="24">
      <c r="A24" s="40" t="inlineStr">
        <is>
          <t>BRD-09</t>
        </is>
      </c>
      <c r="B24" s="41" t="inlineStr">
        <is>
          <t>Customer Servicing Facility</t>
        </is>
      </c>
      <c r="C24" s="42">
        <f>COUNTIFS(Register!$C$5:$C$682,"BRD-09")</f>
        <v/>
      </c>
      <c r="D24" s="42">
        <f>COUNTIFS(Register!$C$5:$C$682,"BRD-09",Register!$S$5:$S$682,"High")</f>
        <v/>
      </c>
      <c r="E24" s="42">
        <f>COUNTIFS(Register!$C$5:$C$682,"BRD-09",Register!$T$5:$T$682,"Draft")</f>
        <v/>
      </c>
      <c r="F24" s="42">
        <f>COUNTIFS(Register!$C$5:$C$682,"BRD-09",Register!$T$5:$T$682,"For CCB review")</f>
        <v/>
      </c>
      <c r="G24" s="42">
        <f>COUNTIFS(Register!$C$5:$C$682,"BRD-09",Register!$T$5:$T$682,"For acceptance")</f>
        <v/>
      </c>
      <c r="H24" s="42">
        <f>SUMIFS(Register!$L$5:$L$682,Register!$C$5:$C$682,"BRD-09")</f>
        <v/>
      </c>
      <c r="I24" s="42">
        <f>SUMIFS(Register!$M$5:$M$682,Register!$C$5:$C$682,"BRD-09")</f>
        <v/>
      </c>
      <c r="J24" s="42">
        <f>SUMIFS(Register!$N$5:$N$682,Register!$C$5:$C$682,"BRD-09")</f>
        <v/>
      </c>
      <c r="K24" s="42">
        <f>SUMIFS(Register!$O$5:$O$682,Register!$C$5:$C$682,"BRD-09")</f>
        <v/>
      </c>
      <c r="L24" s="43">
        <f>SUMIFS(Register!$P$5:$P$682,Register!$C$5:$C$682,"BRD-09")</f>
        <v/>
      </c>
    </row>
    <row r="25">
      <c r="A25" s="35" t="inlineStr">
        <is>
          <t>BRD-10</t>
        </is>
      </c>
      <c r="B25" s="37" t="inlineStr">
        <is>
          <t>Sanction Screening</t>
        </is>
      </c>
      <c r="C25" s="36">
        <f>COUNTIFS(Register!$C$5:$C$682,"BRD-10")</f>
        <v/>
      </c>
      <c r="D25" s="36">
        <f>COUNTIFS(Register!$C$5:$C$682,"BRD-10",Register!$S$5:$S$682,"High")</f>
        <v/>
      </c>
      <c r="E25" s="36">
        <f>COUNTIFS(Register!$C$5:$C$682,"BRD-10",Register!$T$5:$T$682,"Draft")</f>
        <v/>
      </c>
      <c r="F25" s="36">
        <f>COUNTIFS(Register!$C$5:$C$682,"BRD-10",Register!$T$5:$T$682,"For CCB review")</f>
        <v/>
      </c>
      <c r="G25" s="36">
        <f>COUNTIFS(Register!$C$5:$C$682,"BRD-10",Register!$T$5:$T$682,"For acceptance")</f>
        <v/>
      </c>
      <c r="H25" s="36">
        <f>SUMIFS(Register!$L$5:$L$682,Register!$C$5:$C$682,"BRD-10")</f>
        <v/>
      </c>
      <c r="I25" s="36">
        <f>SUMIFS(Register!$M$5:$M$682,Register!$C$5:$C$682,"BRD-10")</f>
        <v/>
      </c>
      <c r="J25" s="36">
        <f>SUMIFS(Register!$N$5:$N$682,Register!$C$5:$C$682,"BRD-10")</f>
        <v/>
      </c>
      <c r="K25" s="36">
        <f>SUMIFS(Register!$O$5:$O$682,Register!$C$5:$C$682,"BRD-10")</f>
        <v/>
      </c>
      <c r="L25" s="38">
        <f>SUMIFS(Register!$P$5:$P$682,Register!$C$5:$C$682,"BRD-10")</f>
        <v/>
      </c>
    </row>
    <row r="26">
      <c r="A26" s="40" t="inlineStr">
        <is>
          <t>BRD-11</t>
        </is>
      </c>
      <c r="B26" s="41" t="inlineStr">
        <is>
          <t>User Access Maintenance</t>
        </is>
      </c>
      <c r="C26" s="42">
        <f>COUNTIFS(Register!$C$5:$C$682,"BRD-11")</f>
        <v/>
      </c>
      <c r="D26" s="42">
        <f>COUNTIFS(Register!$C$5:$C$682,"BRD-11",Register!$S$5:$S$682,"High")</f>
        <v/>
      </c>
      <c r="E26" s="42">
        <f>COUNTIFS(Register!$C$5:$C$682,"BRD-11",Register!$T$5:$T$682,"Draft")</f>
        <v/>
      </c>
      <c r="F26" s="42">
        <f>COUNTIFS(Register!$C$5:$C$682,"BRD-11",Register!$T$5:$T$682,"For CCB review")</f>
        <v/>
      </c>
      <c r="G26" s="42">
        <f>COUNTIFS(Register!$C$5:$C$682,"BRD-11",Register!$T$5:$T$682,"For acceptance")</f>
        <v/>
      </c>
      <c r="H26" s="42">
        <f>SUMIFS(Register!$L$5:$L$682,Register!$C$5:$C$682,"BRD-11")</f>
        <v/>
      </c>
      <c r="I26" s="42">
        <f>SUMIFS(Register!$M$5:$M$682,Register!$C$5:$C$682,"BRD-11")</f>
        <v/>
      </c>
      <c r="J26" s="42">
        <f>SUMIFS(Register!$N$5:$N$682,Register!$C$5:$C$682,"BRD-11")</f>
        <v/>
      </c>
      <c r="K26" s="42">
        <f>SUMIFS(Register!$O$5:$O$682,Register!$C$5:$C$682,"BRD-11")</f>
        <v/>
      </c>
      <c r="L26" s="43">
        <f>SUMIFS(Register!$P$5:$P$682,Register!$C$5:$C$682,"BRD-11")</f>
        <v/>
      </c>
    </row>
    <row r="27">
      <c r="A27" s="35" t="inlineStr">
        <is>
          <t>BRD-12</t>
        </is>
      </c>
      <c r="B27" s="37" t="inlineStr">
        <is>
          <t>Submitted Policies</t>
        </is>
      </c>
      <c r="C27" s="36">
        <f>COUNTIFS(Register!$C$5:$C$682,"BRD-12")</f>
        <v/>
      </c>
      <c r="D27" s="36">
        <f>COUNTIFS(Register!$C$5:$C$682,"BRD-12",Register!$S$5:$S$682,"High")</f>
        <v/>
      </c>
      <c r="E27" s="36">
        <f>COUNTIFS(Register!$C$5:$C$682,"BRD-12",Register!$T$5:$T$682,"Draft")</f>
        <v/>
      </c>
      <c r="F27" s="36">
        <f>COUNTIFS(Register!$C$5:$C$682,"BRD-12",Register!$T$5:$T$682,"For CCB review")</f>
        <v/>
      </c>
      <c r="G27" s="36">
        <f>COUNTIFS(Register!$C$5:$C$682,"BRD-12",Register!$T$5:$T$682,"For acceptance")</f>
        <v/>
      </c>
      <c r="H27" s="36">
        <f>SUMIFS(Register!$L$5:$L$682,Register!$C$5:$C$682,"BRD-12")</f>
        <v/>
      </c>
      <c r="I27" s="36">
        <f>SUMIFS(Register!$M$5:$M$682,Register!$C$5:$C$682,"BRD-12")</f>
        <v/>
      </c>
      <c r="J27" s="36">
        <f>SUMIFS(Register!$N$5:$N$682,Register!$C$5:$C$682,"BRD-12")</f>
        <v/>
      </c>
      <c r="K27" s="36">
        <f>SUMIFS(Register!$O$5:$O$682,Register!$C$5:$C$682,"BRD-12")</f>
        <v/>
      </c>
      <c r="L27" s="38">
        <f>SUMIFS(Register!$P$5:$P$682,Register!$C$5:$C$682,"BRD-12")</f>
        <v/>
      </c>
    </row>
    <row r="28">
      <c r="A28" s="40" t="inlineStr">
        <is>
          <t>BRD-13</t>
        </is>
      </c>
      <c r="B28" s="41" t="inlineStr">
        <is>
          <t>Data Migration</t>
        </is>
      </c>
      <c r="C28" s="42">
        <f>COUNTIFS(Register!$C$5:$C$682,"BRD-13")</f>
        <v/>
      </c>
      <c r="D28" s="42">
        <f>COUNTIFS(Register!$C$5:$C$682,"BRD-13",Register!$S$5:$S$682,"High")</f>
        <v/>
      </c>
      <c r="E28" s="42">
        <f>COUNTIFS(Register!$C$5:$C$682,"BRD-13",Register!$T$5:$T$682,"Draft")</f>
        <v/>
      </c>
      <c r="F28" s="42">
        <f>COUNTIFS(Register!$C$5:$C$682,"BRD-13",Register!$T$5:$T$682,"For CCB review")</f>
        <v/>
      </c>
      <c r="G28" s="42">
        <f>COUNTIFS(Register!$C$5:$C$682,"BRD-13",Register!$T$5:$T$682,"For acceptance")</f>
        <v/>
      </c>
      <c r="H28" s="42">
        <f>SUMIFS(Register!$L$5:$L$682,Register!$C$5:$C$682,"BRD-13")</f>
        <v/>
      </c>
      <c r="I28" s="42">
        <f>SUMIFS(Register!$M$5:$M$682,Register!$C$5:$C$682,"BRD-13")</f>
        <v/>
      </c>
      <c r="J28" s="42">
        <f>SUMIFS(Register!$N$5:$N$682,Register!$C$5:$C$682,"BRD-13")</f>
        <v/>
      </c>
      <c r="K28" s="42">
        <f>SUMIFS(Register!$O$5:$O$682,Register!$C$5:$C$682,"BRD-13")</f>
        <v/>
      </c>
      <c r="L28" s="43">
        <f>SUMIFS(Register!$P$5:$P$682,Register!$C$5:$C$682,"BRD-13")</f>
        <v/>
      </c>
    </row>
    <row r="29">
      <c r="A29" s="44" t="inlineStr">
        <is>
          <t>Total</t>
        </is>
      </c>
      <c r="B29" s="44" t="inlineStr"/>
      <c r="C29" s="45">
        <f>SUM(C15:C28)</f>
        <v/>
      </c>
      <c r="D29" s="45">
        <f>SUM(D15:D28)</f>
        <v/>
      </c>
      <c r="E29" s="45">
        <f>SUM(E15:E28)</f>
        <v/>
      </c>
      <c r="F29" s="45">
        <f>SUM(F15:F28)</f>
        <v/>
      </c>
      <c r="G29" s="45">
        <f>SUM(G15:G28)</f>
        <v/>
      </c>
      <c r="H29" s="45">
        <f>SUM(H15:H28)</f>
        <v/>
      </c>
      <c r="I29" s="45">
        <f>SUM(I15:I28)</f>
        <v/>
      </c>
      <c r="J29" s="45">
        <f>SUM(J15:J28)</f>
        <v/>
      </c>
      <c r="K29" s="45">
        <f>SUM(K15:K28)</f>
        <v/>
      </c>
      <c r="L29" s="45">
        <f>SUM(L15:L28)</f>
        <v/>
      </c>
    </row>
    <row r="31">
      <c r="A31" s="9" t="inlineStr">
        <is>
          <t>By deviation type</t>
        </is>
      </c>
    </row>
    <row r="32" ht="28" customHeight="1">
      <c r="A32" s="34" t="inlineStr">
        <is>
          <t>Value</t>
        </is>
      </c>
      <c r="B32" s="34" t="inlineStr">
        <is>
          <t>Description</t>
        </is>
      </c>
      <c r="C32" s="39" t="inlineStr">
        <is>
          <t>CRs</t>
        </is>
      </c>
      <c r="D32" s="39" t="inlineStr">
        <is>
          <t>High</t>
        </is>
      </c>
      <c r="E32" s="39" t="inlineStr">
        <is>
          <t>Draft</t>
        </is>
      </c>
      <c r="F32" s="39" t="inlineStr">
        <is>
          <t>For CCB review</t>
        </is>
      </c>
      <c r="G32" s="39" t="inlineStr">
        <is>
          <t>For acceptance</t>
        </is>
      </c>
      <c r="H32" s="39" t="inlineStr">
        <is>
          <t>Analysis (md)</t>
        </is>
      </c>
      <c r="I32" s="39" t="inlineStr">
        <is>
          <t>Dev. (md)</t>
        </is>
      </c>
      <c r="J32" s="39" t="inlineStr">
        <is>
          <t>Test (md)</t>
        </is>
      </c>
      <c r="K32" s="39" t="inlineStr">
        <is>
          <t>Doc. (md)</t>
        </is>
      </c>
      <c r="L32" s="39" t="inlineStr">
        <is>
          <t>Total (md)</t>
        </is>
      </c>
    </row>
    <row r="33">
      <c r="A33" s="35" t="inlineStr">
        <is>
          <t>Scope addition — beyond BRD</t>
        </is>
      </c>
      <c r="B33" s="37" t="inlineStr">
        <is>
          <t>BIBS does more than the BRD asks, or the umbrella FRS proposes a requirement that no function BRD owns</t>
        </is>
      </c>
      <c r="C33" s="36">
        <f>COUNTIFS(Register!$F$5:$F$682,"Scope addition — beyond BRD")</f>
        <v/>
      </c>
      <c r="D33" s="36">
        <f>COUNTIFS(Register!$F$5:$F$682,"Scope addition — beyond BRD",Register!$S$5:$S$682,"High")</f>
        <v/>
      </c>
      <c r="E33" s="36">
        <f>COUNTIFS(Register!$F$5:$F$682,"Scope addition — beyond BRD",Register!$T$5:$T$682,"Draft")</f>
        <v/>
      </c>
      <c r="F33" s="36">
        <f>COUNTIFS(Register!$F$5:$F$682,"Scope addition — beyond BRD",Register!$T$5:$T$682,"For CCB review")</f>
        <v/>
      </c>
      <c r="G33" s="36">
        <f>COUNTIFS(Register!$F$5:$F$682,"Scope addition — beyond BRD",Register!$T$5:$T$682,"For acceptance")</f>
        <v/>
      </c>
      <c r="H33" s="36">
        <f>SUMIFS(Register!$L$5:$L$682,Register!$F$5:$F$682,"Scope addition — beyond BRD")</f>
        <v/>
      </c>
      <c r="I33" s="36">
        <f>SUMIFS(Register!$M$5:$M$682,Register!$F$5:$F$682,"Scope addition — beyond BRD")</f>
        <v/>
      </c>
      <c r="J33" s="36">
        <f>SUMIFS(Register!$N$5:$N$682,Register!$F$5:$F$682,"Scope addition — beyond BRD")</f>
        <v/>
      </c>
      <c r="K33" s="36">
        <f>SUMIFS(Register!$O$5:$O$682,Register!$F$5:$F$682,"Scope addition — beyond BRD")</f>
        <v/>
      </c>
      <c r="L33" s="38">
        <f>SUMIFS(Register!$P$5:$P$682,Register!$F$5:$F$682,"Scope addition — beyond BRD")</f>
        <v/>
      </c>
    </row>
    <row r="34">
      <c r="A34" s="40" t="inlineStr">
        <is>
          <t>Scope reduction / descoped</t>
        </is>
      </c>
      <c r="B34" s="41" t="inlineStr">
        <is>
          <t>A BRD requirement is not delivered, or is delivered with less than the BRD asks, by a BDOI instruction or a proposal</t>
        </is>
      </c>
      <c r="C34" s="42">
        <f>COUNTIFS(Register!$F$5:$F$682,"Scope reduction / descoped")</f>
        <v/>
      </c>
      <c r="D34" s="42">
        <f>COUNTIFS(Register!$F$5:$F$682,"Scope reduction / descoped",Register!$S$5:$S$682,"High")</f>
        <v/>
      </c>
      <c r="E34" s="42">
        <f>COUNTIFS(Register!$F$5:$F$682,"Scope reduction / descoped",Register!$T$5:$T$682,"Draft")</f>
        <v/>
      </c>
      <c r="F34" s="42">
        <f>COUNTIFS(Register!$F$5:$F$682,"Scope reduction / descoped",Register!$T$5:$T$682,"For CCB review")</f>
        <v/>
      </c>
      <c r="G34" s="42">
        <f>COUNTIFS(Register!$F$5:$F$682,"Scope reduction / descoped",Register!$T$5:$T$682,"For acceptance")</f>
        <v/>
      </c>
      <c r="H34" s="42">
        <f>SUMIFS(Register!$L$5:$L$682,Register!$F$5:$F$682,"Scope reduction / descoped")</f>
        <v/>
      </c>
      <c r="I34" s="42">
        <f>SUMIFS(Register!$M$5:$M$682,Register!$F$5:$F$682,"Scope reduction / descoped")</f>
        <v/>
      </c>
      <c r="J34" s="42">
        <f>SUMIFS(Register!$N$5:$N$682,Register!$F$5:$F$682,"Scope reduction / descoped")</f>
        <v/>
      </c>
      <c r="K34" s="42">
        <f>SUMIFS(Register!$O$5:$O$682,Register!$F$5:$F$682,"Scope reduction / descoped")</f>
        <v/>
      </c>
      <c r="L34" s="43">
        <f>SUMIFS(Register!$P$5:$P$682,Register!$F$5:$F$682,"Scope reduction / descoped")</f>
        <v/>
      </c>
    </row>
    <row r="35">
      <c r="A35" s="35" t="inlineStr">
        <is>
          <t>Behaviour differs from BRD</t>
        </is>
      </c>
      <c r="B35" s="37" t="inlineStr">
        <is>
          <t>The requirement is met in a different way from the BRD text</t>
        </is>
      </c>
      <c r="C35" s="36">
        <f>COUNTIFS(Register!$F$5:$F$682,"Behaviour differs from BRD")</f>
        <v/>
      </c>
      <c r="D35" s="36">
        <f>COUNTIFS(Register!$F$5:$F$682,"Behaviour differs from BRD",Register!$S$5:$S$682,"High")</f>
        <v/>
      </c>
      <c r="E35" s="36">
        <f>COUNTIFS(Register!$F$5:$F$682,"Behaviour differs from BRD",Register!$T$5:$T$682,"Draft")</f>
        <v/>
      </c>
      <c r="F35" s="36">
        <f>COUNTIFS(Register!$F$5:$F$682,"Behaviour differs from BRD",Register!$T$5:$T$682,"For CCB review")</f>
        <v/>
      </c>
      <c r="G35" s="36">
        <f>COUNTIFS(Register!$F$5:$F$682,"Behaviour differs from BRD",Register!$T$5:$T$682,"For acceptance")</f>
        <v/>
      </c>
      <c r="H35" s="36">
        <f>SUMIFS(Register!$L$5:$L$682,Register!$F$5:$F$682,"Behaviour differs from BRD")</f>
        <v/>
      </c>
      <c r="I35" s="36">
        <f>SUMIFS(Register!$M$5:$M$682,Register!$F$5:$F$682,"Behaviour differs from BRD")</f>
        <v/>
      </c>
      <c r="J35" s="36">
        <f>SUMIFS(Register!$N$5:$N$682,Register!$F$5:$F$682,"Behaviour differs from BRD")</f>
        <v/>
      </c>
      <c r="K35" s="36">
        <f>SUMIFS(Register!$O$5:$O$682,Register!$F$5:$F$682,"Behaviour differs from BRD")</f>
        <v/>
      </c>
      <c r="L35" s="38">
        <f>SUMIFS(Register!$P$5:$P$682,Register!$F$5:$F$682,"Behaviour differs from BRD")</f>
        <v/>
      </c>
    </row>
    <row r="36">
      <c r="A36" s="40" t="inlineStr">
        <is>
          <t>Deferred pending BDOI answer</t>
        </is>
      </c>
      <c r="B36" s="41" t="inlineStr">
        <is>
          <t>The element runs with a documented default and waits for a BDOI answer (values, layouts, rules, a yes / no on scope)</t>
        </is>
      </c>
      <c r="C36" s="42">
        <f>COUNTIFS(Register!$F$5:$F$682,"Deferred pending BDOI answer")</f>
        <v/>
      </c>
      <c r="D36" s="42">
        <f>COUNTIFS(Register!$F$5:$F$682,"Deferred pending BDOI answer",Register!$S$5:$S$682,"High")</f>
        <v/>
      </c>
      <c r="E36" s="42">
        <f>COUNTIFS(Register!$F$5:$F$682,"Deferred pending BDOI answer",Register!$T$5:$T$682,"Draft")</f>
        <v/>
      </c>
      <c r="F36" s="42">
        <f>COUNTIFS(Register!$F$5:$F$682,"Deferred pending BDOI answer",Register!$T$5:$T$682,"For CCB review")</f>
        <v/>
      </c>
      <c r="G36" s="42">
        <f>COUNTIFS(Register!$F$5:$F$682,"Deferred pending BDOI answer",Register!$T$5:$T$682,"For acceptance")</f>
        <v/>
      </c>
      <c r="H36" s="42">
        <f>SUMIFS(Register!$L$5:$L$682,Register!$F$5:$F$682,"Deferred pending BDOI answer")</f>
        <v/>
      </c>
      <c r="I36" s="42">
        <f>SUMIFS(Register!$M$5:$M$682,Register!$F$5:$F$682,"Deferred pending BDOI answer")</f>
        <v/>
      </c>
      <c r="J36" s="42">
        <f>SUMIFS(Register!$N$5:$N$682,Register!$F$5:$F$682,"Deferred pending BDOI answer")</f>
        <v/>
      </c>
      <c r="K36" s="42">
        <f>SUMIFS(Register!$O$5:$O$682,Register!$F$5:$F$682,"Deferred pending BDOI answer")</f>
        <v/>
      </c>
      <c r="L36" s="43">
        <f>SUMIFS(Register!$P$5:$P$682,Register!$F$5:$F$682,"Deferred pending BDOI answer")</f>
        <v/>
      </c>
    </row>
    <row r="37">
      <c r="A37" s="35" t="inlineStr">
        <is>
          <t>Deferred to Phase 2</t>
        </is>
      </c>
      <c r="B37" s="37" t="inlineStr">
        <is>
          <t>Out of phase 1 by BDOI decision; kept for phase 2</t>
        </is>
      </c>
      <c r="C37" s="36">
        <f>COUNTIFS(Register!$F$5:$F$682,"Deferred to Phase 2")</f>
        <v/>
      </c>
      <c r="D37" s="36">
        <f>COUNTIFS(Register!$F$5:$F$682,"Deferred to Phase 2",Register!$S$5:$S$682,"High")</f>
        <v/>
      </c>
      <c r="E37" s="36">
        <f>COUNTIFS(Register!$F$5:$F$682,"Deferred to Phase 2",Register!$T$5:$T$682,"Draft")</f>
        <v/>
      </c>
      <c r="F37" s="36">
        <f>COUNTIFS(Register!$F$5:$F$682,"Deferred to Phase 2",Register!$T$5:$T$682,"For CCB review")</f>
        <v/>
      </c>
      <c r="G37" s="36">
        <f>COUNTIFS(Register!$F$5:$F$682,"Deferred to Phase 2",Register!$T$5:$T$682,"For acceptance")</f>
        <v/>
      </c>
      <c r="H37" s="36">
        <f>SUMIFS(Register!$L$5:$L$682,Register!$F$5:$F$682,"Deferred to Phase 2")</f>
        <v/>
      </c>
      <c r="I37" s="36">
        <f>SUMIFS(Register!$M$5:$M$682,Register!$F$5:$F$682,"Deferred to Phase 2")</f>
        <v/>
      </c>
      <c r="J37" s="36">
        <f>SUMIFS(Register!$N$5:$N$682,Register!$F$5:$F$682,"Deferred to Phase 2")</f>
        <v/>
      </c>
      <c r="K37" s="36">
        <f>SUMIFS(Register!$O$5:$O$682,Register!$F$5:$F$682,"Deferred to Phase 2")</f>
        <v/>
      </c>
      <c r="L37" s="38">
        <f>SUMIFS(Register!$P$5:$P$682,Register!$F$5:$F$682,"Deferred to Phase 2")</f>
        <v/>
      </c>
    </row>
    <row r="38">
      <c r="A38" s="40" t="inlineStr">
        <is>
          <t>BRD conflict resolved by decision</t>
        </is>
      </c>
      <c r="B38" s="41" t="inlineStr">
        <is>
          <t>Two BRDs, or two parts of one BRD, conflict</t>
        </is>
      </c>
      <c r="C38" s="42">
        <f>COUNTIFS(Register!$F$5:$F$682,"BRD conflict resolved by decision")</f>
        <v/>
      </c>
      <c r="D38" s="42">
        <f>COUNTIFS(Register!$F$5:$F$682,"BRD conflict resolved by decision",Register!$S$5:$S$682,"High")</f>
        <v/>
      </c>
      <c r="E38" s="42">
        <f>COUNTIFS(Register!$F$5:$F$682,"BRD conflict resolved by decision",Register!$T$5:$T$682,"Draft")</f>
        <v/>
      </c>
      <c r="F38" s="42">
        <f>COUNTIFS(Register!$F$5:$F$682,"BRD conflict resolved by decision",Register!$T$5:$T$682,"For CCB review")</f>
        <v/>
      </c>
      <c r="G38" s="42">
        <f>COUNTIFS(Register!$F$5:$F$682,"BRD conflict resolved by decision",Register!$T$5:$T$682,"For acceptance")</f>
        <v/>
      </c>
      <c r="H38" s="42">
        <f>SUMIFS(Register!$L$5:$L$682,Register!$F$5:$F$682,"BRD conflict resolved by decision")</f>
        <v/>
      </c>
      <c r="I38" s="42">
        <f>SUMIFS(Register!$M$5:$M$682,Register!$F$5:$F$682,"BRD conflict resolved by decision")</f>
        <v/>
      </c>
      <c r="J38" s="42">
        <f>SUMIFS(Register!$N$5:$N$682,Register!$F$5:$F$682,"BRD conflict resolved by decision")</f>
        <v/>
      </c>
      <c r="K38" s="42">
        <f>SUMIFS(Register!$O$5:$O$682,Register!$F$5:$F$682,"BRD conflict resolved by decision")</f>
        <v/>
      </c>
      <c r="L38" s="43">
        <f>SUMIFS(Register!$P$5:$P$682,Register!$F$5:$F$682,"BRD conflict resolved by decision")</f>
        <v/>
      </c>
    </row>
    <row r="39">
      <c r="A39" s="35" t="inlineStr">
        <is>
          <t>Integration dependency</t>
        </is>
      </c>
      <c r="B39" s="37" t="inlineStr">
        <is>
          <t>The requirement depends on an interface with a BDO or insurer system that is not yet specified</t>
        </is>
      </c>
      <c r="C39" s="36">
        <f>COUNTIFS(Register!$F$5:$F$682,"Integration dependency")</f>
        <v/>
      </c>
      <c r="D39" s="36">
        <f>COUNTIFS(Register!$F$5:$F$682,"Integration dependency",Register!$S$5:$S$682,"High")</f>
        <v/>
      </c>
      <c r="E39" s="36">
        <f>COUNTIFS(Register!$F$5:$F$682,"Integration dependency",Register!$T$5:$T$682,"Draft")</f>
        <v/>
      </c>
      <c r="F39" s="36">
        <f>COUNTIFS(Register!$F$5:$F$682,"Integration dependency",Register!$T$5:$T$682,"For CCB review")</f>
        <v/>
      </c>
      <c r="G39" s="36">
        <f>COUNTIFS(Register!$F$5:$F$682,"Integration dependency",Register!$T$5:$T$682,"For acceptance")</f>
        <v/>
      </c>
      <c r="H39" s="36">
        <f>SUMIFS(Register!$L$5:$L$682,Register!$F$5:$F$682,"Integration dependency")</f>
        <v/>
      </c>
      <c r="I39" s="36">
        <f>SUMIFS(Register!$M$5:$M$682,Register!$F$5:$F$682,"Integration dependency")</f>
        <v/>
      </c>
      <c r="J39" s="36">
        <f>SUMIFS(Register!$N$5:$N$682,Register!$F$5:$F$682,"Integration dependency")</f>
        <v/>
      </c>
      <c r="K39" s="36">
        <f>SUMIFS(Register!$O$5:$O$682,Register!$F$5:$F$682,"Integration dependency")</f>
        <v/>
      </c>
      <c r="L39" s="38">
        <f>SUMIFS(Register!$P$5:$P$682,Register!$F$5:$F$682,"Integration dependency")</f>
        <v/>
      </c>
    </row>
    <row r="40">
      <c r="A40" s="40" t="inlineStr">
        <is>
          <t>NFR / infrastructure change</t>
        </is>
      </c>
      <c r="B40" s="41" t="inlineStr">
        <is>
          <t>A non-functional value (hours, availability, recovery, retention, sizing) or an infrastructure choice differs from one or more BRDs, or from the IER workbook</t>
        </is>
      </c>
      <c r="C40" s="42">
        <f>COUNTIFS(Register!$F$5:$F$682,"NFR / infrastructure change")</f>
        <v/>
      </c>
      <c r="D40" s="42">
        <f>COUNTIFS(Register!$F$5:$F$682,"NFR / infrastructure change",Register!$S$5:$S$682,"High")</f>
        <v/>
      </c>
      <c r="E40" s="42">
        <f>COUNTIFS(Register!$F$5:$F$682,"NFR / infrastructure change",Register!$T$5:$T$682,"Draft")</f>
        <v/>
      </c>
      <c r="F40" s="42">
        <f>COUNTIFS(Register!$F$5:$F$682,"NFR / infrastructure change",Register!$T$5:$T$682,"For CCB review")</f>
        <v/>
      </c>
      <c r="G40" s="42">
        <f>COUNTIFS(Register!$F$5:$F$682,"NFR / infrastructure change",Register!$T$5:$T$682,"For acceptance")</f>
        <v/>
      </c>
      <c r="H40" s="42">
        <f>SUMIFS(Register!$L$5:$L$682,Register!$F$5:$F$682,"NFR / infrastructure change")</f>
        <v/>
      </c>
      <c r="I40" s="42">
        <f>SUMIFS(Register!$M$5:$M$682,Register!$F$5:$F$682,"NFR / infrastructure change")</f>
        <v/>
      </c>
      <c r="J40" s="42">
        <f>SUMIFS(Register!$N$5:$N$682,Register!$F$5:$F$682,"NFR / infrastructure change")</f>
        <v/>
      </c>
      <c r="K40" s="42">
        <f>SUMIFS(Register!$O$5:$O$682,Register!$F$5:$F$682,"NFR / infrastructure change")</f>
        <v/>
      </c>
      <c r="L40" s="43">
        <f>SUMIFS(Register!$P$5:$P$682,Register!$F$5:$F$682,"NFR / infrastructure change")</f>
        <v/>
      </c>
    </row>
    <row r="41">
      <c r="A41" s="35" t="inlineStr">
        <is>
          <t>Data migration</t>
        </is>
      </c>
      <c r="B41" s="37" t="inlineStr">
        <is>
          <t>The migration or cut-over treatment differs from what a BRD assumes, or adds work that a BRD does not state</t>
        </is>
      </c>
      <c r="C41" s="36">
        <f>COUNTIFS(Register!$F$5:$F$682,"Data migration")</f>
        <v/>
      </c>
      <c r="D41" s="36">
        <f>COUNTIFS(Register!$F$5:$F$682,"Data migration",Register!$S$5:$S$682,"High")</f>
        <v/>
      </c>
      <c r="E41" s="36">
        <f>COUNTIFS(Register!$F$5:$F$682,"Data migration",Register!$T$5:$T$682,"Draft")</f>
        <v/>
      </c>
      <c r="F41" s="36">
        <f>COUNTIFS(Register!$F$5:$F$682,"Data migration",Register!$T$5:$T$682,"For CCB review")</f>
        <v/>
      </c>
      <c r="G41" s="36">
        <f>COUNTIFS(Register!$F$5:$F$682,"Data migration",Register!$T$5:$T$682,"For acceptance")</f>
        <v/>
      </c>
      <c r="H41" s="36">
        <f>SUMIFS(Register!$L$5:$L$682,Register!$F$5:$F$682,"Data migration")</f>
        <v/>
      </c>
      <c r="I41" s="36">
        <f>SUMIFS(Register!$M$5:$M$682,Register!$F$5:$F$682,"Data migration")</f>
        <v/>
      </c>
      <c r="J41" s="36">
        <f>SUMIFS(Register!$N$5:$N$682,Register!$F$5:$F$682,"Data migration")</f>
        <v/>
      </c>
      <c r="K41" s="36">
        <f>SUMIFS(Register!$O$5:$O$682,Register!$F$5:$F$682,"Data migration")</f>
        <v/>
      </c>
      <c r="L41" s="38">
        <f>SUMIFS(Register!$P$5:$P$682,Register!$F$5:$F$682,"Data migration")</f>
        <v/>
      </c>
    </row>
    <row r="42">
      <c r="A42" s="44" t="inlineStr">
        <is>
          <t>Total</t>
        </is>
      </c>
      <c r="B42" s="44" t="inlineStr"/>
      <c r="C42" s="45">
        <f>SUM(C33:C41)</f>
        <v/>
      </c>
      <c r="D42" s="45">
        <f>SUM(D33:D41)</f>
        <v/>
      </c>
      <c r="E42" s="45">
        <f>SUM(E33:E41)</f>
        <v/>
      </c>
      <c r="F42" s="45">
        <f>SUM(F33:F41)</f>
        <v/>
      </c>
      <c r="G42" s="45">
        <f>SUM(G33:G41)</f>
        <v/>
      </c>
      <c r="H42" s="45">
        <f>SUM(H33:H41)</f>
        <v/>
      </c>
      <c r="I42" s="45">
        <f>SUM(I33:I41)</f>
        <v/>
      </c>
      <c r="J42" s="45">
        <f>SUM(J33:J41)</f>
        <v/>
      </c>
      <c r="K42" s="45">
        <f>SUM(K33:K41)</f>
        <v/>
      </c>
      <c r="L42" s="45">
        <f>SUM(L33:L41)</f>
        <v/>
      </c>
    </row>
    <row r="44">
      <c r="A44" s="9" t="inlineStr">
        <is>
          <t>By CR status</t>
        </is>
      </c>
    </row>
    <row r="45" ht="28" customHeight="1">
      <c r="A45" s="34" t="inlineStr">
        <is>
          <t>Value</t>
        </is>
      </c>
      <c r="B45" s="34" t="inlineStr">
        <is>
          <t>Description</t>
        </is>
      </c>
      <c r="C45" s="39" t="inlineStr">
        <is>
          <t>CRs</t>
        </is>
      </c>
      <c r="D45" s="39" t="inlineStr">
        <is>
          <t>High</t>
        </is>
      </c>
      <c r="E45" s="39" t="inlineStr">
        <is>
          <t>Draft</t>
        </is>
      </c>
      <c r="F45" s="39" t="inlineStr">
        <is>
          <t>For CCB review</t>
        </is>
      </c>
      <c r="G45" s="39" t="inlineStr">
        <is>
          <t>For acceptance</t>
        </is>
      </c>
      <c r="H45" s="39" t="inlineStr">
        <is>
          <t>Analysis (md)</t>
        </is>
      </c>
      <c r="I45" s="39" t="inlineStr">
        <is>
          <t>Dev. (md)</t>
        </is>
      </c>
      <c r="J45" s="39" t="inlineStr">
        <is>
          <t>Test (md)</t>
        </is>
      </c>
      <c r="K45" s="39" t="inlineStr">
        <is>
          <t>Doc. (md)</t>
        </is>
      </c>
      <c r="L45" s="39" t="inlineStr">
        <is>
          <t>Total (md)</t>
        </is>
      </c>
    </row>
    <row r="46">
      <c r="A46" s="35" t="inlineStr">
        <is>
          <t>Draft</t>
        </is>
      </c>
      <c r="B46" s="37" t="inlineStr">
        <is>
          <t>Raised by the project team</t>
        </is>
      </c>
      <c r="C46" s="36">
        <f>COUNTIFS(Register!$T$5:$T$682,"Draft")</f>
        <v/>
      </c>
      <c r="D46" s="36">
        <f>COUNTIFS(Register!$T$5:$T$682,"Draft",Register!$S$5:$S$682,"High")</f>
        <v/>
      </c>
      <c r="E46" s="36">
        <f>COUNTIFS(Register!$T$5:$T$682,"Draft",Register!$T$5:$T$682,"Draft")</f>
        <v/>
      </c>
      <c r="F46" s="36">
        <f>COUNTIFS(Register!$T$5:$T$682,"Draft",Register!$T$5:$T$682,"For CCB review")</f>
        <v/>
      </c>
      <c r="G46" s="36">
        <f>COUNTIFS(Register!$T$5:$T$682,"Draft",Register!$T$5:$T$682,"For acceptance")</f>
        <v/>
      </c>
      <c r="H46" s="36">
        <f>SUMIFS(Register!$L$5:$L$682,Register!$T$5:$T$682,"Draft")</f>
        <v/>
      </c>
      <c r="I46" s="36">
        <f>SUMIFS(Register!$M$5:$M$682,Register!$T$5:$T$682,"Draft")</f>
        <v/>
      </c>
      <c r="J46" s="36">
        <f>SUMIFS(Register!$N$5:$N$682,Register!$T$5:$T$682,"Draft")</f>
        <v/>
      </c>
      <c r="K46" s="36">
        <f>SUMIFS(Register!$O$5:$O$682,Register!$T$5:$T$682,"Draft")</f>
        <v/>
      </c>
      <c r="L46" s="38">
        <f>SUMIFS(Register!$P$5:$P$682,Register!$T$5:$T$682,"Draft")</f>
        <v/>
      </c>
    </row>
    <row r="47">
      <c r="A47" s="40" t="inlineStr">
        <is>
          <t>For CCB review</t>
        </is>
      </c>
      <c r="B47" s="41" t="inlineStr">
        <is>
          <t>Impact analysis complete; ready for the Change Control Board to approve, reject or defer</t>
        </is>
      </c>
      <c r="C47" s="42">
        <f>COUNTIFS(Register!$T$5:$T$682,"For CCB review")</f>
        <v/>
      </c>
      <c r="D47" s="42">
        <f>COUNTIFS(Register!$T$5:$T$682,"For CCB review",Register!$S$5:$S$682,"High")</f>
        <v/>
      </c>
      <c r="E47" s="42">
        <f>COUNTIFS(Register!$T$5:$T$682,"For CCB review",Register!$T$5:$T$682,"Draft")</f>
        <v/>
      </c>
      <c r="F47" s="42">
        <f>COUNTIFS(Register!$T$5:$T$682,"For CCB review",Register!$T$5:$T$682,"For CCB review")</f>
        <v/>
      </c>
      <c r="G47" s="42">
        <f>COUNTIFS(Register!$T$5:$T$682,"For CCB review",Register!$T$5:$T$682,"For acceptance")</f>
        <v/>
      </c>
      <c r="H47" s="42">
        <f>SUMIFS(Register!$L$5:$L$682,Register!$T$5:$T$682,"For CCB review")</f>
        <v/>
      </c>
      <c r="I47" s="42">
        <f>SUMIFS(Register!$M$5:$M$682,Register!$T$5:$T$682,"For CCB review")</f>
        <v/>
      </c>
      <c r="J47" s="42">
        <f>SUMIFS(Register!$N$5:$N$682,Register!$T$5:$T$682,"For CCB review")</f>
        <v/>
      </c>
      <c r="K47" s="42">
        <f>SUMIFS(Register!$O$5:$O$682,Register!$T$5:$T$682,"For CCB review")</f>
        <v/>
      </c>
      <c r="L47" s="43">
        <f>SUMIFS(Register!$P$5:$P$682,Register!$T$5:$T$682,"For CCB review")</f>
        <v/>
      </c>
    </row>
    <row r="48">
      <c r="A48" s="35" t="inlineStr">
        <is>
          <t>Approved</t>
        </is>
      </c>
      <c r="B48" s="37" t="inlineStr">
        <is>
          <t>Approved by the CCB; scheduled into a drop or release</t>
        </is>
      </c>
      <c r="C48" s="36">
        <f>COUNTIFS(Register!$T$5:$T$682,"Approved")</f>
        <v/>
      </c>
      <c r="D48" s="36">
        <f>COUNTIFS(Register!$T$5:$T$682,"Approved",Register!$S$5:$S$682,"High")</f>
        <v/>
      </c>
      <c r="E48" s="36">
        <f>COUNTIFS(Register!$T$5:$T$682,"Approved",Register!$T$5:$T$682,"Draft")</f>
        <v/>
      </c>
      <c r="F48" s="36">
        <f>COUNTIFS(Register!$T$5:$T$682,"Approved",Register!$T$5:$T$682,"For CCB review")</f>
        <v/>
      </c>
      <c r="G48" s="36">
        <f>COUNTIFS(Register!$T$5:$T$682,"Approved",Register!$T$5:$T$682,"For acceptance")</f>
        <v/>
      </c>
      <c r="H48" s="36">
        <f>SUMIFS(Register!$L$5:$L$682,Register!$T$5:$T$682,"Approved")</f>
        <v/>
      </c>
      <c r="I48" s="36">
        <f>SUMIFS(Register!$M$5:$M$682,Register!$T$5:$T$682,"Approved")</f>
        <v/>
      </c>
      <c r="J48" s="36">
        <f>SUMIFS(Register!$N$5:$N$682,Register!$T$5:$T$682,"Approved")</f>
        <v/>
      </c>
      <c r="K48" s="36">
        <f>SUMIFS(Register!$O$5:$O$682,Register!$T$5:$T$682,"Approved")</f>
        <v/>
      </c>
      <c r="L48" s="38">
        <f>SUMIFS(Register!$P$5:$P$682,Register!$T$5:$T$682,"Approved")</f>
        <v/>
      </c>
    </row>
    <row r="49">
      <c r="A49" s="40" t="inlineStr">
        <is>
          <t>Rejected</t>
        </is>
      </c>
      <c r="B49" s="41" t="inlineStr">
        <is>
          <t>Rejected by the CCB; the BRD text stands, or the item is closed without change</t>
        </is>
      </c>
      <c r="C49" s="42">
        <f>COUNTIFS(Register!$T$5:$T$682,"Rejected")</f>
        <v/>
      </c>
      <c r="D49" s="42">
        <f>COUNTIFS(Register!$T$5:$T$682,"Rejected",Register!$S$5:$S$682,"High")</f>
        <v/>
      </c>
      <c r="E49" s="42">
        <f>COUNTIFS(Register!$T$5:$T$682,"Rejected",Register!$T$5:$T$682,"Draft")</f>
        <v/>
      </c>
      <c r="F49" s="42">
        <f>COUNTIFS(Register!$T$5:$T$682,"Rejected",Register!$T$5:$T$682,"For CCB review")</f>
        <v/>
      </c>
      <c r="G49" s="42">
        <f>COUNTIFS(Register!$T$5:$T$682,"Rejected",Register!$T$5:$T$682,"For acceptance")</f>
        <v/>
      </c>
      <c r="H49" s="42">
        <f>SUMIFS(Register!$L$5:$L$682,Register!$T$5:$T$682,"Rejected")</f>
        <v/>
      </c>
      <c r="I49" s="42">
        <f>SUMIFS(Register!$M$5:$M$682,Register!$T$5:$T$682,"Rejected")</f>
        <v/>
      </c>
      <c r="J49" s="42">
        <f>SUMIFS(Register!$N$5:$N$682,Register!$T$5:$T$682,"Rejected")</f>
        <v/>
      </c>
      <c r="K49" s="42">
        <f>SUMIFS(Register!$O$5:$O$682,Register!$T$5:$T$682,"Rejected")</f>
        <v/>
      </c>
      <c r="L49" s="43">
        <f>SUMIFS(Register!$P$5:$P$682,Register!$T$5:$T$682,"Rejected")</f>
        <v/>
      </c>
    </row>
    <row r="50">
      <c r="A50" s="35" t="inlineStr">
        <is>
          <t>For acceptance</t>
        </is>
      </c>
      <c r="B50" s="37" t="inlineStr">
        <is>
          <t>The proposed behaviour is decided and documented and differs from the BRD text; the CCB records the acceptance</t>
        </is>
      </c>
      <c r="C50" s="36">
        <f>COUNTIFS(Register!$T$5:$T$682,"For acceptance")</f>
        <v/>
      </c>
      <c r="D50" s="36">
        <f>COUNTIFS(Register!$T$5:$T$682,"For acceptance",Register!$S$5:$S$682,"High")</f>
        <v/>
      </c>
      <c r="E50" s="36">
        <f>COUNTIFS(Register!$T$5:$T$682,"For acceptance",Register!$T$5:$T$682,"Draft")</f>
        <v/>
      </c>
      <c r="F50" s="36">
        <f>COUNTIFS(Register!$T$5:$T$682,"For acceptance",Register!$T$5:$T$682,"For CCB review")</f>
        <v/>
      </c>
      <c r="G50" s="36">
        <f>COUNTIFS(Register!$T$5:$T$682,"For acceptance",Register!$T$5:$T$682,"For acceptance")</f>
        <v/>
      </c>
      <c r="H50" s="36">
        <f>SUMIFS(Register!$L$5:$L$682,Register!$T$5:$T$682,"For acceptance")</f>
        <v/>
      </c>
      <c r="I50" s="36">
        <f>SUMIFS(Register!$M$5:$M$682,Register!$T$5:$T$682,"For acceptance")</f>
        <v/>
      </c>
      <c r="J50" s="36">
        <f>SUMIFS(Register!$N$5:$N$682,Register!$T$5:$T$682,"For acceptance")</f>
        <v/>
      </c>
      <c r="K50" s="36">
        <f>SUMIFS(Register!$O$5:$O$682,Register!$T$5:$T$682,"For acceptance")</f>
        <v/>
      </c>
      <c r="L50" s="38">
        <f>SUMIFS(Register!$P$5:$P$682,Register!$T$5:$T$682,"For acceptance")</f>
        <v/>
      </c>
    </row>
    <row r="51">
      <c r="A51" s="44" t="inlineStr">
        <is>
          <t>Total</t>
        </is>
      </c>
      <c r="B51" s="44" t="inlineStr"/>
      <c r="C51" s="45">
        <f>SUM(C46:C50)</f>
        <v/>
      </c>
      <c r="D51" s="45">
        <f>SUM(D46:D50)</f>
        <v/>
      </c>
      <c r="E51" s="45">
        <f>SUM(E46:E50)</f>
        <v/>
      </c>
      <c r="F51" s="45">
        <f>SUM(F46:F50)</f>
        <v/>
      </c>
      <c r="G51" s="45">
        <f>SUM(G46:G50)</f>
        <v/>
      </c>
      <c r="H51" s="45">
        <f>SUM(H46:H50)</f>
        <v/>
      </c>
      <c r="I51" s="45">
        <f>SUM(I46:I50)</f>
        <v/>
      </c>
      <c r="J51" s="45">
        <f>SUM(J46:J50)</f>
        <v/>
      </c>
      <c r="K51" s="45">
        <f>SUM(K46:K50)</f>
        <v/>
      </c>
      <c r="L51" s="45">
        <f>SUM(L46:L50)</f>
        <v/>
      </c>
    </row>
    <row r="53">
      <c r="A53" s="9" t="inlineStr">
        <is>
          <t>By priority</t>
        </is>
      </c>
    </row>
    <row r="54" ht="28" customHeight="1">
      <c r="A54" s="34" t="inlineStr">
        <is>
          <t>Value</t>
        </is>
      </c>
      <c r="B54" s="34" t="inlineStr">
        <is>
          <t>Description</t>
        </is>
      </c>
      <c r="C54" s="39" t="inlineStr">
        <is>
          <t>CRs</t>
        </is>
      </c>
      <c r="D54" s="39" t="inlineStr">
        <is>
          <t>High</t>
        </is>
      </c>
      <c r="E54" s="39" t="inlineStr">
        <is>
          <t>Draft</t>
        </is>
      </c>
      <c r="F54" s="39" t="inlineStr">
        <is>
          <t>For CCB review</t>
        </is>
      </c>
      <c r="G54" s="39" t="inlineStr">
        <is>
          <t>For acceptance</t>
        </is>
      </c>
      <c r="H54" s="39" t="inlineStr">
        <is>
          <t>Analysis (md)</t>
        </is>
      </c>
      <c r="I54" s="39" t="inlineStr">
        <is>
          <t>Dev. (md)</t>
        </is>
      </c>
      <c r="J54" s="39" t="inlineStr">
        <is>
          <t>Test (md)</t>
        </is>
      </c>
      <c r="K54" s="39" t="inlineStr">
        <is>
          <t>Doc. (md)</t>
        </is>
      </c>
      <c r="L54" s="39" t="inlineStr">
        <is>
          <t>Total (md)</t>
        </is>
      </c>
    </row>
    <row r="55">
      <c r="A55" s="35" t="inlineStr">
        <is>
          <t>High</t>
        </is>
      </c>
      <c r="B55" s="37" t="inlineStr">
        <is>
          <t>Affects money (premium, commission, GL, remittance), regulatory compliance, security or access, or blocks a drop</t>
        </is>
      </c>
      <c r="C55" s="36">
        <f>COUNTIFS(Register!$S$5:$S$682,"High")</f>
        <v/>
      </c>
      <c r="D55" s="36">
        <f>COUNTIFS(Register!$S$5:$S$682,"High",Register!$S$5:$S$682,"High")</f>
        <v/>
      </c>
      <c r="E55" s="36">
        <f>COUNTIFS(Register!$S$5:$S$682,"High",Register!$T$5:$T$682,"Draft")</f>
        <v/>
      </c>
      <c r="F55" s="36">
        <f>COUNTIFS(Register!$S$5:$S$682,"High",Register!$T$5:$T$682,"For CCB review")</f>
        <v/>
      </c>
      <c r="G55" s="36">
        <f>COUNTIFS(Register!$S$5:$S$682,"High",Register!$T$5:$T$682,"For acceptance")</f>
        <v/>
      </c>
      <c r="H55" s="36">
        <f>SUMIFS(Register!$L$5:$L$682,Register!$S$5:$S$682,"High")</f>
        <v/>
      </c>
      <c r="I55" s="36">
        <f>SUMIFS(Register!$M$5:$M$682,Register!$S$5:$S$682,"High")</f>
        <v/>
      </c>
      <c r="J55" s="36">
        <f>SUMIFS(Register!$N$5:$N$682,Register!$S$5:$S$682,"High")</f>
        <v/>
      </c>
      <c r="K55" s="36">
        <f>SUMIFS(Register!$O$5:$O$682,Register!$S$5:$S$682,"High")</f>
        <v/>
      </c>
      <c r="L55" s="38">
        <f>SUMIFS(Register!$P$5:$P$682,Register!$S$5:$S$682,"High")</f>
        <v/>
      </c>
    </row>
    <row r="56">
      <c r="A56" s="40" t="inlineStr">
        <is>
          <t>Medium</t>
        </is>
      </c>
      <c r="B56" s="41" t="inlineStr">
        <is>
          <t>Changes a rule, screen, report or interface; a documented default runs until BDOI decides</t>
        </is>
      </c>
      <c r="C56" s="42">
        <f>COUNTIFS(Register!$S$5:$S$682,"Medium")</f>
        <v/>
      </c>
      <c r="D56" s="42">
        <f>COUNTIFS(Register!$S$5:$S$682,"Medium",Register!$S$5:$S$682,"High")</f>
        <v/>
      </c>
      <c r="E56" s="42">
        <f>COUNTIFS(Register!$S$5:$S$682,"Medium",Register!$T$5:$T$682,"Draft")</f>
        <v/>
      </c>
      <c r="F56" s="42">
        <f>COUNTIFS(Register!$S$5:$S$682,"Medium",Register!$T$5:$T$682,"For CCB review")</f>
        <v/>
      </c>
      <c r="G56" s="42">
        <f>COUNTIFS(Register!$S$5:$S$682,"Medium",Register!$T$5:$T$682,"For acceptance")</f>
        <v/>
      </c>
      <c r="H56" s="42">
        <f>SUMIFS(Register!$L$5:$L$682,Register!$S$5:$S$682,"Medium")</f>
        <v/>
      </c>
      <c r="I56" s="42">
        <f>SUMIFS(Register!$M$5:$M$682,Register!$S$5:$S$682,"Medium")</f>
        <v/>
      </c>
      <c r="J56" s="42">
        <f>SUMIFS(Register!$N$5:$N$682,Register!$S$5:$S$682,"Medium")</f>
        <v/>
      </c>
      <c r="K56" s="42">
        <f>SUMIFS(Register!$O$5:$O$682,Register!$S$5:$S$682,"Medium")</f>
        <v/>
      </c>
      <c r="L56" s="43">
        <f>SUMIFS(Register!$P$5:$P$682,Register!$S$5:$S$682,"Medium")</f>
        <v/>
      </c>
    </row>
    <row r="57">
      <c r="A57" s="35" t="inlineStr">
        <is>
          <t>Low</t>
        </is>
      </c>
      <c r="B57" s="37" t="inlineStr">
        <is>
          <t>Wording, labels or presentation; no effect on money, control or data</t>
        </is>
      </c>
      <c r="C57" s="36">
        <f>COUNTIFS(Register!$S$5:$S$682,"Low")</f>
        <v/>
      </c>
      <c r="D57" s="36">
        <f>COUNTIFS(Register!$S$5:$S$682,"Low",Register!$S$5:$S$682,"High")</f>
        <v/>
      </c>
      <c r="E57" s="36">
        <f>COUNTIFS(Register!$S$5:$S$682,"Low",Register!$T$5:$T$682,"Draft")</f>
        <v/>
      </c>
      <c r="F57" s="36">
        <f>COUNTIFS(Register!$S$5:$S$682,"Low",Register!$T$5:$T$682,"For CCB review")</f>
        <v/>
      </c>
      <c r="G57" s="36">
        <f>COUNTIFS(Register!$S$5:$S$682,"Low",Register!$T$5:$T$682,"For acceptance")</f>
        <v/>
      </c>
      <c r="H57" s="36">
        <f>SUMIFS(Register!$L$5:$L$682,Register!$S$5:$S$682,"Low")</f>
        <v/>
      </c>
      <c r="I57" s="36">
        <f>SUMIFS(Register!$M$5:$M$682,Register!$S$5:$S$682,"Low")</f>
        <v/>
      </c>
      <c r="J57" s="36">
        <f>SUMIFS(Register!$N$5:$N$682,Register!$S$5:$S$682,"Low")</f>
        <v/>
      </c>
      <c r="K57" s="36">
        <f>SUMIFS(Register!$O$5:$O$682,Register!$S$5:$S$682,"Low")</f>
        <v/>
      </c>
      <c r="L57" s="38">
        <f>SUMIFS(Register!$P$5:$P$682,Register!$S$5:$S$682,"Low")</f>
        <v/>
      </c>
    </row>
    <row r="58">
      <c r="A58" s="44" t="inlineStr">
        <is>
          <t>Total</t>
        </is>
      </c>
      <c r="B58" s="44" t="inlineStr"/>
      <c r="C58" s="45">
        <f>SUM(C55:C57)</f>
        <v/>
      </c>
      <c r="D58" s="45">
        <f>SUM(D55:D57)</f>
        <v/>
      </c>
      <c r="E58" s="45">
        <f>SUM(E55:E57)</f>
        <v/>
      </c>
      <c r="F58" s="45">
        <f>SUM(F55:F57)</f>
        <v/>
      </c>
      <c r="G58" s="45">
        <f>SUM(G55:G57)</f>
        <v/>
      </c>
      <c r="H58" s="45">
        <f>SUM(H55:H57)</f>
        <v/>
      </c>
      <c r="I58" s="45">
        <f>SUM(I55:I57)</f>
        <v/>
      </c>
      <c r="J58" s="45">
        <f>SUM(J55:J57)</f>
        <v/>
      </c>
      <c r="K58" s="45">
        <f>SUM(K55:K57)</f>
        <v/>
      </c>
      <c r="L58" s="45">
        <f>SUM(L55:L57)</f>
        <v/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  <col width="16" customWidth="1" min="4" max="4"/>
  </cols>
  <sheetData>
    <row r="1" ht="24" customHeight="1">
      <c r="A1" s="19" t="inlineStr">
        <is>
          <t>Effort basis</t>
        </is>
      </c>
    </row>
    <row r="2">
      <c r="A2" s="18" t="inlineStr">
        <is>
          <t>How the man-days are estimated: team roles, the man-day, what is included and excluded, and the size classes.</t>
        </is>
      </c>
    </row>
    <row r="4">
      <c r="A4" s="9" t="inlineStr">
        <is>
          <t>Assumptions</t>
        </is>
      </c>
    </row>
    <row r="5" ht="15" customHeight="1">
      <c r="A5" s="46" t="n">
        <v>1</v>
      </c>
      <c r="B5" s="31" t="inlineStr">
        <is>
          <t>A man-day is 8 working hours of one team member. Figures are rounded to whole days.</t>
        </is>
      </c>
    </row>
    <row r="6" ht="28" customHeight="1">
      <c r="A6" s="46" t="n">
        <v>2</v>
      </c>
      <c r="B6" s="31" t="inlineStr">
        <is>
          <t>Effort is the work still needed to close the deviation as proposed in the "Proposed behaviour" column. It is 0 when the behaviour is decided and documented and only needs acceptance.</t>
        </is>
      </c>
    </row>
    <row r="7" ht="28" customHeight="1">
      <c r="A7" s="46" t="n">
        <v>3</v>
      </c>
      <c r="B7" s="31" t="inlineStr">
        <is>
          <t>For an item deferred pending a BDOI answer, the effort is the work to complete it once BDOI answers as proposed (interface, values, layouts, screens). A different answer is re-estimated at impact analysis.</t>
        </is>
      </c>
    </row>
    <row r="8" ht="28" customHeight="1">
      <c r="A8" s="46" t="n">
        <v>4</v>
      </c>
      <c r="B8" s="31" t="inlineStr">
        <is>
          <t>The optional column "BRD as written" gives the indicative effort to deliver the BRD text instead of the proposed behaviour, for the CCB to compare.</t>
        </is>
      </c>
    </row>
    <row r="9" ht="28" customHeight="1">
      <c r="A9" s="46" t="n">
        <v>5</v>
      </c>
      <c r="B9" s="31" t="inlineStr">
        <is>
          <t>Development includes configuration. Test covers SIT test cases (writing and running) and regression. Documentation covers the FRS, test plan and guides.</t>
        </is>
      </c>
    </row>
    <row r="10" ht="28" customHeight="1">
      <c r="A10" s="46" t="n">
        <v>6</v>
      </c>
      <c r="B10" s="31" t="inlineStr">
        <is>
          <t>Excluded: UAT support, BDOI staff time, infrastructure provisioning by BDO IT (buckets, keys, network routes, certificates), licences and third-party services, and the Phase 2 Reinsurance module.</t>
        </is>
      </c>
    </row>
    <row r="11" ht="28" customHeight="1">
      <c r="A11" s="46" t="n">
        <v>7</v>
      </c>
      <c r="B11" s="31" t="inlineStr">
        <is>
          <t>Excluded: the delivery of what the FRS specify (BRD-6, BRD-8, BRD-9, BRD-12, BRD-13, BRD-7). Only the delta caused by the deviation is estimated.</t>
        </is>
      </c>
    </row>
    <row r="12" ht="28" customHeight="1">
      <c r="A12" s="46" t="n">
        <v>8</v>
      </c>
      <c r="B12" s="31" t="inlineStr">
        <is>
          <t>Estimates are at the accuracy of an impact analysis (about plus or minus 30 percent). The CCB re-estimates an item when BDOI's answer differs from the proposal.</t>
        </is>
      </c>
    </row>
    <row r="13" ht="15" customHeight="1">
      <c r="A13" s="46" t="n">
        <v>9</v>
      </c>
      <c r="B13" s="31" t="inlineStr">
        <is>
          <t>Status and counts are as of the date on the cover and are refreshed with each issue of the register.</t>
        </is>
      </c>
    </row>
    <row r="15">
      <c r="A15" s="9" t="inlineStr">
        <is>
          <t>Team roles</t>
        </is>
      </c>
    </row>
    <row r="16">
      <c r="B16" s="24" t="inlineStr">
        <is>
          <t>Role</t>
        </is>
      </c>
      <c r="C16" s="24" t="inlineStr">
        <is>
          <t>Work counted in the estimate</t>
        </is>
      </c>
      <c r="D16" s="28" t="n"/>
    </row>
    <row r="17">
      <c r="B17" s="25" t="inlineStr">
        <is>
          <t>Business analyst</t>
        </is>
      </c>
      <c r="C17" s="12" t="inlineStr">
        <is>
          <t>Analysis: impact analysis, BDOI workshops, rules and layouts, FRS and test plan updates (with the technical writer)</t>
        </is>
      </c>
      <c r="D17" s="28" t="n"/>
    </row>
    <row r="18">
      <c r="B18" s="26" t="inlineStr">
        <is>
          <t>Solution architect</t>
        </is>
      </c>
      <c r="C18" s="14" t="inlineStr">
        <is>
          <t>Analysis of interfaces, data and infrastructure items</t>
        </is>
      </c>
      <c r="D18" s="28" t="n"/>
    </row>
    <row r="19">
      <c r="B19" s="25" t="inlineStr">
        <is>
          <t>Backend developer</t>
        </is>
      </c>
      <c r="C19" s="12" t="inlineStr">
        <is>
          <t>Development: services, data changes, jobs, interfaces, reports</t>
        </is>
      </c>
      <c r="D19" s="28" t="n"/>
    </row>
    <row r="20">
      <c r="B20" s="26" t="inlineStr">
        <is>
          <t>Frontend developer</t>
        </is>
      </c>
      <c r="C20" s="14" t="inlineStr">
        <is>
          <t>Development: screens, forms and lists</t>
        </is>
      </c>
      <c r="D20" s="28" t="n"/>
    </row>
    <row r="21">
      <c r="B21" s="25" t="inlineStr">
        <is>
          <t>QA engineer</t>
        </is>
      </c>
      <c r="C21" s="12" t="inlineStr">
        <is>
          <t>Test: SIT test cases written and run, regression</t>
        </is>
      </c>
      <c r="D21" s="28" t="n"/>
    </row>
    <row r="22">
      <c r="B22" s="26" t="inlineStr">
        <is>
          <t>Technical writer</t>
        </is>
      </c>
      <c r="C22" s="14" t="inlineStr">
        <is>
          <t>Documentation: FRS, test plan, user and configuration guides, release notes</t>
        </is>
      </c>
      <c r="D22" s="28" t="n"/>
    </row>
    <row r="24">
      <c r="A24" s="9" t="inlineStr">
        <is>
          <t>Size classes</t>
        </is>
      </c>
    </row>
    <row r="25">
      <c r="B25" s="24" t="inlineStr">
        <is>
          <t>Class</t>
        </is>
      </c>
      <c r="C25" s="24" t="inlineStr">
        <is>
          <t>Man-days</t>
        </is>
      </c>
      <c r="D25" s="24" t="inlineStr">
        <is>
          <t>CRs</t>
        </is>
      </c>
    </row>
    <row r="26">
      <c r="B26" s="25" t="inlineStr">
        <is>
          <t>0</t>
        </is>
      </c>
      <c r="C26" s="12" t="inlineStr">
        <is>
          <t>Acceptance only</t>
        </is>
      </c>
      <c r="D26" s="47">
        <f>COUNTIFS(Register!$P$5:$P$682,0)</f>
        <v/>
      </c>
    </row>
    <row r="27">
      <c r="B27" s="26" t="inlineStr">
        <is>
          <t>S</t>
        </is>
      </c>
      <c r="C27" s="14" t="inlineStr">
        <is>
          <t>1 to 3</t>
        </is>
      </c>
      <c r="D27" s="48">
        <f>COUNTIFS(Register!$P$5:$P$682,"&gt;=1",Register!$P$5:$P$682,"&lt;=3")</f>
        <v/>
      </c>
    </row>
    <row r="28">
      <c r="B28" s="25" t="inlineStr">
        <is>
          <t>M</t>
        </is>
      </c>
      <c r="C28" s="12" t="inlineStr">
        <is>
          <t>4 to 10</t>
        </is>
      </c>
      <c r="D28" s="47">
        <f>COUNTIFS(Register!$P$5:$P$682,"&gt;=4",Register!$P$5:$P$682,"&lt;=10")</f>
        <v/>
      </c>
    </row>
    <row r="29">
      <c r="B29" s="26" t="inlineStr">
        <is>
          <t>L</t>
        </is>
      </c>
      <c r="C29" s="14" t="inlineStr">
        <is>
          <t>11 to 25</t>
        </is>
      </c>
      <c r="D29" s="48">
        <f>COUNTIFS(Register!$P$5:$P$682,"&gt;=11",Register!$P$5:$P$682,"&lt;=25")</f>
        <v/>
      </c>
    </row>
    <row r="30">
      <c r="B30" s="25" t="inlineStr">
        <is>
          <t>XL</t>
        </is>
      </c>
      <c r="C30" s="12" t="inlineStr">
        <is>
          <t>more than 25</t>
        </is>
      </c>
      <c r="D30" s="47">
        <f>COUNTIFS(Register!$P$5:$P$682,"&gt;=26",Register!$P$5:$P$682,"&lt;=9999")</f>
        <v/>
      </c>
    </row>
    <row r="32">
      <c r="A32" s="9" t="inlineStr">
        <is>
          <t>Man-days by activity (all CRs)</t>
        </is>
      </c>
    </row>
    <row r="33">
      <c r="B33" s="24" t="inlineStr">
        <is>
          <t>Activity</t>
        </is>
      </c>
      <c r="C33" s="24" t="inlineStr">
        <is>
          <t>Meaning</t>
        </is>
      </c>
      <c r="D33" s="24" t="inlineStr">
        <is>
          <t>Man-days</t>
        </is>
      </c>
    </row>
    <row r="34">
      <c r="B34" s="25" t="inlineStr">
        <is>
          <t>Analysis</t>
        </is>
      </c>
      <c r="C34" s="12" t="inlineStr">
        <is>
          <t>Impact analysis, workshops, rules and layouts</t>
        </is>
      </c>
      <c r="D34" s="47">
        <f>SUM(Register!$L$5:$L$682)</f>
        <v/>
      </c>
    </row>
    <row r="35">
      <c r="B35" s="26" t="inlineStr">
        <is>
          <t>Development</t>
        </is>
      </c>
      <c r="C35" s="14" t="inlineStr">
        <is>
          <t>Development and configuration</t>
        </is>
      </c>
      <c r="D35" s="48">
        <f>SUM(Register!$M$5:$M$682)</f>
        <v/>
      </c>
    </row>
    <row r="36">
      <c r="B36" s="25" t="inlineStr">
        <is>
          <t>Test</t>
        </is>
      </c>
      <c r="C36" s="12" t="inlineStr">
        <is>
          <t>SIT cases written and run, regression</t>
        </is>
      </c>
      <c r="D36" s="47">
        <f>SUM(Register!$N$5:$N$682)</f>
        <v/>
      </c>
    </row>
    <row r="37">
      <c r="B37" s="26" t="inlineStr">
        <is>
          <t>Documentation</t>
        </is>
      </c>
      <c r="C37" s="14" t="inlineStr">
        <is>
          <t>FRS, test plan, guides</t>
        </is>
      </c>
      <c r="D37" s="48">
        <f>SUM(Register!$O$5:$O$682)</f>
        <v/>
      </c>
    </row>
    <row r="38">
      <c r="B38" s="25" t="inlineStr">
        <is>
          <t>Total</t>
        </is>
      </c>
      <c r="C38" s="12" t="inlineStr"/>
      <c r="D38" s="47">
        <f>SUM(Register!$P$5:$P$682)</f>
        <v/>
      </c>
    </row>
  </sheetData>
  <mergeCells count="16">
    <mergeCell ref="B10:D10"/>
    <mergeCell ref="B11:D11"/>
    <mergeCell ref="C20:D20"/>
    <mergeCell ref="B5:D5"/>
    <mergeCell ref="C21:D21"/>
    <mergeCell ref="C16:D16"/>
    <mergeCell ref="B8:D8"/>
    <mergeCell ref="C19:D19"/>
    <mergeCell ref="B9:D9"/>
    <mergeCell ref="B13:D13"/>
    <mergeCell ref="C22:D22"/>
    <mergeCell ref="C18:D18"/>
    <mergeCell ref="B12:D12"/>
    <mergeCell ref="B7:D7"/>
    <mergeCell ref="C17:D17"/>
    <mergeCell ref="B6:D6"/>
  </mergeCells>
  <printOptions horizontalCentered="1"/>
  <pageMargins left="0.4" right="0.4" top="0.6" bottom="0.6" header="0.5" footer="0.5"/>
  <pageSetup orientation="portrait" paperSize="9" fitToHeight="0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34" customWidth="1" min="3" max="3"/>
    <col width="30" customWidth="1" min="4" max="4"/>
    <col width="18" customWidth="1" min="5" max="5"/>
  </cols>
  <sheetData>
    <row r="1" ht="24" customHeight="1">
      <c r="A1" s="19" t="inlineStr">
        <is>
          <t>Change control</t>
        </is>
      </c>
    </row>
    <row r="2">
      <c r="A2" s="18" t="inlineStr">
        <is>
          <t>Change-control process for deviations and new change requests, with the roles and the proposed Change Control Board (CCB).</t>
        </is>
      </c>
    </row>
    <row r="4">
      <c r="A4" s="9" t="inlineStr">
        <is>
          <t>Process: request, impact analysis, CCB, approval, schedule, implement, verify, close</t>
        </is>
      </c>
    </row>
    <row r="5">
      <c r="A5" s="24" t="inlineStr">
        <is>
          <t>Step</t>
        </is>
      </c>
      <c r="B5" s="24" t="inlineStr">
        <is>
          <t>What happens</t>
        </is>
      </c>
      <c r="C5" s="24" t="inlineStr">
        <is>
          <t>Who</t>
        </is>
      </c>
      <c r="D5" s="24" t="inlineStr">
        <is>
          <t>Output</t>
        </is>
      </c>
      <c r="E5" s="24" t="inlineStr">
        <is>
          <t>Time</t>
        </is>
      </c>
    </row>
    <row r="6">
      <c r="A6" s="25" t="inlineStr">
        <is>
          <t>1. Request</t>
        </is>
      </c>
      <c r="B6" s="12" t="inlineStr">
        <is>
          <t>Anyone in BDOI or the project team raises a change request on the CR form, or the project team raises a CR from a recorded deviation (FRS clarifications, register, alignment pack).</t>
        </is>
      </c>
      <c r="C6" s="12" t="inlineStr">
        <is>
          <t>Requester; Project Manager (iorta TechNXT) logs it</t>
        </is>
      </c>
      <c r="D6" s="12" t="inlineStr">
        <is>
          <t>CR row in this register, status Draft</t>
        </is>
      </c>
      <c r="E6" s="12" t="inlineStr">
        <is>
          <t>Same day</t>
        </is>
      </c>
    </row>
    <row r="7">
      <c r="A7" s="26" t="inlineStr">
        <is>
          <t>2. Impact analysis</t>
        </is>
      </c>
      <c r="B7" s="14" t="inlineStr">
        <is>
          <t>The business analyst and solution architect assess scope, BRD and FRS references, affected modules, data, interfaces, tests, documents and drop; estimate effort in man-days (Analysis, Development, Test, Documentation).</t>
        </is>
      </c>
      <c r="C7" s="14" t="inlineStr">
        <is>
          <t>Business analyst, Solution architect; BDOI owner of the BRD for business impact</t>
        </is>
      </c>
      <c r="D7" s="14" t="inlineStr">
        <is>
          <t>Impact analysis on the CR form; status For CCB review</t>
        </is>
      </c>
      <c r="E7" s="14" t="inlineStr">
        <is>
          <t>5 working days (10 for L / XL)</t>
        </is>
      </c>
    </row>
    <row r="8">
      <c r="A8" s="25" t="inlineStr">
        <is>
          <t>3. CCB review</t>
        </is>
      </c>
      <c r="B8" s="12" t="inlineStr">
        <is>
          <t>The Change Control Board reviews the CR at its fortnightly meeting (or ad hoc for High priority items): accept, reject, defer, or ask for more analysis.</t>
        </is>
      </c>
      <c r="C8" s="12" t="inlineStr">
        <is>
          <t>Change Control Board</t>
        </is>
      </c>
      <c r="D8" s="12" t="inlineStr">
        <is>
          <t>Minutes with the decision per CR</t>
        </is>
      </c>
      <c r="E8" s="12" t="inlineStr">
        <is>
          <t>Fortnightly</t>
        </is>
      </c>
    </row>
    <row r="9">
      <c r="A9" s="26" t="inlineStr">
        <is>
          <t>4. Approval</t>
        </is>
      </c>
      <c r="B9" s="14" t="inlineStr">
        <is>
          <t>Approved CRs are signed on the CR form by the BDOI decision owner and the BIBS Product Owner. A CR above 25 man-days, or one that moves a drop date, also needs the Program Manager.</t>
        </is>
      </c>
      <c r="C9" s="14" t="inlineStr">
        <is>
          <t>Decision owner; BIBS Product Owner; Program Manager (L / XL, date change)</t>
        </is>
      </c>
      <c r="D9" s="14" t="inlineStr">
        <is>
          <t>Status Approved or Rejected; signed CR form</t>
        </is>
      </c>
      <c r="E9" s="14" t="inlineStr">
        <is>
          <t>Within 5 working days of the CCB</t>
        </is>
      </c>
    </row>
    <row r="10">
      <c r="A10" s="25" t="inlineStr">
        <is>
          <t>5. Schedule</t>
        </is>
      </c>
      <c r="B10" s="12" t="inlineStr">
        <is>
          <t>The Project Manager places the CR in a drop or release and updates the plan, the FRS change list and the test plan scope.</t>
        </is>
      </c>
      <c r="C10" s="12" t="inlineStr">
        <is>
          <t>Project Manager (iorta TechNXT); BDOI Program Manager</t>
        </is>
      </c>
      <c r="D10" s="12" t="inlineStr">
        <is>
          <t>Target drop / release set; plan updated</t>
        </is>
      </c>
      <c r="E10" s="12" t="inlineStr">
        <is>
          <t>Next planning cycle</t>
        </is>
      </c>
    </row>
    <row r="11">
      <c r="A11" s="26" t="inlineStr">
        <is>
          <t>6. Implement</t>
        </is>
      </c>
      <c r="B11" s="14" t="inlineStr">
        <is>
          <t>The team delivers and documents the change: configuration, FRS revision, test cases, user and configuration guides.</t>
        </is>
      </c>
      <c r="C11" s="14" t="inlineStr">
        <is>
          <t>Delivery team</t>
        </is>
      </c>
      <c r="D11" s="14" t="inlineStr">
        <is>
          <t>Delivered change, FRS revision, test cases</t>
        </is>
      </c>
      <c r="E11" s="14" t="inlineStr">
        <is>
          <t>As scheduled</t>
        </is>
      </c>
    </row>
    <row r="12">
      <c r="A12" s="25" t="inlineStr">
        <is>
          <t>7. Verify</t>
        </is>
      </c>
      <c r="B12" s="12" t="inlineStr">
        <is>
          <t>QA runs the SIT cases and regression; the BDOI owner checks the behaviour in SIT or UAT against the CR.</t>
        </is>
      </c>
      <c r="C12" s="12" t="inlineStr">
        <is>
          <t>QA engineer; BDOI owner of the BRD</t>
        </is>
      </c>
      <c r="D12" s="12" t="inlineStr">
        <is>
          <t>Test evidence; acceptance by the owner</t>
        </is>
      </c>
      <c r="E12" s="12" t="inlineStr">
        <is>
          <t>Within the drop SIT / UAT window</t>
        </is>
      </c>
    </row>
    <row r="13">
      <c r="A13" s="26" t="inlineStr">
        <is>
          <t>8. Close</t>
        </is>
      </c>
      <c r="B13" s="14" t="inlineStr">
        <is>
          <t>The Project Manager records the result, the FRS version that carries it and the closing date; the CR is reported in the release notes.</t>
        </is>
      </c>
      <c r="C13" s="14" t="inlineStr">
        <is>
          <t>Project Manager; BIBS Product Owner</t>
        </is>
      </c>
      <c r="D13" s="14" t="inlineStr">
        <is>
          <t>Status Implemented; release note entry</t>
        </is>
      </c>
      <c r="E13" s="14" t="inlineStr">
        <is>
          <t>At release</t>
        </is>
      </c>
    </row>
    <row r="15">
      <c r="A15" s="9" t="inlineStr">
        <is>
          <t>Change Control Board (proposed membership)</t>
        </is>
      </c>
    </row>
    <row r="16">
      <c r="B16" s="24" t="inlineStr">
        <is>
          <t>Member</t>
        </is>
      </c>
      <c r="C16" s="24" t="inlineStr">
        <is>
          <t>Organisation</t>
        </is>
      </c>
      <c r="D16" s="24" t="inlineStr">
        <is>
          <t>Role on the board</t>
        </is>
      </c>
      <c r="E16" s="28" t="n"/>
    </row>
    <row r="17">
      <c r="B17" s="25" t="inlineStr">
        <is>
          <t>BIBS Product Owner</t>
        </is>
      </c>
      <c r="C17" s="12" t="inlineStr">
        <is>
          <t>BDOI</t>
        </is>
      </c>
      <c r="D17" s="12" t="inlineStr">
        <is>
          <t>Chair; casting vote on scope and priority</t>
        </is>
      </c>
      <c r="E17" s="28" t="n"/>
    </row>
    <row r="18">
      <c r="B18" s="26" t="inlineStr">
        <is>
          <t>Program Manager, Business Project Services</t>
        </is>
      </c>
      <c r="C18" s="14" t="inlineStr">
        <is>
          <t>BDO Unibank ESG</t>
        </is>
      </c>
      <c r="D18" s="14" t="inlineStr">
        <is>
          <t>Plan, drops and budget; approves L / XL items and date changes</t>
        </is>
      </c>
      <c r="E18" s="28" t="n"/>
    </row>
    <row r="19">
      <c r="B19" s="25" t="inlineStr">
        <is>
          <t>Owner of the BRD concerned (department head or product owner)</t>
        </is>
      </c>
      <c r="C19" s="12" t="inlineStr">
        <is>
          <t>BDOI</t>
        </is>
      </c>
      <c r="D19" s="12" t="inlineStr">
        <is>
          <t>Decision owner of the CR; attends for the CRs of the BRD</t>
        </is>
      </c>
      <c r="E19" s="28" t="n"/>
    </row>
    <row r="20">
      <c r="B20" s="26" t="inlineStr">
        <is>
          <t>Head, Comptrollership</t>
        </is>
      </c>
      <c r="C20" s="14" t="inlineStr">
        <is>
          <t>BDOI</t>
        </is>
      </c>
      <c r="D20" s="14" t="inlineStr">
        <is>
          <t>Member for any CR that touches posting, GL, tax or BIR reports</t>
        </is>
      </c>
      <c r="E20" s="28" t="n"/>
    </row>
    <row r="21">
      <c r="B21" s="25" t="inlineStr">
        <is>
          <t>Chief Compliance Officer (or delegate)</t>
        </is>
      </c>
      <c r="C21" s="12" t="inlineStr">
        <is>
          <t>BDOI</t>
        </is>
      </c>
      <c r="D21" s="12" t="inlineStr">
        <is>
          <t>Member for any CR that touches screening, KYC, access control or retention</t>
        </is>
      </c>
      <c r="E21" s="28" t="n"/>
    </row>
    <row r="22">
      <c r="B22" s="26" t="inlineStr">
        <is>
          <t>BDOI IT (integration owner)</t>
        </is>
      </c>
      <c r="C22" s="14" t="inlineStr">
        <is>
          <t>BDOI</t>
        </is>
      </c>
      <c r="D22" s="14" t="inlineStr">
        <is>
          <t>Member for interfaces and infrastructure items</t>
        </is>
      </c>
      <c r="E22" s="28" t="n"/>
    </row>
    <row r="23">
      <c r="B23" s="25" t="inlineStr">
        <is>
          <t>Project Manager</t>
        </is>
      </c>
      <c r="C23" s="12" t="inlineStr">
        <is>
          <t>iorta TechNXT</t>
        </is>
      </c>
      <c r="D23" s="12" t="inlineStr">
        <is>
          <t>Secretary: agenda, register, minutes, schedule</t>
        </is>
      </c>
      <c r="E23" s="28" t="n"/>
    </row>
    <row r="24">
      <c r="B24" s="26" t="inlineStr">
        <is>
          <t>Solution Architect</t>
        </is>
      </c>
      <c r="C24" s="14" t="inlineStr">
        <is>
          <t>iorta TechNXT</t>
        </is>
      </c>
      <c r="D24" s="14" t="inlineStr">
        <is>
          <t>Presents impact analysis and effort</t>
        </is>
      </c>
      <c r="E24" s="28" t="n"/>
    </row>
    <row r="25">
      <c r="B25" s="25" t="inlineStr">
        <is>
          <t>Business Analyst lead</t>
        </is>
      </c>
      <c r="C25" s="12" t="inlineStr">
        <is>
          <t>iorta TechNXT</t>
        </is>
      </c>
      <c r="D25" s="12" t="inlineStr">
        <is>
          <t>Presents BRD / FRS references and test impact</t>
        </is>
      </c>
      <c r="E25" s="28" t="n"/>
    </row>
    <row r="27">
      <c r="A27" s="9" t="inlineStr">
        <is>
          <t>Rules of the board</t>
        </is>
      </c>
    </row>
    <row r="28">
      <c r="A28" s="49" t="inlineStr">
        <is>
          <t>•</t>
        </is>
      </c>
      <c r="B28" s="31" t="inlineStr">
        <is>
          <t>Quorum: the chair (or a named delegate), the Program Manager and the decision owner of each CR on the agenda.</t>
        </is>
      </c>
    </row>
    <row r="29">
      <c r="A29" s="49" t="inlineStr">
        <is>
          <t>•</t>
        </is>
      </c>
      <c r="B29" s="31" t="inlineStr">
        <is>
          <t>The CCB meets every two weeks from October 2026 to go-live, and ad hoc for High priority items that block a drop.</t>
        </is>
      </c>
    </row>
    <row r="30">
      <c r="A30" s="49" t="inlineStr">
        <is>
          <t>•</t>
        </is>
      </c>
      <c r="B30" s="31" t="inlineStr">
        <is>
          <t>A CR above 25 man-days, or one that moves a drop or the go-live date, needs the Program Manager's approval.</t>
        </is>
      </c>
    </row>
    <row r="31">
      <c r="A31" s="49" t="inlineStr">
        <is>
          <t>•</t>
        </is>
      </c>
      <c r="B31" s="31" t="inlineStr">
        <is>
          <t>Approved CRs reach the FRS only through an FRS revision that cites the CR ID; the FRS baseline is not changed by this register.</t>
        </is>
      </c>
    </row>
    <row r="32">
      <c r="A32" s="49" t="inlineStr">
        <is>
          <t>•</t>
        </is>
      </c>
      <c r="B32" s="31" t="inlineStr">
        <is>
          <t>Rejected CRs keep their row with the reason; the BRD text stands.</t>
        </is>
      </c>
    </row>
  </sheetData>
  <mergeCells count="15">
    <mergeCell ref="D25:E25"/>
    <mergeCell ref="D20:E20"/>
    <mergeCell ref="B31:E31"/>
    <mergeCell ref="D16:E16"/>
    <mergeCell ref="D24:E24"/>
    <mergeCell ref="D19:E19"/>
    <mergeCell ref="B28:E28"/>
    <mergeCell ref="D23:E23"/>
    <mergeCell ref="B30:E30"/>
    <mergeCell ref="B29:E29"/>
    <mergeCell ref="B32:E32"/>
    <mergeCell ref="D22:E22"/>
    <mergeCell ref="D18:E18"/>
    <mergeCell ref="D17:E17"/>
    <mergeCell ref="D21:E21"/>
  </mergeCells>
  <printOptions horizontalCentered="1"/>
  <pageMargins left="0.4" right="0.4" top="0.6" bottom="0.6" header="0.5" footer="0.5"/>
  <pageSetup orientation="landscape" paperSize="9" fitToHeight="0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6" customWidth="1" min="3" max="3"/>
  </cols>
  <sheetData>
    <row r="1" ht="24" customHeight="1">
      <c r="A1" s="19" t="inlineStr">
        <is>
          <t>CR form</t>
        </is>
      </c>
    </row>
    <row r="2">
      <c r="A2" s="18" t="inlineStr">
        <is>
          <t>Change request form: one per CR; the Project Manager files the signed form with the register.</t>
        </is>
      </c>
    </row>
    <row r="4">
      <c r="A4" s="50" t="inlineStr">
        <is>
          <t>Request</t>
        </is>
      </c>
    </row>
    <row r="5" ht="24" customHeight="1">
      <c r="A5" s="51" t="inlineStr">
        <is>
          <t>CR ID</t>
        </is>
      </c>
      <c r="B5" s="52" t="inlineStr">
        <is>
          <t>CR-nnnn, given by the Project Manager when the CR is logged</t>
        </is>
      </c>
      <c r="C5" s="28" t="n"/>
    </row>
    <row r="6" ht="24" customHeight="1">
      <c r="A6" s="51" t="inlineStr">
        <is>
          <t>Title</t>
        </is>
      </c>
      <c r="B6" s="52" t="inlineStr">
        <is>
          <t>Short name of the change</t>
        </is>
      </c>
      <c r="C6" s="28" t="n"/>
    </row>
    <row r="7" ht="24" customHeight="1">
      <c r="A7" s="51" t="inlineStr">
        <is>
          <t>Requested by / date</t>
        </is>
      </c>
      <c r="B7" s="52" t="inlineStr">
        <is>
          <t>Name, department, date</t>
        </is>
      </c>
      <c r="C7" s="28" t="n"/>
    </row>
    <row r="8" ht="24" customHeight="1">
      <c r="A8" s="51" t="inlineStr">
        <is>
          <t>BRD and requirement ID(s), page</t>
        </is>
      </c>
      <c r="B8" s="52" t="inlineStr">
        <is>
          <t>For example BRNB.071 (p.116)</t>
        </is>
      </c>
      <c r="C8" s="28" t="n"/>
    </row>
    <row r="9" ht="24" customHeight="1">
      <c r="A9" s="51" t="inlineStr">
        <is>
          <t>FRS FR ID(s)</t>
        </is>
      </c>
      <c r="B9" s="52" t="inlineStr">
        <is>
          <t>For example FR-NB-081</t>
        </is>
      </c>
      <c r="C9" s="28" t="n"/>
    </row>
    <row r="10" ht="24" customHeight="1">
      <c r="A10" s="51" t="inlineStr">
        <is>
          <t>Drop</t>
        </is>
      </c>
      <c r="B10" s="52" t="inlineStr">
        <is>
          <t>Drop 0 / Drop 1 / Drop 2 / Programme / Phase 2</t>
        </is>
      </c>
      <c r="C10" s="28" t="n"/>
    </row>
    <row r="11" ht="24" customHeight="1">
      <c r="A11" s="51" t="inlineStr">
        <is>
          <t>Deviation type</t>
        </is>
      </c>
      <c r="B11" s="52" t="inlineStr">
        <is>
          <t>One of the nine types (How to read)</t>
        </is>
      </c>
      <c r="C11" s="28" t="n"/>
    </row>
    <row r="12" ht="48" customHeight="1">
      <c r="A12" s="51" t="inlineStr">
        <is>
          <t>What the BRD asks</t>
        </is>
      </c>
      <c r="B12" s="52" t="inlineStr">
        <is>
          <t>Quote or summarise the BRD text</t>
        </is>
      </c>
      <c r="C12" s="28" t="n"/>
    </row>
    <row r="13" ht="48" customHeight="1">
      <c r="A13" s="51" t="inlineStr">
        <is>
          <t>Change requested or proposed behaviour</t>
        </is>
      </c>
      <c r="B13" s="52" t="inlineStr">
        <is>
          <t>What BIBS does or should do instead</t>
        </is>
      </c>
      <c r="C13" s="28" t="n"/>
    </row>
    <row r="14" ht="48" customHeight="1">
      <c r="A14" s="51" t="inlineStr">
        <is>
          <t>Reason</t>
        </is>
      </c>
      <c r="B14" s="52" t="inlineStr">
        <is>
          <t>BDOI decision, question reference or technical constraint</t>
        </is>
      </c>
      <c r="C14" s="28" t="n"/>
    </row>
    <row r="16">
      <c r="A16" s="50" t="inlineStr">
        <is>
          <t>Impact analysis</t>
        </is>
      </c>
    </row>
    <row r="17" ht="48" customHeight="1">
      <c r="A17" s="51" t="inlineStr">
        <is>
          <t>Business impact</t>
        </is>
      </c>
      <c r="B17" s="52" t="inlineStr">
        <is>
          <t>Effect on the process, money, control and customers</t>
        </is>
      </c>
      <c r="C17" s="28" t="n"/>
    </row>
    <row r="18" ht="24" customHeight="1">
      <c r="A18" s="51" t="inlineStr">
        <is>
          <t>Affected departments and modules</t>
        </is>
      </c>
      <c r="B18" s="52" t="inlineStr">
        <is>
          <t>BDOI departments; BIBS modules and screens</t>
        </is>
      </c>
      <c r="C18" s="28" t="n"/>
    </row>
    <row r="19" ht="24" customHeight="1">
      <c r="A19" s="51" t="inlineStr">
        <is>
          <t>Interfaces and data</t>
        </is>
      </c>
      <c r="B19" s="52" t="inlineStr">
        <is>
          <t>Systems, files, migration objects affected</t>
        </is>
      </c>
      <c r="C19" s="28" t="n"/>
    </row>
    <row r="20" ht="24" customHeight="1">
      <c r="A20" s="51" t="inlineStr">
        <is>
          <t>Documents affected</t>
        </is>
      </c>
      <c r="B20" s="52" t="inlineStr">
        <is>
          <t>FRS, design, test plan, guides, register</t>
        </is>
      </c>
      <c r="C20" s="28" t="n"/>
    </row>
    <row r="21" ht="24" customHeight="1">
      <c r="A21" s="51" t="inlineStr">
        <is>
          <t>Effort (man-days)</t>
        </is>
      </c>
      <c r="B21" s="52" t="inlineStr">
        <is>
          <t>Analysis / Development / Test / Documentation / Total; size S, M, L, XL</t>
        </is>
      </c>
      <c r="C21" s="28" t="n"/>
    </row>
    <row r="22" ht="24" customHeight="1">
      <c r="A22" s="51" t="inlineStr">
        <is>
          <t>Effect on the plan</t>
        </is>
      </c>
      <c r="B22" s="52" t="inlineStr">
        <is>
          <t>Drop, release, dependency on other CRs</t>
        </is>
      </c>
      <c r="C22" s="28" t="n"/>
    </row>
    <row r="23" ht="24" customHeight="1">
      <c r="A23" s="51" t="inlineStr">
        <is>
          <t>Priority</t>
        </is>
      </c>
      <c r="B23" s="52" t="inlineStr">
        <is>
          <t>High / Medium / Low</t>
        </is>
      </c>
      <c r="C23" s="28" t="n"/>
    </row>
    <row r="25">
      <c r="A25" s="50" t="inlineStr">
        <is>
          <t>Decision</t>
        </is>
      </c>
    </row>
    <row r="26" ht="24" customHeight="1">
      <c r="A26" s="51" t="inlineStr">
        <is>
          <t>CCB decision and date</t>
        </is>
      </c>
      <c r="B26" s="52" t="inlineStr">
        <is>
          <t>Approved / Rejected / Deferred, with the meeting date</t>
        </is>
      </c>
      <c r="C26" s="28" t="n"/>
    </row>
    <row r="27" ht="48" customHeight="1">
      <c r="A27" s="51" t="inlineStr">
        <is>
          <t>Conditions</t>
        </is>
      </c>
      <c r="B27" s="52" t="inlineStr">
        <is>
          <t>Any condition set by the CCB</t>
        </is>
      </c>
      <c r="C27" s="28" t="n"/>
    </row>
    <row r="28" ht="24" customHeight="1">
      <c r="A28" s="51" t="inlineStr">
        <is>
          <t>Decision owner (BDOI)</t>
        </is>
      </c>
      <c r="B28" s="52" t="inlineStr">
        <is>
          <t>Name and signature</t>
        </is>
      </c>
      <c r="C28" s="28" t="n"/>
    </row>
    <row r="29" ht="24" customHeight="1">
      <c r="A29" s="51" t="inlineStr">
        <is>
          <t>BIBS Product Owner</t>
        </is>
      </c>
      <c r="B29" s="52" t="inlineStr">
        <is>
          <t>Name and signature</t>
        </is>
      </c>
      <c r="C29" s="28" t="n"/>
    </row>
    <row r="30" ht="24" customHeight="1">
      <c r="A30" s="51" t="inlineStr">
        <is>
          <t>Program Manager (L / XL or date change)</t>
        </is>
      </c>
      <c r="B30" s="52" t="inlineStr">
        <is>
          <t>Name and signature</t>
        </is>
      </c>
      <c r="C30" s="28" t="n"/>
    </row>
    <row r="32">
      <c r="A32" s="50" t="inlineStr">
        <is>
          <t>Implementation</t>
        </is>
      </c>
    </row>
    <row r="33" ht="24" customHeight="1">
      <c r="A33" s="51" t="inlineStr">
        <is>
          <t>Target drop / release</t>
        </is>
      </c>
      <c r="B33" s="52" t="inlineStr">
        <is>
          <t>Drop or release</t>
        </is>
      </c>
      <c r="C33" s="28" t="n"/>
    </row>
    <row r="34" ht="24" customHeight="1">
      <c r="A34" s="51" t="inlineStr">
        <is>
          <t>FRS version carrying the change</t>
        </is>
      </c>
      <c r="B34" s="52" t="inlineStr">
        <is>
          <t>For example FRS BRD-1 v1.2</t>
        </is>
      </c>
      <c r="C34" s="28" t="n"/>
    </row>
    <row r="35" ht="24" customHeight="1">
      <c r="A35" s="51" t="inlineStr">
        <is>
          <t>Verified by / date</t>
        </is>
      </c>
      <c r="B35" s="52" t="inlineStr">
        <is>
          <t>QA and BDOI owner</t>
        </is>
      </c>
      <c r="C35" s="28" t="n"/>
    </row>
    <row r="36" ht="24" customHeight="1">
      <c r="A36" s="51" t="inlineStr">
        <is>
          <t>Closed on</t>
        </is>
      </c>
      <c r="B36" s="52" t="inlineStr">
        <is>
          <t>Date</t>
        </is>
      </c>
      <c r="C36" s="28" t="n"/>
    </row>
  </sheetData>
  <mergeCells count="30">
    <mergeCell ref="A25:C25"/>
    <mergeCell ref="B7:C7"/>
    <mergeCell ref="B22:C22"/>
    <mergeCell ref="B18:C18"/>
    <mergeCell ref="B27:C27"/>
    <mergeCell ref="B12:C12"/>
    <mergeCell ref="B21:C21"/>
    <mergeCell ref="B11:C11"/>
    <mergeCell ref="A32:C32"/>
    <mergeCell ref="B23:C23"/>
    <mergeCell ref="B14:C14"/>
    <mergeCell ref="B17:C17"/>
    <mergeCell ref="A4:C4"/>
    <mergeCell ref="B8:C8"/>
    <mergeCell ref="B13:C13"/>
    <mergeCell ref="B29:C29"/>
    <mergeCell ref="B19:C19"/>
    <mergeCell ref="B34:C34"/>
    <mergeCell ref="B10:C10"/>
    <mergeCell ref="B28:C28"/>
    <mergeCell ref="B9:C9"/>
    <mergeCell ref="B6:C6"/>
    <mergeCell ref="B30:C30"/>
    <mergeCell ref="B33:C33"/>
    <mergeCell ref="B5:C5"/>
    <mergeCell ref="B20:C20"/>
    <mergeCell ref="B36:C36"/>
    <mergeCell ref="B26:C26"/>
    <mergeCell ref="B35:C35"/>
    <mergeCell ref="A16:C16"/>
  </mergeCells>
  <printOptions horizontalCentered="1"/>
  <pageMargins left="0.4" right="0.4" top="0.6" bottom="0.6" header="0.5" footer="0.5"/>
  <pageSetup orientation="portrait" paperSize="9" fitToHeight="1" fitToWidth="1"/>
  <headerFooter>
    <oddHeader>&amp;L&amp;8 &amp;K004EA8Change Management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 0</t>
        </is>
      </c>
      <c r="B1" t="inlineStr">
        <is>
          <t>BRD-00</t>
        </is>
      </c>
      <c r="C1" t="inlineStr">
        <is>
          <t>Scope addition — beyond BRD</t>
        </is>
      </c>
      <c r="D1" t="inlineStr">
        <is>
          <t>High</t>
        </is>
      </c>
      <c r="E1" t="inlineStr">
        <is>
          <t>Draft</t>
        </is>
      </c>
      <c r="F1" t="inlineStr">
        <is>
          <t>FRS sign-off (Nov 2026)</t>
        </is>
      </c>
    </row>
    <row r="2">
      <c r="A2" t="inlineStr">
        <is>
          <t>Drop 1</t>
        </is>
      </c>
      <c r="B2" t="inlineStr">
        <is>
          <t>BRD-01</t>
        </is>
      </c>
      <c r="C2" t="inlineStr">
        <is>
          <t>Scope reduction / descoped</t>
        </is>
      </c>
      <c r="D2" t="inlineStr">
        <is>
          <t>Medium</t>
        </is>
      </c>
      <c r="E2" t="inlineStr">
        <is>
          <t>For CCB review</t>
        </is>
      </c>
      <c r="F2" t="inlineStr">
        <is>
          <t>Drop 1, first release (Nov - Dec 2026)</t>
        </is>
      </c>
    </row>
    <row r="3">
      <c r="A3" t="inlineStr">
        <is>
          <t>Drop 2</t>
        </is>
      </c>
      <c r="B3" t="inlineStr">
        <is>
          <t>BRD-02</t>
        </is>
      </c>
      <c r="C3" t="inlineStr">
        <is>
          <t>Behaviour differs from BRD</t>
        </is>
      </c>
      <c r="D3" t="inlineStr">
        <is>
          <t>Low</t>
        </is>
      </c>
      <c r="E3" t="inlineStr">
        <is>
          <t>Approved</t>
        </is>
      </c>
      <c r="F3" t="inlineStr">
        <is>
          <t>Drop 1, second release (Jan - Feb 2027)</t>
        </is>
      </c>
    </row>
    <row r="4">
      <c r="A4" t="inlineStr">
        <is>
          <t>Programme</t>
        </is>
      </c>
      <c r="B4" t="inlineStr">
        <is>
          <t>BRD-03</t>
        </is>
      </c>
      <c r="C4" t="inlineStr">
        <is>
          <t>Deferred pending BDOI answer</t>
        </is>
      </c>
      <c r="E4" t="inlineStr">
        <is>
          <t>Rejected</t>
        </is>
      </c>
      <c r="F4" t="inlineStr">
        <is>
          <t>Migration functions (Nov 2026 - Mar 2027)</t>
        </is>
      </c>
    </row>
    <row r="5">
      <c r="A5" t="inlineStr">
        <is>
          <t>Phase 2</t>
        </is>
      </c>
      <c r="B5" t="inlineStr">
        <is>
          <t>BRD-04</t>
        </is>
      </c>
      <c r="C5" t="inlineStr">
        <is>
          <t>Deferred to Phase 2</t>
        </is>
      </c>
      <c r="E5" t="inlineStr">
        <is>
          <t>For acceptance</t>
        </is>
      </c>
      <c r="F5" t="inlineStr">
        <is>
          <t>Infrastructure before SIT (by Jan 2027)</t>
        </is>
      </c>
    </row>
    <row r="6">
      <c r="B6" t="inlineStr">
        <is>
          <t>BRD-05</t>
        </is>
      </c>
      <c r="C6" t="inlineStr">
        <is>
          <t>BRD conflict resolved by decision</t>
        </is>
      </c>
      <c r="F6" t="inlineStr">
        <is>
          <t>Drop 2 (Mar - Apr 2027)</t>
        </is>
      </c>
    </row>
    <row r="7">
      <c r="B7" t="inlineStr">
        <is>
          <t>BRD-06</t>
        </is>
      </c>
      <c r="C7" t="inlineStr">
        <is>
          <t>Integration dependency</t>
        </is>
      </c>
      <c r="F7" t="inlineStr">
        <is>
          <t>Before go-live (Oct - Dec 2027)</t>
        </is>
      </c>
    </row>
    <row r="8">
      <c r="B8" t="inlineStr">
        <is>
          <t>BRD-07</t>
        </is>
      </c>
      <c r="C8" t="inlineStr">
        <is>
          <t>NFR / infrastructure change</t>
        </is>
      </c>
      <c r="F8" t="inlineStr">
        <is>
          <t>Phase 2</t>
        </is>
      </c>
    </row>
    <row r="9">
      <c r="B9" t="inlineStr">
        <is>
          <t>BRD-08</t>
        </is>
      </c>
      <c r="C9" t="inlineStr">
        <is>
          <t>Data migration</t>
        </is>
      </c>
      <c r="F9" t="inlineStr">
        <is>
          <t>After BDOI answer (slot set by the CCB)</t>
        </is>
      </c>
    </row>
    <row r="10">
      <c r="B10" t="inlineStr">
        <is>
          <t>BRD-09</t>
        </is>
      </c>
    </row>
    <row r="11">
      <c r="B11" t="inlineStr">
        <is>
          <t>BRD-10</t>
        </is>
      </c>
    </row>
    <row r="12">
      <c r="B12" t="inlineStr">
        <is>
          <t>BRD-11</t>
        </is>
      </c>
    </row>
    <row r="13">
      <c r="B13" t="inlineStr">
        <is>
          <t>BRD-12</t>
        </is>
      </c>
    </row>
    <row r="14">
      <c r="B14" t="inlineStr">
        <is>
          <t>BRD-13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Change Register BRD-00 Change Management v1.0</dc:title>
  <dc:subject>BDO Insure Brokering System (BIBS)</dc:subject>
  <dc:creator>iorta TechNXT</dc:creator>
  <cp:lastModifiedBy>iorta TechNXT</cp:lastModifiedBy>
  <dcterms:created xsi:type="dcterms:W3CDTF">2026-09-27T17:31:36Z</dcterms:created>
  <dcterms:modified xsi:type="dcterms:W3CDTF">2026-09-27T17:31:36Z</dcterms:modified>
</cp:coreProperties>
</file>