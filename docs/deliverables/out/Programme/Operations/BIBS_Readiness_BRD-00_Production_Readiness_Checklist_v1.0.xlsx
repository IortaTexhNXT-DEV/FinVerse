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_lists" sheetId="6" state="hidden" r:id="rId6"/>
  </sheets>
  <definedNames>
    <definedName name="_xlnm._FilterDatabase" localSheetId="1" hidden="1">'README'!$A$4:$D$29</definedName>
    <definedName name="_xlnm.Print_Titles" localSheetId="1">'README'!$4:$4</definedName>
    <definedName name="_xlnm._FilterDatabase" localSheetId="2" hidden="1">'Checklist'!$A$4:$L$77</definedName>
    <definedName name="_xlnm.Print_Titles" localSheetId="2">'Checklist'!$4:$4</definedName>
    <definedName name="_xlnm._FilterDatabase" localSheetId="3" hidden="1">'Summary'!$A$4:$H$12</definedName>
    <definedName name="_xlnm.Print_Titles" localSheetId="3">'Summary'!$4:$4</definedName>
    <definedName name="_xlnm._FilterDatabase" localSheetId="4" hidden="1">'Gates'!$A$4:$E$9</definedName>
    <definedName name="_xlnm.Print_Titles" localSheetId="4">'Gates'!$4:$4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9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8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7" borderId="2" applyAlignment="1" pivotButton="0" quotePrefix="0" xfId="0">
      <alignment horizontal="center"/>
    </xf>
    <xf numFmtId="0" fontId="18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Checklist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Gates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READINESS CHECKLIST</t>
        </is>
      </c>
    </row>
    <row r="7" ht="32" customHeight="1">
      <c r="B7" s="3" t="inlineStr">
        <is>
          <t>Production Readiness Checklist</t>
        </is>
      </c>
    </row>
    <row r="8">
      <c r="B8" s="4" t="inlineStr">
        <is>
          <t>Operational, security, performance, data, support, compliance and business readiness of BIBS for the January 2028 go-live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Checklist</t>
        </is>
      </c>
      <c r="C21" s="14" t="inlineStr">
        <is>
          <t>Production readiness criteria of BIBS with owner, evidence, gate and status</t>
        </is>
      </c>
      <c r="D21" s="14" t="n">
        <v>73</v>
      </c>
    </row>
    <row r="22">
      <c r="B22" s="11" t="inlineStr">
        <is>
          <t>Summary</t>
        </is>
      </c>
      <c r="C22" s="12" t="inlineStr">
        <is>
          <t>Counts by area and status, recalculated from the Checklist</t>
        </is>
      </c>
      <c r="D22" s="12" t="n">
        <v>8</v>
      </c>
    </row>
    <row r="23">
      <c r="B23" s="13" t="inlineStr">
        <is>
          <t>Gates</t>
        </is>
      </c>
      <c r="C23" s="14" t="inlineStr">
        <is>
          <t>Readiness reviews and go / no-go gates</t>
        </is>
      </c>
      <c r="D23" s="14" t="n">
        <v>5</v>
      </c>
    </row>
    <row r="25">
      <c r="B25" s="9" t="inlineStr">
        <is>
          <t>Legend</t>
        </is>
      </c>
    </row>
    <row r="26">
      <c r="B26" s="15" t="inlineStr">
        <is>
          <t>OPEN</t>
        </is>
      </c>
      <c r="C26" s="16" t="inlineStr">
        <is>
          <t>Not started or not yet evidenced</t>
        </is>
      </c>
    </row>
    <row r="27">
      <c r="B27" s="15" t="inlineStr">
        <is>
          <t>IN PROGRESS</t>
        </is>
      </c>
      <c r="C27" s="16" t="inlineStr">
        <is>
          <t>Work under way, evidence partial</t>
        </is>
      </c>
    </row>
    <row r="28">
      <c r="B28" s="17" t="inlineStr">
        <is>
          <t>DONE</t>
        </is>
      </c>
      <c r="C28" s="16" t="inlineStr">
        <is>
          <t>Met; evidence filed</t>
        </is>
      </c>
    </row>
    <row r="29">
      <c r="B29" s="18" t="inlineStr">
        <is>
          <t>BLOCKED</t>
        </is>
      </c>
      <c r="C29" s="16" t="inlineStr">
        <is>
          <t>Cannot be met without a decision or a dependency</t>
        </is>
      </c>
    </row>
    <row r="30">
      <c r="B30" s="19" t="inlineStr">
        <is>
          <t>N/A</t>
        </is>
      </c>
      <c r="C30" s="16" t="inlineStr">
        <is>
          <t>Not applicable, with the reason in Remarks</t>
        </is>
      </c>
    </row>
    <row r="32">
      <c r="B32" s="20" t="inlineStr">
        <is>
          <t>One row per readiness criterion. The owner updates the status and files the evidence reference; the BIBS Service Owner reviews the sheet weekly from 1 October 2027 and before each gate.</t>
        </is>
      </c>
    </row>
    <row r="33">
      <c r="B33" s="20" t="inlineStr">
        <is>
          <t>A criterion is met only with its evidence. A criterion that is not met at its gate is either waived by the gate (recorded in Remarks with the approver) or blocks the gate.</t>
        </is>
      </c>
    </row>
    <row r="34">
      <c r="B34" s="20" t="inlineStr">
        <is>
          <t>Gates: ORR 15-Dec-2027, PRR 17-Dec-2027, GNG-1 19-Dec-2027, GNG-2 29-Dec-2027, GNG-3 2-Jan-2028 18:00.</t>
        </is>
      </c>
    </row>
    <row r="36" ht="26" customHeight="1">
      <c r="B36" s="21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&amp;K004EA8Production Readiness Checklist&amp;R&amp;8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2" t="inlineStr">
        <is>
          <t>README – columns of each sheet</t>
        </is>
      </c>
    </row>
    <row r="2">
      <c r="A2" s="21" t="inlineStr">
        <is>
          <t>Production Readiness Checklist,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Checklist</t>
        </is>
      </c>
      <c r="B5" s="23" t="inlineStr">
        <is>
          <t>ID</t>
        </is>
      </c>
      <c r="C5" s="12" t="inlineStr">
        <is>
          <t>Criterion identifier: area prefix and number</t>
        </is>
      </c>
      <c r="D5" s="12" t="inlineStr"/>
    </row>
    <row r="6">
      <c r="A6" s="14" t="inlineStr">
        <is>
          <t>Checklist</t>
        </is>
      </c>
      <c r="B6" s="24" t="inlineStr">
        <is>
          <t>Area</t>
        </is>
      </c>
      <c r="C6" s="14" t="inlineStr">
        <is>
          <t>Readiness area</t>
        </is>
      </c>
      <c r="D6" s="14" t="inlineStr">
        <is>
          <t>Operational, Security, Performance, Data, Support, Compliance, Business</t>
        </is>
      </c>
    </row>
    <row r="7">
      <c r="A7" s="12" t="inlineStr">
        <is>
          <t>Checklist</t>
        </is>
      </c>
      <c r="B7" s="23" t="inlineStr">
        <is>
          <t>Criterion</t>
        </is>
      </c>
      <c r="C7" s="12" t="inlineStr">
        <is>
          <t>What must be true before go-live</t>
        </is>
      </c>
      <c r="D7" s="12" t="inlineStr"/>
    </row>
    <row r="8">
      <c r="A8" s="14" t="inlineStr">
        <is>
          <t>Checklist</t>
        </is>
      </c>
      <c r="B8" s="24" t="inlineStr">
        <is>
          <t>Measure / threshold</t>
        </is>
      </c>
      <c r="C8" s="14" t="inlineStr">
        <is>
          <t>How the criterion is judged met</t>
        </is>
      </c>
      <c r="D8" s="14" t="inlineStr"/>
    </row>
    <row r="9">
      <c r="A9" s="12" t="inlineStr">
        <is>
          <t>Checklist</t>
        </is>
      </c>
      <c r="B9" s="23" t="inlineStr">
        <is>
          <t>Evidence required</t>
        </is>
      </c>
      <c r="C9" s="12" t="inlineStr">
        <is>
          <t>The record that proves it</t>
        </is>
      </c>
      <c r="D9" s="12" t="inlineStr"/>
    </row>
    <row r="10">
      <c r="A10" s="14" t="inlineStr">
        <is>
          <t>Checklist</t>
        </is>
      </c>
      <c r="B10" s="24" t="inlineStr">
        <is>
          <t>Owner</t>
        </is>
      </c>
      <c r="C10" s="14" t="inlineStr">
        <is>
          <t>Accountable role</t>
        </is>
      </c>
      <c r="D10" s="14" t="inlineStr"/>
    </row>
    <row r="11">
      <c r="A11" s="12" t="inlineStr">
        <is>
          <t>Checklist</t>
        </is>
      </c>
      <c r="B11" s="23" t="inlineStr">
        <is>
          <t>Due</t>
        </is>
      </c>
      <c r="C11" s="12" t="inlineStr">
        <is>
          <t>Date by which the evidence is filed</t>
        </is>
      </c>
      <c r="D11" s="12" t="inlineStr"/>
    </row>
    <row r="12">
      <c r="A12" s="14" t="inlineStr">
        <is>
          <t>Checklist</t>
        </is>
      </c>
      <c r="B12" s="24" t="inlineStr">
        <is>
          <t>Gate</t>
        </is>
      </c>
      <c r="C12" s="14" t="inlineStr">
        <is>
          <t>Review or go / no-go gate that checks it</t>
        </is>
      </c>
      <c r="D12" s="14" t="inlineStr">
        <is>
          <t>ORR, PRR, GNG-1, GNG-2, GNG-3</t>
        </is>
      </c>
    </row>
    <row r="13">
      <c r="A13" s="12" t="inlineStr">
        <is>
          <t>Checklist</t>
        </is>
      </c>
      <c r="B13" s="23" t="inlineStr">
        <is>
          <t>Status</t>
        </is>
      </c>
      <c r="C13" s="12" t="inlineStr">
        <is>
          <t>Status of the criterion</t>
        </is>
      </c>
      <c r="D13" s="12" t="inlineStr">
        <is>
          <t>OPEN, IN PROGRESS, DONE, BLOCKED, N/A</t>
        </is>
      </c>
    </row>
    <row r="14">
      <c r="A14" s="14" t="inlineStr">
        <is>
          <t>Checklist</t>
        </is>
      </c>
      <c r="B14" s="24" t="inlineStr">
        <is>
          <t>Evidence reference</t>
        </is>
      </c>
      <c r="C14" s="14" t="inlineStr">
        <is>
          <t>Document, record or link of the evidence (filled in by the owner)</t>
        </is>
      </c>
      <c r="D14" s="14" t="inlineStr"/>
    </row>
    <row r="15">
      <c r="A15" s="12" t="inlineStr">
        <is>
          <t>Checklist</t>
        </is>
      </c>
      <c r="B15" s="23" t="inlineStr">
        <is>
          <t>Date met</t>
        </is>
      </c>
      <c r="C15" s="12" t="inlineStr">
        <is>
          <t>Date the evidence was accepted (filled in by the owner)</t>
        </is>
      </c>
      <c r="D15" s="12" t="inlineStr"/>
    </row>
    <row r="16">
      <c r="A16" s="14" t="inlineStr">
        <is>
          <t>Checklist</t>
        </is>
      </c>
      <c r="B16" s="24" t="inlineStr">
        <is>
          <t>Remarks</t>
        </is>
      </c>
      <c r="C16" s="14" t="inlineStr">
        <is>
          <t>Waiver with approver, dependency or comment</t>
        </is>
      </c>
      <c r="D16" s="14" t="inlineStr"/>
    </row>
    <row r="17">
      <c r="A17" s="12" t="inlineStr">
        <is>
          <t>Summary</t>
        </is>
      </c>
      <c r="B17" s="23" t="inlineStr">
        <is>
          <t>Area</t>
        </is>
      </c>
      <c r="C17" s="12" t="inlineStr">
        <is>
          <t>Readiness area</t>
        </is>
      </c>
      <c r="D17" s="12" t="inlineStr"/>
    </row>
    <row r="18">
      <c r="A18" s="14" t="inlineStr">
        <is>
          <t>Summary</t>
        </is>
      </c>
      <c r="B18" s="24" t="inlineStr">
        <is>
          <t>Criteria</t>
        </is>
      </c>
      <c r="C18" s="14" t="inlineStr">
        <is>
          <t>Number of criteria</t>
        </is>
      </c>
      <c r="D18" s="14" t="inlineStr"/>
    </row>
    <row r="19">
      <c r="A19" s="12" t="inlineStr">
        <is>
          <t>Summary</t>
        </is>
      </c>
      <c r="B19" s="23" t="inlineStr">
        <is>
          <t>Open</t>
        </is>
      </c>
      <c r="C19" s="12" t="inlineStr">
        <is>
          <t>Criteria with status OPEN</t>
        </is>
      </c>
      <c r="D19" s="12" t="inlineStr"/>
    </row>
    <row r="20">
      <c r="A20" s="14" t="inlineStr">
        <is>
          <t>Summary</t>
        </is>
      </c>
      <c r="B20" s="24" t="inlineStr">
        <is>
          <t>In Progress</t>
        </is>
      </c>
      <c r="C20" s="14" t="inlineStr">
        <is>
          <t>Criteria with status IN PROGRESS</t>
        </is>
      </c>
      <c r="D20" s="14" t="inlineStr"/>
    </row>
    <row r="21">
      <c r="A21" s="12" t="inlineStr">
        <is>
          <t>Summary</t>
        </is>
      </c>
      <c r="B21" s="23" t="inlineStr">
        <is>
          <t>Done</t>
        </is>
      </c>
      <c r="C21" s="12" t="inlineStr">
        <is>
          <t>Criteria with status DONE</t>
        </is>
      </c>
      <c r="D21" s="12" t="inlineStr"/>
    </row>
    <row r="22">
      <c r="A22" s="14" t="inlineStr">
        <is>
          <t>Summary</t>
        </is>
      </c>
      <c r="B22" s="24" t="inlineStr">
        <is>
          <t>Blocked</t>
        </is>
      </c>
      <c r="C22" s="14" t="inlineStr">
        <is>
          <t>Criteria with status BLOCKED</t>
        </is>
      </c>
      <c r="D22" s="14" t="inlineStr"/>
    </row>
    <row r="23">
      <c r="A23" s="12" t="inlineStr">
        <is>
          <t>Summary</t>
        </is>
      </c>
      <c r="B23" s="23" t="inlineStr">
        <is>
          <t>N/A</t>
        </is>
      </c>
      <c r="C23" s="12" t="inlineStr">
        <is>
          <t>Criteria with status N/A</t>
        </is>
      </c>
      <c r="D23" s="12" t="inlineStr"/>
    </row>
    <row r="24">
      <c r="A24" s="14" t="inlineStr">
        <is>
          <t>Summary</t>
        </is>
      </c>
      <c r="B24" s="24" t="inlineStr">
        <is>
          <t>Met (%)</t>
        </is>
      </c>
      <c r="C24" s="14" t="inlineStr">
        <is>
          <t>Criteria met as a share of the applicable criteria</t>
        </is>
      </c>
      <c r="D24" s="14" t="inlineStr"/>
    </row>
    <row r="25">
      <c r="A25" s="12" t="inlineStr">
        <is>
          <t>Gates</t>
        </is>
      </c>
      <c r="B25" s="23" t="inlineStr">
        <is>
          <t>Gate</t>
        </is>
      </c>
      <c r="C25" s="12" t="inlineStr">
        <is>
          <t>Gate code</t>
        </is>
      </c>
      <c r="D25" s="12" t="inlineStr"/>
    </row>
    <row r="26">
      <c r="A26" s="14" t="inlineStr">
        <is>
          <t>Gates</t>
        </is>
      </c>
      <c r="B26" s="24" t="inlineStr">
        <is>
          <t>Name</t>
        </is>
      </c>
      <c r="C26" s="14" t="inlineStr">
        <is>
          <t>Name of the review or decision</t>
        </is>
      </c>
      <c r="D26" s="14" t="inlineStr"/>
    </row>
    <row r="27">
      <c r="A27" s="12" t="inlineStr">
        <is>
          <t>Gates</t>
        </is>
      </c>
      <c r="B27" s="23" t="inlineStr">
        <is>
          <t>When</t>
        </is>
      </c>
      <c r="C27" s="12" t="inlineStr">
        <is>
          <t>Date and time</t>
        </is>
      </c>
      <c r="D27" s="12" t="inlineStr"/>
    </row>
    <row r="28">
      <c r="A28" s="14" t="inlineStr">
        <is>
          <t>Gates</t>
        </is>
      </c>
      <c r="B28" s="24" t="inlineStr">
        <is>
          <t>Decided by</t>
        </is>
      </c>
      <c r="C28" s="14" t="inlineStr">
        <is>
          <t>Chair and members</t>
        </is>
      </c>
      <c r="D28" s="14" t="inlineStr"/>
    </row>
    <row r="29">
      <c r="A29" s="12" t="inlineStr">
        <is>
          <t>Gates</t>
        </is>
      </c>
      <c r="B29" s="23" t="inlineStr">
        <is>
          <t>Passes when</t>
        </is>
      </c>
      <c r="C29" s="12" t="inlineStr">
        <is>
          <t>Rule of the gate</t>
        </is>
      </c>
      <c r="D29" s="12" t="inlineStr"/>
    </row>
  </sheetData>
  <autoFilter ref="A4:D29"/>
  <printOptions horizontalCentered="1"/>
  <pageMargins left="0.4" right="0.4" top="0.6" bottom="0.6" header="0.5" footer="0.5"/>
  <pageSetup orientation="landscape" paperSize="1" fitToHeight="0" fitToWidth="1"/>
  <headerFooter>
    <oddHeader>&amp;L&amp;8 &amp;K004EA8Production Readiness Checklist&amp;R&amp;8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46" customWidth="1" min="3" max="3"/>
    <col width="32" customWidth="1" min="4" max="4"/>
    <col width="28" customWidth="1" min="5" max="5"/>
    <col width="20" customWidth="1" min="6" max="6"/>
    <col width="12" customWidth="1" min="7" max="7"/>
    <col width="9" customWidth="1" min="8" max="8"/>
    <col width="13" customWidth="1" min="9" max="9"/>
    <col width="22" customWidth="1" min="10" max="10"/>
    <col width="12" customWidth="1" min="11" max="11"/>
    <col width="28" customWidth="1" min="12" max="12"/>
  </cols>
  <sheetData>
    <row r="1" ht="24" customHeight="1">
      <c r="A1" s="22" t="inlineStr">
        <is>
          <t>Checklist</t>
        </is>
      </c>
    </row>
    <row r="2">
      <c r="A2" s="25" t="inlineStr">
        <is>
          <t>Production readiness criteria of BIBS with owner, evidence, gate and status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</row>
    <row r="4" ht="30" customHeight="1">
      <c r="A4" s="27" t="inlineStr">
        <is>
          <t>ID</t>
        </is>
      </c>
      <c r="B4" s="27" t="inlineStr">
        <is>
          <t>Area</t>
        </is>
      </c>
      <c r="C4" s="27" t="inlineStr">
        <is>
          <t>Criterion</t>
        </is>
      </c>
      <c r="D4" s="27" t="inlineStr">
        <is>
          <t>Measure / threshold</t>
        </is>
      </c>
      <c r="E4" s="27" t="inlineStr">
        <is>
          <t>Evidence required</t>
        </is>
      </c>
      <c r="F4" s="27" t="inlineStr">
        <is>
          <t>Owner</t>
        </is>
      </c>
      <c r="G4" s="27" t="inlineStr">
        <is>
          <t>Due</t>
        </is>
      </c>
      <c r="H4" s="27" t="inlineStr">
        <is>
          <t>Gate</t>
        </is>
      </c>
      <c r="I4" s="27" t="inlineStr">
        <is>
          <t>Status</t>
        </is>
      </c>
      <c r="J4" s="27" t="inlineStr">
        <is>
          <t>Evidence reference</t>
        </is>
      </c>
      <c r="K4" s="27" t="inlineStr">
        <is>
          <t>Date met</t>
        </is>
      </c>
      <c r="L4" s="27" t="inlineStr">
        <is>
          <t>Remarks</t>
        </is>
      </c>
    </row>
    <row r="5">
      <c r="A5" s="12" t="inlineStr">
        <is>
          <t>OPS-01</t>
        </is>
      </c>
      <c r="B5" s="12" t="inlineStr">
        <is>
          <t>Operational</t>
        </is>
      </c>
      <c r="C5" s="12" t="inlineStr">
        <is>
          <t>Production environment provisioned to the agreed sizing: EKS with the four workloads, RDS PostgreSQL 16 Multi-AZ, ElastiCache for Valkey 8 with replica, MSK Kafka 3.9 with three brokers, S3 buckets</t>
        </is>
      </c>
      <c r="D5" s="12" t="inlineStr">
        <is>
          <t>Sizing of the Programme Alignment, section Kubernetes sizing; spread over three availability zones</t>
        </is>
      </c>
      <c r="E5" s="12" t="inlineStr">
        <is>
          <t>Environment acceptance checklist; infrastructure inventory</t>
        </is>
      </c>
      <c r="F5" s="12" t="inlineStr">
        <is>
          <t>BDO Cloud Operations</t>
        </is>
      </c>
      <c r="G5" s="28" t="n">
        <v>46721</v>
      </c>
      <c r="H5" s="12" t="inlineStr">
        <is>
          <t>ORR</t>
        </is>
      </c>
      <c r="I5" s="29" t="inlineStr">
        <is>
          <t>OPEN</t>
        </is>
      </c>
      <c r="J5" s="12" t="n"/>
      <c r="K5" s="28" t="n"/>
      <c r="L5" s="12" t="n"/>
    </row>
    <row r="6">
      <c r="A6" s="12" t="inlineStr">
        <is>
          <t>OPS-02</t>
        </is>
      </c>
      <c r="B6" s="12" t="inlineStr">
        <is>
          <t>Operational</t>
        </is>
      </c>
      <c r="C6" s="12" t="inlineStr">
        <is>
          <t>DR region environment provisioned as warm standby with the RDS cross-region replica, S3 cross-region replication with replication time control, image and secrets replication</t>
        </is>
      </c>
      <c r="D6" s="12" t="inlineStr">
        <is>
          <t>Replica lag below 5 minutes for 7 days; S3 replication within 15 minutes</t>
        </is>
      </c>
      <c r="E6" s="12" t="inlineStr">
        <is>
          <t>DR environment acceptance record; replication metrics</t>
        </is>
      </c>
      <c r="F6" s="12" t="inlineStr">
        <is>
          <t>BDO Cloud Operations</t>
        </is>
      </c>
      <c r="G6" s="28" t="n">
        <v>46721</v>
      </c>
      <c r="H6" s="12" t="inlineStr">
        <is>
          <t>ORR</t>
        </is>
      </c>
      <c r="I6" s="29" t="inlineStr">
        <is>
          <t>OPEN</t>
        </is>
      </c>
      <c r="J6" s="12" t="n"/>
      <c r="K6" s="28" t="n"/>
      <c r="L6" s="12" t="n"/>
    </row>
    <row r="7">
      <c r="A7" s="12" t="inlineStr">
        <is>
          <t>OPS-03</t>
        </is>
      </c>
      <c r="B7" s="12" t="inlineStr">
        <is>
          <t>Operational</t>
        </is>
      </c>
      <c r="C7" s="12" t="inlineStr">
        <is>
          <t>Pre-Prod environment production-sized and used for the performance test and the dress rehearsals</t>
        </is>
      </c>
      <c r="D7" s="12" t="inlineStr">
        <is>
          <t>Same sizing and versions as production</t>
        </is>
      </c>
      <c r="E7" s="12" t="inlineStr">
        <is>
          <t>Environment comparison report</t>
        </is>
      </c>
      <c r="F7" s="12" t="inlineStr">
        <is>
          <t>BDO Cloud Operations</t>
        </is>
      </c>
      <c r="G7" s="28" t="n">
        <v>46661</v>
      </c>
      <c r="H7" s="12" t="inlineStr">
        <is>
          <t>ORR</t>
        </is>
      </c>
      <c r="I7" s="29" t="inlineStr">
        <is>
          <t>OPEN</t>
        </is>
      </c>
      <c r="J7" s="12" t="n"/>
      <c r="K7" s="28" t="n"/>
      <c r="L7" s="12" t="n"/>
    </row>
    <row r="8">
      <c r="A8" s="12" t="inlineStr">
        <is>
          <t>OPS-04</t>
        </is>
      </c>
      <c r="B8" s="12" t="inlineStr">
        <is>
          <t>Operational</t>
        </is>
      </c>
      <c r="C8" s="12" t="inlineStr">
        <is>
          <t>Network paths in place: users through the BDO network to the internal load balancer with WAF; BDO systems through Apigee X on the private route; no internet path</t>
        </is>
      </c>
      <c r="D8" s="12" t="inlineStr">
        <is>
          <t>Connectivity test from each client network range and each Apigee source range; refused from any other range</t>
        </is>
      </c>
      <c r="E8" s="12" t="inlineStr">
        <is>
          <t>Network test record</t>
        </is>
      </c>
      <c r="F8" s="12" t="inlineStr">
        <is>
          <t>BDO Cloud Operations</t>
        </is>
      </c>
      <c r="G8" s="28" t="n">
        <v>46721</v>
      </c>
      <c r="H8" s="12" t="inlineStr">
        <is>
          <t>ORR</t>
        </is>
      </c>
      <c r="I8" s="29" t="inlineStr">
        <is>
          <t>OPEN</t>
        </is>
      </c>
      <c r="J8" s="12" t="n"/>
      <c r="K8" s="28" t="n"/>
      <c r="L8" s="12" t="n"/>
    </row>
    <row r="9">
      <c r="A9" s="12" t="inlineStr">
        <is>
          <t>OPS-05</t>
        </is>
      </c>
      <c r="B9" s="12" t="inlineStr">
        <is>
          <t>Operational</t>
        </is>
      </c>
      <c r="C9" s="12" t="inlineStr">
        <is>
          <t>Certificates: browser certificate on the BDO domain under the BDO corporate PKI; in-cluster certificates from the private CA with automatic renewal</t>
        </is>
      </c>
      <c r="D9" s="12" t="inlineStr">
        <is>
          <t>Valid for at least 90 days at go-live; renewal alarm at 30 days</t>
        </is>
      </c>
      <c r="E9" s="12" t="inlineStr">
        <is>
          <t>Certificate inventory</t>
        </is>
      </c>
      <c r="F9" s="12" t="inlineStr">
        <is>
          <t>BDO Cloud Operations</t>
        </is>
      </c>
      <c r="G9" s="28" t="n">
        <v>46721</v>
      </c>
      <c r="H9" s="12" t="inlineStr">
        <is>
          <t>ORR</t>
        </is>
      </c>
      <c r="I9" s="29" t="inlineStr">
        <is>
          <t>OPEN</t>
        </is>
      </c>
      <c r="J9" s="12" t="n"/>
      <c r="K9" s="28" t="n"/>
      <c r="L9" s="12" t="n"/>
    </row>
    <row r="10">
      <c r="A10" s="12" t="inlineStr">
        <is>
          <t>OPS-06</t>
        </is>
      </c>
      <c r="B10" s="12" t="inlineStr">
        <is>
          <t>Operational</t>
        </is>
      </c>
      <c r="C10" s="12" t="inlineStr">
        <is>
          <t>Gateway API controller in place of ingress-nginx; routes for users and for the integration path tested</t>
        </is>
      </c>
      <c r="D10" s="12" t="inlineStr">
        <is>
          <t>Routes answer through the Gateway only; health checks green</t>
        </is>
      </c>
      <c r="E10" s="12" t="inlineStr">
        <is>
          <t>Route test record</t>
        </is>
      </c>
      <c r="F10" s="12" t="inlineStr">
        <is>
          <t>BDO Cloud Operations</t>
        </is>
      </c>
      <c r="G10" s="28" t="n">
        <v>46721</v>
      </c>
      <c r="H10" s="12" t="inlineStr">
        <is>
          <t>ORR</t>
        </is>
      </c>
      <c r="I10" s="29" t="inlineStr">
        <is>
          <t>OPEN</t>
        </is>
      </c>
      <c r="J10" s="12" t="n"/>
      <c r="K10" s="28" t="n"/>
      <c r="L10" s="12" t="n"/>
    </row>
    <row r="11">
      <c r="A11" s="12" t="inlineStr">
        <is>
          <t>OPS-07</t>
        </is>
      </c>
      <c r="B11" s="12" t="inlineStr">
        <is>
          <t>Operational</t>
        </is>
      </c>
      <c r="C11" s="12" t="inlineStr">
        <is>
          <t>Monitoring live: synthetic sign-in check, service dashboards, alert catalogue of the Operations Runbook with routing to L1, L2, L3 and Cloud Operations</t>
        </is>
      </c>
      <c r="D11" s="12" t="inlineStr">
        <is>
          <t>Every alert rule of the catalogue fired once in Pre-Prod and reached its responder</t>
        </is>
      </c>
      <c r="E11" s="12" t="inlineStr">
        <is>
          <t>Alert test record; dashboard links</t>
        </is>
      </c>
      <c r="F11" s="12" t="inlineStr">
        <is>
          <t>iorta TechNXT infrastructure team</t>
        </is>
      </c>
      <c r="G11" s="28" t="n">
        <v>46729</v>
      </c>
      <c r="H11" s="12" t="inlineStr">
        <is>
          <t>ORR</t>
        </is>
      </c>
      <c r="I11" s="29" t="inlineStr">
        <is>
          <t>OPEN</t>
        </is>
      </c>
      <c r="J11" s="12" t="n"/>
      <c r="K11" s="28" t="n"/>
      <c r="L11" s="12" t="n"/>
    </row>
    <row r="12">
      <c r="A12" s="12" t="inlineStr">
        <is>
          <t>OPS-08</t>
        </is>
      </c>
      <c r="B12" s="12" t="inlineStr">
        <is>
          <t>Operational</t>
        </is>
      </c>
      <c r="C12" s="12" t="inlineStr">
        <is>
          <t>Logs shipped to the BDO log platform and SIEM with the correlation id; retention 5 years online</t>
        </is>
      </c>
      <c r="D12" s="12" t="inlineStr">
        <is>
          <t>A request found by its error reference within 5 minutes</t>
        </is>
      </c>
      <c r="E12" s="12" t="inlineStr">
        <is>
          <t>Log search demonstration record</t>
        </is>
      </c>
      <c r="F12" s="12" t="inlineStr">
        <is>
          <t>BDO Cloud Operations</t>
        </is>
      </c>
      <c r="G12" s="28" t="n">
        <v>46729</v>
      </c>
      <c r="H12" s="12" t="inlineStr">
        <is>
          <t>ORR</t>
        </is>
      </c>
      <c r="I12" s="29" t="inlineStr">
        <is>
          <t>OPEN</t>
        </is>
      </c>
      <c r="J12" s="12" t="n"/>
      <c r="K12" s="28" t="n"/>
      <c r="L12" s="12" t="n"/>
    </row>
    <row r="13">
      <c r="A13" s="12" t="inlineStr">
        <is>
          <t>OPS-09</t>
        </is>
      </c>
      <c r="B13" s="12" t="inlineStr">
        <is>
          <t>Operational</t>
        </is>
      </c>
      <c r="C13" s="12" t="inlineStr">
        <is>
          <t>Backups: automated backups with point-in-time recovery, base backup every 4 hours, retention 7 years for the monthly copies; S3 versioning</t>
        </is>
      </c>
      <c r="D13" s="12" t="inlineStr">
        <is>
          <t>Latest restorable time within 15 minutes; restore test passed</t>
        </is>
      </c>
      <c r="E13" s="12" t="inlineStr">
        <is>
          <t>Backup configuration export; restore test record</t>
        </is>
      </c>
      <c r="F13" s="12" t="inlineStr">
        <is>
          <t>BDO Cloud Operations</t>
        </is>
      </c>
      <c r="G13" s="28" t="n">
        <v>46729</v>
      </c>
      <c r="H13" s="12" t="inlineStr">
        <is>
          <t>ORR</t>
        </is>
      </c>
      <c r="I13" s="29" t="inlineStr">
        <is>
          <t>OPEN</t>
        </is>
      </c>
      <c r="J13" s="12" t="n"/>
      <c r="K13" s="28" t="n"/>
      <c r="L13" s="12" t="n"/>
    </row>
    <row r="14">
      <c r="A14" s="12" t="inlineStr">
        <is>
          <t>OPS-10</t>
        </is>
      </c>
      <c r="B14" s="12" t="inlineStr">
        <is>
          <t>Operational</t>
        </is>
      </c>
      <c r="C14" s="12" t="inlineStr">
        <is>
          <t>Restore test: production-sized snapshot restored into an isolated instance and BIBS started against it</t>
        </is>
      </c>
      <c r="D14" s="12" t="inlineStr">
        <is>
          <t>Restore within 2 hours; row counts of key records equal</t>
        </is>
      </c>
      <c r="E14" s="12" t="inlineStr">
        <is>
          <t>Restore test record</t>
        </is>
      </c>
      <c r="F14" s="12" t="inlineStr">
        <is>
          <t>BDO Cloud Operations</t>
        </is>
      </c>
      <c r="G14" s="28" t="n">
        <v>46729</v>
      </c>
      <c r="H14" s="12" t="inlineStr">
        <is>
          <t>ORR</t>
        </is>
      </c>
      <c r="I14" s="29" t="inlineStr">
        <is>
          <t>OPEN</t>
        </is>
      </c>
      <c r="J14" s="12" t="n"/>
      <c r="K14" s="28" t="n"/>
      <c r="L14" s="12" t="n"/>
    </row>
    <row r="15">
      <c r="A15" s="12" t="inlineStr">
        <is>
          <t>OPS-11</t>
        </is>
      </c>
      <c r="B15" s="12" t="inlineStr">
        <is>
          <t>Operational</t>
        </is>
      </c>
      <c r="C15" s="12" t="inlineStr">
        <is>
          <t>DR drill before go-live: regional failover of Pre-Prod to the DR region and failback</t>
        </is>
      </c>
      <c r="D15" s="12" t="inlineStr">
        <is>
          <t>RTO 4 hours and RPO 15 minutes met</t>
        </is>
      </c>
      <c r="E15" s="12" t="inlineStr">
        <is>
          <t>DR drill report (DR plan, chapter 8)</t>
        </is>
      </c>
      <c r="F15" s="12" t="inlineStr">
        <is>
          <t>BDO Cloud Operations</t>
        </is>
      </c>
      <c r="G15" s="28" t="n">
        <v>46724</v>
      </c>
      <c r="H15" s="12" t="inlineStr">
        <is>
          <t>ORR</t>
        </is>
      </c>
      <c r="I15" s="29" t="inlineStr">
        <is>
          <t>OPEN</t>
        </is>
      </c>
      <c r="J15" s="12" t="n"/>
      <c r="K15" s="28" t="n"/>
      <c r="L15" s="12" t="n"/>
    </row>
    <row r="16">
      <c r="A16" s="12" t="inlineStr">
        <is>
          <t>OPS-12</t>
        </is>
      </c>
      <c r="B16" s="12" t="inlineStr">
        <is>
          <t>Operational</t>
        </is>
      </c>
      <c r="C16" s="12" t="inlineStr">
        <is>
          <t>Scheduled jobs set for production as in the jobs catalogue; non-production schedule overrides removed</t>
        </is>
      </c>
      <c r="D16" s="12" t="inlineStr">
        <is>
          <t>Job list equals the catalogue</t>
        </is>
      </c>
      <c r="E16" s="12" t="inlineStr">
        <is>
          <t>Scheduled Jobs printout signed by L2 lead</t>
        </is>
      </c>
      <c r="F16" s="12" t="inlineStr">
        <is>
          <t>iorta TechNXT infrastructure team</t>
        </is>
      </c>
      <c r="G16" s="28" t="n">
        <v>46740</v>
      </c>
      <c r="H16" s="12" t="inlineStr">
        <is>
          <t>GNG-1</t>
        </is>
      </c>
      <c r="I16" s="29" t="inlineStr">
        <is>
          <t>OPEN</t>
        </is>
      </c>
      <c r="J16" s="12" t="n"/>
      <c r="K16" s="28" t="n"/>
      <c r="L16" s="12" t="n"/>
    </row>
    <row r="17">
      <c r="A17" s="12" t="inlineStr">
        <is>
          <t>OPS-13</t>
        </is>
      </c>
      <c r="B17" s="12" t="inlineStr">
        <is>
          <t>Operational</t>
        </is>
      </c>
      <c r="C17" s="12" t="inlineStr">
        <is>
          <t>Operations Runbook procedures rehearsed: release, back-out, job rerun, cache clear, outbox resend, certificate renewal, secret rotation</t>
        </is>
      </c>
      <c r="D17" s="12" t="inlineStr">
        <is>
          <t>Each procedure run once in Pre-Prod by the team that runs it in production</t>
        </is>
      </c>
      <c r="E17" s="12" t="inlineStr">
        <is>
          <t>Procedure rehearsal log</t>
        </is>
      </c>
      <c r="F17" s="12" t="inlineStr">
        <is>
          <t>BIBS Service Owner</t>
        </is>
      </c>
      <c r="G17" s="28" t="n">
        <v>46736</v>
      </c>
      <c r="H17" s="12" t="inlineStr">
        <is>
          <t>ORR</t>
        </is>
      </c>
      <c r="I17" s="29" t="inlineStr">
        <is>
          <t>OPEN</t>
        </is>
      </c>
      <c r="J17" s="12" t="n"/>
      <c r="K17" s="28" t="n"/>
      <c r="L17" s="12" t="n"/>
    </row>
    <row r="18">
      <c r="A18" s="12" t="inlineStr">
        <is>
          <t>OPS-14</t>
        </is>
      </c>
      <c r="B18" s="12" t="inlineStr">
        <is>
          <t>Operational</t>
        </is>
      </c>
      <c r="C18" s="12" t="inlineStr">
        <is>
          <t>Release path SIT, UAT, Pre-Prod, production with one release package; back-out to the previous package rehearsed</t>
        </is>
      </c>
      <c r="D18" s="12" t="inlineStr">
        <is>
          <t>Back-out completed within 30 minutes in Pre-Prod</t>
        </is>
      </c>
      <c r="E18" s="12" t="inlineStr">
        <is>
          <t>Release rehearsal record</t>
        </is>
      </c>
      <c r="F18" s="12" t="inlineStr">
        <is>
          <t>iorta TechNXT infrastructure team</t>
        </is>
      </c>
      <c r="G18" s="28" t="n">
        <v>46717</v>
      </c>
      <c r="H18" s="12" t="inlineStr">
        <is>
          <t>ORR</t>
        </is>
      </c>
      <c r="I18" s="29" t="inlineStr">
        <is>
          <t>OPEN</t>
        </is>
      </c>
      <c r="J18" s="12" t="n"/>
      <c r="K18" s="28" t="n"/>
      <c r="L18" s="12" t="n"/>
    </row>
    <row r="19">
      <c r="A19" s="12" t="inlineStr">
        <is>
          <t>OPS-15</t>
        </is>
      </c>
      <c r="B19" s="12" t="inlineStr">
        <is>
          <t>Operational</t>
        </is>
      </c>
      <c r="C19" s="12" t="inlineStr">
        <is>
          <t>Capacity headroom for the go-live month: CPU and memory below 60 % at the performance-test peak; database storage below 50 %</t>
        </is>
      </c>
      <c r="D19" s="12" t="inlineStr">
        <is>
          <t>Measured at the 429-session peak</t>
        </is>
      </c>
      <c r="E19" s="12" t="inlineStr">
        <is>
          <t>Performance test report</t>
        </is>
      </c>
      <c r="F19" s="12" t="inlineStr">
        <is>
          <t>iorta TechNXT QA</t>
        </is>
      </c>
      <c r="G19" s="28" t="n">
        <v>46731</v>
      </c>
      <c r="H19" s="12" t="inlineStr">
        <is>
          <t>ORR</t>
        </is>
      </c>
      <c r="I19" s="29" t="inlineStr">
        <is>
          <t>OPEN</t>
        </is>
      </c>
      <c r="J19" s="12" t="n"/>
      <c r="K19" s="28" t="n"/>
      <c r="L19" s="12" t="n"/>
    </row>
    <row r="20">
      <c r="A20" s="12" t="inlineStr">
        <is>
          <t>SEC-01</t>
        </is>
      </c>
      <c r="B20" s="12" t="inlineStr">
        <is>
          <t>Security</t>
        </is>
      </c>
      <c r="C20" s="12" t="inlineStr">
        <is>
          <t>Penetration test of the production-like environment by the BDO-appointed tester</t>
        </is>
      </c>
      <c r="D20" s="12" t="inlineStr">
        <is>
          <t>No open Critical or High finding; Medium findings with a dated plan</t>
        </is>
      </c>
      <c r="E20" s="12" t="inlineStr">
        <is>
          <t>Penetration test report and findings register</t>
        </is>
      </c>
      <c r="F20" s="12" t="inlineStr">
        <is>
          <t>Information Security Officer</t>
        </is>
      </c>
      <c r="G20" s="28" t="n">
        <v>46731</v>
      </c>
      <c r="H20" s="12" t="inlineStr">
        <is>
          <t>ORR</t>
        </is>
      </c>
      <c r="I20" s="29" t="inlineStr">
        <is>
          <t>OPEN</t>
        </is>
      </c>
      <c r="J20" s="12" t="n"/>
      <c r="K20" s="28" t="n"/>
      <c r="L20" s="12" t="n"/>
    </row>
    <row r="21">
      <c r="A21" s="12" t="inlineStr">
        <is>
          <t>SEC-02</t>
        </is>
      </c>
      <c r="B21" s="12" t="inlineStr">
        <is>
          <t>Security</t>
        </is>
      </c>
      <c r="C21" s="12" t="inlineStr">
        <is>
          <t>Vulnerability scans of the release images and libraries</t>
        </is>
      </c>
      <c r="D21" s="12" t="inlineStr">
        <is>
          <t>No Critical or High vulnerability without an accepted exception</t>
        </is>
      </c>
      <c r="E21" s="12" t="inlineStr">
        <is>
          <t>Scan report of the go-live release</t>
        </is>
      </c>
      <c r="F21" s="12" t="inlineStr">
        <is>
          <t>iorta TechNXT infrastructure team</t>
        </is>
      </c>
      <c r="G21" s="28" t="n">
        <v>46727</v>
      </c>
      <c r="H21" s="12" t="inlineStr">
        <is>
          <t>ORR</t>
        </is>
      </c>
      <c r="I21" s="29" t="inlineStr">
        <is>
          <t>OPEN</t>
        </is>
      </c>
      <c r="J21" s="12" t="n"/>
      <c r="K21" s="28" t="n"/>
      <c r="L21" s="12" t="n"/>
    </row>
    <row r="22">
      <c r="A22" s="12" t="inlineStr">
        <is>
          <t>SEC-03</t>
        </is>
      </c>
      <c r="B22" s="12" t="inlineStr">
        <is>
          <t>Security</t>
        </is>
      </c>
      <c r="C22" s="12" t="inlineStr">
        <is>
          <t>Single sign-on with EIAM (OpenID Connect) in production; break-glass administrators only with local password and second factor</t>
        </is>
      </c>
      <c r="D22" s="12" t="inlineStr">
        <is>
          <t>Sign-in test per persona; break-glass sign-in tested and sealed</t>
        </is>
      </c>
      <c r="E22" s="12" t="inlineStr">
        <is>
          <t>Sign-in test record; break-glass envelope log</t>
        </is>
      </c>
      <c r="F22" s="12" t="inlineStr">
        <is>
          <t>Information Security Officer</t>
        </is>
      </c>
      <c r="G22" s="28" t="n">
        <v>46727</v>
      </c>
      <c r="H22" s="12" t="inlineStr">
        <is>
          <t>ORR</t>
        </is>
      </c>
      <c r="I22" s="29" t="inlineStr">
        <is>
          <t>OPEN</t>
        </is>
      </c>
      <c r="J22" s="12" t="n"/>
      <c r="K22" s="28" t="n"/>
      <c r="L22" s="12" t="n"/>
    </row>
    <row r="23">
      <c r="A23" s="12" t="inlineStr">
        <is>
          <t>SEC-04</t>
        </is>
      </c>
      <c r="B23" s="12" t="inlineStr">
        <is>
          <t>Security</t>
        </is>
      </c>
      <c r="C23" s="12" t="inlineStr">
        <is>
          <t>User provisioning: every go-live user created through approved user access requests (or UIDM-ISC once live) with roles and data scope</t>
        </is>
      </c>
      <c r="D23" s="12" t="inlineStr">
        <is>
          <t>100 % of go-live users; no shared account</t>
        </is>
      </c>
      <c r="E23" s="12" t="inlineStr">
        <is>
          <t>User Access Matrix report signed by the department heads</t>
        </is>
      </c>
      <c r="F23" s="12" t="inlineStr">
        <is>
          <t>Information Security Officer</t>
        </is>
      </c>
      <c r="G23" s="28" t="n">
        <v>46731</v>
      </c>
      <c r="H23" s="12" t="inlineStr">
        <is>
          <t>GNG-1</t>
        </is>
      </c>
      <c r="I23" s="29" t="inlineStr">
        <is>
          <t>OPEN</t>
        </is>
      </c>
      <c r="J23" s="12" t="n"/>
      <c r="K23" s="28" t="n"/>
      <c r="L23" s="12" t="n"/>
    </row>
    <row r="24">
      <c r="A24" s="12" t="inlineStr">
        <is>
          <t>SEC-05</t>
        </is>
      </c>
      <c r="B24" s="12" t="inlineStr">
        <is>
          <t>Security</t>
        </is>
      </c>
      <c r="C24" s="12" t="inlineStr">
        <is>
          <t>Segregation of duties rules active and the access review of the go-live roles done</t>
        </is>
      </c>
      <c r="D24" s="12" t="inlineStr">
        <is>
          <t>No conflict without an approved exception</t>
        </is>
      </c>
      <c r="E24" s="12" t="inlineStr">
        <is>
          <t>Separation of Duties report</t>
        </is>
      </c>
      <c r="F24" s="12" t="inlineStr">
        <is>
          <t>Information Security Officer</t>
        </is>
      </c>
      <c r="G24" s="28" t="n">
        <v>46738</v>
      </c>
      <c r="H24" s="12" t="inlineStr">
        <is>
          <t>PRR</t>
        </is>
      </c>
      <c r="I24" s="29" t="inlineStr">
        <is>
          <t>OPEN</t>
        </is>
      </c>
      <c r="J24" s="12" t="n"/>
      <c r="K24" s="28" t="n"/>
      <c r="L24" s="12" t="n"/>
    </row>
    <row r="25">
      <c r="A25" s="12" t="inlineStr">
        <is>
          <t>SEC-06</t>
        </is>
      </c>
      <c r="B25" s="12" t="inlineStr">
        <is>
          <t>Security</t>
        </is>
      </c>
      <c r="C25" s="12" t="inlineStr">
        <is>
          <t>Secrets in the secrets store only; keys generated for production and never reused from another environment; key custody recorded</t>
        </is>
      </c>
      <c r="D25" s="12" t="inlineStr">
        <is>
          <t>Start-up safeguards pass; key custody register signed</t>
        </is>
      </c>
      <c r="E25" s="12" t="inlineStr">
        <is>
          <t>Secret inventory without values; custody register</t>
        </is>
      </c>
      <c r="F25" s="12" t="inlineStr">
        <is>
          <t>BDO Cloud Operations</t>
        </is>
      </c>
      <c r="G25" s="28" t="n">
        <v>46727</v>
      </c>
      <c r="H25" s="12" t="inlineStr">
        <is>
          <t>ORR</t>
        </is>
      </c>
      <c r="I25" s="29" t="inlineStr">
        <is>
          <t>OPEN</t>
        </is>
      </c>
      <c r="J25" s="12" t="n"/>
      <c r="K25" s="28" t="n"/>
      <c r="L25" s="12" t="n"/>
    </row>
    <row r="26">
      <c r="A26" s="12" t="inlineStr">
        <is>
          <t>SEC-07</t>
        </is>
      </c>
      <c r="B26" s="12" t="inlineStr">
        <is>
          <t>Security</t>
        </is>
      </c>
      <c r="C26" s="12" t="inlineStr">
        <is>
          <t>Encryption: TLS on every hop; database, Valkey and Kafka connections encrypted; S3 with BDOI-owned KMS keys</t>
        </is>
      </c>
      <c r="D26" s="12" t="inlineStr">
        <is>
          <t>Configuration review; plaintext connection refused at start</t>
        </is>
      </c>
      <c r="E26" s="12" t="inlineStr">
        <is>
          <t>Encryption review record</t>
        </is>
      </c>
      <c r="F26" s="12" t="inlineStr">
        <is>
          <t>Information Security Officer</t>
        </is>
      </c>
      <c r="G26" s="28" t="n">
        <v>46727</v>
      </c>
      <c r="H26" s="12" t="inlineStr">
        <is>
          <t>ORR</t>
        </is>
      </c>
      <c r="I26" s="29" t="inlineStr">
        <is>
          <t>OPEN</t>
        </is>
      </c>
      <c r="J26" s="12" t="n"/>
      <c r="K26" s="28" t="n"/>
      <c r="L26" s="12" t="n"/>
    </row>
    <row r="27">
      <c r="A27" s="12" t="inlineStr">
        <is>
          <t>SEC-08</t>
        </is>
      </c>
      <c r="B27" s="12" t="inlineStr">
        <is>
          <t>Security</t>
        </is>
      </c>
      <c r="C27" s="12" t="inlineStr">
        <is>
          <t>Malware scanning of uploads (GuardDuty Malware Protection for S3) active; quarantine alert routed</t>
        </is>
      </c>
      <c r="D27" s="12" t="inlineStr">
        <is>
          <t>Test file quarantined and alert received</t>
        </is>
      </c>
      <c r="E27" s="12" t="inlineStr">
        <is>
          <t>Test record</t>
        </is>
      </c>
      <c r="F27" s="12" t="inlineStr">
        <is>
          <t>Information Security Officer</t>
        </is>
      </c>
      <c r="G27" s="28" t="n">
        <v>46727</v>
      </c>
      <c r="H27" s="12" t="inlineStr">
        <is>
          <t>ORR</t>
        </is>
      </c>
      <c r="I27" s="29" t="inlineStr">
        <is>
          <t>OPEN</t>
        </is>
      </c>
      <c r="J27" s="12" t="n"/>
      <c r="K27" s="28" t="n"/>
      <c r="L27" s="12" t="n"/>
    </row>
    <row r="28">
      <c r="A28" s="12" t="inlineStr">
        <is>
          <t>SEC-09</t>
        </is>
      </c>
      <c r="B28" s="12" t="inlineStr">
        <is>
          <t>Security</t>
        </is>
      </c>
      <c r="C28" s="12" t="inlineStr">
        <is>
          <t>WAF rules: managed rule groups, rate rule on sign-in, integration path only from Apigee ranges, upload size rule</t>
        </is>
      </c>
      <c r="D28" s="12" t="inlineStr">
        <is>
          <t>Rule test record</t>
        </is>
      </c>
      <c r="E28" s="12" t="inlineStr">
        <is>
          <t>WAF configuration export</t>
        </is>
      </c>
      <c r="F28" s="12" t="inlineStr">
        <is>
          <t>BDO Cloud Operations</t>
        </is>
      </c>
      <c r="G28" s="28" t="n">
        <v>46727</v>
      </c>
      <c r="H28" s="12" t="inlineStr">
        <is>
          <t>ORR</t>
        </is>
      </c>
      <c r="I28" s="29" t="inlineStr">
        <is>
          <t>OPEN</t>
        </is>
      </c>
      <c r="J28" s="12" t="n"/>
      <c r="K28" s="28" t="n"/>
      <c r="L28" s="12" t="n"/>
    </row>
    <row r="29">
      <c r="A29" s="12" t="inlineStr">
        <is>
          <t>SEC-10</t>
        </is>
      </c>
      <c r="B29" s="12" t="inlineStr">
        <is>
          <t>Security</t>
        </is>
      </c>
      <c r="C29" s="12" t="inlineStr">
        <is>
          <t>Security events reach the BDO SIEM: sign-in failures, lockouts, privileged changes, legal hold actions, legacy archive exports</t>
        </is>
      </c>
      <c r="D29" s="12" t="inlineStr">
        <is>
          <t>Each event type seen in the SIEM in Pre-Prod</t>
        </is>
      </c>
      <c r="E29" s="12" t="inlineStr">
        <is>
          <t>SIEM test record</t>
        </is>
      </c>
      <c r="F29" s="12" t="inlineStr">
        <is>
          <t>Information Security Officer</t>
        </is>
      </c>
      <c r="G29" s="28" t="n">
        <v>46736</v>
      </c>
      <c r="H29" s="12" t="inlineStr">
        <is>
          <t>ORR</t>
        </is>
      </c>
      <c r="I29" s="29" t="inlineStr">
        <is>
          <t>OPEN</t>
        </is>
      </c>
      <c r="J29" s="12" t="n"/>
      <c r="K29" s="28" t="n"/>
      <c r="L29" s="12" t="n"/>
    </row>
    <row r="30">
      <c r="A30" s="12" t="inlineStr">
        <is>
          <t>SEC-11</t>
        </is>
      </c>
      <c r="B30" s="12" t="inlineStr">
        <is>
          <t>Security</t>
        </is>
      </c>
      <c r="C30" s="12" t="inlineStr">
        <is>
          <t>Migration roles granted for the migration period only; Philippines-only access to the Migration Console and the staging area</t>
        </is>
      </c>
      <c r="D30" s="12" t="inlineStr">
        <is>
          <t>Access test from an allowed and a blocked location</t>
        </is>
      </c>
      <c r="E30" s="12" t="inlineStr">
        <is>
          <t>Access test record (cutover task CT-006)</t>
        </is>
      </c>
      <c r="F30" s="12" t="inlineStr">
        <is>
          <t>Information Security Officer</t>
        </is>
      </c>
      <c r="G30" s="28" t="n">
        <v>46728</v>
      </c>
      <c r="H30" s="12" t="inlineStr">
        <is>
          <t>GNG-1</t>
        </is>
      </c>
      <c r="I30" s="29" t="inlineStr">
        <is>
          <t>OPEN</t>
        </is>
      </c>
      <c r="J30" s="12" t="n"/>
      <c r="K30" s="28" t="n"/>
      <c r="L30" s="12" t="n"/>
    </row>
    <row r="31">
      <c r="A31" s="12" t="inlineStr">
        <is>
          <t>PER-01</t>
        </is>
      </c>
      <c r="B31" s="12" t="inlineStr">
        <is>
          <t>Performance</t>
        </is>
      </c>
      <c r="C31" s="12" t="inlineStr">
        <is>
          <t>Performance test at the peak case of 429 concurrent sessions with the BRD volumes</t>
        </is>
      </c>
      <c r="D31" s="12" t="inlineStr">
        <is>
          <t>95 % of screen requests within 2 s, 99 % within 5 s; error rate below 0.5 %</t>
        </is>
      </c>
      <c r="E31" s="12" t="inlineStr">
        <is>
          <t>Performance test report (deliverable 28)</t>
        </is>
      </c>
      <c r="F31" s="12" t="inlineStr">
        <is>
          <t>iorta TechNXT QA</t>
        </is>
      </c>
      <c r="G31" s="28" t="n">
        <v>46731</v>
      </c>
      <c r="H31" s="12" t="inlineStr">
        <is>
          <t>ORR</t>
        </is>
      </c>
      <c r="I31" s="29" t="inlineStr">
        <is>
          <t>OPEN</t>
        </is>
      </c>
      <c r="J31" s="12" t="n"/>
      <c r="K31" s="28" t="n"/>
      <c r="L31" s="12" t="n"/>
    </row>
    <row r="32">
      <c r="A32" s="12" t="inlineStr">
        <is>
          <t>PER-02</t>
        </is>
      </c>
      <c r="B32" s="12" t="inlineStr">
        <is>
          <t>Performance</t>
        </is>
      </c>
      <c r="C32" s="12" t="inlineStr">
        <is>
          <t>Night batch at production volume fits the batch window</t>
        </is>
      </c>
      <c r="D32" s="12" t="inlineStr">
        <is>
          <t>Class A jobs finished before 06:00 with 30 % margin</t>
        </is>
      </c>
      <c r="E32" s="12" t="inlineStr">
        <is>
          <t>Batch run timings in Pre-Prod</t>
        </is>
      </c>
      <c r="F32" s="12" t="inlineStr">
        <is>
          <t>iorta TechNXT QA</t>
        </is>
      </c>
      <c r="G32" s="28" t="n">
        <v>46731</v>
      </c>
      <c r="H32" s="12" t="inlineStr">
        <is>
          <t>ORR</t>
        </is>
      </c>
      <c r="I32" s="29" t="inlineStr">
        <is>
          <t>OPEN</t>
        </is>
      </c>
      <c r="J32" s="12" t="n"/>
      <c r="K32" s="28" t="n"/>
      <c r="L32" s="12" t="n"/>
    </row>
    <row r="33">
      <c r="A33" s="12" t="inlineStr">
        <is>
          <t>PER-03</t>
        </is>
      </c>
      <c r="B33" s="12" t="inlineStr">
        <is>
          <t>Performance</t>
        </is>
      </c>
      <c r="C33" s="12" t="inlineStr">
        <is>
          <t>Month-end close at production volume (broking books close, GL period close, ACSL GL-SL reconciliation, Report Pack)</t>
        </is>
      </c>
      <c r="D33" s="12" t="inlineStr">
        <is>
          <t>Close completed within 4 hours</t>
        </is>
      </c>
      <c r="E33" s="12" t="inlineStr">
        <is>
          <t>Month-end test record</t>
        </is>
      </c>
      <c r="F33" s="12" t="inlineStr">
        <is>
          <t>iorta TechNXT QA</t>
        </is>
      </c>
      <c r="G33" s="28" t="n">
        <v>46731</v>
      </c>
      <c r="H33" s="12" t="inlineStr">
        <is>
          <t>ORR</t>
        </is>
      </c>
      <c r="I33" s="29" t="inlineStr">
        <is>
          <t>OPEN</t>
        </is>
      </c>
      <c r="J33" s="12" t="n"/>
      <c r="K33" s="28" t="n"/>
      <c r="L33" s="12" t="n"/>
    </row>
    <row r="34">
      <c r="A34" s="12" t="inlineStr">
        <is>
          <t>PER-04</t>
        </is>
      </c>
      <c r="B34" s="12" t="inlineStr">
        <is>
          <t>Performance</t>
        </is>
      </c>
      <c r="C34" s="12" t="inlineStr">
        <is>
          <t>Migration load rate proven at full volume in the dress rehearsal</t>
        </is>
      </c>
      <c r="D34" s="12" t="inlineStr">
        <is>
          <t>Cutover window met with at least 20 % margin; about 50,000 rows an hour per partition</t>
        </is>
      </c>
      <c r="E34" s="12" t="inlineStr">
        <is>
          <t>Dress rehearsal report (CT-001)</t>
        </is>
      </c>
      <c r="F34" s="12" t="inlineStr">
        <is>
          <t>iorta TechNXT Migration Lead</t>
        </is>
      </c>
      <c r="G34" s="28" t="n">
        <v>46725</v>
      </c>
      <c r="H34" s="12" t="inlineStr">
        <is>
          <t>GNG-1</t>
        </is>
      </c>
      <c r="I34" s="29" t="inlineStr">
        <is>
          <t>OPEN</t>
        </is>
      </c>
      <c r="J34" s="12" t="n"/>
      <c r="K34" s="28" t="n"/>
      <c r="L34" s="12" t="n"/>
    </row>
    <row r="35">
      <c r="A35" s="12" t="inlineStr">
        <is>
          <t>PER-05</t>
        </is>
      </c>
      <c r="B35" s="12" t="inlineStr">
        <is>
          <t>Performance</t>
        </is>
      </c>
      <c r="C35" s="12" t="inlineStr">
        <is>
          <t>Soak test: 8 hours at 70 % of peak without growth of memory or response time</t>
        </is>
      </c>
      <c r="D35" s="12" t="inlineStr">
        <is>
          <t>No degradation above 10 %</t>
        </is>
      </c>
      <c r="E35" s="12" t="inlineStr">
        <is>
          <t>Soak test report</t>
        </is>
      </c>
      <c r="F35" s="12" t="inlineStr">
        <is>
          <t>iorta TechNXT QA</t>
        </is>
      </c>
      <c r="G35" s="28" t="n">
        <v>46731</v>
      </c>
      <c r="H35" s="12" t="inlineStr">
        <is>
          <t>ORR</t>
        </is>
      </c>
      <c r="I35" s="29" t="inlineStr">
        <is>
          <t>OPEN</t>
        </is>
      </c>
      <c r="J35" s="12" t="n"/>
      <c r="K35" s="28" t="n"/>
      <c r="L35" s="12" t="n"/>
    </row>
    <row r="36">
      <c r="A36" s="12" t="inlineStr">
        <is>
          <t>PER-06</t>
        </is>
      </c>
      <c r="B36" s="12" t="inlineStr">
        <is>
          <t>Performance</t>
        </is>
      </c>
      <c r="C36" s="12" t="inlineStr">
        <is>
          <t>Autoscaling of the web workload proven (scale out at load, scale in after)</t>
        </is>
      </c>
      <c r="D36" s="12" t="inlineStr">
        <is>
          <t>Scale-out within 3 minutes; no failed request</t>
        </is>
      </c>
      <c r="E36" s="12" t="inlineStr">
        <is>
          <t>Performance test report</t>
        </is>
      </c>
      <c r="F36" s="12" t="inlineStr">
        <is>
          <t>iorta TechNXT infrastructure team</t>
        </is>
      </c>
      <c r="G36" s="28" t="n">
        <v>46731</v>
      </c>
      <c r="H36" s="12" t="inlineStr">
        <is>
          <t>ORR</t>
        </is>
      </c>
      <c r="I36" s="29" t="inlineStr">
        <is>
          <t>OPEN</t>
        </is>
      </c>
      <c r="J36" s="12" t="n"/>
      <c r="K36" s="28" t="n"/>
      <c r="L36" s="12" t="n"/>
    </row>
    <row r="37">
      <c r="A37" s="12" t="inlineStr">
        <is>
          <t>DAT-01</t>
        </is>
      </c>
      <c r="B37" s="12" t="inlineStr">
        <is>
          <t>Data</t>
        </is>
      </c>
      <c r="C37" s="12" t="inlineStr">
        <is>
          <t>Trial migrations 1 to 4 completed with their exit criteria</t>
        </is>
      </c>
      <c r="D37" s="12" t="inlineStr">
        <is>
          <t>Exit criteria of each cycle (Data Migration Handbook, Migration cycles)</t>
        </is>
      </c>
      <c r="E37" s="12" t="inlineStr">
        <is>
          <t>Trial migration reports</t>
        </is>
      </c>
      <c r="F37" s="12" t="inlineStr">
        <is>
          <t>Data Migration Lead</t>
        </is>
      </c>
      <c r="G37" s="28" t="n">
        <v>46675</v>
      </c>
      <c r="H37" s="12" t="inlineStr">
        <is>
          <t>PRR</t>
        </is>
      </c>
      <c r="I37" s="29" t="inlineStr">
        <is>
          <t>OPEN</t>
        </is>
      </c>
      <c r="J37" s="12" t="n"/>
      <c r="K37" s="28" t="n"/>
      <c r="L37" s="12" t="n"/>
    </row>
    <row r="38">
      <c r="A38" s="12" t="inlineStr">
        <is>
          <t>DAT-02</t>
        </is>
      </c>
      <c r="B38" s="12" t="inlineStr">
        <is>
          <t>Data</t>
        </is>
      </c>
      <c r="C38" s="12" t="inlineStr">
        <is>
          <t>Dress rehearsal completed within the window with at least 20 percent margin; rollback rehearsed</t>
        </is>
      </c>
      <c r="D38" s="12" t="inlineStr">
        <is>
          <t>CT-001 criteria</t>
        </is>
      </c>
      <c r="E38" s="12" t="inlineStr">
        <is>
          <t>Dress rehearsal report signed</t>
        </is>
      </c>
      <c r="F38" s="12" t="inlineStr">
        <is>
          <t>Data Migration Lead</t>
        </is>
      </c>
      <c r="G38" s="28" t="n">
        <v>46725</v>
      </c>
      <c r="H38" s="12" t="inlineStr">
        <is>
          <t>GNG-1</t>
        </is>
      </c>
      <c r="I38" s="29" t="inlineStr">
        <is>
          <t>OPEN</t>
        </is>
      </c>
      <c r="J38" s="12" t="n"/>
      <c r="K38" s="28" t="n"/>
      <c r="L38" s="12" t="n"/>
    </row>
    <row r="39">
      <c r="A39" s="12" t="inlineStr">
        <is>
          <t>DAT-03</t>
        </is>
      </c>
      <c r="B39" s="12" t="inlineStr">
        <is>
          <t>Data</t>
        </is>
      </c>
      <c r="C39" s="12" t="inlineStr">
        <is>
          <t>Code map versions for production approved (all sets, including the package code map)</t>
        </is>
      </c>
      <c r="D39" s="12" t="inlineStr">
        <is>
          <t>One approved version per set</t>
        </is>
      </c>
      <c r="E39" s="12" t="inlineStr">
        <is>
          <t>Code Map Versions report (CT-008)</t>
        </is>
      </c>
      <c r="F39" s="12" t="inlineStr">
        <is>
          <t>Data owners</t>
        </is>
      </c>
      <c r="G39" s="28" t="n">
        <v>46729</v>
      </c>
      <c r="H39" s="12" t="inlineStr">
        <is>
          <t>GNG-1</t>
        </is>
      </c>
      <c r="I39" s="29" t="inlineStr">
        <is>
          <t>OPEN</t>
        </is>
      </c>
      <c r="J39" s="12" t="n"/>
      <c r="K39" s="28" t="n"/>
      <c r="L39" s="12" t="n"/>
    </row>
    <row r="40">
      <c r="A40" s="12" t="inlineStr">
        <is>
          <t>DAT-04</t>
        </is>
      </c>
      <c r="B40" s="12" t="inlineStr">
        <is>
          <t>Data</t>
        </is>
      </c>
      <c r="C40" s="12" t="inlineStr">
        <is>
          <t>Legacy control accounts, Migration Clearing and the legacy accounting rules approved in production</t>
        </is>
      </c>
      <c r="D40" s="12" t="inlineStr">
        <is>
          <t>Test posting matched in the dress rehearsal</t>
        </is>
      </c>
      <c r="E40" s="12" t="inlineStr">
        <is>
          <t>Chart and rules approval (CT-007)</t>
        </is>
      </c>
      <c r="F40" s="12" t="inlineStr">
        <is>
          <t>Head, Comptrollership</t>
        </is>
      </c>
      <c r="G40" s="28" t="n">
        <v>46729</v>
      </c>
      <c r="H40" s="12" t="inlineStr">
        <is>
          <t>GNG-1</t>
        </is>
      </c>
      <c r="I40" s="29" t="inlineStr">
        <is>
          <t>OPEN</t>
        </is>
      </c>
      <c r="J40" s="12" t="n"/>
      <c r="K40" s="28" t="n"/>
      <c r="L40" s="12" t="n"/>
    </row>
    <row r="41">
      <c r="A41" s="12" t="inlineStr">
        <is>
          <t>DAT-05</t>
        </is>
      </c>
      <c r="B41" s="12" t="inlineStr">
        <is>
          <t>Data</t>
        </is>
      </c>
      <c r="C41" s="12" t="inlineStr">
        <is>
          <t>Reference data and clients loaded and accepted in production; daily client deltas running</t>
        </is>
      </c>
      <c r="D41" s="12" t="inlineStr">
        <is>
          <t>G6 signed for R01-R08 and C01-C03</t>
        </is>
      </c>
      <c r="E41" s="12" t="inlineStr">
        <is>
          <t>Sign-off Status report</t>
        </is>
      </c>
      <c r="F41" s="12" t="inlineStr">
        <is>
          <t>Data Migration Lead</t>
        </is>
      </c>
      <c r="G41" s="28" t="n">
        <v>46750</v>
      </c>
      <c r="H41" s="12" t="inlineStr">
        <is>
          <t>GNG-2</t>
        </is>
      </c>
      <c r="I41" s="29" t="inlineStr">
        <is>
          <t>OPEN</t>
        </is>
      </c>
      <c r="J41" s="12" t="n"/>
      <c r="K41" s="28" t="n"/>
      <c r="L41" s="12" t="n"/>
    </row>
    <row r="42">
      <c r="A42" s="12" t="inlineStr">
        <is>
          <t>DAT-06</t>
        </is>
      </c>
      <c r="B42" s="12" t="inlineStr">
        <is>
          <t>Data</t>
        </is>
      </c>
      <c r="C42" s="12" t="inlineStr">
        <is>
          <t>Every Day-1 object accepted (G6)</t>
        </is>
      </c>
      <c r="D42" s="12" t="inlineStr">
        <is>
          <t>100 percent</t>
        </is>
      </c>
      <c r="E42" s="12" t="inlineStr">
        <is>
          <t>Sign-off Status report</t>
        </is>
      </c>
      <c r="F42" s="12" t="inlineStr">
        <is>
          <t>Data owners</t>
        </is>
      </c>
      <c r="G42" s="28" t="n">
        <v>46754</v>
      </c>
      <c r="H42" s="12" t="inlineStr">
        <is>
          <t>GNG-3</t>
        </is>
      </c>
      <c r="I42" s="29" t="inlineStr">
        <is>
          <t>OPEN</t>
        </is>
      </c>
      <c r="J42" s="12" t="n"/>
      <c r="K42" s="28" t="n"/>
      <c r="L42" s="12" t="n"/>
    </row>
    <row r="43">
      <c r="A43" s="12" t="inlineStr">
        <is>
          <t>DAT-07</t>
        </is>
      </c>
      <c r="B43" s="12" t="inlineStr">
        <is>
          <t>Data</t>
        </is>
      </c>
      <c r="C43" s="12" t="inlineStr">
        <is>
          <t>Amount reconciliation of open items, unapplied payments and trial balance</t>
        </is>
      </c>
      <c r="D43" s="12" t="inlineStr">
        <is>
          <t>0.00 difference per currency</t>
        </is>
      </c>
      <c r="E43" s="12" t="inlineStr">
        <is>
          <t>Reconciliation Summary report</t>
        </is>
      </c>
      <c r="F43" s="12" t="inlineStr">
        <is>
          <t>Head, Comptrollership</t>
        </is>
      </c>
      <c r="G43" s="28" t="n">
        <v>46754</v>
      </c>
      <c r="H43" s="12" t="inlineStr">
        <is>
          <t>GNG-3</t>
        </is>
      </c>
      <c r="I43" s="29" t="inlineStr">
        <is>
          <t>OPEN</t>
        </is>
      </c>
      <c r="J43" s="12" t="n"/>
      <c r="K43" s="28" t="n"/>
      <c r="L43" s="12" t="n"/>
    </row>
    <row r="44">
      <c r="A44" s="12" t="inlineStr">
        <is>
          <t>DAT-08</t>
        </is>
      </c>
      <c r="B44" s="12" t="inlineStr">
        <is>
          <t>Data</t>
        </is>
      </c>
      <c r="C44" s="12" t="inlineStr">
        <is>
          <t>Migration Clearing and legacy control accounts</t>
        </is>
      </c>
      <c r="D44" s="12" t="inlineStr">
        <is>
          <t>0.00 per branch and currency; control accounts equal their sub-ledgers</t>
        </is>
      </c>
      <c r="E44" s="12" t="inlineStr">
        <is>
          <t>Migration Clearing report</t>
        </is>
      </c>
      <c r="F44" s="12" t="inlineStr">
        <is>
          <t>Head, Comptrollership</t>
        </is>
      </c>
      <c r="G44" s="28" t="n">
        <v>46754</v>
      </c>
      <c r="H44" s="12" t="inlineStr">
        <is>
          <t>GNG-3</t>
        </is>
      </c>
      <c r="I44" s="29" t="inlineStr">
        <is>
          <t>OPEN</t>
        </is>
      </c>
      <c r="J44" s="12" t="n"/>
      <c r="K44" s="28" t="n"/>
      <c r="L44" s="12" t="n"/>
    </row>
    <row r="45">
      <c r="A45" s="12" t="inlineStr">
        <is>
          <t>DAT-09</t>
        </is>
      </c>
      <c r="B45" s="12" t="inlineStr">
        <is>
          <t>Data</t>
        </is>
      </c>
      <c r="C45" s="12" t="inlineStr">
        <is>
          <t>Files held in the database copied to the document store and checked; legacy documents archived with checksums</t>
        </is>
      </c>
      <c r="D45" s="12" t="inlineStr">
        <is>
          <t>Every file copied and its checksum equal</t>
        </is>
      </c>
      <c r="E45" s="12" t="inlineStr">
        <is>
          <t>Content Migration run report</t>
        </is>
      </c>
      <c r="F45" s="12" t="inlineStr">
        <is>
          <t>iorta TechNXT Migration Lead</t>
        </is>
      </c>
      <c r="G45" s="28" t="n">
        <v>46738</v>
      </c>
      <c r="H45" s="12" t="inlineStr">
        <is>
          <t>PRR</t>
        </is>
      </c>
      <c r="I45" s="29" t="inlineStr">
        <is>
          <t>OPEN</t>
        </is>
      </c>
      <c r="J45" s="12" t="n"/>
      <c r="K45" s="28" t="n"/>
      <c r="L45" s="12" t="n"/>
    </row>
    <row r="46">
      <c r="A46" s="12" t="inlineStr">
        <is>
          <t>DAT-10</t>
        </is>
      </c>
      <c r="B46" s="12" t="inlineStr">
        <is>
          <t>Data</t>
        </is>
      </c>
      <c r="C46" s="12" t="inlineStr">
        <is>
          <t>Masking of personal data in every non-production environment; unmasked extracts never outside production</t>
        </is>
      </c>
      <c r="D46" s="12" t="inlineStr">
        <is>
          <t>Masking check on SIT, UAT and Pre-Prod</t>
        </is>
      </c>
      <c r="E46" s="12" t="inlineStr">
        <is>
          <t>Masking check record</t>
        </is>
      </c>
      <c r="F46" s="12" t="inlineStr">
        <is>
          <t>Information Security Officer</t>
        </is>
      </c>
      <c r="G46" s="28" t="n">
        <v>46706</v>
      </c>
      <c r="H46" s="12" t="inlineStr">
        <is>
          <t>ORR</t>
        </is>
      </c>
      <c r="I46" s="29" t="inlineStr">
        <is>
          <t>OPEN</t>
        </is>
      </c>
      <c r="J46" s="12" t="n"/>
      <c r="K46" s="28" t="n"/>
      <c r="L46" s="12" t="n"/>
    </row>
    <row r="47">
      <c r="A47" s="12" t="inlineStr">
        <is>
          <t>DAT-11</t>
        </is>
      </c>
      <c r="B47" s="12" t="inlineStr">
        <is>
          <t>Data</t>
        </is>
      </c>
      <c r="C47" s="12" t="inlineStr">
        <is>
          <t>Headers of every expiry up to 31 May 2028 loaded; RA-sent file loaded</t>
        </is>
      </c>
      <c r="D47" s="12" t="inlineStr">
        <is>
          <t>P01 equals the legacy in-force list; P03 loaded</t>
        </is>
      </c>
      <c r="E47" s="12" t="inlineStr">
        <is>
          <t>Go-live renewal extraction check</t>
        </is>
      </c>
      <c r="F47" s="12" t="inlineStr">
        <is>
          <t>Head of the Renewal processing team</t>
        </is>
      </c>
      <c r="G47" s="28" t="n">
        <v>46754</v>
      </c>
      <c r="H47" s="12" t="inlineStr">
        <is>
          <t>GNG-3</t>
        </is>
      </c>
      <c r="I47" s="29" t="inlineStr">
        <is>
          <t>OPEN</t>
        </is>
      </c>
      <c r="J47" s="12" t="n"/>
      <c r="K47" s="28" t="n"/>
      <c r="L47" s="12" t="n"/>
    </row>
    <row r="48">
      <c r="A48" s="12" t="inlineStr">
        <is>
          <t>DAT-12</t>
        </is>
      </c>
      <c r="B48" s="12" t="inlineStr">
        <is>
          <t>Data</t>
        </is>
      </c>
      <c r="C48" s="12" t="inlineStr">
        <is>
          <t>Client review queue empty and the full sanction screening run of migrated clients complete</t>
        </is>
      </c>
      <c r="D48" s="12" t="inlineStr">
        <is>
          <t>Queue empty; run complete; hits in the Compliance queue</t>
        </is>
      </c>
      <c r="E48" s="12" t="inlineStr">
        <is>
          <t>Client Matching report; screening run log</t>
        </is>
      </c>
      <c r="F48" s="12" t="inlineStr">
        <is>
          <t>Compliance</t>
        </is>
      </c>
      <c r="G48" s="28" t="n">
        <v>46754</v>
      </c>
      <c r="H48" s="12" t="inlineStr">
        <is>
          <t>GNG-3</t>
        </is>
      </c>
      <c r="I48" s="29" t="inlineStr">
        <is>
          <t>OPEN</t>
        </is>
      </c>
      <c r="J48" s="12" t="n"/>
      <c r="K48" s="28" t="n"/>
      <c r="L48" s="12" t="n"/>
    </row>
    <row r="49">
      <c r="A49" s="12" t="inlineStr">
        <is>
          <t>DAT-13</t>
        </is>
      </c>
      <c r="B49" s="12" t="inlineStr">
        <is>
          <t>Data</t>
        </is>
      </c>
      <c r="C49" s="12" t="inlineStr">
        <is>
          <t>Configuration baseline of production (parameters, lists of values, accounting rules, workflows, packages) approved by the business owners</t>
        </is>
      </c>
      <c r="D49" s="12" t="inlineStr">
        <is>
          <t>Baseline export equals the approved configuration inputs</t>
        </is>
      </c>
      <c r="E49" s="12" t="inlineStr">
        <is>
          <t>Baseline export with sign-off</t>
        </is>
      </c>
      <c r="F49" s="12" t="inlineStr">
        <is>
          <t>BIBS Product Owner</t>
        </is>
      </c>
      <c r="G49" s="28" t="n">
        <v>46741</v>
      </c>
      <c r="H49" s="12" t="inlineStr">
        <is>
          <t>GNG-1</t>
        </is>
      </c>
      <c r="I49" s="29" t="inlineStr">
        <is>
          <t>OPEN</t>
        </is>
      </c>
      <c r="J49" s="12" t="n"/>
      <c r="K49" s="28" t="n"/>
      <c r="L49" s="12" t="n"/>
    </row>
    <row r="50">
      <c r="A50" s="12" t="inlineStr">
        <is>
          <t>SUP-01</t>
        </is>
      </c>
      <c r="B50" s="12" t="inlineStr">
        <is>
          <t>Support</t>
        </is>
      </c>
      <c r="C50" s="12" t="inlineStr">
        <is>
          <t>Support model approved: L1 BDOI service desk, L2 BDOI application support, L3 iorta TechNXT, BDO Cloud Operations</t>
        </is>
      </c>
      <c r="D50" s="12" t="inlineStr">
        <is>
          <t>Support Model and Support Guide signed</t>
        </is>
      </c>
      <c r="E50" s="12" t="inlineStr">
        <is>
          <t>Signed document</t>
        </is>
      </c>
      <c r="F50" s="12" t="inlineStr">
        <is>
          <t>Head, BDOI IT</t>
        </is>
      </c>
      <c r="G50" s="28" t="n">
        <v>46568</v>
      </c>
      <c r="H50" s="12" t="inlineStr">
        <is>
          <t>ORR</t>
        </is>
      </c>
      <c r="I50" s="29" t="inlineStr">
        <is>
          <t>OPEN</t>
        </is>
      </c>
      <c r="J50" s="12" t="n"/>
      <c r="K50" s="28" t="n"/>
      <c r="L50" s="12" t="n"/>
    </row>
    <row r="51">
      <c r="A51" s="12" t="inlineStr">
        <is>
          <t>SUP-02</t>
        </is>
      </c>
      <c r="B51" s="12" t="inlineStr">
        <is>
          <t>Support</t>
        </is>
      </c>
      <c r="C51" s="12" t="inlineStr">
        <is>
          <t>BIBS queue, categories, SLA clocks and knowledge base set up in the ITSM tool</t>
        </is>
      </c>
      <c r="D51" s="12" t="inlineStr">
        <is>
          <t>Test ticket through L1, L2, L3 and back</t>
        </is>
      </c>
      <c r="E51" s="12" t="inlineStr">
        <is>
          <t>Test ticket record</t>
        </is>
      </c>
      <c r="F51" s="12" t="inlineStr">
        <is>
          <t>BIBS Service Owner</t>
        </is>
      </c>
      <c r="G51" s="28" t="n">
        <v>46721</v>
      </c>
      <c r="H51" s="12" t="inlineStr">
        <is>
          <t>ORR</t>
        </is>
      </c>
      <c r="I51" s="29" t="inlineStr">
        <is>
          <t>OPEN</t>
        </is>
      </c>
      <c r="J51" s="12" t="n"/>
      <c r="K51" s="28" t="n"/>
      <c r="L51" s="12" t="n"/>
    </row>
    <row r="52">
      <c r="A52" s="12" t="inlineStr">
        <is>
          <t>SUP-03</t>
        </is>
      </c>
      <c r="B52" s="12" t="inlineStr">
        <is>
          <t>Support</t>
        </is>
      </c>
      <c r="C52" s="12" t="inlineStr">
        <is>
          <t>L1 analysts trained on the L1 troubleshooting guide; L2 analysts trained on the runbook and the support screens</t>
        </is>
      </c>
      <c r="D52" s="12" t="inlineStr">
        <is>
          <t>100 % of the roster trained; test calls passed</t>
        </is>
      </c>
      <c r="E52" s="12" t="inlineStr">
        <is>
          <t>Attendance and test results</t>
        </is>
      </c>
      <c r="F52" s="12" t="inlineStr">
        <is>
          <t>BIBS Service Owner</t>
        </is>
      </c>
      <c r="G52" s="28" t="n">
        <v>46731</v>
      </c>
      <c r="H52" s="12" t="inlineStr">
        <is>
          <t>ORR</t>
        </is>
      </c>
      <c r="I52" s="29" t="inlineStr">
        <is>
          <t>OPEN</t>
        </is>
      </c>
      <c r="J52" s="12" t="n"/>
      <c r="K52" s="28" t="n"/>
      <c r="L52" s="12" t="n"/>
    </row>
    <row r="53">
      <c r="A53" s="12" t="inlineStr">
        <is>
          <t>SUP-04</t>
        </is>
      </c>
      <c r="B53" s="12" t="inlineStr">
        <is>
          <t>Support</t>
        </is>
      </c>
      <c r="C53" s="12" t="inlineStr">
        <is>
          <t>On-call rosters for L2, L3 and Cloud Operations from T-3 to hypercare exit, with telephone numbers</t>
        </is>
      </c>
      <c r="D53" s="12" t="inlineStr">
        <is>
          <t>Roster complete; test page answered within 15 minutes</t>
        </is>
      </c>
      <c r="E53" s="12" t="inlineStr">
        <is>
          <t>Roster; page test</t>
        </is>
      </c>
      <c r="F53" s="12" t="inlineStr">
        <is>
          <t>iorta TechNXT Support Manager</t>
        </is>
      </c>
      <c r="G53" s="28" t="n">
        <v>46736</v>
      </c>
      <c r="H53" s="12" t="inlineStr">
        <is>
          <t>ORR</t>
        </is>
      </c>
      <c r="I53" s="29" t="inlineStr">
        <is>
          <t>OPEN</t>
        </is>
      </c>
      <c r="J53" s="12" t="n"/>
      <c r="K53" s="28" t="n"/>
      <c r="L53" s="12" t="n"/>
    </row>
    <row r="54">
      <c r="A54" s="12" t="inlineStr">
        <is>
          <t>SUP-05</t>
        </is>
      </c>
      <c r="B54" s="12" t="inlineStr">
        <is>
          <t>Support</t>
        </is>
      </c>
      <c r="C54" s="12" t="inlineStr">
        <is>
          <t>Hypercare roster and command centre in place (room, bridge, chat channel)</t>
        </is>
      </c>
      <c r="D54" s="12" t="inlineStr">
        <is>
          <t>Roster of the Data Migration Handbook named</t>
        </is>
      </c>
      <c r="E54" s="12" t="inlineStr">
        <is>
          <t>Roster (CT-003)</t>
        </is>
      </c>
      <c r="F54" s="12" t="inlineStr">
        <is>
          <t>BDOI Program Manager</t>
        </is>
      </c>
      <c r="G54" s="28" t="n">
        <v>46726</v>
      </c>
      <c r="H54" s="12" t="inlineStr">
        <is>
          <t>GNG-3</t>
        </is>
      </c>
      <c r="I54" s="29" t="inlineStr">
        <is>
          <t>OPEN</t>
        </is>
      </c>
      <c r="J54" s="12" t="n"/>
      <c r="K54" s="28" t="n"/>
      <c r="L54" s="12" t="n"/>
    </row>
    <row r="55">
      <c r="A55" s="12" t="inlineStr">
        <is>
          <t>SUP-06</t>
        </is>
      </c>
      <c r="B55" s="12" t="inlineStr">
        <is>
          <t>Support</t>
        </is>
      </c>
      <c r="C55" s="12" t="inlineStr">
        <is>
          <t>Knowledge base starting set: L1 guide, known errors of UAT, runbook procedures, user guides</t>
        </is>
      </c>
      <c r="D55" s="12" t="inlineStr">
        <is>
          <t>Articles published and reviewed by L2</t>
        </is>
      </c>
      <c r="E55" s="12" t="inlineStr">
        <is>
          <t>Knowledge base index</t>
        </is>
      </c>
      <c r="F55" s="12" t="inlineStr">
        <is>
          <t>iorta TechNXT Support Manager</t>
        </is>
      </c>
      <c r="G55" s="28" t="n">
        <v>46736</v>
      </c>
      <c r="H55" s="12" t="inlineStr">
        <is>
          <t>ORR</t>
        </is>
      </c>
      <c r="I55" s="29" t="inlineStr">
        <is>
          <t>OPEN</t>
        </is>
      </c>
      <c r="J55" s="12" t="n"/>
      <c r="K55" s="28" t="n"/>
      <c r="L55" s="12" t="n"/>
    </row>
    <row r="56">
      <c r="A56" s="12" t="inlineStr">
        <is>
          <t>SUP-07</t>
        </is>
      </c>
      <c r="B56" s="12" t="inlineStr">
        <is>
          <t>Support</t>
        </is>
      </c>
      <c r="C56" s="12" t="inlineStr">
        <is>
          <t>Escalation matrix and contact annex agreed and tested</t>
        </is>
      </c>
      <c r="D56" s="12" t="inlineStr">
        <is>
          <t>Every contact reached in a call test</t>
        </is>
      </c>
      <c r="E56" s="12" t="inlineStr">
        <is>
          <t>Call test record</t>
        </is>
      </c>
      <c r="F56" s="12" t="inlineStr">
        <is>
          <t>BIBS Service Owner</t>
        </is>
      </c>
      <c r="G56" s="28" t="n">
        <v>46736</v>
      </c>
      <c r="H56" s="12" t="inlineStr">
        <is>
          <t>ORR</t>
        </is>
      </c>
      <c r="I56" s="29" t="inlineStr">
        <is>
          <t>OPEN</t>
        </is>
      </c>
      <c r="J56" s="12" t="n"/>
      <c r="K56" s="28" t="n"/>
      <c r="L56" s="12" t="n"/>
    </row>
    <row r="57">
      <c r="A57" s="12" t="inlineStr">
        <is>
          <t>SUP-08</t>
        </is>
      </c>
      <c r="B57" s="12" t="inlineStr">
        <is>
          <t>Support</t>
        </is>
      </c>
      <c r="C57" s="12" t="inlineStr">
        <is>
          <t>Interface owners' support contacts and hours confirmed for every integration live at go-live</t>
        </is>
      </c>
      <c r="D57" s="12" t="inlineStr">
        <is>
          <t>One contact and hours per interface in the inventory</t>
        </is>
      </c>
      <c r="E57" s="12" t="inlineStr">
        <is>
          <t>Integration Inventory with support contacts</t>
        </is>
      </c>
      <c r="F57" s="12" t="inlineStr">
        <is>
          <t>BDOI IT system owners</t>
        </is>
      </c>
      <c r="G57" s="28" t="n">
        <v>46736</v>
      </c>
      <c r="H57" s="12" t="inlineStr">
        <is>
          <t>ORR</t>
        </is>
      </c>
      <c r="I57" s="29" t="inlineStr">
        <is>
          <t>OPEN</t>
        </is>
      </c>
      <c r="J57" s="12" t="n"/>
      <c r="K57" s="28" t="n"/>
      <c r="L57" s="12" t="n"/>
    </row>
    <row r="58">
      <c r="A58" s="12" t="inlineStr">
        <is>
          <t>SUP-09</t>
        </is>
      </c>
      <c r="B58" s="12" t="inlineStr">
        <is>
          <t>Support</t>
        </is>
      </c>
      <c r="C58" s="12" t="inlineStr">
        <is>
          <t>Open UAT issues: none Critical or High; Medium with agreed fix dates and workarounds known to L1</t>
        </is>
      </c>
      <c r="D58" s="12" t="inlineStr">
        <is>
          <t>Issue log</t>
        </is>
      </c>
      <c r="E58" s="12" t="inlineStr">
        <is>
          <t>UAT issue log at the UAT acceptance</t>
        </is>
      </c>
      <c r="F58" s="12" t="inlineStr">
        <is>
          <t>iorta TechNXT QA</t>
        </is>
      </c>
      <c r="G58" s="28" t="n">
        <v>46736</v>
      </c>
      <c r="H58" s="12" t="inlineStr">
        <is>
          <t>PRR</t>
        </is>
      </c>
      <c r="I58" s="29" t="inlineStr">
        <is>
          <t>OPEN</t>
        </is>
      </c>
      <c r="J58" s="12" t="n"/>
      <c r="K58" s="28" t="n"/>
      <c r="L58" s="12" t="n"/>
    </row>
    <row r="59">
      <c r="A59" s="12" t="inlineStr">
        <is>
          <t>CMP-01</t>
        </is>
      </c>
      <c r="B59" s="12" t="inlineStr">
        <is>
          <t>Compliance</t>
        </is>
      </c>
      <c r="C59" s="12" t="inlineStr">
        <is>
          <t>Hosting in AWS ap-southeast-1 with access restricted to personnel in the Philippines; DR region approved under the same cross-border basis</t>
        </is>
      </c>
      <c r="D59" s="12" t="inlineStr">
        <is>
          <t>Approval of the DR region (IQ26, DSQ01)</t>
        </is>
      </c>
      <c r="E59" s="12" t="inlineStr">
        <is>
          <t>BDOI approval memo</t>
        </is>
      </c>
      <c r="F59" s="12" t="inlineStr">
        <is>
          <t>Compliance</t>
        </is>
      </c>
      <c r="G59" s="28" t="n">
        <v>46568</v>
      </c>
      <c r="H59" s="12" t="inlineStr">
        <is>
          <t>ORR</t>
        </is>
      </c>
      <c r="I59" s="29" t="inlineStr">
        <is>
          <t>OPEN</t>
        </is>
      </c>
      <c r="J59" s="12" t="n"/>
      <c r="K59" s="28" t="n"/>
      <c r="L59" s="12" t="n"/>
    </row>
    <row r="60">
      <c r="A60" s="12" t="inlineStr">
        <is>
          <t>CMP-02</t>
        </is>
      </c>
      <c r="B60" s="12" t="inlineStr">
        <is>
          <t>Compliance</t>
        </is>
      </c>
      <c r="C60" s="12" t="inlineStr">
        <is>
          <t>Privacy impact assessment of BIBS and the records of processing updated</t>
        </is>
      </c>
      <c r="D60" s="12" t="inlineStr">
        <is>
          <t>Signed by the Data Protection Officer</t>
        </is>
      </c>
      <c r="E60" s="12" t="inlineStr">
        <is>
          <t>Privacy impact assessment</t>
        </is>
      </c>
      <c r="F60" s="12" t="inlineStr">
        <is>
          <t>Data Protection Officer</t>
        </is>
      </c>
      <c r="G60" s="28" t="n">
        <v>46721</v>
      </c>
      <c r="H60" s="12" t="inlineStr">
        <is>
          <t>ORR</t>
        </is>
      </c>
      <c r="I60" s="29" t="inlineStr">
        <is>
          <t>OPEN</t>
        </is>
      </c>
      <c r="J60" s="12" t="n"/>
      <c r="K60" s="28" t="n"/>
      <c r="L60" s="12" t="n"/>
    </row>
    <row r="61">
      <c r="A61" s="12" t="inlineStr">
        <is>
          <t>CMP-03</t>
        </is>
      </c>
      <c r="B61" s="12" t="inlineStr">
        <is>
          <t>Compliance</t>
        </is>
      </c>
      <c r="C61" s="12" t="inlineStr">
        <is>
          <t>Retention rules per record type configured (default 5 years online, 15 years archive) and legal holds for the record classes named by the DOA</t>
        </is>
      </c>
      <c r="D61" s="12" t="inlineStr">
        <is>
          <t>Data Retention and Record Classes screens equal the approved schedule</t>
        </is>
      </c>
      <c r="E61" s="12" t="inlineStr">
        <is>
          <t>Retention schedule sign-off</t>
        </is>
      </c>
      <c r="F61" s="12" t="inlineStr">
        <is>
          <t>Compliance</t>
        </is>
      </c>
      <c r="G61" s="28" t="n">
        <v>46736</v>
      </c>
      <c r="H61" s="12" t="inlineStr">
        <is>
          <t>PRR</t>
        </is>
      </c>
      <c r="I61" s="29" t="inlineStr">
        <is>
          <t>OPEN</t>
        </is>
      </c>
      <c r="J61" s="12" t="n"/>
      <c r="K61" s="28" t="n"/>
      <c r="L61" s="12" t="n"/>
    </row>
    <row r="62">
      <c r="A62" s="12" t="inlineStr">
        <is>
          <t>CMP-04</t>
        </is>
      </c>
      <c r="B62" s="12" t="inlineStr">
        <is>
          <t>Compliance</t>
        </is>
      </c>
      <c r="C62" s="12" t="inlineStr">
        <is>
          <t>Receipt series (AR and OR) registered with the BIR for BIBS and the next numbers set to legacy last used plus one per branch</t>
        </is>
      </c>
      <c r="D62" s="12" t="inlineStr">
        <is>
          <t>Series registered; next numbers checked at CT-050</t>
        </is>
      </c>
      <c r="E62" s="12" t="inlineStr">
        <is>
          <t>BIR registration; receipt series report</t>
        </is>
      </c>
      <c r="F62" s="12" t="inlineStr">
        <is>
          <t>Head, Comptrollership</t>
        </is>
      </c>
      <c r="G62" s="28" t="n">
        <v>46691</v>
      </c>
      <c r="H62" s="12" t="inlineStr">
        <is>
          <t>PRR</t>
        </is>
      </c>
      <c r="I62" s="29" t="inlineStr">
        <is>
          <t>OPEN</t>
        </is>
      </c>
      <c r="J62" s="12" t="n"/>
      <c r="K62" s="28" t="n"/>
      <c r="L62" s="12" t="n"/>
    </row>
    <row r="63">
      <c r="A63" s="12" t="inlineStr">
        <is>
          <t>CMP-05</t>
        </is>
      </c>
      <c r="B63" s="12" t="inlineStr">
        <is>
          <t>Compliance</t>
        </is>
      </c>
      <c r="C63" s="12" t="inlineStr">
        <is>
          <t>BIR books of accounts and reports generated by BIBS accepted (Cash Receipts and Cash Disbursements Books, GL, subsidiary ledgers)</t>
        </is>
      </c>
      <c r="D63" s="12" t="inlineStr">
        <is>
          <t>BIR acceptance of the computerised books, or the filing route agreed</t>
        </is>
      </c>
      <c r="E63" s="12" t="inlineStr">
        <is>
          <t>BIR acknowledgement or Comptrollership memo</t>
        </is>
      </c>
      <c r="F63" s="12" t="inlineStr">
        <is>
          <t>Head, Comptrollership</t>
        </is>
      </c>
      <c r="G63" s="28" t="n">
        <v>46721</v>
      </c>
      <c r="H63" s="12" t="inlineStr">
        <is>
          <t>PRR</t>
        </is>
      </c>
      <c r="I63" s="29" t="inlineStr">
        <is>
          <t>OPEN</t>
        </is>
      </c>
      <c r="J63" s="12" t="n"/>
      <c r="K63" s="28" t="n"/>
      <c r="L63" s="12" t="n"/>
    </row>
    <row r="64">
      <c r="A64" s="12" t="inlineStr">
        <is>
          <t>CMP-06</t>
        </is>
      </c>
      <c r="B64" s="12" t="inlineStr">
        <is>
          <t>Compliance</t>
        </is>
      </c>
      <c r="C64" s="12" t="inlineStr">
        <is>
          <t>Sanction screening: active watchlist sources, configuration version and SLA matrix approved</t>
        </is>
      </c>
      <c r="D64" s="12" t="inlineStr">
        <is>
          <t>Ingestion run green for 5 days in UAT</t>
        </is>
      </c>
      <c r="E64" s="12" t="inlineStr">
        <is>
          <t>List Sources and Runs; configuration approval</t>
        </is>
      </c>
      <c r="F64" s="12" t="inlineStr">
        <is>
          <t>Compliance</t>
        </is>
      </c>
      <c r="G64" s="28" t="n">
        <v>46736</v>
      </c>
      <c r="H64" s="12" t="inlineStr">
        <is>
          <t>PRR</t>
        </is>
      </c>
      <c r="I64" s="29" t="inlineStr">
        <is>
          <t>OPEN</t>
        </is>
      </c>
      <c r="J64" s="12" t="n"/>
      <c r="K64" s="28" t="n"/>
      <c r="L64" s="12" t="n"/>
    </row>
    <row r="65">
      <c r="A65" s="12" t="inlineStr">
        <is>
          <t>CMP-07</t>
        </is>
      </c>
      <c r="B65" s="12" t="inlineStr">
        <is>
          <t>Compliance</t>
        </is>
      </c>
      <c r="C65" s="12" t="inlineStr">
        <is>
          <t>Audit trail and Legacy Inquiry access log verified by Internal Audit</t>
        </is>
      </c>
      <c r="D65" s="12" t="inlineStr">
        <is>
          <t>Samples traced from screen to audit entry</t>
        </is>
      </c>
      <c r="E65" s="12" t="inlineStr">
        <is>
          <t>Internal Audit memo</t>
        </is>
      </c>
      <c r="F65" s="12" t="inlineStr">
        <is>
          <t>Internal Audit</t>
        </is>
      </c>
      <c r="G65" s="28" t="n">
        <v>46736</v>
      </c>
      <c r="H65" s="12" t="inlineStr">
        <is>
          <t>PRR</t>
        </is>
      </c>
      <c r="I65" s="29" t="inlineStr">
        <is>
          <t>OPEN</t>
        </is>
      </c>
      <c r="J65" s="12" t="n"/>
      <c r="K65" s="28" t="n"/>
      <c r="L65" s="12" t="n"/>
    </row>
    <row r="66">
      <c r="A66" s="12" t="inlineStr">
        <is>
          <t>CMP-08</t>
        </is>
      </c>
      <c r="B66" s="12" t="inlineStr">
        <is>
          <t>Compliance</t>
        </is>
      </c>
      <c r="C66" s="12" t="inlineStr">
        <is>
          <t>Insurance Commission and AMLC reporting obligations mapped to BIBS reports with owners</t>
        </is>
      </c>
      <c r="D66" s="12" t="inlineStr">
        <is>
          <t>Each obligation has a report and an owner</t>
        </is>
      </c>
      <c r="E66" s="12" t="inlineStr">
        <is>
          <t>Regulatory reporting map</t>
        </is>
      </c>
      <c r="F66" s="12" t="inlineStr">
        <is>
          <t>Compliance</t>
        </is>
      </c>
      <c r="G66" s="28" t="n">
        <v>46721</v>
      </c>
      <c r="H66" s="12" t="inlineStr">
        <is>
          <t>PRR</t>
        </is>
      </c>
      <c r="I66" s="29" t="inlineStr">
        <is>
          <t>OPEN</t>
        </is>
      </c>
      <c r="J66" s="12" t="n"/>
      <c r="K66" s="28" t="n"/>
      <c r="L66" s="12" t="n"/>
    </row>
    <row r="67">
      <c r="A67" s="12" t="inlineStr">
        <is>
          <t>BUS-01</t>
        </is>
      </c>
      <c r="B67" s="12" t="inlineStr">
        <is>
          <t>Business</t>
        </is>
      </c>
      <c r="C67" s="12" t="inlineStr">
        <is>
          <t>UAT acceptance of Drop 2 (Claims, Employee Benefits, Production Reconciliation, Marketing Collection, other reports)</t>
        </is>
      </c>
      <c r="D67" s="12" t="inlineStr">
        <is>
          <t>Certificate C1 signed</t>
        </is>
      </c>
      <c r="E67" s="12" t="inlineStr">
        <is>
          <t>UAT acceptance certificate</t>
        </is>
      </c>
      <c r="F67" s="12" t="inlineStr">
        <is>
          <t>Business process owners of Drop 2</t>
        </is>
      </c>
      <c r="G67" s="28" t="n">
        <v>46721</v>
      </c>
      <c r="H67" s="12" t="inlineStr">
        <is>
          <t>PRR</t>
        </is>
      </c>
      <c r="I67" s="29" t="inlineStr">
        <is>
          <t>OPEN</t>
        </is>
      </c>
      <c r="J67" s="12" t="n"/>
      <c r="K67" s="28" t="n"/>
      <c r="L67" s="12" t="n"/>
    </row>
    <row r="68">
      <c r="A68" s="12" t="inlineStr">
        <is>
          <t>BUS-02</t>
        </is>
      </c>
      <c r="B68" s="12" t="inlineStr">
        <is>
          <t>Business</t>
        </is>
      </c>
      <c r="C68" s="12" t="inlineStr">
        <is>
          <t>UAT acceptance of Drop 0 and Drop 1, end to end on migrated data</t>
        </is>
      </c>
      <c r="D68" s="12" t="inlineStr">
        <is>
          <t>Certificate C1 signed</t>
        </is>
      </c>
      <c r="E68" s="12" t="inlineStr">
        <is>
          <t>UAT acceptance certificate</t>
        </is>
      </c>
      <c r="F68" s="12" t="inlineStr">
        <is>
          <t>Business process owners of Drop 0 and Drop 1</t>
        </is>
      </c>
      <c r="G68" s="28" t="n">
        <v>46736</v>
      </c>
      <c r="H68" s="12" t="inlineStr">
        <is>
          <t>PRR</t>
        </is>
      </c>
      <c r="I68" s="29" t="inlineStr">
        <is>
          <t>OPEN</t>
        </is>
      </c>
      <c r="J68" s="12" t="n"/>
      <c r="K68" s="28" t="n"/>
      <c r="L68" s="12" t="n"/>
    </row>
    <row r="69">
      <c r="A69" s="12" t="inlineStr">
        <is>
          <t>BUS-03</t>
        </is>
      </c>
      <c r="B69" s="12" t="inlineStr">
        <is>
          <t>Business</t>
        </is>
      </c>
      <c r="C69" s="12" t="inlineStr">
        <is>
          <t>Users of every persona trained on BIBS; super users per department named</t>
        </is>
      </c>
      <c r="D69" s="12" t="inlineStr">
        <is>
          <t>At least 95 % of named users trained; 100 % of super users</t>
        </is>
      </c>
      <c r="E69" s="12" t="inlineStr">
        <is>
          <t>Training attendance (CT-009)</t>
        </is>
      </c>
      <c r="F69" s="12" t="inlineStr">
        <is>
          <t>BDOI Program Manager</t>
        </is>
      </c>
      <c r="G69" s="28" t="n">
        <v>46736</v>
      </c>
      <c r="H69" s="12" t="inlineStr">
        <is>
          <t>GNG-1</t>
        </is>
      </c>
      <c r="I69" s="29" t="inlineStr">
        <is>
          <t>OPEN</t>
        </is>
      </c>
      <c r="J69" s="12" t="n"/>
      <c r="K69" s="28" t="n"/>
      <c r="L69" s="12" t="n"/>
    </row>
    <row r="70">
      <c r="A70" s="12" t="inlineStr">
        <is>
          <t>BUS-04</t>
        </is>
      </c>
      <c r="B70" s="12" t="inlineStr">
        <is>
          <t>Business</t>
        </is>
      </c>
      <c r="C70" s="12" t="inlineStr">
        <is>
          <t>Renewal processing team ready for the January 2028 expiries</t>
        </is>
      </c>
      <c r="D70" s="12" t="inlineStr">
        <is>
          <t>Staffing plan signed; day-1 queue rehearsed (CT-013)</t>
        </is>
      </c>
      <c r="E70" s="12" t="inlineStr">
        <is>
          <t>Staffing plan</t>
        </is>
      </c>
      <c r="F70" s="12" t="inlineStr">
        <is>
          <t>Head of the Renewal processing team</t>
        </is>
      </c>
      <c r="G70" s="28" t="n">
        <v>46735</v>
      </c>
      <c r="H70" s="12" t="inlineStr">
        <is>
          <t>GNG-1</t>
        </is>
      </c>
      <c r="I70" s="29" t="inlineStr">
        <is>
          <t>OPEN</t>
        </is>
      </c>
      <c r="J70" s="12" t="n"/>
      <c r="K70" s="28" t="n"/>
      <c r="L70" s="12" t="n"/>
    </row>
    <row r="71">
      <c r="A71" s="12" t="inlineStr">
        <is>
          <t>BUS-05</t>
        </is>
      </c>
      <c r="B71" s="12" t="inlineStr">
        <is>
          <t>Business</t>
        </is>
      </c>
      <c r="C71" s="12" t="inlineStr">
        <is>
          <t>Branch procedures for go-live week issued (receipts, deposits, urgent items over the holidays)</t>
        </is>
      </c>
      <c r="D71" s="12" t="inlineStr">
        <is>
          <t>Branch close checklist and go-live checklist in every branch</t>
        </is>
      </c>
      <c r="E71" s="12" t="inlineStr">
        <is>
          <t>Branch readiness confirmations</t>
        </is>
      </c>
      <c r="F71" s="12" t="inlineStr">
        <is>
          <t>Head, Operations</t>
        </is>
      </c>
      <c r="G71" s="28" t="n">
        <v>46743</v>
      </c>
      <c r="H71" s="12" t="inlineStr">
        <is>
          <t>GNG-2</t>
        </is>
      </c>
      <c r="I71" s="29" t="inlineStr">
        <is>
          <t>OPEN</t>
        </is>
      </c>
      <c r="J71" s="12" t="n"/>
      <c r="K71" s="28" t="n"/>
      <c r="L71" s="12" t="n"/>
    </row>
    <row r="72">
      <c r="A72" s="12" t="inlineStr">
        <is>
          <t>BUS-06</t>
        </is>
      </c>
      <c r="B72" s="12" t="inlineStr">
        <is>
          <t>Business</t>
        </is>
      </c>
      <c r="C72" s="12" t="inlineStr">
        <is>
          <t>Communications to branches, insurers, bank channels and corporate clients sent</t>
        </is>
      </c>
      <c r="D72" s="12" t="inlineStr">
        <is>
          <t>Items 1 to 7 of the cutover communication plan</t>
        </is>
      </c>
      <c r="E72" s="12" t="inlineStr">
        <is>
          <t>Communication log</t>
        </is>
      </c>
      <c r="F72" s="12" t="inlineStr">
        <is>
          <t>BDOI Program Manager</t>
        </is>
      </c>
      <c r="G72" s="28" t="n">
        <v>46750</v>
      </c>
      <c r="H72" s="12" t="inlineStr">
        <is>
          <t>GNG-2</t>
        </is>
      </c>
      <c r="I72" s="29" t="inlineStr">
        <is>
          <t>OPEN</t>
        </is>
      </c>
      <c r="J72" s="12" t="n"/>
      <c r="K72" s="28" t="n"/>
      <c r="L72" s="12" t="n"/>
    </row>
    <row r="73">
      <c r="A73" s="12" t="inlineStr">
        <is>
          <t>BUS-07</t>
        </is>
      </c>
      <c r="B73" s="12" t="inlineStr">
        <is>
          <t>Business</t>
        </is>
      </c>
      <c r="C73" s="12" t="inlineStr">
        <is>
          <t>Year-end option A confirmed and the December soft close completed</t>
        </is>
      </c>
      <c r="D73" s="12" t="inlineStr">
        <is>
          <t>Written confirmation; soft-close checklist signed on 20-Dec-2027</t>
        </is>
      </c>
      <c r="E73" s="12" t="inlineStr">
        <is>
          <t>Comptrollership memo; checklist</t>
        </is>
      </c>
      <c r="F73" s="12" t="inlineStr">
        <is>
          <t>Head, Comptrollership</t>
        </is>
      </c>
      <c r="G73" s="28" t="n">
        <v>46741</v>
      </c>
      <c r="H73" s="12" t="inlineStr">
        <is>
          <t>GNG-2</t>
        </is>
      </c>
      <c r="I73" s="29" t="inlineStr">
        <is>
          <t>OPEN</t>
        </is>
      </c>
      <c r="J73" s="12" t="n"/>
      <c r="K73" s="28" t="n"/>
      <c r="L73" s="12" t="n"/>
    </row>
    <row r="74">
      <c r="A74" s="12" t="inlineStr">
        <is>
          <t>BUS-08</t>
        </is>
      </c>
      <c r="B74" s="12" t="inlineStr">
        <is>
          <t>Business</t>
        </is>
      </c>
      <c r="C74" s="12" t="inlineStr">
        <is>
          <t>Business continuity procedures of the DR and BCP plan issued to the departments and walked through</t>
        </is>
      </c>
      <c r="D74" s="12" t="inlineStr">
        <is>
          <t>Tabletop exercise per department</t>
        </is>
      </c>
      <c r="E74" s="12" t="inlineStr">
        <is>
          <t>Exercise attendance and actions</t>
        </is>
      </c>
      <c r="F74" s="12" t="inlineStr">
        <is>
          <t>Business process owners</t>
        </is>
      </c>
      <c r="G74" s="28" t="n">
        <v>46731</v>
      </c>
      <c r="H74" s="12" t="inlineStr">
        <is>
          <t>PRR</t>
        </is>
      </c>
      <c r="I74" s="29" t="inlineStr">
        <is>
          <t>OPEN</t>
        </is>
      </c>
      <c r="J74" s="12" t="n"/>
      <c r="K74" s="28" t="n"/>
      <c r="L74" s="12" t="n"/>
    </row>
    <row r="75">
      <c r="A75" s="12" t="inlineStr">
        <is>
          <t>BUS-09</t>
        </is>
      </c>
      <c r="B75" s="12" t="inlineStr">
        <is>
          <t>Business</t>
        </is>
      </c>
      <c r="C75" s="12" t="inlineStr">
        <is>
          <t>Business smoke test on production passed</t>
        </is>
      </c>
      <c r="D75" s="12" t="inlineStr">
        <is>
          <t>Checklist of CT-056 passed; no posting left open</t>
        </is>
      </c>
      <c r="E75" s="12" t="inlineStr">
        <is>
          <t>Smoke test checklist</t>
        </is>
      </c>
      <c r="F75" s="12" t="inlineStr">
        <is>
          <t>iorta TechNXT QA</t>
        </is>
      </c>
      <c r="G75" s="28" t="n">
        <v>46754</v>
      </c>
      <c r="H75" s="12" t="inlineStr">
        <is>
          <t>GNG-3</t>
        </is>
      </c>
      <c r="I75" s="29" t="inlineStr">
        <is>
          <t>OPEN</t>
        </is>
      </c>
      <c r="J75" s="12" t="n"/>
      <c r="K75" s="28" t="n"/>
      <c r="L75" s="12" t="n"/>
    </row>
    <row r="76">
      <c r="A76" s="12" t="inlineStr">
        <is>
          <t>BUS-10</t>
        </is>
      </c>
      <c r="B76" s="12" t="inlineStr">
        <is>
          <t>Business</t>
        </is>
      </c>
      <c r="C76" s="12" t="inlineStr">
        <is>
          <t>Interfaces live at go-live tested end to end in UAT with the other system's owner (EIAM, CCM, bank channels, CMS / New BOB, OBPCS, PMS, HL-LOAS, ECM)</t>
        </is>
      </c>
      <c r="D76" s="12" t="inlineStr">
        <is>
          <t>Test across both systems passed per interface</t>
        </is>
      </c>
      <c r="E76" s="12" t="inlineStr">
        <is>
          <t>Integration test records</t>
        </is>
      </c>
      <c r="F76" s="12" t="inlineStr">
        <is>
          <t>BDOI IT system owners</t>
        </is>
      </c>
      <c r="G76" s="28" t="n">
        <v>46736</v>
      </c>
      <c r="H76" s="12" t="inlineStr">
        <is>
          <t>PRR</t>
        </is>
      </c>
      <c r="I76" s="29" t="inlineStr">
        <is>
          <t>OPEN</t>
        </is>
      </c>
      <c r="J76" s="12" t="n"/>
      <c r="K76" s="28" t="n"/>
      <c r="L76" s="12" t="n"/>
    </row>
    <row r="77">
      <c r="A77" s="12" t="inlineStr">
        <is>
          <t>BUS-11</t>
        </is>
      </c>
      <c r="B77" s="12" t="inlineStr">
        <is>
          <t>Business</t>
        </is>
      </c>
      <c r="C77" s="12" t="inlineStr">
        <is>
          <t>Legacy systems can be set read-only with access logging; freeze tested</t>
        </is>
      </c>
      <c r="D77" s="12" t="inlineStr">
        <is>
          <t>Freeze test refused a posting in each business module</t>
        </is>
      </c>
      <c r="E77" s="12" t="inlineStr">
        <is>
          <t>Freeze test record (CT-036)</t>
        </is>
      </c>
      <c r="F77" s="12" t="inlineStr">
        <is>
          <t>BDOI IT</t>
        </is>
      </c>
      <c r="G77" s="28" t="n">
        <v>46752</v>
      </c>
      <c r="H77" s="12" t="inlineStr">
        <is>
          <t>GNG-3</t>
        </is>
      </c>
      <c r="I77" s="29" t="inlineStr">
        <is>
          <t>OPEN</t>
        </is>
      </c>
      <c r="J77" s="12" t="n"/>
      <c r="K77" s="28" t="n"/>
      <c r="L77" s="12" t="n"/>
    </row>
  </sheetData>
  <autoFilter ref="A4:L77"/>
  <mergeCells count="1">
    <mergeCell ref="A2:L2"/>
  </mergeCells>
  <conditionalFormatting sqref="I5:I577">
    <cfRule type="cellIs" priority="1" operator="equal" dxfId="0" stopIfTrue="1">
      <formula>"OPEN"</formula>
    </cfRule>
    <cfRule type="cellIs" priority="2" operator="equal" dxfId="0" stopIfTrue="1">
      <formula>"IN PROGRESS"</formula>
    </cfRule>
    <cfRule type="cellIs" priority="3" operator="equal" dxfId="1" stopIfTrue="1">
      <formula>"DONE"</formula>
    </cfRule>
    <cfRule type="cellIs" priority="4" operator="equal" dxfId="2" stopIfTrue="1">
      <formula>"BLOCKED"</formula>
    </cfRule>
    <cfRule type="cellIs" priority="5" operator="equal" dxfId="3" stopIfTrue="1">
      <formula>"N/A"</formula>
    </cfRule>
  </conditionalFormatting>
  <conditionalFormatting sqref="A5:L577">
    <cfRule type="expression" priority="6" dxfId="4">
      <formula>AND(MOD(ROW(),2)=0,$A5&lt;&gt;"")</formula>
    </cfRule>
  </conditionalFormatting>
  <dataValidations count="3">
    <dataValidation sqref="B5:B577" showDropDown="0" showInputMessage="0" showErrorMessage="1" allowBlank="1" errorTitle="Area" error="Choose a value from the list (Area)." type="list">
      <formula1>'_lists'!$A$1:$A$7</formula1>
    </dataValidation>
    <dataValidation sqref="H5:H577" showDropDown="0" showInputMessage="0" showErrorMessage="1" allowBlank="1" errorTitle="Gate" error="Choose a value from the list (Gate)." type="list">
      <formula1>'_lists'!$B$1:$B$5</formula1>
    </dataValidation>
    <dataValidation sqref="I5:I577" showDropDown="0" showInputMessage="0" showErrorMessage="1" allowBlank="1" errorTitle="Status" error="Choose a value from the list (Status)." type="list">
      <formula1>'_lists'!$C$1:$C$5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&amp;K004EA8Production Readiness Checklist&amp;R&amp;8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24" customHeight="1">
      <c r="A1" s="22" t="inlineStr">
        <is>
          <t>Summary</t>
        </is>
      </c>
    </row>
    <row r="2">
      <c r="A2" s="25" t="inlineStr">
        <is>
          <t>Counts by area and status, recalculated from the Checklist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</row>
    <row r="4" ht="30" customHeight="1">
      <c r="A4" s="27" t="inlineStr">
        <is>
          <t>Area</t>
        </is>
      </c>
      <c r="B4" s="27" t="inlineStr">
        <is>
          <t>Criteria</t>
        </is>
      </c>
      <c r="C4" s="27" t="inlineStr">
        <is>
          <t>Open</t>
        </is>
      </c>
      <c r="D4" s="27" t="inlineStr">
        <is>
          <t>In Progress</t>
        </is>
      </c>
      <c r="E4" s="27" t="inlineStr">
        <is>
          <t>Done</t>
        </is>
      </c>
      <c r="F4" s="27" t="inlineStr">
        <is>
          <t>Blocked</t>
        </is>
      </c>
      <c r="G4" s="27" t="inlineStr">
        <is>
          <t>N/A</t>
        </is>
      </c>
      <c r="H4" s="27" t="inlineStr">
        <is>
          <t>Met (%)</t>
        </is>
      </c>
    </row>
    <row r="5">
      <c r="A5" s="12" t="inlineStr">
        <is>
          <t>Operational</t>
        </is>
      </c>
      <c r="B5" s="12">
        <f>COUNTIF(Checklist!$B$5:$B$600,"Operational")</f>
        <v/>
      </c>
      <c r="C5" s="12">
        <f>COUNTIFS(Checklist!$B$5:$B$600,"Operational",Checklist!$I$5:$I$600,"OPEN")</f>
        <v/>
      </c>
      <c r="D5" s="12">
        <f>COUNTIFS(Checklist!$B$5:$B$600,"Operational",Checklist!$I$5:$I$600,"IN PROGRESS")</f>
        <v/>
      </c>
      <c r="E5" s="12">
        <f>COUNTIFS(Checklist!$B$5:$B$600,"Operational",Checklist!$I$5:$I$600,"DONE")</f>
        <v/>
      </c>
      <c r="F5" s="12">
        <f>COUNTIFS(Checklist!$B$5:$B$600,"Operational",Checklist!$I$5:$I$600,"BLOCKED")</f>
        <v/>
      </c>
      <c r="G5" s="12">
        <f>COUNTIFS(Checklist!$B$5:$B$600,"Operational",Checklist!$I$5:$I$600,"N/A")</f>
        <v/>
      </c>
      <c r="H5" s="12">
        <f>IF(B5-G5=0,0,ROUND(100*E5/(B5-G5),1))</f>
        <v/>
      </c>
    </row>
    <row r="6">
      <c r="A6" s="12" t="inlineStr">
        <is>
          <t>Security</t>
        </is>
      </c>
      <c r="B6" s="12">
        <f>COUNTIF(Checklist!$B$5:$B$600,"Security")</f>
        <v/>
      </c>
      <c r="C6" s="12">
        <f>COUNTIFS(Checklist!$B$5:$B$600,"Security",Checklist!$I$5:$I$600,"OPEN")</f>
        <v/>
      </c>
      <c r="D6" s="12">
        <f>COUNTIFS(Checklist!$B$5:$B$600,"Security",Checklist!$I$5:$I$600,"IN PROGRESS")</f>
        <v/>
      </c>
      <c r="E6" s="12">
        <f>COUNTIFS(Checklist!$B$5:$B$600,"Security",Checklist!$I$5:$I$600,"DONE")</f>
        <v/>
      </c>
      <c r="F6" s="12">
        <f>COUNTIFS(Checklist!$B$5:$B$600,"Security",Checklist!$I$5:$I$600,"BLOCKED")</f>
        <v/>
      </c>
      <c r="G6" s="12">
        <f>COUNTIFS(Checklist!$B$5:$B$600,"Security",Checklist!$I$5:$I$600,"N/A")</f>
        <v/>
      </c>
      <c r="H6" s="12">
        <f>IF(B6-G6=0,0,ROUND(100*E6/(B6-G6),1))</f>
        <v/>
      </c>
    </row>
    <row r="7">
      <c r="A7" s="12" t="inlineStr">
        <is>
          <t>Performance</t>
        </is>
      </c>
      <c r="B7" s="12">
        <f>COUNTIF(Checklist!$B$5:$B$600,"Performance")</f>
        <v/>
      </c>
      <c r="C7" s="12">
        <f>COUNTIFS(Checklist!$B$5:$B$600,"Performance",Checklist!$I$5:$I$600,"OPEN")</f>
        <v/>
      </c>
      <c r="D7" s="12">
        <f>COUNTIFS(Checklist!$B$5:$B$600,"Performance",Checklist!$I$5:$I$600,"IN PROGRESS")</f>
        <v/>
      </c>
      <c r="E7" s="12">
        <f>COUNTIFS(Checklist!$B$5:$B$600,"Performance",Checklist!$I$5:$I$600,"DONE")</f>
        <v/>
      </c>
      <c r="F7" s="12">
        <f>COUNTIFS(Checklist!$B$5:$B$600,"Performance",Checklist!$I$5:$I$600,"BLOCKED")</f>
        <v/>
      </c>
      <c r="G7" s="12">
        <f>COUNTIFS(Checklist!$B$5:$B$600,"Performance",Checklist!$I$5:$I$600,"N/A")</f>
        <v/>
      </c>
      <c r="H7" s="12">
        <f>IF(B7-G7=0,0,ROUND(100*E7/(B7-G7),1))</f>
        <v/>
      </c>
    </row>
    <row r="8">
      <c r="A8" s="12" t="inlineStr">
        <is>
          <t>Data</t>
        </is>
      </c>
      <c r="B8" s="12">
        <f>COUNTIF(Checklist!$B$5:$B$600,"Data")</f>
        <v/>
      </c>
      <c r="C8" s="12">
        <f>COUNTIFS(Checklist!$B$5:$B$600,"Data",Checklist!$I$5:$I$600,"OPEN")</f>
        <v/>
      </c>
      <c r="D8" s="12">
        <f>COUNTIFS(Checklist!$B$5:$B$600,"Data",Checklist!$I$5:$I$600,"IN PROGRESS")</f>
        <v/>
      </c>
      <c r="E8" s="12">
        <f>COUNTIFS(Checklist!$B$5:$B$600,"Data",Checklist!$I$5:$I$600,"DONE")</f>
        <v/>
      </c>
      <c r="F8" s="12">
        <f>COUNTIFS(Checklist!$B$5:$B$600,"Data",Checklist!$I$5:$I$600,"BLOCKED")</f>
        <v/>
      </c>
      <c r="G8" s="12">
        <f>COUNTIFS(Checklist!$B$5:$B$600,"Data",Checklist!$I$5:$I$600,"N/A")</f>
        <v/>
      </c>
      <c r="H8" s="12">
        <f>IF(B8-G8=0,0,ROUND(100*E8/(B8-G8),1))</f>
        <v/>
      </c>
    </row>
    <row r="9">
      <c r="A9" s="12" t="inlineStr">
        <is>
          <t>Support</t>
        </is>
      </c>
      <c r="B9" s="12">
        <f>COUNTIF(Checklist!$B$5:$B$600,"Support")</f>
        <v/>
      </c>
      <c r="C9" s="12">
        <f>COUNTIFS(Checklist!$B$5:$B$600,"Support",Checklist!$I$5:$I$600,"OPEN")</f>
        <v/>
      </c>
      <c r="D9" s="12">
        <f>COUNTIFS(Checklist!$B$5:$B$600,"Support",Checklist!$I$5:$I$600,"IN PROGRESS")</f>
        <v/>
      </c>
      <c r="E9" s="12">
        <f>COUNTIFS(Checklist!$B$5:$B$600,"Support",Checklist!$I$5:$I$600,"DONE")</f>
        <v/>
      </c>
      <c r="F9" s="12">
        <f>COUNTIFS(Checklist!$B$5:$B$600,"Support",Checklist!$I$5:$I$600,"BLOCKED")</f>
        <v/>
      </c>
      <c r="G9" s="12">
        <f>COUNTIFS(Checklist!$B$5:$B$600,"Support",Checklist!$I$5:$I$600,"N/A")</f>
        <v/>
      </c>
      <c r="H9" s="12">
        <f>IF(B9-G9=0,0,ROUND(100*E9/(B9-G9),1))</f>
        <v/>
      </c>
    </row>
    <row r="10">
      <c r="A10" s="12" t="inlineStr">
        <is>
          <t>Compliance</t>
        </is>
      </c>
      <c r="B10" s="12">
        <f>COUNTIF(Checklist!$B$5:$B$600,"Compliance")</f>
        <v/>
      </c>
      <c r="C10" s="12">
        <f>COUNTIFS(Checklist!$B$5:$B$600,"Compliance",Checklist!$I$5:$I$600,"OPEN")</f>
        <v/>
      </c>
      <c r="D10" s="12">
        <f>COUNTIFS(Checklist!$B$5:$B$600,"Compliance",Checklist!$I$5:$I$600,"IN PROGRESS")</f>
        <v/>
      </c>
      <c r="E10" s="12">
        <f>COUNTIFS(Checklist!$B$5:$B$600,"Compliance",Checklist!$I$5:$I$600,"DONE")</f>
        <v/>
      </c>
      <c r="F10" s="12">
        <f>COUNTIFS(Checklist!$B$5:$B$600,"Compliance",Checklist!$I$5:$I$600,"BLOCKED")</f>
        <v/>
      </c>
      <c r="G10" s="12">
        <f>COUNTIFS(Checklist!$B$5:$B$600,"Compliance",Checklist!$I$5:$I$600,"N/A")</f>
        <v/>
      </c>
      <c r="H10" s="12">
        <f>IF(B10-G10=0,0,ROUND(100*E10/(B10-G10),1))</f>
        <v/>
      </c>
    </row>
    <row r="11">
      <c r="A11" s="12" t="inlineStr">
        <is>
          <t>Business</t>
        </is>
      </c>
      <c r="B11" s="12">
        <f>COUNTIF(Checklist!$B$5:$B$600,"Business")</f>
        <v/>
      </c>
      <c r="C11" s="12">
        <f>COUNTIFS(Checklist!$B$5:$B$600,"Business",Checklist!$I$5:$I$600,"OPEN")</f>
        <v/>
      </c>
      <c r="D11" s="12">
        <f>COUNTIFS(Checklist!$B$5:$B$600,"Business",Checklist!$I$5:$I$600,"IN PROGRESS")</f>
        <v/>
      </c>
      <c r="E11" s="12">
        <f>COUNTIFS(Checklist!$B$5:$B$600,"Business",Checklist!$I$5:$I$600,"DONE")</f>
        <v/>
      </c>
      <c r="F11" s="12">
        <f>COUNTIFS(Checklist!$B$5:$B$600,"Business",Checklist!$I$5:$I$600,"BLOCKED")</f>
        <v/>
      </c>
      <c r="G11" s="12">
        <f>COUNTIFS(Checklist!$B$5:$B$600,"Business",Checklist!$I$5:$I$600,"N/A")</f>
        <v/>
      </c>
      <c r="H11" s="12">
        <f>IF(B11-G11=0,0,ROUND(100*E11/(B11-G11),1))</f>
        <v/>
      </c>
    </row>
    <row r="12">
      <c r="A12" s="12" t="inlineStr">
        <is>
          <t>Total</t>
        </is>
      </c>
      <c r="B12" s="12">
        <f>COUNTA(Checklist!$A$5:$A$600)</f>
        <v/>
      </c>
      <c r="C12" s="12">
        <f>COUNTIF(Checklist!$I$5:$I$600,"OPEN")</f>
        <v/>
      </c>
      <c r="D12" s="12">
        <f>COUNTIF(Checklist!$I$5:$I$600,"IN PROGRESS")</f>
        <v/>
      </c>
      <c r="E12" s="12">
        <f>COUNTIF(Checklist!$I$5:$I$600,"DONE")</f>
        <v/>
      </c>
      <c r="F12" s="12">
        <f>COUNTIF(Checklist!$I$5:$I$600,"BLOCKED")</f>
        <v/>
      </c>
      <c r="G12" s="12">
        <f>COUNTIF(Checklist!$I$5:$I$600,"N/A")</f>
        <v/>
      </c>
      <c r="H12" s="12">
        <f>IF(B12-G12=0,0,ROUND(100*E12/(B12-G12),1))</f>
        <v/>
      </c>
    </row>
  </sheetData>
  <autoFilter ref="A4:H12"/>
  <mergeCells count="1">
    <mergeCell ref="A2:H2"/>
  </mergeCells>
  <conditionalFormatting sqref="A5:H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&amp;K004EA8Production Readiness Checklist&amp;R&amp;8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40" customWidth="1" min="4" max="4"/>
    <col width="50" customWidth="1" min="5" max="5"/>
  </cols>
  <sheetData>
    <row r="1" ht="24" customHeight="1">
      <c r="A1" s="22" t="inlineStr">
        <is>
          <t>Gates</t>
        </is>
      </c>
    </row>
    <row r="2">
      <c r="A2" s="25" t="inlineStr">
        <is>
          <t>Readiness reviews and go / no-go gates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Gate</t>
        </is>
      </c>
      <c r="B4" s="27" t="inlineStr">
        <is>
          <t>Name</t>
        </is>
      </c>
      <c r="C4" s="27" t="inlineStr">
        <is>
          <t>When</t>
        </is>
      </c>
      <c r="D4" s="27" t="inlineStr">
        <is>
          <t>Decided by</t>
        </is>
      </c>
      <c r="E4" s="27" t="inlineStr">
        <is>
          <t>Passes when</t>
        </is>
      </c>
    </row>
    <row r="5">
      <c r="A5" s="12" t="inlineStr">
        <is>
          <t>ORR</t>
        </is>
      </c>
      <c r="B5" s="12" t="inlineStr">
        <is>
          <t>Operational readiness review</t>
        </is>
      </c>
      <c r="C5" s="12" t="inlineStr">
        <is>
          <t>15-Dec-2027</t>
        </is>
      </c>
      <c r="D5" s="12" t="inlineStr">
        <is>
          <t>BIBS Service Owner (chair), BDO Cloud Operations, Information Security Officer, iorta TechNXT Project Manager</t>
        </is>
      </c>
      <c r="E5" s="12" t="inlineStr">
        <is>
          <t>Operations, security, performance and support criteria met; evidence pack accepted</t>
        </is>
      </c>
    </row>
    <row r="6">
      <c r="A6" s="12" t="inlineStr">
        <is>
          <t>PRR</t>
        </is>
      </c>
      <c r="B6" s="12" t="inlineStr">
        <is>
          <t>Production readiness review</t>
        </is>
      </c>
      <c r="C6" s="12" t="inlineStr">
        <is>
          <t>17-Dec-2027</t>
        </is>
      </c>
      <c r="D6" s="12" t="inlineStr">
        <is>
          <t>Head, BDOI IT (chair), BIBS Product Owner, Program Manager, iorta TechNXT Project Manager</t>
        </is>
      </c>
      <c r="E6" s="12" t="inlineStr">
        <is>
          <t>Every ORR criterion met or waived; production and DR accepted; data and business criteria on track</t>
        </is>
      </c>
    </row>
    <row r="7">
      <c r="A7" s="12" t="inlineStr">
        <is>
          <t>GNG-1</t>
        </is>
      </c>
      <c r="B7" s="12" t="inlineStr">
        <is>
          <t>Go / no-go 1: start the pre-load</t>
        </is>
      </c>
      <c r="C7" s="12" t="inlineStr">
        <is>
          <t>19-Dec-2027 (T-15)</t>
        </is>
      </c>
      <c r="D7" s="12" t="inlineStr">
        <is>
          <t>Go / no-go board</t>
        </is>
      </c>
      <c r="E7" s="12" t="inlineStr">
        <is>
          <t>Criteria of the Data Migration Handbook, Part D, and the PRR result</t>
        </is>
      </c>
    </row>
    <row r="8">
      <c r="A8" s="12" t="inlineStr">
        <is>
          <t>GNG-2</t>
        </is>
      </c>
      <c r="B8" s="12" t="inlineStr">
        <is>
          <t>Go / no-go 2: enter the legacy freeze</t>
        </is>
      </c>
      <c r="C8" s="12" t="inlineStr">
        <is>
          <t>29-Dec-2027 (T-5)</t>
        </is>
      </c>
      <c r="D8" s="12" t="inlineStr">
        <is>
          <t>Go / no-go board</t>
        </is>
      </c>
      <c r="E8" s="12" t="inlineStr">
        <is>
          <t>Reference data and clients accepted; communications sent; business readiness confirmed</t>
        </is>
      </c>
    </row>
    <row r="9">
      <c r="A9" s="12" t="inlineStr">
        <is>
          <t>GNG-3</t>
        </is>
      </c>
      <c r="B9" s="12" t="inlineStr">
        <is>
          <t>Go / no-go 3: go live</t>
        </is>
      </c>
      <c r="C9" s="12" t="inlineStr">
        <is>
          <t>2-Jan-2028 18:00 (T-1)</t>
        </is>
      </c>
      <c r="D9" s="12" t="inlineStr">
        <is>
          <t>Go / no-go board</t>
        </is>
      </c>
      <c r="E9" s="12" t="inlineStr">
        <is>
          <t>Every Day-1 object accepted; reconciliation 0.00; smoke test passed; support in place</t>
        </is>
      </c>
    </row>
  </sheetData>
  <autoFilter ref="A4:E9"/>
  <mergeCells count="1">
    <mergeCell ref="A2:E2"/>
  </mergeCells>
  <conditionalFormatting sqref="A5:E509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&amp;K004EA8Production Readiness Checklist&amp;R&amp;8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</t>
        </is>
      </c>
      <c r="B1" t="inlineStr">
        <is>
          <t>ORR</t>
        </is>
      </c>
      <c r="C1" t="inlineStr">
        <is>
          <t>OPEN</t>
        </is>
      </c>
    </row>
    <row r="2">
      <c r="A2" t="inlineStr">
        <is>
          <t>Security</t>
        </is>
      </c>
      <c r="B2" t="inlineStr">
        <is>
          <t>PRR</t>
        </is>
      </c>
      <c r="C2" t="inlineStr">
        <is>
          <t>IN PROGRESS</t>
        </is>
      </c>
    </row>
    <row r="3">
      <c r="A3" t="inlineStr">
        <is>
          <t>Performance</t>
        </is>
      </c>
      <c r="B3" t="inlineStr">
        <is>
          <t>GNG-1</t>
        </is>
      </c>
      <c r="C3" t="inlineStr">
        <is>
          <t>DONE</t>
        </is>
      </c>
    </row>
    <row r="4">
      <c r="A4" t="inlineStr">
        <is>
          <t>Data</t>
        </is>
      </c>
      <c r="B4" t="inlineStr">
        <is>
          <t>GNG-2</t>
        </is>
      </c>
      <c r="C4" t="inlineStr">
        <is>
          <t>BLOCKED</t>
        </is>
      </c>
    </row>
    <row r="5">
      <c r="A5" t="inlineStr">
        <is>
          <t>Support</t>
        </is>
      </c>
      <c r="B5" t="inlineStr">
        <is>
          <t>GNG-3</t>
        </is>
      </c>
      <c r="C5" t="inlineStr">
        <is>
          <t>N/A</t>
        </is>
      </c>
    </row>
    <row r="6">
      <c r="A6" t="inlineStr">
        <is>
          <t>Compliance</t>
        </is>
      </c>
    </row>
    <row r="7">
      <c r="A7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Readiness BRD-00 Production Readiness Checklist v1.0</dc:title>
  <dc:subject>BDO Insure Brokering System (BIBS)</dc:subject>
  <dc:creator>iorta TechNXT</dc:creator>
  <cp:lastModifiedBy>iorta TechNXT</cp:lastModifiedBy>
  <dcterms:created xsi:type="dcterms:W3CDTF">2026-10-08T17:38:24Z</dcterms:created>
  <dcterms:modified xsi:type="dcterms:W3CDTF">2026-10-08T17:38:24Z</dcterms:modified>
</cp:coreProperties>
</file>